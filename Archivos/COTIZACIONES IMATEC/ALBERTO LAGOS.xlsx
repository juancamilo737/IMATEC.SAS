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7B48AD7-483D-4163-9695-5C2C8C2CB0A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LBERTO LAG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 l="1"/>
  <c r="H24" i="1"/>
  <c r="H23" i="1"/>
  <c r="H22" i="1"/>
  <c r="H21" i="1"/>
  <c r="H20" i="1"/>
  <c r="H19" i="1"/>
  <c r="H18" i="1"/>
  <c r="H17" i="1"/>
  <c r="H16" i="1"/>
  <c r="H29" i="1" l="1"/>
  <c r="H33" i="1" s="1"/>
</calcChain>
</file>

<file path=xl/sharedStrings.xml><?xml version="1.0" encoding="utf-8"?>
<sst xmlns="http://schemas.openxmlformats.org/spreadsheetml/2006/main" count="68" uniqueCount="60">
  <si>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</si>
  <si>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</si>
  <si>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</si>
  <si>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</si>
  <si>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</si>
  <si>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</si>
  <si>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</si>
  <si>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</si>
  <si>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</si>
  <si>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</si>
  <si>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</si>
  <si>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</si>
  <si>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</si>
  <si>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</si>
  <si>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</si>
  <si>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</si>
  <si>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</si>
  <si>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</si>
  <si>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</si>
  <si>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</si>
  <si>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</si>
  <si>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</si>
  <si>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</si>
  <si>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</si>
  <si>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</si>
  <si>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</si>
  <si>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</si>
  <si>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</si>
  <si>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</si>
  <si>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</si>
  <si>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</si>
  <si>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</si>
  <si>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</si>
  <si>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</si>
  <si>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</si>
  <si>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</si>
  <si>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</si>
  <si>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</si>
  <si>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</si>
  <si>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</si>
  <si>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</si>
  <si>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</si>
  <si>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ALBERTO LAGOS</t>
  </si>
  <si>
    <t>No.  1</t>
  </si>
  <si>
    <t>317 2944760</t>
  </si>
  <si>
    <t>LUIS A.BENAVIDES</t>
  </si>
  <si>
    <t xml:space="preserve">TUBERIA  AC/INOX  SCH 10  4 "  </t>
  </si>
  <si>
    <t>TUBO X 6 MTS</t>
  </si>
  <si>
    <t>BRIDA AC/INOX SLIP ON  4 "</t>
  </si>
  <si>
    <t>BRIDA AC/INOX SLIP ON  2 "</t>
  </si>
  <si>
    <t>CODO AC/INOX SCH 10  4 "  X  90 º</t>
  </si>
  <si>
    <t>TEE AC/INOX SCH 10  4 "</t>
  </si>
  <si>
    <t>COPA AC/INOX  SCH 10  4 "  X  2 "</t>
  </si>
  <si>
    <t>EMPAQUE NEOPRENO  4 "</t>
  </si>
  <si>
    <t>EMPAQUE NEOPRENO  2 "</t>
  </si>
  <si>
    <t>TORNILLO AC/INOX  5/8 "  X  3 " COMPLETO</t>
  </si>
  <si>
    <t>TORNILLO AC/INOX  5/8 "  X  2 1/2  " COMPLETO</t>
  </si>
  <si>
    <t>NUEVE MILLONES SETECIENTOS TREINTA Y SEIS MIL CIEN</t>
  </si>
  <si>
    <t>TO CUATRO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</si>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</sst>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10" zoomScaleNormal="100" workbookViewId="0">
      <selection activeCell="C36" sqref="C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9"/>
      <c r="D8" s="12"/>
      <c r="E8" s="13"/>
      <c r="H8" s="15"/>
    </row>
    <row r="9" spans="1:8" ht="18.75" customHeight="1" x14ac:dyDescent="0.3">
      <c r="A9" s="21" t="s">
        <v>9</v>
      </c>
      <c r="C9" s="14"/>
      <c r="E9" s="15"/>
      <c r="F9" s="30" t="s">
        <v>0</v>
      </c>
      <c r="H9" s="28">
        <v>45786</v>
      </c>
    </row>
    <row r="10" spans="1:8" ht="18.75" x14ac:dyDescent="0.3">
      <c r="A10" s="21" t="s">
        <v>13</v>
      </c>
      <c r="C10" s="70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45795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46</v>
      </c>
      <c r="C16" s="63"/>
      <c r="D16" s="64"/>
      <c r="E16" s="61" t="s">
        <v>47</v>
      </c>
      <c r="F16" s="65">
        <v>944000</v>
      </c>
      <c r="G16" s="61">
        <v>5</v>
      </c>
      <c r="H16" s="38">
        <f t="shared" ref="H16" si="0">G16*F16</f>
        <v>4720000</v>
      </c>
    </row>
    <row r="17" spans="1:8" ht="16.5" thickBot="1" x14ac:dyDescent="0.3">
      <c r="A17" s="61">
        <v>2</v>
      </c>
      <c r="B17" s="62" t="s">
        <v>48</v>
      </c>
      <c r="C17" s="63"/>
      <c r="D17" s="64"/>
      <c r="E17" s="61" t="s">
        <v>39</v>
      </c>
      <c r="F17" s="65">
        <v>140000</v>
      </c>
      <c r="G17" s="61">
        <v>8</v>
      </c>
      <c r="H17" s="38">
        <f t="shared" ref="H17:H25" si="1">G17*F17</f>
        <v>1120000</v>
      </c>
    </row>
    <row r="18" spans="1:8" ht="16.5" thickBot="1" x14ac:dyDescent="0.3">
      <c r="A18" s="61">
        <v>3</v>
      </c>
      <c r="B18" s="62" t="s">
        <v>49</v>
      </c>
      <c r="C18" s="63"/>
      <c r="D18" s="64"/>
      <c r="E18" s="61" t="s">
        <v>39</v>
      </c>
      <c r="F18" s="65">
        <v>65000</v>
      </c>
      <c r="G18" s="61">
        <v>8</v>
      </c>
      <c r="H18" s="38">
        <f t="shared" si="1"/>
        <v>520000</v>
      </c>
    </row>
    <row r="19" spans="1:8" ht="16.5" thickBot="1" x14ac:dyDescent="0.3">
      <c r="A19" s="61">
        <v>4</v>
      </c>
      <c r="B19" s="62" t="s">
        <v>50</v>
      </c>
      <c r="C19" s="63"/>
      <c r="D19" s="64"/>
      <c r="E19" s="61" t="s">
        <v>39</v>
      </c>
      <c r="F19" s="65">
        <v>130000</v>
      </c>
      <c r="G19" s="61">
        <v>4</v>
      </c>
      <c r="H19" s="38">
        <f t="shared" si="1"/>
        <v>520000</v>
      </c>
    </row>
    <row r="20" spans="1:8" ht="16.5" thickBot="1" x14ac:dyDescent="0.3">
      <c r="A20" s="61">
        <v>5</v>
      </c>
      <c r="B20" s="62" t="s">
        <v>51</v>
      </c>
      <c r="C20" s="63"/>
      <c r="D20" s="64"/>
      <c r="E20" s="61" t="s">
        <v>39</v>
      </c>
      <c r="F20" s="65">
        <v>148000</v>
      </c>
      <c r="G20" s="61">
        <v>4</v>
      </c>
      <c r="H20" s="38">
        <f t="shared" si="1"/>
        <v>592000</v>
      </c>
    </row>
    <row r="21" spans="1:8" ht="16.5" thickBot="1" x14ac:dyDescent="0.3">
      <c r="A21" s="61">
        <v>6</v>
      </c>
      <c r="B21" s="62" t="s">
        <v>52</v>
      </c>
      <c r="C21" s="63"/>
      <c r="D21" s="64"/>
      <c r="E21" s="61" t="s">
        <v>39</v>
      </c>
      <c r="F21" s="65">
        <v>65000</v>
      </c>
      <c r="G21" s="61">
        <v>4</v>
      </c>
      <c r="H21" s="38">
        <f t="shared" si="1"/>
        <v>260000</v>
      </c>
    </row>
    <row r="22" spans="1:8" ht="16.5" thickBot="1" x14ac:dyDescent="0.3">
      <c r="A22" s="61">
        <v>7</v>
      </c>
      <c r="B22" s="62" t="s">
        <v>53</v>
      </c>
      <c r="C22" s="63"/>
      <c r="D22" s="64"/>
      <c r="E22" s="61" t="s">
        <v>39</v>
      </c>
      <c r="F22" s="65">
        <v>20000</v>
      </c>
      <c r="G22" s="61">
        <v>4</v>
      </c>
      <c r="H22" s="38">
        <f t="shared" si="1"/>
        <v>80000</v>
      </c>
    </row>
    <row r="23" spans="1:8" ht="16.5" thickBot="1" x14ac:dyDescent="0.3">
      <c r="A23" s="61">
        <v>8</v>
      </c>
      <c r="B23" s="62" t="s">
        <v>54</v>
      </c>
      <c r="C23" s="63"/>
      <c r="D23" s="64"/>
      <c r="E23" s="61" t="s">
        <v>39</v>
      </c>
      <c r="F23" s="65">
        <v>10000</v>
      </c>
      <c r="G23" s="61">
        <v>4</v>
      </c>
      <c r="H23" s="38">
        <f t="shared" si="1"/>
        <v>40000</v>
      </c>
    </row>
    <row r="24" spans="1:8" ht="16.5" thickBot="1" x14ac:dyDescent="0.3">
      <c r="A24" s="61">
        <v>9</v>
      </c>
      <c r="B24" s="62" t="s">
        <v>55</v>
      </c>
      <c r="C24" s="63"/>
      <c r="D24" s="64"/>
      <c r="E24" s="61" t="s">
        <v>39</v>
      </c>
      <c r="F24" s="65">
        <v>7000</v>
      </c>
      <c r="G24" s="61">
        <v>32</v>
      </c>
      <c r="H24" s="38">
        <f t="shared" si="1"/>
        <v>224000</v>
      </c>
    </row>
    <row r="25" spans="1:8" ht="16.5" thickBot="1" x14ac:dyDescent="0.3">
      <c r="A25" s="61">
        <v>10</v>
      </c>
      <c r="B25" s="62" t="s">
        <v>56</v>
      </c>
      <c r="C25" s="63"/>
      <c r="D25" s="64"/>
      <c r="E25" s="61" t="s">
        <v>39</v>
      </c>
      <c r="F25" s="65">
        <v>6600</v>
      </c>
      <c r="G25" s="61">
        <v>16</v>
      </c>
      <c r="H25" s="38">
        <f t="shared" si="1"/>
        <v>105600</v>
      </c>
    </row>
    <row r="26" spans="1:8" ht="19.5" customHeight="1" thickBot="1" x14ac:dyDescent="0.3">
      <c r="A26" s="48"/>
      <c r="B26" s="67"/>
      <c r="D26" s="68"/>
      <c r="E26" s="48"/>
      <c r="F26" s="48"/>
      <c r="G26" s="48"/>
    </row>
    <row r="27" spans="1:8" ht="19.5" customHeight="1" thickBot="1" x14ac:dyDescent="0.35">
      <c r="A27" s="66" t="s">
        <v>23</v>
      </c>
      <c r="B27" s="69" t="s">
        <v>57</v>
      </c>
      <c r="C27" s="12"/>
      <c r="D27" s="13"/>
      <c r="E27" s="49"/>
      <c r="F27" s="37" t="s">
        <v>40</v>
      </c>
      <c r="G27" s="6"/>
      <c r="H27" s="7"/>
    </row>
    <row r="28" spans="1:8" ht="19.5" customHeight="1" thickBot="1" x14ac:dyDescent="0.3">
      <c r="A28" s="39"/>
      <c r="B28" s="16" t="s">
        <v>58</v>
      </c>
      <c r="C28" s="4"/>
      <c r="D28" s="17"/>
      <c r="E28" s="52" t="s">
        <v>24</v>
      </c>
      <c r="F28" s="53"/>
      <c r="G28" s="44"/>
      <c r="H28" s="50">
        <f>SUM(H16:H25)</f>
        <v>8181600</v>
      </c>
    </row>
    <row r="29" spans="1:8" ht="19.5" customHeight="1" x14ac:dyDescent="0.25">
      <c r="A29" s="24" t="s">
        <v>25</v>
      </c>
      <c r="B29" s="12"/>
      <c r="C29" s="12"/>
      <c r="D29" s="12"/>
      <c r="E29" s="54" t="s">
        <v>29</v>
      </c>
      <c r="F29" s="23"/>
      <c r="G29" s="55">
        <v>0.19</v>
      </c>
      <c r="H29" s="40">
        <f>H28*G29</f>
        <v>1554504</v>
      </c>
    </row>
    <row r="30" spans="1:8" ht="19.5" customHeight="1" x14ac:dyDescent="0.25">
      <c r="A30" s="14" t="s">
        <v>30</v>
      </c>
      <c r="E30" s="56" t="s">
        <v>26</v>
      </c>
      <c r="G30" s="59">
        <v>2.5000000000000001E-2</v>
      </c>
      <c r="H30" s="51"/>
    </row>
    <row r="31" spans="1:8" ht="15.75" x14ac:dyDescent="0.25">
      <c r="A31" s="14" t="s">
        <v>59</v>
      </c>
      <c r="E31" s="14"/>
      <c r="F31" s="33"/>
      <c r="G31" s="45"/>
      <c r="H31" s="15"/>
    </row>
    <row r="32" spans="1:8" ht="16.5" thickBot="1" x14ac:dyDescent="0.3">
      <c r="A32" s="14" t="s">
        <v>33</v>
      </c>
      <c r="E32" s="57" t="s">
        <v>27</v>
      </c>
      <c r="F32" s="58"/>
      <c r="G32" s="46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</f>
        <v>9736104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41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ALBERTO LAGOS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2025-05-09T16:32:03Z</dcterms:modified>
</cp:coreProperties>
</file>