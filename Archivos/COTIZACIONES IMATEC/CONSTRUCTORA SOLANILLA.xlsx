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9F17D576-6016-49EB-9597-F8A5EC8BBFC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OLANILLAS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1" i="1" l="1"/>
  <c r="H39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40" i="1" l="1"/>
  <c r="H44" i="1" s="1"/>
</calcChain>
</file>

<file path=xl/sharedStrings.xml><?xml version="1.0" encoding="utf-8"?>
<sst xmlns="http://schemas.openxmlformats.org/spreadsheetml/2006/main" count="86" uniqueCount="71">
  <si>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</si>
  <si>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</si>
  <si>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</si>
  <si>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</si>
  <si>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</si>
  <si>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</si>
  <si>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</si>
  <si>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</si>
  <si>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</si>
  <si>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</si>
  <si>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</si>
  <si>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</si>
  <si>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</si>
  <si>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</si>
  <si>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</si>
  <si>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</si>
  <si>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</si>
  <si>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</si>
  <si>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</si>
  <si>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</si>
  <si>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</si>
  <si>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</si>
  <si>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</si>
  <si>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</si>
  <si>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</si>
  <si>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</si>
  <si>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</si>
  <si>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</si>
  <si>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</si>
  <si>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</si>
  <si>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</si>
  <si>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</si>
  <si>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</si>
  <si>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</si>
  <si>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</si>
  <si>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</si>
  <si>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8 DIAS</t>
  </si>
  <si>
    <t>ITEM</t>
  </si>
  <si>
    <t>ACCESORIO</t>
  </si>
  <si>
    <t>CONTACTOS   310 8306118       319 7174165        321 7834969</t>
  </si>
  <si>
    <t>JAMUNDI</t>
  </si>
  <si>
    <t xml:space="preserve">  CALLE  33B  No. 17C - 70  2º  PISO                B/  LA FLORESTA             -   CALI    -                                CEL.     321 7834969</t>
  </si>
  <si>
    <t>FORMA DE PAGO : CONTADO</t>
  </si>
  <si>
    <t xml:space="preserve">              R E M I S I O N </t>
  </si>
  <si>
    <t>METRO LINEAL</t>
  </si>
  <si>
    <t>REDUCCION BUSHING A / C  2 "  X  1 1/2 "</t>
  </si>
  <si>
    <t xml:space="preserve">CHEQUE CORTINA BRONCE 1 1/2 " HELMAN </t>
  </si>
  <si>
    <t>CODO HD RANURADO 8 "  X  45º</t>
  </si>
  <si>
    <t>CODO HD RANURADO 1 1/2 "  X  90º</t>
  </si>
  <si>
    <t>VALVULA DE BOLA AC/INOX  1/2 "</t>
  </si>
  <si>
    <t>NIPLE A / C  1 1/2 "  X  1 MT</t>
  </si>
  <si>
    <t>NIPLE A / C  1 1/2 "  X  4 "</t>
  </si>
  <si>
    <t>REDUCCION COPA HD RANURADA 8 "  A  6 "</t>
  </si>
  <si>
    <t>TEE HR 1 1/2 "  X  150 LB ROSCADA</t>
  </si>
  <si>
    <t>TEE AC/INOX 304  1/2 "  X  150 LB</t>
  </si>
  <si>
    <t>TEE HD RANURADA REDUCIDA DE 8 "  A  6 "</t>
  </si>
  <si>
    <t>TUBERIA  AC/INOX  304  1/2 "</t>
  </si>
  <si>
    <t>VALVULA P/D RED WHITE 1 1/2 "</t>
  </si>
  <si>
    <t>VALVULA P/D BRIDADA  8 " RED CONTRA INCEND</t>
  </si>
  <si>
    <t>TEE HD RANURADA REDUCIDA DE 8 "  A  4"</t>
  </si>
  <si>
    <t>REDUCCION COPA HD RANUARADA DE 8 "  X  6"</t>
  </si>
  <si>
    <t>SOPORTE PERA 8 "</t>
  </si>
  <si>
    <t>CUATRO MILLONES SETECIENTOS OCHENTA Y SEIS MIL</t>
  </si>
  <si>
    <t>CUATROCIENTOS CUARENTA Y DOS PESOS MDA / CTE</t>
  </si>
  <si>
    <t>ENTREGA EN DOS DIAS A PARTIR DE ORDEN DE COMPRA</t>
  </si>
  <si>
    <t>CONSTRUCTORA SOLANILLAS S.A.S.</t>
  </si>
  <si>
    <t>805 016128</t>
  </si>
  <si>
    <t>CRA 56  No. 1B-281</t>
  </si>
  <si>
    <t>claudia.trochez@solanillas.com</t>
  </si>
  <si>
    <t>EDINSON CABEZAS</t>
  </si>
  <si>
    <t>602 3877770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</si>
</sst>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7" xfId="0" applyBorder="1"/>
    <xf numFmtId="0" fontId="8" fillId="0" borderId="14" xfId="0" applyFont="1" applyBorder="1"/>
    <xf numFmtId="0" fontId="8" fillId="0" borderId="0" xfId="0" applyFont="1"/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9" xfId="0" applyFont="1" applyBorder="1"/>
    <xf numFmtId="9" fontId="1" fillId="0" borderId="15" xfId="0" applyNumberFormat="1" applyFont="1" applyBorder="1"/>
    <xf numFmtId="42" fontId="1" fillId="0" borderId="20" xfId="0" applyNumberFormat="1" applyFont="1" applyBorder="1"/>
    <xf numFmtId="0" fontId="0" fillId="0" borderId="20" xfId="0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8" xfId="0" applyNumberFormat="1" applyFont="1" applyBorder="1" applyAlignment="1">
      <alignment horizontal="left"/>
    </xf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1" xfId="0" applyFont="1" applyBorder="1"/>
    <xf numFmtId="42" fontId="1" fillId="0" borderId="21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0" fontId="0" fillId="0" borderId="22" xfId="0" applyBorder="1"/>
    <xf numFmtId="0" fontId="5" fillId="0" borderId="4" xfId="0" applyFont="1" applyBorder="1"/>
    <xf numFmtId="0" fontId="1" fillId="0" borderId="14" xfId="0" applyFont="1" applyBorder="1" applyAlignment="1">
      <alignment horizontal="center"/>
    </xf>
    <xf numFmtId="0" fontId="0" fillId="0" borderId="23" xfId="0" applyBorder="1"/>
    <xf numFmtId="10" fontId="1" fillId="0" borderId="0" xfId="0" applyNumberFormat="1" applyFont="1"/>
    <xf numFmtId="42" fontId="1" fillId="0" borderId="17" xfId="1" applyFont="1" applyBorder="1"/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8" fillId="0" borderId="0" xfId="0" applyFont="1" applyBorder="1"/>
    <xf numFmtId="0" fontId="0" fillId="0" borderId="0" xfId="0" applyBorder="1"/>
    <xf numFmtId="42" fontId="6" fillId="0" borderId="0" xfId="1" applyFont="1" applyBorder="1"/>
    <xf numFmtId="0" fontId="1" fillId="0" borderId="0" xfId="0" applyFont="1" applyBorder="1" applyAlignment="1">
      <alignment horizontal="center"/>
    </xf>
    <xf numFmtId="42" fontId="1" fillId="0" borderId="17" xfId="1" applyFont="1" applyBorder="1" applyAlignment="1">
      <alignment horizontal="left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laudia.trochez@solanill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8"/>
  <sheetViews>
    <sheetView tabSelected="1" topLeftCell="A16" zoomScaleNormal="100" workbookViewId="0">
      <selection activeCell="G34" sqref="G34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0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34</v>
      </c>
      <c r="E4" s="19"/>
      <c r="F4" s="20"/>
      <c r="G4" s="6"/>
      <c r="H4" s="7"/>
    </row>
    <row r="5" spans="1:8" ht="19.5" thickBot="1" x14ac:dyDescent="0.35">
      <c r="A5" s="62" t="s">
        <v>39</v>
      </c>
      <c r="B5" s="6"/>
      <c r="C5" s="6"/>
      <c r="D5" s="6"/>
      <c r="E5" s="6"/>
    </row>
    <row r="6" spans="1:8" ht="24.75" customHeight="1" thickBot="1" x14ac:dyDescent="0.45">
      <c r="F6" s="11" t="s">
        <v>43</v>
      </c>
      <c r="G6" s="19"/>
      <c r="H6" s="20"/>
    </row>
    <row r="7" spans="1:8" ht="19.5" thickBot="1" x14ac:dyDescent="0.35">
      <c r="A7" s="21" t="s">
        <v>15</v>
      </c>
      <c r="B7" s="13"/>
      <c r="C7" s="31" t="s">
        <v>65</v>
      </c>
      <c r="D7" s="13"/>
      <c r="E7" s="14"/>
      <c r="F7" s="28"/>
      <c r="G7" s="19"/>
      <c r="H7" s="20"/>
    </row>
    <row r="8" spans="1:8" ht="18.75" x14ac:dyDescent="0.3">
      <c r="A8" s="22" t="s">
        <v>9</v>
      </c>
      <c r="C8" s="25" t="s">
        <v>66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67</v>
      </c>
      <c r="D9" s="24"/>
      <c r="E9" s="25" t="s">
        <v>40</v>
      </c>
      <c r="F9" s="32" t="s">
        <v>0</v>
      </c>
      <c r="H9" s="33">
        <v>45526</v>
      </c>
    </row>
    <row r="10" spans="1:8" ht="18.75" x14ac:dyDescent="0.3">
      <c r="A10" s="22" t="s">
        <v>14</v>
      </c>
      <c r="C10" s="51" t="s">
        <v>68</v>
      </c>
      <c r="D10" s="26"/>
      <c r="E10" s="26"/>
      <c r="F10" s="32" t="s">
        <v>16</v>
      </c>
      <c r="H10" s="34" t="s">
        <v>36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45534</v>
      </c>
    </row>
    <row r="12" spans="1:8" ht="18.75" x14ac:dyDescent="0.3">
      <c r="A12" s="22" t="s">
        <v>12</v>
      </c>
      <c r="C12" s="25" t="s">
        <v>70</v>
      </c>
      <c r="D12" s="26"/>
      <c r="E12" s="26"/>
      <c r="F12" s="32" t="s">
        <v>18</v>
      </c>
      <c r="H12" s="36"/>
    </row>
    <row r="13" spans="1:8" ht="18.75" customHeight="1" thickBot="1" x14ac:dyDescent="0.35">
      <c r="A13" s="23" t="s">
        <v>13</v>
      </c>
      <c r="B13" s="4"/>
      <c r="C13" s="25" t="s">
        <v>69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37" t="s">
        <v>37</v>
      </c>
      <c r="B15" s="55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8" ht="15.75" customHeight="1" x14ac:dyDescent="0.25">
      <c r="A16" s="56">
        <v>1</v>
      </c>
      <c r="B16" s="40" t="s">
        <v>45</v>
      </c>
      <c r="C16" s="41"/>
      <c r="D16" s="57"/>
      <c r="E16" s="56" t="s">
        <v>38</v>
      </c>
      <c r="F16" s="60">
        <v>5650</v>
      </c>
      <c r="G16" s="56">
        <v>1</v>
      </c>
      <c r="H16" s="58">
        <f>G16*F16</f>
        <v>5650</v>
      </c>
    </row>
    <row r="17" spans="1:10" ht="15.75" customHeight="1" x14ac:dyDescent="0.25">
      <c r="A17" s="56">
        <v>2</v>
      </c>
      <c r="B17" s="40" t="s">
        <v>46</v>
      </c>
      <c r="C17" s="41"/>
      <c r="E17" s="63" t="s">
        <v>38</v>
      </c>
      <c r="F17" s="59">
        <v>205500</v>
      </c>
      <c r="G17" s="56">
        <v>1</v>
      </c>
      <c r="H17" s="66">
        <f>F17*G17</f>
        <v>205500</v>
      </c>
      <c r="I17" s="38"/>
      <c r="J17" s="38"/>
    </row>
    <row r="18" spans="1:10" ht="15.75" customHeight="1" x14ac:dyDescent="0.25">
      <c r="A18" s="56">
        <v>3</v>
      </c>
      <c r="B18" s="40" t="s">
        <v>47</v>
      </c>
      <c r="C18" s="41"/>
      <c r="D18" s="39"/>
      <c r="E18" s="56" t="s">
        <v>38</v>
      </c>
      <c r="F18" s="60">
        <v>195000</v>
      </c>
      <c r="G18" s="56">
        <v>1</v>
      </c>
      <c r="H18" s="66">
        <f>G18*F18</f>
        <v>195000</v>
      </c>
    </row>
    <row r="19" spans="1:10" ht="15.75" customHeight="1" x14ac:dyDescent="0.25">
      <c r="A19" s="56">
        <v>4</v>
      </c>
      <c r="B19" s="40" t="s">
        <v>48</v>
      </c>
      <c r="C19" s="41"/>
      <c r="E19" s="63" t="s">
        <v>38</v>
      </c>
      <c r="F19" s="59">
        <v>8100</v>
      </c>
      <c r="G19" s="56">
        <v>1</v>
      </c>
      <c r="H19" s="66">
        <f>F19*G19</f>
        <v>8100</v>
      </c>
      <c r="I19" s="38"/>
      <c r="J19" s="38"/>
    </row>
    <row r="20" spans="1:10" ht="15.75" customHeight="1" x14ac:dyDescent="0.25">
      <c r="A20" s="56">
        <v>5</v>
      </c>
      <c r="B20" s="40" t="s">
        <v>49</v>
      </c>
      <c r="C20" s="41"/>
      <c r="D20" s="39"/>
      <c r="E20" s="56" t="s">
        <v>38</v>
      </c>
      <c r="F20" s="60">
        <v>23000</v>
      </c>
      <c r="G20" s="56">
        <v>1</v>
      </c>
      <c r="H20" s="73">
        <f>G20*F20</f>
        <v>23000</v>
      </c>
    </row>
    <row r="21" spans="1:10" ht="15.75" customHeight="1" x14ac:dyDescent="0.25">
      <c r="A21" s="56">
        <v>6</v>
      </c>
      <c r="B21" s="40" t="s">
        <v>50</v>
      </c>
      <c r="C21" s="41"/>
      <c r="D21" s="39"/>
      <c r="E21" s="72" t="s">
        <v>38</v>
      </c>
      <c r="F21" s="59">
        <v>59300</v>
      </c>
      <c r="G21" s="56">
        <v>1</v>
      </c>
      <c r="H21" s="66">
        <f>F21*G21</f>
        <v>59300</v>
      </c>
      <c r="I21" s="38"/>
      <c r="J21" s="38"/>
    </row>
    <row r="22" spans="1:10" ht="15.75" customHeight="1" x14ac:dyDescent="0.25">
      <c r="A22" s="56">
        <v>7</v>
      </c>
      <c r="B22" s="40" t="s">
        <v>51</v>
      </c>
      <c r="C22" s="41"/>
      <c r="D22" s="39"/>
      <c r="E22" s="56" t="s">
        <v>38</v>
      </c>
      <c r="F22" s="60">
        <v>6550</v>
      </c>
      <c r="G22" s="56">
        <v>1</v>
      </c>
      <c r="H22" s="66">
        <f>G22*F22</f>
        <v>6550</v>
      </c>
    </row>
    <row r="23" spans="1:10" ht="15.75" customHeight="1" x14ac:dyDescent="0.25">
      <c r="A23" s="56">
        <v>8</v>
      </c>
      <c r="B23" s="40" t="s">
        <v>52</v>
      </c>
      <c r="C23" s="41"/>
      <c r="D23" s="39"/>
      <c r="E23" s="72" t="s">
        <v>38</v>
      </c>
      <c r="F23" s="59">
        <v>74400</v>
      </c>
      <c r="G23" s="56">
        <v>1</v>
      </c>
      <c r="H23" s="66">
        <f>F23*G23</f>
        <v>74400</v>
      </c>
      <c r="I23" s="38"/>
      <c r="J23" s="38"/>
    </row>
    <row r="24" spans="1:10" ht="15.75" customHeight="1" x14ac:dyDescent="0.25">
      <c r="A24" s="56">
        <v>9</v>
      </c>
      <c r="B24" s="40" t="s">
        <v>53</v>
      </c>
      <c r="C24" s="41"/>
      <c r="D24" s="39"/>
      <c r="E24" s="56" t="s">
        <v>38</v>
      </c>
      <c r="F24" s="60">
        <v>8750</v>
      </c>
      <c r="G24" s="56">
        <v>1</v>
      </c>
      <c r="H24" s="73">
        <f>G24*F24</f>
        <v>8750</v>
      </c>
    </row>
    <row r="25" spans="1:10" ht="15.75" customHeight="1" x14ac:dyDescent="0.25">
      <c r="A25" s="56">
        <v>10</v>
      </c>
      <c r="B25" s="40" t="s">
        <v>54</v>
      </c>
      <c r="C25" s="41"/>
      <c r="D25" s="39"/>
      <c r="E25" s="72" t="s">
        <v>38</v>
      </c>
      <c r="F25" s="59">
        <v>5670</v>
      </c>
      <c r="G25" s="56">
        <v>1</v>
      </c>
      <c r="H25" s="66">
        <f>F25*G25</f>
        <v>5670</v>
      </c>
      <c r="I25" s="38"/>
      <c r="J25" s="38"/>
    </row>
    <row r="26" spans="1:10" ht="15.75" customHeight="1" x14ac:dyDescent="0.25">
      <c r="A26" s="56">
        <v>11</v>
      </c>
      <c r="B26" s="40" t="s">
        <v>55</v>
      </c>
      <c r="C26" s="41"/>
      <c r="D26" s="39"/>
      <c r="E26" s="56" t="s">
        <v>38</v>
      </c>
      <c r="F26" s="60">
        <v>157000</v>
      </c>
      <c r="G26" s="56">
        <v>1</v>
      </c>
      <c r="H26" s="66">
        <f>G26*F26</f>
        <v>157000</v>
      </c>
    </row>
    <row r="27" spans="1:10" ht="15.75" customHeight="1" x14ac:dyDescent="0.25">
      <c r="A27" s="56">
        <v>12</v>
      </c>
      <c r="B27" s="40" t="s">
        <v>56</v>
      </c>
      <c r="C27" s="41"/>
      <c r="D27" s="39"/>
      <c r="E27" s="72" t="s">
        <v>44</v>
      </c>
      <c r="F27" s="59">
        <v>25150</v>
      </c>
      <c r="G27" s="56">
        <v>6</v>
      </c>
      <c r="H27" s="66">
        <f>F27*G27</f>
        <v>150900</v>
      </c>
      <c r="I27" s="38"/>
      <c r="J27" s="38"/>
    </row>
    <row r="28" spans="1:10" ht="15.75" customHeight="1" x14ac:dyDescent="0.25">
      <c r="A28" s="56">
        <v>13</v>
      </c>
      <c r="B28" s="40" t="s">
        <v>57</v>
      </c>
      <c r="C28" s="41"/>
      <c r="D28" s="39"/>
      <c r="E28" s="56" t="s">
        <v>38</v>
      </c>
      <c r="F28" s="60">
        <v>156600</v>
      </c>
      <c r="G28" s="56">
        <v>1</v>
      </c>
      <c r="H28" s="73">
        <f>G28*F28</f>
        <v>156600</v>
      </c>
    </row>
    <row r="29" spans="1:10" ht="15.75" customHeight="1" x14ac:dyDescent="0.25">
      <c r="A29" s="56">
        <v>14</v>
      </c>
      <c r="B29" s="40" t="s">
        <v>58</v>
      </c>
      <c r="C29" s="41"/>
      <c r="E29" s="63" t="s">
        <v>38</v>
      </c>
      <c r="F29" s="59">
        <v>2703000</v>
      </c>
      <c r="G29" s="56">
        <v>1</v>
      </c>
      <c r="H29" s="66">
        <f>F29*G29</f>
        <v>2703000</v>
      </c>
      <c r="I29" s="38"/>
      <c r="J29" s="38"/>
    </row>
    <row r="30" spans="1:10" ht="15.75" customHeight="1" x14ac:dyDescent="0.25">
      <c r="A30" s="56">
        <v>15</v>
      </c>
      <c r="B30" s="40" t="s">
        <v>59</v>
      </c>
      <c r="C30" s="41"/>
      <c r="D30" s="39"/>
      <c r="E30" s="56" t="s">
        <v>38</v>
      </c>
      <c r="F30" s="60">
        <v>180000</v>
      </c>
      <c r="G30" s="56">
        <v>1</v>
      </c>
      <c r="H30" s="66">
        <f>G30*F30</f>
        <v>180000</v>
      </c>
    </row>
    <row r="31" spans="1:10" ht="15.75" customHeight="1" x14ac:dyDescent="0.25">
      <c r="A31" s="56">
        <v>16</v>
      </c>
      <c r="B31" s="40" t="s">
        <v>60</v>
      </c>
      <c r="C31" s="41"/>
      <c r="E31" s="63" t="s">
        <v>38</v>
      </c>
      <c r="F31" s="59">
        <v>74400</v>
      </c>
      <c r="G31" s="56">
        <v>1</v>
      </c>
      <c r="H31" s="66">
        <f>F31*G31</f>
        <v>74400</v>
      </c>
      <c r="I31" s="38"/>
      <c r="J31" s="38"/>
    </row>
    <row r="32" spans="1:10" ht="15.75" customHeight="1" x14ac:dyDescent="0.25">
      <c r="A32" s="56">
        <v>17</v>
      </c>
      <c r="B32" s="40" t="s">
        <v>61</v>
      </c>
      <c r="C32" s="41"/>
      <c r="E32" s="63" t="s">
        <v>38</v>
      </c>
      <c r="F32" s="59">
        <v>8400</v>
      </c>
      <c r="G32" s="56">
        <v>1</v>
      </c>
      <c r="H32" s="66">
        <f>F32*G32</f>
        <v>8400</v>
      </c>
      <c r="I32" s="38"/>
      <c r="J32" s="38"/>
    </row>
    <row r="33" spans="1:8" ht="19.5" customHeight="1" x14ac:dyDescent="0.25">
      <c r="B33" s="69"/>
      <c r="C33" s="70"/>
      <c r="D33" s="70"/>
      <c r="E33" s="70"/>
      <c r="F33" s="71"/>
      <c r="G33" s="70"/>
      <c r="H33" s="39"/>
    </row>
    <row r="34" spans="1:8" ht="19.5" customHeight="1" x14ac:dyDescent="0.25">
      <c r="B34" s="69"/>
      <c r="C34" s="70"/>
      <c r="D34" s="70"/>
      <c r="E34" s="70"/>
      <c r="F34" s="71"/>
      <c r="G34" s="70"/>
      <c r="H34" s="39"/>
    </row>
    <row r="35" spans="1:8" ht="19.5" customHeight="1" x14ac:dyDescent="0.25">
      <c r="B35" s="69"/>
      <c r="C35" s="70"/>
      <c r="D35" s="70"/>
      <c r="E35" s="70"/>
      <c r="F35" s="71"/>
      <c r="G35" s="70"/>
      <c r="H35" s="39"/>
    </row>
    <row r="36" spans="1:8" ht="19.5" customHeight="1" x14ac:dyDescent="0.25">
      <c r="B36" s="69"/>
      <c r="C36" s="70"/>
      <c r="D36" s="70"/>
      <c r="E36" s="70"/>
      <c r="F36" s="71"/>
      <c r="G36" s="70"/>
      <c r="H36" s="39"/>
    </row>
    <row r="37" spans="1:8" ht="19.5" customHeight="1" thickBot="1" x14ac:dyDescent="0.3">
      <c r="H37" s="61"/>
    </row>
    <row r="38" spans="1:8" ht="19.5" customHeight="1" thickBot="1" x14ac:dyDescent="0.35">
      <c r="A38" s="67" t="s">
        <v>25</v>
      </c>
      <c r="B38" s="12" t="s">
        <v>62</v>
      </c>
      <c r="C38" s="13"/>
      <c r="D38" s="14"/>
      <c r="E38" s="13"/>
      <c r="F38" s="42" t="s">
        <v>31</v>
      </c>
      <c r="G38" s="13"/>
      <c r="H38" s="7"/>
    </row>
    <row r="39" spans="1:8" ht="19.5" customHeight="1" thickBot="1" x14ac:dyDescent="0.3">
      <c r="A39" s="68"/>
      <c r="B39" s="17" t="s">
        <v>63</v>
      </c>
      <c r="C39" s="4"/>
      <c r="D39" s="4"/>
      <c r="E39" s="43" t="s">
        <v>26</v>
      </c>
      <c r="F39" s="44"/>
      <c r="G39" s="26"/>
      <c r="H39" s="52">
        <f>SUM(H16:H32)</f>
        <v>4022220</v>
      </c>
    </row>
    <row r="40" spans="1:8" ht="19.5" customHeight="1" x14ac:dyDescent="0.25">
      <c r="A40" s="27" t="s">
        <v>27</v>
      </c>
      <c r="B40" s="13"/>
      <c r="C40" s="13"/>
      <c r="D40" s="14"/>
      <c r="E40" s="3" t="s">
        <v>33</v>
      </c>
      <c r="F40" s="64"/>
      <c r="G40" s="46">
        <v>0.19</v>
      </c>
      <c r="H40" s="53">
        <f>H39*G40</f>
        <v>764221.8</v>
      </c>
    </row>
    <row r="41" spans="1:8" ht="15.75" x14ac:dyDescent="0.25">
      <c r="A41" s="15" t="s">
        <v>42</v>
      </c>
      <c r="D41" s="16"/>
      <c r="E41" s="44" t="s">
        <v>28</v>
      </c>
      <c r="G41" s="65">
        <v>2.5000000000000001E-2</v>
      </c>
      <c r="H41" s="47">
        <f>H39*G41</f>
        <v>100555.5</v>
      </c>
    </row>
    <row r="42" spans="1:8" ht="15.75" x14ac:dyDescent="0.25">
      <c r="A42" s="15" t="s">
        <v>64</v>
      </c>
      <c r="D42" s="16"/>
      <c r="F42" s="44"/>
      <c r="G42" s="26"/>
      <c r="H42" s="48"/>
    </row>
    <row r="43" spans="1:8" ht="16.5" thickBot="1" x14ac:dyDescent="0.3">
      <c r="A43" s="15" t="s">
        <v>35</v>
      </c>
      <c r="D43" s="16"/>
      <c r="E43" s="44" t="s">
        <v>29</v>
      </c>
      <c r="F43" s="44"/>
      <c r="G43" s="26"/>
      <c r="H43" s="49"/>
    </row>
    <row r="44" spans="1:8" ht="16.5" customHeight="1" thickBot="1" x14ac:dyDescent="0.35">
      <c r="A44" s="17"/>
      <c r="B44" s="4"/>
      <c r="C44" s="4"/>
      <c r="D44" s="18"/>
      <c r="F44" s="3"/>
      <c r="G44" s="45" t="s">
        <v>30</v>
      </c>
      <c r="H44" s="54">
        <f>H39+H40</f>
        <v>4786441.8</v>
      </c>
    </row>
    <row r="46" spans="1:8" x14ac:dyDescent="0.25">
      <c r="A46" t="s">
        <v>1</v>
      </c>
    </row>
    <row r="48" spans="1:8" ht="15.75" thickBot="1" x14ac:dyDescent="0.3"/>
    <row r="49" spans="1:8" ht="19.5" thickBot="1" x14ac:dyDescent="0.35">
      <c r="A49" s="28" t="s">
        <v>41</v>
      </c>
      <c r="B49" s="6"/>
      <c r="C49" s="6"/>
      <c r="D49" s="6"/>
      <c r="E49" s="6"/>
      <c r="F49" s="6"/>
      <c r="G49" s="6"/>
      <c r="H49" s="7"/>
    </row>
    <row r="58" spans="1:8" ht="18.75" x14ac:dyDescent="0.3">
      <c r="A58" s="5"/>
    </row>
  </sheetData>
  <mergeCells count="1">
    <mergeCell ref="A38:A39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SOLANILLAS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2024-07-19T18:09:11Z</cp:lastPrinted>
  <dcterms:created xsi:type="dcterms:W3CDTF">2018-11-15T17:29:02Z</dcterms:created>
  <dcterms:modified xsi:type="dcterms:W3CDTF">2024-08-22T21:19:56Z</dcterms:modified>
</cp:coreProperties>
</file>