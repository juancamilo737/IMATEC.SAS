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95C8970-18C1-4034-8397-2C1EC0A8A6E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TERCO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<sst xmlns="http://schemas.openxmlformats.org/spreadsheetml/2006/main" count="53" uniqueCount="53">
  <si>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</si>
  <si>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</si>
  <si>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</si>
  <si>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</si>
  <si>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</si>
  <si>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</si>
  <si>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</si>
  <si>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</si>
  <si>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</si>
  <si>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</si>
  <si>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</si>
  <si>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</si>
  <si>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</si>
  <si>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</si>
  <si>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</si>
  <si>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</si>
  <si>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</si>
  <si>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</si>
  <si>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</si>
  <si>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</si>
  <si>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</si>
  <si>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</si>
  <si>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</si>
  <si>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</si>
  <si>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</si>
  <si>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</si>
  <si>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</si>
  <si>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</si>
  <si>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</si>
  <si>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</si>
  <si>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</si>
  <si>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</si>
  <si>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</si>
  <si>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</si>
  <si>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</si>
  <si>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</si>
  <si>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</si>
  <si>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</si>
  <si>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  17F - 56                           B/  LA FLORESTA             -   CALI    -                                       CEL.     321 7834969</t>
  </si>
  <si>
    <t>901 156767</t>
  </si>
  <si>
    <t>CRA 29 B  No. 11A-50</t>
  </si>
  <si>
    <t>YUMBO</t>
  </si>
  <si>
    <t>notificacionesEPC@intercol.com.co</t>
  </si>
  <si>
    <t>318 3308705</t>
  </si>
  <si>
    <t>LUIS A. BENAVIDES</t>
  </si>
  <si>
    <t>INTERCOL  S.A.S.</t>
  </si>
  <si>
    <t>No.  4</t>
  </si>
  <si>
    <t>TUBERIA AC/INOX 304  SCH 40  3 "  X  60 CMTS</t>
  </si>
  <si>
    <t>TRAMO</t>
  </si>
  <si>
    <t>CIENTO OCHENTA Y CINCO MIL SEISCIENTOS CUARENTA</t>
  </si>
  <si>
    <t>PESOS MDA / CTE</t>
  </si>
  <si>
    <t>ENTREGA INMEDIATA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</si>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</sst>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0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42" fontId="11" fillId="0" borderId="31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otificacionesEPC@intercol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5" zoomScaleNormal="100" workbookViewId="0">
      <selection activeCell="J17" sqref="J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2"/>
      <c r="H6" s="43"/>
    </row>
    <row r="7" spans="1:8" ht="19.5" thickBot="1" x14ac:dyDescent="0.35">
      <c r="A7" s="20" t="s">
        <v>14</v>
      </c>
      <c r="B7" s="12"/>
      <c r="C7" s="59" t="s">
        <v>45</v>
      </c>
      <c r="D7" s="12"/>
      <c r="E7" s="13"/>
      <c r="F7" s="37"/>
      <c r="G7" s="18"/>
      <c r="H7" s="19" t="s">
        <v>46</v>
      </c>
    </row>
    <row r="8" spans="1:8" ht="18.75" x14ac:dyDescent="0.3">
      <c r="A8" s="21" t="s">
        <v>8</v>
      </c>
      <c r="C8" s="65" t="s">
        <v>39</v>
      </c>
      <c r="D8" s="66"/>
      <c r="E8" s="44"/>
      <c r="H8" s="15"/>
    </row>
    <row r="9" spans="1:8" ht="18.75" customHeight="1" x14ac:dyDescent="0.3">
      <c r="A9" s="21" t="s">
        <v>9</v>
      </c>
      <c r="C9" s="67" t="s">
        <v>40</v>
      </c>
      <c r="D9" s="23"/>
      <c r="E9" s="68" t="s">
        <v>41</v>
      </c>
      <c r="F9" s="30" t="s">
        <v>0</v>
      </c>
      <c r="H9" s="28">
        <v>45874</v>
      </c>
    </row>
    <row r="10" spans="1:8" ht="18.75" x14ac:dyDescent="0.3">
      <c r="A10" s="21" t="s">
        <v>13</v>
      </c>
      <c r="C10" s="69" t="s">
        <v>42</v>
      </c>
      <c r="D10" s="64"/>
      <c r="E10" s="45"/>
      <c r="F10" s="30" t="s">
        <v>15</v>
      </c>
      <c r="H10" s="29"/>
    </row>
    <row r="11" spans="1:8" ht="18.75" x14ac:dyDescent="0.3">
      <c r="A11" s="21" t="s">
        <v>10</v>
      </c>
      <c r="C11" s="70"/>
      <c r="D11" s="64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70" t="s">
        <v>43</v>
      </c>
      <c r="D12" s="64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1" t="s">
        <v>44</v>
      </c>
      <c r="D13" s="72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8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3">
        <v>1</v>
      </c>
      <c r="B16" s="74" t="s">
        <v>47</v>
      </c>
      <c r="C16" s="75"/>
      <c r="D16" s="76"/>
      <c r="E16" s="73" t="s">
        <v>48</v>
      </c>
      <c r="F16" s="77">
        <v>156000</v>
      </c>
      <c r="G16" s="73">
        <v>1</v>
      </c>
      <c r="H16" s="38">
        <f t="shared" ref="H16" si="0">G16*F16</f>
        <v>156000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49</v>
      </c>
      <c r="C18" s="12"/>
      <c r="D18" s="13"/>
      <c r="E18" s="48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17"/>
      <c r="E19" s="51" t="s">
        <v>24</v>
      </c>
      <c r="F19" s="52"/>
      <c r="G19" s="44"/>
      <c r="H19" s="49">
        <f>SUM(H16:H16)</f>
        <v>156000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29640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51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185640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82B41451-DB65-40F2-AC5F-99D96BD181E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INTERCOL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2025-08-05T17:03:24Z</dcterms:modified>
</cp:coreProperties>
</file>