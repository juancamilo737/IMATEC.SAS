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01E6374-5033-44DB-9AC3-07D100E5BD7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B HIDROSANIA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3" i="1"/>
  <c r="H20" i="1"/>
  <c r="H19" i="1"/>
  <c r="H18" i="1"/>
  <c r="H17" i="1"/>
  <c r="H16" i="1"/>
  <c r="H24" i="1" l="1"/>
  <c r="H28" i="1" s="1"/>
</calcChain>
</file>

<file path=xl/sharedStrings.xml><?xml version="1.0" encoding="utf-8"?>
<sst xmlns="http://schemas.openxmlformats.org/spreadsheetml/2006/main" count="63" uniqueCount="60">
  <si>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</si>
  <si>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</si>
  <si>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</si>
  <si>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</si>
  <si>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</si>
  <si>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</si>
  <si>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</si>
  <si>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</si>
  <si>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</si>
  <si>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</si>
  <si>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</si>
  <si>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</si>
  <si>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</si>
  <si>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</si>
  <si>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</si>
  <si>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</si>
  <si>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</si>
  <si>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</si>
  <si>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</si>
  <si>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</si>
  <si>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</si>
  <si>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</si>
  <si>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</si>
  <si>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</si>
  <si>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</si>
  <si>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</si>
  <si>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</si>
  <si>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</si>
  <si>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</si>
  <si>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</si>
  <si>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</si>
  <si>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</si>
  <si>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</si>
  <si>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</si>
  <si>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</si>
  <si>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</si>
  <si>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</si>
  <si>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UB HIDROSANITARIO S.A.S.</t>
  </si>
  <si>
    <t>900 638632</t>
  </si>
  <si>
    <t>CRA 12  No. 3S-18</t>
  </si>
  <si>
    <t>JAMUNDI</t>
  </si>
  <si>
    <t>hidrosanitariossas@outlook.com</t>
  </si>
  <si>
    <t>318 4294271</t>
  </si>
  <si>
    <t>LUIS A. BENAVIDES</t>
  </si>
  <si>
    <t xml:space="preserve"> </t>
  </si>
  <si>
    <t>FORMA DE PAGO : CREDITO 15 DIAS</t>
  </si>
  <si>
    <t>ENTREGA INMEDIATA</t>
  </si>
  <si>
    <t xml:space="preserve">  CALLE  33A  No. 17F - 56                          B/  LA FLORESTA             -   CALI    -                                   CEL.     321 7834969</t>
  </si>
  <si>
    <t>L I Q U I D A C I O N</t>
  </si>
  <si>
    <t xml:space="preserve">              R E M I S I O N</t>
  </si>
  <si>
    <t>15 DIAS</t>
  </si>
  <si>
    <t>No. 14</t>
  </si>
  <si>
    <t>JUNTA ANTI VIBRATORIA AC/INOX BRIDADA 4 "</t>
  </si>
  <si>
    <t>FABRICACION</t>
  </si>
  <si>
    <t>BRIDA PVC  SCH 80  GIRATORIA  4 "</t>
  </si>
  <si>
    <t>CAUCHO PARA BRIDA  4 "</t>
  </si>
  <si>
    <t>BRIDA  HD RANURADA  4 "</t>
  </si>
  <si>
    <t>TORNILLO  ACERO GRADO 5  5/8 " X  3 1/2 " COMP</t>
  </si>
  <si>
    <t>UN MILLON DOSCIENTOS CUARENTA Y CINCO MIL SEIS-</t>
  </si>
  <si>
    <t>CIENTOS DIECIOCHO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</si>
</sst>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sanitariossa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"/>
  <sheetViews>
    <sheetView tabSelected="1" topLeftCell="A13" zoomScaleNormal="100" workbookViewId="0">
      <selection activeCell="J32" sqref="J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61" t="s">
        <v>37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3" t="s">
        <v>38</v>
      </c>
      <c r="D8" s="64"/>
      <c r="E8" s="44"/>
      <c r="H8" s="15" t="s">
        <v>44</v>
      </c>
    </row>
    <row r="9" spans="1:8" ht="18.75" customHeight="1" x14ac:dyDescent="0.3">
      <c r="A9" s="21" t="s">
        <v>9</v>
      </c>
      <c r="C9" s="65" t="s">
        <v>39</v>
      </c>
      <c r="D9" s="23"/>
      <c r="E9" s="66" t="s">
        <v>40</v>
      </c>
      <c r="F9" s="30" t="s">
        <v>0</v>
      </c>
      <c r="H9" s="28">
        <v>45832</v>
      </c>
    </row>
    <row r="10" spans="1:8" ht="18.75" x14ac:dyDescent="0.3">
      <c r="A10" s="21" t="s">
        <v>13</v>
      </c>
      <c r="C10" s="67" t="s">
        <v>41</v>
      </c>
      <c r="D10" s="62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8"/>
      <c r="D11" s="62"/>
      <c r="E11" s="45"/>
      <c r="F11" s="30" t="s">
        <v>16</v>
      </c>
      <c r="G11" s="30"/>
      <c r="H11" s="28">
        <v>45847</v>
      </c>
    </row>
    <row r="12" spans="1:8" ht="18.75" x14ac:dyDescent="0.3">
      <c r="A12" s="21" t="s">
        <v>11</v>
      </c>
      <c r="C12" s="68" t="s">
        <v>42</v>
      </c>
      <c r="D12" s="62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43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52</v>
      </c>
      <c r="C16" s="73"/>
      <c r="D16" s="74"/>
      <c r="E16" s="71" t="s">
        <v>53</v>
      </c>
      <c r="F16" s="75">
        <v>750000</v>
      </c>
      <c r="G16" s="71">
        <v>1</v>
      </c>
      <c r="H16" s="38">
        <f t="shared" ref="H16" si="0">G16*F16</f>
        <v>750000</v>
      </c>
    </row>
    <row r="17" spans="1:8" ht="16.5" thickBot="1" x14ac:dyDescent="0.3">
      <c r="A17" s="71">
        <v>2</v>
      </c>
      <c r="B17" s="72" t="s">
        <v>54</v>
      </c>
      <c r="C17" s="73"/>
      <c r="D17" s="74"/>
      <c r="E17" s="71" t="s">
        <v>36</v>
      </c>
      <c r="F17" s="75">
        <v>70000</v>
      </c>
      <c r="G17" s="71">
        <v>2</v>
      </c>
      <c r="H17" s="38">
        <f t="shared" ref="H17:H20" si="1">G17*F17</f>
        <v>140000</v>
      </c>
    </row>
    <row r="18" spans="1:8" ht="16.5" thickBot="1" x14ac:dyDescent="0.3">
      <c r="A18" s="71">
        <v>3</v>
      </c>
      <c r="B18" s="72" t="s">
        <v>55</v>
      </c>
      <c r="C18" s="73"/>
      <c r="D18" s="74"/>
      <c r="E18" s="71" t="s">
        <v>36</v>
      </c>
      <c r="F18" s="75">
        <v>20000</v>
      </c>
      <c r="G18" s="71">
        <v>2</v>
      </c>
      <c r="H18" s="38">
        <f t="shared" si="1"/>
        <v>40000</v>
      </c>
    </row>
    <row r="19" spans="1:8" ht="16.5" thickBot="1" x14ac:dyDescent="0.3">
      <c r="A19" s="71">
        <v>4</v>
      </c>
      <c r="B19" s="72" t="s">
        <v>56</v>
      </c>
      <c r="C19" s="73"/>
      <c r="D19" s="74"/>
      <c r="E19" s="71" t="s">
        <v>36</v>
      </c>
      <c r="F19" s="75">
        <v>60000</v>
      </c>
      <c r="G19" s="71">
        <v>1</v>
      </c>
      <c r="H19" s="38">
        <f t="shared" si="1"/>
        <v>60000</v>
      </c>
    </row>
    <row r="20" spans="1:8" ht="16.5" thickBot="1" x14ac:dyDescent="0.3">
      <c r="A20" s="71">
        <v>5</v>
      </c>
      <c r="B20" s="72" t="s">
        <v>57</v>
      </c>
      <c r="C20" s="73"/>
      <c r="D20" s="74"/>
      <c r="E20" s="71" t="s">
        <v>36</v>
      </c>
      <c r="F20" s="75">
        <v>3300</v>
      </c>
      <c r="G20" s="71">
        <v>24</v>
      </c>
      <c r="H20" s="38">
        <f t="shared" si="1"/>
        <v>79200</v>
      </c>
    </row>
    <row r="21" spans="1:8" ht="19.5" customHeight="1" thickBot="1" x14ac:dyDescent="0.3">
      <c r="A21" s="76"/>
      <c r="B21" s="77"/>
      <c r="C21" s="70"/>
      <c r="D21" s="78"/>
      <c r="E21" s="49"/>
      <c r="F21" s="49"/>
      <c r="G21" s="49"/>
    </row>
    <row r="22" spans="1:8" ht="19.5" customHeight="1" thickBot="1" x14ac:dyDescent="0.35">
      <c r="A22" s="48" t="s">
        <v>23</v>
      </c>
      <c r="B22" s="14" t="s">
        <v>58</v>
      </c>
      <c r="D22" s="15"/>
      <c r="E22" s="50"/>
      <c r="F22" s="37" t="s">
        <v>48</v>
      </c>
      <c r="G22" s="6"/>
      <c r="H22" s="7"/>
    </row>
    <row r="23" spans="1:8" ht="19.5" customHeight="1" thickBot="1" x14ac:dyDescent="0.3">
      <c r="A23" s="39"/>
      <c r="B23" s="16" t="s">
        <v>59</v>
      </c>
      <c r="C23" s="4"/>
      <c r="D23" s="4"/>
      <c r="E23" s="53" t="s">
        <v>24</v>
      </c>
      <c r="F23" s="54"/>
      <c r="G23" s="44"/>
      <c r="H23" s="51">
        <f>SUM(H16:H20)</f>
        <v>1069200</v>
      </c>
    </row>
    <row r="24" spans="1:8" ht="19.5" customHeight="1" x14ac:dyDescent="0.25">
      <c r="A24" s="24" t="s">
        <v>25</v>
      </c>
      <c r="B24" s="12"/>
      <c r="C24" s="12"/>
      <c r="D24" s="12"/>
      <c r="E24" s="55" t="s">
        <v>29</v>
      </c>
      <c r="F24" s="23"/>
      <c r="G24" s="56">
        <v>0.19</v>
      </c>
      <c r="H24" s="40">
        <f>H23*G24</f>
        <v>203148</v>
      </c>
    </row>
    <row r="25" spans="1:8" ht="19.5" customHeight="1" x14ac:dyDescent="0.25">
      <c r="A25" s="14" t="s">
        <v>45</v>
      </c>
      <c r="E25" s="57" t="s">
        <v>26</v>
      </c>
      <c r="G25" s="60">
        <v>2.5000000000000001E-2</v>
      </c>
      <c r="H25" s="52">
        <f>H23*G25</f>
        <v>26730</v>
      </c>
    </row>
    <row r="26" spans="1:8" ht="15.75" x14ac:dyDescent="0.25">
      <c r="A26" s="14" t="s">
        <v>46</v>
      </c>
      <c r="E26" s="14"/>
      <c r="F26" s="33"/>
      <c r="G26" s="45"/>
      <c r="H26" s="15"/>
    </row>
    <row r="27" spans="1:8" ht="16.5" thickBot="1" x14ac:dyDescent="0.3">
      <c r="A27" s="14" t="s">
        <v>31</v>
      </c>
      <c r="E27" s="58" t="s">
        <v>27</v>
      </c>
      <c r="F27" s="59"/>
      <c r="G27" s="46"/>
      <c r="H27" s="17"/>
    </row>
    <row r="28" spans="1:8" ht="19.5" thickBot="1" x14ac:dyDescent="0.35">
      <c r="A28" s="16"/>
      <c r="B28" s="4"/>
      <c r="C28" s="4"/>
      <c r="D28" s="17"/>
      <c r="F28" s="3"/>
      <c r="G28" s="34" t="s">
        <v>28</v>
      </c>
      <c r="H28" s="36">
        <f>H23+H24-H25</f>
        <v>1245618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47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hyperlinks>
    <hyperlink ref="C10" r:id="rId1" xr:uid="{B078E709-34D5-4DD9-8EE3-544C5E414A8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 HIDROSANIATARIO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2025-05-05T20:53:36Z</cp:lastPrinted>
  <dcterms:created xsi:type="dcterms:W3CDTF">2018-11-15T17:29:02Z</dcterms:created>
  <dcterms:modified xsi:type="dcterms:W3CDTF">2025-06-24T17:57:46Z</dcterms:modified>
</cp:coreProperties>
</file>