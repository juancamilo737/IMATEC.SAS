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B56E41A-F31A-4420-B243-E585C3505961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ZAEL RANGE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5" i="1" l="1"/>
  <c r="H72" i="1"/>
  <c r="H70" i="1"/>
  <c r="H56" i="1"/>
  <c r="H67" i="1"/>
  <c r="H66" i="1"/>
  <c r="H65" i="1"/>
  <c r="H64" i="1"/>
  <c r="H63" i="1"/>
  <c r="H62" i="1"/>
  <c r="H61" i="1"/>
  <c r="H60" i="1"/>
  <c r="H59" i="1"/>
  <c r="H58" i="1"/>
  <c r="H57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71" i="1" l="1"/>
</calcChain>
</file>

<file path=xl/sharedStrings.xml><?xml version="1.0" encoding="utf-8"?>
<sst xmlns="http://schemas.openxmlformats.org/spreadsheetml/2006/main" count="185" uniqueCount="98">
  <si>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</si>
  <si>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</si>
  <si>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</si>
  <si>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</si>
  <si>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</si>
  <si>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</si>
  <si>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</si>
  <si>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</si>
  <si>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</si>
  <si>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</si>
  <si>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</si>
  <si>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</si>
  <si>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</si>
  <si>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</si>
  <si>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</si>
  <si>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</si>
  <si>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</si>
  <si>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</si>
  <si>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</si>
  <si>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</si>
  <si>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</si>
  <si>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</si>
  <si>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</si>
  <si>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</si>
  <si>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</si>
  <si>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</si>
  <si>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</si>
  <si>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</si>
  <si>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</si>
  <si>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</si>
  <si>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</si>
  <si>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</si>
  <si>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</si>
  <si>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</si>
  <si>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</si>
  <si>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</si>
  <si>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</si>
  <si>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</si>
  <si>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</si>
  <si>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</si>
  <si>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</si>
  <si>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AZAEL AUGUSTO RANGEL PEREA</t>
  </si>
  <si>
    <t>No.  1</t>
  </si>
  <si>
    <t>94 274084</t>
  </si>
  <si>
    <t>CALLE 24 W   No. 1  -  15</t>
  </si>
  <si>
    <t>YUMBO</t>
  </si>
  <si>
    <t>azaelran@gmail.com</t>
  </si>
  <si>
    <t>322 6139340</t>
  </si>
  <si>
    <t>EDINSON CABEZAS</t>
  </si>
  <si>
    <t>TUBERIA A / C  RANURADA AST-795  SCH 10  4 "</t>
  </si>
  <si>
    <t>METRO LINEAL</t>
  </si>
  <si>
    <t>TUBERIA A / C  RANURADA AST-795  SCH 10  3 "</t>
  </si>
  <si>
    <t>TUBERIA A / C  RANURADA AST-795  SCH 10  2 1/2 "</t>
  </si>
  <si>
    <t>TUBERIA A / C  RANURADA AST-795  SCH 10  2  "</t>
  </si>
  <si>
    <t>TUBERIA A / C  RANURADA AST-795  SCH 10  1 1/4 "</t>
  </si>
  <si>
    <t>CODO  A / C  RANURADO  90 º</t>
  </si>
  <si>
    <t>4 "</t>
  </si>
  <si>
    <t>3 "</t>
  </si>
  <si>
    <t>2 "</t>
  </si>
  <si>
    <t xml:space="preserve">2 1/2 " </t>
  </si>
  <si>
    <t>1 1/4 "</t>
  </si>
  <si>
    <t xml:space="preserve">TEE  A / C  RANURADA </t>
  </si>
  <si>
    <t>TAPON A / C RANURADO</t>
  </si>
  <si>
    <t>REDUCCION COPA RANURADA</t>
  </si>
  <si>
    <t>4 "  X  3 "</t>
  </si>
  <si>
    <t>4 "  X  2 "</t>
  </si>
  <si>
    <t>3 "  X  2 "</t>
  </si>
  <si>
    <t>TEE A / C MECANICA RANURADA</t>
  </si>
  <si>
    <t>4 "  X  1 1/2 "</t>
  </si>
  <si>
    <t>2 "  X  1 1/4 "</t>
  </si>
  <si>
    <t>2 1/2 X 1 1/2 "</t>
  </si>
  <si>
    <t>UNION HD FLEXIBLE RANURADA</t>
  </si>
  <si>
    <t>2 1/2 "</t>
  </si>
  <si>
    <t>1 1/2 "</t>
  </si>
  <si>
    <t>VALVULA MARIPOSA HD RAN UL/FM 2 " X 300 LBS</t>
  </si>
  <si>
    <t>CHEQUE RANURADO UL/FM 2 "  X  300 LBS</t>
  </si>
  <si>
    <t>SENSOR DE FLUJO PALETA UL/FM 2 "  X  300 LBS</t>
  </si>
  <si>
    <t>VALVULA PRUEBA Y DRENAJE UL/FM 2 "</t>
  </si>
  <si>
    <t>VALVULA PRUEBA Y DRENAJE UL/FM 1 1/4  "</t>
  </si>
  <si>
    <t>MANOMETROS AC/INOX 2 1/2 " 0-300 PSI GLICERINA</t>
  </si>
  <si>
    <t>TUBERIA PVC PRESION 1 1/4 " X 6 MTS</t>
  </si>
  <si>
    <t>TUBO</t>
  </si>
  <si>
    <t>SOPORTE TRANSVERSAL ANTISISMICA 4 "</t>
  </si>
  <si>
    <t>SOPORTE TRANSVERSAL ANTISISMICA 2 "</t>
  </si>
  <si>
    <t>SOPORTE LONGITUDINAL ANTISISMICO 2 "</t>
  </si>
  <si>
    <t xml:space="preserve">SOPORTE TIPO PERA </t>
  </si>
  <si>
    <t>ABRAZADERA AJUSTABLE RIEL CHANNEL 4 "</t>
  </si>
  <si>
    <t>ABRAZADERA AJUSTABLE RIEL CHANNEL 3 "</t>
  </si>
  <si>
    <t>ABRAZADERA AJUSTABLE RIEL CHANNEL 2 1/2  "</t>
  </si>
  <si>
    <t>ROCIADORES PENDENTE 1/2 " RESP. RAP. K 5.6</t>
  </si>
  <si>
    <t>ROCIADORES UP RIGHT CROMADO 1/2 "</t>
  </si>
  <si>
    <t>NIPLE  A / C  SCH 40 1/2 "  X  7  CMTS</t>
  </si>
  <si>
    <t>UNION GALVANIZADA  1/2 "</t>
  </si>
  <si>
    <t>ESCUDO DOBLE CROMADA 1/2 "</t>
  </si>
  <si>
    <t>SETENTA MILLONES SETECIENTOS CUARENTA Y DOS MIL</t>
  </si>
  <si>
    <t>CINCUENTA Y SEIS PESOS MDA / CTE</t>
  </si>
  <si>
    <t>ENTREGA CINCO DIAS A PARTIR DE ORDEN DE COMPRA</t>
  </si>
  <si>
    <t>FORMA DE PAGO : ANTICIPO 50 %  SALDO A CREDITO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</si>
</sst>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zaelr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90"/>
  <sheetViews>
    <sheetView tabSelected="1" topLeftCell="A52" zoomScaleNormal="100" workbookViewId="0">
      <selection activeCell="K57" sqref="K5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3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 t="s">
        <v>45</v>
      </c>
      <c r="F9" s="30" t="s">
        <v>0</v>
      </c>
      <c r="H9" s="28">
        <v>45804</v>
      </c>
    </row>
    <row r="10" spans="1:8" ht="18.75" x14ac:dyDescent="0.3">
      <c r="A10" s="21" t="s">
        <v>13</v>
      </c>
      <c r="C10" s="64" t="s">
        <v>46</v>
      </c>
      <c r="E10" s="15"/>
      <c r="F10" s="30" t="s">
        <v>15</v>
      </c>
      <c r="H10" s="29" t="s">
        <v>30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45813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49</v>
      </c>
      <c r="C16" s="67"/>
      <c r="D16" s="68"/>
      <c r="E16" s="65" t="s">
        <v>50</v>
      </c>
      <c r="F16" s="69">
        <v>69650</v>
      </c>
      <c r="G16" s="65">
        <v>149</v>
      </c>
      <c r="H16" s="38">
        <f t="shared" ref="H16" si="0">G16*F16</f>
        <v>10377850</v>
      </c>
    </row>
    <row r="17" spans="1:8" ht="16.5" thickBot="1" x14ac:dyDescent="0.3">
      <c r="A17" s="65">
        <v>2</v>
      </c>
      <c r="B17" s="66" t="s">
        <v>51</v>
      </c>
      <c r="C17" s="67"/>
      <c r="D17" s="68"/>
      <c r="E17" s="65" t="s">
        <v>50</v>
      </c>
      <c r="F17" s="69">
        <v>54200</v>
      </c>
      <c r="G17" s="65">
        <v>60</v>
      </c>
      <c r="H17" s="38">
        <f t="shared" ref="H17:H67" si="1">G17*F17</f>
        <v>3252000</v>
      </c>
    </row>
    <row r="18" spans="1:8" ht="16.5" thickBot="1" x14ac:dyDescent="0.3">
      <c r="A18" s="65">
        <v>3</v>
      </c>
      <c r="B18" s="66" t="s">
        <v>52</v>
      </c>
      <c r="C18" s="67"/>
      <c r="D18" s="68"/>
      <c r="E18" s="65" t="s">
        <v>50</v>
      </c>
      <c r="F18" s="69">
        <v>44350</v>
      </c>
      <c r="G18" s="65">
        <v>12</v>
      </c>
      <c r="H18" s="38">
        <f t="shared" si="1"/>
        <v>532200</v>
      </c>
    </row>
    <row r="19" spans="1:8" ht="16.5" thickBot="1" x14ac:dyDescent="0.3">
      <c r="A19" s="65">
        <v>4</v>
      </c>
      <c r="B19" s="66" t="s">
        <v>53</v>
      </c>
      <c r="C19" s="67"/>
      <c r="D19" s="68"/>
      <c r="E19" s="65" t="s">
        <v>50</v>
      </c>
      <c r="F19" s="69">
        <v>31320</v>
      </c>
      <c r="G19" s="65">
        <v>168</v>
      </c>
      <c r="H19" s="38">
        <f t="shared" si="1"/>
        <v>5261760</v>
      </c>
    </row>
    <row r="20" spans="1:8" ht="16.5" thickBot="1" x14ac:dyDescent="0.3">
      <c r="A20" s="65">
        <v>5</v>
      </c>
      <c r="B20" s="66" t="s">
        <v>54</v>
      </c>
      <c r="C20" s="67"/>
      <c r="D20" s="68"/>
      <c r="E20" s="65" t="s">
        <v>50</v>
      </c>
      <c r="F20" s="69">
        <v>23105</v>
      </c>
      <c r="G20" s="65">
        <v>620</v>
      </c>
      <c r="H20" s="38">
        <f t="shared" si="1"/>
        <v>14325100</v>
      </c>
    </row>
    <row r="21" spans="1:8" ht="16.5" thickBot="1" x14ac:dyDescent="0.3">
      <c r="A21" s="65">
        <v>6</v>
      </c>
      <c r="B21" s="66" t="s">
        <v>55</v>
      </c>
      <c r="C21" s="67"/>
      <c r="D21" s="68" t="s">
        <v>56</v>
      </c>
      <c r="E21" s="65" t="s">
        <v>38</v>
      </c>
      <c r="F21" s="69">
        <v>35300</v>
      </c>
      <c r="G21" s="65">
        <v>14</v>
      </c>
      <c r="H21" s="38">
        <f t="shared" si="1"/>
        <v>494200</v>
      </c>
    </row>
    <row r="22" spans="1:8" ht="16.5" thickBot="1" x14ac:dyDescent="0.3">
      <c r="A22" s="65">
        <v>7</v>
      </c>
      <c r="B22" s="66" t="s">
        <v>55</v>
      </c>
      <c r="C22" s="67"/>
      <c r="D22" s="68" t="s">
        <v>57</v>
      </c>
      <c r="E22" s="65" t="s">
        <v>38</v>
      </c>
      <c r="F22" s="69">
        <v>24150</v>
      </c>
      <c r="G22" s="65">
        <v>12</v>
      </c>
      <c r="H22" s="38">
        <f t="shared" si="1"/>
        <v>289800</v>
      </c>
    </row>
    <row r="23" spans="1:8" ht="16.5" thickBot="1" x14ac:dyDescent="0.3">
      <c r="A23" s="65">
        <v>8</v>
      </c>
      <c r="B23" s="66" t="s">
        <v>55</v>
      </c>
      <c r="C23" s="67"/>
      <c r="D23" s="68" t="s">
        <v>58</v>
      </c>
      <c r="E23" s="65" t="s">
        <v>38</v>
      </c>
      <c r="F23" s="69">
        <v>13800</v>
      </c>
      <c r="G23" s="65">
        <v>10</v>
      </c>
      <c r="H23" s="38">
        <f t="shared" si="1"/>
        <v>138000</v>
      </c>
    </row>
    <row r="24" spans="1:8" ht="16.5" thickBot="1" x14ac:dyDescent="0.3">
      <c r="A24" s="65">
        <v>9</v>
      </c>
      <c r="B24" s="66" t="s">
        <v>55</v>
      </c>
      <c r="C24" s="67"/>
      <c r="D24" s="68" t="s">
        <v>59</v>
      </c>
      <c r="E24" s="65" t="s">
        <v>38</v>
      </c>
      <c r="F24" s="69">
        <v>20700</v>
      </c>
      <c r="G24" s="65">
        <v>5</v>
      </c>
      <c r="H24" s="38">
        <f t="shared" si="1"/>
        <v>103500</v>
      </c>
    </row>
    <row r="25" spans="1:8" ht="16.5" thickBot="1" x14ac:dyDescent="0.3">
      <c r="A25" s="65">
        <v>10</v>
      </c>
      <c r="B25" s="66" t="s">
        <v>55</v>
      </c>
      <c r="C25" s="67"/>
      <c r="D25" s="68" t="s">
        <v>60</v>
      </c>
      <c r="E25" s="65" t="s">
        <v>38</v>
      </c>
      <c r="F25" s="69">
        <v>7450</v>
      </c>
      <c r="G25" s="65">
        <v>7</v>
      </c>
      <c r="H25" s="38">
        <f t="shared" si="1"/>
        <v>52150</v>
      </c>
    </row>
    <row r="26" spans="1:8" ht="16.5" thickBot="1" x14ac:dyDescent="0.3">
      <c r="A26" s="65">
        <v>11</v>
      </c>
      <c r="B26" s="66" t="s">
        <v>61</v>
      </c>
      <c r="C26" s="67"/>
      <c r="D26" s="68" t="s">
        <v>56</v>
      </c>
      <c r="E26" s="65" t="s">
        <v>38</v>
      </c>
      <c r="F26" s="69">
        <v>60150</v>
      </c>
      <c r="G26" s="65">
        <v>9</v>
      </c>
      <c r="H26" s="38">
        <f t="shared" si="1"/>
        <v>541350</v>
      </c>
    </row>
    <row r="27" spans="1:8" ht="16.5" thickBot="1" x14ac:dyDescent="0.3">
      <c r="A27" s="65">
        <v>12</v>
      </c>
      <c r="B27" s="66" t="s">
        <v>61</v>
      </c>
      <c r="C27" s="67"/>
      <c r="D27" s="68" t="s">
        <v>57</v>
      </c>
      <c r="E27" s="65" t="s">
        <v>38</v>
      </c>
      <c r="F27" s="69">
        <v>51600</v>
      </c>
      <c r="G27" s="65">
        <v>3</v>
      </c>
      <c r="H27" s="38">
        <f t="shared" si="1"/>
        <v>154800</v>
      </c>
    </row>
    <row r="28" spans="1:8" ht="16.5" thickBot="1" x14ac:dyDescent="0.3">
      <c r="A28" s="65">
        <v>13</v>
      </c>
      <c r="B28" s="66" t="s">
        <v>61</v>
      </c>
      <c r="C28" s="67"/>
      <c r="D28" s="68" t="s">
        <v>58</v>
      </c>
      <c r="E28" s="65" t="s">
        <v>38</v>
      </c>
      <c r="F28" s="69">
        <v>20910</v>
      </c>
      <c r="G28" s="65">
        <v>4</v>
      </c>
      <c r="H28" s="38">
        <f t="shared" si="1"/>
        <v>83640</v>
      </c>
    </row>
    <row r="29" spans="1:8" ht="16.5" thickBot="1" x14ac:dyDescent="0.3">
      <c r="A29" s="65">
        <v>14</v>
      </c>
      <c r="B29" s="66" t="s">
        <v>61</v>
      </c>
      <c r="C29" s="67"/>
      <c r="D29" s="68" t="s">
        <v>60</v>
      </c>
      <c r="E29" s="65" t="s">
        <v>38</v>
      </c>
      <c r="F29" s="69">
        <v>12300</v>
      </c>
      <c r="G29" s="65">
        <v>5</v>
      </c>
      <c r="H29" s="38">
        <f t="shared" si="1"/>
        <v>61500</v>
      </c>
    </row>
    <row r="30" spans="1:8" ht="16.5" thickBot="1" x14ac:dyDescent="0.3">
      <c r="A30" s="65">
        <v>15</v>
      </c>
      <c r="B30" s="66" t="s">
        <v>62</v>
      </c>
      <c r="C30" s="67"/>
      <c r="D30" s="68" t="s">
        <v>56</v>
      </c>
      <c r="E30" s="65" t="s">
        <v>38</v>
      </c>
      <c r="F30" s="69">
        <v>15050</v>
      </c>
      <c r="G30" s="65">
        <v>6</v>
      </c>
      <c r="H30" s="38">
        <f t="shared" si="1"/>
        <v>90300</v>
      </c>
    </row>
    <row r="31" spans="1:8" ht="16.5" thickBot="1" x14ac:dyDescent="0.3">
      <c r="A31" s="65">
        <v>16</v>
      </c>
      <c r="B31" s="66" t="s">
        <v>62</v>
      </c>
      <c r="C31" s="67"/>
      <c r="D31" s="68" t="s">
        <v>57</v>
      </c>
      <c r="E31" s="65" t="s">
        <v>38</v>
      </c>
      <c r="F31" s="69">
        <v>10700</v>
      </c>
      <c r="G31" s="65">
        <v>1</v>
      </c>
      <c r="H31" s="38">
        <f t="shared" si="1"/>
        <v>10700</v>
      </c>
    </row>
    <row r="32" spans="1:8" ht="16.5" thickBot="1" x14ac:dyDescent="0.3">
      <c r="A32" s="65">
        <v>17</v>
      </c>
      <c r="B32" s="66" t="s">
        <v>62</v>
      </c>
      <c r="C32" s="67"/>
      <c r="D32" s="68" t="s">
        <v>58</v>
      </c>
      <c r="E32" s="65" t="s">
        <v>38</v>
      </c>
      <c r="F32" s="69">
        <v>4750</v>
      </c>
      <c r="G32" s="65">
        <v>8</v>
      </c>
      <c r="H32" s="38">
        <f t="shared" si="1"/>
        <v>38000</v>
      </c>
    </row>
    <row r="33" spans="1:8" ht="16.5" thickBot="1" x14ac:dyDescent="0.3">
      <c r="A33" s="65">
        <v>18</v>
      </c>
      <c r="B33" s="66" t="s">
        <v>62</v>
      </c>
      <c r="C33" s="67"/>
      <c r="D33" s="68" t="s">
        <v>60</v>
      </c>
      <c r="E33" s="65" t="s">
        <v>38</v>
      </c>
      <c r="F33" s="69">
        <v>1700</v>
      </c>
      <c r="G33" s="65">
        <v>82</v>
      </c>
      <c r="H33" s="38">
        <f t="shared" si="1"/>
        <v>139400</v>
      </c>
    </row>
    <row r="34" spans="1:8" ht="16.5" thickBot="1" x14ac:dyDescent="0.3">
      <c r="A34" s="65">
        <v>19</v>
      </c>
      <c r="B34" s="66" t="s">
        <v>63</v>
      </c>
      <c r="C34" s="67"/>
      <c r="D34" s="68" t="s">
        <v>64</v>
      </c>
      <c r="E34" s="65" t="s">
        <v>38</v>
      </c>
      <c r="F34" s="69">
        <v>19350</v>
      </c>
      <c r="G34" s="65">
        <v>3</v>
      </c>
      <c r="H34" s="38">
        <f t="shared" si="1"/>
        <v>58050</v>
      </c>
    </row>
    <row r="35" spans="1:8" ht="16.5" thickBot="1" x14ac:dyDescent="0.3">
      <c r="A35" s="65">
        <v>20</v>
      </c>
      <c r="B35" s="66" t="s">
        <v>63</v>
      </c>
      <c r="C35" s="67"/>
      <c r="D35" s="68" t="s">
        <v>65</v>
      </c>
      <c r="E35" s="65" t="s">
        <v>38</v>
      </c>
      <c r="F35" s="69">
        <v>19350</v>
      </c>
      <c r="G35" s="65">
        <v>3</v>
      </c>
      <c r="H35" s="38">
        <f t="shared" si="1"/>
        <v>58050</v>
      </c>
    </row>
    <row r="36" spans="1:8" ht="16.5" thickBot="1" x14ac:dyDescent="0.3">
      <c r="A36" s="65">
        <v>21</v>
      </c>
      <c r="B36" s="66" t="s">
        <v>63</v>
      </c>
      <c r="C36" s="67"/>
      <c r="D36" s="68" t="s">
        <v>66</v>
      </c>
      <c r="E36" s="65" t="s">
        <v>38</v>
      </c>
      <c r="F36" s="69">
        <v>13500</v>
      </c>
      <c r="G36" s="65">
        <v>3</v>
      </c>
      <c r="H36" s="38">
        <f t="shared" si="1"/>
        <v>40500</v>
      </c>
    </row>
    <row r="37" spans="1:8" ht="16.5" thickBot="1" x14ac:dyDescent="0.3">
      <c r="A37" s="65">
        <v>22</v>
      </c>
      <c r="B37" s="66" t="s">
        <v>67</v>
      </c>
      <c r="C37" s="67"/>
      <c r="D37" s="68" t="s">
        <v>68</v>
      </c>
      <c r="E37" s="65" t="s">
        <v>38</v>
      </c>
      <c r="F37" s="69">
        <v>37100</v>
      </c>
      <c r="G37" s="65">
        <v>4</v>
      </c>
      <c r="H37" s="38">
        <f t="shared" si="1"/>
        <v>148400</v>
      </c>
    </row>
    <row r="38" spans="1:8" ht="16.5" thickBot="1" x14ac:dyDescent="0.3">
      <c r="A38" s="65">
        <v>23</v>
      </c>
      <c r="B38" s="66" t="s">
        <v>67</v>
      </c>
      <c r="C38" s="67"/>
      <c r="D38" s="68" t="s">
        <v>69</v>
      </c>
      <c r="E38" s="65" t="s">
        <v>38</v>
      </c>
      <c r="F38" s="69">
        <v>15500</v>
      </c>
      <c r="G38" s="65">
        <v>77</v>
      </c>
      <c r="H38" s="38">
        <f t="shared" si="1"/>
        <v>1193500</v>
      </c>
    </row>
    <row r="39" spans="1:8" ht="16.5" thickBot="1" x14ac:dyDescent="0.3">
      <c r="A39" s="65">
        <v>24</v>
      </c>
      <c r="B39" s="66" t="s">
        <v>67</v>
      </c>
      <c r="C39" s="67"/>
      <c r="D39" s="68" t="s">
        <v>70</v>
      </c>
      <c r="E39" s="65" t="s">
        <v>38</v>
      </c>
      <c r="F39" s="69">
        <v>22400</v>
      </c>
      <c r="G39" s="65">
        <v>4</v>
      </c>
      <c r="H39" s="38">
        <f t="shared" si="1"/>
        <v>89600</v>
      </c>
    </row>
    <row r="40" spans="1:8" ht="16.5" thickBot="1" x14ac:dyDescent="0.3">
      <c r="A40" s="65">
        <v>25</v>
      </c>
      <c r="B40" s="66" t="s">
        <v>71</v>
      </c>
      <c r="C40" s="67"/>
      <c r="D40" s="68" t="s">
        <v>56</v>
      </c>
      <c r="E40" s="65" t="s">
        <v>38</v>
      </c>
      <c r="F40" s="69">
        <v>22400</v>
      </c>
      <c r="G40" s="65">
        <v>99</v>
      </c>
      <c r="H40" s="38">
        <f t="shared" si="1"/>
        <v>2217600</v>
      </c>
    </row>
    <row r="41" spans="1:8" ht="16.5" thickBot="1" x14ac:dyDescent="0.3">
      <c r="A41" s="65">
        <v>26</v>
      </c>
      <c r="B41" s="66" t="s">
        <v>71</v>
      </c>
      <c r="C41" s="67"/>
      <c r="D41" s="68" t="s">
        <v>57</v>
      </c>
      <c r="E41" s="65" t="s">
        <v>38</v>
      </c>
      <c r="F41" s="69">
        <v>20400</v>
      </c>
      <c r="G41" s="65">
        <v>53</v>
      </c>
      <c r="H41" s="38">
        <f t="shared" si="1"/>
        <v>1081200</v>
      </c>
    </row>
    <row r="42" spans="1:8" ht="16.5" thickBot="1" x14ac:dyDescent="0.3">
      <c r="A42" s="65">
        <v>27</v>
      </c>
      <c r="B42" s="66" t="s">
        <v>71</v>
      </c>
      <c r="C42" s="67"/>
      <c r="D42" s="68" t="s">
        <v>72</v>
      </c>
      <c r="E42" s="65" t="s">
        <v>38</v>
      </c>
      <c r="F42" s="69">
        <v>17700</v>
      </c>
      <c r="G42" s="65">
        <v>19</v>
      </c>
      <c r="H42" s="38">
        <f t="shared" si="1"/>
        <v>336300</v>
      </c>
    </row>
    <row r="43" spans="1:8" ht="16.5" thickBot="1" x14ac:dyDescent="0.3">
      <c r="A43" s="65">
        <v>28</v>
      </c>
      <c r="B43" s="66" t="s">
        <v>71</v>
      </c>
      <c r="C43" s="67"/>
      <c r="D43" s="68" t="s">
        <v>58</v>
      </c>
      <c r="E43" s="65" t="s">
        <v>38</v>
      </c>
      <c r="F43" s="69">
        <v>15850</v>
      </c>
      <c r="G43" s="65">
        <v>89</v>
      </c>
      <c r="H43" s="38">
        <f t="shared" si="1"/>
        <v>1410650</v>
      </c>
    </row>
    <row r="44" spans="1:8" ht="16.5" thickBot="1" x14ac:dyDescent="0.3">
      <c r="A44" s="65">
        <v>29</v>
      </c>
      <c r="B44" s="66" t="s">
        <v>71</v>
      </c>
      <c r="C44" s="67"/>
      <c r="D44" s="68" t="s">
        <v>60</v>
      </c>
      <c r="E44" s="65" t="s">
        <v>38</v>
      </c>
      <c r="F44" s="69">
        <v>11600</v>
      </c>
      <c r="G44" s="65">
        <v>297</v>
      </c>
      <c r="H44" s="38">
        <f t="shared" si="1"/>
        <v>3445200</v>
      </c>
    </row>
    <row r="45" spans="1:8" ht="16.5" thickBot="1" x14ac:dyDescent="0.3">
      <c r="A45" s="65">
        <v>30</v>
      </c>
      <c r="B45" s="66" t="s">
        <v>71</v>
      </c>
      <c r="C45" s="67"/>
      <c r="D45" s="68" t="s">
        <v>73</v>
      </c>
      <c r="E45" s="65" t="s">
        <v>38</v>
      </c>
      <c r="F45" s="69">
        <v>12650</v>
      </c>
      <c r="G45" s="65">
        <v>9</v>
      </c>
      <c r="H45" s="38">
        <f t="shared" si="1"/>
        <v>113850</v>
      </c>
    </row>
    <row r="46" spans="1:8" ht="16.5" thickBot="1" x14ac:dyDescent="0.3">
      <c r="A46" s="65">
        <v>31</v>
      </c>
      <c r="B46" s="66" t="s">
        <v>74</v>
      </c>
      <c r="C46" s="67"/>
      <c r="D46" s="68"/>
      <c r="E46" s="65" t="s">
        <v>38</v>
      </c>
      <c r="F46" s="69">
        <v>373500</v>
      </c>
      <c r="G46" s="65">
        <v>4</v>
      </c>
      <c r="H46" s="38">
        <f t="shared" si="1"/>
        <v>1494000</v>
      </c>
    </row>
    <row r="47" spans="1:8" ht="16.5" thickBot="1" x14ac:dyDescent="0.3">
      <c r="A47" s="65">
        <v>32</v>
      </c>
      <c r="B47" s="66" t="s">
        <v>75</v>
      </c>
      <c r="C47" s="67"/>
      <c r="D47" s="68"/>
      <c r="E47" s="65" t="s">
        <v>38</v>
      </c>
      <c r="F47" s="69">
        <v>228600</v>
      </c>
      <c r="G47" s="65">
        <v>4</v>
      </c>
      <c r="H47" s="38">
        <f t="shared" si="1"/>
        <v>914400</v>
      </c>
    </row>
    <row r="48" spans="1:8" ht="16.5" thickBot="1" x14ac:dyDescent="0.3">
      <c r="A48" s="65">
        <v>33</v>
      </c>
      <c r="B48" s="66" t="s">
        <v>76</v>
      </c>
      <c r="C48" s="67"/>
      <c r="D48" s="68"/>
      <c r="E48" s="65" t="s">
        <v>38</v>
      </c>
      <c r="F48" s="69">
        <v>361000</v>
      </c>
      <c r="G48" s="65">
        <v>4</v>
      </c>
      <c r="H48" s="38">
        <f t="shared" si="1"/>
        <v>1444000</v>
      </c>
    </row>
    <row r="49" spans="1:8" ht="16.5" thickBot="1" x14ac:dyDescent="0.3">
      <c r="A49" s="65">
        <v>34</v>
      </c>
      <c r="B49" s="66" t="s">
        <v>77</v>
      </c>
      <c r="C49" s="67"/>
      <c r="D49" s="68"/>
      <c r="E49" s="65" t="s">
        <v>38</v>
      </c>
      <c r="F49" s="69">
        <v>361000</v>
      </c>
      <c r="G49" s="65">
        <v>4</v>
      </c>
      <c r="H49" s="38">
        <f t="shared" si="1"/>
        <v>1444000</v>
      </c>
    </row>
    <row r="50" spans="1:8" ht="16.5" thickBot="1" x14ac:dyDescent="0.3">
      <c r="A50" s="65">
        <v>35</v>
      </c>
      <c r="B50" s="66" t="s">
        <v>78</v>
      </c>
      <c r="C50" s="67"/>
      <c r="D50" s="68"/>
      <c r="E50" s="65" t="s">
        <v>38</v>
      </c>
      <c r="F50" s="69">
        <v>175500</v>
      </c>
      <c r="G50" s="65">
        <v>4</v>
      </c>
      <c r="H50" s="38">
        <f t="shared" si="1"/>
        <v>702000</v>
      </c>
    </row>
    <row r="51" spans="1:8" ht="16.5" thickBot="1" x14ac:dyDescent="0.3">
      <c r="A51" s="65">
        <v>36</v>
      </c>
      <c r="B51" s="66" t="s">
        <v>79</v>
      </c>
      <c r="C51" s="67"/>
      <c r="D51" s="68"/>
      <c r="E51" s="65" t="s">
        <v>38</v>
      </c>
      <c r="F51" s="69">
        <v>45000</v>
      </c>
      <c r="G51" s="65">
        <v>4</v>
      </c>
      <c r="H51" s="38">
        <f t="shared" si="1"/>
        <v>180000</v>
      </c>
    </row>
    <row r="52" spans="1:8" ht="16.5" thickBot="1" x14ac:dyDescent="0.3">
      <c r="A52" s="65">
        <v>37</v>
      </c>
      <c r="B52" s="66" t="s">
        <v>80</v>
      </c>
      <c r="C52" s="67"/>
      <c r="D52" s="68"/>
      <c r="E52" s="65" t="s">
        <v>81</v>
      </c>
      <c r="F52" s="69">
        <v>36600</v>
      </c>
      <c r="G52" s="65">
        <v>3</v>
      </c>
      <c r="H52" s="38">
        <f t="shared" si="1"/>
        <v>109800</v>
      </c>
    </row>
    <row r="53" spans="1:8" ht="16.5" thickBot="1" x14ac:dyDescent="0.3">
      <c r="A53" s="65">
        <v>38</v>
      </c>
      <c r="B53" s="66" t="s">
        <v>82</v>
      </c>
      <c r="C53" s="67"/>
      <c r="D53" s="68"/>
      <c r="E53" s="65" t="s">
        <v>38</v>
      </c>
      <c r="F53" s="69">
        <v>66500</v>
      </c>
      <c r="G53" s="65">
        <v>7</v>
      </c>
      <c r="H53" s="38">
        <f t="shared" si="1"/>
        <v>465500</v>
      </c>
    </row>
    <row r="54" spans="1:8" ht="16.5" thickBot="1" x14ac:dyDescent="0.3">
      <c r="A54" s="65">
        <v>39</v>
      </c>
      <c r="B54" s="66" t="s">
        <v>83</v>
      </c>
      <c r="C54" s="67"/>
      <c r="D54" s="68"/>
      <c r="E54" s="65" t="s">
        <v>38</v>
      </c>
      <c r="F54" s="69">
        <v>47000</v>
      </c>
      <c r="G54" s="65">
        <v>13</v>
      </c>
      <c r="H54" s="38">
        <f t="shared" si="1"/>
        <v>611000</v>
      </c>
    </row>
    <row r="55" spans="1:8" ht="16.5" thickBot="1" x14ac:dyDescent="0.3">
      <c r="A55" s="65">
        <v>40</v>
      </c>
      <c r="B55" s="66" t="s">
        <v>84</v>
      </c>
      <c r="C55" s="67"/>
      <c r="D55" s="68"/>
      <c r="E55" s="65" t="s">
        <v>38</v>
      </c>
      <c r="F55" s="69">
        <v>63000</v>
      </c>
      <c r="G55" s="65">
        <v>9</v>
      </c>
      <c r="H55" s="38">
        <f t="shared" si="1"/>
        <v>567000</v>
      </c>
    </row>
    <row r="56" spans="1:8" ht="16.5" thickBot="1" x14ac:dyDescent="0.3">
      <c r="A56" s="65">
        <v>41</v>
      </c>
      <c r="B56" s="66" t="s">
        <v>85</v>
      </c>
      <c r="C56" s="67"/>
      <c r="D56" s="68" t="s">
        <v>56</v>
      </c>
      <c r="E56" s="65" t="s">
        <v>38</v>
      </c>
      <c r="F56" s="69">
        <v>4580</v>
      </c>
      <c r="G56" s="65">
        <v>75</v>
      </c>
      <c r="H56" s="38">
        <f t="shared" si="1"/>
        <v>343500</v>
      </c>
    </row>
    <row r="57" spans="1:8" ht="16.5" thickBot="1" x14ac:dyDescent="0.3">
      <c r="A57" s="65">
        <v>42</v>
      </c>
      <c r="B57" s="66" t="s">
        <v>85</v>
      </c>
      <c r="C57" s="67"/>
      <c r="D57" s="68" t="s">
        <v>57</v>
      </c>
      <c r="E57" s="65" t="s">
        <v>38</v>
      </c>
      <c r="F57" s="69">
        <v>3200</v>
      </c>
      <c r="G57" s="65">
        <v>25</v>
      </c>
      <c r="H57" s="38">
        <f t="shared" si="1"/>
        <v>80000</v>
      </c>
    </row>
    <row r="58" spans="1:8" ht="16.5" thickBot="1" x14ac:dyDescent="0.3">
      <c r="A58" s="65">
        <v>43</v>
      </c>
      <c r="B58" s="66" t="s">
        <v>85</v>
      </c>
      <c r="C58" s="67"/>
      <c r="D58" s="68" t="s">
        <v>58</v>
      </c>
      <c r="E58" s="65" t="s">
        <v>38</v>
      </c>
      <c r="F58" s="69">
        <v>1900</v>
      </c>
      <c r="G58" s="65">
        <v>140</v>
      </c>
      <c r="H58" s="38">
        <f t="shared" si="1"/>
        <v>266000</v>
      </c>
    </row>
    <row r="59" spans="1:8" ht="16.5" thickBot="1" x14ac:dyDescent="0.3">
      <c r="A59" s="65">
        <v>44</v>
      </c>
      <c r="B59" s="66" t="s">
        <v>85</v>
      </c>
      <c r="C59" s="67"/>
      <c r="D59" s="68" t="s">
        <v>60</v>
      </c>
      <c r="E59" s="65" t="s">
        <v>38</v>
      </c>
      <c r="F59" s="69">
        <v>1350</v>
      </c>
      <c r="G59" s="65">
        <v>542</v>
      </c>
      <c r="H59" s="38">
        <f t="shared" si="1"/>
        <v>731700</v>
      </c>
    </row>
    <row r="60" spans="1:8" ht="16.5" thickBot="1" x14ac:dyDescent="0.3">
      <c r="A60" s="65">
        <v>45</v>
      </c>
      <c r="B60" s="66" t="s">
        <v>86</v>
      </c>
      <c r="C60" s="67"/>
      <c r="D60" s="68"/>
      <c r="E60" s="65" t="s">
        <v>38</v>
      </c>
      <c r="F60" s="69">
        <v>5771</v>
      </c>
      <c r="G60" s="65">
        <v>65</v>
      </c>
      <c r="H60" s="38">
        <f t="shared" si="1"/>
        <v>375115</v>
      </c>
    </row>
    <row r="61" spans="1:8" ht="16.5" thickBot="1" x14ac:dyDescent="0.3">
      <c r="A61" s="65">
        <v>46</v>
      </c>
      <c r="B61" s="66" t="s">
        <v>87</v>
      </c>
      <c r="C61" s="67"/>
      <c r="D61" s="68"/>
      <c r="E61" s="65" t="s">
        <v>38</v>
      </c>
      <c r="F61" s="69">
        <v>4100</v>
      </c>
      <c r="G61" s="65">
        <v>44</v>
      </c>
      <c r="H61" s="38">
        <f t="shared" si="1"/>
        <v>180400</v>
      </c>
    </row>
    <row r="62" spans="1:8" ht="16.5" thickBot="1" x14ac:dyDescent="0.3">
      <c r="A62" s="65">
        <v>47</v>
      </c>
      <c r="B62" s="66" t="s">
        <v>88</v>
      </c>
      <c r="C62" s="67"/>
      <c r="D62" s="68"/>
      <c r="E62" s="65" t="s">
        <v>38</v>
      </c>
      <c r="F62" s="69">
        <v>2350</v>
      </c>
      <c r="G62" s="65">
        <v>6</v>
      </c>
      <c r="H62" s="38">
        <f t="shared" si="1"/>
        <v>14100</v>
      </c>
    </row>
    <row r="63" spans="1:8" ht="16.5" thickBot="1" x14ac:dyDescent="0.3">
      <c r="A63" s="65">
        <v>48</v>
      </c>
      <c r="B63" s="66" t="s">
        <v>89</v>
      </c>
      <c r="C63" s="67"/>
      <c r="D63" s="68"/>
      <c r="E63" s="65" t="s">
        <v>38</v>
      </c>
      <c r="F63" s="69">
        <v>19100</v>
      </c>
      <c r="G63" s="65">
        <v>69</v>
      </c>
      <c r="H63" s="38">
        <f t="shared" si="1"/>
        <v>1317900</v>
      </c>
    </row>
    <row r="64" spans="1:8" ht="16.5" thickBot="1" x14ac:dyDescent="0.3">
      <c r="A64" s="65">
        <v>49</v>
      </c>
      <c r="B64" s="66" t="s">
        <v>90</v>
      </c>
      <c r="C64" s="67"/>
      <c r="D64" s="68"/>
      <c r="E64" s="65" t="s">
        <v>38</v>
      </c>
      <c r="F64" s="69">
        <v>19100</v>
      </c>
      <c r="G64" s="65">
        <v>132</v>
      </c>
      <c r="H64" s="38">
        <f t="shared" si="1"/>
        <v>2521200</v>
      </c>
    </row>
    <row r="65" spans="1:8" ht="16.5" thickBot="1" x14ac:dyDescent="0.3">
      <c r="A65" s="65">
        <v>50</v>
      </c>
      <c r="B65" s="66" t="s">
        <v>91</v>
      </c>
      <c r="C65" s="67"/>
      <c r="D65" s="68"/>
      <c r="E65" s="65" t="s">
        <v>38</v>
      </c>
      <c r="F65" s="69">
        <v>1880</v>
      </c>
      <c r="G65" s="65">
        <v>201</v>
      </c>
      <c r="H65" s="38">
        <f t="shared" si="1"/>
        <v>377880</v>
      </c>
    </row>
    <row r="66" spans="1:8" ht="16.5" thickBot="1" x14ac:dyDescent="0.3">
      <c r="A66" s="65">
        <v>51</v>
      </c>
      <c r="B66" s="66" t="s">
        <v>92</v>
      </c>
      <c r="C66" s="67"/>
      <c r="D66" s="68"/>
      <c r="E66" s="65" t="s">
        <v>38</v>
      </c>
      <c r="F66" s="69">
        <v>1300</v>
      </c>
      <c r="G66" s="65">
        <v>201</v>
      </c>
      <c r="H66" s="38">
        <f t="shared" si="1"/>
        <v>261300</v>
      </c>
    </row>
    <row r="67" spans="1:8" ht="16.5" thickBot="1" x14ac:dyDescent="0.3">
      <c r="A67" s="65">
        <v>52</v>
      </c>
      <c r="B67" s="66" t="s">
        <v>93</v>
      </c>
      <c r="C67" s="67"/>
      <c r="D67" s="68"/>
      <c r="E67" s="65" t="s">
        <v>38</v>
      </c>
      <c r="F67" s="69">
        <v>2650</v>
      </c>
      <c r="G67" s="65">
        <v>69</v>
      </c>
      <c r="H67" s="38">
        <f t="shared" si="1"/>
        <v>182850</v>
      </c>
    </row>
    <row r="68" spans="1:8" ht="19.5" customHeight="1" thickBot="1" x14ac:dyDescent="0.3">
      <c r="A68" s="47"/>
      <c r="B68" s="61"/>
      <c r="D68" s="62"/>
      <c r="E68" s="47"/>
      <c r="F68" s="47"/>
      <c r="G68" s="47"/>
    </row>
    <row r="69" spans="1:8" ht="19.5" customHeight="1" thickBot="1" x14ac:dyDescent="0.35">
      <c r="A69" s="60" t="s">
        <v>23</v>
      </c>
      <c r="B69" s="63" t="s">
        <v>94</v>
      </c>
      <c r="C69" s="12"/>
      <c r="D69" s="13"/>
      <c r="E69" s="48"/>
      <c r="F69" s="37" t="s">
        <v>39</v>
      </c>
      <c r="G69" s="6"/>
      <c r="H69" s="7"/>
    </row>
    <row r="70" spans="1:8" ht="19.5" customHeight="1" thickBot="1" x14ac:dyDescent="0.3">
      <c r="A70" s="39"/>
      <c r="B70" s="16" t="s">
        <v>95</v>
      </c>
      <c r="C70" s="4"/>
      <c r="D70" s="17"/>
      <c r="E70" s="51" t="s">
        <v>24</v>
      </c>
      <c r="F70" s="52"/>
      <c r="G70" s="44"/>
      <c r="H70" s="49">
        <f>SUM(H16:H67)</f>
        <v>60722795</v>
      </c>
    </row>
    <row r="71" spans="1:8" ht="19.5" customHeight="1" x14ac:dyDescent="0.25">
      <c r="A71" s="24" t="s">
        <v>25</v>
      </c>
      <c r="B71" s="12"/>
      <c r="C71" s="12"/>
      <c r="D71" s="12"/>
      <c r="E71" s="53" t="s">
        <v>29</v>
      </c>
      <c r="F71" s="23"/>
      <c r="G71" s="54">
        <v>0.19</v>
      </c>
      <c r="H71" s="40">
        <f>H70*G71</f>
        <v>11537331.050000001</v>
      </c>
    </row>
    <row r="72" spans="1:8" ht="19.5" customHeight="1" x14ac:dyDescent="0.25">
      <c r="A72" s="14" t="s">
        <v>97</v>
      </c>
      <c r="E72" s="55" t="s">
        <v>26</v>
      </c>
      <c r="G72" s="58">
        <v>2.5000000000000001E-2</v>
      </c>
      <c r="H72" s="50">
        <f>H70*G72</f>
        <v>1518069.875</v>
      </c>
    </row>
    <row r="73" spans="1:8" ht="15.75" x14ac:dyDescent="0.25">
      <c r="A73" s="14" t="s">
        <v>96</v>
      </c>
      <c r="E73" s="14"/>
      <c r="F73" s="33"/>
      <c r="G73" s="45"/>
      <c r="H73" s="15"/>
    </row>
    <row r="74" spans="1:8" ht="16.5" thickBot="1" x14ac:dyDescent="0.3">
      <c r="A74" s="14" t="s">
        <v>32</v>
      </c>
      <c r="E74" s="56" t="s">
        <v>27</v>
      </c>
      <c r="F74" s="57"/>
      <c r="G74" s="46"/>
      <c r="H74" s="17"/>
    </row>
    <row r="75" spans="1:8" ht="19.5" thickBot="1" x14ac:dyDescent="0.35">
      <c r="A75" s="16"/>
      <c r="B75" s="4"/>
      <c r="C75" s="4"/>
      <c r="D75" s="17"/>
      <c r="F75" s="3"/>
      <c r="G75" s="34" t="s">
        <v>28</v>
      </c>
      <c r="H75" s="36">
        <f>H70+H71-H72</f>
        <v>70742056.174999997</v>
      </c>
    </row>
    <row r="76" spans="1:8" ht="16.5" customHeight="1" x14ac:dyDescent="0.25"/>
    <row r="81" spans="1:8" ht="15.75" thickBot="1" x14ac:dyDescent="0.3"/>
    <row r="82" spans="1:8" ht="19.5" thickBot="1" x14ac:dyDescent="0.35">
      <c r="A82" s="25" t="s">
        <v>40</v>
      </c>
      <c r="B82" s="6"/>
      <c r="C82" s="6"/>
      <c r="D82" s="6"/>
      <c r="E82" s="6"/>
      <c r="F82" s="6"/>
      <c r="G82" s="6"/>
      <c r="H82" s="7"/>
    </row>
    <row r="90" spans="1:8" ht="18.75" x14ac:dyDescent="0.3">
      <c r="A90" s="5"/>
    </row>
  </sheetData>
  <hyperlinks>
    <hyperlink ref="C10" r:id="rId1" xr:uid="{A6288171-A975-48F9-B672-10C7DA5DF2E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AZAEL RANGEL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2025-05-27T14:57:07Z</dcterms:modified>
</cp:coreProperties>
</file>