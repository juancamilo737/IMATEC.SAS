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2BDBF31-B28E-4F6F-9572-A7F77F36977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UVACOL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6" i="1"/>
  <c r="H25" i="1" s="1"/>
  <c r="H27" i="1" s="1"/>
  <c r="H26" i="1" l="1"/>
  <c r="H30" i="1" s="1"/>
</calcChain>
</file>

<file path=xl/sharedStrings.xml><?xml version="1.0" encoding="utf-8"?>
<sst xmlns="http://schemas.openxmlformats.org/spreadsheetml/2006/main" count="60" uniqueCount="59">
  <si>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</si>
  <si>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</si>
  <si>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</si>
  <si>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</si>
  <si>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</si>
  <si>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</si>
  <si>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</si>
  <si>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</si>
  <si>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</si>
  <si>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</si>
  <si>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</si>
  <si>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</si>
  <si>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</si>
  <si>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</si>
  <si>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</si>
  <si>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</si>
  <si>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</si>
  <si>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</si>
  <si>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</si>
  <si>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</si>
  <si>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</si>
  <si>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</si>
  <si>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</si>
  <si>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</si>
  <si>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</si>
  <si>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</si>
  <si>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</si>
  <si>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</si>
  <si>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</si>
  <si>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</si>
  <si>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</si>
  <si>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</si>
  <si>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</si>
  <si>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</si>
  <si>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</si>
  <si>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</si>
  <si>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</si>
  <si>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</si>
  <si>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CONTACTOS   310 8306118       319 7174165        321 7834969</t>
  </si>
  <si>
    <t xml:space="preserve"> CALLE  33B  No. 17C - 70     2º PISO              B/  LA FLORESTA             -   CALI    -                                  CEL.     321 7834969</t>
  </si>
  <si>
    <t>TUVACOL S.A.</t>
  </si>
  <si>
    <t>806 014553</t>
  </si>
  <si>
    <t>VIA 40  No. 67-240</t>
  </si>
  <si>
    <t>BARRANQUILLA</t>
  </si>
  <si>
    <t>contabilidadnal@tuvacol.com</t>
  </si>
  <si>
    <t>605 3619797</t>
  </si>
  <si>
    <t>LUIS A. BENAVIDES</t>
  </si>
  <si>
    <t>SEDE TUVACOL YUMBO - BORIS MARTINEZ</t>
  </si>
  <si>
    <t>FABRICACION</t>
  </si>
  <si>
    <t>FLAUTA AC/INOX 304 SCH 40 1 1/4 " X  74 CMTS</t>
  </si>
  <si>
    <t>ROSCA X TAPON CON 4 SALIDAS DE 1/2 "  X  4 "</t>
  </si>
  <si>
    <t>FLAUTA AC/INOX 304 SCH 40 1 1/2 " X  66 CMTS</t>
  </si>
  <si>
    <t>ROSCA X TAPON CON 5 SALIDAS DE 1/2 "  X  4 "</t>
  </si>
  <si>
    <t>SIETE MILLONES CIENTO SEIS MIL QUINIENTOS PESOS</t>
  </si>
  <si>
    <t>MDA / CTE</t>
  </si>
  <si>
    <t>FORMA DE PAGO : CREDITO 30 DIAS</t>
  </si>
  <si>
    <t>ENTREGA EN 8 DIAS A PARTIR DE ORDEN DE COMPRA</t>
  </si>
  <si>
    <t xml:space="preserve">           C O T I Z A C I O N</t>
  </si>
  <si>
    <t>No.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</si>
</sst>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20" xfId="0" applyNumberFormat="1" applyFont="1" applyBorder="1"/>
    <xf numFmtId="10" fontId="1" fillId="0" borderId="0" xfId="0" applyNumberFormat="1" applyFont="1"/>
    <xf numFmtId="0" fontId="8" fillId="0" borderId="0" xfId="0" applyFont="1" applyAlignment="1">
      <alignment horizontal="left"/>
    </xf>
    <xf numFmtId="0" fontId="1" fillId="0" borderId="20" xfId="0" applyFont="1" applyBorder="1" applyAlignment="1">
      <alignment horizontal="center"/>
    </xf>
    <xf numFmtId="0" fontId="0" fillId="0" borderId="26" xfId="0" applyBorder="1"/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nal@tuvac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4"/>
  <sheetViews>
    <sheetView tabSelected="1" topLeftCell="A4" zoomScaleNormal="100" workbookViewId="0">
      <selection activeCell="K12" sqref="K1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34</v>
      </c>
      <c r="E4" s="19"/>
      <c r="F4" s="20"/>
      <c r="G4" s="6"/>
      <c r="H4" s="7"/>
    </row>
    <row r="5" spans="1:8" ht="19.5" thickBot="1" x14ac:dyDescent="0.35">
      <c r="A5" s="69" t="s">
        <v>38</v>
      </c>
      <c r="B5" s="6"/>
      <c r="C5" s="6"/>
      <c r="D5" s="6"/>
      <c r="E5" s="6"/>
    </row>
    <row r="6" spans="1:8" ht="24.75" customHeight="1" thickBot="1" x14ac:dyDescent="0.45">
      <c r="F6" s="11" t="s">
        <v>57</v>
      </c>
      <c r="G6" s="19"/>
      <c r="H6" s="20"/>
    </row>
    <row r="7" spans="1:8" ht="19.5" thickBot="1" x14ac:dyDescent="0.35">
      <c r="A7" s="21" t="s">
        <v>15</v>
      </c>
      <c r="B7" s="13"/>
      <c r="C7" s="32" t="s">
        <v>40</v>
      </c>
      <c r="D7" s="13"/>
      <c r="E7" s="14"/>
      <c r="F7" s="29"/>
      <c r="G7" s="19"/>
      <c r="H7" s="20" t="s">
        <v>58</v>
      </c>
    </row>
    <row r="8" spans="1:8" ht="18.75" x14ac:dyDescent="0.3">
      <c r="A8" s="22" t="s">
        <v>9</v>
      </c>
      <c r="C8" s="26" t="s">
        <v>41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42</v>
      </c>
      <c r="D9" s="25"/>
      <c r="E9" s="26" t="s">
        <v>43</v>
      </c>
      <c r="F9" s="33" t="s">
        <v>0</v>
      </c>
      <c r="H9" s="34">
        <v>45502</v>
      </c>
    </row>
    <row r="10" spans="1:8" ht="18.75" x14ac:dyDescent="0.3">
      <c r="A10" s="22" t="s">
        <v>14</v>
      </c>
      <c r="C10" s="57" t="s">
        <v>44</v>
      </c>
      <c r="D10" s="27"/>
      <c r="E10" s="27"/>
      <c r="F10" s="33" t="s">
        <v>16</v>
      </c>
      <c r="H10" s="35" t="s">
        <v>36</v>
      </c>
    </row>
    <row r="11" spans="1:8" ht="18.75" x14ac:dyDescent="0.3">
      <c r="A11" s="22" t="s">
        <v>11</v>
      </c>
      <c r="C11" s="26" t="s">
        <v>47</v>
      </c>
      <c r="D11" s="27"/>
      <c r="E11" s="27"/>
      <c r="F11" s="33" t="s">
        <v>17</v>
      </c>
      <c r="G11" s="36"/>
      <c r="H11" s="34">
        <v>45509</v>
      </c>
    </row>
    <row r="12" spans="1:8" ht="18.75" x14ac:dyDescent="0.3">
      <c r="A12" s="22" t="s">
        <v>12</v>
      </c>
      <c r="C12" s="26" t="s">
        <v>45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46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37</v>
      </c>
      <c r="B15" s="61" t="s">
        <v>24</v>
      </c>
      <c r="C15" s="19"/>
      <c r="D15" s="7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5.75" x14ac:dyDescent="0.25">
      <c r="A16" s="62">
        <v>1</v>
      </c>
      <c r="B16" s="41" t="s">
        <v>49</v>
      </c>
      <c r="C16" s="42"/>
      <c r="D16" s="63"/>
      <c r="E16" s="62" t="s">
        <v>48</v>
      </c>
      <c r="F16" s="66">
        <v>260000</v>
      </c>
      <c r="G16" s="62">
        <v>2</v>
      </c>
      <c r="H16" s="64">
        <f>G16*F16</f>
        <v>520000</v>
      </c>
    </row>
    <row r="17" spans="1:10" ht="15.75" x14ac:dyDescent="0.25">
      <c r="A17" s="40"/>
      <c r="B17" s="74" t="s">
        <v>50</v>
      </c>
      <c r="E17" s="46"/>
      <c r="F17" s="39"/>
      <c r="G17" s="62"/>
      <c r="H17" s="55"/>
      <c r="I17" s="39"/>
      <c r="J17" s="39"/>
    </row>
    <row r="18" spans="1:10" ht="15" customHeight="1" x14ac:dyDescent="0.25">
      <c r="A18" s="71">
        <v>2</v>
      </c>
      <c r="B18" s="41" t="s">
        <v>51</v>
      </c>
      <c r="C18" s="42"/>
      <c r="D18" s="40"/>
      <c r="E18" s="62" t="s">
        <v>48</v>
      </c>
      <c r="F18" s="65">
        <v>310000</v>
      </c>
      <c r="G18" s="62">
        <v>18</v>
      </c>
      <c r="H18" s="72">
        <f>F18*G18</f>
        <v>5580000</v>
      </c>
      <c r="I18" s="39"/>
      <c r="J18" s="39"/>
    </row>
    <row r="19" spans="1:10" ht="15.75" x14ac:dyDescent="0.25">
      <c r="A19" s="75"/>
      <c r="B19" s="74" t="s">
        <v>52</v>
      </c>
      <c r="E19" s="70"/>
      <c r="F19" s="65"/>
      <c r="G19" s="62"/>
      <c r="H19" s="40"/>
      <c r="I19" s="39"/>
      <c r="J19" s="39"/>
    </row>
    <row r="20" spans="1:10" ht="15.75" x14ac:dyDescent="0.25">
      <c r="B20" s="41"/>
      <c r="C20" s="42"/>
      <c r="D20" s="42"/>
      <c r="E20" s="46"/>
      <c r="F20" s="65"/>
      <c r="G20" s="62"/>
      <c r="H20" s="55"/>
      <c r="I20" s="39"/>
      <c r="J20" s="39"/>
    </row>
    <row r="21" spans="1:10" ht="15.75" x14ac:dyDescent="0.25">
      <c r="A21" s="62"/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3"/>
      <c r="C22" s="44"/>
      <c r="D22" s="44"/>
      <c r="E22" s="24"/>
      <c r="F22" s="67"/>
      <c r="G22" s="44"/>
      <c r="H22" s="45"/>
    </row>
    <row r="23" spans="1:10" ht="19.5" customHeight="1" thickBot="1" x14ac:dyDescent="0.3">
      <c r="H23" s="68"/>
    </row>
    <row r="24" spans="1:10" ht="19.5" customHeight="1" thickBot="1" x14ac:dyDescent="0.35">
      <c r="A24" s="77" t="s">
        <v>25</v>
      </c>
      <c r="B24" s="12" t="s">
        <v>53</v>
      </c>
      <c r="C24" s="13"/>
      <c r="D24" s="14"/>
      <c r="E24" s="13"/>
      <c r="F24" s="47" t="s">
        <v>31</v>
      </c>
      <c r="G24" s="13"/>
      <c r="H24" s="7"/>
    </row>
    <row r="25" spans="1:10" ht="19.5" customHeight="1" thickBot="1" x14ac:dyDescent="0.3">
      <c r="A25" s="78"/>
      <c r="B25" s="17" t="s">
        <v>54</v>
      </c>
      <c r="C25" s="4"/>
      <c r="D25" s="4"/>
      <c r="E25" s="48" t="s">
        <v>26</v>
      </c>
      <c r="F25" s="49"/>
      <c r="G25" s="27"/>
      <c r="H25" s="58">
        <f>H16+H18</f>
        <v>6100000</v>
      </c>
    </row>
    <row r="26" spans="1:10" ht="19.5" customHeight="1" x14ac:dyDescent="0.25">
      <c r="A26" s="28" t="s">
        <v>27</v>
      </c>
      <c r="B26" s="13"/>
      <c r="C26" s="13"/>
      <c r="D26" s="14"/>
      <c r="E26" s="3" t="s">
        <v>33</v>
      </c>
      <c r="F26" s="76"/>
      <c r="G26" s="51">
        <v>0.19</v>
      </c>
      <c r="H26" s="59">
        <f>H25*G26</f>
        <v>1159000</v>
      </c>
    </row>
    <row r="27" spans="1:10" ht="15.75" x14ac:dyDescent="0.25">
      <c r="A27" s="15" t="s">
        <v>55</v>
      </c>
      <c r="D27" s="16"/>
      <c r="E27" s="49" t="s">
        <v>28</v>
      </c>
      <c r="G27" s="73">
        <v>2.5000000000000001E-2</v>
      </c>
      <c r="H27" s="52">
        <f>H25*G27</f>
        <v>152500</v>
      </c>
    </row>
    <row r="28" spans="1:10" ht="15.75" x14ac:dyDescent="0.25">
      <c r="A28" s="15" t="s">
        <v>56</v>
      </c>
      <c r="D28" s="16"/>
      <c r="F28" s="49"/>
      <c r="G28" s="27"/>
      <c r="H28" s="53"/>
    </row>
    <row r="29" spans="1:10" ht="16.5" thickBot="1" x14ac:dyDescent="0.3">
      <c r="A29" s="15" t="s">
        <v>35</v>
      </c>
      <c r="D29" s="16"/>
      <c r="E29" s="49" t="s">
        <v>29</v>
      </c>
      <c r="F29" s="49"/>
      <c r="G29" s="27"/>
      <c r="H29" s="54"/>
    </row>
    <row r="30" spans="1:10" ht="16.5" customHeight="1" thickBot="1" x14ac:dyDescent="0.35">
      <c r="A30" s="17"/>
      <c r="B30" s="4"/>
      <c r="C30" s="4"/>
      <c r="D30" s="18"/>
      <c r="F30" s="3"/>
      <c r="G30" s="50" t="s">
        <v>30</v>
      </c>
      <c r="H30" s="60">
        <f>H25+H26-H27</f>
        <v>7106500</v>
      </c>
    </row>
    <row r="32" spans="1:10" x14ac:dyDescent="0.25">
      <c r="A32" t="s">
        <v>1</v>
      </c>
    </row>
    <row r="34" spans="1:8" ht="15.75" thickBot="1" x14ac:dyDescent="0.3"/>
    <row r="35" spans="1:8" ht="19.5" thickBot="1" x14ac:dyDescent="0.35">
      <c r="A35" s="29" t="s">
        <v>39</v>
      </c>
      <c r="B35" s="6"/>
      <c r="C35" s="6"/>
      <c r="D35" s="6"/>
      <c r="E35" s="6"/>
      <c r="F35" s="6"/>
      <c r="G35" s="6"/>
      <c r="H35" s="7"/>
    </row>
    <row r="44" spans="1:8" ht="18.75" x14ac:dyDescent="0.3">
      <c r="A44" s="5"/>
    </row>
  </sheetData>
  <mergeCells count="1">
    <mergeCell ref="A24:A25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TUVACOL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2024-07-04T12:50:58Z</cp:lastPrinted>
  <dcterms:created xsi:type="dcterms:W3CDTF">2018-11-15T17:29:02Z</dcterms:created>
  <dcterms:modified xsi:type="dcterms:W3CDTF">2025-08-04T15:32:56Z</dcterms:modified>
</cp:coreProperties>
</file>