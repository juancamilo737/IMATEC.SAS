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2DCD6B8-8533-47EB-A2AC-8A0392E473F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5" i="1"/>
  <c r="H22" i="1"/>
  <c r="H21" i="1"/>
  <c r="H20" i="1"/>
  <c r="H19" i="1"/>
  <c r="H18" i="1"/>
  <c r="H17" i="1"/>
  <c r="H16" i="1"/>
  <c r="H26" i="1" l="1"/>
  <c r="H30" i="1" s="1"/>
</calcChain>
</file>

<file path=xl/sharedStrings.xml><?xml version="1.0" encoding="utf-8"?>
<sst xmlns="http://schemas.openxmlformats.org/spreadsheetml/2006/main" count="67" uniqueCount="63">
  <si>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</si>
  <si>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</si>
  <si>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</si>
  <si>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</si>
  <si>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</si>
  <si>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</si>
  <si>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</si>
  <si>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</si>
  <si>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</si>
  <si>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</si>
  <si>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</si>
  <si>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</si>
  <si>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</si>
  <si>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</si>
  <si>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</si>
  <si>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</si>
  <si>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</si>
  <si>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</si>
  <si>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</si>
  <si>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</si>
  <si>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</si>
  <si>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</si>
  <si>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</si>
  <si>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</si>
  <si>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</si>
  <si>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</si>
  <si>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</si>
  <si>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</si>
  <si>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</si>
  <si>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</si>
  <si>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</si>
  <si>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</si>
  <si>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</si>
  <si>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</si>
  <si>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</si>
  <si>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</si>
  <si>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</si>
  <si>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</si>
  <si>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</si>
  <si>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</si>
  <si>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</si>
  <si>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</si>
  <si>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</si>
  <si>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</si>
  <si>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</si>
  <si>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</si>
  <si>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</si>
  <si>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ENTREGA INMEDIATA</t>
  </si>
  <si>
    <t>ACCESORIO</t>
  </si>
  <si>
    <t xml:space="preserve">           C O T I Z A C I O N</t>
  </si>
  <si>
    <t>No.  19</t>
  </si>
  <si>
    <t>10 DIAS</t>
  </si>
  <si>
    <t>TUBERIA PVC PRESION  SCH 40   4 "</t>
  </si>
  <si>
    <t>TUBO X 6 MTS</t>
  </si>
  <si>
    <t>CODO PVC PRESION SCH 40  4 "</t>
  </si>
  <si>
    <t>TEE PVC PRESION SCH 40 4 "</t>
  </si>
  <si>
    <t>BRIDA PVC  SCH 80  4 "</t>
  </si>
  <si>
    <t xml:space="preserve">TUBERIA GALVANIZADA AGUA 2 "  </t>
  </si>
  <si>
    <t>TUBO X 5,80 MTS</t>
  </si>
  <si>
    <t>CODO GALVANIZADO  2 "</t>
  </si>
  <si>
    <t>TEE GALVANIZADA 2 "</t>
  </si>
  <si>
    <t>NOVECIENTOS SESENTA Y UN MIL TRESCIENTOS CINCUEN</t>
  </si>
  <si>
    <t>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</si>
</sst>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topLeftCell="A10" zoomScaleNormal="100" workbookViewId="0">
      <selection activeCell="J28" sqref="J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45874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45883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52</v>
      </c>
      <c r="C16" s="71"/>
      <c r="D16" s="72"/>
      <c r="E16" s="69" t="s">
        <v>53</v>
      </c>
      <c r="F16" s="73">
        <v>280000</v>
      </c>
      <c r="G16" s="69">
        <v>1</v>
      </c>
      <c r="H16" s="38">
        <f t="shared" ref="H16" si="0">G16*F16</f>
        <v>280000</v>
      </c>
    </row>
    <row r="17" spans="1:8" ht="16.5" thickBot="1" x14ac:dyDescent="0.3">
      <c r="A17" s="69">
        <v>2</v>
      </c>
      <c r="B17" s="70" t="s">
        <v>54</v>
      </c>
      <c r="C17" s="71"/>
      <c r="D17" s="72"/>
      <c r="E17" s="69" t="s">
        <v>48</v>
      </c>
      <c r="F17" s="73">
        <v>69800</v>
      </c>
      <c r="G17" s="69">
        <v>2</v>
      </c>
      <c r="H17" s="38">
        <f t="shared" ref="H17:H22" si="1">G17*F17</f>
        <v>139600</v>
      </c>
    </row>
    <row r="18" spans="1:8" ht="16.5" thickBot="1" x14ac:dyDescent="0.3">
      <c r="A18" s="69">
        <v>3</v>
      </c>
      <c r="B18" s="70" t="s">
        <v>55</v>
      </c>
      <c r="C18" s="71"/>
      <c r="D18" s="72"/>
      <c r="E18" s="69" t="s">
        <v>48</v>
      </c>
      <c r="F18" s="73">
        <v>90200</v>
      </c>
      <c r="G18" s="69">
        <v>1</v>
      </c>
      <c r="H18" s="38">
        <f t="shared" si="1"/>
        <v>90200</v>
      </c>
    </row>
    <row r="19" spans="1:8" ht="16.5" thickBot="1" x14ac:dyDescent="0.3">
      <c r="A19" s="69">
        <v>4</v>
      </c>
      <c r="B19" s="70" t="s">
        <v>56</v>
      </c>
      <c r="C19" s="71"/>
      <c r="D19" s="72"/>
      <c r="E19" s="69" t="s">
        <v>48</v>
      </c>
      <c r="F19" s="73">
        <v>45000</v>
      </c>
      <c r="G19" s="69">
        <v>1</v>
      </c>
      <c r="H19" s="38">
        <f t="shared" si="1"/>
        <v>45000</v>
      </c>
    </row>
    <row r="20" spans="1:8" ht="16.5" thickBot="1" x14ac:dyDescent="0.3">
      <c r="A20" s="69">
        <v>5</v>
      </c>
      <c r="B20" s="70" t="s">
        <v>57</v>
      </c>
      <c r="C20" s="71"/>
      <c r="D20" s="72"/>
      <c r="E20" s="69" t="s">
        <v>58</v>
      </c>
      <c r="F20" s="73">
        <v>220400</v>
      </c>
      <c r="G20" s="69">
        <v>1</v>
      </c>
      <c r="H20" s="38">
        <f t="shared" si="1"/>
        <v>220400</v>
      </c>
    </row>
    <row r="21" spans="1:8" ht="16.5" thickBot="1" x14ac:dyDescent="0.3">
      <c r="A21" s="69">
        <v>6</v>
      </c>
      <c r="B21" s="70" t="s">
        <v>59</v>
      </c>
      <c r="C21" s="71"/>
      <c r="D21" s="72"/>
      <c r="E21" s="69" t="s">
        <v>48</v>
      </c>
      <c r="F21" s="73">
        <v>10000</v>
      </c>
      <c r="G21" s="69">
        <v>2</v>
      </c>
      <c r="H21" s="38">
        <f t="shared" si="1"/>
        <v>20000</v>
      </c>
    </row>
    <row r="22" spans="1:8" ht="16.5" thickBot="1" x14ac:dyDescent="0.3">
      <c r="A22" s="69">
        <v>7</v>
      </c>
      <c r="B22" s="70" t="s">
        <v>60</v>
      </c>
      <c r="C22" s="71"/>
      <c r="D22" s="72"/>
      <c r="E22" s="69" t="s">
        <v>48</v>
      </c>
      <c r="F22" s="73">
        <v>15000</v>
      </c>
      <c r="G22" s="69">
        <v>2</v>
      </c>
      <c r="H22" s="38">
        <f t="shared" si="1"/>
        <v>30000</v>
      </c>
    </row>
    <row r="23" spans="1:8" ht="19.5" customHeight="1" thickBot="1" x14ac:dyDescent="0.3">
      <c r="A23" s="47"/>
      <c r="B23" s="76"/>
      <c r="D23" s="77"/>
      <c r="E23" s="47"/>
      <c r="F23" s="47"/>
      <c r="G23" s="47"/>
    </row>
    <row r="24" spans="1:8" ht="19.5" customHeight="1" thickBot="1" x14ac:dyDescent="0.35">
      <c r="A24" s="75" t="s">
        <v>23</v>
      </c>
      <c r="B24" s="78" t="s">
        <v>61</v>
      </c>
      <c r="C24" s="12"/>
      <c r="D24" s="13"/>
      <c r="E24" s="48"/>
      <c r="F24" s="37" t="s">
        <v>46</v>
      </c>
      <c r="G24" s="6"/>
      <c r="H24" s="7"/>
    </row>
    <row r="25" spans="1:8" ht="19.5" customHeight="1" thickBot="1" x14ac:dyDescent="0.3">
      <c r="A25" s="39"/>
      <c r="B25" s="16" t="s">
        <v>62</v>
      </c>
      <c r="C25" s="4"/>
      <c r="D25" s="17"/>
      <c r="E25" s="51" t="s">
        <v>24</v>
      </c>
      <c r="F25" s="52"/>
      <c r="G25" s="44"/>
      <c r="H25" s="49">
        <f>SUM(H16:H22)</f>
        <v>825200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156788</v>
      </c>
    </row>
    <row r="27" spans="1:8" ht="19.5" customHeight="1" x14ac:dyDescent="0.25">
      <c r="A27" s="14" t="s">
        <v>45</v>
      </c>
      <c r="E27" s="55" t="s">
        <v>26</v>
      </c>
      <c r="G27" s="58">
        <v>2.5000000000000001E-2</v>
      </c>
      <c r="H27" s="50">
        <f>H25*G27</f>
        <v>20630</v>
      </c>
    </row>
    <row r="28" spans="1:8" ht="15.75" x14ac:dyDescent="0.25">
      <c r="A28" s="14" t="s">
        <v>47</v>
      </c>
      <c r="E28" s="14"/>
      <c r="F28" s="33"/>
      <c r="G28" s="45"/>
      <c r="H28" s="15"/>
    </row>
    <row r="29" spans="1:8" ht="16.5" thickBot="1" x14ac:dyDescent="0.3">
      <c r="A29" s="14" t="s">
        <v>31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H25+H26-H27</f>
        <v>961358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2025-08-05T19:47:05Z</dcterms:modified>
</cp:coreProperties>
</file>