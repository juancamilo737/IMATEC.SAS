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8516FD32-E160-4B4D-ADF5-509B453E8D04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AGROMETALIC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21" i="1" s="1"/>
  <c r="H22" i="1"/>
  <c r="H26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<sst xmlns="http://schemas.openxmlformats.org/spreadsheetml/2006/main" count="53" uniqueCount="53">
  <si>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</si>
  <si>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</si>
  <si>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</si>
  <si>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</si>
  <si>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</si>
  <si>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</si>
  <si>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</si>
  <si>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</si>
  <si>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</si>
  <si>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</si>
  <si>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</si>
  <si>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</si>
  <si>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</si>
  <si>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</si>
  <si>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</si>
  <si>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</si>
  <si>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</si>
  <si>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</si>
  <si>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</si>
  <si>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</si>
  <si>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</si>
  <si>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</si>
  <si>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</si>
  <si>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</si>
  <si>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</si>
  <si>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</si>
  <si>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</si>
  <si>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</si>
  <si>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</si>
  <si>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</si>
  <si>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</si>
  <si>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</si>
  <si>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</si>
  <si>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</si>
  <si>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</si>
  <si>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</si>
  <si>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</si>
  <si>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</si>
  <si>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</si>
  <si>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</si>
  <si>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</si>
  <si>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LUIS ANTONIO BENAVIDEZ</t>
  </si>
  <si>
    <t>PALMIRA</t>
  </si>
  <si>
    <t>METRO LINEAL</t>
  </si>
  <si>
    <t>AGROMETALICAS ROJAS S A S</t>
  </si>
  <si>
    <t>900 973498</t>
  </si>
  <si>
    <t>CRA 34 No. 44-26</t>
  </si>
  <si>
    <t>facturaelectronica@agrometalicas.com</t>
  </si>
  <si>
    <t>320 6768772</t>
  </si>
  <si>
    <t>ENTREGA INMEDIATA</t>
  </si>
  <si>
    <t xml:space="preserve">TUBERIA AC/INOX  316  SCH 40   1 1/2  " </t>
  </si>
  <si>
    <t xml:space="preserve">TRESCIENTOS CATORCE MIL CIENTO SESENTA PESOS 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</si>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</sst>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7" xfId="0" applyBorder="1"/>
    <xf numFmtId="0" fontId="8" fillId="0" borderId="14" xfId="0" applyFont="1" applyBorder="1"/>
    <xf numFmtId="0" fontId="8" fillId="0" borderId="0" xfId="0" applyFont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1" xfId="0" applyFont="1" applyBorder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0" fontId="4" fillId="0" borderId="22" xfId="0" applyFont="1" applyBorder="1"/>
    <xf numFmtId="42" fontId="1" fillId="0" borderId="23" xfId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electronica@agrometalic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4"/>
  <sheetViews>
    <sheetView tabSelected="1" topLeftCell="A13" zoomScaleNormal="100" workbookViewId="0">
      <selection activeCell="E28" sqref="E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50" t="s">
        <v>33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37</v>
      </c>
      <c r="E4" s="19"/>
      <c r="F4" s="20"/>
      <c r="G4" s="6"/>
      <c r="H4" s="7"/>
    </row>
    <row r="5" spans="1:8" ht="19.5" thickBot="1" x14ac:dyDescent="0.35">
      <c r="A5" s="59" t="s">
        <v>40</v>
      </c>
      <c r="B5" s="6"/>
      <c r="C5" s="6"/>
      <c r="D5" s="6"/>
      <c r="E5" s="6"/>
    </row>
    <row r="6" spans="1:8" ht="24.75" customHeight="1" thickBot="1" x14ac:dyDescent="0.45">
      <c r="F6" s="11" t="s">
        <v>18</v>
      </c>
      <c r="G6" s="19"/>
      <c r="H6" s="20"/>
    </row>
    <row r="7" spans="1:8" ht="19.5" thickBot="1" x14ac:dyDescent="0.35">
      <c r="A7" s="21" t="s">
        <v>14</v>
      </c>
      <c r="B7" s="13"/>
      <c r="C7" s="31" t="s">
        <v>44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45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46</v>
      </c>
      <c r="D9" s="24"/>
      <c r="E9" s="25" t="s">
        <v>42</v>
      </c>
      <c r="F9" s="32" t="s">
        <v>0</v>
      </c>
      <c r="H9" s="33">
        <v>45484</v>
      </c>
    </row>
    <row r="10" spans="1:8" ht="18.75" x14ac:dyDescent="0.3">
      <c r="A10" s="22" t="s">
        <v>13</v>
      </c>
      <c r="C10" s="51" t="s">
        <v>47</v>
      </c>
      <c r="D10" s="26"/>
      <c r="E10" s="26"/>
      <c r="F10" s="32" t="s">
        <v>15</v>
      </c>
      <c r="H10" s="34" t="s">
        <v>36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45494</v>
      </c>
    </row>
    <row r="12" spans="1:8" ht="18.75" x14ac:dyDescent="0.3">
      <c r="A12" s="22" t="s">
        <v>11</v>
      </c>
      <c r="C12" s="25" t="s">
        <v>48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41</v>
      </c>
      <c r="D13" s="26"/>
      <c r="E13" s="26"/>
      <c r="F13" s="17"/>
      <c r="G13" s="4"/>
      <c r="H13" s="18"/>
    </row>
    <row r="16" spans="1:8" ht="15.75" thickBot="1" x14ac:dyDescent="0.3"/>
    <row r="17" spans="1:10" ht="15.75" thickBot="1" x14ac:dyDescent="0.3">
      <c r="A17" s="65" t="s">
        <v>20</v>
      </c>
      <c r="B17" s="55" t="s">
        <v>25</v>
      </c>
      <c r="C17" s="19"/>
      <c r="D17" s="7"/>
      <c r="E17" s="37" t="s">
        <v>21</v>
      </c>
      <c r="F17" s="37" t="s">
        <v>23</v>
      </c>
      <c r="G17" s="37" t="s">
        <v>22</v>
      </c>
      <c r="H17" s="37" t="s">
        <v>24</v>
      </c>
    </row>
    <row r="18" spans="1:10" ht="16.5" thickBot="1" x14ac:dyDescent="0.3">
      <c r="A18" s="56">
        <v>1</v>
      </c>
      <c r="B18" s="40" t="s">
        <v>50</v>
      </c>
      <c r="C18" s="41"/>
      <c r="D18" s="57"/>
      <c r="E18" s="62" t="s">
        <v>43</v>
      </c>
      <c r="F18" s="58">
        <v>105600</v>
      </c>
      <c r="G18" s="56">
        <v>2.5</v>
      </c>
      <c r="H18" s="61">
        <f t="shared" ref="H18" si="0">G18*F18</f>
        <v>264000</v>
      </c>
    </row>
    <row r="19" spans="1:10" ht="16.5" thickBot="1" x14ac:dyDescent="0.3">
      <c r="A19" s="66"/>
      <c r="B19" s="40"/>
      <c r="D19" s="39"/>
    </row>
    <row r="20" spans="1:10" ht="19.5" thickBot="1" x14ac:dyDescent="0.35">
      <c r="A20" s="63" t="s">
        <v>26</v>
      </c>
      <c r="B20" s="12" t="s">
        <v>51</v>
      </c>
      <c r="C20" s="13"/>
      <c r="D20" s="14"/>
      <c r="E20" s="13"/>
      <c r="F20" s="42" t="s">
        <v>32</v>
      </c>
      <c r="G20" s="13"/>
      <c r="H20" s="7"/>
    </row>
    <row r="21" spans="1:10" ht="16.5" thickBot="1" x14ac:dyDescent="0.3">
      <c r="A21" s="64"/>
      <c r="B21" s="17" t="s">
        <v>52</v>
      </c>
      <c r="C21" s="4"/>
      <c r="D21" s="4"/>
      <c r="E21" s="43" t="s">
        <v>27</v>
      </c>
      <c r="F21" s="44"/>
      <c r="G21" s="26"/>
      <c r="H21" s="52">
        <f>H18</f>
        <v>264000</v>
      </c>
    </row>
    <row r="22" spans="1:10" ht="16.5" thickBot="1" x14ac:dyDescent="0.3">
      <c r="A22" s="27" t="s">
        <v>28</v>
      </c>
      <c r="B22" s="13"/>
      <c r="C22" s="13"/>
      <c r="D22" s="14"/>
      <c r="E22" s="3" t="s">
        <v>34</v>
      </c>
      <c r="F22" s="60"/>
      <c r="G22" s="46">
        <v>0.19</v>
      </c>
      <c r="H22" s="53">
        <f>H21*G22</f>
        <v>50160</v>
      </c>
    </row>
    <row r="23" spans="1:10" ht="16.5" thickTop="1" x14ac:dyDescent="0.25">
      <c r="A23" s="15" t="s">
        <v>35</v>
      </c>
      <c r="D23" s="16"/>
      <c r="E23" s="44" t="s">
        <v>29</v>
      </c>
      <c r="G23">
        <v>0</v>
      </c>
      <c r="H23" s="47"/>
    </row>
    <row r="24" spans="1:10" ht="15.75" x14ac:dyDescent="0.25">
      <c r="A24" s="15" t="s">
        <v>49</v>
      </c>
      <c r="D24" s="16"/>
      <c r="F24" s="44"/>
      <c r="G24" s="26"/>
      <c r="H24" s="48"/>
    </row>
    <row r="25" spans="1:10" ht="16.5" thickBot="1" x14ac:dyDescent="0.3">
      <c r="A25" s="15" t="s">
        <v>38</v>
      </c>
      <c r="D25" s="16"/>
      <c r="E25" s="44" t="s">
        <v>30</v>
      </c>
      <c r="F25" s="44"/>
      <c r="G25" s="26"/>
      <c r="H25" s="49"/>
    </row>
    <row r="26" spans="1:10" ht="19.5" thickBot="1" x14ac:dyDescent="0.35">
      <c r="A26" s="17"/>
      <c r="B26" s="4"/>
      <c r="C26" s="4"/>
      <c r="D26" s="18"/>
      <c r="F26" s="3"/>
      <c r="G26" s="45" t="s">
        <v>31</v>
      </c>
      <c r="H26" s="54">
        <f>H21+H22</f>
        <v>314160</v>
      </c>
    </row>
    <row r="28" spans="1:10" ht="15.75" thickBot="1" x14ac:dyDescent="0.3"/>
    <row r="29" spans="1:10" ht="19.5" thickBot="1" x14ac:dyDescent="0.35">
      <c r="A29" s="28" t="s">
        <v>39</v>
      </c>
      <c r="B29" s="6"/>
      <c r="C29" s="6"/>
      <c r="D29" s="6"/>
      <c r="E29" s="6"/>
      <c r="F29" s="6"/>
      <c r="G29" s="6"/>
      <c r="H29" s="7"/>
    </row>
    <row r="30" spans="1:10" ht="19.5" customHeight="1" x14ac:dyDescent="0.25">
      <c r="I30" s="38"/>
      <c r="J30" s="38"/>
    </row>
    <row r="31" spans="1:10" ht="19.5" customHeight="1" x14ac:dyDescent="0.25"/>
    <row r="32" spans="1:10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50" spans="1:1" ht="16.5" customHeight="1" x14ac:dyDescent="0.25"/>
    <row r="64" spans="1:1" ht="18.75" x14ac:dyDescent="0.3">
      <c r="A64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AGROMETALICAS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2024-07-11T20:45:15Z</dcterms:modified>
</cp:coreProperties>
</file>