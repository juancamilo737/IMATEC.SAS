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400~4800\"/>
    </mc:Choice>
  </mc:AlternateContent>
  <xr:revisionPtr revIDLastSave="0" documentId="13_ncr:1_{286786D3-21BE-45E7-8ED1-5B8929A8E97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LAMINCORTES S.A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1" l="1"/>
  <c r="H18" i="1" s="1"/>
  <c r="H19" i="1" l="1"/>
  <c r="H23" i="1" l="1"/>
</calcChain>
</file>

<file path=xl/sharedStrings.xml><?xml version="1.0" encoding="utf-8"?>
<sst xmlns="http://schemas.openxmlformats.org/spreadsheetml/2006/main" count="56" uniqueCount="56">
  <si>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</si>
  <si>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</si>
  <si>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</si>
  <si>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</si>
  <si>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</si>
  <si>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</si>
  <si>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</si>
  <si>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</si>
  <si>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</si>
  <si>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</si>
  <si>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</si>
  <si>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</si>
  <si>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</si>
  <si>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</si>
  <si>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</si>
  <si>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</si>
  <si>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</si>
  <si>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</si>
  <si>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</si>
  <si>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</si>
  <si>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</si>
  <si>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</si>
  <si>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</si>
  <si>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</si>
  <si>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</si>
  <si>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</si>
  <si>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</si>
  <si>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</si>
  <si>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</si>
  <si>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TOTAL</t>
  </si>
  <si>
    <t>ITEM</t>
  </si>
  <si>
    <t>SE ENTREGA EN CALI</t>
  </si>
  <si>
    <t xml:space="preserve">         LINEA  COMERCIALIZACION</t>
  </si>
  <si>
    <t xml:space="preserve">                                      JAVIER LOZANO TAMAYO C.C. 16´654.252</t>
  </si>
  <si>
    <t>LAMINAS Y CORTES INDUSTRIALES S.A.</t>
  </si>
  <si>
    <t>900 035068</t>
  </si>
  <si>
    <t>CALLE 1 TV. 4-79</t>
  </si>
  <si>
    <t>PALMIRA</t>
  </si>
  <si>
    <t>contabilidad@lamincortes.com</t>
  </si>
  <si>
    <t>602 5241714</t>
  </si>
  <si>
    <t>EDINSON CABEZAS</t>
  </si>
  <si>
    <t xml:space="preserve">MAS IVA  </t>
  </si>
  <si>
    <t>LA DOLORES</t>
  </si>
  <si>
    <t xml:space="preserve">                                     </t>
  </si>
  <si>
    <t>L I Q U I D A C I O N</t>
  </si>
  <si>
    <t xml:space="preserve">  RETEICA</t>
  </si>
  <si>
    <t xml:space="preserve">  CALLE  33A  No. 17F - 56                           B/  LA FLORESTA             -   CALI    -                                       CEL.     321 7834969</t>
  </si>
  <si>
    <t>FORMA DE PAGO :  CREDITO A 30 DIAS</t>
  </si>
  <si>
    <t xml:space="preserve">           C O T I Z A C I O N</t>
  </si>
  <si>
    <t>10 DIAS</t>
  </si>
  <si>
    <t>No. 27</t>
  </si>
  <si>
    <t>TUBERIA  A / C  SCH 80  4 "  X  2  MTS</t>
  </si>
  <si>
    <t>TRAMO</t>
  </si>
  <si>
    <t>CUATROCIENTOS NOVENTA Y NUEVE MIL OCHOCIENTOS</t>
  </si>
  <si>
    <t>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</si>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</sst>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15" xfId="0" applyBorder="1"/>
    <xf numFmtId="42" fontId="1" fillId="0" borderId="1" xfId="0" applyNumberFormat="1" applyFont="1" applyBorder="1"/>
    <xf numFmtId="0" fontId="4" fillId="0" borderId="13" xfId="0" applyFont="1" applyBorder="1"/>
    <xf numFmtId="0" fontId="4" fillId="0" borderId="15" xfId="0" applyFont="1" applyBorder="1"/>
    <xf numFmtId="0" fontId="5" fillId="0" borderId="17" xfId="0" applyFont="1" applyBorder="1"/>
    <xf numFmtId="42" fontId="1" fillId="0" borderId="18" xfId="0" applyNumberFormat="1" applyFont="1" applyBorder="1"/>
    <xf numFmtId="0" fontId="0" fillId="0" borderId="17" xfId="0" applyBorder="1"/>
    <xf numFmtId="0" fontId="0" fillId="0" borderId="19" xfId="0" applyBorder="1"/>
    <xf numFmtId="0" fontId="1" fillId="0" borderId="9" xfId="0" applyFont="1" applyBorder="1"/>
    <xf numFmtId="0" fontId="1" fillId="0" borderId="5" xfId="0" applyFont="1" applyBorder="1" applyAlignment="1">
      <alignment horizontal="center"/>
    </xf>
    <xf numFmtId="0" fontId="0" fillId="0" borderId="3" xfId="0" applyBorder="1"/>
    <xf numFmtId="0" fontId="0" fillId="0" borderId="20" xfId="0" applyBorder="1"/>
    <xf numFmtId="0" fontId="1" fillId="0" borderId="16" xfId="0" applyFont="1" applyBorder="1" applyAlignment="1">
      <alignment horizontal="center"/>
    </xf>
    <xf numFmtId="0" fontId="0" fillId="0" borderId="21" xfId="0" applyBorder="1"/>
    <xf numFmtId="0" fontId="1" fillId="0" borderId="22" xfId="0" applyFont="1" applyBorder="1" applyAlignment="1">
      <alignment horizontal="center"/>
    </xf>
    <xf numFmtId="0" fontId="8" fillId="0" borderId="23" xfId="0" applyFont="1" applyBorder="1"/>
    <xf numFmtId="0" fontId="8" fillId="0" borderId="24" xfId="0" applyFont="1" applyBorder="1"/>
    <xf numFmtId="0" fontId="1" fillId="0" borderId="23" xfId="0" applyFont="1" applyBorder="1" applyAlignment="1">
      <alignment horizontal="center"/>
    </xf>
    <xf numFmtId="42" fontId="1" fillId="0" borderId="24" xfId="1" applyFont="1" applyBorder="1" applyAlignment="1">
      <alignment horizontal="center"/>
    </xf>
    <xf numFmtId="0" fontId="5" fillId="0" borderId="4" xfId="0" applyFont="1" applyBorder="1"/>
    <xf numFmtId="0" fontId="4" fillId="0" borderId="25" xfId="0" applyFont="1" applyBorder="1"/>
    <xf numFmtId="0" fontId="4" fillId="0" borderId="23" xfId="0" applyFont="1" applyBorder="1"/>
    <xf numFmtId="0" fontId="0" fillId="0" borderId="26" xfId="0" applyBorder="1"/>
    <xf numFmtId="0" fontId="4" fillId="0" borderId="9" xfId="0" applyFont="1" applyBorder="1"/>
    <xf numFmtId="9" fontId="1" fillId="0" borderId="27" xfId="0" applyNumberFormat="1" applyFont="1" applyBorder="1"/>
    <xf numFmtId="0" fontId="4" fillId="0" borderId="19" xfId="0" applyFont="1" applyBorder="1"/>
    <xf numFmtId="10" fontId="1" fillId="0" borderId="28" xfId="0" applyNumberFormat="1" applyFont="1" applyBorder="1"/>
    <xf numFmtId="0" fontId="0" fillId="0" borderId="28" xfId="0" applyBorder="1"/>
    <xf numFmtId="0" fontId="0" fillId="0" borderId="29" xfId="0" applyBorder="1"/>
    <xf numFmtId="0" fontId="4" fillId="0" borderId="30" xfId="0" applyFont="1" applyBorder="1"/>
    <xf numFmtId="0" fontId="0" fillId="0" borderId="31" xfId="0" applyBorder="1"/>
    <xf numFmtId="0" fontId="0" fillId="0" borderId="25" xfId="0" applyBorder="1"/>
    <xf numFmtId="0" fontId="0" fillId="0" borderId="23" xfId="0" applyBorder="1"/>
    <xf numFmtId="0" fontId="0" fillId="0" borderId="32" xfId="0" applyBorder="1"/>
    <xf numFmtId="0" fontId="0" fillId="0" borderId="27" xfId="0" applyBorder="1"/>
    <xf numFmtId="0" fontId="13" fillId="0" borderId="19" xfId="2" applyBorder="1"/>
    <xf numFmtId="0" fontId="0" fillId="0" borderId="30" xfId="0" applyBorder="1"/>
    <xf numFmtId="0" fontId="1" fillId="0" borderId="28" xfId="0" applyFont="1" applyBorder="1"/>
    <xf numFmtId="42" fontId="12" fillId="0" borderId="33" xfId="1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19050</xdr:colOff>
      <xdr:row>0</xdr:row>
      <xdr:rowOff>1152524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lamincort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7"/>
  <sheetViews>
    <sheetView tabSelected="1" zoomScaleNormal="100" workbookViewId="0">
      <selection activeCell="M19" sqref="L19:M19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6" customWidth="1"/>
  </cols>
  <sheetData>
    <row r="1" spans="1:10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10" ht="20.25" customHeight="1" thickBot="1" x14ac:dyDescent="0.4">
      <c r="D2" s="2" t="s">
        <v>32</v>
      </c>
    </row>
    <row r="3" spans="1:10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10" ht="21.75" thickBot="1" x14ac:dyDescent="0.4">
      <c r="A4" s="27" t="s">
        <v>8</v>
      </c>
      <c r="B4" s="6"/>
      <c r="C4" s="6"/>
      <c r="D4" s="28" t="s">
        <v>33</v>
      </c>
      <c r="E4" s="18"/>
      <c r="F4" s="19"/>
      <c r="G4" s="6"/>
      <c r="H4" s="7"/>
    </row>
    <row r="5" spans="1:10" ht="24.75" customHeight="1" thickBot="1" x14ac:dyDescent="0.45">
      <c r="F5" s="11" t="s">
        <v>48</v>
      </c>
      <c r="G5" s="18"/>
      <c r="H5" s="19"/>
    </row>
    <row r="6" spans="1:10" ht="19.5" thickBot="1" x14ac:dyDescent="0.35">
      <c r="A6" s="20" t="s">
        <v>15</v>
      </c>
      <c r="B6" s="13"/>
      <c r="C6" s="29" t="s">
        <v>34</v>
      </c>
      <c r="D6" s="13"/>
      <c r="E6" s="14"/>
      <c r="F6" s="26" t="s">
        <v>43</v>
      </c>
      <c r="G6" s="18"/>
      <c r="H6" s="19" t="s">
        <v>50</v>
      </c>
    </row>
    <row r="7" spans="1:10" ht="18.75" x14ac:dyDescent="0.3">
      <c r="A7" s="21" t="s">
        <v>9</v>
      </c>
      <c r="C7" s="68" t="s">
        <v>35</v>
      </c>
      <c r="D7" s="69"/>
      <c r="E7" s="59"/>
      <c r="F7" s="12"/>
      <c r="G7" s="13"/>
      <c r="H7" s="14"/>
    </row>
    <row r="8" spans="1:10" ht="18.75" customHeight="1" x14ac:dyDescent="0.3">
      <c r="A8" s="21" t="s">
        <v>10</v>
      </c>
      <c r="C8" s="70" t="s">
        <v>36</v>
      </c>
      <c r="D8" s="23" t="s">
        <v>42</v>
      </c>
      <c r="E8" s="71" t="s">
        <v>37</v>
      </c>
      <c r="F8" s="30" t="s">
        <v>0</v>
      </c>
      <c r="H8" s="31">
        <v>45902</v>
      </c>
    </row>
    <row r="9" spans="1:10" ht="18.75" x14ac:dyDescent="0.3">
      <c r="A9" s="21" t="s">
        <v>14</v>
      </c>
      <c r="C9" s="72" t="s">
        <v>38</v>
      </c>
      <c r="D9" s="24"/>
      <c r="E9" s="64"/>
      <c r="F9" s="30" t="s">
        <v>16</v>
      </c>
      <c r="H9" s="32" t="s">
        <v>49</v>
      </c>
    </row>
    <row r="10" spans="1:10" ht="18.75" x14ac:dyDescent="0.3">
      <c r="A10" s="21" t="s">
        <v>11</v>
      </c>
      <c r="C10" s="44"/>
      <c r="D10" s="24"/>
      <c r="E10" s="64"/>
      <c r="F10" s="30" t="s">
        <v>17</v>
      </c>
      <c r="G10" s="33"/>
      <c r="H10" s="31">
        <v>45911</v>
      </c>
    </row>
    <row r="11" spans="1:10" ht="18.75" x14ac:dyDescent="0.3">
      <c r="A11" s="21" t="s">
        <v>12</v>
      </c>
      <c r="C11" s="44" t="s">
        <v>39</v>
      </c>
      <c r="D11" s="24"/>
      <c r="E11" s="64"/>
      <c r="F11" s="30" t="s">
        <v>18</v>
      </c>
      <c r="H11" s="34"/>
    </row>
    <row r="12" spans="1:10" ht="18.75" customHeight="1" thickBot="1" x14ac:dyDescent="0.35">
      <c r="A12" s="22" t="s">
        <v>13</v>
      </c>
      <c r="B12" s="4"/>
      <c r="C12" s="65" t="s">
        <v>40</v>
      </c>
      <c r="D12" s="73"/>
      <c r="E12" s="67"/>
      <c r="F12" s="16"/>
      <c r="G12" s="4"/>
      <c r="H12" s="17"/>
    </row>
    <row r="13" spans="1:10" ht="15.75" thickBot="1" x14ac:dyDescent="0.3"/>
    <row r="14" spans="1:10" ht="15.75" thickBot="1" x14ac:dyDescent="0.3">
      <c r="A14" s="35" t="s">
        <v>30</v>
      </c>
      <c r="B14" s="47" t="s">
        <v>24</v>
      </c>
      <c r="C14" s="18"/>
      <c r="D14" s="48"/>
      <c r="E14" s="46" t="s">
        <v>20</v>
      </c>
      <c r="F14" s="49" t="s">
        <v>22</v>
      </c>
      <c r="G14" s="49" t="s">
        <v>21</v>
      </c>
      <c r="H14" s="35" t="s">
        <v>23</v>
      </c>
    </row>
    <row r="15" spans="1:10" ht="19.5" customHeight="1" thickBot="1" x14ac:dyDescent="0.3">
      <c r="A15" s="51">
        <v>1</v>
      </c>
      <c r="B15" s="52" t="s">
        <v>51</v>
      </c>
      <c r="C15" s="52"/>
      <c r="D15" s="53"/>
      <c r="E15" s="54" t="s">
        <v>52</v>
      </c>
      <c r="F15" s="75">
        <v>420000</v>
      </c>
      <c r="G15" s="76">
        <v>1</v>
      </c>
      <c r="H15" s="55">
        <f t="shared" ref="H15" si="0">F15*G15</f>
        <v>420000</v>
      </c>
      <c r="I15" s="36"/>
      <c r="J15" s="36"/>
    </row>
    <row r="16" spans="1:10" ht="15.75" thickBot="1" x14ac:dyDescent="0.3">
      <c r="A16" s="50"/>
      <c r="D16" s="37"/>
      <c r="H16" s="37"/>
    </row>
    <row r="17" spans="1:8" ht="19.5" customHeight="1" thickBot="1" x14ac:dyDescent="0.35">
      <c r="A17" s="77" t="s">
        <v>25</v>
      </c>
      <c r="B17" s="12" t="s">
        <v>53</v>
      </c>
      <c r="C17" s="13"/>
      <c r="D17" s="14"/>
      <c r="E17" s="47"/>
      <c r="F17" s="56" t="s">
        <v>44</v>
      </c>
      <c r="G17" s="6"/>
      <c r="H17" s="7"/>
    </row>
    <row r="18" spans="1:8" ht="19.5" customHeight="1" thickBot="1" x14ac:dyDescent="0.3">
      <c r="A18" s="78"/>
      <c r="B18" s="16" t="s">
        <v>54</v>
      </c>
      <c r="C18" s="4"/>
      <c r="D18" s="17"/>
      <c r="E18" s="57" t="s">
        <v>26</v>
      </c>
      <c r="F18" s="58"/>
      <c r="G18" s="59"/>
      <c r="H18" s="42">
        <f>SUM(H15:H15)</f>
        <v>420000</v>
      </c>
    </row>
    <row r="19" spans="1:8" ht="19.5" customHeight="1" x14ac:dyDescent="0.25">
      <c r="A19" s="25" t="s">
        <v>27</v>
      </c>
      <c r="B19" s="13"/>
      <c r="C19" s="13"/>
      <c r="D19" s="14"/>
      <c r="E19" s="60" t="s">
        <v>41</v>
      </c>
      <c r="F19" s="40"/>
      <c r="G19" s="61">
        <v>0.19</v>
      </c>
      <c r="H19" s="42">
        <f>H18*0.19</f>
        <v>79800</v>
      </c>
    </row>
    <row r="20" spans="1:8" ht="15.75" x14ac:dyDescent="0.25">
      <c r="A20" s="45" t="s">
        <v>47</v>
      </c>
      <c r="D20" s="15"/>
      <c r="E20" s="62" t="s">
        <v>28</v>
      </c>
      <c r="F20" s="39"/>
      <c r="G20" s="63">
        <v>2.5000000000000001E-2</v>
      </c>
      <c r="H20" s="42"/>
    </row>
    <row r="21" spans="1:8" ht="15.75" x14ac:dyDescent="0.25">
      <c r="A21" s="45" t="s">
        <v>55</v>
      </c>
      <c r="D21" s="15"/>
      <c r="E21" s="60" t="s">
        <v>45</v>
      </c>
      <c r="G21" s="74">
        <v>7.7000000000000002E-3</v>
      </c>
      <c r="H21" s="42"/>
    </row>
    <row r="22" spans="1:8" ht="16.5" thickBot="1" x14ac:dyDescent="0.3">
      <c r="A22" s="45" t="s">
        <v>31</v>
      </c>
      <c r="D22" s="15"/>
      <c r="E22" s="65"/>
      <c r="F22" s="66"/>
      <c r="G22" s="67"/>
      <c r="H22" s="43"/>
    </row>
    <row r="23" spans="1:8" ht="16.5" customHeight="1" thickBot="1" x14ac:dyDescent="0.35">
      <c r="A23" s="16"/>
      <c r="B23" s="4"/>
      <c r="C23" s="4"/>
      <c r="D23" s="17"/>
      <c r="F23" s="3"/>
      <c r="G23" s="41" t="s">
        <v>29</v>
      </c>
      <c r="H23" s="38">
        <f>H18+H19-H20-H21</f>
        <v>499800</v>
      </c>
    </row>
    <row r="25" spans="1:8" x14ac:dyDescent="0.25">
      <c r="A25" t="s">
        <v>1</v>
      </c>
    </row>
    <row r="27" spans="1:8" ht="15.75" thickBot="1" x14ac:dyDescent="0.3"/>
    <row r="28" spans="1:8" ht="19.5" thickBot="1" x14ac:dyDescent="0.35">
      <c r="A28" s="26" t="s">
        <v>46</v>
      </c>
      <c r="B28" s="6"/>
      <c r="C28" s="6"/>
      <c r="D28" s="6"/>
      <c r="E28" s="6"/>
      <c r="F28" s="6"/>
      <c r="G28" s="6"/>
      <c r="H28" s="7"/>
    </row>
    <row r="37" spans="1:1" ht="18.75" x14ac:dyDescent="0.3">
      <c r="A37" s="5"/>
    </row>
  </sheetData>
  <mergeCells count="1">
    <mergeCell ref="A17:A18"/>
  </mergeCells>
  <hyperlinks>
    <hyperlink ref="C9" r:id="rId1" xr:uid="{6984D6AB-6EC6-48F3-8D33-0853C9932D2E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LAMINCORTES S.A.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2025-04-23T17:39:04Z</cp:lastPrinted>
  <dcterms:created xsi:type="dcterms:W3CDTF">2018-11-15T17:29:02Z</dcterms:created>
  <dcterms:modified xsi:type="dcterms:W3CDTF">2025-09-02T16:48:14Z</dcterms:modified>
</cp:coreProperties>
</file>