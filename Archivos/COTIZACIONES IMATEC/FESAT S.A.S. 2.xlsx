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333177B-7A1B-4D6F-AE51-20815F2EB85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SAT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1" l="1"/>
  <c r="H32" i="1"/>
  <c r="H29" i="1"/>
  <c r="H31" i="1"/>
  <c r="H26" i="1"/>
  <c r="H25" i="1"/>
  <c r="H24" i="1"/>
  <c r="H23" i="1"/>
  <c r="H22" i="1"/>
  <c r="H21" i="1"/>
  <c r="H20" i="1"/>
  <c r="H19" i="1"/>
  <c r="H18" i="1"/>
  <c r="H17" i="1"/>
  <c r="H16" i="1" l="1"/>
  <c r="H30" i="1" l="1"/>
</calcChain>
</file>

<file path=xl/sharedStrings.xml><?xml version="1.0" encoding="utf-8"?>
<sst xmlns="http://schemas.openxmlformats.org/spreadsheetml/2006/main" count="82" uniqueCount="68">
  <si>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</si>
  <si>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</si>
  <si>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</si>
  <si>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</si>
  <si>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</si>
  <si>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</si>
  <si>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</si>
  <si>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</si>
  <si>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</si>
  <si>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</si>
  <si>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</si>
  <si>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</si>
  <si>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</si>
  <si>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</si>
  <si>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</si>
  <si>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</si>
  <si>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</si>
  <si>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</si>
  <si>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</si>
  <si>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</si>
  <si>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</si>
  <si>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</si>
  <si>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</si>
  <si>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</si>
  <si>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</si>
  <si>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</si>
  <si>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</si>
  <si>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</si>
  <si>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</si>
  <si>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</si>
  <si>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</si>
  <si>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</si>
  <si>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</si>
  <si>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</si>
  <si>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</si>
  <si>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</si>
  <si>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</si>
  <si>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</si>
  <si>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</si>
  <si>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</si>
  <si>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</si>
  <si>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FESAT  S.A.S.</t>
  </si>
  <si>
    <t>900 213827</t>
  </si>
  <si>
    <t>AV 5 Nte.  24 - 97</t>
  </si>
  <si>
    <t>CALI</t>
  </si>
  <si>
    <t>fesatsa@hotmail.com</t>
  </si>
  <si>
    <t>602 3868327</t>
  </si>
  <si>
    <t>EDINSON CABEZAS</t>
  </si>
  <si>
    <t xml:space="preserve">           C O T I Z A C I O N</t>
  </si>
  <si>
    <t>NIPLE AC/INOX 304  1/2 "  X  4 "</t>
  </si>
  <si>
    <t>FABRICACION</t>
  </si>
  <si>
    <t>NIPLE AC/INOX 304  1/2 "  X  3 "</t>
  </si>
  <si>
    <t>CODO AC/INOX 304  1/2 "  X 90 º  X  150  LBS</t>
  </si>
  <si>
    <t>VALVULA P/D BRONCE  RED WHITE  1/2 "</t>
  </si>
  <si>
    <t xml:space="preserve">SOPORTE TIPO PERA </t>
  </si>
  <si>
    <t>4 "</t>
  </si>
  <si>
    <t>3 "</t>
  </si>
  <si>
    <t>2 "</t>
  </si>
  <si>
    <t>1 "</t>
  </si>
  <si>
    <t xml:space="preserve">3/4 " </t>
  </si>
  <si>
    <t xml:space="preserve">1/2 " </t>
  </si>
  <si>
    <t xml:space="preserve">SOPORTE BEAN CLAMP </t>
  </si>
  <si>
    <t xml:space="preserve">3/8 " </t>
  </si>
  <si>
    <t xml:space="preserve">   RETEICA</t>
  </si>
  <si>
    <t>UN MILLON SETECIENTOS SETENTA Y UN MIL VEINTICUA</t>
  </si>
  <si>
    <t>TRO PESOS MDA  / CTE</t>
  </si>
  <si>
    <t>ENTREGA INMEDIATA</t>
  </si>
  <si>
    <t>No. 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</si>
</sst>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16" fontId="8" fillId="0" borderId="33" xfId="0" applyNumberFormat="1" applyFont="1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sats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9"/>
  <sheetViews>
    <sheetView tabSelected="1" zoomScaleNormal="100" workbookViewId="0">
      <selection activeCell="I8" sqref="I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8" t="s">
        <v>41</v>
      </c>
      <c r="D7" s="12"/>
      <c r="E7" s="13"/>
      <c r="F7" s="37"/>
      <c r="G7" s="18"/>
      <c r="H7" s="19" t="s">
        <v>67</v>
      </c>
    </row>
    <row r="8" spans="1:8" ht="18.75" x14ac:dyDescent="0.3">
      <c r="A8" s="21" t="s">
        <v>8</v>
      </c>
      <c r="C8" s="62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45869</v>
      </c>
    </row>
    <row r="10" spans="1:8" ht="18.75" x14ac:dyDescent="0.3">
      <c r="A10" s="21" t="s">
        <v>13</v>
      </c>
      <c r="C10" s="63" t="s">
        <v>45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45878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49</v>
      </c>
      <c r="C16" s="66"/>
      <c r="D16" s="67"/>
      <c r="E16" s="64" t="s">
        <v>50</v>
      </c>
      <c r="F16" s="68">
        <v>7995</v>
      </c>
      <c r="G16" s="64">
        <v>30</v>
      </c>
      <c r="H16" s="38">
        <f t="shared" ref="H16" si="0">G16*F16</f>
        <v>239850</v>
      </c>
    </row>
    <row r="17" spans="1:8" ht="16.5" thickBot="1" x14ac:dyDescent="0.3">
      <c r="A17" s="64">
        <v>2</v>
      </c>
      <c r="B17" s="65" t="s">
        <v>51</v>
      </c>
      <c r="C17" s="66"/>
      <c r="D17" s="67"/>
      <c r="E17" s="64" t="s">
        <v>50</v>
      </c>
      <c r="F17" s="68">
        <v>6760</v>
      </c>
      <c r="G17" s="64">
        <v>30</v>
      </c>
      <c r="H17" s="38">
        <f t="shared" ref="H17:H26" si="1">G17*F17</f>
        <v>202800</v>
      </c>
    </row>
    <row r="18" spans="1:8" ht="16.5" thickBot="1" x14ac:dyDescent="0.3">
      <c r="A18" s="64">
        <v>3</v>
      </c>
      <c r="B18" s="65" t="s">
        <v>52</v>
      </c>
      <c r="C18" s="66"/>
      <c r="D18" s="67"/>
      <c r="E18" s="64" t="s">
        <v>38</v>
      </c>
      <c r="F18" s="68">
        <v>4160</v>
      </c>
      <c r="G18" s="64">
        <v>30</v>
      </c>
      <c r="H18" s="38">
        <f t="shared" si="1"/>
        <v>124800</v>
      </c>
    </row>
    <row r="19" spans="1:8" ht="16.5" thickBot="1" x14ac:dyDescent="0.3">
      <c r="A19" s="64">
        <v>4</v>
      </c>
      <c r="B19" s="65" t="s">
        <v>53</v>
      </c>
      <c r="C19" s="66"/>
      <c r="D19" s="67"/>
      <c r="E19" s="64" t="s">
        <v>38</v>
      </c>
      <c r="F19" s="68">
        <v>66300</v>
      </c>
      <c r="G19" s="64">
        <v>12</v>
      </c>
      <c r="H19" s="38">
        <f t="shared" si="1"/>
        <v>795600</v>
      </c>
    </row>
    <row r="20" spans="1:8" ht="16.5" thickBot="1" x14ac:dyDescent="0.3">
      <c r="A20" s="64">
        <v>5</v>
      </c>
      <c r="B20" s="65" t="s">
        <v>54</v>
      </c>
      <c r="C20" s="66"/>
      <c r="D20" s="67" t="s">
        <v>55</v>
      </c>
      <c r="E20" s="64" t="s">
        <v>38</v>
      </c>
      <c r="F20" s="68">
        <v>4659</v>
      </c>
      <c r="G20" s="64">
        <v>10</v>
      </c>
      <c r="H20" s="38">
        <f t="shared" si="1"/>
        <v>46590</v>
      </c>
    </row>
    <row r="21" spans="1:8" ht="16.5" thickBot="1" x14ac:dyDescent="0.3">
      <c r="A21" s="64">
        <v>6</v>
      </c>
      <c r="B21" s="65" t="s">
        <v>54</v>
      </c>
      <c r="C21" s="66"/>
      <c r="D21" s="67" t="s">
        <v>56</v>
      </c>
      <c r="E21" s="64" t="s">
        <v>38</v>
      </c>
      <c r="F21" s="68">
        <v>4117</v>
      </c>
      <c r="G21" s="64">
        <v>8</v>
      </c>
      <c r="H21" s="38">
        <f t="shared" si="1"/>
        <v>32936</v>
      </c>
    </row>
    <row r="22" spans="1:8" ht="16.5" thickBot="1" x14ac:dyDescent="0.3">
      <c r="A22" s="64">
        <v>7</v>
      </c>
      <c r="B22" s="65" t="s">
        <v>54</v>
      </c>
      <c r="C22" s="66"/>
      <c r="D22" s="67" t="s">
        <v>57</v>
      </c>
      <c r="E22" s="64" t="s">
        <v>38</v>
      </c>
      <c r="F22" s="68">
        <v>1552</v>
      </c>
      <c r="G22" s="64">
        <v>8</v>
      </c>
      <c r="H22" s="38">
        <f t="shared" si="1"/>
        <v>12416</v>
      </c>
    </row>
    <row r="23" spans="1:8" ht="16.5" thickBot="1" x14ac:dyDescent="0.3">
      <c r="A23" s="64">
        <v>8</v>
      </c>
      <c r="B23" s="65" t="s">
        <v>54</v>
      </c>
      <c r="C23" s="66"/>
      <c r="D23" s="67" t="s">
        <v>58</v>
      </c>
      <c r="E23" s="64" t="s">
        <v>38</v>
      </c>
      <c r="F23" s="68">
        <v>1701</v>
      </c>
      <c r="G23" s="64">
        <v>10</v>
      </c>
      <c r="H23" s="38">
        <f t="shared" si="1"/>
        <v>17010</v>
      </c>
    </row>
    <row r="24" spans="1:8" ht="16.5" thickBot="1" x14ac:dyDescent="0.3">
      <c r="A24" s="64">
        <v>9</v>
      </c>
      <c r="B24" s="65" t="s">
        <v>54</v>
      </c>
      <c r="C24" s="66"/>
      <c r="D24" s="67" t="s">
        <v>59</v>
      </c>
      <c r="E24" s="64" t="s">
        <v>38</v>
      </c>
      <c r="F24" s="68">
        <v>1687</v>
      </c>
      <c r="G24" s="64">
        <v>15</v>
      </c>
      <c r="H24" s="38">
        <f t="shared" si="1"/>
        <v>25305</v>
      </c>
    </row>
    <row r="25" spans="1:8" ht="16.5" thickBot="1" x14ac:dyDescent="0.3">
      <c r="A25" s="64">
        <v>10</v>
      </c>
      <c r="B25" s="65" t="s">
        <v>54</v>
      </c>
      <c r="C25" s="66"/>
      <c r="D25" s="67" t="s">
        <v>60</v>
      </c>
      <c r="E25" s="64" t="s">
        <v>38</v>
      </c>
      <c r="F25" s="68">
        <v>1552</v>
      </c>
      <c r="G25" s="64">
        <v>15</v>
      </c>
      <c r="H25" s="38">
        <f t="shared" si="1"/>
        <v>23280</v>
      </c>
    </row>
    <row r="26" spans="1:8" ht="16.5" thickBot="1" x14ac:dyDescent="0.3">
      <c r="A26" s="64">
        <v>11</v>
      </c>
      <c r="B26" s="65" t="s">
        <v>61</v>
      </c>
      <c r="C26" s="66"/>
      <c r="D26" s="70" t="s">
        <v>62</v>
      </c>
      <c r="E26" s="64" t="s">
        <v>38</v>
      </c>
      <c r="F26" s="68">
        <v>486</v>
      </c>
      <c r="G26" s="64">
        <v>20</v>
      </c>
      <c r="H26" s="38">
        <f t="shared" si="1"/>
        <v>9720</v>
      </c>
    </row>
    <row r="27" spans="1:8" ht="19.5" customHeight="1" thickBot="1" x14ac:dyDescent="0.3">
      <c r="A27" s="46"/>
      <c r="B27" s="60"/>
      <c r="D27" s="61"/>
      <c r="E27" s="46"/>
      <c r="F27" s="46"/>
      <c r="G27" s="46"/>
    </row>
    <row r="28" spans="1:8" ht="19.5" customHeight="1" thickBot="1" x14ac:dyDescent="0.35">
      <c r="A28" s="59" t="s">
        <v>23</v>
      </c>
      <c r="B28" s="62" t="s">
        <v>64</v>
      </c>
      <c r="C28" s="12"/>
      <c r="D28" s="13"/>
      <c r="E28" s="47"/>
      <c r="F28" s="37" t="s">
        <v>39</v>
      </c>
      <c r="G28" s="6"/>
      <c r="H28" s="7"/>
    </row>
    <row r="29" spans="1:8" ht="19.5" customHeight="1" thickBot="1" x14ac:dyDescent="0.3">
      <c r="A29" s="39"/>
      <c r="B29" s="16" t="s">
        <v>65</v>
      </c>
      <c r="C29" s="4"/>
      <c r="D29" s="17"/>
      <c r="E29" s="50" t="s">
        <v>24</v>
      </c>
      <c r="F29" s="51"/>
      <c r="G29" s="44"/>
      <c r="H29" s="48">
        <f>SUM(H16:H26)</f>
        <v>1530307</v>
      </c>
    </row>
    <row r="30" spans="1:8" ht="19.5" customHeight="1" x14ac:dyDescent="0.25">
      <c r="A30" s="24" t="s">
        <v>25</v>
      </c>
      <c r="B30" s="12"/>
      <c r="C30" s="12"/>
      <c r="D30" s="12"/>
      <c r="E30" s="52" t="s">
        <v>29</v>
      </c>
      <c r="F30" s="23"/>
      <c r="G30" s="53">
        <v>0.19</v>
      </c>
      <c r="H30" s="40">
        <f>H29*G30</f>
        <v>290758.33</v>
      </c>
    </row>
    <row r="31" spans="1:8" ht="19.5" customHeight="1" x14ac:dyDescent="0.25">
      <c r="A31" s="14" t="s">
        <v>30</v>
      </c>
      <c r="E31" s="54" t="s">
        <v>26</v>
      </c>
      <c r="G31" s="57">
        <v>2.5000000000000001E-2</v>
      </c>
      <c r="H31" s="49">
        <f>H29*G31</f>
        <v>38257.675000000003</v>
      </c>
    </row>
    <row r="32" spans="1:8" ht="15.75" x14ac:dyDescent="0.25">
      <c r="A32" s="14" t="s">
        <v>66</v>
      </c>
      <c r="E32" s="52" t="s">
        <v>63</v>
      </c>
      <c r="F32" s="33"/>
      <c r="G32" s="71">
        <v>7.7000000000000002E-3</v>
      </c>
      <c r="H32" s="49">
        <f>H29*G32</f>
        <v>11783.3639</v>
      </c>
    </row>
    <row r="33" spans="1:8" ht="16.5" thickBot="1" x14ac:dyDescent="0.3">
      <c r="A33" s="14" t="s">
        <v>33</v>
      </c>
      <c r="E33" s="55" t="s">
        <v>27</v>
      </c>
      <c r="F33" s="56"/>
      <c r="G33" s="45"/>
      <c r="H33" s="17"/>
    </row>
    <row r="34" spans="1:8" ht="19.5" thickBot="1" x14ac:dyDescent="0.35">
      <c r="A34" s="16"/>
      <c r="B34" s="4"/>
      <c r="C34" s="4"/>
      <c r="D34" s="17"/>
      <c r="F34" s="3"/>
      <c r="G34" s="34" t="s">
        <v>28</v>
      </c>
      <c r="H34" s="36">
        <f>H29+H30-H31-H32</f>
        <v>1771024.2911</v>
      </c>
    </row>
    <row r="35" spans="1:8" ht="16.5" customHeight="1" x14ac:dyDescent="0.25"/>
    <row r="40" spans="1:8" ht="15.75" thickBot="1" x14ac:dyDescent="0.3"/>
    <row r="41" spans="1:8" ht="19.5" thickBot="1" x14ac:dyDescent="0.35">
      <c r="A41" s="25" t="s">
        <v>40</v>
      </c>
      <c r="B41" s="6"/>
      <c r="C41" s="6"/>
      <c r="D41" s="6"/>
      <c r="E41" s="6"/>
      <c r="F41" s="6"/>
      <c r="G41" s="6"/>
      <c r="H41" s="7"/>
    </row>
    <row r="49" spans="1:1" ht="18.75" x14ac:dyDescent="0.3">
      <c r="A4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FESAT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2025-07-31T21:58:22Z</dcterms:modified>
</cp:coreProperties>
</file>