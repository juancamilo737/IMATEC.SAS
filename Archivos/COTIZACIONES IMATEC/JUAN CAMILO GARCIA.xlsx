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D4CF6DE-6FDA-487A-8698-AD4F701449B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JUAN CAMIL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1" l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34" i="1" l="1"/>
  <c r="H38" i="1" s="1"/>
</calcChain>
</file>

<file path=xl/sharedStrings.xml><?xml version="1.0" encoding="utf-8"?>
<sst xmlns="http://schemas.openxmlformats.org/spreadsheetml/2006/main" count="80" uniqueCount="67">
  <si>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</si>
  <si>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</si>
  <si>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</si>
  <si>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</si>
  <si>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</si>
  <si>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</si>
  <si>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</si>
  <si>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</si>
  <si>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</si>
  <si>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</si>
  <si>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</si>
  <si>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</si>
  <si>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</si>
  <si>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</si>
  <si>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</si>
  <si>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</si>
  <si>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</si>
  <si>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</si>
  <si>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</si>
  <si>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</si>
  <si>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</si>
  <si>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</si>
  <si>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</si>
  <si>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</si>
  <si>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</si>
  <si>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</si>
  <si>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</si>
  <si>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</si>
  <si>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</si>
  <si>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</si>
  <si>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</si>
  <si>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</si>
  <si>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</si>
  <si>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</si>
  <si>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</si>
  <si>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</si>
  <si>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</si>
  <si>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</si>
  <si>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</si>
  <si>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</si>
  <si>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JUAN CAMILO GARCIA BEJARANO</t>
  </si>
  <si>
    <t>1143 858320</t>
  </si>
  <si>
    <t>CRA 41 B  No. 10A-16</t>
  </si>
  <si>
    <t>JAMUNDI</t>
  </si>
  <si>
    <t>juan-k1231@hotmail.com</t>
  </si>
  <si>
    <t>602 4849810</t>
  </si>
  <si>
    <t>EDINSON CABEZAS</t>
  </si>
  <si>
    <t xml:space="preserve">             R E M I S I O N</t>
  </si>
  <si>
    <t>CHEQUE VERTICAL BRONCE  1 " ITALIANO</t>
  </si>
  <si>
    <t>VALVULA SEGURIDAD 1/2 "  X  125 LBS ZAFETTI</t>
  </si>
  <si>
    <t>MANOMETRO CARATULA 2 1/2 " 0-100 PSI GLICER</t>
  </si>
  <si>
    <t>NIPLE GALVANIZADO  1/4 "  X  3 "</t>
  </si>
  <si>
    <t>FABRICACION</t>
  </si>
  <si>
    <t xml:space="preserve">TEE GALVANIZADA  1/4 " </t>
  </si>
  <si>
    <t>CODO GALVANIZADO  1/4 "  X  90 º</t>
  </si>
  <si>
    <t>ADAPTADOR MACHO PVC PRESION 1 "</t>
  </si>
  <si>
    <t>REDUCCION BUJE PVC PRESION 1 "  X  1/2 " ROSCA</t>
  </si>
  <si>
    <t>REDUCCION BUJE PVC PRESION 1 1/2 "  X  1/2 " P/S</t>
  </si>
  <si>
    <t>TEE PVC PRESION 1 "</t>
  </si>
  <si>
    <t>TEE PVC PRESION 1 1/2  "</t>
  </si>
  <si>
    <t>CODO PVC PRESION 1 "  X  90 º</t>
  </si>
  <si>
    <t>VALVULA DE BOLA PVC PRESION  1/2  "</t>
  </si>
  <si>
    <t>REDUCCION BUSHING GALVANIZADO 1/2 " X 1/4 "</t>
  </si>
  <si>
    <t>ENTREGA INMEDIATA</t>
  </si>
  <si>
    <t>UNIVERSAL PVC PRESION 1/2 "</t>
  </si>
  <si>
    <t>CUATROCIENTOS NOVENTA Y UN MIL CIENTO ONCE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</si>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</sst>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0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42" fontId="11" fillId="0" borderId="31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an-k123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3"/>
  <sheetViews>
    <sheetView tabSelected="1" topLeftCell="A16" zoomScaleNormal="100" workbookViewId="0">
      <selection activeCell="J35" sqref="J3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5" t="s">
        <v>41</v>
      </c>
      <c r="D8" s="66"/>
      <c r="E8" s="44"/>
      <c r="H8" s="15"/>
    </row>
    <row r="9" spans="1:8" ht="18.75" customHeight="1" x14ac:dyDescent="0.3">
      <c r="A9" s="21" t="s">
        <v>9</v>
      </c>
      <c r="C9" s="67" t="s">
        <v>42</v>
      </c>
      <c r="D9" s="23"/>
      <c r="E9" s="68" t="s">
        <v>43</v>
      </c>
      <c r="F9" s="30" t="s">
        <v>0</v>
      </c>
      <c r="H9" s="28">
        <v>45853</v>
      </c>
    </row>
    <row r="10" spans="1:8" ht="18.75" x14ac:dyDescent="0.3">
      <c r="A10" s="21" t="s">
        <v>13</v>
      </c>
      <c r="C10" s="69" t="s">
        <v>44</v>
      </c>
      <c r="D10" s="64"/>
      <c r="E10" s="45"/>
      <c r="F10" s="30" t="s">
        <v>15</v>
      </c>
      <c r="H10" s="29"/>
    </row>
    <row r="11" spans="1:8" ht="18.75" x14ac:dyDescent="0.3">
      <c r="A11" s="21" t="s">
        <v>10</v>
      </c>
      <c r="C11" s="70"/>
      <c r="D11" s="64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70" t="s">
        <v>45</v>
      </c>
      <c r="D12" s="64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1" t="s">
        <v>46</v>
      </c>
      <c r="D13" s="72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3">
        <v>1</v>
      </c>
      <c r="B16" s="74" t="s">
        <v>48</v>
      </c>
      <c r="C16" s="75"/>
      <c r="D16" s="76"/>
      <c r="E16" s="73" t="s">
        <v>37</v>
      </c>
      <c r="F16" s="77">
        <v>45000</v>
      </c>
      <c r="G16" s="73">
        <v>2</v>
      </c>
      <c r="H16" s="38">
        <f t="shared" ref="H16" si="0">G16*F16</f>
        <v>90000</v>
      </c>
    </row>
    <row r="17" spans="1:8" ht="16.5" thickBot="1" x14ac:dyDescent="0.3">
      <c r="A17" s="73">
        <v>2</v>
      </c>
      <c r="B17" s="74" t="s">
        <v>49</v>
      </c>
      <c r="C17" s="75"/>
      <c r="D17" s="76"/>
      <c r="E17" s="73" t="s">
        <v>37</v>
      </c>
      <c r="F17" s="77">
        <v>210000</v>
      </c>
      <c r="G17" s="73">
        <v>1</v>
      </c>
      <c r="H17" s="38">
        <f t="shared" ref="H17:H29" si="1">G17*F17</f>
        <v>210000</v>
      </c>
    </row>
    <row r="18" spans="1:8" ht="16.5" thickBot="1" x14ac:dyDescent="0.3">
      <c r="A18" s="73">
        <v>3</v>
      </c>
      <c r="B18" s="74" t="s">
        <v>50</v>
      </c>
      <c r="C18" s="75"/>
      <c r="D18" s="76"/>
      <c r="E18" s="73" t="s">
        <v>37</v>
      </c>
      <c r="F18" s="77">
        <v>45000</v>
      </c>
      <c r="G18" s="73">
        <v>1</v>
      </c>
      <c r="H18" s="38">
        <f t="shared" si="1"/>
        <v>45000</v>
      </c>
    </row>
    <row r="19" spans="1:8" ht="16.5" thickBot="1" x14ac:dyDescent="0.3">
      <c r="A19" s="73">
        <v>4</v>
      </c>
      <c r="B19" s="74" t="s">
        <v>51</v>
      </c>
      <c r="C19" s="75"/>
      <c r="D19" s="76"/>
      <c r="E19" s="73" t="s">
        <v>52</v>
      </c>
      <c r="F19" s="77">
        <v>3000</v>
      </c>
      <c r="G19" s="73">
        <v>3</v>
      </c>
      <c r="H19" s="38">
        <f t="shared" si="1"/>
        <v>9000</v>
      </c>
    </row>
    <row r="20" spans="1:8" ht="16.5" thickBot="1" x14ac:dyDescent="0.3">
      <c r="A20" s="73">
        <v>5</v>
      </c>
      <c r="B20" s="74" t="s">
        <v>53</v>
      </c>
      <c r="C20" s="75"/>
      <c r="D20" s="76"/>
      <c r="E20" s="73" t="s">
        <v>37</v>
      </c>
      <c r="F20" s="77">
        <v>3982</v>
      </c>
      <c r="G20" s="73">
        <v>1</v>
      </c>
      <c r="H20" s="38">
        <f t="shared" si="1"/>
        <v>3982</v>
      </c>
    </row>
    <row r="21" spans="1:8" ht="16.5" thickBot="1" x14ac:dyDescent="0.3">
      <c r="A21" s="73">
        <v>6</v>
      </c>
      <c r="B21" s="74" t="s">
        <v>54</v>
      </c>
      <c r="C21" s="75"/>
      <c r="D21" s="76"/>
      <c r="E21" s="73" t="s">
        <v>37</v>
      </c>
      <c r="F21" s="77">
        <v>3100</v>
      </c>
      <c r="G21" s="73">
        <v>2</v>
      </c>
      <c r="H21" s="38">
        <f t="shared" si="1"/>
        <v>6200</v>
      </c>
    </row>
    <row r="22" spans="1:8" ht="16.5" thickBot="1" x14ac:dyDescent="0.3">
      <c r="A22" s="73">
        <v>7</v>
      </c>
      <c r="B22" s="74" t="s">
        <v>55</v>
      </c>
      <c r="C22" s="75"/>
      <c r="D22" s="76"/>
      <c r="E22" s="73" t="s">
        <v>37</v>
      </c>
      <c r="F22" s="77">
        <v>1459</v>
      </c>
      <c r="G22" s="73">
        <v>6</v>
      </c>
      <c r="H22" s="38">
        <f t="shared" si="1"/>
        <v>8754</v>
      </c>
    </row>
    <row r="23" spans="1:8" ht="16.5" thickBot="1" x14ac:dyDescent="0.3">
      <c r="A23" s="73">
        <v>8</v>
      </c>
      <c r="B23" s="74" t="s">
        <v>56</v>
      </c>
      <c r="C23" s="75"/>
      <c r="D23" s="76"/>
      <c r="E23" s="73" t="s">
        <v>37</v>
      </c>
      <c r="F23" s="77">
        <v>2200</v>
      </c>
      <c r="G23" s="73">
        <v>1</v>
      </c>
      <c r="H23" s="38">
        <f t="shared" si="1"/>
        <v>2200</v>
      </c>
    </row>
    <row r="24" spans="1:8" ht="16.5" thickBot="1" x14ac:dyDescent="0.3">
      <c r="A24" s="73">
        <v>9</v>
      </c>
      <c r="B24" s="74" t="s">
        <v>57</v>
      </c>
      <c r="C24" s="75"/>
      <c r="D24" s="76"/>
      <c r="E24" s="73" t="s">
        <v>37</v>
      </c>
      <c r="F24" s="77">
        <v>4398</v>
      </c>
      <c r="G24" s="73">
        <v>1</v>
      </c>
      <c r="H24" s="38">
        <f t="shared" si="1"/>
        <v>4398</v>
      </c>
    </row>
    <row r="25" spans="1:8" ht="16.5" thickBot="1" x14ac:dyDescent="0.3">
      <c r="A25" s="73">
        <v>10</v>
      </c>
      <c r="B25" s="74" t="s">
        <v>58</v>
      </c>
      <c r="C25" s="75"/>
      <c r="D25" s="76"/>
      <c r="E25" s="73" t="s">
        <v>37</v>
      </c>
      <c r="F25" s="77">
        <v>2435</v>
      </c>
      <c r="G25" s="73">
        <v>1</v>
      </c>
      <c r="H25" s="38">
        <f t="shared" si="1"/>
        <v>2435</v>
      </c>
    </row>
    <row r="26" spans="1:8" ht="16.5" thickBot="1" x14ac:dyDescent="0.3">
      <c r="A26" s="73">
        <v>11</v>
      </c>
      <c r="B26" s="74" t="s">
        <v>59</v>
      </c>
      <c r="C26" s="75"/>
      <c r="D26" s="76"/>
      <c r="E26" s="73" t="s">
        <v>37</v>
      </c>
      <c r="F26" s="77">
        <v>8259</v>
      </c>
      <c r="G26" s="73">
        <v>1</v>
      </c>
      <c r="H26" s="38">
        <f t="shared" si="1"/>
        <v>8259</v>
      </c>
    </row>
    <row r="27" spans="1:8" ht="16.5" thickBot="1" x14ac:dyDescent="0.3">
      <c r="A27" s="73">
        <v>12</v>
      </c>
      <c r="B27" s="74" t="s">
        <v>60</v>
      </c>
      <c r="C27" s="75"/>
      <c r="D27" s="76"/>
      <c r="E27" s="73" t="s">
        <v>37</v>
      </c>
      <c r="F27" s="77">
        <v>1760</v>
      </c>
      <c r="G27" s="73">
        <v>6</v>
      </c>
      <c r="H27" s="38">
        <f t="shared" si="1"/>
        <v>10560</v>
      </c>
    </row>
    <row r="28" spans="1:8" ht="16.5" thickBot="1" x14ac:dyDescent="0.3">
      <c r="A28" s="73">
        <v>13</v>
      </c>
      <c r="B28" s="74" t="s">
        <v>61</v>
      </c>
      <c r="C28" s="75"/>
      <c r="D28" s="76"/>
      <c r="E28" s="73" t="s">
        <v>37</v>
      </c>
      <c r="F28" s="77">
        <v>3000</v>
      </c>
      <c r="G28" s="73">
        <v>2</v>
      </c>
      <c r="H28" s="38">
        <f t="shared" si="1"/>
        <v>6000</v>
      </c>
    </row>
    <row r="29" spans="1:8" ht="16.5" thickBot="1" x14ac:dyDescent="0.3">
      <c r="A29" s="73">
        <v>14</v>
      </c>
      <c r="B29" s="74" t="s">
        <v>62</v>
      </c>
      <c r="C29" s="75"/>
      <c r="D29" s="76"/>
      <c r="E29" s="73" t="s">
        <v>37</v>
      </c>
      <c r="F29" s="77">
        <v>2800</v>
      </c>
      <c r="G29" s="73">
        <v>1</v>
      </c>
      <c r="H29" s="38">
        <f t="shared" si="1"/>
        <v>2800</v>
      </c>
    </row>
    <row r="30" spans="1:8" ht="16.5" thickBot="1" x14ac:dyDescent="0.3">
      <c r="A30" s="73">
        <v>15</v>
      </c>
      <c r="B30" s="74" t="s">
        <v>64</v>
      </c>
      <c r="C30" s="75"/>
      <c r="D30" s="76"/>
      <c r="E30" s="73" t="s">
        <v>37</v>
      </c>
      <c r="F30" s="77">
        <v>3110</v>
      </c>
      <c r="G30" s="73">
        <v>1</v>
      </c>
      <c r="H30" s="38">
        <f t="shared" ref="H30" si="2">G30*F30</f>
        <v>3110</v>
      </c>
    </row>
    <row r="31" spans="1:8" ht="19.5" customHeight="1" thickBot="1" x14ac:dyDescent="0.3">
      <c r="A31" s="47"/>
      <c r="B31" s="61"/>
      <c r="D31" s="62"/>
      <c r="E31" s="47"/>
      <c r="F31" s="47"/>
      <c r="G31" s="47"/>
    </row>
    <row r="32" spans="1:8" ht="19.5" customHeight="1" thickBot="1" x14ac:dyDescent="0.35">
      <c r="A32" s="60" t="s">
        <v>23</v>
      </c>
      <c r="B32" s="63" t="s">
        <v>65</v>
      </c>
      <c r="C32" s="12"/>
      <c r="D32" s="13"/>
      <c r="E32" s="48"/>
      <c r="F32" s="37" t="s">
        <v>38</v>
      </c>
      <c r="G32" s="6"/>
      <c r="H32" s="7"/>
    </row>
    <row r="33" spans="1:8" ht="19.5" customHeight="1" thickBot="1" x14ac:dyDescent="0.3">
      <c r="A33" s="39"/>
      <c r="B33" s="16" t="s">
        <v>66</v>
      </c>
      <c r="C33" s="4"/>
      <c r="D33" s="17"/>
      <c r="E33" s="51" t="s">
        <v>24</v>
      </c>
      <c r="F33" s="52"/>
      <c r="G33" s="44"/>
      <c r="H33" s="49">
        <f>SUM(H16:H30)</f>
        <v>412698</v>
      </c>
    </row>
    <row r="34" spans="1:8" ht="19.5" customHeight="1" x14ac:dyDescent="0.25">
      <c r="A34" s="24" t="s">
        <v>25</v>
      </c>
      <c r="B34" s="12"/>
      <c r="C34" s="12"/>
      <c r="D34" s="12"/>
      <c r="E34" s="53" t="s">
        <v>29</v>
      </c>
      <c r="F34" s="23"/>
      <c r="G34" s="54">
        <v>0.19</v>
      </c>
      <c r="H34" s="40">
        <f>H33*G34</f>
        <v>78412.62</v>
      </c>
    </row>
    <row r="35" spans="1:8" ht="19.5" customHeight="1" x14ac:dyDescent="0.25">
      <c r="A35" s="14" t="s">
        <v>30</v>
      </c>
      <c r="E35" s="55" t="s">
        <v>26</v>
      </c>
      <c r="G35" s="58">
        <v>2.5000000000000001E-2</v>
      </c>
      <c r="H35" s="50"/>
    </row>
    <row r="36" spans="1:8" ht="15.75" x14ac:dyDescent="0.25">
      <c r="A36" s="14" t="s">
        <v>63</v>
      </c>
      <c r="E36" s="14"/>
      <c r="F36" s="33"/>
      <c r="G36" s="45"/>
      <c r="H36" s="15"/>
    </row>
    <row r="37" spans="1:8" ht="16.5" thickBot="1" x14ac:dyDescent="0.3">
      <c r="A37" s="14" t="s">
        <v>32</v>
      </c>
      <c r="E37" s="56" t="s">
        <v>27</v>
      </c>
      <c r="F37" s="57"/>
      <c r="G37" s="46"/>
      <c r="H37" s="17"/>
    </row>
    <row r="38" spans="1:8" ht="19.5" thickBot="1" x14ac:dyDescent="0.35">
      <c r="A38" s="16"/>
      <c r="B38" s="4"/>
      <c r="C38" s="4"/>
      <c r="D38" s="17"/>
      <c r="F38" s="3"/>
      <c r="G38" s="34" t="s">
        <v>28</v>
      </c>
      <c r="H38" s="36">
        <f>H33+H34</f>
        <v>491110.62</v>
      </c>
    </row>
    <row r="39" spans="1:8" ht="16.5" customHeight="1" x14ac:dyDescent="0.25"/>
    <row r="44" spans="1:8" ht="15.75" thickBot="1" x14ac:dyDescent="0.3"/>
    <row r="45" spans="1:8" ht="19.5" thickBot="1" x14ac:dyDescent="0.35">
      <c r="A45" s="25" t="s">
        <v>39</v>
      </c>
      <c r="B45" s="6"/>
      <c r="C45" s="6"/>
      <c r="D45" s="6"/>
      <c r="E45" s="6"/>
      <c r="F45" s="6"/>
      <c r="G45" s="6"/>
      <c r="H45" s="7"/>
    </row>
    <row r="53" spans="1:1" ht="18.75" x14ac:dyDescent="0.3">
      <c r="A53" s="5"/>
    </row>
  </sheetData>
  <hyperlinks>
    <hyperlink ref="C10" r:id="rId1" xr:uid="{FBBE653D-6063-489D-81A5-05C452BF84E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JUAN CAMILO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2025-07-15T18:18:05Z</cp:lastPrinted>
  <dcterms:created xsi:type="dcterms:W3CDTF">2018-11-15T17:29:02Z</dcterms:created>
  <dcterms:modified xsi:type="dcterms:W3CDTF">2025-07-15T18:26:40Z</dcterms:modified>
</cp:coreProperties>
</file>