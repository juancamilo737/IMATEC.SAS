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43E4F3C-7E51-4E3D-9032-ADF7B489C56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19" i="2" l="1"/>
  <c r="H20" i="2"/>
  <c r="H24" i="2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<sst xmlns="http://schemas.openxmlformats.org/spreadsheetml/2006/main" count="56" uniqueCount="56">
  <si>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</si>
  <si>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</si>
  <si>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</si>
  <si>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</si>
  <si>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</si>
  <si>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</si>
  <si>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</si>
  <si>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</si>
  <si>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</si>
  <si>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</si>
  <si>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</si>
  <si>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</si>
  <si>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</si>
  <si>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</si>
  <si>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</si>
  <si>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</si>
  <si>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</si>
  <si>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</si>
  <si>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</si>
  <si>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</si>
  <si>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</si>
  <si>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</si>
  <si>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</si>
  <si>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</si>
  <si>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</si>
  <si>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</si>
  <si>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</si>
  <si>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</si>
  <si>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</si>
  <si>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</si>
  <si>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</si>
  <si>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</si>
  <si>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</si>
  <si>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</si>
  <si>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</si>
  <si>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</si>
  <si>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</si>
  <si>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</si>
  <si>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</si>
  <si>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</si>
  <si>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</si>
  <si>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</si>
  <si>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</si>
  <si>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</si>
  <si>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</si>
  <si>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</si>
  <si>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ENTREGA EN UN DIA  A PARTIR DE ORDEN DE COMPRA</t>
  </si>
  <si>
    <t xml:space="preserve">O de C  No. </t>
  </si>
  <si>
    <t>CTO. DE COSTOS</t>
  </si>
  <si>
    <t xml:space="preserve">              R E M I S I O N</t>
  </si>
  <si>
    <t>MDA / CTE</t>
  </si>
  <si>
    <t>No.  48</t>
  </si>
  <si>
    <t>UNILEVER</t>
  </si>
  <si>
    <t>AUTOR. POR KAREN</t>
  </si>
  <si>
    <t>SIKA BOOM M  X  300 ML</t>
  </si>
  <si>
    <t>SESENTA Y TRES MIL SETENTA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</si>
</sst>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39"/>
  <sheetViews>
    <sheetView tabSelected="1" topLeftCell="A4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45752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40</v>
      </c>
      <c r="E12" s="15"/>
      <c r="F12" s="30" t="s">
        <v>47</v>
      </c>
      <c r="G12" s="73" t="s">
        <v>53</v>
      </c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48</v>
      </c>
      <c r="G13" s="4"/>
      <c r="H13" s="72" t="s">
        <v>52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54</v>
      </c>
      <c r="C16" s="70"/>
      <c r="D16" s="45"/>
      <c r="E16" s="71" t="s">
        <v>45</v>
      </c>
      <c r="F16" s="66">
        <v>53000</v>
      </c>
      <c r="G16" s="67">
        <v>1</v>
      </c>
      <c r="H16" s="38">
        <f>F16*G16</f>
        <v>53000</v>
      </c>
    </row>
    <row r="17" spans="1:8" ht="15.75" thickBot="1" x14ac:dyDescent="0.3">
      <c r="B17" s="16"/>
      <c r="C17" s="4"/>
      <c r="D17" s="17"/>
      <c r="F17" s="65"/>
      <c r="G17" s="65"/>
    </row>
    <row r="18" spans="1:8" ht="19.5" customHeight="1" thickBot="1" x14ac:dyDescent="0.35">
      <c r="A18" s="62" t="s">
        <v>22</v>
      </c>
      <c r="B18" s="61" t="s">
        <v>55</v>
      </c>
      <c r="C18" s="12"/>
      <c r="D18" s="13"/>
      <c r="E18" s="64"/>
      <c r="F18" s="37" t="s">
        <v>43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2" t="s">
        <v>23</v>
      </c>
      <c r="F19" s="52"/>
      <c r="G19" s="45"/>
      <c r="H19" s="50">
        <f>SUM(H16:H16)</f>
        <v>53000</v>
      </c>
    </row>
    <row r="20" spans="1:8" ht="19.5" customHeight="1" x14ac:dyDescent="0.25">
      <c r="A20" s="24" t="s">
        <v>24</v>
      </c>
      <c r="E20" s="53" t="s">
        <v>28</v>
      </c>
      <c r="F20" s="23"/>
      <c r="G20" s="54">
        <v>0.19</v>
      </c>
      <c r="H20" s="40">
        <f>H19*G20</f>
        <v>10070</v>
      </c>
    </row>
    <row r="21" spans="1:8" ht="19.5" customHeight="1" x14ac:dyDescent="0.25">
      <c r="A21" s="14" t="s">
        <v>42</v>
      </c>
      <c r="E21" s="55" t="s">
        <v>25</v>
      </c>
      <c r="G21" s="58">
        <v>2.5000000000000001E-2</v>
      </c>
      <c r="H21" s="51"/>
    </row>
    <row r="22" spans="1:8" ht="15.75" x14ac:dyDescent="0.25">
      <c r="A22" s="14" t="s">
        <v>46</v>
      </c>
      <c r="E22" s="14"/>
      <c r="F22" s="33"/>
      <c r="G22" s="46"/>
      <c r="H22" s="15"/>
    </row>
    <row r="23" spans="1:8" ht="16.5" thickBot="1" x14ac:dyDescent="0.3">
      <c r="A23" s="14" t="s">
        <v>30</v>
      </c>
      <c r="E23" s="56" t="s">
        <v>26</v>
      </c>
      <c r="F23" s="57"/>
      <c r="G23" s="47"/>
      <c r="H23" s="17"/>
    </row>
    <row r="24" spans="1:8" ht="19.5" thickBot="1" x14ac:dyDescent="0.35">
      <c r="A24" s="60"/>
      <c r="B24" s="4"/>
      <c r="C24" s="4"/>
      <c r="D24" s="17"/>
      <c r="F24" s="3"/>
      <c r="G24" s="34" t="s">
        <v>27</v>
      </c>
      <c r="H24" s="36">
        <f>H19+H20-H21</f>
        <v>63070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2025-04-04T22:21:25Z</dcterms:modified>
</cp:coreProperties>
</file>