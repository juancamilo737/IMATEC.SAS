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CBAF452-085C-4F34-AD60-BD5C19558E2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GRUPO TEXTIL DEL VAL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 l="1"/>
  <c r="H20" i="1" s="1"/>
  <c r="H22" i="1" s="1"/>
  <c r="H21" i="1" l="1"/>
  <c r="H25" i="1" s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<sst xmlns="http://schemas.openxmlformats.org/spreadsheetml/2006/main" count="56" uniqueCount="56">
  <si>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</si>
  <si>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</si>
  <si>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</si>
  <si>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</si>
  <si>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</si>
  <si>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</si>
  <si>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</si>
  <si>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</si>
  <si>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</si>
  <si>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</si>
  <si>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</si>
  <si>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</si>
  <si>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</si>
  <si>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</si>
  <si>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</si>
  <si>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</si>
  <si>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</si>
  <si>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</si>
  <si>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</si>
  <si>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</si>
  <si>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</si>
  <si>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</si>
  <si>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</si>
  <si>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</si>
  <si>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</si>
  <si>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</si>
  <si>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</si>
  <si>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</si>
  <si>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</si>
  <si>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</si>
  <si>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</si>
  <si>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</si>
  <si>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</si>
  <si>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</si>
  <si>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</si>
  <si>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</si>
  <si>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GRUPO TEXTIL DEL VALLE S A S</t>
  </si>
  <si>
    <t>900 493749</t>
  </si>
  <si>
    <t>AV 5  0-120  LA DOLORES</t>
  </si>
  <si>
    <t>PALMIRA</t>
  </si>
  <si>
    <t>contabilidad@grupotextil.co</t>
  </si>
  <si>
    <t>602 6669666</t>
  </si>
  <si>
    <t>EDINSON CABEZAS</t>
  </si>
  <si>
    <t>L I Q U I D A C I O N</t>
  </si>
  <si>
    <t xml:space="preserve">  CALLE  33A  No. 17F - 56                             B/  LA FLORESTA             -   CALI    -                                   CEL.     321 7834969</t>
  </si>
  <si>
    <t>FORMA DE PAGO :  CREDITO A 30 DIAS</t>
  </si>
  <si>
    <t>ENTREGA INMEDIATA</t>
  </si>
  <si>
    <t>ACCESORIO</t>
  </si>
  <si>
    <t>FABRICACION</t>
  </si>
  <si>
    <t>PESOS MDA / CTE</t>
  </si>
  <si>
    <t>No. 21</t>
  </si>
  <si>
    <t>10 DIAS</t>
  </si>
  <si>
    <t xml:space="preserve">           C O T I Z A C I O N</t>
  </si>
  <si>
    <t>STUB END  AC/INOX SCH 10  4 "</t>
  </si>
  <si>
    <t>BRIDA AC/INOX 304  L J  4 "  X  150  LBS</t>
  </si>
  <si>
    <t xml:space="preserve">UN MILLON OCHENTA Y DOS MIL CINCUENTA Y 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</si>
</sst>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8" fillId="0" borderId="18" xfId="0" applyFont="1" applyBorder="1"/>
    <xf numFmtId="0" fontId="1" fillId="0" borderId="29" xfId="0" applyFont="1" applyBorder="1" applyAlignment="1">
      <alignment horizontal="center"/>
    </xf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8" fillId="0" borderId="0" xfId="0" applyFont="1"/>
    <xf numFmtId="0" fontId="1" fillId="0" borderId="32" xfId="0" applyFont="1" applyBorder="1" applyAlignment="1">
      <alignment horizontal="left" vertical="top" wrapText="1"/>
    </xf>
    <xf numFmtId="0" fontId="0" fillId="0" borderId="6" xfId="0" applyBorder="1"/>
    <xf numFmtId="0" fontId="0" fillId="0" borderId="33" xfId="0" applyBorder="1"/>
    <xf numFmtId="0" fontId="0" fillId="0" borderId="34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grupotextil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zoomScaleNormal="100" workbookViewId="0">
      <selection activeCell="K20" sqref="K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7.285156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2"/>
      <c r="H6" s="43"/>
    </row>
    <row r="7" spans="1:8" ht="19.5" thickBot="1" x14ac:dyDescent="0.35">
      <c r="A7" s="20" t="s">
        <v>14</v>
      </c>
      <c r="B7" s="12"/>
      <c r="C7" s="59" t="s">
        <v>36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4" t="s">
        <v>37</v>
      </c>
      <c r="D8" s="60"/>
      <c r="E8" s="45"/>
      <c r="H8" s="15"/>
    </row>
    <row r="9" spans="1:8" ht="18.75" customHeight="1" x14ac:dyDescent="0.3">
      <c r="A9" s="21" t="s">
        <v>9</v>
      </c>
      <c r="C9" s="61" t="s">
        <v>38</v>
      </c>
      <c r="D9" s="23"/>
      <c r="E9" s="62" t="s">
        <v>39</v>
      </c>
      <c r="F9" s="30" t="s">
        <v>0</v>
      </c>
      <c r="H9" s="28">
        <v>45835</v>
      </c>
    </row>
    <row r="10" spans="1:8" ht="18.75" x14ac:dyDescent="0.3">
      <c r="A10" s="21" t="s">
        <v>13</v>
      </c>
      <c r="C10" s="63" t="s">
        <v>40</v>
      </c>
      <c r="D10" s="60"/>
      <c r="E10" s="45"/>
      <c r="F10" s="30" t="s">
        <v>15</v>
      </c>
      <c r="H10" s="29" t="s">
        <v>51</v>
      </c>
    </row>
    <row r="11" spans="1:8" ht="18.75" x14ac:dyDescent="0.3">
      <c r="A11" s="21" t="s">
        <v>10</v>
      </c>
      <c r="C11" s="64"/>
      <c r="D11" s="60"/>
      <c r="E11" s="45"/>
      <c r="F11" s="30" t="s">
        <v>16</v>
      </c>
      <c r="G11" s="30"/>
      <c r="H11" s="28">
        <v>45844</v>
      </c>
    </row>
    <row r="12" spans="1:8" ht="18.75" x14ac:dyDescent="0.3">
      <c r="A12" s="21" t="s">
        <v>11</v>
      </c>
      <c r="C12" s="64" t="s">
        <v>41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5" t="s">
        <v>42</v>
      </c>
      <c r="D13" s="66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2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8">
        <v>1</v>
      </c>
      <c r="B16" s="67" t="s">
        <v>53</v>
      </c>
      <c r="C16" s="69"/>
      <c r="D16" s="70"/>
      <c r="E16" s="68" t="s">
        <v>48</v>
      </c>
      <c r="F16" s="71">
        <v>40500</v>
      </c>
      <c r="G16" s="68">
        <v>4</v>
      </c>
      <c r="H16" s="38">
        <f t="shared" ref="H16" si="0">G16*F16</f>
        <v>162000</v>
      </c>
    </row>
    <row r="17" spans="1:8" ht="16.5" thickBot="1" x14ac:dyDescent="0.3">
      <c r="A17" s="68">
        <v>2</v>
      </c>
      <c r="B17" s="67" t="s">
        <v>54</v>
      </c>
      <c r="C17" s="69"/>
      <c r="D17" s="70"/>
      <c r="E17" s="68" t="s">
        <v>47</v>
      </c>
      <c r="F17" s="71">
        <v>191700</v>
      </c>
      <c r="G17" s="68">
        <v>4</v>
      </c>
      <c r="H17" s="38">
        <f t="shared" ref="H17" si="1">G17*F17</f>
        <v>766800</v>
      </c>
    </row>
    <row r="18" spans="1:8" ht="19.5" customHeight="1" thickBot="1" x14ac:dyDescent="0.3">
      <c r="A18" s="76"/>
      <c r="B18" s="73"/>
      <c r="E18" s="77"/>
      <c r="F18" s="77"/>
      <c r="G18" s="77"/>
      <c r="H18" s="47"/>
    </row>
    <row r="19" spans="1:8" ht="19.5" customHeight="1" thickBot="1" x14ac:dyDescent="0.35">
      <c r="A19" s="74" t="s">
        <v>23</v>
      </c>
      <c r="B19" s="75" t="s">
        <v>55</v>
      </c>
      <c r="C19" s="12"/>
      <c r="D19" s="13"/>
      <c r="E19" s="48"/>
      <c r="F19" s="37" t="s">
        <v>43</v>
      </c>
      <c r="G19" s="6"/>
      <c r="H19" s="7"/>
    </row>
    <row r="20" spans="1:8" ht="19.5" customHeight="1" thickBot="1" x14ac:dyDescent="0.3">
      <c r="A20" s="39"/>
      <c r="B20" s="16" t="s">
        <v>49</v>
      </c>
      <c r="C20" s="4"/>
      <c r="D20" s="17"/>
      <c r="E20" s="51" t="s">
        <v>24</v>
      </c>
      <c r="F20" s="52"/>
      <c r="G20" s="44"/>
      <c r="H20" s="49">
        <f>SUM(H16:H17)</f>
        <v>928800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176472</v>
      </c>
    </row>
    <row r="22" spans="1:8" ht="19.5" customHeight="1" x14ac:dyDescent="0.25">
      <c r="A22" s="14" t="s">
        <v>45</v>
      </c>
      <c r="E22" s="55" t="s">
        <v>26</v>
      </c>
      <c r="G22" s="58">
        <v>2.5000000000000001E-2</v>
      </c>
      <c r="H22" s="50">
        <f>H20*G22</f>
        <v>23220</v>
      </c>
    </row>
    <row r="23" spans="1:8" ht="15.75" x14ac:dyDescent="0.25">
      <c r="A23" s="14" t="s">
        <v>46</v>
      </c>
      <c r="E23" s="14"/>
      <c r="F23" s="33"/>
      <c r="G23" s="45"/>
      <c r="H23" s="15"/>
    </row>
    <row r="24" spans="1:8" ht="16.5" thickBot="1" x14ac:dyDescent="0.3">
      <c r="A24" s="14" t="s">
        <v>31</v>
      </c>
      <c r="E24" s="56" t="s">
        <v>27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1082052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1A943300-4448-4E67-A405-D6DA0383053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TEXTIL DEL VALLE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2025-06-20T21:30:34Z</cp:lastPrinted>
  <dcterms:created xsi:type="dcterms:W3CDTF">2018-11-15T17:29:02Z</dcterms:created>
  <dcterms:modified xsi:type="dcterms:W3CDTF">2025-06-27T20:29:09Z</dcterms:modified>
</cp:coreProperties>
</file>