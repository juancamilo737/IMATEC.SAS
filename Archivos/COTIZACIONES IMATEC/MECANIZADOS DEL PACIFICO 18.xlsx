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E:\USB PLATEADA\COTIZACIONES COMERCIALIZADORA ACTUALIZADA\"/>
    </mc:Choice>
  </mc:AlternateContent>
  <xr:revisionPtr revIDLastSave="0" documentId="13_ncr:1_{82CF21D6-8702-4409-8A6F-9856A86ABE4C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MECANIZADOS DEL PACIFICO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2" i="1" l="1"/>
  <c r="H19" i="1"/>
  <c r="H18" i="1"/>
  <c r="H17" i="1"/>
  <c r="H16" i="1"/>
  <c r="H24" i="1"/>
  <c r="H23" i="1" l="1"/>
  <c r="H27" i="1" s="1"/>
</calcChain>
</file>

<file path=xl/sharedStrings.xml><?xml version="1.0" encoding="utf-8"?>
<sst xmlns="http://schemas.openxmlformats.org/spreadsheetml/2006/main" count="60" uniqueCount="58">
  <si>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</si>
  <si>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</si>
  <si>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</si>
  <si>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</si>
  <si>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</si>
  <si>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</si>
  <si>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</si>
  <si>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</si>
  <si>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</si>
  <si>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</si>
  <si>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</si>
  <si>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</si>
  <si>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</si>
  <si>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</si>
  <si>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</si>
  <si>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</si>
  <si>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</si>
  <si>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</si>
  <si>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</si>
  <si>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</si>
  <si>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</si>
  <si>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</si>
  <si>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</si>
  <si>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</si>
  <si>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</si>
  <si>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</si>
  <si>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</si>
  <si>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</si>
  <si>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</si>
  <si>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</si>
  <si>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>FORMA DE PAGO : CONTADO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</si>
  <si>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</si>
  <si>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</si>
  <si>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</si>
  <si>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</si>
  <si>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ENTREGA INMEDIATA</t>
  </si>
  <si>
    <t>FERRETERIA INDUSTRIAL</t>
  </si>
  <si>
    <t xml:space="preserve">                       INGENIERIA , MONTAJES  Y  ASISTENCIA  TECNICA  S A S</t>
  </si>
  <si>
    <t>MECANIZADOS DEL PACIFICO S A S</t>
  </si>
  <si>
    <t>900 889067</t>
  </si>
  <si>
    <t>CL 40 No. 32A-27</t>
  </si>
  <si>
    <t>PALMIRA</t>
  </si>
  <si>
    <t>mecapacifico@gmail.com</t>
  </si>
  <si>
    <t>319  5776780</t>
  </si>
  <si>
    <t>LUIS ANTONIO BENAVIDEZ</t>
  </si>
  <si>
    <t xml:space="preserve">  CALLE  33A  No. 17F - 56                          B/  LA FLORESTA             -   CALI    -                                   CEL.     321 7834969</t>
  </si>
  <si>
    <t xml:space="preserve">           C O T I Z A C I O N</t>
  </si>
  <si>
    <t>10 DIAS</t>
  </si>
  <si>
    <t>L I Q U I D A C I O N</t>
  </si>
  <si>
    <t>No.  18</t>
  </si>
  <si>
    <t>VIGA CANAL  HR  4 "</t>
  </si>
  <si>
    <t>6  MTS</t>
  </si>
  <si>
    <t>VIGA CANAL  HR  3 "</t>
  </si>
  <si>
    <t>ANGULO HR  1 1/2 "  X  3/16 "</t>
  </si>
  <si>
    <t>6 MTS</t>
  </si>
  <si>
    <t>TUBO AGUAS NEGRAS  1 1/4 "  CAL 16</t>
  </si>
  <si>
    <t>TRES MILLONES SETECIENTOS SESENTA Y SIETE MIL CIEN</t>
  </si>
  <si>
    <t>TO CUARENTA Y CUATRO PESOS MDA / CTE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</si>
</sst>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78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5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7" xfId="1" applyFont="1" applyBorder="1" applyAlignment="1">
      <alignment horizontal="left"/>
    </xf>
    <xf numFmtId="0" fontId="1" fillId="0" borderId="15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4" fillId="0" borderId="3" xfId="0" applyFont="1" applyBorder="1"/>
    <xf numFmtId="0" fontId="0" fillId="0" borderId="20" xfId="0" applyBorder="1"/>
    <xf numFmtId="0" fontId="0" fillId="0" borderId="23" xfId="0" applyBorder="1"/>
    <xf numFmtId="0" fontId="0" fillId="0" borderId="26" xfId="0" applyBorder="1"/>
    <xf numFmtId="0" fontId="1" fillId="0" borderId="16" xfId="0" applyFont="1" applyBorder="1" applyAlignment="1">
      <alignment horizontal="left" vertical="top" wrapText="1"/>
    </xf>
    <xf numFmtId="0" fontId="0" fillId="0" borderId="27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18" xfId="0" applyFont="1" applyBorder="1"/>
    <xf numFmtId="0" fontId="4" fillId="0" borderId="19" xfId="0" applyFont="1" applyBorder="1"/>
    <xf numFmtId="0" fontId="4" fillId="0" borderId="9" xfId="0" applyFont="1" applyBorder="1"/>
    <xf numFmtId="9" fontId="1" fillId="0" borderId="21" xfId="3" applyFont="1" applyBorder="1"/>
    <xf numFmtId="0" fontId="4" fillId="0" borderId="22" xfId="0" applyFont="1" applyBorder="1"/>
    <xf numFmtId="0" fontId="4" fillId="0" borderId="24" xfId="0" applyFont="1" applyBorder="1"/>
    <xf numFmtId="0" fontId="4" fillId="0" borderId="25" xfId="0" applyFont="1" applyBorder="1"/>
    <xf numFmtId="10" fontId="1" fillId="0" borderId="10" xfId="0" applyNumberFormat="1" applyFont="1" applyBorder="1"/>
    <xf numFmtId="0" fontId="0" fillId="0" borderId="18" xfId="0" applyBorder="1"/>
    <xf numFmtId="0" fontId="0" fillId="0" borderId="19" xfId="0" applyBorder="1"/>
    <xf numFmtId="0" fontId="0" fillId="0" borderId="28" xfId="0" applyBorder="1"/>
    <xf numFmtId="0" fontId="0" fillId="0" borderId="21" xfId="0" applyBorder="1"/>
    <xf numFmtId="0" fontId="13" fillId="0" borderId="22" xfId="2" applyBorder="1"/>
    <xf numFmtId="0" fontId="0" fillId="0" borderId="13" xfId="0" applyBorder="1"/>
    <xf numFmtId="0" fontId="0" fillId="0" borderId="22" xfId="0" applyBorder="1"/>
    <xf numFmtId="0" fontId="0" fillId="0" borderId="24" xfId="0" applyBorder="1"/>
    <xf numFmtId="0" fontId="0" fillId="0" borderId="25" xfId="0" applyBorder="1"/>
    <xf numFmtId="0" fontId="0" fillId="0" borderId="29" xfId="0" applyBorder="1"/>
    <xf numFmtId="0" fontId="0" fillId="0" borderId="30" xfId="0" applyBorder="1"/>
    <xf numFmtId="0" fontId="0" fillId="0" borderId="31" xfId="0" applyBorder="1"/>
    <xf numFmtId="0" fontId="1" fillId="0" borderId="32" xfId="0" applyFont="1" applyBorder="1" applyAlignment="1">
      <alignment horizontal="center"/>
    </xf>
    <xf numFmtId="0" fontId="8" fillId="0" borderId="33" xfId="0" applyFont="1" applyBorder="1"/>
    <xf numFmtId="0" fontId="8" fillId="0" borderId="34" xfId="0" applyFont="1" applyBorder="1"/>
    <xf numFmtId="0" fontId="8" fillId="0" borderId="35" xfId="0" applyFont="1" applyBorder="1"/>
    <xf numFmtId="42" fontId="11" fillId="0" borderId="32" xfId="1" applyFont="1" applyBorder="1" applyAlignment="1">
      <alignment horizontal="center"/>
    </xf>
    <xf numFmtId="0" fontId="1" fillId="0" borderId="3" xfId="0" applyFont="1" applyBorder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mecapacifico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42"/>
  <sheetViews>
    <sheetView tabSelected="1" topLeftCell="A7" zoomScaleNormal="100" workbookViewId="0">
      <selection activeCell="K26" sqref="K26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4" t="s">
        <v>36</v>
      </c>
    </row>
    <row r="3" spans="1:8" ht="27" thickBot="1" x14ac:dyDescent="0.45">
      <c r="A3" s="11" t="s">
        <v>37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5" t="s">
        <v>7</v>
      </c>
      <c r="B4" s="6"/>
      <c r="C4" s="6"/>
      <c r="D4" s="26" t="s">
        <v>31</v>
      </c>
      <c r="E4" s="17"/>
      <c r="F4" s="18"/>
      <c r="G4" s="6"/>
      <c r="H4" s="7"/>
    </row>
    <row r="5" spans="1:8" ht="19.5" thickBot="1" x14ac:dyDescent="0.35">
      <c r="A5" s="36" t="s">
        <v>33</v>
      </c>
      <c r="B5" s="6"/>
      <c r="C5" s="6"/>
      <c r="D5" s="6"/>
      <c r="E5" s="6"/>
    </row>
    <row r="6" spans="1:8" ht="24.75" customHeight="1" thickBot="1" x14ac:dyDescent="0.45">
      <c r="F6" s="40" t="s">
        <v>46</v>
      </c>
      <c r="G6" s="41"/>
      <c r="H6" s="42"/>
    </row>
    <row r="7" spans="1:8" ht="19.5" thickBot="1" x14ac:dyDescent="0.35">
      <c r="A7" s="19" t="s">
        <v>14</v>
      </c>
      <c r="B7" s="12"/>
      <c r="C7" s="43" t="s">
        <v>38</v>
      </c>
      <c r="D7" s="6"/>
      <c r="E7" s="7"/>
      <c r="F7" s="36"/>
      <c r="G7" s="17"/>
      <c r="H7" s="18" t="s">
        <v>49</v>
      </c>
    </row>
    <row r="8" spans="1:8" ht="18.75" x14ac:dyDescent="0.3">
      <c r="A8" s="20" t="s">
        <v>8</v>
      </c>
      <c r="C8" s="60" t="s">
        <v>39</v>
      </c>
      <c r="D8" s="61"/>
      <c r="E8" s="44"/>
      <c r="H8" s="14"/>
    </row>
    <row r="9" spans="1:8" ht="18.75" customHeight="1" x14ac:dyDescent="0.3">
      <c r="A9" s="20" t="s">
        <v>9</v>
      </c>
      <c r="C9" s="62" t="s">
        <v>40</v>
      </c>
      <c r="D9" s="22"/>
      <c r="E9" s="63" t="s">
        <v>41</v>
      </c>
      <c r="F9" s="29" t="s">
        <v>0</v>
      </c>
      <c r="H9" s="27">
        <v>45834</v>
      </c>
    </row>
    <row r="10" spans="1:8" ht="18.75" x14ac:dyDescent="0.3">
      <c r="A10" s="20" t="s">
        <v>13</v>
      </c>
      <c r="C10" s="64" t="s">
        <v>42</v>
      </c>
      <c r="D10" s="65"/>
      <c r="E10" s="45"/>
      <c r="F10" s="29" t="s">
        <v>15</v>
      </c>
      <c r="H10" s="28" t="s">
        <v>47</v>
      </c>
    </row>
    <row r="11" spans="1:8" ht="18.75" x14ac:dyDescent="0.3">
      <c r="A11" s="20" t="s">
        <v>10</v>
      </c>
      <c r="C11" s="66"/>
      <c r="D11" s="65"/>
      <c r="E11" s="45"/>
      <c r="F11" s="29" t="s">
        <v>16</v>
      </c>
      <c r="G11" s="29"/>
      <c r="H11" s="27">
        <v>45844</v>
      </c>
    </row>
    <row r="12" spans="1:8" ht="18.75" x14ac:dyDescent="0.3">
      <c r="A12" s="20" t="s">
        <v>11</v>
      </c>
      <c r="C12" s="66" t="s">
        <v>43</v>
      </c>
      <c r="D12" s="65"/>
      <c r="E12" s="45"/>
      <c r="F12" s="29" t="s">
        <v>17</v>
      </c>
      <c r="H12" s="30"/>
    </row>
    <row r="13" spans="1:8" ht="18.75" customHeight="1" thickBot="1" x14ac:dyDescent="0.35">
      <c r="A13" s="21" t="s">
        <v>12</v>
      </c>
      <c r="B13" s="4"/>
      <c r="C13" s="67" t="s">
        <v>44</v>
      </c>
      <c r="D13" s="68"/>
      <c r="E13" s="46"/>
      <c r="F13" s="4"/>
      <c r="G13" s="4"/>
      <c r="H13" s="16"/>
    </row>
    <row r="14" spans="1:8" ht="15.75" thickBot="1" x14ac:dyDescent="0.3"/>
    <row r="15" spans="1:8" ht="15.75" thickBot="1" x14ac:dyDescent="0.3">
      <c r="A15" s="31" t="s">
        <v>34</v>
      </c>
      <c r="B15" s="77" t="s">
        <v>22</v>
      </c>
      <c r="C15" s="17"/>
      <c r="D15" s="7"/>
      <c r="E15" s="31" t="s">
        <v>18</v>
      </c>
      <c r="F15" s="31" t="s">
        <v>20</v>
      </c>
      <c r="G15" s="31" t="s">
        <v>19</v>
      </c>
      <c r="H15" s="31" t="s">
        <v>21</v>
      </c>
    </row>
    <row r="16" spans="1:8" ht="16.5" thickBot="1" x14ac:dyDescent="0.3">
      <c r="A16" s="72">
        <v>1</v>
      </c>
      <c r="B16" s="73" t="s">
        <v>50</v>
      </c>
      <c r="C16" s="74"/>
      <c r="D16" s="75"/>
      <c r="E16" s="72" t="s">
        <v>51</v>
      </c>
      <c r="F16" s="76">
        <v>277000</v>
      </c>
      <c r="G16" s="72">
        <v>5</v>
      </c>
      <c r="H16" s="37">
        <f t="shared" ref="H16" si="0">G16*F16</f>
        <v>1385000</v>
      </c>
    </row>
    <row r="17" spans="1:8" ht="16.5" thickBot="1" x14ac:dyDescent="0.3">
      <c r="A17" s="72">
        <v>2</v>
      </c>
      <c r="B17" s="73" t="s">
        <v>52</v>
      </c>
      <c r="C17" s="74"/>
      <c r="D17" s="75"/>
      <c r="E17" s="72" t="s">
        <v>54</v>
      </c>
      <c r="F17" s="76">
        <v>216800</v>
      </c>
      <c r="G17" s="72">
        <v>3</v>
      </c>
      <c r="H17" s="37">
        <f t="shared" ref="H17:H19" si="1">G17*F17</f>
        <v>650400</v>
      </c>
    </row>
    <row r="18" spans="1:8" ht="16.5" thickBot="1" x14ac:dyDescent="0.3">
      <c r="A18" s="72">
        <v>3</v>
      </c>
      <c r="B18" s="73" t="s">
        <v>53</v>
      </c>
      <c r="C18" s="74"/>
      <c r="D18" s="75"/>
      <c r="E18" s="72" t="s">
        <v>54</v>
      </c>
      <c r="F18" s="76">
        <v>87400</v>
      </c>
      <c r="G18" s="72">
        <v>3</v>
      </c>
      <c r="H18" s="37">
        <f t="shared" si="1"/>
        <v>262200</v>
      </c>
    </row>
    <row r="19" spans="1:8" ht="16.5" thickBot="1" x14ac:dyDescent="0.3">
      <c r="A19" s="72">
        <v>4</v>
      </c>
      <c r="B19" s="73" t="s">
        <v>55</v>
      </c>
      <c r="C19" s="74"/>
      <c r="D19" s="75"/>
      <c r="E19" s="72" t="s">
        <v>54</v>
      </c>
      <c r="F19" s="76">
        <v>58500</v>
      </c>
      <c r="G19" s="72">
        <v>16</v>
      </c>
      <c r="H19" s="37">
        <f t="shared" si="1"/>
        <v>936000</v>
      </c>
    </row>
    <row r="20" spans="1:8" ht="19.5" customHeight="1" thickBot="1" x14ac:dyDescent="0.3">
      <c r="A20" s="69"/>
      <c r="B20" s="70"/>
      <c r="C20" s="4"/>
      <c r="D20" s="71"/>
      <c r="E20" s="48"/>
      <c r="F20" s="48"/>
      <c r="G20" s="48"/>
    </row>
    <row r="21" spans="1:8" ht="19.5" customHeight="1" thickBot="1" x14ac:dyDescent="0.35">
      <c r="A21" s="47" t="s">
        <v>23</v>
      </c>
      <c r="B21" s="13" t="s">
        <v>56</v>
      </c>
      <c r="D21" s="14"/>
      <c r="E21" s="49"/>
      <c r="F21" s="36" t="s">
        <v>48</v>
      </c>
      <c r="G21" s="6"/>
      <c r="H21" s="7"/>
    </row>
    <row r="22" spans="1:8" ht="19.5" customHeight="1" thickBot="1" x14ac:dyDescent="0.3">
      <c r="A22" s="38"/>
      <c r="B22" s="15" t="s">
        <v>57</v>
      </c>
      <c r="C22" s="4"/>
      <c r="D22" s="4"/>
      <c r="E22" s="52" t="s">
        <v>24</v>
      </c>
      <c r="F22" s="53"/>
      <c r="G22" s="44"/>
      <c r="H22" s="50">
        <f>SUM(H16:H19)</f>
        <v>3233600</v>
      </c>
    </row>
    <row r="23" spans="1:8" ht="19.5" customHeight="1" x14ac:dyDescent="0.25">
      <c r="A23" s="23" t="s">
        <v>25</v>
      </c>
      <c r="B23" s="12"/>
      <c r="C23" s="12"/>
      <c r="D23" s="12"/>
      <c r="E23" s="54" t="s">
        <v>29</v>
      </c>
      <c r="F23" s="22"/>
      <c r="G23" s="55">
        <v>0.19</v>
      </c>
      <c r="H23" s="39">
        <f>H22*G23</f>
        <v>614384</v>
      </c>
    </row>
    <row r="24" spans="1:8" ht="19.5" customHeight="1" x14ac:dyDescent="0.25">
      <c r="A24" s="13" t="s">
        <v>30</v>
      </c>
      <c r="E24" s="56" t="s">
        <v>26</v>
      </c>
      <c r="G24" s="59">
        <v>2.5000000000000001E-2</v>
      </c>
      <c r="H24" s="51">
        <f>H22*G24</f>
        <v>80840</v>
      </c>
    </row>
    <row r="25" spans="1:8" ht="15.75" x14ac:dyDescent="0.25">
      <c r="A25" s="13" t="s">
        <v>35</v>
      </c>
      <c r="E25" s="13"/>
      <c r="F25" s="32"/>
      <c r="G25" s="45"/>
      <c r="H25" s="14"/>
    </row>
    <row r="26" spans="1:8" ht="16.5" thickBot="1" x14ac:dyDescent="0.3">
      <c r="A26" s="13" t="s">
        <v>32</v>
      </c>
      <c r="E26" s="57" t="s">
        <v>27</v>
      </c>
      <c r="F26" s="58"/>
      <c r="G26" s="46"/>
      <c r="H26" s="16"/>
    </row>
    <row r="27" spans="1:8" ht="19.5" thickBot="1" x14ac:dyDescent="0.35">
      <c r="A27" s="15"/>
      <c r="B27" s="4"/>
      <c r="C27" s="4"/>
      <c r="D27" s="16"/>
      <c r="F27" s="3"/>
      <c r="G27" s="33" t="s">
        <v>28</v>
      </c>
      <c r="H27" s="35">
        <f>H22+H23-H24</f>
        <v>3767144</v>
      </c>
    </row>
    <row r="28" spans="1:8" ht="16.5" customHeight="1" x14ac:dyDescent="0.25"/>
    <row r="33" spans="1:8" ht="15.75" thickBot="1" x14ac:dyDescent="0.3"/>
    <row r="34" spans="1:8" ht="19.5" thickBot="1" x14ac:dyDescent="0.35">
      <c r="A34" s="24" t="s">
        <v>45</v>
      </c>
      <c r="B34" s="6"/>
      <c r="C34" s="6"/>
      <c r="D34" s="6"/>
      <c r="E34" s="6"/>
      <c r="F34" s="6"/>
      <c r="G34" s="6"/>
      <c r="H34" s="7"/>
    </row>
    <row r="42" spans="1:8" ht="18.75" x14ac:dyDescent="0.3">
      <c r="A42" s="5"/>
    </row>
  </sheetData>
  <hyperlinks>
    <hyperlink ref="C10" r:id="rId1" xr:uid="{D354789F-A1BD-423C-B1C6-F5A57F531D24}"/>
  </hyperlinks>
  <printOptions horizontalCentered="1"/>
  <pageMargins left="0.47244094488188981" right="0.31496062992125984" top="0.31496062992125984" bottom="0.39370078740157483" header="0.31496062992125984" footer="0.31496062992125984"/>
  <pageSetup scale="7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MECANIZADOS DEL PACIFICO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2023-03-16T17:43:01Z</cp:lastPrinted>
  <dcterms:created xsi:type="dcterms:W3CDTF">2018-11-15T17:29:02Z</dcterms:created>
  <dcterms:modified xsi:type="dcterms:W3CDTF">2025-06-26T22:11:54Z</dcterms:modified>
</cp:coreProperties>
</file>