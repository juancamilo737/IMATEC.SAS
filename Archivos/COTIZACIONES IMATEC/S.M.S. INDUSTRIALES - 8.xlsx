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BCA9B81-708B-4659-91F8-1F874BC7DA8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.M.S. INDUSTRI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5" i="1" s="1"/>
  <c r="H24" i="1" l="1"/>
  <c r="H28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<sst xmlns="http://schemas.openxmlformats.org/spreadsheetml/2006/main" count="62" uniqueCount="59">
  <si>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</si>
  <si>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</si>
  <si>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</si>
  <si>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</si>
  <si>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</si>
  <si>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</si>
  <si>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</si>
  <si>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</si>
  <si>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</si>
  <si>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</si>
  <si>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</si>
  <si>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</si>
  <si>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</si>
  <si>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</si>
  <si>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</si>
  <si>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</si>
  <si>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</si>
  <si>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</si>
  <si>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</si>
  <si>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</si>
  <si>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</si>
  <si>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</si>
  <si>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</si>
  <si>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</si>
  <si>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</si>
  <si>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</si>
  <si>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</si>
  <si>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</si>
  <si>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</si>
  <si>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</si>
  <si>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</si>
  <si>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</si>
  <si>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</si>
  <si>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</si>
  <si>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</si>
  <si>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</si>
  <si>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</si>
  <si>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</si>
  <si>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S.M.S. INDUSTRIALES S.A.S.</t>
  </si>
  <si>
    <t>901 139079</t>
  </si>
  <si>
    <t>CALLE 20  No. 7-15</t>
  </si>
  <si>
    <t>BUGA</t>
  </si>
  <si>
    <t>facturacion@smsindustriales.com</t>
  </si>
  <si>
    <t>315 4633475</t>
  </si>
  <si>
    <t>LUIS A. BENAVIDES</t>
  </si>
  <si>
    <t>L I Q U I D A C I O N</t>
  </si>
  <si>
    <t xml:space="preserve">  CALLE  33A  No.    17F - 56                          B/  LA FLORESTA             -   CALI    -                                   CEL.     321 7834969</t>
  </si>
  <si>
    <t>No. 8</t>
  </si>
  <si>
    <t xml:space="preserve">           C O T I Z A C I O N</t>
  </si>
  <si>
    <t>LAMINA AC/INOX 304  3 mm  4 X 8</t>
  </si>
  <si>
    <t>LAMINA</t>
  </si>
  <si>
    <t>LAMINA AC/INOX 304  6 mm  4 X 8</t>
  </si>
  <si>
    <t>LAMINA AC/INOX 304  4,5 mm  4 X 8</t>
  </si>
  <si>
    <t>LAMINA AC/INOX 304  1,9 mm  4 X 8</t>
  </si>
  <si>
    <t xml:space="preserve">TUBERIA  AC/INOX 304  SCH 80  2 " </t>
  </si>
  <si>
    <t>TUBO X 5,8 MTS</t>
  </si>
  <si>
    <t>DOCE MILLONES QUINIENTOS CUARENTA Y DOS MIL</t>
  </si>
  <si>
    <t>TRESCIENTOS NOVENTA PESOS MDA / CTE</t>
  </si>
  <si>
    <t>ENTREGA INMEDIATA PARA LAMINA. EN TRES DIAS TUBERIA.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</si>
</sst>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4" fillId="0" borderId="3" xfId="0" applyFont="1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smsindustri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6" zoomScaleNormal="100" workbookViewId="0">
      <selection activeCell="J34" sqref="J3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8" t="s">
        <v>38</v>
      </c>
      <c r="D7" s="6"/>
      <c r="E7" s="7"/>
      <c r="F7" s="37"/>
      <c r="G7" s="18"/>
      <c r="H7" s="19" t="s">
        <v>47</v>
      </c>
    </row>
    <row r="8" spans="1:8" ht="18.75" x14ac:dyDescent="0.3">
      <c r="A8" s="21" t="s">
        <v>8</v>
      </c>
      <c r="C8" s="60" t="s">
        <v>39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30" t="s">
        <v>0</v>
      </c>
      <c r="H9" s="28">
        <v>45873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>
        <v>45882</v>
      </c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8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8">
        <v>1</v>
      </c>
      <c r="B16" s="79" t="s">
        <v>49</v>
      </c>
      <c r="C16" s="80"/>
      <c r="D16" s="81"/>
      <c r="E16" s="78" t="s">
        <v>50</v>
      </c>
      <c r="F16" s="82">
        <v>1012000</v>
      </c>
      <c r="G16" s="78">
        <v>3</v>
      </c>
      <c r="H16" s="38">
        <f t="shared" ref="H16" si="0">G16*F16</f>
        <v>3036000</v>
      </c>
    </row>
    <row r="17" spans="1:8" ht="16.5" thickBot="1" x14ac:dyDescent="0.3">
      <c r="A17" s="69">
        <v>2</v>
      </c>
      <c r="B17" s="70" t="s">
        <v>51</v>
      </c>
      <c r="C17" s="71"/>
      <c r="D17" s="72"/>
      <c r="E17" s="69" t="s">
        <v>50</v>
      </c>
      <c r="F17" s="73">
        <v>2110000</v>
      </c>
      <c r="G17" s="69">
        <v>1</v>
      </c>
      <c r="H17" s="38">
        <f t="shared" ref="H17:H20" si="1">G17*F17</f>
        <v>2110000</v>
      </c>
    </row>
    <row r="18" spans="1:8" ht="16.5" thickBot="1" x14ac:dyDescent="0.3">
      <c r="A18" s="69">
        <v>3</v>
      </c>
      <c r="B18" s="70" t="s">
        <v>52</v>
      </c>
      <c r="C18" s="71"/>
      <c r="D18" s="72"/>
      <c r="E18" s="69" t="s">
        <v>50</v>
      </c>
      <c r="F18" s="73">
        <v>1485000</v>
      </c>
      <c r="G18" s="69">
        <v>2</v>
      </c>
      <c r="H18" s="38">
        <f t="shared" si="1"/>
        <v>2970000</v>
      </c>
    </row>
    <row r="19" spans="1:8" ht="16.5" thickBot="1" x14ac:dyDescent="0.3">
      <c r="A19" s="69">
        <v>4</v>
      </c>
      <c r="B19" s="70" t="s">
        <v>53</v>
      </c>
      <c r="C19" s="71"/>
      <c r="D19" s="72"/>
      <c r="E19" s="69" t="s">
        <v>50</v>
      </c>
      <c r="F19" s="73">
        <v>678000</v>
      </c>
      <c r="G19" s="69">
        <v>1</v>
      </c>
      <c r="H19" s="38">
        <f t="shared" si="1"/>
        <v>678000</v>
      </c>
    </row>
    <row r="20" spans="1:8" ht="16.5" thickBot="1" x14ac:dyDescent="0.3">
      <c r="A20" s="69">
        <v>5</v>
      </c>
      <c r="B20" s="70" t="s">
        <v>54</v>
      </c>
      <c r="C20" s="71"/>
      <c r="D20" s="72"/>
      <c r="E20" s="69" t="s">
        <v>55</v>
      </c>
      <c r="F20" s="73">
        <v>986000</v>
      </c>
      <c r="G20" s="69">
        <v>2</v>
      </c>
      <c r="H20" s="38">
        <f t="shared" si="1"/>
        <v>1972000</v>
      </c>
    </row>
    <row r="21" spans="1:8" ht="19.5" customHeight="1" thickBot="1" x14ac:dyDescent="0.3">
      <c r="A21" s="47"/>
      <c r="B21" s="75"/>
      <c r="D21" s="76"/>
      <c r="E21" s="47"/>
      <c r="F21" s="47"/>
      <c r="G21" s="47"/>
    </row>
    <row r="22" spans="1:8" ht="19.5" customHeight="1" thickBot="1" x14ac:dyDescent="0.35">
      <c r="A22" s="74" t="s">
        <v>23</v>
      </c>
      <c r="B22" s="77" t="s">
        <v>56</v>
      </c>
      <c r="C22" s="12"/>
      <c r="D22" s="13"/>
      <c r="E22" s="48"/>
      <c r="F22" s="37" t="s">
        <v>45</v>
      </c>
      <c r="G22" s="6"/>
      <c r="H22" s="7"/>
    </row>
    <row r="23" spans="1:8" ht="19.5" customHeight="1" thickBot="1" x14ac:dyDescent="0.3">
      <c r="A23" s="39"/>
      <c r="B23" s="16" t="s">
        <v>57</v>
      </c>
      <c r="C23" s="4"/>
      <c r="D23" s="17"/>
      <c r="E23" s="51" t="s">
        <v>24</v>
      </c>
      <c r="F23" s="52"/>
      <c r="G23" s="44"/>
      <c r="H23" s="49">
        <f>SUM(H16:H20)</f>
        <v>10766000</v>
      </c>
    </row>
    <row r="24" spans="1:8" ht="19.5" customHeight="1" x14ac:dyDescent="0.25">
      <c r="A24" s="24" t="s">
        <v>25</v>
      </c>
      <c r="B24" s="12"/>
      <c r="C24" s="12"/>
      <c r="D24" s="12"/>
      <c r="E24" s="53" t="s">
        <v>29</v>
      </c>
      <c r="F24" s="23"/>
      <c r="G24" s="54">
        <v>0.19</v>
      </c>
      <c r="H24" s="40">
        <f>H23*G24</f>
        <v>2045540</v>
      </c>
    </row>
    <row r="25" spans="1:8" ht="19.5" customHeight="1" x14ac:dyDescent="0.25">
      <c r="A25" s="14" t="s">
        <v>30</v>
      </c>
      <c r="E25" s="55" t="s">
        <v>26</v>
      </c>
      <c r="G25" s="58">
        <v>2.5000000000000001E-2</v>
      </c>
      <c r="H25" s="50">
        <f>H23*G25</f>
        <v>269150</v>
      </c>
    </row>
    <row r="26" spans="1:8" ht="15.75" x14ac:dyDescent="0.25">
      <c r="A26" s="14" t="s">
        <v>58</v>
      </c>
      <c r="E26" s="14"/>
      <c r="F26" s="33"/>
      <c r="G26" s="45"/>
      <c r="H26" s="15"/>
    </row>
    <row r="27" spans="1:8" ht="16.5" thickBot="1" x14ac:dyDescent="0.3">
      <c r="A27" s="14" t="s">
        <v>33</v>
      </c>
      <c r="E27" s="56" t="s">
        <v>27</v>
      </c>
      <c r="F27" s="57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12542390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46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3C01A979-AC9F-41E2-917A-4C09CA8531CD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S.M.S. INDUSTRIALES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2024-12-12T17:26:38Z</cp:lastPrinted>
  <dcterms:created xsi:type="dcterms:W3CDTF">2018-11-15T17:29:02Z</dcterms:created>
  <dcterms:modified xsi:type="dcterms:W3CDTF">2025-08-04T17:37:07Z</dcterms:modified>
</cp:coreProperties>
</file>