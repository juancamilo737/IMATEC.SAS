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B3C2A08D-F9F4-4204-8190-985539681D9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OLUI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21" i="1"/>
  <c r="H20" i="1"/>
  <c r="H19" i="1"/>
  <c r="H18" i="1"/>
  <c r="H17" i="1"/>
  <c r="H16" i="1"/>
  <c r="H26" i="1" l="1"/>
  <c r="H30" i="1" s="1"/>
</calcChain>
</file>

<file path=xl/sharedStrings.xml><?xml version="1.0" encoding="utf-8"?>
<sst xmlns="http://schemas.openxmlformats.org/spreadsheetml/2006/main" count="66" uniqueCount="61">
  <si>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</si>
  <si>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</si>
  <si>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</si>
  <si>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</si>
  <si>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</si>
  <si>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</si>
  <si>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</si>
  <si>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</si>
  <si>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</si>
  <si>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</si>
  <si>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</si>
  <si>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</si>
  <si>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</si>
  <si>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</si>
  <si>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</si>
  <si>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</si>
  <si>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</si>
  <si>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</si>
  <si>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</si>
  <si>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</si>
  <si>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</si>
  <si>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</si>
  <si>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</si>
  <si>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</si>
  <si>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</si>
  <si>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</si>
  <si>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</si>
  <si>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</si>
  <si>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</si>
  <si>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</si>
  <si>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</si>
  <si>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</si>
  <si>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</si>
  <si>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</si>
  <si>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</si>
  <si>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</si>
  <si>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</si>
  <si>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</si>
  <si>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</si>
  <si>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</si>
  <si>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SOLUCIONES INDUSTRIALES S.A.S.</t>
  </si>
  <si>
    <t>890 327858</t>
  </si>
  <si>
    <t>CARRERA 27  No. 13 - 180</t>
  </si>
  <si>
    <t>CALI</t>
  </si>
  <si>
    <t>soind1@hotmail.com</t>
  </si>
  <si>
    <t>321 9063875</t>
  </si>
  <si>
    <t>LUIS A. BENAVIDES</t>
  </si>
  <si>
    <t>ENTREGA INMEDIATA</t>
  </si>
  <si>
    <t>BUSHING AC/INOX 304  2 "  X  1 "</t>
  </si>
  <si>
    <t>FABRICACION</t>
  </si>
  <si>
    <t xml:space="preserve">            C O T I Z A C I O N</t>
  </si>
  <si>
    <t>No. 20</t>
  </si>
  <si>
    <t>10 DIAS</t>
  </si>
  <si>
    <t>BRIDA  AC/INOX 304  ROSCAR  2 "  X  150 LBS</t>
  </si>
  <si>
    <t>TEE AC/INOX 304  1 "  X  150  LBS</t>
  </si>
  <si>
    <t>CODO  AC/INOX  1 "  X  90 º</t>
  </si>
  <si>
    <t xml:space="preserve">CHEQUE CORTINA AC/INOX 1 " </t>
  </si>
  <si>
    <t>NIPLE  AC/INOX  304  1 "  X  2 1/2"</t>
  </si>
  <si>
    <t>NIPLE  AC/INOX 304  1 "  X  40  CMTS</t>
  </si>
  <si>
    <t>QUINIENTOS SESENTA Y SEIS MIL DOSCIENTOS DOS PE-</t>
  </si>
  <si>
    <t>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</si>
</sst>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ind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zoomScaleNormal="100" workbookViewId="0">
      <selection activeCell="B26" sqref="B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9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45915</v>
      </c>
    </row>
    <row r="10" spans="1:8" ht="18.75" x14ac:dyDescent="0.3">
      <c r="A10" s="21" t="s">
        <v>13</v>
      </c>
      <c r="C10" s="70" t="s">
        <v>44</v>
      </c>
      <c r="E10" s="15"/>
      <c r="F10" s="30" t="s">
        <v>15</v>
      </c>
      <c r="H10" s="29" t="s">
        <v>52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45924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53</v>
      </c>
      <c r="C16" s="63"/>
      <c r="D16" s="64"/>
      <c r="E16" s="61" t="s">
        <v>37</v>
      </c>
      <c r="F16" s="65">
        <v>95000</v>
      </c>
      <c r="G16" s="61">
        <v>2</v>
      </c>
      <c r="H16" s="38">
        <f t="shared" ref="H16" si="0">G16*F16</f>
        <v>190000</v>
      </c>
    </row>
    <row r="17" spans="1:8" ht="16.5" thickBot="1" x14ac:dyDescent="0.3">
      <c r="A17" s="61">
        <v>2</v>
      </c>
      <c r="B17" s="62" t="s">
        <v>48</v>
      </c>
      <c r="C17" s="63"/>
      <c r="D17" s="64"/>
      <c r="E17" s="61" t="s">
        <v>37</v>
      </c>
      <c r="F17" s="65">
        <v>24000</v>
      </c>
      <c r="G17" s="61">
        <v>2</v>
      </c>
      <c r="H17" s="38">
        <f t="shared" ref="H17:H19" si="1">G17*F17</f>
        <v>48000</v>
      </c>
    </row>
    <row r="18" spans="1:8" ht="16.5" thickBot="1" x14ac:dyDescent="0.3">
      <c r="A18" s="61">
        <v>3</v>
      </c>
      <c r="B18" s="62" t="s">
        <v>54</v>
      </c>
      <c r="C18" s="63"/>
      <c r="D18" s="64"/>
      <c r="E18" s="61" t="s">
        <v>37</v>
      </c>
      <c r="F18" s="65">
        <v>14000</v>
      </c>
      <c r="G18" s="61">
        <v>2</v>
      </c>
      <c r="H18" s="38">
        <f t="shared" si="1"/>
        <v>28000</v>
      </c>
    </row>
    <row r="19" spans="1:8" ht="16.5" thickBot="1" x14ac:dyDescent="0.3">
      <c r="A19" s="61">
        <v>4</v>
      </c>
      <c r="B19" s="62" t="s">
        <v>55</v>
      </c>
      <c r="C19" s="63"/>
      <c r="D19" s="64"/>
      <c r="E19" s="61" t="s">
        <v>37</v>
      </c>
      <c r="F19" s="65">
        <v>11000</v>
      </c>
      <c r="G19" s="61">
        <v>1</v>
      </c>
      <c r="H19" s="38">
        <f t="shared" si="1"/>
        <v>11000</v>
      </c>
    </row>
    <row r="20" spans="1:8" ht="16.5" thickBot="1" x14ac:dyDescent="0.3">
      <c r="A20" s="61">
        <v>5</v>
      </c>
      <c r="B20" s="62" t="s">
        <v>56</v>
      </c>
      <c r="C20" s="63"/>
      <c r="D20" s="64"/>
      <c r="E20" s="61" t="s">
        <v>37</v>
      </c>
      <c r="F20" s="65">
        <v>60000</v>
      </c>
      <c r="G20" s="61">
        <v>1</v>
      </c>
      <c r="H20" s="38">
        <f t="shared" ref="H20:H22" si="2">G20*F20</f>
        <v>60000</v>
      </c>
    </row>
    <row r="21" spans="1:8" ht="16.5" thickBot="1" x14ac:dyDescent="0.3">
      <c r="A21" s="61">
        <v>6</v>
      </c>
      <c r="B21" s="62" t="s">
        <v>57</v>
      </c>
      <c r="C21" s="63"/>
      <c r="D21" s="64"/>
      <c r="E21" s="61" t="s">
        <v>49</v>
      </c>
      <c r="F21" s="65">
        <v>9800</v>
      </c>
      <c r="G21" s="61">
        <v>6</v>
      </c>
      <c r="H21" s="38">
        <f t="shared" si="2"/>
        <v>58800</v>
      </c>
    </row>
    <row r="22" spans="1:8" ht="16.5" thickBot="1" x14ac:dyDescent="0.3">
      <c r="A22" s="61">
        <v>7</v>
      </c>
      <c r="B22" s="62" t="s">
        <v>58</v>
      </c>
      <c r="C22" s="63"/>
      <c r="D22" s="64"/>
      <c r="E22" s="61" t="s">
        <v>49</v>
      </c>
      <c r="F22" s="65">
        <v>40000</v>
      </c>
      <c r="G22" s="61">
        <v>2</v>
      </c>
      <c r="H22" s="38">
        <f t="shared" si="2"/>
        <v>80000</v>
      </c>
    </row>
    <row r="23" spans="1:8" ht="19.5" customHeight="1" thickBot="1" x14ac:dyDescent="0.3">
      <c r="A23" s="48"/>
      <c r="B23" s="67"/>
      <c r="D23" s="68"/>
      <c r="E23" s="48"/>
      <c r="F23" s="48"/>
      <c r="G23" s="48"/>
    </row>
    <row r="24" spans="1:8" ht="19.5" customHeight="1" thickBot="1" x14ac:dyDescent="0.35">
      <c r="A24" s="66" t="s">
        <v>23</v>
      </c>
      <c r="B24" s="69" t="s">
        <v>59</v>
      </c>
      <c r="C24" s="12"/>
      <c r="D24" s="13"/>
      <c r="E24" s="49"/>
      <c r="F24" s="37" t="s">
        <v>38</v>
      </c>
      <c r="G24" s="6"/>
      <c r="H24" s="7"/>
    </row>
    <row r="25" spans="1:8" ht="19.5" customHeight="1" thickBot="1" x14ac:dyDescent="0.3">
      <c r="A25" s="39"/>
      <c r="B25" s="16" t="s">
        <v>60</v>
      </c>
      <c r="C25" s="4"/>
      <c r="D25" s="17"/>
      <c r="E25" s="52" t="s">
        <v>24</v>
      </c>
      <c r="F25" s="53"/>
      <c r="G25" s="44"/>
      <c r="H25" s="50">
        <f>SUM(H16:H22)</f>
        <v>475800</v>
      </c>
    </row>
    <row r="26" spans="1:8" ht="19.5" customHeight="1" x14ac:dyDescent="0.25">
      <c r="A26" s="24" t="s">
        <v>25</v>
      </c>
      <c r="B26" s="12"/>
      <c r="C26" s="12"/>
      <c r="D26" s="12"/>
      <c r="E26" s="54" t="s">
        <v>29</v>
      </c>
      <c r="F26" s="23"/>
      <c r="G26" s="55">
        <v>0.19</v>
      </c>
      <c r="H26" s="40">
        <f>H25*G26</f>
        <v>90402</v>
      </c>
    </row>
    <row r="27" spans="1:8" ht="19.5" customHeight="1" x14ac:dyDescent="0.25">
      <c r="A27" s="14" t="s">
        <v>30</v>
      </c>
      <c r="E27" s="56" t="s">
        <v>26</v>
      </c>
      <c r="G27" s="59">
        <v>2.5000000000000001E-2</v>
      </c>
      <c r="H27" s="51"/>
    </row>
    <row r="28" spans="1:8" ht="15.75" x14ac:dyDescent="0.25">
      <c r="A28" s="14" t="s">
        <v>47</v>
      </c>
      <c r="E28" s="14"/>
      <c r="F28" s="33"/>
      <c r="G28" s="45"/>
      <c r="H28" s="15"/>
    </row>
    <row r="29" spans="1:8" ht="16.5" thickBot="1" x14ac:dyDescent="0.3">
      <c r="A29" s="14" t="s">
        <v>32</v>
      </c>
      <c r="E29" s="57" t="s">
        <v>27</v>
      </c>
      <c r="F29" s="58"/>
      <c r="G29" s="46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</f>
        <v>566202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39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369436A6-4B2B-42A8-8866-246DED8AA10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2025-09-04T22:06:18Z</cp:lastPrinted>
  <dcterms:created xsi:type="dcterms:W3CDTF">2018-11-15T17:29:02Z</dcterms:created>
  <dcterms:modified xsi:type="dcterms:W3CDTF">2025-09-15T21:00:49Z</dcterms:modified>
</cp:coreProperties>
</file>