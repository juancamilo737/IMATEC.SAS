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8495A361-7BB5-4665-BD35-7656B220060F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ALFREY CAIP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7" i="1" s="1"/>
  <c r="H38" i="1" l="1"/>
  <c r="H42" i="1" s="1"/>
</calcChain>
</file>

<file path=xl/sharedStrings.xml><?xml version="1.0" encoding="utf-8"?>
<sst xmlns="http://schemas.openxmlformats.org/spreadsheetml/2006/main" count="53" uniqueCount="53">
  <si>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</si>
  <si>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</si>
  <si>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</si>
  <si>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</si>
  <si>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</si>
  <si>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</si>
  <si>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</si>
  <si>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</si>
  <si>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</si>
  <si>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</si>
  <si>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</si>
  <si>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</si>
  <si>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</si>
  <si>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</si>
  <si>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</si>
  <si>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</si>
  <si>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</si>
  <si>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</si>
  <si>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</si>
  <si>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</si>
  <si>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</si>
  <si>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</si>
  <si>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</si>
  <si>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</si>
  <si>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</si>
  <si>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</si>
  <si>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</si>
  <si>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</si>
  <si>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</si>
  <si>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</si>
  <si>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</si>
  <si>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</si>
  <si>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</si>
  <si>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 xml:space="preserve">  CALLE  33B  No. 17C - 68               B/  LA FLORESTA             -   CALI    -                                  CEL.     321 7834969</t>
  </si>
  <si>
    <t>LINEA COMERCIALIZACION</t>
  </si>
  <si>
    <t>IVA</t>
  </si>
  <si>
    <t xml:space="preserve">                                   JAVIER LOZANO TAMAYO C.C. 16´654.252</t>
  </si>
  <si>
    <t>8 DIAS</t>
  </si>
  <si>
    <t>ITEM</t>
  </si>
  <si>
    <t>ACCESORIO</t>
  </si>
  <si>
    <t>CONTACTOS   310 8306118       319 7174165        321 7834969</t>
  </si>
  <si>
    <t>LUIS ANTONIO BENAVIDEZ</t>
  </si>
  <si>
    <t>ALFREY ALTIMER CAIPE QUIROZ</t>
  </si>
  <si>
    <t>VEREDA GUAN SECTOR CANTERIA</t>
  </si>
  <si>
    <t>CUMBAL</t>
  </si>
  <si>
    <t>alfrey05@gmail.com</t>
  </si>
  <si>
    <t>320 7639891</t>
  </si>
  <si>
    <t>VALVULA GLOBO BRONCE  3/4 "  X  150</t>
  </si>
  <si>
    <t>UN MILLON CIENTO SETENTA Y OCHO MIL CIEN PESOS</t>
  </si>
  <si>
    <t>MDA / CTE</t>
  </si>
  <si>
    <t>FORMA DE PAGO : CONTADO</t>
  </si>
  <si>
    <t>ENVIO FLETADO</t>
  </si>
  <si>
    <t>COSTO DE AFORO DE CUENTA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</si>
</sst>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frey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13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34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36</v>
      </c>
      <c r="E4" s="19"/>
      <c r="F4" s="20"/>
      <c r="G4" s="6"/>
      <c r="H4" s="7"/>
    </row>
    <row r="5" spans="1:8" ht="19.5" thickBot="1" x14ac:dyDescent="0.35">
      <c r="A5" s="70" t="s">
        <v>40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42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>
        <v>98388908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43</v>
      </c>
      <c r="D9" s="25"/>
      <c r="E9" s="26" t="s">
        <v>44</v>
      </c>
      <c r="F9" s="33" t="s">
        <v>0</v>
      </c>
      <c r="H9" s="34">
        <v>45471</v>
      </c>
    </row>
    <row r="10" spans="1:8" ht="18.75" x14ac:dyDescent="0.3">
      <c r="A10" s="22" t="s">
        <v>14</v>
      </c>
      <c r="C10" s="57" t="s">
        <v>45</v>
      </c>
      <c r="D10" s="27"/>
      <c r="E10" s="27"/>
      <c r="F10" s="33" t="s">
        <v>16</v>
      </c>
      <c r="H10" s="35" t="s">
        <v>37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45478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41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38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47</v>
      </c>
      <c r="C16" s="42"/>
      <c r="D16" s="63"/>
      <c r="E16" s="62" t="s">
        <v>39</v>
      </c>
      <c r="F16" s="66">
        <v>198000</v>
      </c>
      <c r="G16" s="62">
        <v>5</v>
      </c>
      <c r="H16" s="64">
        <f>G16*F16</f>
        <v>990000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26</v>
      </c>
      <c r="B36" s="12" t="s">
        <v>48</v>
      </c>
      <c r="C36" s="13"/>
      <c r="D36" s="14"/>
      <c r="E36" s="13"/>
      <c r="F36" s="47" t="s">
        <v>32</v>
      </c>
      <c r="G36" s="13"/>
      <c r="H36" s="7"/>
    </row>
    <row r="37" spans="1:8" ht="19.5" customHeight="1" thickBot="1" x14ac:dyDescent="0.3">
      <c r="A37" s="74"/>
      <c r="B37" s="17" t="s">
        <v>49</v>
      </c>
      <c r="C37" s="4"/>
      <c r="D37" s="4"/>
      <c r="E37" s="48" t="s">
        <v>27</v>
      </c>
      <c r="F37" s="49"/>
      <c r="G37" s="27"/>
      <c r="H37" s="58">
        <f>H16</f>
        <v>990000</v>
      </c>
    </row>
    <row r="38" spans="1:8" ht="19.5" customHeight="1" thickBot="1" x14ac:dyDescent="0.3">
      <c r="A38" s="28" t="s">
        <v>28</v>
      </c>
      <c r="B38" s="13"/>
      <c r="C38" s="13"/>
      <c r="D38" s="14"/>
      <c r="E38" s="3" t="s">
        <v>35</v>
      </c>
      <c r="F38" s="71"/>
      <c r="G38" s="51">
        <v>0.19</v>
      </c>
      <c r="H38" s="59">
        <f>H37*G38</f>
        <v>188100</v>
      </c>
    </row>
    <row r="39" spans="1:8" ht="16.5" thickTop="1" x14ac:dyDescent="0.25">
      <c r="A39" s="15" t="s">
        <v>50</v>
      </c>
      <c r="D39" s="16"/>
      <c r="E39" s="49" t="s">
        <v>29</v>
      </c>
      <c r="G39">
        <v>0</v>
      </c>
      <c r="H39" s="52"/>
    </row>
    <row r="40" spans="1:8" ht="15.75" x14ac:dyDescent="0.25">
      <c r="A40" s="15" t="s">
        <v>51</v>
      </c>
      <c r="D40" s="16"/>
      <c r="F40" s="49"/>
      <c r="G40" s="27"/>
      <c r="H40" s="53"/>
    </row>
    <row r="41" spans="1:8" ht="16.5" thickBot="1" x14ac:dyDescent="0.3">
      <c r="A41" s="15" t="s">
        <v>52</v>
      </c>
      <c r="D41" s="16"/>
      <c r="E41" s="49" t="s">
        <v>30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31</v>
      </c>
      <c r="H42" s="60">
        <f>H37+H38</f>
        <v>1178100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33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ALFREY CAIPE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2024-06-28T18:38:23Z</dcterms:modified>
</cp:coreProperties>
</file>