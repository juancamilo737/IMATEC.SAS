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FF199E98-5AFF-40C2-B769-80BE01A9172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MJ GROUP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6" i="1" l="1"/>
  <c r="H33" i="1"/>
  <c r="H31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32" i="1"/>
</calcChain>
</file>

<file path=xl/sharedStrings.xml><?xml version="1.0" encoding="utf-8"?>
<sst xmlns="http://schemas.openxmlformats.org/spreadsheetml/2006/main" count="85" uniqueCount="67">
  <si>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</si>
  <si>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</si>
  <si>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</si>
  <si>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</si>
  <si>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</si>
  <si>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</si>
  <si>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</si>
  <si>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</si>
  <si>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</si>
  <si>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</si>
  <si>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</si>
  <si>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</si>
  <si>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</si>
  <si>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</si>
  <si>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</si>
  <si>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</si>
  <si>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</si>
  <si>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</si>
  <si>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</si>
  <si>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</si>
  <si>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</si>
  <si>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</si>
  <si>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</si>
  <si>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</si>
  <si>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</si>
  <si>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</si>
  <si>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</si>
  <si>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</si>
  <si>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</si>
  <si>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</si>
  <si>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</si>
  <si>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</si>
  <si>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</si>
  <si>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</si>
  <si>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</si>
  <si>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</si>
  <si>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AMJ GROUP S.A.S.</t>
  </si>
  <si>
    <t>901 186298</t>
  </si>
  <si>
    <t>CALI</t>
  </si>
  <si>
    <t>amjgroupcol@outlook.com</t>
  </si>
  <si>
    <t>318 7563307</t>
  </si>
  <si>
    <t>LUIS A. BENAVIDES</t>
  </si>
  <si>
    <t>ACCESORIO</t>
  </si>
  <si>
    <t>L I Q U I D A C I O N</t>
  </si>
  <si>
    <t>CALLE  33 A  No.  11C-59</t>
  </si>
  <si>
    <t xml:space="preserve">  CALLE  33A  No. 17F - 56               B/  LA FLORESTA             -   CALI    -                                          CEL.     321 7834969</t>
  </si>
  <si>
    <t>FORMA DE PAGO : CREDITO 30 DIAS</t>
  </si>
  <si>
    <t xml:space="preserve">           C O T I Z A C I O N </t>
  </si>
  <si>
    <t>No. 17</t>
  </si>
  <si>
    <t>10 DIAS</t>
  </si>
  <si>
    <t>CODO A / C  SCH 80  2 "  X  90 º</t>
  </si>
  <si>
    <t>TEE A / C SCH 80  2 "</t>
  </si>
  <si>
    <t>BRIDA  A / C  SLIP ON  2 "  X  150  LBS</t>
  </si>
  <si>
    <t>BRIDA  A / C  SLIP ON  1 "  X  150  LBS</t>
  </si>
  <si>
    <t>COPA  A / C  SCH 80  2 " X  1 "</t>
  </si>
  <si>
    <t>VALVULA DE BOLA  A / C  2 "  X  1000 LBS</t>
  </si>
  <si>
    <t xml:space="preserve">NIPLE  A / C  SCH 80  </t>
  </si>
  <si>
    <t>1 "  X  7  CMTS</t>
  </si>
  <si>
    <t>2 "  X  11  CMTS</t>
  </si>
  <si>
    <t>2 "  X  14  CMTS</t>
  </si>
  <si>
    <t>2 "  X  15  CMTS</t>
  </si>
  <si>
    <t>2 "  X  17  CMTS</t>
  </si>
  <si>
    <t>2 "  X  40  CMTS</t>
  </si>
  <si>
    <t>2 "  X  100 CMTS</t>
  </si>
  <si>
    <t>UN MILLON DOSCIENTOS SETENTA Y NUEVE MIL SEIS-</t>
  </si>
  <si>
    <t>CIENTOS TREINTA Y SEIS PESOS MDA / CTE</t>
  </si>
  <si>
    <t>ENTREGA EN UN DIA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</si>
</sst>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0" fillId="0" borderId="26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3" xfId="0" applyFont="1" applyBorder="1"/>
    <xf numFmtId="0" fontId="1" fillId="0" borderId="27" xfId="0" applyFont="1" applyBorder="1" applyAlignment="1">
      <alignment horizontal="center"/>
    </xf>
    <xf numFmtId="0" fontId="8" fillId="0" borderId="28" xfId="0" applyFont="1" applyBorder="1"/>
    <xf numFmtId="0" fontId="8" fillId="0" borderId="18" xfId="0" applyFont="1" applyBorder="1"/>
    <xf numFmtId="0" fontId="8" fillId="0" borderId="29" xfId="0" applyFont="1" applyBorder="1"/>
    <xf numFmtId="42" fontId="11" fillId="0" borderId="27" xfId="1" applyFont="1" applyBorder="1" applyAlignment="1">
      <alignment horizontal="center"/>
    </xf>
    <xf numFmtId="0" fontId="1" fillId="0" borderId="30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  <xf numFmtId="0" fontId="0" fillId="0" borderId="8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mjgroupcol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51"/>
  <sheetViews>
    <sheetView tabSelected="1" topLeftCell="A14" zoomScaleNormal="100" workbookViewId="0">
      <selection activeCell="J31" sqref="J3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30</v>
      </c>
      <c r="E4" s="17"/>
      <c r="F4" s="18"/>
      <c r="G4" s="6"/>
      <c r="H4" s="7"/>
    </row>
    <row r="5" spans="1:8" ht="19.5" thickBot="1" x14ac:dyDescent="0.35">
      <c r="A5" s="36" t="s">
        <v>32</v>
      </c>
      <c r="B5" s="6"/>
      <c r="C5" s="6"/>
      <c r="D5" s="6"/>
      <c r="E5" s="6"/>
    </row>
    <row r="6" spans="1:8" ht="24.75" customHeight="1" thickBot="1" x14ac:dyDescent="0.45">
      <c r="F6" s="40" t="s">
        <v>47</v>
      </c>
      <c r="G6" s="41"/>
      <c r="H6" s="42"/>
    </row>
    <row r="7" spans="1:8" ht="19.5" thickBot="1" x14ac:dyDescent="0.35">
      <c r="A7" s="19" t="s">
        <v>14</v>
      </c>
      <c r="B7" s="12"/>
      <c r="C7" s="43" t="s">
        <v>36</v>
      </c>
      <c r="D7" s="6"/>
      <c r="E7" s="6"/>
      <c r="F7" s="36"/>
      <c r="G7" s="17"/>
      <c r="H7" s="18" t="s">
        <v>48</v>
      </c>
    </row>
    <row r="8" spans="1:8" ht="19.5" thickBot="1" x14ac:dyDescent="0.35">
      <c r="A8" s="20" t="s">
        <v>8</v>
      </c>
      <c r="C8" s="13" t="s">
        <v>37</v>
      </c>
      <c r="E8" s="14"/>
      <c r="H8" s="14"/>
    </row>
    <row r="9" spans="1:8" ht="18.75" customHeight="1" thickBot="1" x14ac:dyDescent="0.35">
      <c r="A9" s="20" t="s">
        <v>9</v>
      </c>
      <c r="C9" s="13" t="s">
        <v>44</v>
      </c>
      <c r="E9" s="60" t="s">
        <v>38</v>
      </c>
      <c r="F9" s="29" t="s">
        <v>0</v>
      </c>
      <c r="H9" s="27">
        <v>45811</v>
      </c>
    </row>
    <row r="10" spans="1:8" ht="18.75" x14ac:dyDescent="0.3">
      <c r="A10" s="20" t="s">
        <v>13</v>
      </c>
      <c r="C10" s="47" t="s">
        <v>39</v>
      </c>
      <c r="E10" s="14"/>
      <c r="F10" s="29" t="s">
        <v>15</v>
      </c>
      <c r="H10" s="28" t="s">
        <v>49</v>
      </c>
    </row>
    <row r="11" spans="1:8" ht="18.75" x14ac:dyDescent="0.3">
      <c r="A11" s="20" t="s">
        <v>10</v>
      </c>
      <c r="C11" s="13"/>
      <c r="E11" s="14"/>
      <c r="F11" s="29" t="s">
        <v>16</v>
      </c>
      <c r="G11" s="29"/>
      <c r="H11" s="27">
        <v>45820</v>
      </c>
    </row>
    <row r="12" spans="1:8" ht="18.75" x14ac:dyDescent="0.3">
      <c r="A12" s="20" t="s">
        <v>11</v>
      </c>
      <c r="C12" s="13" t="s">
        <v>40</v>
      </c>
      <c r="E12" s="14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15" t="s">
        <v>41</v>
      </c>
      <c r="D13" s="4"/>
      <c r="E13" s="16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33</v>
      </c>
      <c r="B15" s="61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62">
        <v>1</v>
      </c>
      <c r="B16" s="63" t="s">
        <v>50</v>
      </c>
      <c r="C16" s="64"/>
      <c r="D16" s="65"/>
      <c r="E16" s="62" t="s">
        <v>42</v>
      </c>
      <c r="F16" s="66">
        <v>14000</v>
      </c>
      <c r="G16" s="62">
        <v>3</v>
      </c>
      <c r="H16" s="37">
        <f t="shared" ref="H16" si="0">G16*F16</f>
        <v>42000</v>
      </c>
    </row>
    <row r="17" spans="1:8" ht="16.5" thickBot="1" x14ac:dyDescent="0.3">
      <c r="A17" s="62">
        <v>2</v>
      </c>
      <c r="B17" s="63" t="s">
        <v>51</v>
      </c>
      <c r="C17" s="64"/>
      <c r="D17" s="65"/>
      <c r="E17" s="62" t="s">
        <v>42</v>
      </c>
      <c r="F17" s="66">
        <v>38000</v>
      </c>
      <c r="G17" s="62">
        <v>4</v>
      </c>
      <c r="H17" s="37">
        <f t="shared" ref="H17:H28" si="1">G17*F17</f>
        <v>152000</v>
      </c>
    </row>
    <row r="18" spans="1:8" ht="16.5" thickBot="1" x14ac:dyDescent="0.3">
      <c r="A18" s="62">
        <v>3</v>
      </c>
      <c r="B18" s="63" t="s">
        <v>52</v>
      </c>
      <c r="C18" s="64"/>
      <c r="D18" s="65"/>
      <c r="E18" s="62" t="s">
        <v>42</v>
      </c>
      <c r="F18" s="66">
        <v>29000</v>
      </c>
      <c r="G18" s="62">
        <v>4</v>
      </c>
      <c r="H18" s="37">
        <f t="shared" si="1"/>
        <v>116000</v>
      </c>
    </row>
    <row r="19" spans="1:8" ht="16.5" thickBot="1" x14ac:dyDescent="0.3">
      <c r="A19" s="62">
        <v>4</v>
      </c>
      <c r="B19" s="63" t="s">
        <v>53</v>
      </c>
      <c r="C19" s="64"/>
      <c r="D19" s="65"/>
      <c r="E19" s="62" t="s">
        <v>42</v>
      </c>
      <c r="F19" s="66">
        <v>15200</v>
      </c>
      <c r="G19" s="62">
        <v>2</v>
      </c>
      <c r="H19" s="37">
        <f t="shared" si="1"/>
        <v>30400</v>
      </c>
    </row>
    <row r="20" spans="1:8" ht="16.5" thickBot="1" x14ac:dyDescent="0.3">
      <c r="A20" s="62">
        <v>5</v>
      </c>
      <c r="B20" s="63" t="s">
        <v>54</v>
      </c>
      <c r="C20" s="64"/>
      <c r="D20" s="65"/>
      <c r="E20" s="62" t="s">
        <v>42</v>
      </c>
      <c r="F20" s="66">
        <v>25000</v>
      </c>
      <c r="G20" s="62">
        <v>2</v>
      </c>
      <c r="H20" s="37">
        <f t="shared" si="1"/>
        <v>50000</v>
      </c>
    </row>
    <row r="21" spans="1:8" ht="16.5" thickBot="1" x14ac:dyDescent="0.3">
      <c r="A21" s="62">
        <v>6</v>
      </c>
      <c r="B21" s="63" t="s">
        <v>55</v>
      </c>
      <c r="C21" s="64"/>
      <c r="D21" s="65"/>
      <c r="E21" s="62" t="s">
        <v>42</v>
      </c>
      <c r="F21" s="66">
        <v>135000</v>
      </c>
      <c r="G21" s="62">
        <v>3</v>
      </c>
      <c r="H21" s="37">
        <f t="shared" si="1"/>
        <v>405000</v>
      </c>
    </row>
    <row r="22" spans="1:8" ht="16.5" thickBot="1" x14ac:dyDescent="0.3">
      <c r="A22" s="62">
        <v>7</v>
      </c>
      <c r="B22" s="63" t="s">
        <v>56</v>
      </c>
      <c r="C22" s="64"/>
      <c r="D22" s="65" t="s">
        <v>57</v>
      </c>
      <c r="E22" s="62" t="s">
        <v>42</v>
      </c>
      <c r="F22" s="66">
        <v>13000</v>
      </c>
      <c r="G22" s="62">
        <v>1</v>
      </c>
      <c r="H22" s="37">
        <f t="shared" si="1"/>
        <v>13000</v>
      </c>
    </row>
    <row r="23" spans="1:8" ht="16.5" thickBot="1" x14ac:dyDescent="0.3">
      <c r="A23" s="62">
        <v>8</v>
      </c>
      <c r="B23" s="63" t="s">
        <v>56</v>
      </c>
      <c r="C23" s="64"/>
      <c r="D23" s="65" t="s">
        <v>58</v>
      </c>
      <c r="E23" s="62" t="s">
        <v>42</v>
      </c>
      <c r="F23" s="66">
        <v>22000</v>
      </c>
      <c r="G23" s="62">
        <v>1</v>
      </c>
      <c r="H23" s="37">
        <f t="shared" si="1"/>
        <v>22000</v>
      </c>
    </row>
    <row r="24" spans="1:8" ht="16.5" thickBot="1" x14ac:dyDescent="0.3">
      <c r="A24" s="62">
        <v>9</v>
      </c>
      <c r="B24" s="63" t="s">
        <v>56</v>
      </c>
      <c r="C24" s="64"/>
      <c r="D24" s="65" t="s">
        <v>59</v>
      </c>
      <c r="E24" s="62" t="s">
        <v>42</v>
      </c>
      <c r="F24" s="66">
        <v>28000</v>
      </c>
      <c r="G24" s="62">
        <v>1</v>
      </c>
      <c r="H24" s="37">
        <f t="shared" si="1"/>
        <v>28000</v>
      </c>
    </row>
    <row r="25" spans="1:8" ht="16.5" thickBot="1" x14ac:dyDescent="0.3">
      <c r="A25" s="62">
        <v>10</v>
      </c>
      <c r="B25" s="63" t="s">
        <v>56</v>
      </c>
      <c r="C25" s="64"/>
      <c r="D25" s="65" t="s">
        <v>60</v>
      </c>
      <c r="E25" s="62" t="s">
        <v>42</v>
      </c>
      <c r="F25" s="66">
        <v>32000</v>
      </c>
      <c r="G25" s="62">
        <v>1</v>
      </c>
      <c r="H25" s="37">
        <f t="shared" si="1"/>
        <v>32000</v>
      </c>
    </row>
    <row r="26" spans="1:8" ht="16.5" thickBot="1" x14ac:dyDescent="0.3">
      <c r="A26" s="62">
        <v>11</v>
      </c>
      <c r="B26" s="63" t="s">
        <v>56</v>
      </c>
      <c r="C26" s="64"/>
      <c r="D26" s="65" t="s">
        <v>61</v>
      </c>
      <c r="E26" s="62" t="s">
        <v>42</v>
      </c>
      <c r="F26" s="66">
        <v>34000</v>
      </c>
      <c r="G26" s="62">
        <v>1</v>
      </c>
      <c r="H26" s="37">
        <f t="shared" si="1"/>
        <v>34000</v>
      </c>
    </row>
    <row r="27" spans="1:8" ht="16.5" thickBot="1" x14ac:dyDescent="0.3">
      <c r="A27" s="62">
        <v>12</v>
      </c>
      <c r="B27" s="63" t="s">
        <v>56</v>
      </c>
      <c r="C27" s="64"/>
      <c r="D27" s="65" t="s">
        <v>62</v>
      </c>
      <c r="E27" s="62" t="s">
        <v>42</v>
      </c>
      <c r="F27" s="66">
        <v>54000</v>
      </c>
      <c r="G27" s="62">
        <v>1</v>
      </c>
      <c r="H27" s="37">
        <f t="shared" si="1"/>
        <v>54000</v>
      </c>
    </row>
    <row r="28" spans="1:8" ht="16.5" thickBot="1" x14ac:dyDescent="0.3">
      <c r="A28" s="62">
        <v>13</v>
      </c>
      <c r="B28" s="63" t="s">
        <v>56</v>
      </c>
      <c r="C28" s="64"/>
      <c r="D28" s="65" t="s">
        <v>63</v>
      </c>
      <c r="E28" s="62" t="s">
        <v>42</v>
      </c>
      <c r="F28" s="66">
        <v>120000</v>
      </c>
      <c r="G28" s="62">
        <v>1</v>
      </c>
      <c r="H28" s="37">
        <f t="shared" si="1"/>
        <v>120000</v>
      </c>
    </row>
    <row r="29" spans="1:8" ht="19.5" customHeight="1" thickBot="1" x14ac:dyDescent="0.3">
      <c r="A29" s="48"/>
      <c r="B29" s="68"/>
      <c r="D29" s="69"/>
      <c r="E29" s="48"/>
      <c r="F29" s="48"/>
      <c r="G29" s="48"/>
    </row>
    <row r="30" spans="1:8" ht="19.5" customHeight="1" thickBot="1" x14ac:dyDescent="0.35">
      <c r="A30" s="67" t="s">
        <v>23</v>
      </c>
      <c r="B30" s="70" t="s">
        <v>64</v>
      </c>
      <c r="C30" s="12"/>
      <c r="D30" s="71"/>
      <c r="E30" s="49"/>
      <c r="F30" s="36" t="s">
        <v>43</v>
      </c>
      <c r="G30" s="6"/>
      <c r="H30" s="7"/>
    </row>
    <row r="31" spans="1:8" ht="19.5" customHeight="1" thickBot="1" x14ac:dyDescent="0.3">
      <c r="A31" s="38"/>
      <c r="B31" s="15" t="s">
        <v>65</v>
      </c>
      <c r="C31" s="4"/>
      <c r="D31" s="16"/>
      <c r="E31" s="52" t="s">
        <v>24</v>
      </c>
      <c r="F31" s="53"/>
      <c r="G31" s="44"/>
      <c r="H31" s="50">
        <f>SUM(H16:H28)</f>
        <v>1098400</v>
      </c>
    </row>
    <row r="32" spans="1:8" ht="19.5" customHeight="1" x14ac:dyDescent="0.25">
      <c r="A32" s="23" t="s">
        <v>25</v>
      </c>
      <c r="B32" s="12"/>
      <c r="C32" s="12"/>
      <c r="D32" s="12"/>
      <c r="E32" s="54" t="s">
        <v>29</v>
      </c>
      <c r="F32" s="22"/>
      <c r="G32" s="55">
        <v>0.19</v>
      </c>
      <c r="H32" s="39">
        <f>H31*G32</f>
        <v>208696</v>
      </c>
    </row>
    <row r="33" spans="1:8" ht="19.5" customHeight="1" x14ac:dyDescent="0.25">
      <c r="A33" s="13" t="s">
        <v>46</v>
      </c>
      <c r="E33" s="56" t="s">
        <v>26</v>
      </c>
      <c r="G33" s="59">
        <v>2.5000000000000001E-2</v>
      </c>
      <c r="H33" s="51">
        <f>H31*G33</f>
        <v>27460</v>
      </c>
    </row>
    <row r="34" spans="1:8" ht="15.75" x14ac:dyDescent="0.25">
      <c r="A34" s="13" t="s">
        <v>66</v>
      </c>
      <c r="E34" s="13"/>
      <c r="F34" s="32"/>
      <c r="G34" s="45"/>
      <c r="H34" s="14"/>
    </row>
    <row r="35" spans="1:8" ht="16.5" thickBot="1" x14ac:dyDescent="0.3">
      <c r="A35" s="13" t="s">
        <v>31</v>
      </c>
      <c r="E35" s="57" t="s">
        <v>27</v>
      </c>
      <c r="F35" s="58"/>
      <c r="G35" s="46"/>
      <c r="H35" s="16"/>
    </row>
    <row r="36" spans="1:8" ht="19.5" thickBot="1" x14ac:dyDescent="0.35">
      <c r="A36" s="15"/>
      <c r="B36" s="4"/>
      <c r="C36" s="4"/>
      <c r="D36" s="16"/>
      <c r="F36" s="3"/>
      <c r="G36" s="33" t="s">
        <v>28</v>
      </c>
      <c r="H36" s="35">
        <f>H31+H32-H33</f>
        <v>1279636</v>
      </c>
    </row>
    <row r="37" spans="1:8" ht="16.5" customHeight="1" x14ac:dyDescent="0.25"/>
    <row r="42" spans="1:8" ht="15.75" thickBot="1" x14ac:dyDescent="0.3"/>
    <row r="43" spans="1:8" ht="19.5" thickBot="1" x14ac:dyDescent="0.35">
      <c r="A43" s="24" t="s">
        <v>45</v>
      </c>
      <c r="B43" s="6"/>
      <c r="C43" s="6"/>
      <c r="D43" s="6"/>
      <c r="E43" s="6"/>
      <c r="F43" s="6"/>
      <c r="G43" s="6"/>
      <c r="H43" s="7"/>
    </row>
    <row r="51" spans="1:1" ht="18.75" x14ac:dyDescent="0.3">
      <c r="A51" s="5"/>
    </row>
  </sheetData>
  <hyperlinks>
    <hyperlink ref="C10" r:id="rId1" xr:uid="{83416D48-1D1C-4F04-BD1C-C94090152328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AMJ GROUP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2025-05-27T16:40:58Z</cp:lastPrinted>
  <dcterms:created xsi:type="dcterms:W3CDTF">2018-11-15T17:29:02Z</dcterms:created>
  <dcterms:modified xsi:type="dcterms:W3CDTF">2025-06-03T19:27:23Z</dcterms:modified>
</cp:coreProperties>
</file>