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81FB96D8-5C4D-4B2B-AFC6-165D2C0106A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RODRIGO GALLEG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1" i="1" l="1"/>
  <c r="H20" i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<sst xmlns="http://schemas.openxmlformats.org/spreadsheetml/2006/main" count="54" uniqueCount="54">
  <si>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</si>
  <si>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</si>
  <si>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</si>
  <si>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</si>
  <si>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</si>
  <si>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</si>
  <si>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</si>
  <si>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</si>
  <si>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</si>
  <si>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</si>
  <si>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</si>
  <si>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</si>
  <si>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</si>
  <si>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</si>
  <si>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</si>
  <si>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</si>
  <si>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</si>
  <si>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</si>
  <si>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</si>
  <si>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</si>
  <si>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</si>
  <si>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</si>
  <si>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</si>
  <si>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</si>
  <si>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</si>
  <si>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</si>
  <si>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</si>
  <si>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</si>
  <si>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</si>
  <si>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</si>
  <si>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</si>
  <si>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</si>
  <si>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</si>
  <si>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</si>
  <si>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</si>
  <si>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</si>
  <si>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</si>
  <si>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</si>
  <si>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</si>
  <si>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</si>
  <si>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 xml:space="preserve">              R E M I S I O N</t>
  </si>
  <si>
    <t xml:space="preserve">No.  1 </t>
  </si>
  <si>
    <t>JOSE RODRIGO GALLEGO ORTIZ</t>
  </si>
  <si>
    <t>CALLE 57  No.  56 - 150</t>
  </si>
  <si>
    <t>CALI</t>
  </si>
  <si>
    <t>rgoservicios@hotmail.com</t>
  </si>
  <si>
    <t>TECNICO EN GRUPO ELECTROGENOS</t>
  </si>
  <si>
    <t>315 5639690</t>
  </si>
  <si>
    <t>EDINSON CABEZAS</t>
  </si>
  <si>
    <t xml:space="preserve">VALVULA DE SEGURIDAD PARA MARMITA  3/4 "  </t>
  </si>
  <si>
    <t>A  30  PSI</t>
  </si>
  <si>
    <t>NOVECIENTOS SESENTA Y CUATRO MIL SEISCIENTOS</t>
  </si>
  <si>
    <t>VEINTE PESOS MDA / CT6E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</si>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</sst>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8" fillId="0" borderId="28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goservicios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zoomScaleNormal="100" workbookViewId="0">
      <selection activeCell="K23" sqref="K2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40</v>
      </c>
      <c r="G6" s="42"/>
      <c r="H6" s="43"/>
    </row>
    <row r="7" spans="1:8" ht="19.5" thickBot="1" x14ac:dyDescent="0.35">
      <c r="A7" s="20" t="s">
        <v>14</v>
      </c>
      <c r="B7" s="12"/>
      <c r="C7" s="59" t="s">
        <v>42</v>
      </c>
      <c r="D7" s="12"/>
      <c r="E7" s="13"/>
      <c r="F7" s="37"/>
      <c r="G7" s="18"/>
      <c r="H7" s="19" t="s">
        <v>41</v>
      </c>
    </row>
    <row r="8" spans="1:8" ht="18.75" x14ac:dyDescent="0.3">
      <c r="A8" s="21" t="s">
        <v>8</v>
      </c>
      <c r="C8" s="62">
        <v>16751845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43</v>
      </c>
      <c r="E9" s="15" t="s">
        <v>44</v>
      </c>
      <c r="F9" s="30" t="s">
        <v>0</v>
      </c>
      <c r="H9" s="28">
        <v>45835</v>
      </c>
    </row>
    <row r="10" spans="1:8" ht="18.75" x14ac:dyDescent="0.3">
      <c r="A10" s="21" t="s">
        <v>13</v>
      </c>
      <c r="C10" s="63" t="s">
        <v>45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 t="s">
        <v>46</v>
      </c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47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48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69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4">
        <v>1</v>
      </c>
      <c r="B16" s="65" t="s">
        <v>49</v>
      </c>
      <c r="C16" s="66"/>
      <c r="D16" s="67"/>
      <c r="E16" s="64" t="s">
        <v>37</v>
      </c>
      <c r="F16" s="68">
        <v>207000</v>
      </c>
      <c r="G16" s="64">
        <v>4</v>
      </c>
      <c r="H16" s="38">
        <f t="shared" ref="H16" si="0">G16*F16</f>
        <v>828000</v>
      </c>
    </row>
    <row r="17" spans="1:8" ht="19.5" customHeight="1" thickBot="1" x14ac:dyDescent="0.3">
      <c r="A17" s="47"/>
      <c r="B17" s="70" t="s">
        <v>50</v>
      </c>
      <c r="D17" s="61"/>
      <c r="E17" s="47"/>
      <c r="F17" s="47"/>
      <c r="G17" s="47"/>
    </row>
    <row r="18" spans="1:8" ht="19.5" customHeight="1" thickBot="1" x14ac:dyDescent="0.35">
      <c r="A18" s="60" t="s">
        <v>23</v>
      </c>
      <c r="B18" s="62" t="s">
        <v>51</v>
      </c>
      <c r="C18" s="12"/>
      <c r="D18" s="13"/>
      <c r="E18" s="48"/>
      <c r="F18" s="37" t="s">
        <v>38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17"/>
      <c r="E19" s="51" t="s">
        <v>24</v>
      </c>
      <c r="F19" s="52"/>
      <c r="G19" s="44"/>
      <c r="H19" s="49">
        <f>SUM(H16:H18)</f>
        <v>828000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157320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>
        <f>H19*G21</f>
        <v>20700</v>
      </c>
    </row>
    <row r="22" spans="1:8" ht="15.75" x14ac:dyDescent="0.25">
      <c r="A22" s="14" t="s">
        <v>53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964620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39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38FC498D-E3BE-4655-8F51-91155325603E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RODRIGO GALLEGO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2025-06-09T19:45:03Z</cp:lastPrinted>
  <dcterms:created xsi:type="dcterms:W3CDTF">2018-11-15T17:29:02Z</dcterms:created>
  <dcterms:modified xsi:type="dcterms:W3CDTF">2025-06-27T19:19:23Z</dcterms:modified>
</cp:coreProperties>
</file>