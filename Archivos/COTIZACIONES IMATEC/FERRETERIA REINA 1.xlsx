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3F0EA75-2899-426E-9106-FA28B5F28F3E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7" i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<sst xmlns="http://schemas.openxmlformats.org/spreadsheetml/2006/main" count="55" uniqueCount="54">
  <si>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</si>
  <si>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</si>
  <si>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</si>
  <si>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</si>
  <si>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</si>
  <si>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</si>
  <si>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</si>
  <si>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</si>
  <si>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</si>
  <si>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</si>
  <si>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</si>
  <si>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</si>
  <si>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</si>
  <si>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</si>
  <si>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</si>
  <si>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</si>
  <si>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</si>
  <si>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</si>
  <si>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</si>
  <si>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</si>
  <si>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</si>
  <si>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</si>
  <si>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</si>
  <si>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</si>
  <si>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</si>
  <si>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</si>
  <si>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</si>
  <si>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</si>
  <si>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</si>
  <si>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</si>
  <si>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</si>
  <si>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</si>
  <si>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</si>
  <si>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</si>
  <si>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</si>
  <si>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</si>
  <si>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</si>
  <si>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</si>
  <si>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</si>
  <si>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</si>
  <si>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</si>
  <si>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</si>
  <si>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FERRETERIA REINA  S. A.</t>
  </si>
  <si>
    <t>860 001607</t>
  </si>
  <si>
    <t>CALI</t>
  </si>
  <si>
    <t>CRA 1  No. 46N-07</t>
  </si>
  <si>
    <t>LUIS A. BENAVIDES</t>
  </si>
  <si>
    <t>310 5034035</t>
  </si>
  <si>
    <t>No. 1</t>
  </si>
  <si>
    <t>REDUCCION COPA AC/INOX 304 SCH 10 12 "  X  8 "</t>
  </si>
  <si>
    <t>CODO AC/INOX 304  SCH 10 16 "  X 90 º</t>
  </si>
  <si>
    <t xml:space="preserve">QUINCE MILLONES DOSCIENTOS CINCUENTA Y OCHO MIL </t>
  </si>
  <si>
    <t>CIENTO OCHENTA PESOS MDA / CTE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</si>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</sst>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6" zoomScaleNormal="100" workbookViewId="0">
      <selection activeCell="H28" sqref="H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45</v>
      </c>
      <c r="D9" s="23"/>
      <c r="E9" s="70" t="s">
        <v>44</v>
      </c>
      <c r="F9" s="30" t="s">
        <v>0</v>
      </c>
      <c r="H9" s="28">
        <v>45678</v>
      </c>
    </row>
    <row r="10" spans="1:8" ht="18.75" x14ac:dyDescent="0.3">
      <c r="A10" s="21" t="s">
        <v>13</v>
      </c>
      <c r="C10" s="71"/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45687</v>
      </c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39</v>
      </c>
      <c r="F16" s="79">
        <v>950000</v>
      </c>
      <c r="G16" s="75">
        <v>4</v>
      </c>
      <c r="H16" s="38">
        <f t="shared" ref="H16" si="0">G16*F16</f>
        <v>3800000</v>
      </c>
    </row>
    <row r="17" spans="1:8" ht="16.5" thickBot="1" x14ac:dyDescent="0.3">
      <c r="A17" s="75">
        <v>2</v>
      </c>
      <c r="B17" s="76" t="s">
        <v>50</v>
      </c>
      <c r="C17" s="77"/>
      <c r="D17" s="78"/>
      <c r="E17" s="75" t="s">
        <v>39</v>
      </c>
      <c r="F17" s="79">
        <v>9022000</v>
      </c>
      <c r="G17" s="75">
        <v>1</v>
      </c>
      <c r="H17" s="38">
        <f t="shared" ref="H17" si="1">G17*F17</f>
        <v>9022000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51</v>
      </c>
      <c r="D19" s="15"/>
      <c r="E19" s="54"/>
      <c r="F19" s="37" t="s">
        <v>40</v>
      </c>
      <c r="G19" s="6"/>
      <c r="H19" s="7"/>
    </row>
    <row r="20" spans="1:8" ht="19.5" customHeight="1" thickBot="1" x14ac:dyDescent="0.3">
      <c r="A20" s="39"/>
      <c r="B20" s="16" t="s">
        <v>52</v>
      </c>
      <c r="C20" s="4"/>
      <c r="D20" s="4"/>
      <c r="E20" s="57" t="s">
        <v>24</v>
      </c>
      <c r="F20" s="58"/>
      <c r="G20" s="46"/>
      <c r="H20" s="55">
        <f>SUM(H16:H19)</f>
        <v>12822000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2436180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>
        <f>H20*G22</f>
        <v>320550</v>
      </c>
    </row>
    <row r="23" spans="1:8" ht="15.75" x14ac:dyDescent="0.25">
      <c r="A23" s="14" t="s">
        <v>53</v>
      </c>
      <c r="E23" s="14"/>
      <c r="F23" s="33"/>
      <c r="G23" s="47"/>
      <c r="H23" s="15"/>
    </row>
    <row r="24" spans="1:8" ht="16.5" thickBot="1" x14ac:dyDescent="0.3">
      <c r="A24" s="14" t="s">
        <v>33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15258180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41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2025-01-21T21:26:22Z</dcterms:modified>
</cp:coreProperties>
</file>