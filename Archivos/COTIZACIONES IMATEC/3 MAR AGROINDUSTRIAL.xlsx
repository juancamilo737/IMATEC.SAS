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022B377C-ED9A-4CD1-8333-0AC7289B06D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3 MA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4" i="1" l="1"/>
  <c r="H31" i="1"/>
  <c r="H25" i="1" l="1"/>
  <c r="H24" i="1"/>
  <c r="H23" i="1"/>
  <c r="H22" i="1"/>
  <c r="H21" i="1"/>
  <c r="H20" i="1"/>
  <c r="H19" i="1"/>
  <c r="H18" i="1"/>
  <c r="H17" i="1"/>
  <c r="H16" i="1"/>
  <c r="H29" i="1" s="1"/>
  <c r="H30" i="1" l="1"/>
</calcChain>
</file>

<file path=xl/sharedStrings.xml><?xml version="1.0" encoding="utf-8"?>
<sst xmlns="http://schemas.openxmlformats.org/spreadsheetml/2006/main" count="71" uniqueCount="64">
  <si>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</si>
  <si>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</si>
  <si>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</si>
  <si>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</si>
  <si>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</si>
  <si>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</si>
  <si>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</si>
  <si>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</si>
  <si>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</si>
  <si>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</si>
  <si>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</si>
  <si>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</si>
  <si>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</si>
  <si>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</si>
  <si>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</si>
  <si>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</si>
  <si>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</si>
  <si>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</si>
  <si>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</si>
  <si>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</si>
  <si>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</si>
  <si>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</si>
  <si>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</si>
  <si>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</si>
  <si>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</si>
  <si>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</si>
  <si>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</si>
  <si>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</si>
  <si>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</si>
  <si>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</si>
  <si>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</si>
  <si>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</si>
  <si>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</si>
  <si>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</si>
  <si>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</si>
  <si>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</si>
  <si>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</si>
  <si>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</si>
  <si>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</si>
  <si>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</si>
  <si>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</si>
  <si>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3 MAR AGROINDUSTRIAL &amp; CIA LTDA</t>
  </si>
  <si>
    <t>900 313636</t>
  </si>
  <si>
    <t>AV 4 Nte. 6N-67</t>
  </si>
  <si>
    <t>CALI</t>
  </si>
  <si>
    <t>contabilidad@watercol.com.co</t>
  </si>
  <si>
    <t>602 6600826</t>
  </si>
  <si>
    <t>LUIS A. BENAVIDES</t>
  </si>
  <si>
    <t>TUBERIA PVC  RD21  200 PSI  4 "</t>
  </si>
  <si>
    <t>METRO LINEAL</t>
  </si>
  <si>
    <t>TEE PVC  SCH 40  4 "</t>
  </si>
  <si>
    <t>ACCESORIO</t>
  </si>
  <si>
    <t>CODO PVC  SCH 40  4 "  X  90º</t>
  </si>
  <si>
    <t>CODO PVC  SCH 40  4 "  X  45º</t>
  </si>
  <si>
    <t>UNION PVC  SCH 40 4 "</t>
  </si>
  <si>
    <t>ADAPTADOR MACHO PVC SHC 40  4 "</t>
  </si>
  <si>
    <t>TAPON PVC SCH 40 4 "  ROSCAR</t>
  </si>
  <si>
    <t>COLLARIN PVC  4 "  X  1/2 "</t>
  </si>
  <si>
    <t>INSUMO</t>
  </si>
  <si>
    <t>SOLDADURA PVC  3/4  GALON</t>
  </si>
  <si>
    <t>LIMPIADOR PVC  3/4 GALON</t>
  </si>
  <si>
    <t>CIEN MILLONES TRESCIENTOS SESENTA Y DOS MIL CIEN-</t>
  </si>
  <si>
    <t>TO SETENTA Y DOS PESOS MDA / CTE</t>
  </si>
  <si>
    <t>ENTREGAS PARCIALES  ( 8 DIAS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</si>
</sst>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8" fillId="0" borderId="0" xfId="0" applyFont="1"/>
    <xf numFmtId="42" fontId="1" fillId="0" borderId="0" xfId="1" applyFont="1" applyBorder="1" applyAlignment="1">
      <alignment horizontal="left"/>
    </xf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8" fillId="0" borderId="36" xfId="0" applyFont="1" applyBorder="1"/>
    <xf numFmtId="0" fontId="8" fillId="0" borderId="37" xfId="0" applyFont="1" applyBorder="1"/>
    <xf numFmtId="0" fontId="0" fillId="0" borderId="38" xfId="0" applyBorder="1"/>
    <xf numFmtId="42" fontId="11" fillId="0" borderId="30" xfId="1" applyFont="1" applyBorder="1" applyAlignment="1">
      <alignment horizontal="center"/>
    </xf>
    <xf numFmtId="42" fontId="11" fillId="0" borderId="31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21" xfId="0" applyBorder="1"/>
    <xf numFmtId="0" fontId="0" fillId="0" borderId="22" xfId="0" applyBorder="1"/>
    <xf numFmtId="0" fontId="0" fillId="0" borderId="39" xfId="0" applyBorder="1"/>
    <xf numFmtId="0" fontId="0" fillId="0" borderId="24" xfId="0" applyBorder="1"/>
    <xf numFmtId="0" fontId="13" fillId="0" borderId="25" xfId="2" applyBorder="1"/>
    <xf numFmtId="0" fontId="0" fillId="0" borderId="13" xfId="0" applyBorder="1"/>
    <xf numFmtId="0" fontId="0" fillId="0" borderId="25" xfId="0" applyBorder="1"/>
    <xf numFmtId="0" fontId="0" fillId="0" borderId="27" xfId="0" applyBorder="1"/>
    <xf numFmtId="0" fontId="0" fillId="0" borderId="2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watercol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9"/>
  <sheetViews>
    <sheetView tabSelected="1" topLeftCell="A12" zoomScaleNormal="100" workbookViewId="0">
      <selection activeCell="J27" sqref="J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3"/>
      <c r="H6" s="44"/>
    </row>
    <row r="7" spans="1:8" ht="19.5" thickBot="1" x14ac:dyDescent="0.35">
      <c r="A7" s="20" t="s">
        <v>14</v>
      </c>
      <c r="B7" s="12"/>
      <c r="C7" s="46" t="s">
        <v>41</v>
      </c>
      <c r="D7" s="6"/>
      <c r="E7" s="7"/>
      <c r="F7" s="37"/>
      <c r="G7" s="18"/>
      <c r="H7" s="19"/>
    </row>
    <row r="8" spans="1:8" ht="18.75" x14ac:dyDescent="0.3">
      <c r="A8" s="21" t="s">
        <v>8</v>
      </c>
      <c r="C8" s="77" t="s">
        <v>42</v>
      </c>
      <c r="D8" s="78"/>
      <c r="E8" s="47"/>
      <c r="H8" s="15"/>
    </row>
    <row r="9" spans="1:8" ht="18.75" customHeight="1" x14ac:dyDescent="0.3">
      <c r="A9" s="21" t="s">
        <v>9</v>
      </c>
      <c r="C9" s="79" t="s">
        <v>43</v>
      </c>
      <c r="D9" s="23"/>
      <c r="E9" s="80" t="s">
        <v>44</v>
      </c>
      <c r="F9" s="30" t="s">
        <v>0</v>
      </c>
      <c r="H9" s="28">
        <v>45560</v>
      </c>
    </row>
    <row r="10" spans="1:8" ht="18.75" x14ac:dyDescent="0.3">
      <c r="A10" s="21" t="s">
        <v>13</v>
      </c>
      <c r="C10" s="81" t="s">
        <v>45</v>
      </c>
      <c r="D10" s="82"/>
      <c r="E10" s="48"/>
      <c r="F10" s="30" t="s">
        <v>15</v>
      </c>
      <c r="H10" s="29" t="s">
        <v>32</v>
      </c>
    </row>
    <row r="11" spans="1:8" ht="18.75" x14ac:dyDescent="0.3">
      <c r="A11" s="21" t="s">
        <v>10</v>
      </c>
      <c r="C11" s="83"/>
      <c r="D11" s="82"/>
      <c r="E11" s="48"/>
      <c r="F11" s="30" t="s">
        <v>16</v>
      </c>
      <c r="G11" s="30"/>
      <c r="H11" s="28"/>
    </row>
    <row r="12" spans="1:8" ht="18.75" x14ac:dyDescent="0.3">
      <c r="A12" s="21" t="s">
        <v>11</v>
      </c>
      <c r="C12" s="83" t="s">
        <v>46</v>
      </c>
      <c r="D12" s="82"/>
      <c r="E12" s="48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84" t="s">
        <v>47</v>
      </c>
      <c r="D13" s="85"/>
      <c r="E13" s="49"/>
      <c r="F13" s="4"/>
      <c r="G13" s="4"/>
      <c r="H13" s="17"/>
    </row>
    <row r="14" spans="1:8" ht="15.75" thickBot="1" x14ac:dyDescent="0.3"/>
    <row r="15" spans="1:8" ht="15.75" thickBot="1" x14ac:dyDescent="0.3">
      <c r="A15" s="52" t="s">
        <v>37</v>
      </c>
      <c r="B15" s="24" t="s">
        <v>22</v>
      </c>
      <c r="C15" s="43"/>
      <c r="D15" s="13"/>
      <c r="E15" s="52" t="s">
        <v>18</v>
      </c>
      <c r="F15" s="52" t="s">
        <v>20</v>
      </c>
      <c r="G15" s="52" t="s">
        <v>19</v>
      </c>
      <c r="H15" s="32" t="s">
        <v>21</v>
      </c>
    </row>
    <row r="16" spans="1:8" ht="16.5" thickBot="1" x14ac:dyDescent="0.3">
      <c r="A16" s="54">
        <v>1</v>
      </c>
      <c r="B16" s="57" t="s">
        <v>48</v>
      </c>
      <c r="C16" s="58"/>
      <c r="D16" s="59"/>
      <c r="E16" s="54" t="s">
        <v>49</v>
      </c>
      <c r="F16" s="63">
        <v>43800</v>
      </c>
      <c r="G16" s="54">
        <v>1800</v>
      </c>
      <c r="H16" s="38">
        <f t="shared" ref="H16" si="0">G16*F16</f>
        <v>78840000</v>
      </c>
    </row>
    <row r="17" spans="1:8" ht="16.5" thickBot="1" x14ac:dyDescent="0.3">
      <c r="A17" s="55">
        <v>2</v>
      </c>
      <c r="B17" s="60" t="s">
        <v>50</v>
      </c>
      <c r="C17" s="50"/>
      <c r="D17" s="61"/>
      <c r="E17" s="55" t="s">
        <v>51</v>
      </c>
      <c r="F17" s="64">
        <v>87510</v>
      </c>
      <c r="G17" s="55">
        <v>15</v>
      </c>
      <c r="H17" s="38">
        <f t="shared" ref="H17:H25" si="1">G17*F17</f>
        <v>1312650</v>
      </c>
    </row>
    <row r="18" spans="1:8" ht="16.5" thickBot="1" x14ac:dyDescent="0.3">
      <c r="A18" s="55">
        <v>3</v>
      </c>
      <c r="B18" s="60" t="s">
        <v>52</v>
      </c>
      <c r="C18" s="50"/>
      <c r="D18" s="61"/>
      <c r="E18" s="55" t="s">
        <v>51</v>
      </c>
      <c r="F18" s="64">
        <v>67250</v>
      </c>
      <c r="G18" s="55">
        <v>25</v>
      </c>
      <c r="H18" s="38">
        <f t="shared" si="1"/>
        <v>1681250</v>
      </c>
    </row>
    <row r="19" spans="1:8" ht="16.5" thickBot="1" x14ac:dyDescent="0.3">
      <c r="A19" s="55">
        <v>4</v>
      </c>
      <c r="B19" s="60" t="s">
        <v>53</v>
      </c>
      <c r="C19" s="50"/>
      <c r="D19" s="61"/>
      <c r="E19" s="55" t="s">
        <v>51</v>
      </c>
      <c r="F19" s="64">
        <v>62420</v>
      </c>
      <c r="G19" s="55">
        <v>14</v>
      </c>
      <c r="H19" s="38">
        <f t="shared" si="1"/>
        <v>873880</v>
      </c>
    </row>
    <row r="20" spans="1:8" ht="16.5" thickBot="1" x14ac:dyDescent="0.3">
      <c r="A20" s="55">
        <v>5</v>
      </c>
      <c r="B20" s="60" t="s">
        <v>54</v>
      </c>
      <c r="C20" s="50"/>
      <c r="D20" s="61"/>
      <c r="E20" s="55" t="s">
        <v>51</v>
      </c>
      <c r="F20" s="64">
        <v>32580</v>
      </c>
      <c r="G20" s="55">
        <v>15</v>
      </c>
      <c r="H20" s="38">
        <f t="shared" si="1"/>
        <v>488700</v>
      </c>
    </row>
    <row r="21" spans="1:8" ht="16.5" thickBot="1" x14ac:dyDescent="0.3">
      <c r="A21" s="55">
        <v>6</v>
      </c>
      <c r="B21" s="60" t="s">
        <v>55</v>
      </c>
      <c r="C21" s="50"/>
      <c r="D21" s="61"/>
      <c r="E21" s="55" t="s">
        <v>51</v>
      </c>
      <c r="F21" s="64">
        <v>30100</v>
      </c>
      <c r="G21" s="55">
        <v>14</v>
      </c>
      <c r="H21" s="38">
        <f t="shared" si="1"/>
        <v>421400</v>
      </c>
    </row>
    <row r="22" spans="1:8" ht="16.5" thickBot="1" x14ac:dyDescent="0.3">
      <c r="A22" s="55">
        <v>7</v>
      </c>
      <c r="B22" s="60" t="s">
        <v>56</v>
      </c>
      <c r="C22" s="50"/>
      <c r="D22" s="61"/>
      <c r="E22" s="55" t="s">
        <v>51</v>
      </c>
      <c r="F22" s="64">
        <v>38170</v>
      </c>
      <c r="G22" s="55">
        <v>14</v>
      </c>
      <c r="H22" s="38">
        <f t="shared" si="1"/>
        <v>534380</v>
      </c>
    </row>
    <row r="23" spans="1:8" ht="16.5" thickBot="1" x14ac:dyDescent="0.3">
      <c r="A23" s="55">
        <v>8</v>
      </c>
      <c r="B23" s="60" t="s">
        <v>57</v>
      </c>
      <c r="C23" s="50"/>
      <c r="D23" s="61"/>
      <c r="E23" s="55" t="s">
        <v>51</v>
      </c>
      <c r="F23" s="64">
        <v>19600</v>
      </c>
      <c r="G23" s="55">
        <v>4</v>
      </c>
      <c r="H23" s="38">
        <f t="shared" si="1"/>
        <v>78400</v>
      </c>
    </row>
    <row r="24" spans="1:8" ht="16.5" thickBot="1" x14ac:dyDescent="0.3">
      <c r="A24" s="55">
        <v>9</v>
      </c>
      <c r="B24" s="60" t="s">
        <v>59</v>
      </c>
      <c r="C24" s="50"/>
      <c r="D24" s="61"/>
      <c r="E24" s="55" t="s">
        <v>58</v>
      </c>
      <c r="F24" s="64">
        <v>72700</v>
      </c>
      <c r="G24" s="55">
        <v>1</v>
      </c>
      <c r="H24" s="38">
        <f t="shared" si="1"/>
        <v>72700</v>
      </c>
    </row>
    <row r="25" spans="1:8" ht="16.5" thickBot="1" x14ac:dyDescent="0.3">
      <c r="A25" s="55">
        <v>10</v>
      </c>
      <c r="B25" s="60" t="s">
        <v>60</v>
      </c>
      <c r="C25" s="50"/>
      <c r="D25" s="61"/>
      <c r="E25" s="55" t="s">
        <v>58</v>
      </c>
      <c r="F25" s="64">
        <v>34600</v>
      </c>
      <c r="G25" s="55">
        <v>1</v>
      </c>
      <c r="H25" s="38">
        <f t="shared" si="1"/>
        <v>34600</v>
      </c>
    </row>
    <row r="26" spans="1:8" ht="15.75" x14ac:dyDescent="0.25">
      <c r="A26" s="55"/>
      <c r="B26" s="60"/>
      <c r="C26" s="50"/>
      <c r="D26" s="61"/>
      <c r="E26" s="55"/>
      <c r="F26" s="64"/>
      <c r="G26" s="55"/>
      <c r="H26" s="51"/>
    </row>
    <row r="27" spans="1:8" ht="19.5" customHeight="1" thickBot="1" x14ac:dyDescent="0.3">
      <c r="A27" s="56"/>
      <c r="B27" s="45"/>
      <c r="C27" s="42"/>
      <c r="D27" s="62"/>
      <c r="E27" s="65"/>
      <c r="F27" s="65"/>
      <c r="G27" s="65"/>
    </row>
    <row r="28" spans="1:8" ht="19.5" customHeight="1" thickBot="1" x14ac:dyDescent="0.35">
      <c r="A28" s="53" t="s">
        <v>23</v>
      </c>
      <c r="B28" s="14" t="s">
        <v>61</v>
      </c>
      <c r="D28" s="15"/>
      <c r="E28" s="66"/>
      <c r="F28" s="37" t="s">
        <v>29</v>
      </c>
      <c r="G28" s="6"/>
      <c r="H28" s="7"/>
    </row>
    <row r="29" spans="1:8" ht="19.5" customHeight="1" thickBot="1" x14ac:dyDescent="0.3">
      <c r="A29" s="39"/>
      <c r="B29" s="16" t="s">
        <v>62</v>
      </c>
      <c r="C29" s="4"/>
      <c r="D29" s="4"/>
      <c r="E29" s="69" t="s">
        <v>24</v>
      </c>
      <c r="F29" s="70"/>
      <c r="G29" s="47"/>
      <c r="H29" s="67">
        <f>SUM(H16:H28)</f>
        <v>84337960</v>
      </c>
    </row>
    <row r="30" spans="1:8" ht="19.5" customHeight="1" x14ac:dyDescent="0.25">
      <c r="A30" s="24" t="s">
        <v>25</v>
      </c>
      <c r="B30" s="12"/>
      <c r="C30" s="12"/>
      <c r="D30" s="12"/>
      <c r="E30" s="71" t="s">
        <v>30</v>
      </c>
      <c r="F30" s="23"/>
      <c r="G30" s="72">
        <v>0.19</v>
      </c>
      <c r="H30" s="40">
        <f>H29*G30</f>
        <v>16024212.4</v>
      </c>
    </row>
    <row r="31" spans="1:8" ht="19.5" customHeight="1" x14ac:dyDescent="0.25">
      <c r="A31" s="14" t="s">
        <v>31</v>
      </c>
      <c r="E31" s="73" t="s">
        <v>26</v>
      </c>
      <c r="G31" s="76">
        <v>2.5000000000000001E-2</v>
      </c>
      <c r="H31" s="68">
        <f>H29*G31</f>
        <v>2108449</v>
      </c>
    </row>
    <row r="32" spans="1:8" ht="15.75" x14ac:dyDescent="0.25">
      <c r="A32" s="14" t="s">
        <v>63</v>
      </c>
      <c r="E32" s="14"/>
      <c r="F32" s="33"/>
      <c r="G32" s="48"/>
      <c r="H32" s="15"/>
    </row>
    <row r="33" spans="1:8" ht="16.5" thickBot="1" x14ac:dyDescent="0.3">
      <c r="A33" s="14" t="s">
        <v>34</v>
      </c>
      <c r="E33" s="74" t="s">
        <v>27</v>
      </c>
      <c r="F33" s="75"/>
      <c r="G33" s="49"/>
      <c r="H33" s="17"/>
    </row>
    <row r="34" spans="1:8" ht="19.5" thickBot="1" x14ac:dyDescent="0.35">
      <c r="A34" s="16"/>
      <c r="B34" s="4"/>
      <c r="C34" s="4"/>
      <c r="D34" s="17"/>
      <c r="F34" s="3"/>
      <c r="G34" s="34" t="s">
        <v>28</v>
      </c>
      <c r="H34" s="36">
        <f>H29+H30-G31</f>
        <v>100362172.375</v>
      </c>
    </row>
    <row r="35" spans="1:8" ht="16.5" customHeight="1" x14ac:dyDescent="0.25"/>
    <row r="40" spans="1:8" ht="15.75" thickBot="1" x14ac:dyDescent="0.3"/>
    <row r="41" spans="1:8" ht="19.5" thickBot="1" x14ac:dyDescent="0.35">
      <c r="A41" s="25" t="s">
        <v>35</v>
      </c>
      <c r="B41" s="6"/>
      <c r="C41" s="6"/>
      <c r="D41" s="6"/>
      <c r="E41" s="6"/>
      <c r="F41" s="6"/>
      <c r="G41" s="6"/>
      <c r="H41" s="7"/>
    </row>
    <row r="49" spans="1:1" ht="18.75" x14ac:dyDescent="0.3">
      <c r="A49" s="5"/>
    </row>
  </sheetData>
  <hyperlinks>
    <hyperlink ref="C10" r:id="rId1" xr:uid="{6131A72C-DDDF-4090-85A7-1C577ECDA862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2024-09-25T17:00:56Z</dcterms:modified>
</cp:coreProperties>
</file>