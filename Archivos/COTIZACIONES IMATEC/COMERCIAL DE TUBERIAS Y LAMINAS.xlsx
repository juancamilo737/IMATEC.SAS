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0C151C5-C754-4498-A886-F2AC1BFF6E5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MCIAL TUB Y L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" i="1" l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36" i="1" l="1"/>
  <c r="H35" i="1"/>
  <c r="H34" i="1"/>
  <c r="H38" i="1" s="1"/>
</calcChain>
</file>

<file path=xl/sharedStrings.xml><?xml version="1.0" encoding="utf-8"?>
<sst xmlns="http://schemas.openxmlformats.org/spreadsheetml/2006/main" count="83" uniqueCount="71">
  <si>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</si>
  <si>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</si>
  <si>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</si>
  <si>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</si>
  <si>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</si>
  <si>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</si>
  <si>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</si>
  <si>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</si>
  <si>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</si>
  <si>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</si>
  <si>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</si>
  <si>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</si>
  <si>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</si>
  <si>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</si>
  <si>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</si>
  <si>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</si>
  <si>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</si>
  <si>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</si>
  <si>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</si>
  <si>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</si>
  <si>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</si>
  <si>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</si>
  <si>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</si>
  <si>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</si>
  <si>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</si>
  <si>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</si>
  <si>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</si>
  <si>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</si>
  <si>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</si>
  <si>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</si>
  <si>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</si>
  <si>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</si>
  <si>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</si>
  <si>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</si>
  <si>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</si>
  <si>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</si>
  <si>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</si>
  <si>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</si>
  <si>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</si>
  <si>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</si>
  <si>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COMERCIAL DE TUBERIAS Y LAMINAS S.A.S.</t>
  </si>
  <si>
    <t>805 020786</t>
  </si>
  <si>
    <t>CALLE 13 A  No. 15-39</t>
  </si>
  <si>
    <t>CALI</t>
  </si>
  <si>
    <t>jwz@cialtuberiasl.com</t>
  </si>
  <si>
    <t>602 8821141</t>
  </si>
  <si>
    <t>RETEICA</t>
  </si>
  <si>
    <t>EDINSON CABEZAS C</t>
  </si>
  <si>
    <t xml:space="preserve">           C O T I Z A C I O N </t>
  </si>
  <si>
    <t>ACCESORIO</t>
  </si>
  <si>
    <t>No.  7</t>
  </si>
  <si>
    <t>TUBERIA A / C  SCH 40  1 "  X  6 MTS</t>
  </si>
  <si>
    <t>TUBO</t>
  </si>
  <si>
    <t>NIPLE  A / C  1/2 "  X  6 CMTS</t>
  </si>
  <si>
    <t>FABRICACION</t>
  </si>
  <si>
    <t>CODO  A / C  1/2 "  X  90 º  X  150  LBS ROSCADO</t>
  </si>
  <si>
    <t xml:space="preserve">VALVULA DE BOLA  AC/INOX  1/2 " </t>
  </si>
  <si>
    <t>BRIDA SLIP ON  A / C  1 "  X  150 LBS</t>
  </si>
  <si>
    <t>CHEQUE CORTINA  AC/INOX  1/2 "  X  150 LBS</t>
  </si>
  <si>
    <t>EMPAQUE FLEXITALICO  1 "  X  150  LBS</t>
  </si>
  <si>
    <t>REDUCCION COPA  A / C  SCH 40  1 "  X  1/2 " P/S</t>
  </si>
  <si>
    <t>REDUCCION BUSHING  A / C  1 "  X  1/2 "  X 150 LBS</t>
  </si>
  <si>
    <t>TUCO  AC/INOX SCH 40  1 "  X  6 MTS</t>
  </si>
  <si>
    <t>NIPLE  AC/INOX  1/2 "  x  6 CMTS</t>
  </si>
  <si>
    <t>CODO AC/INOX  1/2 " X  90º  X  150 LBS ROSCADO</t>
  </si>
  <si>
    <t>BRIDA AC/INOX 304 SLIP ON DE 1 "  X  150 LBS</t>
  </si>
  <si>
    <t>REDUCCION COPA AC/INOX SCH 40  1 "  X 1/2 " P/S</t>
  </si>
  <si>
    <t>REDUCCION BUSHING AC/INOX  1 "  X  1/2 "</t>
  </si>
  <si>
    <t>UN MILLON SEISCIENTOS CINCUENTA Y UN MIL SETECIEN</t>
  </si>
  <si>
    <t>TOS CINCUENTA Y SEIS PESOS MDA / CTE</t>
  </si>
  <si>
    <t>ENTREGA EN DOS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</si>
</sst>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8" fillId="0" borderId="0" xfId="0" applyFont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42" fontId="11" fillId="0" borderId="27" xfId="1" applyFont="1" applyBorder="1" applyAlignment="1">
      <alignment horizontal="center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0" fontId="0" fillId="0" borderId="1" xfId="0" applyBorder="1"/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10" fontId="1" fillId="0" borderId="23" xfId="0" applyNumberFormat="1" applyFont="1" applyBorder="1"/>
    <xf numFmtId="42" fontId="1" fillId="0" borderId="10" xfId="1" applyFont="1" applyBorder="1"/>
    <xf numFmtId="0" fontId="1" fillId="0" borderId="10" xfId="0" applyFont="1" applyBorder="1"/>
    <xf numFmtId="0" fontId="0" fillId="0" borderId="29" xfId="0" applyBorder="1"/>
    <xf numFmtId="0" fontId="1" fillId="0" borderId="28" xfId="0" applyFont="1" applyBorder="1" applyAlignment="1">
      <alignment horizontal="center"/>
    </xf>
    <xf numFmtId="0" fontId="0" fillId="0" borderId="30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wz@cialtuberias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3"/>
  <sheetViews>
    <sheetView tabSelected="1" topLeftCell="A12" zoomScaleNormal="100" workbookViewId="0">
      <selection activeCell="I16" sqref="I1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44" t="s">
        <v>40</v>
      </c>
      <c r="D7" s="6"/>
      <c r="E7" s="6"/>
      <c r="F7" s="37"/>
      <c r="G7" s="18"/>
      <c r="H7" s="19" t="s">
        <v>50</v>
      </c>
    </row>
    <row r="8" spans="1:8" ht="19.5" thickBot="1" x14ac:dyDescent="0.35">
      <c r="A8" s="21" t="s">
        <v>8</v>
      </c>
      <c r="C8" s="14" t="s">
        <v>41</v>
      </c>
      <c r="E8" s="15"/>
      <c r="H8" s="15"/>
    </row>
    <row r="9" spans="1:8" ht="18.75" customHeight="1" thickBot="1" x14ac:dyDescent="0.35">
      <c r="A9" s="21" t="s">
        <v>9</v>
      </c>
      <c r="C9" s="14" t="s">
        <v>42</v>
      </c>
      <c r="E9" s="62" t="s">
        <v>43</v>
      </c>
      <c r="F9" s="30" t="s">
        <v>0</v>
      </c>
      <c r="H9" s="28">
        <v>45681</v>
      </c>
    </row>
    <row r="10" spans="1:8" ht="18.75" x14ac:dyDescent="0.3">
      <c r="A10" s="21" t="s">
        <v>13</v>
      </c>
      <c r="C10" s="47" t="s">
        <v>44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45691</v>
      </c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63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49">
        <v>1</v>
      </c>
      <c r="B16" s="48" t="s">
        <v>51</v>
      </c>
      <c r="C16" s="48"/>
      <c r="D16" s="50"/>
      <c r="E16" s="49" t="s">
        <v>52</v>
      </c>
      <c r="F16" s="51">
        <v>97800</v>
      </c>
      <c r="G16" s="49">
        <v>1</v>
      </c>
      <c r="H16" s="38">
        <f t="shared" ref="H16" si="0">G16*F16</f>
        <v>97800</v>
      </c>
    </row>
    <row r="17" spans="1:8" ht="16.5" thickBot="1" x14ac:dyDescent="0.3">
      <c r="A17" s="49">
        <v>2</v>
      </c>
      <c r="B17" s="48" t="s">
        <v>53</v>
      </c>
      <c r="C17" s="48"/>
      <c r="D17" s="50"/>
      <c r="E17" s="49" t="s">
        <v>54</v>
      </c>
      <c r="F17" s="51">
        <v>2300</v>
      </c>
      <c r="G17" s="70">
        <v>20</v>
      </c>
      <c r="H17" s="38">
        <f t="shared" ref="H17" si="1">G17*F17</f>
        <v>46000</v>
      </c>
    </row>
    <row r="18" spans="1:8" ht="16.5" thickBot="1" x14ac:dyDescent="0.3">
      <c r="A18" s="49">
        <v>3</v>
      </c>
      <c r="B18" s="48" t="s">
        <v>55</v>
      </c>
      <c r="C18" s="48"/>
      <c r="D18" s="50"/>
      <c r="E18" s="49" t="s">
        <v>49</v>
      </c>
      <c r="F18" s="51">
        <v>2300</v>
      </c>
      <c r="G18" s="70">
        <v>10</v>
      </c>
      <c r="H18" s="38">
        <f t="shared" ref="H18:H30" si="2">G18*F18</f>
        <v>23000</v>
      </c>
    </row>
    <row r="19" spans="1:8" ht="16.5" thickBot="1" x14ac:dyDescent="0.3">
      <c r="A19" s="49">
        <v>4</v>
      </c>
      <c r="B19" s="48" t="s">
        <v>56</v>
      </c>
      <c r="C19" s="48"/>
      <c r="D19" s="50"/>
      <c r="E19" s="49" t="s">
        <v>49</v>
      </c>
      <c r="F19" s="51">
        <v>22800</v>
      </c>
      <c r="G19" s="49">
        <v>4</v>
      </c>
      <c r="H19" s="38">
        <f t="shared" si="2"/>
        <v>91200</v>
      </c>
    </row>
    <row r="20" spans="1:8" ht="16.5" thickBot="1" x14ac:dyDescent="0.3">
      <c r="A20" s="49">
        <v>5</v>
      </c>
      <c r="B20" s="48" t="s">
        <v>57</v>
      </c>
      <c r="C20" s="48"/>
      <c r="D20" s="50"/>
      <c r="E20" s="49" t="s">
        <v>49</v>
      </c>
      <c r="F20" s="51">
        <v>17400</v>
      </c>
      <c r="G20" s="49">
        <v>8</v>
      </c>
      <c r="H20" s="38">
        <f t="shared" si="2"/>
        <v>139200</v>
      </c>
    </row>
    <row r="21" spans="1:8" ht="16.5" thickBot="1" x14ac:dyDescent="0.3">
      <c r="A21" s="49">
        <v>6</v>
      </c>
      <c r="B21" s="48" t="s">
        <v>58</v>
      </c>
      <c r="C21" s="48"/>
      <c r="D21" s="50"/>
      <c r="E21" s="49" t="s">
        <v>49</v>
      </c>
      <c r="F21" s="51">
        <v>51700</v>
      </c>
      <c r="G21" s="49">
        <v>4</v>
      </c>
      <c r="H21" s="38">
        <f t="shared" si="2"/>
        <v>206800</v>
      </c>
    </row>
    <row r="22" spans="1:8" ht="16.5" thickBot="1" x14ac:dyDescent="0.3">
      <c r="A22" s="49">
        <v>7</v>
      </c>
      <c r="B22" s="48" t="s">
        <v>59</v>
      </c>
      <c r="C22" s="48"/>
      <c r="D22" s="50"/>
      <c r="E22" s="49" t="s">
        <v>49</v>
      </c>
      <c r="F22" s="51">
        <v>3450</v>
      </c>
      <c r="G22" s="49">
        <v>6</v>
      </c>
      <c r="H22" s="38">
        <f t="shared" si="2"/>
        <v>20700</v>
      </c>
    </row>
    <row r="23" spans="1:8" ht="16.5" thickBot="1" x14ac:dyDescent="0.3">
      <c r="A23" s="49">
        <v>8</v>
      </c>
      <c r="B23" s="48" t="s">
        <v>60</v>
      </c>
      <c r="C23" s="48"/>
      <c r="D23" s="50"/>
      <c r="E23" s="49" t="s">
        <v>49</v>
      </c>
      <c r="F23" s="51">
        <v>4650</v>
      </c>
      <c r="G23" s="49">
        <v>4</v>
      </c>
      <c r="H23" s="38">
        <f t="shared" si="2"/>
        <v>18600</v>
      </c>
    </row>
    <row r="24" spans="1:8" ht="16.5" thickBot="1" x14ac:dyDescent="0.3">
      <c r="A24" s="49">
        <v>9</v>
      </c>
      <c r="B24" s="48" t="s">
        <v>61</v>
      </c>
      <c r="C24" s="48"/>
      <c r="D24" s="50"/>
      <c r="E24" s="49" t="s">
        <v>49</v>
      </c>
      <c r="F24" s="51">
        <v>3050</v>
      </c>
      <c r="G24" s="49">
        <v>1</v>
      </c>
      <c r="H24" s="38">
        <f t="shared" si="2"/>
        <v>3050</v>
      </c>
    </row>
    <row r="25" spans="1:8" ht="16.5" thickBot="1" x14ac:dyDescent="0.3">
      <c r="A25" s="49">
        <v>10</v>
      </c>
      <c r="B25" s="48" t="s">
        <v>62</v>
      </c>
      <c r="C25" s="48"/>
      <c r="D25" s="50"/>
      <c r="E25" s="49" t="s">
        <v>52</v>
      </c>
      <c r="F25" s="51">
        <v>263550</v>
      </c>
      <c r="G25" s="49">
        <v>1</v>
      </c>
      <c r="H25" s="38">
        <f t="shared" si="2"/>
        <v>263550</v>
      </c>
    </row>
    <row r="26" spans="1:8" ht="16.5" thickBot="1" x14ac:dyDescent="0.3">
      <c r="A26" s="49">
        <v>11</v>
      </c>
      <c r="B26" s="48" t="s">
        <v>63</v>
      </c>
      <c r="C26" s="48"/>
      <c r="D26" s="50"/>
      <c r="E26" s="49" t="s">
        <v>54</v>
      </c>
      <c r="F26" s="51">
        <v>4350</v>
      </c>
      <c r="G26" s="49">
        <v>20</v>
      </c>
      <c r="H26" s="38">
        <f t="shared" si="2"/>
        <v>87000</v>
      </c>
    </row>
    <row r="27" spans="1:8" ht="16.5" thickBot="1" x14ac:dyDescent="0.3">
      <c r="A27" s="49">
        <v>12</v>
      </c>
      <c r="B27" s="48" t="s">
        <v>64</v>
      </c>
      <c r="C27" s="48"/>
      <c r="D27" s="50"/>
      <c r="E27" s="49" t="s">
        <v>49</v>
      </c>
      <c r="F27" s="51">
        <v>4450</v>
      </c>
      <c r="G27" s="49">
        <v>10</v>
      </c>
      <c r="H27" s="38">
        <f t="shared" si="2"/>
        <v>44500</v>
      </c>
    </row>
    <row r="28" spans="1:8" ht="16.5" thickBot="1" x14ac:dyDescent="0.3">
      <c r="A28" s="49">
        <v>13</v>
      </c>
      <c r="B28" s="48" t="s">
        <v>65</v>
      </c>
      <c r="C28" s="48"/>
      <c r="D28" s="50"/>
      <c r="E28" s="49" t="s">
        <v>49</v>
      </c>
      <c r="F28" s="51">
        <v>41100</v>
      </c>
      <c r="G28" s="49">
        <v>8</v>
      </c>
      <c r="H28" s="38">
        <f t="shared" si="2"/>
        <v>328800</v>
      </c>
    </row>
    <row r="29" spans="1:8" ht="16.5" thickBot="1" x14ac:dyDescent="0.3">
      <c r="A29" s="49">
        <v>14</v>
      </c>
      <c r="B29" s="48" t="s">
        <v>66</v>
      </c>
      <c r="C29" s="48"/>
      <c r="D29" s="50"/>
      <c r="E29" s="49" t="s">
        <v>49</v>
      </c>
      <c r="F29" s="51">
        <v>12300</v>
      </c>
      <c r="G29" s="49">
        <v>4</v>
      </c>
      <c r="H29" s="38">
        <f t="shared" si="2"/>
        <v>49200</v>
      </c>
    </row>
    <row r="30" spans="1:8" ht="16.5" thickBot="1" x14ac:dyDescent="0.3">
      <c r="A30" s="49">
        <v>15</v>
      </c>
      <c r="B30" s="48" t="s">
        <v>67</v>
      </c>
      <c r="C30" s="48"/>
      <c r="D30" s="50"/>
      <c r="E30" s="49" t="s">
        <v>49</v>
      </c>
      <c r="F30" s="51">
        <v>7850</v>
      </c>
      <c r="G30" s="49">
        <v>1</v>
      </c>
      <c r="H30" s="38">
        <f t="shared" si="2"/>
        <v>7850</v>
      </c>
    </row>
    <row r="31" spans="1:8" ht="15.75" thickBot="1" x14ac:dyDescent="0.3">
      <c r="A31" s="69"/>
      <c r="D31" s="69"/>
      <c r="E31" s="71"/>
      <c r="F31" s="71"/>
    </row>
    <row r="32" spans="1:8" ht="19.5" customHeight="1" thickBot="1" x14ac:dyDescent="0.35">
      <c r="A32" s="64" t="s">
        <v>23</v>
      </c>
      <c r="B32" s="65" t="s">
        <v>68</v>
      </c>
      <c r="C32" s="12"/>
      <c r="D32" s="13"/>
      <c r="E32" s="52"/>
      <c r="F32" s="37" t="s">
        <v>29</v>
      </c>
      <c r="G32" s="6"/>
      <c r="H32" s="7"/>
    </row>
    <row r="33" spans="1:8" ht="19.5" customHeight="1" thickBot="1" x14ac:dyDescent="0.3">
      <c r="A33" s="39"/>
      <c r="B33" s="16" t="s">
        <v>69</v>
      </c>
      <c r="C33" s="4"/>
      <c r="D33" s="17"/>
      <c r="E33" s="55" t="s">
        <v>24</v>
      </c>
      <c r="F33" s="56"/>
      <c r="G33" s="45"/>
      <c r="H33" s="53">
        <f>SUM(H16:H30)</f>
        <v>1427250</v>
      </c>
    </row>
    <row r="34" spans="1:8" ht="19.5" customHeight="1" x14ac:dyDescent="0.25">
      <c r="A34" s="24" t="s">
        <v>25</v>
      </c>
      <c r="B34" s="12"/>
      <c r="C34" s="12"/>
      <c r="D34" s="13"/>
      <c r="E34" s="57" t="s">
        <v>30</v>
      </c>
      <c r="F34" s="23"/>
      <c r="G34" s="58">
        <v>0.19</v>
      </c>
      <c r="H34" s="40">
        <f>H33*G34</f>
        <v>271177.5</v>
      </c>
    </row>
    <row r="35" spans="1:8" ht="19.5" customHeight="1" x14ac:dyDescent="0.25">
      <c r="A35" s="14" t="s">
        <v>31</v>
      </c>
      <c r="D35" s="15"/>
      <c r="E35" s="59" t="s">
        <v>26</v>
      </c>
      <c r="G35" s="66">
        <v>2.5000000000000001E-2</v>
      </c>
      <c r="H35" s="54">
        <f>H33*G35</f>
        <v>35681.25</v>
      </c>
    </row>
    <row r="36" spans="1:8" ht="15.75" x14ac:dyDescent="0.25">
      <c r="A36" s="14" t="s">
        <v>70</v>
      </c>
      <c r="D36" s="15"/>
      <c r="E36" s="57" t="s">
        <v>46</v>
      </c>
      <c r="F36" s="33"/>
      <c r="G36" s="68">
        <v>7.7000000000000002E-3</v>
      </c>
      <c r="H36" s="67">
        <f>H33*G36</f>
        <v>10989.825000000001</v>
      </c>
    </row>
    <row r="37" spans="1:8" ht="16.5" thickBot="1" x14ac:dyDescent="0.3">
      <c r="A37" s="14" t="s">
        <v>34</v>
      </c>
      <c r="D37" s="15"/>
      <c r="E37" s="60" t="s">
        <v>27</v>
      </c>
      <c r="F37" s="61"/>
      <c r="G37" s="46"/>
      <c r="H37" s="17"/>
    </row>
    <row r="38" spans="1:8" ht="19.5" thickBot="1" x14ac:dyDescent="0.35">
      <c r="A38" s="16"/>
      <c r="B38" s="4"/>
      <c r="C38" s="4"/>
      <c r="D38" s="17"/>
      <c r="F38" s="3"/>
      <c r="G38" s="34" t="s">
        <v>28</v>
      </c>
      <c r="H38" s="36">
        <f>H33+H34-H35-H36</f>
        <v>1651756.425</v>
      </c>
    </row>
    <row r="39" spans="1:8" ht="16.5" customHeight="1" x14ac:dyDescent="0.25"/>
    <row r="44" spans="1:8" ht="15.75" thickBot="1" x14ac:dyDescent="0.3"/>
    <row r="45" spans="1:8" ht="19.5" thickBot="1" x14ac:dyDescent="0.35">
      <c r="A45" s="25" t="s">
        <v>35</v>
      </c>
      <c r="B45" s="6"/>
      <c r="C45" s="6"/>
      <c r="D45" s="6"/>
      <c r="E45" s="6"/>
      <c r="F45" s="6"/>
      <c r="G45" s="6"/>
      <c r="H45" s="7"/>
    </row>
    <row r="53" spans="1:1" ht="18.75" x14ac:dyDescent="0.3">
      <c r="A53" s="5"/>
    </row>
  </sheetData>
  <hyperlinks>
    <hyperlink ref="C10" r:id="rId1" xr:uid="{74757161-CB76-4FC9-B6A8-AAEB894FD9E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CMCIAL TUB Y 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2024-10-01T14:28:23Z</cp:lastPrinted>
  <dcterms:created xsi:type="dcterms:W3CDTF">2018-11-15T17:29:02Z</dcterms:created>
  <dcterms:modified xsi:type="dcterms:W3CDTF">2025-01-24T15:59:11Z</dcterms:modified>
</cp:coreProperties>
</file>