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BF845135-2698-46FE-9E45-99CBCD7C63EC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DISTRIVALVULA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7" i="1" l="1"/>
  <c r="H16" i="1"/>
  <c r="H20" i="1" s="1"/>
  <c r="H22" i="1" s="1"/>
  <c r="H21" i="1" l="1"/>
  <c r="H25" i="1" s="1"/>
</calcChain>
</file>

<file path=xl/sharedStrings.xml><?xml version="1.0" encoding="utf-8"?>
<sst xmlns="http://schemas.openxmlformats.org/spreadsheetml/2006/main" count="57" uniqueCount="56">
  <si>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</si>
  <si>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</si>
  <si>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</si>
  <si>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</si>
  <si>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</si>
  <si>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</si>
  <si>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</si>
  <si>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</si>
  <si>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</si>
  <si>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</si>
  <si>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</si>
  <si>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</si>
  <si>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</si>
  <si>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</si>
  <si>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</si>
  <si>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</si>
  <si>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</si>
  <si>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</si>
  <si>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</si>
  <si>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</si>
  <si>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</si>
  <si>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</si>
  <si>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</si>
  <si>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</si>
  <si>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</si>
  <si>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</si>
  <si>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</si>
  <si>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</si>
  <si>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</si>
  <si>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</si>
  <si>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IVA</t>
  </si>
  <si>
    <t>10 DIAS</t>
  </si>
  <si>
    <t xml:space="preserve">                                   JAVIER LOZANO TAMAYO C.C. 16´654.252</t>
  </si>
  <si>
    <t>ENTREGA EN LA CIUDAD DE CALI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</si>
  <si>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</si>
  <si>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</si>
  <si>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</si>
  <si>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</si>
  <si>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</si>
  <si>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 xml:space="preserve">           C O T I Z A C I O N</t>
  </si>
  <si>
    <t>FERRETERIA DISTRIVALVULAS S.A.S.</t>
  </si>
  <si>
    <t>811 030294</t>
  </si>
  <si>
    <t>CALLE 29 D  No. 55-60</t>
  </si>
  <si>
    <t>MEDELLIN</t>
  </si>
  <si>
    <t>contabilidad@distrivalvulas.com</t>
  </si>
  <si>
    <t>604 3512116</t>
  </si>
  <si>
    <t>LUIS A. BENAVIDES</t>
  </si>
  <si>
    <t>FORMA DE PAGO  :  CREDITO A 30 DIAS</t>
  </si>
  <si>
    <t>ENTREGA EN 3 DIAS A PARTIR DE ORDEN DE COMPRA</t>
  </si>
  <si>
    <t>FLETE POR CUENTA DEL CLIENTE</t>
  </si>
  <si>
    <t>No. 3</t>
  </si>
  <si>
    <t>TUBERIA  AC/INOX 304  SCH 80  4 "</t>
  </si>
  <si>
    <t>TUBO X 5,80 MTS</t>
  </si>
  <si>
    <t>TUBERIA  AC/INOX 304  SCH 80  6 "</t>
  </si>
  <si>
    <t>DIECINUEVE MILLONES QUINIENTOS SESENTA Y TRES MIL</t>
  </si>
  <si>
    <t>SEISCIENTOS 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</si>
</sst>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4" fillId="0" borderId="3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13" fillId="0" borderId="9" xfId="2" applyBorder="1"/>
    <xf numFmtId="0" fontId="1" fillId="0" borderId="15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8" fillId="0" borderId="29" xfId="0" applyFont="1" applyBorder="1"/>
    <xf numFmtId="0" fontId="8" fillId="0" borderId="30" xfId="0" applyFont="1" applyBorder="1"/>
    <xf numFmtId="0" fontId="8" fillId="0" borderId="31" xfId="0" applyFont="1" applyBorder="1"/>
    <xf numFmtId="42" fontId="11" fillId="0" borderId="27" xfId="1" applyFont="1" applyBorder="1" applyAlignment="1">
      <alignment horizontal="center"/>
    </xf>
    <xf numFmtId="0" fontId="0" fillId="0" borderId="28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0" fillId="0" borderId="1" xfId="0" applyBorder="1"/>
    <xf numFmtId="0" fontId="0" fillId="0" borderId="32" xfId="0" applyBorder="1"/>
    <xf numFmtId="0" fontId="0" fillId="0" borderId="33" xfId="0" applyBorder="1"/>
    <xf numFmtId="0" fontId="1" fillId="0" borderId="15" xfId="0" applyFont="1" applyBorder="1" applyAlignment="1">
      <alignment horizontal="left" vertical="top" wrapText="1"/>
    </xf>
    <xf numFmtId="0" fontId="0" fillId="0" borderId="6" xfId="0" applyBorder="1"/>
    <xf numFmtId="0" fontId="1" fillId="0" borderId="14" xfId="0" applyFont="1" applyBorder="1" applyAlignment="1">
      <alignment horizontal="center"/>
    </xf>
    <xf numFmtId="0" fontId="8" fillId="0" borderId="34" xfId="0" applyFont="1" applyBorder="1"/>
    <xf numFmtId="0" fontId="8" fillId="0" borderId="13" xfId="0" applyFont="1" applyBorder="1"/>
    <xf numFmtId="0" fontId="8" fillId="0" borderId="35" xfId="0" applyFont="1" applyBorder="1"/>
    <xf numFmtId="42" fontId="11" fillId="0" borderId="14" xfId="1" applyFont="1" applyBorder="1" applyAlignment="1">
      <alignment horizontal="center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tabilidad@distrivalvula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0"/>
  <sheetViews>
    <sheetView tabSelected="1" topLeftCell="A10" zoomScaleNormal="100" workbookViewId="0">
      <selection activeCell="F26" sqref="F26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6.5703125" customWidth="1"/>
    <col min="4" max="8" width="16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37</v>
      </c>
    </row>
    <row r="3" spans="1:8" ht="27" thickBot="1" x14ac:dyDescent="0.45">
      <c r="A3" s="11" t="s">
        <v>38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32</v>
      </c>
      <c r="E4" s="18"/>
      <c r="F4" s="19"/>
      <c r="G4" s="6"/>
      <c r="H4" s="7"/>
    </row>
    <row r="5" spans="1:8" ht="19.5" thickBot="1" x14ac:dyDescent="0.35">
      <c r="A5" s="37" t="s">
        <v>35</v>
      </c>
      <c r="B5" s="6"/>
      <c r="C5" s="6"/>
      <c r="D5" s="6"/>
      <c r="E5" s="6"/>
    </row>
    <row r="6" spans="1:8" ht="24.75" customHeight="1" thickBot="1" x14ac:dyDescent="0.45">
      <c r="F6" s="41" t="s">
        <v>39</v>
      </c>
      <c r="G6" s="42"/>
      <c r="H6" s="43"/>
    </row>
    <row r="7" spans="1:8" ht="19.5" thickBot="1" x14ac:dyDescent="0.35">
      <c r="A7" s="20" t="s">
        <v>14</v>
      </c>
      <c r="B7" s="12"/>
      <c r="C7" s="44" t="s">
        <v>40</v>
      </c>
      <c r="D7" s="6"/>
      <c r="E7" s="6"/>
      <c r="F7" s="37"/>
      <c r="G7" s="18"/>
      <c r="H7" s="19" t="s">
        <v>50</v>
      </c>
    </row>
    <row r="8" spans="1:8" ht="19.5" thickBot="1" x14ac:dyDescent="0.35">
      <c r="A8" s="21" t="s">
        <v>8</v>
      </c>
      <c r="C8" s="14" t="s">
        <v>41</v>
      </c>
      <c r="E8" s="15"/>
      <c r="H8" s="15"/>
    </row>
    <row r="9" spans="1:8" ht="18.75" customHeight="1" thickBot="1" x14ac:dyDescent="0.35">
      <c r="A9" s="21" t="s">
        <v>9</v>
      </c>
      <c r="C9" s="14" t="s">
        <v>42</v>
      </c>
      <c r="E9" s="67" t="s">
        <v>43</v>
      </c>
      <c r="F9" s="30" t="s">
        <v>0</v>
      </c>
      <c r="H9" s="28">
        <v>45630</v>
      </c>
    </row>
    <row r="10" spans="1:8" ht="18.75" x14ac:dyDescent="0.3">
      <c r="A10" s="21" t="s">
        <v>13</v>
      </c>
      <c r="C10" s="48" t="s">
        <v>44</v>
      </c>
      <c r="E10" s="15"/>
      <c r="F10" s="30" t="s">
        <v>15</v>
      </c>
      <c r="H10" s="29" t="s">
        <v>31</v>
      </c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>
        <v>45639</v>
      </c>
    </row>
    <row r="12" spans="1:8" ht="18.75" x14ac:dyDescent="0.3">
      <c r="A12" s="21" t="s">
        <v>11</v>
      </c>
      <c r="C12" s="14" t="s">
        <v>45</v>
      </c>
      <c r="E12" s="1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16" t="s">
        <v>46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49" t="s">
        <v>36</v>
      </c>
      <c r="B15" s="24" t="s">
        <v>22</v>
      </c>
      <c r="C15" s="42"/>
      <c r="D15" s="13"/>
      <c r="E15" s="49" t="s">
        <v>18</v>
      </c>
      <c r="F15" s="49" t="s">
        <v>20</v>
      </c>
      <c r="G15" s="49" t="s">
        <v>19</v>
      </c>
      <c r="H15" s="32" t="s">
        <v>21</v>
      </c>
    </row>
    <row r="16" spans="1:8" ht="16.5" thickBot="1" x14ac:dyDescent="0.3">
      <c r="A16" s="50">
        <v>1</v>
      </c>
      <c r="B16" s="51" t="s">
        <v>51</v>
      </c>
      <c r="C16" s="52"/>
      <c r="D16" s="53"/>
      <c r="E16" s="50" t="s">
        <v>52</v>
      </c>
      <c r="F16" s="54">
        <v>3840000</v>
      </c>
      <c r="G16" s="50">
        <v>1</v>
      </c>
      <c r="H16" s="38">
        <f t="shared" ref="H16" si="0">G16*F16</f>
        <v>3840000</v>
      </c>
    </row>
    <row r="17" spans="1:8" ht="16.5" thickBot="1" x14ac:dyDescent="0.3">
      <c r="A17" s="72">
        <v>2</v>
      </c>
      <c r="B17" s="73" t="s">
        <v>53</v>
      </c>
      <c r="C17" s="74"/>
      <c r="D17" s="75"/>
      <c r="E17" s="72" t="s">
        <v>52</v>
      </c>
      <c r="F17" s="76">
        <v>12600000</v>
      </c>
      <c r="G17" s="72">
        <v>1</v>
      </c>
      <c r="H17" s="38">
        <f t="shared" ref="H17" si="1">G17*F17</f>
        <v>12600000</v>
      </c>
    </row>
    <row r="18" spans="1:8" ht="19.5" customHeight="1" thickBot="1" x14ac:dyDescent="0.3">
      <c r="A18" s="55"/>
      <c r="B18" s="68"/>
      <c r="D18" s="69"/>
      <c r="E18" s="55"/>
      <c r="F18" s="55"/>
      <c r="G18" s="55"/>
    </row>
    <row r="19" spans="1:8" ht="19.5" customHeight="1" thickBot="1" x14ac:dyDescent="0.35">
      <c r="A19" s="70" t="s">
        <v>23</v>
      </c>
      <c r="B19" s="71" t="s">
        <v>54</v>
      </c>
      <c r="C19" s="12"/>
      <c r="D19" s="13"/>
      <c r="E19" s="56"/>
      <c r="F19" s="37" t="s">
        <v>29</v>
      </c>
      <c r="G19" s="6"/>
      <c r="H19" s="7"/>
    </row>
    <row r="20" spans="1:8" ht="19.5" customHeight="1" thickBot="1" x14ac:dyDescent="0.3">
      <c r="A20" s="39"/>
      <c r="B20" s="16" t="s">
        <v>55</v>
      </c>
      <c r="C20" s="4"/>
      <c r="D20" s="17"/>
      <c r="E20" s="59" t="s">
        <v>24</v>
      </c>
      <c r="F20" s="60"/>
      <c r="G20" s="45"/>
      <c r="H20" s="57">
        <f>SUM(H16:H17)</f>
        <v>16440000</v>
      </c>
    </row>
    <row r="21" spans="1:8" ht="19.5" customHeight="1" x14ac:dyDescent="0.25">
      <c r="A21" s="24" t="s">
        <v>25</v>
      </c>
      <c r="B21" s="12"/>
      <c r="C21" s="12"/>
      <c r="D21" s="12"/>
      <c r="E21" s="61" t="s">
        <v>30</v>
      </c>
      <c r="F21" s="23"/>
      <c r="G21" s="62">
        <v>0.19</v>
      </c>
      <c r="H21" s="40">
        <f>H20*G21</f>
        <v>3123600</v>
      </c>
    </row>
    <row r="22" spans="1:8" ht="19.5" customHeight="1" x14ac:dyDescent="0.25">
      <c r="A22" s="14" t="s">
        <v>47</v>
      </c>
      <c r="E22" s="63" t="s">
        <v>26</v>
      </c>
      <c r="G22" s="66">
        <v>2.5000000000000001E-2</v>
      </c>
      <c r="H22" s="58">
        <f>H20*G22</f>
        <v>411000</v>
      </c>
    </row>
    <row r="23" spans="1:8" ht="15.75" x14ac:dyDescent="0.25">
      <c r="A23" s="14" t="s">
        <v>48</v>
      </c>
      <c r="E23" s="14"/>
      <c r="F23" s="33"/>
      <c r="G23" s="46"/>
      <c r="H23" s="15"/>
    </row>
    <row r="24" spans="1:8" ht="16.5" thickBot="1" x14ac:dyDescent="0.3">
      <c r="A24" s="14" t="s">
        <v>33</v>
      </c>
      <c r="E24" s="64" t="s">
        <v>27</v>
      </c>
      <c r="F24" s="65"/>
      <c r="G24" s="47"/>
      <c r="H24" s="17"/>
    </row>
    <row r="25" spans="1:8" ht="19.5" thickBot="1" x14ac:dyDescent="0.35">
      <c r="A25" s="16" t="s">
        <v>49</v>
      </c>
      <c r="B25" s="4"/>
      <c r="C25" s="4"/>
      <c r="D25" s="17"/>
      <c r="F25" s="3"/>
      <c r="G25" s="34" t="s">
        <v>28</v>
      </c>
      <c r="H25" s="36">
        <f>H20+H21</f>
        <v>19563600</v>
      </c>
    </row>
    <row r="26" spans="1:8" ht="16.5" customHeight="1" x14ac:dyDescent="0.25"/>
    <row r="31" spans="1:8" ht="15.75" thickBot="1" x14ac:dyDescent="0.3"/>
    <row r="32" spans="1:8" ht="19.5" thickBot="1" x14ac:dyDescent="0.35">
      <c r="A32" s="25" t="s">
        <v>34</v>
      </c>
      <c r="B32" s="6"/>
      <c r="C32" s="6"/>
      <c r="D32" s="6"/>
      <c r="E32" s="6"/>
      <c r="F32" s="6"/>
      <c r="G32" s="6"/>
      <c r="H32" s="7"/>
    </row>
    <row r="40" spans="1:1" ht="18.75" x14ac:dyDescent="0.3">
      <c r="A40" s="5"/>
    </row>
  </sheetData>
  <hyperlinks>
    <hyperlink ref="C10" r:id="rId1" xr:uid="{0D19FA55-10EA-47FF-8AEF-E1F62BE10CB9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DISTRIVALVULAS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2024-12-04T21:52:17Z</dcterms:modified>
</cp:coreProperties>
</file>