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1E852A0-C55C-40C5-A310-D5957B4C06F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RTIDOR INDUSTRIA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/>
  <c r="H16" i="1" l="1"/>
  <c r="H21" i="1" l="1"/>
  <c r="H25" i="1" s="1"/>
</calcChain>
</file>

<file path=xl/sharedStrings.xml><?xml version="1.0" encoding="utf-8"?>
<sst xmlns="http://schemas.openxmlformats.org/spreadsheetml/2006/main" count="59" uniqueCount="58">
  <si>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</si>
  <si>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</si>
  <si>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</si>
  <si>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</si>
  <si>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</si>
  <si>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</si>
  <si>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</si>
  <si>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</si>
  <si>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</si>
  <si>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</si>
  <si>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</si>
  <si>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</si>
  <si>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</si>
  <si>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</si>
  <si>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</si>
  <si>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</si>
  <si>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</si>
  <si>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</si>
  <si>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</si>
  <si>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</si>
  <si>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</si>
  <si>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</si>
  <si>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</si>
  <si>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</si>
  <si>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</si>
  <si>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</si>
  <si>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</si>
  <si>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</si>
  <si>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</si>
  <si>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</si>
  <si>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</si>
  <si>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</si>
  <si>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</si>
  <si>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</si>
  <si>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</si>
  <si>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</si>
  <si>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ITEM</t>
  </si>
  <si>
    <t>CONTACTOS   310 8306118       319 7174165        321 7834969</t>
  </si>
  <si>
    <t>SURTIDOR INDUSTRIAL S.A.S.</t>
  </si>
  <si>
    <t>890 321226</t>
  </si>
  <si>
    <t>CALLE 8B  No. 19-48</t>
  </si>
  <si>
    <t>YUMBO</t>
  </si>
  <si>
    <t>contabilidad@surtidorindustrial.com</t>
  </si>
  <si>
    <t>602 6574834</t>
  </si>
  <si>
    <t>EDINSON CABEZAS</t>
  </si>
  <si>
    <t>FORMA DE PAGO : CONTADO</t>
  </si>
  <si>
    <t xml:space="preserve"> CALLE  33A  No. 17CF- 56                            B/  LA FLORESTA             -   CALI    -                                  CEL.     321 7834969</t>
  </si>
  <si>
    <t>ENTREGA EN UN DIA A PARTIR DE ORDEN DE COMPRA</t>
  </si>
  <si>
    <t xml:space="preserve">              R E M I S I O N</t>
  </si>
  <si>
    <t>SE ENTREGARAN 200 TRAMOS DE  58,5 CMTS EXCEDENTE PARA CLIENTE</t>
  </si>
  <si>
    <t xml:space="preserve">   </t>
  </si>
  <si>
    <t>No. 7</t>
  </si>
  <si>
    <t>TUBERIA  A / C SCH 80  1/2 "  X  58,5  CMTS</t>
  </si>
  <si>
    <t>TRAMO</t>
  </si>
  <si>
    <t>TUBERIA  A / C SCH 40  1 "  X  80,1   CMTS</t>
  </si>
  <si>
    <t>TRESCIENTOS CUARENTA MIL TRECE PESOS  MDA / CTE</t>
  </si>
  <si>
    <t>ITEM 1</t>
  </si>
  <si>
    <t>ITEM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</si>
</sst>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0" fillId="0" borderId="18" xfId="0" applyBorder="1"/>
    <xf numFmtId="0" fontId="5" fillId="0" borderId="4" xfId="0" applyFont="1" applyBorder="1"/>
    <xf numFmtId="0" fontId="0" fillId="0" borderId="19" xfId="0" applyBorder="1"/>
    <xf numFmtId="0" fontId="8" fillId="0" borderId="20" xfId="0" applyFont="1" applyBorder="1"/>
    <xf numFmtId="0" fontId="8" fillId="0" borderId="2" xfId="0" applyFont="1" applyBorder="1"/>
    <xf numFmtId="0" fontId="0" fillId="0" borderId="21" xfId="0" applyBorder="1"/>
    <xf numFmtId="0" fontId="1" fillId="0" borderId="2" xfId="0" applyFont="1" applyBorder="1" applyAlignment="1">
      <alignment horizontal="center"/>
    </xf>
    <xf numFmtId="42" fontId="11" fillId="0" borderId="2" xfId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2" fontId="1" fillId="0" borderId="1" xfId="1" applyFont="1" applyBorder="1" applyAlignment="1">
      <alignment horizontal="left"/>
    </xf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23" xfId="0" applyFont="1" applyBorder="1"/>
    <xf numFmtId="0" fontId="4" fillId="0" borderId="24" xfId="0" applyFont="1" applyBorder="1"/>
    <xf numFmtId="0" fontId="0" fillId="0" borderId="25" xfId="0" applyBorder="1"/>
    <xf numFmtId="0" fontId="4" fillId="0" borderId="9" xfId="0" applyFont="1" applyBorder="1"/>
    <xf numFmtId="9" fontId="1" fillId="0" borderId="26" xfId="0" applyNumberFormat="1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28" xfId="0" applyBorder="1"/>
    <xf numFmtId="0" fontId="4" fillId="0" borderId="29" xfId="0" applyFont="1" applyBorder="1"/>
    <xf numFmtId="0" fontId="4" fillId="0" borderId="30" xfId="0" applyFont="1" applyBorder="1"/>
    <xf numFmtId="0" fontId="0" fillId="0" borderId="31" xfId="0" applyBorder="1"/>
    <xf numFmtId="0" fontId="4" fillId="0" borderId="3" xfId="0" applyFont="1" applyBorder="1"/>
    <xf numFmtId="0" fontId="0" fillId="0" borderId="23" xfId="0" applyBorder="1"/>
    <xf numFmtId="0" fontId="0" fillId="0" borderId="24" xfId="0" applyBorder="1"/>
    <xf numFmtId="0" fontId="0" fillId="0" borderId="32" xfId="0" applyBorder="1"/>
    <xf numFmtId="0" fontId="0" fillId="0" borderId="26" xfId="0" applyBorder="1"/>
    <xf numFmtId="0" fontId="13" fillId="0" borderId="27" xfId="2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0" fillId="0" borderId="12" xfId="0" applyFont="1" applyBorder="1"/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urtidorindustr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J11" sqref="J11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8</v>
      </c>
      <c r="B4" s="6"/>
      <c r="C4" s="6"/>
      <c r="D4" s="28" t="s">
        <v>34</v>
      </c>
      <c r="E4" s="18"/>
      <c r="F4" s="19"/>
      <c r="G4" s="6"/>
      <c r="H4" s="7"/>
    </row>
    <row r="5" spans="1:8" ht="19.5" thickBot="1" x14ac:dyDescent="0.35">
      <c r="A5" s="45" t="s">
        <v>37</v>
      </c>
      <c r="B5" s="6"/>
      <c r="C5" s="6"/>
      <c r="D5" s="6"/>
      <c r="E5" s="6"/>
    </row>
    <row r="6" spans="1:8" ht="24.75" customHeight="1" thickBot="1" x14ac:dyDescent="0.45">
      <c r="F6" s="11" t="s">
        <v>48</v>
      </c>
      <c r="G6" s="18"/>
      <c r="H6" s="19"/>
    </row>
    <row r="7" spans="1:8" ht="19.5" thickBot="1" x14ac:dyDescent="0.35">
      <c r="A7" s="20" t="s">
        <v>15</v>
      </c>
      <c r="B7" s="13"/>
      <c r="C7" s="67" t="s">
        <v>38</v>
      </c>
      <c r="D7" s="6"/>
      <c r="E7" s="7"/>
      <c r="F7" s="26"/>
      <c r="G7" s="18"/>
      <c r="H7" s="19" t="s">
        <v>51</v>
      </c>
    </row>
    <row r="8" spans="1:8" ht="18.75" x14ac:dyDescent="0.3">
      <c r="A8" s="21" t="s">
        <v>9</v>
      </c>
      <c r="C8" s="68" t="s">
        <v>39</v>
      </c>
      <c r="D8" s="69"/>
      <c r="E8" s="58"/>
      <c r="F8" s="12"/>
      <c r="G8" s="13"/>
      <c r="H8" s="14"/>
    </row>
    <row r="9" spans="1:8" ht="18.75" customHeight="1" x14ac:dyDescent="0.3">
      <c r="A9" s="21" t="s">
        <v>10</v>
      </c>
      <c r="C9" s="70" t="s">
        <v>40</v>
      </c>
      <c r="D9" s="23"/>
      <c r="E9" s="71" t="s">
        <v>41</v>
      </c>
      <c r="F9" s="29" t="s">
        <v>0</v>
      </c>
      <c r="H9" s="30">
        <v>45729</v>
      </c>
    </row>
    <row r="10" spans="1:8" ht="18.75" x14ac:dyDescent="0.3">
      <c r="A10" s="21" t="s">
        <v>14</v>
      </c>
      <c r="C10" s="72" t="s">
        <v>42</v>
      </c>
      <c r="D10" s="24"/>
      <c r="E10" s="63"/>
      <c r="F10" s="29" t="s">
        <v>16</v>
      </c>
      <c r="H10" s="31"/>
    </row>
    <row r="11" spans="1:8" ht="18.75" x14ac:dyDescent="0.3">
      <c r="A11" s="21" t="s">
        <v>11</v>
      </c>
      <c r="C11" s="73"/>
      <c r="D11" s="24"/>
      <c r="E11" s="63"/>
      <c r="F11" s="29" t="s">
        <v>17</v>
      </c>
      <c r="G11" s="32"/>
      <c r="H11" s="30"/>
    </row>
    <row r="12" spans="1:8" ht="18.75" x14ac:dyDescent="0.3">
      <c r="A12" s="21" t="s">
        <v>12</v>
      </c>
      <c r="C12" s="73" t="s">
        <v>43</v>
      </c>
      <c r="D12" s="24"/>
      <c r="E12" s="63"/>
      <c r="F12" s="29" t="s">
        <v>18</v>
      </c>
      <c r="G12" t="s">
        <v>56</v>
      </c>
      <c r="H12" s="33">
        <v>1665</v>
      </c>
    </row>
    <row r="13" spans="1:8" ht="18.75" customHeight="1" thickBot="1" x14ac:dyDescent="0.35">
      <c r="A13" s="22" t="s">
        <v>13</v>
      </c>
      <c r="B13" s="4"/>
      <c r="C13" s="74" t="s">
        <v>44</v>
      </c>
      <c r="D13" s="75"/>
      <c r="E13" s="66"/>
      <c r="F13" s="16"/>
      <c r="G13" s="4" t="s">
        <v>57</v>
      </c>
      <c r="H13" s="76">
        <v>1671</v>
      </c>
    </row>
    <row r="14" spans="1:8" ht="15.75" thickBot="1" x14ac:dyDescent="0.3"/>
    <row r="15" spans="1:8" ht="15.75" thickBot="1" x14ac:dyDescent="0.3">
      <c r="A15" s="34" t="s">
        <v>36</v>
      </c>
      <c r="B15" s="43" t="s">
        <v>24</v>
      </c>
      <c r="C15" s="18"/>
      <c r="D15" s="7"/>
      <c r="E15" s="34" t="s">
        <v>20</v>
      </c>
      <c r="F15" s="34" t="s">
        <v>22</v>
      </c>
      <c r="G15" s="34" t="s">
        <v>21</v>
      </c>
      <c r="H15" s="34" t="s">
        <v>23</v>
      </c>
    </row>
    <row r="16" spans="1:8" ht="16.5" thickBot="1" x14ac:dyDescent="0.3">
      <c r="A16" s="52">
        <v>1</v>
      </c>
      <c r="B16" s="47" t="s">
        <v>52</v>
      </c>
      <c r="C16" s="48"/>
      <c r="D16" s="49"/>
      <c r="E16" s="50" t="s">
        <v>53</v>
      </c>
      <c r="F16" s="51">
        <v>9145</v>
      </c>
      <c r="G16" s="50">
        <v>5</v>
      </c>
      <c r="H16" s="53">
        <f>G16*F16</f>
        <v>45725</v>
      </c>
    </row>
    <row r="17" spans="1:8" ht="16.5" thickBot="1" x14ac:dyDescent="0.3">
      <c r="A17" s="52">
        <v>2</v>
      </c>
      <c r="B17" s="47" t="s">
        <v>54</v>
      </c>
      <c r="C17" s="48"/>
      <c r="D17" s="49"/>
      <c r="E17" s="50" t="s">
        <v>53</v>
      </c>
      <c r="F17" s="51">
        <v>16000</v>
      </c>
      <c r="G17" s="50">
        <v>15</v>
      </c>
      <c r="H17" s="53">
        <f>G17*F17</f>
        <v>240000</v>
      </c>
    </row>
    <row r="18" spans="1:8" ht="19.5" customHeight="1" thickBot="1" x14ac:dyDescent="0.3">
      <c r="H18" s="44"/>
    </row>
    <row r="19" spans="1:8" ht="19.5" customHeight="1" thickBot="1" x14ac:dyDescent="0.35">
      <c r="A19" s="77" t="s">
        <v>25</v>
      </c>
      <c r="B19" s="12" t="s">
        <v>55</v>
      </c>
      <c r="C19" s="13"/>
      <c r="D19" s="14"/>
      <c r="E19" s="55"/>
      <c r="F19" s="45" t="s">
        <v>31</v>
      </c>
      <c r="G19" s="6"/>
      <c r="H19" s="7"/>
    </row>
    <row r="20" spans="1:8" ht="19.5" customHeight="1" thickBot="1" x14ac:dyDescent="0.3">
      <c r="A20" s="78"/>
      <c r="B20" s="16"/>
      <c r="C20" s="4"/>
      <c r="D20" s="4"/>
      <c r="E20" s="56" t="s">
        <v>26</v>
      </c>
      <c r="F20" s="57"/>
      <c r="G20" s="58"/>
      <c r="H20" s="54">
        <f>SUM(H16:H17)</f>
        <v>285725</v>
      </c>
    </row>
    <row r="21" spans="1:8" ht="19.5" customHeight="1" x14ac:dyDescent="0.25">
      <c r="A21" s="25" t="s">
        <v>27</v>
      </c>
      <c r="B21" s="13"/>
      <c r="C21" s="13"/>
      <c r="D21" s="13"/>
      <c r="E21" s="59" t="s">
        <v>33</v>
      </c>
      <c r="F21" s="46"/>
      <c r="G21" s="60">
        <v>0.19</v>
      </c>
      <c r="H21" s="41">
        <f>H20*G21</f>
        <v>54287.75</v>
      </c>
    </row>
    <row r="22" spans="1:8" ht="15.75" x14ac:dyDescent="0.25">
      <c r="A22" s="15" t="s">
        <v>45</v>
      </c>
      <c r="E22" s="61" t="s">
        <v>28</v>
      </c>
      <c r="G22" s="62">
        <v>2.5000000000000001E-2</v>
      </c>
      <c r="H22" s="37"/>
    </row>
    <row r="23" spans="1:8" ht="15.75" x14ac:dyDescent="0.25">
      <c r="A23" s="15" t="s">
        <v>47</v>
      </c>
      <c r="E23" s="15"/>
      <c r="F23" s="35"/>
      <c r="G23" s="63"/>
      <c r="H23" s="38"/>
    </row>
    <row r="24" spans="1:8" ht="16.5" thickBot="1" x14ac:dyDescent="0.3">
      <c r="A24" s="15" t="s">
        <v>35</v>
      </c>
      <c r="E24" s="64" t="s">
        <v>29</v>
      </c>
      <c r="F24" s="65"/>
      <c r="G24" s="66"/>
      <c r="H24" s="39"/>
    </row>
    <row r="25" spans="1:8" ht="16.5" customHeight="1" thickBot="1" x14ac:dyDescent="0.35">
      <c r="A25" s="16" t="s">
        <v>49</v>
      </c>
      <c r="B25" s="4"/>
      <c r="C25" s="4"/>
      <c r="D25" s="17"/>
      <c r="F25" s="3"/>
      <c r="G25" s="36" t="s">
        <v>30</v>
      </c>
      <c r="H25" s="42">
        <f>H20+H21-H22</f>
        <v>340012.75</v>
      </c>
    </row>
    <row r="27" spans="1:8" x14ac:dyDescent="0.25">
      <c r="A27" t="s">
        <v>1</v>
      </c>
    </row>
    <row r="28" spans="1:8" x14ac:dyDescent="0.25">
      <c r="F28" t="s">
        <v>50</v>
      </c>
    </row>
    <row r="29" spans="1:8" ht="15.75" thickBot="1" x14ac:dyDescent="0.3"/>
    <row r="30" spans="1:8" ht="19.5" thickBot="1" x14ac:dyDescent="0.35">
      <c r="A30" s="26" t="s">
        <v>46</v>
      </c>
      <c r="B30" s="6"/>
      <c r="C30" s="6"/>
      <c r="D30" s="6"/>
      <c r="E30" s="6"/>
      <c r="F30" s="6"/>
      <c r="G30" s="6"/>
      <c r="H30" s="7"/>
    </row>
    <row r="39" spans="1:1" ht="18.75" x14ac:dyDescent="0.3">
      <c r="A39" s="5"/>
    </row>
  </sheetData>
  <mergeCells count="1">
    <mergeCell ref="A19:A20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SURTIDOR INDUSTRIAL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2025-05-21T18:52:47Z</cp:lastPrinted>
  <dcterms:created xsi:type="dcterms:W3CDTF">2018-11-15T17:29:02Z</dcterms:created>
  <dcterms:modified xsi:type="dcterms:W3CDTF">2025-05-23T21:59:17Z</dcterms:modified>
</cp:coreProperties>
</file>