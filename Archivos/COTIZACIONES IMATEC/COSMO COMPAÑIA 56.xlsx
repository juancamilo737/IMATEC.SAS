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7076FFD9-8281-48BD-902B-2750DBEBC46F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OSMO COMPAÑIA 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41" i="2" l="1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43" i="2" l="1"/>
  <c r="H42" i="2"/>
  <c r="H46" i="2" s="1"/>
</calcChain>
</file>

<file path=xl/sharedStrings.xml><?xml version="1.0" encoding="utf-8"?>
<sst xmlns="http://schemas.openxmlformats.org/spreadsheetml/2006/main" count="99" uniqueCount="78">
  <si>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</si>
  <si>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</si>
  <si>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</si>
  <si>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</si>
  <si>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</si>
  <si>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</si>
  <si>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</si>
  <si>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</si>
  <si>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</si>
  <si>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</si>
  <si>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</si>
  <si>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</si>
  <si>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</si>
  <si>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</si>
  <si>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</si>
  <si>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</si>
  <si>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</si>
  <si>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</si>
  <si>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</si>
  <si>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</si>
  <si>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</si>
  <si>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</si>
  <si>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</si>
  <si>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</si>
  <si>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</si>
  <si>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</si>
  <si>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</si>
  <si>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</si>
  <si>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</si>
  <si>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</si>
  <si>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</si>
  <si>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</si>
  <si>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</si>
  <si>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</si>
  <si>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</si>
  <si>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COSMO COMPAÑÍA S.A.S.</t>
  </si>
  <si>
    <t>800 163715</t>
  </si>
  <si>
    <t>CRA 20  No. 125-24 OF 203</t>
  </si>
  <si>
    <t>BOGOTÁ</t>
  </si>
  <si>
    <t>cosmoltda@hotmail.com</t>
  </si>
  <si>
    <t>601 2131834</t>
  </si>
  <si>
    <t>EDINSON CABEZAS</t>
  </si>
  <si>
    <t>FORMA DE PAGO : CREDITO A 30 DIAS</t>
  </si>
  <si>
    <t>L I Q U I D A C I O N</t>
  </si>
  <si>
    <t xml:space="preserve">  CALLE  33 A  No. 17 A - 56                           B/  LA FLORESTA             -   CALI    -                         CEL.     321 7834969</t>
  </si>
  <si>
    <t xml:space="preserve">O de C  No. </t>
  </si>
  <si>
    <t>CTO. DE COSTOS</t>
  </si>
  <si>
    <t xml:space="preserve">           C O T I Z A C I O N</t>
  </si>
  <si>
    <t>10 DIAS</t>
  </si>
  <si>
    <t>FABRICACION</t>
  </si>
  <si>
    <t>ACCESORIO</t>
  </si>
  <si>
    <t>ENTREGA EN TRES DIAS  A PARTIR DE ORDEN DE COMPRA</t>
  </si>
  <si>
    <t>No.  56</t>
  </si>
  <si>
    <t>BRIDA AC/INOX 304  SLIP ON  10 "  X  150  LBS</t>
  </si>
  <si>
    <t>CODO  AC/INOX 304 SCH 10  10 "  X  90 º</t>
  </si>
  <si>
    <t>TEE AC/INOX  304  SCH 10  6 "</t>
  </si>
  <si>
    <t>BRIDA AC/INOX 304 SLIP ON  6 "  X  150 LBS</t>
  </si>
  <si>
    <t>EMPAQUE FLEXITALIUCO  6 "  X  150  LBS</t>
  </si>
  <si>
    <t>TORNILLO AC/INOX 304  3/4 "  X  3 1/2 "  COMPLETO</t>
  </si>
  <si>
    <t>RED. COPA  AC/INOX 304  EXCENTRICA  6 "  X   2 1/2 "</t>
  </si>
  <si>
    <t>CODO  AC/INOX 304  1/2 "  X  90 º  X  150 LBS ROSCADO</t>
  </si>
  <si>
    <t>TEE AC/INOX 304  1/2 "  X  150 LBS  ROSCADA</t>
  </si>
  <si>
    <t>NIPLE  AC/INOX 304  1/2 "  X  4 "</t>
  </si>
  <si>
    <t>TAPON MACHO AC/INOX 304  1/2 "</t>
  </si>
  <si>
    <t>BRIDA AC/INOX 304 CIEGA  2 "  X  150  LBS</t>
  </si>
  <si>
    <t>BRIDA AC/INOX 304  SLIP ON   2 "  X  150 LBS</t>
  </si>
  <si>
    <t>EMPAQUE FLEXITALICO 2 "  X  150  LBS</t>
  </si>
  <si>
    <t>NIPLE  AC/INOX 304  2  1/2 "  X  6 "</t>
  </si>
  <si>
    <t>EMPAQUE FLEXITALICO  2 1/2 "  X  150  LBS</t>
  </si>
  <si>
    <t>CODO  AC/INOX 304  1 "  X  90 º X 150 LBS  ROSCADO</t>
  </si>
  <si>
    <t>UNION AC/INOX 304  1 2  X  150  LBS  ROSCADA</t>
  </si>
  <si>
    <t>TAPON MACHO AC/INOX 304  1 "  X  150 LBS</t>
  </si>
  <si>
    <t>CHEQUE  AC/INOX 304  WAFER  4 "</t>
  </si>
  <si>
    <t>BRIDA AC/INOX 304  SLIP ON  4 "  X  1500 LBS</t>
  </si>
  <si>
    <t>EMPAQUE FLEXITALICO  4 "</t>
  </si>
  <si>
    <t>RED. COPA AC/INOX 304 SCH 10  EXCENTRICA 4 " X 2 "</t>
  </si>
  <si>
    <t>UN MILLONES OCHOCIENTOS VEINTICINCO MIL CIENTO</t>
  </si>
  <si>
    <t>OCHENTA Y SIETE 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</si>
</sst>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4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4" fillId="0" borderId="3" xfId="0" applyFont="1" applyBorder="1"/>
    <xf numFmtId="0" fontId="0" fillId="0" borderId="19" xfId="0" applyBorder="1"/>
    <xf numFmtId="0" fontId="0" fillId="0" borderId="22" xfId="0" applyBorder="1"/>
    <xf numFmtId="0" fontId="0" fillId="0" borderId="25" xfId="0" applyBorder="1"/>
    <xf numFmtId="0" fontId="13" fillId="0" borderId="9" xfId="2" applyBorder="1"/>
    <xf numFmtId="0" fontId="1" fillId="0" borderId="15" xfId="0" applyFont="1" applyBorder="1" applyAlignment="1">
      <alignment horizontal="center"/>
    </xf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9" xfId="0" applyFont="1" applyBorder="1"/>
    <xf numFmtId="9" fontId="1" fillId="0" borderId="20" xfId="3" applyFont="1" applyBorder="1"/>
    <xf numFmtId="0" fontId="4" fillId="0" borderId="21" xfId="0" applyFont="1" applyBorder="1"/>
    <xf numFmtId="0" fontId="4" fillId="0" borderId="23" xfId="0" applyFont="1" applyBorder="1"/>
    <xf numFmtId="0" fontId="4" fillId="0" borderId="24" xfId="0" applyFont="1" applyBorder="1"/>
    <xf numFmtId="10" fontId="1" fillId="0" borderId="10" xfId="0" applyNumberFormat="1" applyFont="1" applyBorder="1"/>
    <xf numFmtId="0" fontId="0" fillId="0" borderId="1" xfId="0" applyBorder="1"/>
    <xf numFmtId="0" fontId="1" fillId="0" borderId="11" xfId="0" applyFont="1" applyBorder="1"/>
    <xf numFmtId="0" fontId="0" fillId="0" borderId="6" xfId="0" applyBorder="1"/>
    <xf numFmtId="0" fontId="1" fillId="0" borderId="15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center"/>
    </xf>
    <xf numFmtId="0" fontId="0" fillId="0" borderId="3" xfId="0" applyBorder="1"/>
    <xf numFmtId="0" fontId="0" fillId="0" borderId="26" xfId="0" applyBorder="1"/>
    <xf numFmtId="42" fontId="11" fillId="0" borderId="14" xfId="1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0" fillId="0" borderId="27" xfId="0" applyBorder="1"/>
    <xf numFmtId="0" fontId="0" fillId="0" borderId="18" xfId="0" applyBorder="1"/>
    <xf numFmtId="0" fontId="1" fillId="0" borderId="18" xfId="0" applyFont="1" applyBorder="1" applyAlignment="1">
      <alignment horizontal="center"/>
    </xf>
    <xf numFmtId="0" fontId="0" fillId="0" borderId="12" xfId="0" applyBorder="1" applyAlignment="1">
      <alignment horizontal="right"/>
    </xf>
    <xf numFmtId="0" fontId="11" fillId="0" borderId="0" xfId="0" applyFont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F75B977-B5C6-44A3-8A38-9BD1087427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43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2971B-7A95-4786-B36D-9D7A265A1D5E}">
  <sheetPr>
    <pageSetUpPr fitToPage="1"/>
  </sheetPr>
  <dimension ref="A1:H61"/>
  <sheetViews>
    <sheetView tabSelected="1" topLeftCell="A10" zoomScaleNormal="100" workbookViewId="0">
      <selection activeCell="J29" sqref="J29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33</v>
      </c>
    </row>
    <row r="3" spans="1:8" ht="27" thickBot="1" x14ac:dyDescent="0.45">
      <c r="A3" s="11" t="s">
        <v>34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29</v>
      </c>
      <c r="E4" s="18"/>
      <c r="F4" s="19"/>
      <c r="G4" s="6"/>
      <c r="H4" s="7"/>
    </row>
    <row r="5" spans="1:8" ht="19.5" thickBot="1" x14ac:dyDescent="0.35">
      <c r="A5" s="37" t="s">
        <v>31</v>
      </c>
      <c r="B5" s="6"/>
      <c r="C5" s="6"/>
      <c r="D5" s="6"/>
      <c r="E5" s="6"/>
    </row>
    <row r="6" spans="1:8" ht="24.75" customHeight="1" thickBot="1" x14ac:dyDescent="0.45">
      <c r="F6" s="41" t="s">
        <v>47</v>
      </c>
      <c r="G6" s="42"/>
      <c r="H6" s="43"/>
    </row>
    <row r="7" spans="1:8" ht="19.5" thickBot="1" x14ac:dyDescent="0.35">
      <c r="A7" s="20" t="s">
        <v>14</v>
      </c>
      <c r="B7" s="12"/>
      <c r="C7" s="44" t="s">
        <v>35</v>
      </c>
      <c r="D7" s="6"/>
      <c r="E7" s="6"/>
      <c r="F7" s="37"/>
      <c r="G7" s="18"/>
      <c r="H7" s="63" t="s">
        <v>52</v>
      </c>
    </row>
    <row r="8" spans="1:8" ht="19.5" thickBot="1" x14ac:dyDescent="0.35">
      <c r="A8" s="21" t="s">
        <v>8</v>
      </c>
      <c r="C8" s="14" t="s">
        <v>36</v>
      </c>
      <c r="E8" s="15"/>
      <c r="H8" s="15"/>
    </row>
    <row r="9" spans="1:8" ht="18.75" customHeight="1" thickBot="1" x14ac:dyDescent="0.35">
      <c r="A9" s="21" t="s">
        <v>9</v>
      </c>
      <c r="C9" s="14" t="s">
        <v>37</v>
      </c>
      <c r="E9" s="59" t="s">
        <v>38</v>
      </c>
      <c r="F9" s="30" t="s">
        <v>0</v>
      </c>
      <c r="H9" s="28">
        <v>45829</v>
      </c>
    </row>
    <row r="10" spans="1:8" ht="18.75" x14ac:dyDescent="0.3">
      <c r="A10" s="21" t="s">
        <v>13</v>
      </c>
      <c r="C10" s="48" t="s">
        <v>39</v>
      </c>
      <c r="E10" s="15"/>
      <c r="F10" s="30" t="s">
        <v>15</v>
      </c>
      <c r="H10" s="29" t="s">
        <v>48</v>
      </c>
    </row>
    <row r="11" spans="1:8" ht="18.75" x14ac:dyDescent="0.3">
      <c r="A11" s="21" t="s">
        <v>10</v>
      </c>
      <c r="C11" s="14"/>
      <c r="E11" s="15"/>
      <c r="F11" s="30" t="s">
        <v>16</v>
      </c>
      <c r="G11" s="30"/>
      <c r="H11" s="28">
        <v>45838</v>
      </c>
    </row>
    <row r="12" spans="1:8" ht="18.75" x14ac:dyDescent="0.3">
      <c r="A12" s="21" t="s">
        <v>11</v>
      </c>
      <c r="C12" s="14" t="s">
        <v>40</v>
      </c>
      <c r="E12" s="15"/>
      <c r="F12" s="30" t="s">
        <v>45</v>
      </c>
      <c r="G12" s="73"/>
      <c r="H12" s="31"/>
    </row>
    <row r="13" spans="1:8" ht="18.75" customHeight="1" thickBot="1" x14ac:dyDescent="0.35">
      <c r="A13" s="22" t="s">
        <v>12</v>
      </c>
      <c r="B13" s="4"/>
      <c r="C13" s="16" t="s">
        <v>41</v>
      </c>
      <c r="D13" s="4"/>
      <c r="E13" s="17"/>
      <c r="F13" s="4" t="s">
        <v>46</v>
      </c>
      <c r="G13" s="4"/>
      <c r="H13" s="72"/>
    </row>
    <row r="14" spans="1:8" ht="15.75" thickBot="1" x14ac:dyDescent="0.3"/>
    <row r="15" spans="1:8" ht="15.75" thickBot="1" x14ac:dyDescent="0.3">
      <c r="A15" s="49" t="s">
        <v>32</v>
      </c>
      <c r="B15" s="24" t="s">
        <v>21</v>
      </c>
      <c r="C15" s="42"/>
      <c r="D15" s="13"/>
      <c r="E15" s="49" t="s">
        <v>17</v>
      </c>
      <c r="F15" s="49" t="s">
        <v>19</v>
      </c>
      <c r="G15" s="49" t="s">
        <v>18</v>
      </c>
      <c r="H15" s="32" t="s">
        <v>20</v>
      </c>
    </row>
    <row r="16" spans="1:8" ht="15.75" thickBot="1" x14ac:dyDescent="0.3">
      <c r="A16" s="68">
        <v>1</v>
      </c>
      <c r="B16" s="69" t="s">
        <v>53</v>
      </c>
      <c r="C16" s="70"/>
      <c r="D16" s="45"/>
      <c r="E16" s="71" t="s">
        <v>50</v>
      </c>
      <c r="F16" s="66">
        <v>774200</v>
      </c>
      <c r="G16" s="67">
        <v>2</v>
      </c>
      <c r="H16" s="38">
        <f>F16*G16</f>
        <v>1548400</v>
      </c>
    </row>
    <row r="17" spans="1:8" ht="15.75" thickBot="1" x14ac:dyDescent="0.3">
      <c r="A17" s="68">
        <v>2</v>
      </c>
      <c r="B17" s="69" t="s">
        <v>54</v>
      </c>
      <c r="C17" s="70"/>
      <c r="D17" s="45"/>
      <c r="E17" s="71" t="s">
        <v>50</v>
      </c>
      <c r="F17" s="66">
        <v>836850</v>
      </c>
      <c r="G17" s="67">
        <v>3</v>
      </c>
      <c r="H17" s="38">
        <f t="shared" ref="H17:H18" si="0">F17*G17</f>
        <v>2510550</v>
      </c>
    </row>
    <row r="18" spans="1:8" ht="15.75" thickBot="1" x14ac:dyDescent="0.3">
      <c r="A18" s="68">
        <v>3</v>
      </c>
      <c r="B18" s="69" t="s">
        <v>55</v>
      </c>
      <c r="C18" s="70"/>
      <c r="D18" s="45"/>
      <c r="E18" s="71" t="s">
        <v>50</v>
      </c>
      <c r="F18" s="66">
        <v>306550</v>
      </c>
      <c r="G18" s="67">
        <v>2</v>
      </c>
      <c r="H18" s="38">
        <f t="shared" si="0"/>
        <v>613100</v>
      </c>
    </row>
    <row r="19" spans="1:8" ht="15.75" thickBot="1" x14ac:dyDescent="0.3">
      <c r="A19" s="68">
        <v>4</v>
      </c>
      <c r="B19" s="69" t="s">
        <v>56</v>
      </c>
      <c r="C19" s="70"/>
      <c r="D19" s="45"/>
      <c r="E19" s="71" t="s">
        <v>50</v>
      </c>
      <c r="F19" s="66">
        <v>251500</v>
      </c>
      <c r="G19" s="67">
        <v>2</v>
      </c>
      <c r="H19" s="38">
        <f t="shared" ref="H19:H38" si="1">F19*G19</f>
        <v>503000</v>
      </c>
    </row>
    <row r="20" spans="1:8" ht="15.75" thickBot="1" x14ac:dyDescent="0.3">
      <c r="A20" s="68">
        <v>5</v>
      </c>
      <c r="B20" s="69" t="s">
        <v>57</v>
      </c>
      <c r="C20" s="70"/>
      <c r="D20" s="45"/>
      <c r="E20" s="71" t="s">
        <v>50</v>
      </c>
      <c r="F20" s="66">
        <v>15550</v>
      </c>
      <c r="G20" s="67">
        <v>2</v>
      </c>
      <c r="H20" s="38">
        <f t="shared" si="1"/>
        <v>31100</v>
      </c>
    </row>
    <row r="21" spans="1:8" ht="15.75" thickBot="1" x14ac:dyDescent="0.3">
      <c r="A21" s="68">
        <v>6</v>
      </c>
      <c r="B21" s="69" t="s">
        <v>58</v>
      </c>
      <c r="C21" s="70"/>
      <c r="D21" s="45"/>
      <c r="E21" s="71" t="s">
        <v>50</v>
      </c>
      <c r="F21" s="66">
        <v>10100</v>
      </c>
      <c r="G21" s="67">
        <v>8</v>
      </c>
      <c r="H21" s="38">
        <f t="shared" si="1"/>
        <v>80800</v>
      </c>
    </row>
    <row r="22" spans="1:8" ht="15.75" thickBot="1" x14ac:dyDescent="0.3">
      <c r="A22" s="68">
        <v>7</v>
      </c>
      <c r="B22" s="69" t="s">
        <v>59</v>
      </c>
      <c r="C22" s="70"/>
      <c r="D22" s="45"/>
      <c r="E22" s="71" t="s">
        <v>50</v>
      </c>
      <c r="F22" s="66">
        <v>230000</v>
      </c>
      <c r="G22" s="67">
        <v>1</v>
      </c>
      <c r="H22" s="38">
        <f t="shared" si="1"/>
        <v>230000</v>
      </c>
    </row>
    <row r="23" spans="1:8" ht="15.75" thickBot="1" x14ac:dyDescent="0.3">
      <c r="A23" s="68">
        <v>8</v>
      </c>
      <c r="B23" s="69" t="s">
        <v>60</v>
      </c>
      <c r="C23" s="70"/>
      <c r="D23" s="45"/>
      <c r="E23" s="71" t="s">
        <v>50</v>
      </c>
      <c r="F23" s="66">
        <v>3665</v>
      </c>
      <c r="G23" s="67">
        <v>10</v>
      </c>
      <c r="H23" s="38">
        <f t="shared" si="1"/>
        <v>36650</v>
      </c>
    </row>
    <row r="24" spans="1:8" ht="15.75" thickBot="1" x14ac:dyDescent="0.3">
      <c r="A24" s="68">
        <v>9</v>
      </c>
      <c r="B24" s="69" t="s">
        <v>61</v>
      </c>
      <c r="C24" s="70"/>
      <c r="D24" s="45"/>
      <c r="E24" s="71" t="s">
        <v>50</v>
      </c>
      <c r="F24" s="66">
        <v>5285</v>
      </c>
      <c r="G24" s="67">
        <v>5</v>
      </c>
      <c r="H24" s="38">
        <f t="shared" si="1"/>
        <v>26425</v>
      </c>
    </row>
    <row r="25" spans="1:8" ht="15.75" thickBot="1" x14ac:dyDescent="0.3">
      <c r="A25" s="68">
        <v>10</v>
      </c>
      <c r="B25" s="69" t="s">
        <v>62</v>
      </c>
      <c r="C25" s="70"/>
      <c r="D25" s="45"/>
      <c r="E25" s="71" t="s">
        <v>49</v>
      </c>
      <c r="F25" s="66">
        <v>8350</v>
      </c>
      <c r="G25" s="67">
        <v>25</v>
      </c>
      <c r="H25" s="38">
        <f t="shared" si="1"/>
        <v>208750</v>
      </c>
    </row>
    <row r="26" spans="1:8" ht="15.75" thickBot="1" x14ac:dyDescent="0.3">
      <c r="A26" s="68">
        <v>11</v>
      </c>
      <c r="B26" s="69" t="s">
        <v>63</v>
      </c>
      <c r="C26" s="70"/>
      <c r="D26" s="45"/>
      <c r="E26" s="71" t="s">
        <v>50</v>
      </c>
      <c r="F26" s="66">
        <v>2600</v>
      </c>
      <c r="G26" s="67">
        <v>5</v>
      </c>
      <c r="H26" s="38">
        <f t="shared" si="1"/>
        <v>13000</v>
      </c>
    </row>
    <row r="27" spans="1:8" ht="15.75" thickBot="1" x14ac:dyDescent="0.3">
      <c r="A27" s="68">
        <v>12</v>
      </c>
      <c r="B27" s="69" t="s">
        <v>64</v>
      </c>
      <c r="C27" s="70"/>
      <c r="D27" s="45"/>
      <c r="E27" s="71" t="s">
        <v>50</v>
      </c>
      <c r="F27" s="66">
        <v>85000</v>
      </c>
      <c r="G27" s="67">
        <v>4</v>
      </c>
      <c r="H27" s="38">
        <f t="shared" si="1"/>
        <v>340000</v>
      </c>
    </row>
    <row r="28" spans="1:8" ht="15.75" thickBot="1" x14ac:dyDescent="0.3">
      <c r="A28" s="68">
        <v>13</v>
      </c>
      <c r="B28" s="69" t="s">
        <v>65</v>
      </c>
      <c r="C28" s="70"/>
      <c r="D28" s="45"/>
      <c r="E28" s="71" t="s">
        <v>50</v>
      </c>
      <c r="F28" s="66">
        <v>68100</v>
      </c>
      <c r="G28" s="67">
        <v>14</v>
      </c>
      <c r="H28" s="38">
        <f t="shared" si="1"/>
        <v>953400</v>
      </c>
    </row>
    <row r="29" spans="1:8" ht="15.75" thickBot="1" x14ac:dyDescent="0.3">
      <c r="A29" s="68">
        <v>14</v>
      </c>
      <c r="B29" s="69" t="s">
        <v>66</v>
      </c>
      <c r="C29" s="70"/>
      <c r="D29" s="45"/>
      <c r="E29" s="71" t="s">
        <v>50</v>
      </c>
      <c r="F29" s="66">
        <v>5100</v>
      </c>
      <c r="G29" s="67">
        <v>15</v>
      </c>
      <c r="H29" s="38">
        <f t="shared" si="1"/>
        <v>76500</v>
      </c>
    </row>
    <row r="30" spans="1:8" ht="15.75" thickBot="1" x14ac:dyDescent="0.3">
      <c r="A30" s="68">
        <v>15</v>
      </c>
      <c r="B30" s="69" t="s">
        <v>67</v>
      </c>
      <c r="C30" s="70"/>
      <c r="D30" s="45"/>
      <c r="E30" s="71" t="s">
        <v>49</v>
      </c>
      <c r="F30" s="66">
        <v>73000</v>
      </c>
      <c r="G30" s="67">
        <v>10</v>
      </c>
      <c r="H30" s="38">
        <f t="shared" si="1"/>
        <v>730000</v>
      </c>
    </row>
    <row r="31" spans="1:8" ht="15.75" thickBot="1" x14ac:dyDescent="0.3">
      <c r="A31" s="68">
        <v>16</v>
      </c>
      <c r="B31" s="69" t="s">
        <v>68</v>
      </c>
      <c r="C31" s="70"/>
      <c r="D31" s="45"/>
      <c r="E31" s="71" t="s">
        <v>50</v>
      </c>
      <c r="F31" s="66">
        <v>7500</v>
      </c>
      <c r="G31" s="67">
        <v>11</v>
      </c>
      <c r="H31" s="38">
        <f t="shared" si="1"/>
        <v>82500</v>
      </c>
    </row>
    <row r="32" spans="1:8" ht="15.75" thickBot="1" x14ac:dyDescent="0.3">
      <c r="A32" s="68">
        <v>17</v>
      </c>
      <c r="B32" s="69" t="s">
        <v>69</v>
      </c>
      <c r="C32" s="70"/>
      <c r="D32" s="45"/>
      <c r="E32" s="71" t="s">
        <v>50</v>
      </c>
      <c r="F32" s="66">
        <v>8850</v>
      </c>
      <c r="G32" s="67">
        <v>4</v>
      </c>
      <c r="H32" s="38">
        <f t="shared" si="1"/>
        <v>35400</v>
      </c>
    </row>
    <row r="33" spans="1:8" ht="15.75" thickBot="1" x14ac:dyDescent="0.3">
      <c r="A33" s="68">
        <v>18</v>
      </c>
      <c r="B33" s="69" t="s">
        <v>70</v>
      </c>
      <c r="C33" s="70"/>
      <c r="D33" s="45"/>
      <c r="E33" s="71" t="s">
        <v>50</v>
      </c>
      <c r="F33" s="66">
        <v>7000</v>
      </c>
      <c r="G33" s="67">
        <v>4</v>
      </c>
      <c r="H33" s="38">
        <f t="shared" si="1"/>
        <v>28000</v>
      </c>
    </row>
    <row r="34" spans="1:8" ht="15.75" thickBot="1" x14ac:dyDescent="0.3">
      <c r="A34" s="68">
        <v>19</v>
      </c>
      <c r="B34" s="69" t="s">
        <v>71</v>
      </c>
      <c r="C34" s="70"/>
      <c r="D34" s="45"/>
      <c r="E34" s="71" t="s">
        <v>50</v>
      </c>
      <c r="F34" s="66">
        <v>4980</v>
      </c>
      <c r="G34" s="67">
        <v>5</v>
      </c>
      <c r="H34" s="38">
        <f t="shared" si="1"/>
        <v>24900</v>
      </c>
    </row>
    <row r="35" spans="1:8" ht="15.75" thickBot="1" x14ac:dyDescent="0.3">
      <c r="A35" s="68">
        <v>20</v>
      </c>
      <c r="B35" s="69" t="s">
        <v>72</v>
      </c>
      <c r="C35" s="70"/>
      <c r="D35" s="45"/>
      <c r="E35" s="71" t="s">
        <v>50</v>
      </c>
      <c r="F35" s="66">
        <v>365100</v>
      </c>
      <c r="G35" s="67">
        <v>1</v>
      </c>
      <c r="H35" s="38">
        <f t="shared" si="1"/>
        <v>365100</v>
      </c>
    </row>
    <row r="36" spans="1:8" ht="15.75" thickBot="1" x14ac:dyDescent="0.3">
      <c r="A36" s="68">
        <v>21</v>
      </c>
      <c r="B36" s="69" t="s">
        <v>73</v>
      </c>
      <c r="C36" s="70"/>
      <c r="D36" s="45"/>
      <c r="E36" s="71" t="s">
        <v>50</v>
      </c>
      <c r="F36" s="66">
        <v>172250</v>
      </c>
      <c r="G36" s="67">
        <v>6</v>
      </c>
      <c r="H36" s="38">
        <f t="shared" si="1"/>
        <v>1033500</v>
      </c>
    </row>
    <row r="37" spans="1:8" ht="15.75" thickBot="1" x14ac:dyDescent="0.3">
      <c r="A37" s="68">
        <v>22</v>
      </c>
      <c r="B37" s="69" t="s">
        <v>74</v>
      </c>
      <c r="C37" s="70"/>
      <c r="D37" s="45"/>
      <c r="E37" s="71" t="s">
        <v>50</v>
      </c>
      <c r="F37" s="66">
        <v>11500</v>
      </c>
      <c r="G37" s="67">
        <v>10</v>
      </c>
      <c r="H37" s="38">
        <f t="shared" si="1"/>
        <v>115000</v>
      </c>
    </row>
    <row r="38" spans="1:8" ht="15.75" thickBot="1" x14ac:dyDescent="0.3">
      <c r="A38" s="68">
        <v>23</v>
      </c>
      <c r="B38" s="69" t="s">
        <v>75</v>
      </c>
      <c r="C38" s="70"/>
      <c r="D38" s="45"/>
      <c r="E38" s="71" t="s">
        <v>50</v>
      </c>
      <c r="F38" s="66">
        <v>188100</v>
      </c>
      <c r="G38" s="67">
        <v>3</v>
      </c>
      <c r="H38" s="38">
        <f t="shared" si="1"/>
        <v>564300</v>
      </c>
    </row>
    <row r="39" spans="1:8" ht="15.75" thickBot="1" x14ac:dyDescent="0.3">
      <c r="B39" s="16"/>
      <c r="C39" s="4"/>
      <c r="D39" s="17"/>
      <c r="F39" s="65"/>
      <c r="G39" s="65"/>
    </row>
    <row r="40" spans="1:8" ht="19.5" customHeight="1" thickBot="1" x14ac:dyDescent="0.35">
      <c r="A40" s="62" t="s">
        <v>22</v>
      </c>
      <c r="B40" s="61" t="s">
        <v>76</v>
      </c>
      <c r="C40" s="12"/>
      <c r="D40" s="13"/>
      <c r="E40" s="64"/>
      <c r="F40" s="37" t="s">
        <v>43</v>
      </c>
      <c r="G40" s="6"/>
      <c r="H40" s="7"/>
    </row>
    <row r="41" spans="1:8" ht="19.5" customHeight="1" thickBot="1" x14ac:dyDescent="0.3">
      <c r="A41" s="39"/>
      <c r="B41" s="16" t="s">
        <v>77</v>
      </c>
      <c r="C41" s="4"/>
      <c r="D41" s="17"/>
      <c r="E41" s="52" t="s">
        <v>23</v>
      </c>
      <c r="F41" s="52"/>
      <c r="G41" s="45"/>
      <c r="H41" s="50">
        <f>SUM(H16:H38)</f>
        <v>10150375</v>
      </c>
    </row>
    <row r="42" spans="1:8" ht="19.5" customHeight="1" x14ac:dyDescent="0.25">
      <c r="A42" s="24" t="s">
        <v>24</v>
      </c>
      <c r="E42" s="53" t="s">
        <v>28</v>
      </c>
      <c r="F42" s="23"/>
      <c r="G42" s="54">
        <v>0.19</v>
      </c>
      <c r="H42" s="40">
        <f>H41*G42</f>
        <v>1928571.25</v>
      </c>
    </row>
    <row r="43" spans="1:8" ht="19.5" customHeight="1" x14ac:dyDescent="0.25">
      <c r="A43" s="14" t="s">
        <v>42</v>
      </c>
      <c r="E43" s="55" t="s">
        <v>25</v>
      </c>
      <c r="G43" s="58">
        <v>2.5000000000000001E-2</v>
      </c>
      <c r="H43" s="51">
        <f>H41*G43</f>
        <v>253759.375</v>
      </c>
    </row>
    <row r="44" spans="1:8" ht="15.75" x14ac:dyDescent="0.25">
      <c r="A44" s="14" t="s">
        <v>51</v>
      </c>
      <c r="E44" s="14"/>
      <c r="F44" s="33"/>
      <c r="G44" s="46"/>
      <c r="H44" s="15"/>
    </row>
    <row r="45" spans="1:8" ht="16.5" thickBot="1" x14ac:dyDescent="0.3">
      <c r="A45" s="14" t="s">
        <v>30</v>
      </c>
      <c r="E45" s="56" t="s">
        <v>26</v>
      </c>
      <c r="F45" s="57"/>
      <c r="G45" s="47"/>
      <c r="H45" s="17"/>
    </row>
    <row r="46" spans="1:8" ht="19.5" thickBot="1" x14ac:dyDescent="0.35">
      <c r="A46" s="60"/>
      <c r="B46" s="4"/>
      <c r="C46" s="4"/>
      <c r="D46" s="17"/>
      <c r="F46" s="3"/>
      <c r="G46" s="34" t="s">
        <v>27</v>
      </c>
      <c r="H46" s="36">
        <f>H41+H42-H43</f>
        <v>11825186.875</v>
      </c>
    </row>
    <row r="47" spans="1:8" ht="16.5" customHeight="1" x14ac:dyDescent="0.25"/>
    <row r="52" spans="1:8" ht="15.75" thickBot="1" x14ac:dyDescent="0.3"/>
    <row r="53" spans="1:8" ht="19.5" thickBot="1" x14ac:dyDescent="0.35">
      <c r="A53" s="25" t="s">
        <v>44</v>
      </c>
      <c r="B53" s="6"/>
      <c r="C53" s="6"/>
      <c r="D53" s="6"/>
      <c r="E53" s="6"/>
      <c r="F53" s="6"/>
      <c r="G53" s="6"/>
      <c r="H53" s="7"/>
    </row>
    <row r="61" spans="1:8" ht="18.75" x14ac:dyDescent="0.3">
      <c r="A61" s="5"/>
    </row>
  </sheetData>
  <pageMargins left="0.70866141732283472" right="0.70866141732283472" top="0.74803149606299213" bottom="0.74803149606299213" header="0.31496062992125984" footer="0.31496062992125984"/>
  <pageSetup scale="70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COSMO COMPAÑIA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2024-12-27T15:29:35Z</cp:lastPrinted>
  <dcterms:created xsi:type="dcterms:W3CDTF">2018-11-15T17:29:02Z</dcterms:created>
  <dcterms:modified xsi:type="dcterms:W3CDTF">2025-06-21T17:02:28Z</dcterms:modified>
</cp:coreProperties>
</file>