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080114F-8E52-4118-B8A2-A60BCA8AFD0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9" i="2" l="1"/>
  <c r="H36" i="2"/>
  <c r="H35" i="2"/>
  <c r="H34" i="2" l="1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41" i="2" s="1"/>
  <c r="H40" i="2" l="1"/>
  <c r="H44" i="2" s="1"/>
</calcChain>
</file>

<file path=xl/sharedStrings.xml><?xml version="1.0" encoding="utf-8"?>
<sst xmlns="http://schemas.openxmlformats.org/spreadsheetml/2006/main" count="97" uniqueCount="80">
  <si>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</si>
  <si>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</si>
  <si>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</si>
  <si>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</si>
  <si>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</si>
  <si>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</si>
  <si>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</si>
  <si>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</si>
  <si>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</si>
  <si>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</si>
  <si>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</si>
  <si>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</si>
  <si>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</si>
  <si>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</si>
  <si>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</si>
  <si>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</si>
  <si>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</si>
  <si>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</si>
  <si>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</si>
  <si>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</si>
  <si>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</si>
  <si>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</si>
  <si>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</si>
  <si>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</si>
  <si>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</si>
  <si>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</si>
  <si>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</si>
  <si>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</si>
  <si>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</si>
  <si>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</si>
  <si>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</si>
  <si>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</si>
  <si>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</si>
  <si>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</si>
  <si>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</si>
  <si>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</si>
  <si>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</si>
  <si>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</si>
  <si>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</si>
  <si>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</si>
  <si>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</si>
  <si>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</si>
  <si>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FORMA DE PAGO : CREDITO A 30 DIAS</t>
  </si>
  <si>
    <t>L I Q U I D A C I O N</t>
  </si>
  <si>
    <t xml:space="preserve">  CALLE  33 A  No. 17 A - 56                           B/  LA FLORESTA             -   CALI    -                         CEL.     321 7834969</t>
  </si>
  <si>
    <t xml:space="preserve">O de C  No. </t>
  </si>
  <si>
    <t>CTO. DE COSTOS</t>
  </si>
  <si>
    <t>ACCESORIO</t>
  </si>
  <si>
    <t>ENTREGA INMEDIATA</t>
  </si>
  <si>
    <t>30 DIAS</t>
  </si>
  <si>
    <t xml:space="preserve">              R E M I S I O N</t>
  </si>
  <si>
    <t xml:space="preserve">        KAREN</t>
  </si>
  <si>
    <t>LA FLORA</t>
  </si>
  <si>
    <t>FABRICACION</t>
  </si>
  <si>
    <t>METRO LINEAL</t>
  </si>
  <si>
    <t>No.  63</t>
  </si>
  <si>
    <t xml:space="preserve">CLAVIJA + TOMA AEREO CLA32/024 32 AMP 440 V </t>
  </si>
  <si>
    <t>SEMICODO AC/INOX 304 SCH 10  1/2 "</t>
  </si>
  <si>
    <t>CODO AC/INOX 304 SCH 10 1/2 "  P/S</t>
  </si>
  <si>
    <t>NIPLE  AC/INOX 304 SCH 10  1/2 "  X  6 "</t>
  </si>
  <si>
    <t>NIPLE  AC/INOX 304 SCH 10  1/2 "  X  3 "</t>
  </si>
  <si>
    <t>SELLANTE TRABA ROSCAS LOCTITE</t>
  </si>
  <si>
    <t>FRASCO</t>
  </si>
  <si>
    <t>SOPORTE AC/INOX 304  TIPO COLOMBINA  3/4 "</t>
  </si>
  <si>
    <t>BRIDA GIRATORIA  PVC  6 "</t>
  </si>
  <si>
    <t>NIPLE  AC/INOX 304  SCH 10  1 1/2 "  X  6 "</t>
  </si>
  <si>
    <t>TORNILLO A / C GRADO 8   5/8 " X 3 " COMPLETO</t>
  </si>
  <si>
    <t>TORNILLO AC/INOX 304  5/8 "  X  4 " COMPLETO</t>
  </si>
  <si>
    <t>CODO AC/INOX 304 SCH 10 1 "  P/S</t>
  </si>
  <si>
    <t>UNION A / C  1/4 "  ROSCADA</t>
  </si>
  <si>
    <t>NIPLE  A / C  SCH 40  4 "  X  8 "</t>
  </si>
  <si>
    <t>NIPLE AC/INOX 304 SCH 10  1 "  X  6 "</t>
  </si>
  <si>
    <t>BRRIDA AC/INOX 304  SLIP ON 1 "  X  150 LBS</t>
  </si>
  <si>
    <t>SOPORTE AC/INOX 304  TIPO COLOMBINA  1 1/4 "</t>
  </si>
  <si>
    <t>EMPAQUE NEOPRENO PARA BRIDA  6 "</t>
  </si>
  <si>
    <t>ABRAZADERA EN U AC/INOX 304  4 "</t>
  </si>
  <si>
    <t>TUBERIA  PVC PRESION  1 1/2 "</t>
  </si>
  <si>
    <t>TEE AC/INOX 304  3/4  " NPT</t>
  </si>
  <si>
    <t>DOS MILLONES DIECIOCHO MIL SEISCIENTOS TRECE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</si>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</sst>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0" fillId="0" borderId="12" xfId="0" applyBorder="1" applyAlignment="1">
      <alignment horizontal="right"/>
    </xf>
    <xf numFmtId="0" fontId="11" fillId="0" borderId="0" xfId="0" applyFont="1"/>
    <xf numFmtId="42" fontId="11" fillId="0" borderId="28" xfId="1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8" fillId="0" borderId="11" xfId="0" applyFont="1" applyBorder="1"/>
    <xf numFmtId="0" fontId="8" fillId="0" borderId="6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59"/>
  <sheetViews>
    <sheetView tabSelected="1" topLeftCell="A20" zoomScaleNormal="100" workbookViewId="0">
      <selection activeCell="C41" sqref="C4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44" t="s">
        <v>35</v>
      </c>
      <c r="D7" s="6"/>
      <c r="E7" s="6"/>
      <c r="F7" s="37"/>
      <c r="G7" s="18"/>
      <c r="H7" s="62" t="s">
        <v>55</v>
      </c>
    </row>
    <row r="8" spans="1:8" ht="19.5" thickBot="1" x14ac:dyDescent="0.35">
      <c r="A8" s="21" t="s">
        <v>8</v>
      </c>
      <c r="C8" s="14" t="s">
        <v>36</v>
      </c>
      <c r="E8" s="15"/>
      <c r="H8" s="15"/>
    </row>
    <row r="9" spans="1:8" ht="18.75" customHeight="1" thickBot="1" x14ac:dyDescent="0.35">
      <c r="A9" s="21" t="s">
        <v>9</v>
      </c>
      <c r="C9" s="14" t="s">
        <v>37</v>
      </c>
      <c r="E9" s="59" t="s">
        <v>38</v>
      </c>
      <c r="F9" s="30" t="s">
        <v>0</v>
      </c>
      <c r="H9" s="28">
        <v>45849</v>
      </c>
    </row>
    <row r="10" spans="1:8" ht="18.75" x14ac:dyDescent="0.3">
      <c r="A10" s="21" t="s">
        <v>13</v>
      </c>
      <c r="C10" s="48" t="s">
        <v>39</v>
      </c>
      <c r="E10" s="15"/>
      <c r="F10" s="30" t="s">
        <v>15</v>
      </c>
      <c r="H10" s="29" t="s">
        <v>49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45879</v>
      </c>
    </row>
    <row r="12" spans="1:8" ht="18.75" x14ac:dyDescent="0.3">
      <c r="A12" s="21" t="s">
        <v>11</v>
      </c>
      <c r="C12" s="14" t="s">
        <v>40</v>
      </c>
      <c r="E12" s="15"/>
      <c r="F12" s="30" t="s">
        <v>45</v>
      </c>
      <c r="G12" s="70"/>
      <c r="H12" s="31" t="s">
        <v>51</v>
      </c>
    </row>
    <row r="13" spans="1:8" ht="18.75" customHeight="1" thickBot="1" x14ac:dyDescent="0.35">
      <c r="A13" s="22" t="s">
        <v>12</v>
      </c>
      <c r="B13" s="4"/>
      <c r="C13" s="16" t="s">
        <v>41</v>
      </c>
      <c r="D13" s="4"/>
      <c r="E13" s="17"/>
      <c r="F13" s="4" t="s">
        <v>46</v>
      </c>
      <c r="G13" s="4"/>
      <c r="H13" s="69" t="s">
        <v>52</v>
      </c>
    </row>
    <row r="14" spans="1:8" ht="15.75" thickBot="1" x14ac:dyDescent="0.3"/>
    <row r="15" spans="1:8" ht="15.75" thickBot="1" x14ac:dyDescent="0.3">
      <c r="A15" s="49" t="s">
        <v>32</v>
      </c>
      <c r="B15" s="24" t="s">
        <v>21</v>
      </c>
      <c r="C15" s="42"/>
      <c r="D15" s="13"/>
      <c r="E15" s="49" t="s">
        <v>17</v>
      </c>
      <c r="F15" s="32" t="s">
        <v>19</v>
      </c>
      <c r="G15" s="32" t="s">
        <v>18</v>
      </c>
      <c r="H15" s="32" t="s">
        <v>20</v>
      </c>
    </row>
    <row r="16" spans="1:8" ht="15.75" thickBot="1" x14ac:dyDescent="0.3">
      <c r="A16" s="65">
        <v>1</v>
      </c>
      <c r="B16" s="66" t="s">
        <v>56</v>
      </c>
      <c r="C16" s="67"/>
      <c r="D16" s="45"/>
      <c r="E16" s="68" t="s">
        <v>47</v>
      </c>
      <c r="F16" s="71">
        <v>103500</v>
      </c>
      <c r="G16" s="72">
        <v>4</v>
      </c>
      <c r="H16" s="38">
        <f>F16*G16</f>
        <v>414000</v>
      </c>
    </row>
    <row r="17" spans="1:8" ht="15.75" thickBot="1" x14ac:dyDescent="0.3">
      <c r="A17" s="65">
        <v>2</v>
      </c>
      <c r="B17" s="66" t="s">
        <v>57</v>
      </c>
      <c r="C17" s="67"/>
      <c r="D17" s="45"/>
      <c r="E17" s="68" t="s">
        <v>47</v>
      </c>
      <c r="F17" s="71">
        <v>5800</v>
      </c>
      <c r="G17" s="72">
        <v>2</v>
      </c>
      <c r="H17" s="38">
        <f t="shared" ref="H17:H32" si="0">F17*G17</f>
        <v>11600</v>
      </c>
    </row>
    <row r="18" spans="1:8" ht="15.75" thickBot="1" x14ac:dyDescent="0.3">
      <c r="A18" s="65">
        <v>3</v>
      </c>
      <c r="B18" s="66" t="s">
        <v>58</v>
      </c>
      <c r="C18" s="67"/>
      <c r="D18" s="45"/>
      <c r="E18" s="68" t="s">
        <v>47</v>
      </c>
      <c r="F18" s="71">
        <v>6750</v>
      </c>
      <c r="G18" s="72">
        <v>5</v>
      </c>
      <c r="H18" s="38">
        <f t="shared" si="0"/>
        <v>33750</v>
      </c>
    </row>
    <row r="19" spans="1:8" ht="15.75" thickBot="1" x14ac:dyDescent="0.3">
      <c r="A19" s="65">
        <v>4</v>
      </c>
      <c r="B19" s="66" t="s">
        <v>59</v>
      </c>
      <c r="C19" s="67"/>
      <c r="D19" s="45"/>
      <c r="E19" s="68" t="s">
        <v>53</v>
      </c>
      <c r="F19" s="71">
        <v>11750</v>
      </c>
      <c r="G19" s="72">
        <v>4</v>
      </c>
      <c r="H19" s="38">
        <f t="shared" si="0"/>
        <v>47000</v>
      </c>
    </row>
    <row r="20" spans="1:8" ht="15.75" thickBot="1" x14ac:dyDescent="0.3">
      <c r="A20" s="65">
        <v>5</v>
      </c>
      <c r="B20" s="66" t="s">
        <v>60</v>
      </c>
      <c r="C20" s="67"/>
      <c r="D20" s="45"/>
      <c r="E20" s="68" t="s">
        <v>53</v>
      </c>
      <c r="F20" s="71">
        <v>7050</v>
      </c>
      <c r="G20" s="72">
        <v>4</v>
      </c>
      <c r="H20" s="38">
        <f t="shared" si="0"/>
        <v>28200</v>
      </c>
    </row>
    <row r="21" spans="1:8" ht="15.75" thickBot="1" x14ac:dyDescent="0.3">
      <c r="A21" s="65">
        <v>6</v>
      </c>
      <c r="B21" s="66" t="s">
        <v>61</v>
      </c>
      <c r="C21" s="67"/>
      <c r="D21" s="45"/>
      <c r="E21" s="68" t="s">
        <v>62</v>
      </c>
      <c r="F21" s="71">
        <v>191550</v>
      </c>
      <c r="G21" s="72">
        <v>1</v>
      </c>
      <c r="H21" s="38">
        <f t="shared" si="0"/>
        <v>191550</v>
      </c>
    </row>
    <row r="22" spans="1:8" ht="15.75" thickBot="1" x14ac:dyDescent="0.3">
      <c r="A22" s="65">
        <v>7</v>
      </c>
      <c r="B22" s="66" t="s">
        <v>63</v>
      </c>
      <c r="C22" s="67"/>
      <c r="D22" s="45"/>
      <c r="E22" s="68" t="s">
        <v>47</v>
      </c>
      <c r="F22" s="71">
        <v>10150</v>
      </c>
      <c r="G22" s="72">
        <v>5</v>
      </c>
      <c r="H22" s="38">
        <f t="shared" si="0"/>
        <v>50750</v>
      </c>
    </row>
    <row r="23" spans="1:8" ht="15.75" thickBot="1" x14ac:dyDescent="0.3">
      <c r="A23" s="65">
        <v>8</v>
      </c>
      <c r="B23" s="66" t="s">
        <v>64</v>
      </c>
      <c r="C23" s="67"/>
      <c r="D23" s="45"/>
      <c r="E23" s="68" t="s">
        <v>47</v>
      </c>
      <c r="F23" s="71">
        <v>103400</v>
      </c>
      <c r="G23" s="72">
        <v>1</v>
      </c>
      <c r="H23" s="38">
        <f t="shared" si="0"/>
        <v>103400</v>
      </c>
    </row>
    <row r="24" spans="1:8" ht="15.75" thickBot="1" x14ac:dyDescent="0.3">
      <c r="A24" s="65">
        <v>9</v>
      </c>
      <c r="B24" s="66" t="s">
        <v>65</v>
      </c>
      <c r="C24" s="67"/>
      <c r="D24" s="45"/>
      <c r="E24" s="68" t="s">
        <v>53</v>
      </c>
      <c r="F24" s="71">
        <v>72750</v>
      </c>
      <c r="G24" s="72">
        <v>2</v>
      </c>
      <c r="H24" s="38">
        <f t="shared" si="0"/>
        <v>145500</v>
      </c>
    </row>
    <row r="25" spans="1:8" ht="15.75" thickBot="1" x14ac:dyDescent="0.3">
      <c r="A25" s="65">
        <v>10</v>
      </c>
      <c r="B25" s="66" t="s">
        <v>66</v>
      </c>
      <c r="C25" s="67"/>
      <c r="D25" s="45"/>
      <c r="E25" s="68" t="s">
        <v>47</v>
      </c>
      <c r="F25" s="71">
        <v>2500</v>
      </c>
      <c r="G25" s="72">
        <v>20</v>
      </c>
      <c r="H25" s="38">
        <f t="shared" si="0"/>
        <v>50000</v>
      </c>
    </row>
    <row r="26" spans="1:8" ht="15.75" thickBot="1" x14ac:dyDescent="0.3">
      <c r="A26" s="65">
        <v>11</v>
      </c>
      <c r="B26" s="66" t="s">
        <v>67</v>
      </c>
      <c r="C26" s="67"/>
      <c r="D26" s="45"/>
      <c r="E26" s="68" t="s">
        <v>47</v>
      </c>
      <c r="F26" s="71">
        <v>7900</v>
      </c>
      <c r="G26" s="72">
        <v>20</v>
      </c>
      <c r="H26" s="38">
        <f t="shared" si="0"/>
        <v>158000</v>
      </c>
    </row>
    <row r="27" spans="1:8" ht="15.75" thickBot="1" x14ac:dyDescent="0.3">
      <c r="A27" s="65">
        <v>12</v>
      </c>
      <c r="B27" s="66" t="s">
        <v>68</v>
      </c>
      <c r="C27" s="67"/>
      <c r="D27" s="45"/>
      <c r="E27" s="68" t="s">
        <v>47</v>
      </c>
      <c r="F27" s="71">
        <v>7695</v>
      </c>
      <c r="G27" s="72">
        <v>7</v>
      </c>
      <c r="H27" s="38">
        <f t="shared" si="0"/>
        <v>53865</v>
      </c>
    </row>
    <row r="28" spans="1:8" ht="15.75" thickBot="1" x14ac:dyDescent="0.3">
      <c r="A28" s="65">
        <v>13</v>
      </c>
      <c r="B28" s="66" t="s">
        <v>69</v>
      </c>
      <c r="C28" s="67"/>
      <c r="D28" s="45"/>
      <c r="E28" s="68" t="s">
        <v>47</v>
      </c>
      <c r="F28" s="71">
        <v>2150</v>
      </c>
      <c r="G28" s="72">
        <v>2</v>
      </c>
      <c r="H28" s="38">
        <f t="shared" si="0"/>
        <v>4300</v>
      </c>
    </row>
    <row r="29" spans="1:8" ht="15.75" thickBot="1" x14ac:dyDescent="0.3">
      <c r="A29" s="65">
        <v>14</v>
      </c>
      <c r="B29" s="66" t="s">
        <v>70</v>
      </c>
      <c r="C29" s="67"/>
      <c r="D29" s="45"/>
      <c r="E29" s="68" t="s">
        <v>53</v>
      </c>
      <c r="F29" s="71">
        <v>52400</v>
      </c>
      <c r="G29" s="72">
        <v>1</v>
      </c>
      <c r="H29" s="38">
        <f t="shared" si="0"/>
        <v>52400</v>
      </c>
    </row>
    <row r="30" spans="1:8" ht="15.75" thickBot="1" x14ac:dyDescent="0.3">
      <c r="A30" s="65">
        <v>15</v>
      </c>
      <c r="B30" s="66" t="s">
        <v>71</v>
      </c>
      <c r="C30" s="67"/>
      <c r="D30" s="45"/>
      <c r="E30" s="68" t="s">
        <v>53</v>
      </c>
      <c r="F30" s="71">
        <v>21400</v>
      </c>
      <c r="G30" s="72">
        <v>2</v>
      </c>
      <c r="H30" s="38">
        <f t="shared" si="0"/>
        <v>42800</v>
      </c>
    </row>
    <row r="31" spans="1:8" ht="15.75" thickBot="1" x14ac:dyDescent="0.3">
      <c r="A31" s="65">
        <v>16</v>
      </c>
      <c r="B31" s="66" t="s">
        <v>72</v>
      </c>
      <c r="C31" s="67"/>
      <c r="D31" s="45"/>
      <c r="E31" s="68" t="s">
        <v>47</v>
      </c>
      <c r="F31" s="71">
        <v>28500</v>
      </c>
      <c r="G31" s="72">
        <v>4</v>
      </c>
      <c r="H31" s="38">
        <f t="shared" si="0"/>
        <v>114000</v>
      </c>
    </row>
    <row r="32" spans="1:8" ht="15.75" thickBot="1" x14ac:dyDescent="0.3">
      <c r="A32" s="65">
        <v>17</v>
      </c>
      <c r="B32" s="66" t="s">
        <v>73</v>
      </c>
      <c r="C32" s="67"/>
      <c r="D32" s="45"/>
      <c r="E32" s="68" t="s">
        <v>47</v>
      </c>
      <c r="F32" s="71">
        <v>10300</v>
      </c>
      <c r="G32" s="72">
        <v>4</v>
      </c>
      <c r="H32" s="38">
        <f t="shared" si="0"/>
        <v>41200</v>
      </c>
    </row>
    <row r="33" spans="1:8" ht="15.75" thickBot="1" x14ac:dyDescent="0.3">
      <c r="A33" s="65">
        <v>18</v>
      </c>
      <c r="B33" s="66" t="s">
        <v>74</v>
      </c>
      <c r="C33" s="67"/>
      <c r="D33" s="45"/>
      <c r="E33" s="68" t="s">
        <v>47</v>
      </c>
      <c r="F33" s="71">
        <v>21200</v>
      </c>
      <c r="G33" s="72">
        <v>2</v>
      </c>
      <c r="H33" s="38">
        <f t="shared" ref="H33:H34" si="1">F33*G33</f>
        <v>42400</v>
      </c>
    </row>
    <row r="34" spans="1:8" ht="15.75" thickBot="1" x14ac:dyDescent="0.3">
      <c r="A34" s="65">
        <v>19</v>
      </c>
      <c r="B34" s="66" t="s">
        <v>75</v>
      </c>
      <c r="C34" s="67"/>
      <c r="D34" s="45"/>
      <c r="E34" s="68" t="s">
        <v>47</v>
      </c>
      <c r="F34" s="71">
        <v>30500</v>
      </c>
      <c r="G34" s="72">
        <v>4</v>
      </c>
      <c r="H34" s="38">
        <f t="shared" si="1"/>
        <v>122000</v>
      </c>
    </row>
    <row r="35" spans="1:8" ht="15.75" thickBot="1" x14ac:dyDescent="0.3">
      <c r="A35" s="65">
        <v>20</v>
      </c>
      <c r="B35" s="66" t="s">
        <v>76</v>
      </c>
      <c r="C35" s="67"/>
      <c r="D35" s="45"/>
      <c r="E35" s="68" t="s">
        <v>54</v>
      </c>
      <c r="F35" s="71">
        <v>18000</v>
      </c>
      <c r="G35" s="72">
        <v>1</v>
      </c>
      <c r="H35" s="38">
        <f t="shared" ref="H35:H36" si="2">F35*G35</f>
        <v>18000</v>
      </c>
    </row>
    <row r="36" spans="1:8" ht="15.75" thickBot="1" x14ac:dyDescent="0.3">
      <c r="A36" s="73">
        <v>21</v>
      </c>
      <c r="B36" s="63" t="s">
        <v>77</v>
      </c>
      <c r="C36" s="6"/>
      <c r="D36" s="7"/>
      <c r="E36" s="74" t="s">
        <v>47</v>
      </c>
      <c r="F36" s="71">
        <v>8000</v>
      </c>
      <c r="G36" s="72">
        <v>1</v>
      </c>
      <c r="H36" s="38">
        <f t="shared" si="2"/>
        <v>8000</v>
      </c>
    </row>
    <row r="37" spans="1:8" ht="15.75" thickBot="1" x14ac:dyDescent="0.3">
      <c r="B37" s="16"/>
      <c r="C37" s="4"/>
      <c r="D37" s="17"/>
      <c r="F37" s="64"/>
      <c r="G37" s="64"/>
    </row>
    <row r="38" spans="1:8" ht="19.5" customHeight="1" thickBot="1" x14ac:dyDescent="0.35">
      <c r="A38" s="61" t="s">
        <v>22</v>
      </c>
      <c r="B38" s="76" t="s">
        <v>78</v>
      </c>
      <c r="C38" s="12"/>
      <c r="D38" s="13"/>
      <c r="E38" s="63"/>
      <c r="F38" s="37" t="s">
        <v>43</v>
      </c>
      <c r="G38" s="6"/>
      <c r="H38" s="7"/>
    </row>
    <row r="39" spans="1:8" ht="19.5" customHeight="1" thickBot="1" x14ac:dyDescent="0.3">
      <c r="A39" s="39"/>
      <c r="B39" s="75" t="s">
        <v>79</v>
      </c>
      <c r="C39" s="4"/>
      <c r="D39" s="17"/>
      <c r="E39" s="52" t="s">
        <v>23</v>
      </c>
      <c r="F39" s="52"/>
      <c r="G39" s="45"/>
      <c r="H39" s="50">
        <f>SUM(H16:H36)</f>
        <v>1732715</v>
      </c>
    </row>
    <row r="40" spans="1:8" ht="19.5" customHeight="1" x14ac:dyDescent="0.25">
      <c r="A40" s="24" t="s">
        <v>24</v>
      </c>
      <c r="E40" s="53" t="s">
        <v>28</v>
      </c>
      <c r="F40" s="23"/>
      <c r="G40" s="54">
        <v>0.19</v>
      </c>
      <c r="H40" s="40">
        <f>H39*G40</f>
        <v>329215.84999999998</v>
      </c>
    </row>
    <row r="41" spans="1:8" ht="19.5" customHeight="1" x14ac:dyDescent="0.25">
      <c r="A41" s="14" t="s">
        <v>42</v>
      </c>
      <c r="E41" s="55" t="s">
        <v>25</v>
      </c>
      <c r="G41" s="58">
        <v>2.5000000000000001E-2</v>
      </c>
      <c r="H41" s="51">
        <f>H39*G41</f>
        <v>43317.875</v>
      </c>
    </row>
    <row r="42" spans="1:8" ht="15.75" x14ac:dyDescent="0.25">
      <c r="A42" s="14" t="s">
        <v>48</v>
      </c>
      <c r="E42" s="14"/>
      <c r="F42" s="33"/>
      <c r="G42" s="46"/>
      <c r="H42" s="15"/>
    </row>
    <row r="43" spans="1:8" ht="16.5" thickBot="1" x14ac:dyDescent="0.3">
      <c r="A43" s="14" t="s">
        <v>30</v>
      </c>
      <c r="E43" s="56" t="s">
        <v>26</v>
      </c>
      <c r="F43" s="57"/>
      <c r="G43" s="47"/>
      <c r="H43" s="17"/>
    </row>
    <row r="44" spans="1:8" ht="19.5" thickBot="1" x14ac:dyDescent="0.35">
      <c r="A44" s="60"/>
      <c r="B44" s="4"/>
      <c r="C44" s="4"/>
      <c r="D44" s="17"/>
      <c r="F44" s="3"/>
      <c r="G44" s="34" t="s">
        <v>27</v>
      </c>
      <c r="H44" s="36">
        <f>H39+H40-H41</f>
        <v>2018612.9750000001</v>
      </c>
    </row>
    <row r="45" spans="1:8" ht="16.5" customHeight="1" x14ac:dyDescent="0.25"/>
    <row r="50" spans="1:8" ht="15.75" thickBot="1" x14ac:dyDescent="0.3"/>
    <row r="51" spans="1:8" ht="19.5" thickBot="1" x14ac:dyDescent="0.35">
      <c r="A51" s="25" t="s">
        <v>44</v>
      </c>
      <c r="B51" s="6"/>
      <c r="C51" s="6"/>
      <c r="D51" s="6"/>
      <c r="E51" s="6"/>
      <c r="F51" s="6"/>
      <c r="G51" s="6"/>
      <c r="H51" s="7"/>
    </row>
    <row r="59" spans="1:8" ht="18.75" x14ac:dyDescent="0.3">
      <c r="A59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2025-07-11T17:21:53Z</cp:lastPrinted>
  <dcterms:created xsi:type="dcterms:W3CDTF">2018-11-15T17:29:02Z</dcterms:created>
  <dcterms:modified xsi:type="dcterms:W3CDTF">2025-07-11T18:45:16Z</dcterms:modified>
</cp:coreProperties>
</file>