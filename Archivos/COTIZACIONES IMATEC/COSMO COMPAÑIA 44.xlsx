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BE0A3AAB-9699-4D25-A805-828BB20279D3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0" i="2" l="1"/>
  <c r="H19" i="2"/>
  <c r="H17" i="2"/>
  <c r="H18" i="2"/>
  <c r="H16" i="2"/>
  <c r="H23" i="2" s="1"/>
  <c r="H24" i="2" l="1"/>
  <c r="H28" i="2" s="1"/>
</calcChain>
</file>

<file path=xl/sharedStrings.xml><?xml version="1.0" encoding="utf-8"?>
<sst xmlns="http://schemas.openxmlformats.org/spreadsheetml/2006/main" count="64" uniqueCount="61">
  <si>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</si>
  <si>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</si>
  <si>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</si>
  <si>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</si>
  <si>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</si>
  <si>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</si>
  <si>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</si>
  <si>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</si>
  <si>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</si>
  <si>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</si>
  <si>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</si>
  <si>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</si>
  <si>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</si>
  <si>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</si>
  <si>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</si>
  <si>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</si>
  <si>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</si>
  <si>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</si>
  <si>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</si>
  <si>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</si>
  <si>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</si>
  <si>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</si>
  <si>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</si>
  <si>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</si>
  <si>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</si>
  <si>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</si>
  <si>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</si>
  <si>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</si>
  <si>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</si>
  <si>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</si>
  <si>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</si>
  <si>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</si>
  <si>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</si>
  <si>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</si>
  <si>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</si>
  <si>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</si>
  <si>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</si>
  <si>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</si>
  <si>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</si>
  <si>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</si>
  <si>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</si>
  <si>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</si>
  <si>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</si>
  <si>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</si>
  <si>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</si>
  <si>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</si>
  <si>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</si>
  <si>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</si>
  <si>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>ACCESORIO</t>
  </si>
  <si>
    <t>No.  44</t>
  </si>
  <si>
    <t>CENTRO DE COSTO</t>
  </si>
  <si>
    <t>UNILEVER</t>
  </si>
  <si>
    <t>BRIDA AC/INOX 316  SLIP ON  3 "  X  150 LBS</t>
  </si>
  <si>
    <t>BRIDA AC/INOX 304  CIEGA  3 "  X  150 LBS</t>
  </si>
  <si>
    <t>TORNILLO AC/INOX 5/8 * X  3 * COMPLETO</t>
  </si>
  <si>
    <t>EMPAQUE FLEXITALICO  3 "  X  150 LBS</t>
  </si>
  <si>
    <t>TUBERIA  AC/INOX 316  SCH 40  3"</t>
  </si>
  <si>
    <t>METRO LINEAL</t>
  </si>
  <si>
    <t>UN MILLON QUINIENTOS OCHENTA Y TRES MIL SETECIEN</t>
  </si>
  <si>
    <t>TOS SETENTA Y UN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</si>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</sst>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3"/>
  <sheetViews>
    <sheetView tabSelected="1" topLeftCell="A4" zoomScaleNormal="100" workbookViewId="0">
      <selection activeCell="F7" sqref="F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60</v>
      </c>
      <c r="G6" s="42"/>
      <c r="H6" s="43"/>
    </row>
    <row r="7" spans="1:8" ht="19.5" thickBot="1" x14ac:dyDescent="0.35">
      <c r="A7" s="20" t="s">
        <v>14</v>
      </c>
      <c r="B7" s="12"/>
      <c r="C7" s="44" t="s">
        <v>37</v>
      </c>
      <c r="D7" s="6"/>
      <c r="E7" s="6"/>
      <c r="F7" s="37"/>
      <c r="G7" s="18"/>
      <c r="H7" s="63" t="s">
        <v>49</v>
      </c>
    </row>
    <row r="8" spans="1:8" ht="19.5" thickBot="1" x14ac:dyDescent="0.35">
      <c r="A8" s="21" t="s">
        <v>8</v>
      </c>
      <c r="C8" s="14" t="s">
        <v>38</v>
      </c>
      <c r="E8" s="15"/>
      <c r="H8" s="15"/>
    </row>
    <row r="9" spans="1:8" ht="18.75" customHeight="1" thickBot="1" x14ac:dyDescent="0.35">
      <c r="A9" s="21" t="s">
        <v>9</v>
      </c>
      <c r="C9" s="14" t="s">
        <v>39</v>
      </c>
      <c r="E9" s="59" t="s">
        <v>40</v>
      </c>
      <c r="F9" s="30" t="s">
        <v>0</v>
      </c>
      <c r="H9" s="28">
        <v>45731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 t="s">
        <v>30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45740</v>
      </c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>
        <v>2380</v>
      </c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 t="s">
        <v>50</v>
      </c>
      <c r="G13" s="4"/>
      <c r="H13" s="17" t="s">
        <v>51</v>
      </c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48</v>
      </c>
      <c r="F16" s="66">
        <v>476500</v>
      </c>
      <c r="G16" s="67">
        <v>1</v>
      </c>
      <c r="H16" s="38">
        <f>F16*G16</f>
        <v>476500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48</v>
      </c>
      <c r="F17" s="66">
        <v>266150</v>
      </c>
      <c r="G17" s="67">
        <v>1</v>
      </c>
      <c r="H17" s="38">
        <f t="shared" ref="H17:H20" si="0">F17*G17</f>
        <v>266150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48</v>
      </c>
      <c r="F18" s="66">
        <v>8850</v>
      </c>
      <c r="G18" s="67">
        <v>4</v>
      </c>
      <c r="H18" s="38">
        <f t="shared" si="0"/>
        <v>35400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48</v>
      </c>
      <c r="F19" s="66">
        <v>7850</v>
      </c>
      <c r="G19" s="67">
        <v>1</v>
      </c>
      <c r="H19" s="38">
        <f t="shared" si="0"/>
        <v>7850</v>
      </c>
    </row>
    <row r="20" spans="1:8" ht="15.75" thickBot="1" x14ac:dyDescent="0.3">
      <c r="A20" s="68">
        <v>5</v>
      </c>
      <c r="B20" s="69" t="s">
        <v>56</v>
      </c>
      <c r="C20" s="70"/>
      <c r="D20" s="45"/>
      <c r="E20" s="71" t="s">
        <v>57</v>
      </c>
      <c r="F20" s="66">
        <v>545000</v>
      </c>
      <c r="G20" s="67">
        <v>1</v>
      </c>
      <c r="H20" s="38">
        <f t="shared" si="0"/>
        <v>545000</v>
      </c>
    </row>
    <row r="21" spans="1:8" ht="15.75" thickBot="1" x14ac:dyDescent="0.3">
      <c r="B21" s="16"/>
      <c r="C21" s="4"/>
      <c r="D21" s="17"/>
      <c r="F21" s="65"/>
      <c r="G21" s="65"/>
    </row>
    <row r="22" spans="1:8" ht="19.5" customHeight="1" thickBot="1" x14ac:dyDescent="0.35">
      <c r="A22" s="62" t="s">
        <v>23</v>
      </c>
      <c r="B22" s="61" t="s">
        <v>58</v>
      </c>
      <c r="C22" s="12"/>
      <c r="D22" s="13"/>
      <c r="E22" s="64"/>
      <c r="F22" s="37" t="s">
        <v>46</v>
      </c>
      <c r="G22" s="6"/>
      <c r="H22" s="7"/>
    </row>
    <row r="23" spans="1:8" ht="19.5" customHeight="1" thickBot="1" x14ac:dyDescent="0.3">
      <c r="A23" s="39"/>
      <c r="B23" s="16" t="s">
        <v>59</v>
      </c>
      <c r="C23" s="4"/>
      <c r="D23" s="17"/>
      <c r="E23" s="52" t="s">
        <v>24</v>
      </c>
      <c r="F23" s="52"/>
      <c r="G23" s="45"/>
      <c r="H23" s="50">
        <f>SUM(H16:H20)</f>
        <v>1330900</v>
      </c>
    </row>
    <row r="24" spans="1:8" ht="19.5" customHeight="1" x14ac:dyDescent="0.25">
      <c r="A24" s="24" t="s">
        <v>25</v>
      </c>
      <c r="E24" s="53" t="s">
        <v>29</v>
      </c>
      <c r="F24" s="23"/>
      <c r="G24" s="54">
        <v>0.19</v>
      </c>
      <c r="H24" s="40">
        <f>H23*G24</f>
        <v>252871</v>
      </c>
    </row>
    <row r="25" spans="1:8" ht="19.5" customHeight="1" x14ac:dyDescent="0.25">
      <c r="A25" s="14" t="s">
        <v>45</v>
      </c>
      <c r="E25" s="55" t="s">
        <v>26</v>
      </c>
      <c r="G25" s="58">
        <v>2.5000000000000001E-2</v>
      </c>
      <c r="H25" s="51"/>
    </row>
    <row r="26" spans="1:8" ht="15.75" x14ac:dyDescent="0.25">
      <c r="A26" s="14" t="s">
        <v>44</v>
      </c>
      <c r="E26" s="14"/>
      <c r="F26" s="33"/>
      <c r="G26" s="46"/>
      <c r="H26" s="15"/>
    </row>
    <row r="27" spans="1:8" ht="16.5" thickBot="1" x14ac:dyDescent="0.3">
      <c r="A27" s="14" t="s">
        <v>32</v>
      </c>
      <c r="E27" s="56" t="s">
        <v>27</v>
      </c>
      <c r="F27" s="57"/>
      <c r="G27" s="47"/>
      <c r="H27" s="17"/>
    </row>
    <row r="28" spans="1:8" ht="19.5" thickBot="1" x14ac:dyDescent="0.35">
      <c r="A28" s="60"/>
      <c r="B28" s="4"/>
      <c r="C28" s="4"/>
      <c r="D28" s="17"/>
      <c r="F28" s="3"/>
      <c r="G28" s="34" t="s">
        <v>28</v>
      </c>
      <c r="H28" s="36">
        <f>H23+H24-H25</f>
        <v>1583771</v>
      </c>
    </row>
    <row r="29" spans="1:8" ht="16.5" customHeight="1" x14ac:dyDescent="0.25"/>
    <row r="34" spans="1:8" ht="15.75" thickBot="1" x14ac:dyDescent="0.3"/>
    <row r="35" spans="1:8" ht="19.5" thickBot="1" x14ac:dyDescent="0.35">
      <c r="A35" s="25" t="s">
        <v>47</v>
      </c>
      <c r="B35" s="6"/>
      <c r="C35" s="6"/>
      <c r="D35" s="6"/>
      <c r="E35" s="6"/>
      <c r="F35" s="6"/>
      <c r="G35" s="6"/>
      <c r="H35" s="7"/>
    </row>
    <row r="43" spans="1:8" ht="18.75" x14ac:dyDescent="0.3">
      <c r="A43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2025-03-15T17:37:59Z</dcterms:modified>
</cp:coreProperties>
</file>