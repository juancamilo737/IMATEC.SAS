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7FD779C-D3C2-4490-9E6D-687DC3E5362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1" l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36" i="1" s="1"/>
  <c r="H38" i="1" s="1"/>
  <c r="H37" i="1" l="1"/>
  <c r="H40" i="1" s="1"/>
</calcChain>
</file>

<file path=xl/sharedStrings.xml><?xml version="1.0" encoding="utf-8"?>
<sst xmlns="http://schemas.openxmlformats.org/spreadsheetml/2006/main" count="90" uniqueCount="74">
  <si>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</si>
  <si>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</si>
  <si>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</si>
  <si>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</si>
  <si>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</si>
  <si>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</si>
  <si>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</si>
  <si>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</si>
  <si>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</si>
  <si>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</si>
  <si>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</si>
  <si>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</si>
  <si>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</si>
  <si>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</si>
  <si>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</si>
  <si>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</si>
  <si>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</si>
  <si>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</si>
  <si>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</si>
  <si>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</si>
  <si>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</si>
  <si>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</si>
  <si>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</si>
  <si>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</si>
  <si>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</si>
  <si>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</si>
  <si>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</si>
  <si>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</si>
  <si>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</si>
  <si>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</si>
  <si>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</si>
  <si>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</si>
  <si>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</si>
  <si>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</si>
  <si>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</si>
  <si>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</si>
  <si>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</si>
  <si>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</si>
  <si>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</si>
  <si>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</si>
  <si>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</si>
  <si>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</si>
  <si>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</si>
  <si>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</si>
  <si>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</si>
  <si>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</si>
  <si>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</si>
  <si>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>ACCESORIO</t>
  </si>
  <si>
    <t>ENTREGA EN TRES DIAS A PARTIR DE ORDEN DE COMPRA</t>
  </si>
  <si>
    <t xml:space="preserve">         </t>
  </si>
  <si>
    <t>No. 23</t>
  </si>
  <si>
    <t>VALVULA ANGULAR BRONCE  1 1/2 "</t>
  </si>
  <si>
    <t>VALVULA ANGULAR BRONCE  2 1/2 "</t>
  </si>
  <si>
    <t>TEE HD MECANICA  NPT  2 "  X  1 "</t>
  </si>
  <si>
    <t>CODO HD RANURADO  2 1/2 "  X  90 º</t>
  </si>
  <si>
    <t>CODO  HD RANURADO 1 1/4 "  X 45 º</t>
  </si>
  <si>
    <t>CODO  HD RANURADO  1 1/2 "  X  90 º</t>
  </si>
  <si>
    <t>UNION HD RANURADA  1 1/4 "</t>
  </si>
  <si>
    <t>UNION  HD RANURADA 1 1/2 "</t>
  </si>
  <si>
    <t>TUBERIA A / C SCH 10  RANURADO  2 1/2 "</t>
  </si>
  <si>
    <t>TUBO X 6 MTS</t>
  </si>
  <si>
    <t>CHEQUE HD RANURADO  2 1/2 "</t>
  </si>
  <si>
    <t>TUBERIA  A / C SCH 10  1 1/4 "</t>
  </si>
  <si>
    <t>TAPON HD RANURADO  1 1/4  "</t>
  </si>
  <si>
    <t>VALVULA MARIPÒSA HD MONITOREADA  2 1/2 "</t>
  </si>
  <si>
    <t>SOPORTE PERA  2 1/2  "</t>
  </si>
  <si>
    <t>SOPORTE PERA  2   "</t>
  </si>
  <si>
    <t>SOPORTE PERA  1 1/4 "</t>
  </si>
  <si>
    <t>STRAP HD 1 1/4 " X  1/2 "</t>
  </si>
  <si>
    <t>MANOMETRO RDO CARATULA 2 1/2 " 0-300 PSI</t>
  </si>
  <si>
    <t>TREINTA Y DOS MILLONES NOVECIENTOS CUATRO MIL</t>
  </si>
  <si>
    <t>CUATROCIENTOS NOVENTA Y TRES PESOS MDA / CTE</t>
  </si>
  <si>
    <t xml:space="preserve">              R E M I S I O N</t>
  </si>
  <si>
    <t>P-27309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</si>
</sst>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5"/>
  <sheetViews>
    <sheetView tabSelected="1" zoomScaleNormal="100" workbookViewId="0">
      <selection activeCell="J11" sqref="J11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36</v>
      </c>
      <c r="B5" s="6"/>
      <c r="C5" s="6"/>
      <c r="D5" s="6"/>
      <c r="E5" s="6"/>
    </row>
    <row r="6" spans="1:8" ht="24.75" customHeight="1" thickBot="1" x14ac:dyDescent="0.45">
      <c r="F6" s="11" t="s">
        <v>72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50</v>
      </c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34</v>
      </c>
      <c r="F9" s="32" t="s">
        <v>0</v>
      </c>
      <c r="H9" s="33">
        <v>45750</v>
      </c>
    </row>
    <row r="10" spans="1:8" ht="18.75" x14ac:dyDescent="0.3">
      <c r="A10" s="22" t="s">
        <v>14</v>
      </c>
      <c r="C10" s="41" t="s">
        <v>41</v>
      </c>
      <c r="D10" s="26"/>
      <c r="E10" s="26"/>
      <c r="F10" s="32" t="s">
        <v>16</v>
      </c>
      <c r="H10" s="34"/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/>
    </row>
    <row r="12" spans="1:8" ht="18.75" x14ac:dyDescent="0.3">
      <c r="A12" s="22" t="s">
        <v>12</v>
      </c>
      <c r="C12" s="25" t="s">
        <v>42</v>
      </c>
      <c r="D12" s="26"/>
      <c r="E12" s="26"/>
      <c r="F12" s="32" t="s">
        <v>44</v>
      </c>
      <c r="H12" s="34" t="s">
        <v>73</v>
      </c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35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6.5" thickBot="1" x14ac:dyDescent="0.3">
      <c r="A16" s="58">
        <v>1</v>
      </c>
      <c r="B16" s="59" t="s">
        <v>51</v>
      </c>
      <c r="C16" s="60"/>
      <c r="D16" s="61"/>
      <c r="E16" s="62" t="s">
        <v>47</v>
      </c>
      <c r="F16" s="63">
        <v>275000</v>
      </c>
      <c r="G16" s="62">
        <v>7</v>
      </c>
      <c r="H16" s="64">
        <f t="shared" ref="H16" si="0">G16*F16</f>
        <v>1925000</v>
      </c>
    </row>
    <row r="17" spans="1:8" ht="16.5" thickBot="1" x14ac:dyDescent="0.3">
      <c r="A17" s="58">
        <v>2</v>
      </c>
      <c r="B17" s="59" t="s">
        <v>52</v>
      </c>
      <c r="C17" s="60"/>
      <c r="D17" s="61"/>
      <c r="E17" s="62" t="s">
        <v>47</v>
      </c>
      <c r="F17" s="63">
        <v>390000</v>
      </c>
      <c r="G17" s="62">
        <v>7</v>
      </c>
      <c r="H17" s="64">
        <f t="shared" ref="H17:H33" si="1">G17*F17</f>
        <v>2730000</v>
      </c>
    </row>
    <row r="18" spans="1:8" ht="16.5" thickBot="1" x14ac:dyDescent="0.3">
      <c r="A18" s="58">
        <v>3</v>
      </c>
      <c r="B18" s="59" t="s">
        <v>53</v>
      </c>
      <c r="C18" s="60"/>
      <c r="D18" s="61"/>
      <c r="E18" s="62" t="s">
        <v>47</v>
      </c>
      <c r="F18" s="63">
        <v>24000</v>
      </c>
      <c r="G18" s="62">
        <v>17</v>
      </c>
      <c r="H18" s="64">
        <f t="shared" si="1"/>
        <v>408000</v>
      </c>
    </row>
    <row r="19" spans="1:8" ht="16.5" thickBot="1" x14ac:dyDescent="0.3">
      <c r="A19" s="58">
        <v>4</v>
      </c>
      <c r="B19" s="59" t="s">
        <v>54</v>
      </c>
      <c r="C19" s="60"/>
      <c r="D19" s="61"/>
      <c r="E19" s="62" t="s">
        <v>47</v>
      </c>
      <c r="F19" s="63">
        <v>22000</v>
      </c>
      <c r="G19" s="62">
        <v>53</v>
      </c>
      <c r="H19" s="64">
        <f t="shared" si="1"/>
        <v>1166000</v>
      </c>
    </row>
    <row r="20" spans="1:8" ht="16.5" thickBot="1" x14ac:dyDescent="0.3">
      <c r="A20" s="58">
        <v>5</v>
      </c>
      <c r="B20" s="59" t="s">
        <v>55</v>
      </c>
      <c r="C20" s="60"/>
      <c r="D20" s="61"/>
      <c r="E20" s="62" t="s">
        <v>47</v>
      </c>
      <c r="F20" s="63">
        <v>8500</v>
      </c>
      <c r="G20" s="62">
        <v>30</v>
      </c>
      <c r="H20" s="64">
        <f t="shared" si="1"/>
        <v>255000</v>
      </c>
    </row>
    <row r="21" spans="1:8" ht="16.5" thickBot="1" x14ac:dyDescent="0.3">
      <c r="A21" s="58">
        <v>6</v>
      </c>
      <c r="B21" s="59" t="s">
        <v>56</v>
      </c>
      <c r="C21" s="60"/>
      <c r="D21" s="61"/>
      <c r="E21" s="62" t="s">
        <v>47</v>
      </c>
      <c r="F21" s="63">
        <v>8000</v>
      </c>
      <c r="G21" s="62">
        <v>10</v>
      </c>
      <c r="H21" s="64">
        <f t="shared" si="1"/>
        <v>80000</v>
      </c>
    </row>
    <row r="22" spans="1:8" ht="16.5" thickBot="1" x14ac:dyDescent="0.3">
      <c r="A22" s="58">
        <v>7</v>
      </c>
      <c r="B22" s="59" t="s">
        <v>57</v>
      </c>
      <c r="C22" s="60"/>
      <c r="D22" s="61"/>
      <c r="E22" s="62" t="s">
        <v>47</v>
      </c>
      <c r="F22" s="63">
        <v>10500</v>
      </c>
      <c r="G22" s="62">
        <v>180</v>
      </c>
      <c r="H22" s="64">
        <f t="shared" si="1"/>
        <v>1890000</v>
      </c>
    </row>
    <row r="23" spans="1:8" ht="16.5" thickBot="1" x14ac:dyDescent="0.3">
      <c r="A23" s="58">
        <v>8</v>
      </c>
      <c r="B23" s="59" t="s">
        <v>58</v>
      </c>
      <c r="C23" s="60"/>
      <c r="D23" s="61"/>
      <c r="E23" s="62" t="s">
        <v>47</v>
      </c>
      <c r="F23" s="63">
        <v>11500</v>
      </c>
      <c r="G23" s="62">
        <v>4</v>
      </c>
      <c r="H23" s="64">
        <f t="shared" si="1"/>
        <v>46000</v>
      </c>
    </row>
    <row r="24" spans="1:8" ht="16.5" thickBot="1" x14ac:dyDescent="0.3">
      <c r="A24" s="58">
        <v>9</v>
      </c>
      <c r="B24" s="59" t="s">
        <v>59</v>
      </c>
      <c r="C24" s="60"/>
      <c r="D24" s="61"/>
      <c r="E24" s="62" t="s">
        <v>60</v>
      </c>
      <c r="F24" s="63">
        <v>270000</v>
      </c>
      <c r="G24" s="62">
        <v>36</v>
      </c>
      <c r="H24" s="64">
        <f t="shared" si="1"/>
        <v>9720000</v>
      </c>
    </row>
    <row r="25" spans="1:8" ht="16.5" thickBot="1" x14ac:dyDescent="0.3">
      <c r="A25" s="58">
        <v>10</v>
      </c>
      <c r="B25" s="59" t="s">
        <v>61</v>
      </c>
      <c r="C25" s="60"/>
      <c r="D25" s="61"/>
      <c r="E25" s="62" t="s">
        <v>47</v>
      </c>
      <c r="F25" s="63">
        <v>250000</v>
      </c>
      <c r="G25" s="62">
        <v>4</v>
      </c>
      <c r="H25" s="64">
        <f t="shared" si="1"/>
        <v>1000000</v>
      </c>
    </row>
    <row r="26" spans="1:8" ht="16.5" thickBot="1" x14ac:dyDescent="0.3">
      <c r="A26" s="58">
        <v>11</v>
      </c>
      <c r="B26" s="59" t="s">
        <v>62</v>
      </c>
      <c r="C26" s="60"/>
      <c r="D26" s="61"/>
      <c r="E26" s="62" t="s">
        <v>60</v>
      </c>
      <c r="F26" s="63">
        <v>144000</v>
      </c>
      <c r="G26" s="62">
        <v>36</v>
      </c>
      <c r="H26" s="64">
        <f t="shared" si="1"/>
        <v>5184000</v>
      </c>
    </row>
    <row r="27" spans="1:8" ht="16.5" thickBot="1" x14ac:dyDescent="0.3">
      <c r="A27" s="58">
        <v>12</v>
      </c>
      <c r="B27" s="59" t="s">
        <v>63</v>
      </c>
      <c r="C27" s="60"/>
      <c r="D27" s="61"/>
      <c r="E27" s="62" t="s">
        <v>47</v>
      </c>
      <c r="F27" s="63">
        <v>1700</v>
      </c>
      <c r="G27" s="62">
        <v>26</v>
      </c>
      <c r="H27" s="64">
        <f t="shared" si="1"/>
        <v>44200</v>
      </c>
    </row>
    <row r="28" spans="1:8" ht="16.5" thickBot="1" x14ac:dyDescent="0.3">
      <c r="A28" s="58">
        <v>13</v>
      </c>
      <c r="B28" s="59" t="s">
        <v>64</v>
      </c>
      <c r="C28" s="60"/>
      <c r="D28" s="61"/>
      <c r="E28" s="62" t="s">
        <v>47</v>
      </c>
      <c r="F28" s="63">
        <v>420000</v>
      </c>
      <c r="G28" s="62">
        <v>5</v>
      </c>
      <c r="H28" s="64">
        <f t="shared" si="1"/>
        <v>2100000</v>
      </c>
    </row>
    <row r="29" spans="1:8" ht="16.5" thickBot="1" x14ac:dyDescent="0.3">
      <c r="A29" s="58">
        <v>14</v>
      </c>
      <c r="B29" s="59" t="s">
        <v>65</v>
      </c>
      <c r="C29" s="60"/>
      <c r="D29" s="61"/>
      <c r="E29" s="62" t="s">
        <v>47</v>
      </c>
      <c r="F29" s="63">
        <v>2800</v>
      </c>
      <c r="G29" s="62">
        <v>230</v>
      </c>
      <c r="H29" s="64">
        <f t="shared" si="1"/>
        <v>644000</v>
      </c>
    </row>
    <row r="30" spans="1:8" ht="16.5" thickBot="1" x14ac:dyDescent="0.3">
      <c r="A30" s="58">
        <v>15</v>
      </c>
      <c r="B30" s="59" t="s">
        <v>66</v>
      </c>
      <c r="C30" s="60"/>
      <c r="D30" s="61"/>
      <c r="E30" s="62" t="s">
        <v>47</v>
      </c>
      <c r="F30" s="63">
        <v>2000</v>
      </c>
      <c r="G30" s="62">
        <v>30</v>
      </c>
      <c r="H30" s="64">
        <f t="shared" si="1"/>
        <v>60000</v>
      </c>
    </row>
    <row r="31" spans="1:8" ht="16.5" thickBot="1" x14ac:dyDescent="0.3">
      <c r="A31" s="58">
        <v>16</v>
      </c>
      <c r="B31" s="59" t="s">
        <v>67</v>
      </c>
      <c r="C31" s="60"/>
      <c r="D31" s="61"/>
      <c r="E31" s="62" t="s">
        <v>47</v>
      </c>
      <c r="F31" s="63">
        <v>1450</v>
      </c>
      <c r="G31" s="62">
        <v>160</v>
      </c>
      <c r="H31" s="64">
        <f t="shared" si="1"/>
        <v>232000</v>
      </c>
    </row>
    <row r="32" spans="1:8" ht="16.5" thickBot="1" x14ac:dyDescent="0.3">
      <c r="A32" s="58">
        <v>17</v>
      </c>
      <c r="B32" s="59" t="s">
        <v>68</v>
      </c>
      <c r="C32" s="60"/>
      <c r="D32" s="61"/>
      <c r="E32" s="62" t="s">
        <v>47</v>
      </c>
      <c r="F32" s="63">
        <v>10000</v>
      </c>
      <c r="G32" s="62">
        <v>40</v>
      </c>
      <c r="H32" s="64">
        <f t="shared" si="1"/>
        <v>400000</v>
      </c>
    </row>
    <row r="33" spans="1:8" ht="15.75" x14ac:dyDescent="0.25">
      <c r="A33" s="58">
        <v>18</v>
      </c>
      <c r="B33" s="59" t="s">
        <v>69</v>
      </c>
      <c r="C33" s="60"/>
      <c r="D33" s="61"/>
      <c r="E33" s="62" t="s">
        <v>47</v>
      </c>
      <c r="F33" s="63">
        <v>45000</v>
      </c>
      <c r="G33" s="62">
        <v>8</v>
      </c>
      <c r="H33" s="64">
        <f t="shared" si="1"/>
        <v>360000</v>
      </c>
    </row>
    <row r="34" spans="1:8" ht="19.5" customHeight="1" thickBot="1" x14ac:dyDescent="0.3">
      <c r="H34" s="36"/>
    </row>
    <row r="35" spans="1:8" ht="19.5" customHeight="1" thickBot="1" x14ac:dyDescent="0.35">
      <c r="A35" s="65" t="s">
        <v>24</v>
      </c>
      <c r="B35" s="12" t="s">
        <v>70</v>
      </c>
      <c r="C35" s="13"/>
      <c r="D35" s="13"/>
      <c r="E35" s="47"/>
      <c r="F35" s="44" t="s">
        <v>45</v>
      </c>
      <c r="G35" s="6"/>
      <c r="H35" s="7"/>
    </row>
    <row r="36" spans="1:8" ht="19.5" customHeight="1" thickBot="1" x14ac:dyDescent="0.3">
      <c r="A36" s="66"/>
      <c r="B36" s="17" t="s">
        <v>71</v>
      </c>
      <c r="C36" s="4"/>
      <c r="D36" s="4"/>
      <c r="E36" s="54" t="s">
        <v>25</v>
      </c>
      <c r="F36" s="55"/>
      <c r="G36" s="7"/>
      <c r="H36" s="46">
        <f>SUM(H16:H33)</f>
        <v>28244200</v>
      </c>
    </row>
    <row r="37" spans="1:8" ht="19.5" customHeight="1" thickBot="1" x14ac:dyDescent="0.3">
      <c r="A37" s="27" t="s">
        <v>26</v>
      </c>
      <c r="B37" s="13"/>
      <c r="C37" s="13"/>
      <c r="D37" s="14"/>
      <c r="E37" s="52" t="s">
        <v>31</v>
      </c>
      <c r="F37" s="37"/>
      <c r="G37" s="53">
        <v>0.19</v>
      </c>
      <c r="H37" s="42">
        <f>H36*G37</f>
        <v>5366398</v>
      </c>
    </row>
    <row r="38" spans="1:8" ht="16.5" thickBot="1" x14ac:dyDescent="0.3">
      <c r="A38" s="15" t="s">
        <v>43</v>
      </c>
      <c r="D38" s="16"/>
      <c r="E38" s="49" t="s">
        <v>27</v>
      </c>
      <c r="G38" s="56">
        <v>2.5000000000000001E-2</v>
      </c>
      <c r="H38" s="48">
        <f>H36*G38</f>
        <v>706105</v>
      </c>
    </row>
    <row r="39" spans="1:8" ht="16.5" thickBot="1" x14ac:dyDescent="0.3">
      <c r="A39" s="15" t="s">
        <v>48</v>
      </c>
      <c r="D39" s="16"/>
      <c r="E39" s="50" t="s">
        <v>28</v>
      </c>
      <c r="F39" s="51"/>
      <c r="G39" s="18"/>
      <c r="H39" s="39"/>
    </row>
    <row r="40" spans="1:8" ht="19.5" thickBot="1" x14ac:dyDescent="0.35">
      <c r="A40" s="15" t="s">
        <v>33</v>
      </c>
      <c r="D40" s="16"/>
      <c r="G40" s="38" t="s">
        <v>29</v>
      </c>
      <c r="H40" s="43">
        <f>H36+H37-H38</f>
        <v>32904493</v>
      </c>
    </row>
    <row r="41" spans="1:8" ht="16.5" customHeight="1" thickBot="1" x14ac:dyDescent="0.3">
      <c r="A41" s="17"/>
      <c r="B41" s="4"/>
      <c r="C41" s="4"/>
      <c r="D41" s="18"/>
      <c r="F41" s="3"/>
    </row>
    <row r="43" spans="1:8" x14ac:dyDescent="0.25">
      <c r="A43" t="s">
        <v>1</v>
      </c>
      <c r="C43" t="s">
        <v>49</v>
      </c>
    </row>
    <row r="45" spans="1:8" ht="15.75" thickBot="1" x14ac:dyDescent="0.3"/>
    <row r="46" spans="1:8" ht="19.5" thickBot="1" x14ac:dyDescent="0.35">
      <c r="A46" s="28" t="s">
        <v>46</v>
      </c>
      <c r="B46" s="6"/>
      <c r="C46" s="6"/>
      <c r="D46" s="6"/>
      <c r="E46" s="6"/>
      <c r="F46" s="6"/>
      <c r="G46" s="6"/>
      <c r="H46" s="7"/>
    </row>
    <row r="55" spans="1:1" ht="18.75" x14ac:dyDescent="0.3">
      <c r="A55" s="5"/>
    </row>
  </sheetData>
  <mergeCells count="1">
    <mergeCell ref="A35:A36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2025-03-31T19:58:33Z</cp:lastPrinted>
  <dcterms:created xsi:type="dcterms:W3CDTF">2018-11-15T17:29:02Z</dcterms:created>
  <dcterms:modified xsi:type="dcterms:W3CDTF">2025-03-31T22:35:10Z</dcterms:modified>
</cp:coreProperties>
</file>