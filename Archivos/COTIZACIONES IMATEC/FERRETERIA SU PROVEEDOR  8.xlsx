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8EEF5BE-95E9-4ABA-AF80-45E722F4D20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<sst xmlns="http://schemas.openxmlformats.org/spreadsheetml/2006/main" count="53" uniqueCount="53">
  <si>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</si>
  <si>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</si>
  <si>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</si>
  <si>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</si>
  <si>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</si>
  <si>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</si>
  <si>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</si>
  <si>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</si>
  <si>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</si>
  <si>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</si>
  <si>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</si>
  <si>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</si>
  <si>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</si>
  <si>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</si>
  <si>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</si>
  <si>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</si>
  <si>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</si>
  <si>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</si>
  <si>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</si>
  <si>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</si>
  <si>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</si>
  <si>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</si>
  <si>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</si>
  <si>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</si>
  <si>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</si>
  <si>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</si>
  <si>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</si>
  <si>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</si>
  <si>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</si>
  <si>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</si>
  <si>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</si>
  <si>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</si>
  <si>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</si>
  <si>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</si>
  <si>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</si>
  <si>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</si>
  <si>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</si>
  <si>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</si>
  <si>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</si>
  <si>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</si>
  <si>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</si>
  <si>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</si>
  <si>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</si>
  <si>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</si>
  <si>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</si>
  <si>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</si>
  <si>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FORMA DE PAGO : CREDITO A 30 DIAS</t>
  </si>
  <si>
    <t>ACCESORIO</t>
  </si>
  <si>
    <t>No. 8</t>
  </si>
  <si>
    <t>CHEQUE CORTINA AC/INOX 304  2 " X  150 LBS</t>
  </si>
  <si>
    <t>ENTREGA EN TRES DIAS A PARTIR DE ORDEN DE COMPRA</t>
  </si>
  <si>
    <t>CUATROCIENTOS NOVENTA Y SIETE MIL CUATROCIENTOS</t>
  </si>
  <si>
    <t>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</si>
</sst>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13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D24" sqref="D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1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2" t="s">
        <v>40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41</v>
      </c>
      <c r="D9" s="23"/>
      <c r="E9" s="65" t="s">
        <v>42</v>
      </c>
      <c r="F9" s="30" t="s">
        <v>0</v>
      </c>
      <c r="H9" s="28">
        <v>45615</v>
      </c>
    </row>
    <row r="10" spans="1:8" ht="18.75" x14ac:dyDescent="0.3">
      <c r="A10" s="21" t="s">
        <v>13</v>
      </c>
      <c r="C10" s="66" t="s">
        <v>43</v>
      </c>
      <c r="D10" s="67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8"/>
      <c r="D11" s="67"/>
      <c r="E11" s="45"/>
      <c r="F11" s="30" t="s">
        <v>16</v>
      </c>
      <c r="G11" s="30"/>
      <c r="H11" s="28">
        <v>45624</v>
      </c>
    </row>
    <row r="12" spans="1:8" ht="18.75" x14ac:dyDescent="0.3">
      <c r="A12" s="21" t="s">
        <v>11</v>
      </c>
      <c r="C12" s="68" t="s">
        <v>44</v>
      </c>
      <c r="D12" s="67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45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49</v>
      </c>
      <c r="C16" s="73"/>
      <c r="D16" s="74"/>
      <c r="E16" s="71" t="s">
        <v>47</v>
      </c>
      <c r="F16" s="75">
        <v>209000</v>
      </c>
      <c r="G16" s="71">
        <v>2</v>
      </c>
      <c r="H16" s="38">
        <f t="shared" ref="H16" si="0">G16*F16</f>
        <v>418000</v>
      </c>
    </row>
    <row r="17" spans="1:8" ht="19.5" customHeight="1" thickBot="1" x14ac:dyDescent="0.3">
      <c r="A17" s="49"/>
      <c r="B17" s="72"/>
      <c r="C17" s="73"/>
      <c r="D17" s="74"/>
    </row>
    <row r="18" spans="1:8" ht="19.5" customHeight="1" thickBot="1" x14ac:dyDescent="0.35">
      <c r="A18" s="48" t="s">
        <v>23</v>
      </c>
      <c r="B18" s="76" t="s">
        <v>51</v>
      </c>
      <c r="C18" s="12"/>
      <c r="D18" s="13"/>
      <c r="E18" s="50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3" t="s">
        <v>24</v>
      </c>
      <c r="F19" s="54"/>
      <c r="G19" s="44"/>
      <c r="H19" s="51">
        <f>SUM(H16:H18)</f>
        <v>418000</v>
      </c>
    </row>
    <row r="20" spans="1:8" ht="19.5" customHeight="1" x14ac:dyDescent="0.25">
      <c r="A20" s="24" t="s">
        <v>25</v>
      </c>
      <c r="E20" s="55" t="s">
        <v>30</v>
      </c>
      <c r="F20" s="23"/>
      <c r="G20" s="56">
        <v>0.19</v>
      </c>
      <c r="H20" s="40">
        <f>H19*G20</f>
        <v>79420</v>
      </c>
    </row>
    <row r="21" spans="1:8" ht="15.75" x14ac:dyDescent="0.25">
      <c r="A21" s="14" t="s">
        <v>46</v>
      </c>
      <c r="E21" s="57" t="s">
        <v>26</v>
      </c>
      <c r="G21" s="60">
        <v>2.5000000000000001E-2</v>
      </c>
      <c r="H21" s="52"/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6"/>
      <c r="B23" s="4"/>
      <c r="C23" s="4"/>
      <c r="D23" s="17"/>
      <c r="E23" s="58" t="s">
        <v>27</v>
      </c>
      <c r="F23" s="59"/>
      <c r="G23" s="46"/>
      <c r="H23" s="17"/>
    </row>
    <row r="24" spans="1:8" ht="16.5" customHeight="1" thickBot="1" x14ac:dyDescent="0.35">
      <c r="F24" s="3"/>
      <c r="G24" s="34" t="s">
        <v>28</v>
      </c>
      <c r="H24" s="36">
        <f>H19+H20-H21</f>
        <v>497420</v>
      </c>
    </row>
    <row r="29" spans="1:8" ht="15.75" thickBot="1" x14ac:dyDescent="0.3"/>
    <row r="30" spans="1:8" ht="19.5" thickBot="1" x14ac:dyDescent="0.35">
      <c r="A30" s="25" t="s">
        <v>33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hyperlinks>
    <hyperlink ref="C10" r:id="rId1" xr:uid="{DE5E67A7-6BDC-41BB-BEBF-6CBBD2FA16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2024-11-19T21:45:12Z</dcterms:modified>
</cp:coreProperties>
</file>