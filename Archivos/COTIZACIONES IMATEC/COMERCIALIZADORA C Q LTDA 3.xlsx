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3600~4000\"/>
    </mc:Choice>
  </mc:AlternateContent>
  <xr:revisionPtr revIDLastSave="0" documentId="13_ncr:1_{F4AD8025-A99D-43D5-A244-16E647FBDD2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 Q LTD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<sst xmlns="http://schemas.openxmlformats.org/spreadsheetml/2006/main" count="56" uniqueCount="55">
  <si>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</si>
  <si>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</si>
  <si>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</si>
  <si>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</si>
  <si>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</si>
  <si>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</si>
  <si>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</si>
  <si>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</si>
  <si>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</si>
  <si>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</si>
  <si>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</si>
  <si>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</si>
  <si>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</si>
  <si>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</si>
  <si>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</si>
  <si>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</si>
  <si>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</si>
  <si>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</si>
  <si>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</si>
  <si>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</si>
  <si>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</si>
  <si>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</si>
  <si>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</si>
  <si>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</si>
  <si>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</si>
  <si>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</si>
  <si>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</si>
  <si>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</si>
  <si>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</si>
  <si>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</si>
  <si>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</si>
  <si>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</si>
  <si>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</si>
  <si>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</si>
  <si>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</si>
  <si>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</si>
  <si>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</si>
  <si>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</si>
  <si>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</si>
  <si>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</si>
  <si>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</si>
  <si>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</si>
  <si>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COMERCIALIZADORA C Q LTDA</t>
  </si>
  <si>
    <t>900 109577</t>
  </si>
  <si>
    <t>CALLE 7  No. 36A Bis -38</t>
  </si>
  <si>
    <t>CALI</t>
  </si>
  <si>
    <t>contabilidad@comercializadoracq.com</t>
  </si>
  <si>
    <t>602 5145875</t>
  </si>
  <si>
    <t>LUIS A. BENAVIDES</t>
  </si>
  <si>
    <t>ACCESORIO</t>
  </si>
  <si>
    <t>No. 2</t>
  </si>
  <si>
    <t>VALVULA DE BOLA AC/INOX 304  1/2 "</t>
  </si>
  <si>
    <t>VALVULA DE BOLA AC/INOX 304  3/4  "</t>
  </si>
  <si>
    <t>CUATROCIENTOS NOVENTA Y NUEVE MIL OCHOCIENTOS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</si>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</sst>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8" fillId="0" borderId="0" xfId="0" applyFont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8" fillId="0" borderId="36" xfId="0" applyFont="1" applyBorder="1"/>
    <xf numFmtId="0" fontId="8" fillId="0" borderId="37" xfId="0" applyFont="1" applyBorder="1"/>
    <xf numFmtId="0" fontId="0" fillId="0" borderId="38" xfId="0" applyBorder="1"/>
    <xf numFmtId="42" fontId="11" fillId="0" borderId="30" xfId="1" applyFont="1" applyBorder="1" applyAlignment="1">
      <alignment horizontal="center"/>
    </xf>
    <xf numFmtId="42" fontId="11" fillId="0" borderId="31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comercializadorac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E26" sqref="E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41</v>
      </c>
      <c r="G6" s="43"/>
      <c r="H6" s="44"/>
    </row>
    <row r="7" spans="1:8" ht="19.5" thickBot="1" x14ac:dyDescent="0.35">
      <c r="A7" s="20" t="s">
        <v>14</v>
      </c>
      <c r="B7" s="12"/>
      <c r="C7" s="46" t="s">
        <v>42</v>
      </c>
      <c r="D7" s="6"/>
      <c r="E7" s="6"/>
      <c r="F7" s="37"/>
      <c r="G7" s="18"/>
      <c r="H7" s="19" t="s">
        <v>50</v>
      </c>
    </row>
    <row r="8" spans="1:8" ht="19.5" thickBot="1" x14ac:dyDescent="0.35">
      <c r="A8" s="21" t="s">
        <v>8</v>
      </c>
      <c r="C8" s="14" t="s">
        <v>43</v>
      </c>
      <c r="E8" s="15"/>
      <c r="H8" s="15"/>
    </row>
    <row r="9" spans="1:8" ht="18.75" customHeight="1" thickBot="1" x14ac:dyDescent="0.35">
      <c r="A9" s="21" t="s">
        <v>9</v>
      </c>
      <c r="C9" s="14" t="s">
        <v>44</v>
      </c>
      <c r="E9" s="77" t="s">
        <v>45</v>
      </c>
      <c r="F9" s="30" t="s">
        <v>0</v>
      </c>
      <c r="H9" s="28">
        <v>45582</v>
      </c>
    </row>
    <row r="10" spans="1:8" ht="18.75" x14ac:dyDescent="0.3">
      <c r="A10" s="21" t="s">
        <v>13</v>
      </c>
      <c r="C10" s="50" t="s">
        <v>46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45591</v>
      </c>
    </row>
    <row r="12" spans="1:8" ht="18.75" x14ac:dyDescent="0.3">
      <c r="A12" s="21" t="s">
        <v>11</v>
      </c>
      <c r="C12" s="14" t="s">
        <v>47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2" t="s">
        <v>37</v>
      </c>
      <c r="B15" s="24" t="s">
        <v>22</v>
      </c>
      <c r="C15" s="43"/>
      <c r="D15" s="13"/>
      <c r="E15" s="52" t="s">
        <v>18</v>
      </c>
      <c r="F15" s="52" t="s">
        <v>20</v>
      </c>
      <c r="G15" s="52" t="s">
        <v>19</v>
      </c>
      <c r="H15" s="32" t="s">
        <v>21</v>
      </c>
    </row>
    <row r="16" spans="1:8" ht="16.5" thickBot="1" x14ac:dyDescent="0.3">
      <c r="A16" s="54">
        <v>1</v>
      </c>
      <c r="B16" s="57" t="s">
        <v>51</v>
      </c>
      <c r="C16" s="58"/>
      <c r="D16" s="59"/>
      <c r="E16" s="54" t="s">
        <v>49</v>
      </c>
      <c r="F16" s="63">
        <v>18000</v>
      </c>
      <c r="G16" s="54">
        <v>10</v>
      </c>
      <c r="H16" s="38">
        <f t="shared" ref="H16" si="0">G16*F16</f>
        <v>180000</v>
      </c>
    </row>
    <row r="17" spans="1:8" ht="16.5" thickBot="1" x14ac:dyDescent="0.3">
      <c r="A17" s="55">
        <v>2</v>
      </c>
      <c r="B17" s="60" t="s">
        <v>52</v>
      </c>
      <c r="C17" s="51"/>
      <c r="D17" s="61"/>
      <c r="E17" s="55" t="s">
        <v>49</v>
      </c>
      <c r="F17" s="64">
        <v>24000</v>
      </c>
      <c r="G17" s="55">
        <v>10</v>
      </c>
      <c r="H17" s="38">
        <f t="shared" ref="H17" si="1">G17*F17</f>
        <v>240000</v>
      </c>
    </row>
    <row r="18" spans="1:8" ht="19.5" customHeight="1" thickBot="1" x14ac:dyDescent="0.3">
      <c r="A18" s="56"/>
      <c r="B18" s="45"/>
      <c r="C18" s="42"/>
      <c r="D18" s="62"/>
      <c r="E18" s="65"/>
      <c r="F18" s="65"/>
      <c r="G18" s="65"/>
    </row>
    <row r="19" spans="1:8" ht="19.5" customHeight="1" thickBot="1" x14ac:dyDescent="0.35">
      <c r="A19" s="53" t="s">
        <v>23</v>
      </c>
      <c r="B19" s="14" t="s">
        <v>53</v>
      </c>
      <c r="D19" s="15"/>
      <c r="E19" s="66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54</v>
      </c>
      <c r="C20" s="4"/>
      <c r="D20" s="4"/>
      <c r="E20" s="69" t="s">
        <v>24</v>
      </c>
      <c r="F20" s="70"/>
      <c r="G20" s="47"/>
      <c r="H20" s="67">
        <f>SUM(H16:H17)</f>
        <v>420000</v>
      </c>
    </row>
    <row r="21" spans="1:8" ht="19.5" customHeight="1" x14ac:dyDescent="0.25">
      <c r="A21" s="24" t="s">
        <v>25</v>
      </c>
      <c r="B21" s="12"/>
      <c r="C21" s="12"/>
      <c r="D21" s="12"/>
      <c r="E21" s="71" t="s">
        <v>30</v>
      </c>
      <c r="F21" s="23"/>
      <c r="G21" s="72">
        <v>0.19</v>
      </c>
      <c r="H21" s="40">
        <f>H20*G21</f>
        <v>79800</v>
      </c>
    </row>
    <row r="22" spans="1:8" ht="19.5" customHeight="1" x14ac:dyDescent="0.25">
      <c r="A22" s="14" t="s">
        <v>31</v>
      </c>
      <c r="E22" s="73" t="s">
        <v>26</v>
      </c>
      <c r="G22" s="76">
        <v>2.5000000000000001E-2</v>
      </c>
      <c r="H22" s="68"/>
    </row>
    <row r="23" spans="1:8" ht="15.75" x14ac:dyDescent="0.25">
      <c r="A23" s="14" t="s">
        <v>38</v>
      </c>
      <c r="E23" s="14"/>
      <c r="F23" s="33"/>
      <c r="G23" s="48"/>
      <c r="H23" s="15"/>
    </row>
    <row r="24" spans="1:8" ht="16.5" thickBot="1" x14ac:dyDescent="0.3">
      <c r="A24" s="14" t="s">
        <v>34</v>
      </c>
      <c r="E24" s="74" t="s">
        <v>27</v>
      </c>
      <c r="F24" s="75"/>
      <c r="G24" s="49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499800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F88B7EDA-51FA-4632-8D26-0DBEBC00AA13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 Q LTDA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2025-09-18T16:24:22Z</dcterms:modified>
</cp:coreProperties>
</file>