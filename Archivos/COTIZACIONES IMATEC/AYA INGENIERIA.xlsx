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76FB7DD-0F7B-4043-95C7-1B24D6FE301D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5" i="1"/>
  <c r="H24" i="1"/>
  <c r="H23" i="1"/>
  <c r="H22" i="1"/>
  <c r="H21" i="1"/>
  <c r="H20" i="1"/>
  <c r="H19" i="1"/>
  <c r="H18" i="1"/>
  <c r="H17" i="1"/>
  <c r="H16" i="1"/>
  <c r="H29" i="1" l="1"/>
  <c r="H33" i="1" s="1"/>
</calcChain>
</file>

<file path=xl/sharedStrings.xml><?xml version="1.0" encoding="utf-8"?>
<sst xmlns="http://schemas.openxmlformats.org/spreadsheetml/2006/main" count="72" uniqueCount="64">
  <si>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</si>
  <si>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</si>
  <si>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</si>
  <si>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</si>
  <si>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</si>
  <si>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</si>
  <si>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</si>
  <si>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</si>
  <si>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</si>
  <si>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</si>
  <si>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</si>
  <si>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</si>
  <si>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</si>
  <si>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</si>
  <si>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</si>
  <si>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</si>
  <si>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</si>
  <si>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</si>
  <si>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</si>
  <si>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</si>
  <si>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</si>
  <si>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</si>
  <si>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</si>
  <si>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</si>
  <si>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</si>
  <si>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</si>
  <si>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</si>
  <si>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</si>
  <si>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</si>
  <si>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</si>
  <si>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</si>
  <si>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</si>
  <si>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</si>
  <si>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</si>
  <si>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</si>
  <si>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</si>
  <si>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</si>
  <si>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</si>
  <si>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</si>
  <si>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</si>
  <si>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</si>
  <si>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</si>
  <si>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</si>
  <si>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</si>
  <si>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</si>
  <si>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</si>
  <si>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</si>
  <si>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</si>
  <si>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No. 1</t>
  </si>
  <si>
    <t>BRIDA A / C SLIP ON  3 " X  150  LBS</t>
  </si>
  <si>
    <t>BRIDA A / C SLIP ON 4 "  X  150  LBS</t>
  </si>
  <si>
    <t>BRIDA  A / C  SLIIP ON 2 "  X  150 LBS</t>
  </si>
  <si>
    <t>BRIDA  A / C CIEGA 4 "  X  150  LBS</t>
  </si>
  <si>
    <t>BRIDA  A / C CIEGA 3 "  X  150  LBS</t>
  </si>
  <si>
    <t>BRIDA  A / C CIEGA 2 "  X  150  LBS</t>
  </si>
  <si>
    <t>TUBERIA  A / C  SCH 40  4 "  X  100 CMTS</t>
  </si>
  <si>
    <t>TRAMO</t>
  </si>
  <si>
    <t>TUBERIA  A / C  SCH 40  3 "  X  100 CMTS</t>
  </si>
  <si>
    <t>TUBERIA  A / C  SCH 40  2 "  X  100 CMTS</t>
  </si>
  <si>
    <t>TUBERIA  A / C  SCH 40  1/2  "  X  100 CMTS</t>
  </si>
  <si>
    <t>NOVECIENTOS CUARENTA Y OCHO MIL SEISCIENTOS SE-</t>
  </si>
  <si>
    <t>SENTA Y OCHO PESOS MDA / CTE</t>
  </si>
  <si>
    <t>ENTREGA INMEDIATA</t>
  </si>
  <si>
    <t>EDINSON CABEZAS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</si>
</sst>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8"/>
  <sheetViews>
    <sheetView tabSelected="1" topLeftCell="A13" zoomScaleNormal="100" workbookViewId="0">
      <selection activeCell="D31" sqref="D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45</v>
      </c>
      <c r="F9" s="30" t="s">
        <v>0</v>
      </c>
      <c r="H9" s="28">
        <v>45677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45686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63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39</v>
      </c>
      <c r="F16" s="79">
        <v>54700</v>
      </c>
      <c r="G16" s="75">
        <v>3</v>
      </c>
      <c r="H16" s="38">
        <f t="shared" ref="H16" si="0">G16*F16</f>
        <v>164100</v>
      </c>
    </row>
    <row r="17" spans="1:8" ht="16.5" thickBot="1" x14ac:dyDescent="0.3">
      <c r="A17" s="75">
        <v>2</v>
      </c>
      <c r="B17" s="76" t="s">
        <v>49</v>
      </c>
      <c r="C17" s="77"/>
      <c r="D17" s="78"/>
      <c r="E17" s="75" t="s">
        <v>39</v>
      </c>
      <c r="F17" s="79">
        <v>37800</v>
      </c>
      <c r="G17" s="75">
        <v>1</v>
      </c>
      <c r="H17" s="38">
        <f t="shared" ref="H17:H25" si="1">G17*F17</f>
        <v>37800</v>
      </c>
    </row>
    <row r="18" spans="1:8" ht="16.5" thickBot="1" x14ac:dyDescent="0.3">
      <c r="A18" s="75">
        <v>3</v>
      </c>
      <c r="B18" s="76" t="s">
        <v>51</v>
      </c>
      <c r="C18" s="77"/>
      <c r="D18" s="78"/>
      <c r="E18" s="75" t="s">
        <v>39</v>
      </c>
      <c r="F18" s="79">
        <v>25200</v>
      </c>
      <c r="G18" s="75">
        <v>1</v>
      </c>
      <c r="H18" s="38">
        <f t="shared" si="1"/>
        <v>25200</v>
      </c>
    </row>
    <row r="19" spans="1:8" ht="16.5" thickBot="1" x14ac:dyDescent="0.3">
      <c r="A19" s="75">
        <v>4</v>
      </c>
      <c r="B19" s="76" t="s">
        <v>52</v>
      </c>
      <c r="C19" s="77"/>
      <c r="D19" s="78"/>
      <c r="E19" s="75" t="s">
        <v>39</v>
      </c>
      <c r="F19" s="79">
        <v>69600</v>
      </c>
      <c r="G19" s="75">
        <v>3</v>
      </c>
      <c r="H19" s="38">
        <f t="shared" si="1"/>
        <v>208800</v>
      </c>
    </row>
    <row r="20" spans="1:8" ht="16.5" thickBot="1" x14ac:dyDescent="0.3">
      <c r="A20" s="75">
        <v>5</v>
      </c>
      <c r="B20" s="76" t="s">
        <v>53</v>
      </c>
      <c r="C20" s="77"/>
      <c r="D20" s="78"/>
      <c r="E20" s="75" t="s">
        <v>39</v>
      </c>
      <c r="F20" s="79">
        <v>46700</v>
      </c>
      <c r="G20" s="75">
        <v>1</v>
      </c>
      <c r="H20" s="38">
        <f t="shared" si="1"/>
        <v>46700</v>
      </c>
    </row>
    <row r="21" spans="1:8" ht="16.5" thickBot="1" x14ac:dyDescent="0.3">
      <c r="A21" s="75">
        <v>6</v>
      </c>
      <c r="B21" s="76" t="s">
        <v>54</v>
      </c>
      <c r="C21" s="77"/>
      <c r="D21" s="78"/>
      <c r="E21" s="75" t="s">
        <v>39</v>
      </c>
      <c r="F21" s="79">
        <v>25100</v>
      </c>
      <c r="G21" s="75">
        <v>1</v>
      </c>
      <c r="H21" s="38">
        <f t="shared" si="1"/>
        <v>25100</v>
      </c>
    </row>
    <row r="22" spans="1:8" ht="16.5" thickBot="1" x14ac:dyDescent="0.3">
      <c r="A22" s="75">
        <v>7</v>
      </c>
      <c r="B22" s="76" t="s">
        <v>55</v>
      </c>
      <c r="C22" s="77"/>
      <c r="D22" s="78"/>
      <c r="E22" s="75" t="s">
        <v>56</v>
      </c>
      <c r="F22" s="79">
        <v>136500</v>
      </c>
      <c r="G22" s="75">
        <v>1</v>
      </c>
      <c r="H22" s="38">
        <f t="shared" si="1"/>
        <v>136500</v>
      </c>
    </row>
    <row r="23" spans="1:8" ht="16.5" thickBot="1" x14ac:dyDescent="0.3">
      <c r="A23" s="75">
        <v>8</v>
      </c>
      <c r="B23" s="76" t="s">
        <v>57</v>
      </c>
      <c r="C23" s="77"/>
      <c r="D23" s="78"/>
      <c r="E23" s="75" t="s">
        <v>56</v>
      </c>
      <c r="F23" s="79">
        <v>95100</v>
      </c>
      <c r="G23" s="75">
        <v>1</v>
      </c>
      <c r="H23" s="38">
        <f t="shared" si="1"/>
        <v>95100</v>
      </c>
    </row>
    <row r="24" spans="1:8" ht="16.5" thickBot="1" x14ac:dyDescent="0.3">
      <c r="A24" s="75">
        <v>9</v>
      </c>
      <c r="B24" s="76" t="s">
        <v>58</v>
      </c>
      <c r="C24" s="77"/>
      <c r="D24" s="78"/>
      <c r="E24" s="75" t="s">
        <v>56</v>
      </c>
      <c r="F24" s="79">
        <v>46600</v>
      </c>
      <c r="G24" s="75">
        <v>1</v>
      </c>
      <c r="H24" s="38">
        <f t="shared" si="1"/>
        <v>46600</v>
      </c>
    </row>
    <row r="25" spans="1:8" ht="16.5" thickBot="1" x14ac:dyDescent="0.3">
      <c r="A25" s="75">
        <v>10</v>
      </c>
      <c r="B25" s="76" t="s">
        <v>59</v>
      </c>
      <c r="C25" s="77"/>
      <c r="D25" s="78"/>
      <c r="E25" s="75" t="s">
        <v>56</v>
      </c>
      <c r="F25" s="79">
        <v>11300</v>
      </c>
      <c r="G25" s="75">
        <v>1</v>
      </c>
      <c r="H25" s="38">
        <f t="shared" si="1"/>
        <v>11300</v>
      </c>
    </row>
    <row r="26" spans="1:8" ht="19.5" customHeight="1" thickBot="1" x14ac:dyDescent="0.3">
      <c r="A26" s="51"/>
      <c r="B26" s="45"/>
      <c r="C26" s="42"/>
      <c r="D26" s="52"/>
      <c r="E26" s="53"/>
      <c r="F26" s="53"/>
      <c r="G26" s="53"/>
    </row>
    <row r="27" spans="1:8" ht="19.5" customHeight="1" thickBot="1" x14ac:dyDescent="0.35">
      <c r="A27" s="50" t="s">
        <v>23</v>
      </c>
      <c r="B27" s="14" t="s">
        <v>60</v>
      </c>
      <c r="D27" s="15"/>
      <c r="E27" s="54"/>
      <c r="F27" s="37" t="s">
        <v>40</v>
      </c>
      <c r="G27" s="6"/>
      <c r="H27" s="7"/>
    </row>
    <row r="28" spans="1:8" ht="19.5" customHeight="1" thickBot="1" x14ac:dyDescent="0.3">
      <c r="A28" s="39"/>
      <c r="B28" s="16" t="s">
        <v>61</v>
      </c>
      <c r="C28" s="4"/>
      <c r="D28" s="4"/>
      <c r="E28" s="57" t="s">
        <v>24</v>
      </c>
      <c r="F28" s="58"/>
      <c r="G28" s="46"/>
      <c r="H28" s="55">
        <f>SUM(H16:H25)</f>
        <v>797200</v>
      </c>
    </row>
    <row r="29" spans="1:8" ht="19.5" customHeight="1" x14ac:dyDescent="0.25">
      <c r="A29" s="24" t="s">
        <v>25</v>
      </c>
      <c r="B29" s="12"/>
      <c r="C29" s="12"/>
      <c r="D29" s="12"/>
      <c r="E29" s="59" t="s">
        <v>29</v>
      </c>
      <c r="F29" s="23"/>
      <c r="G29" s="60">
        <v>0.19</v>
      </c>
      <c r="H29" s="40">
        <f>H28*G29</f>
        <v>151468</v>
      </c>
    </row>
    <row r="30" spans="1:8" ht="19.5" customHeight="1" x14ac:dyDescent="0.25">
      <c r="A30" s="14" t="s">
        <v>30</v>
      </c>
      <c r="E30" s="61" t="s">
        <v>26</v>
      </c>
      <c r="G30" s="64">
        <v>2.5000000000000001E-2</v>
      </c>
      <c r="H30" s="56"/>
    </row>
    <row r="31" spans="1:8" ht="15.75" x14ac:dyDescent="0.25">
      <c r="A31" s="14" t="s">
        <v>62</v>
      </c>
      <c r="E31" s="14"/>
      <c r="F31" s="33"/>
      <c r="G31" s="47"/>
      <c r="H31" s="15"/>
    </row>
    <row r="32" spans="1:8" ht="16.5" thickBot="1" x14ac:dyDescent="0.3">
      <c r="A32" s="14" t="s">
        <v>33</v>
      </c>
      <c r="E32" s="62" t="s">
        <v>27</v>
      </c>
      <c r="F32" s="63"/>
      <c r="G32" s="48"/>
      <c r="H32" s="17"/>
    </row>
    <row r="33" spans="1:8" ht="19.5" thickBot="1" x14ac:dyDescent="0.35">
      <c r="A33" s="16"/>
      <c r="B33" s="4"/>
      <c r="C33" s="4"/>
      <c r="D33" s="17"/>
      <c r="F33" s="3"/>
      <c r="G33" s="34" t="s">
        <v>28</v>
      </c>
      <c r="H33" s="36">
        <f>H28+H29</f>
        <v>948668</v>
      </c>
    </row>
    <row r="34" spans="1:8" ht="16.5" customHeight="1" x14ac:dyDescent="0.25"/>
    <row r="39" spans="1:8" ht="15.75" thickBot="1" x14ac:dyDescent="0.3"/>
    <row r="40" spans="1:8" ht="19.5" thickBot="1" x14ac:dyDescent="0.35">
      <c r="A40" s="25" t="s">
        <v>41</v>
      </c>
      <c r="B40" s="6"/>
      <c r="C40" s="6"/>
      <c r="D40" s="6"/>
      <c r="E40" s="6"/>
      <c r="F40" s="6"/>
      <c r="G40" s="6"/>
      <c r="H40" s="7"/>
    </row>
    <row r="48" spans="1:8" ht="18.75" x14ac:dyDescent="0.3">
      <c r="A48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2025-01-20T15:25:42Z</dcterms:modified>
</cp:coreProperties>
</file>