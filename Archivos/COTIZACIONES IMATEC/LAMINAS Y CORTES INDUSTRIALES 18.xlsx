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C50C9F4-B15D-4388-8EDD-85420158E33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8" i="1" s="1"/>
  <c r="H19" i="1" l="1"/>
  <c r="H23" i="1" l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<sst xmlns="http://schemas.openxmlformats.org/spreadsheetml/2006/main" count="55" uniqueCount="55">
  <si>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</si>
  <si>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</si>
  <si>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</si>
  <si>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</si>
  <si>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</si>
  <si>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</si>
  <si>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</si>
  <si>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</si>
  <si>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</si>
  <si>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</si>
  <si>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</si>
  <si>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</si>
  <si>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</si>
  <si>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</si>
  <si>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</si>
  <si>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</si>
  <si>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</si>
  <si>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</si>
  <si>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</si>
  <si>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</si>
  <si>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</si>
  <si>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</si>
  <si>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</si>
  <si>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</si>
  <si>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</si>
  <si>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</si>
  <si>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</si>
  <si>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</si>
  <si>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</si>
  <si>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</si>
  <si>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</si>
  <si>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</si>
  <si>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</si>
  <si>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</si>
  <si>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</si>
  <si>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</si>
  <si>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</si>
  <si>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</si>
  <si>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</si>
  <si>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</si>
  <si>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</si>
  <si>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</si>
  <si>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</si>
  <si>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</si>
  <si>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</si>
  <si>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</si>
  <si>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</si>
  <si>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>ENTREGA EN TRES   DIAS A PARTIR DE ORDEN DE COMPRA</t>
  </si>
  <si>
    <t xml:space="preserve">               R E M I S I O N</t>
  </si>
  <si>
    <t>No. 18</t>
  </si>
  <si>
    <t xml:space="preserve">TUBERIA A / C SCH 40   6 "  </t>
  </si>
  <si>
    <t>METRO LINEAL</t>
  </si>
  <si>
    <t>CUATROCIENTOS NOVENTA Y NUEVE MIL OCHOCIENTOS</t>
  </si>
  <si>
    <t>PESOS MDA / CTE</t>
  </si>
  <si>
    <t xml:space="preserve">                                   JAVIER LOZANO TAMAYO C.C. 16´654.252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</si>
</sst>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5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19" xfId="0" applyFont="1" applyBorder="1"/>
    <xf numFmtId="10" fontId="1" fillId="0" borderId="28" xfId="0" applyNumberFormat="1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0" fillId="0" borderId="25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13" fillId="0" borderId="19" xfId="2" applyBorder="1"/>
    <xf numFmtId="0" fontId="0" fillId="0" borderId="30" xfId="0" applyBorder="1"/>
    <xf numFmtId="0" fontId="1" fillId="0" borderId="28" xfId="0" applyFont="1" applyBorder="1"/>
    <xf numFmtId="42" fontId="12" fillId="0" borderId="33" xfId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7"/>
  <sheetViews>
    <sheetView tabSelected="1" topLeftCell="A4" zoomScaleNormal="100" workbookViewId="0">
      <selection activeCell="K9" sqref="K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54</v>
      </c>
      <c r="E4" s="19"/>
      <c r="F4" s="20"/>
      <c r="G4" s="6"/>
      <c r="H4" s="7"/>
    </row>
    <row r="5" spans="1:10" ht="24.75" customHeight="1" thickBot="1" x14ac:dyDescent="0.45">
      <c r="F5" s="11" t="s">
        <v>48</v>
      </c>
      <c r="G5" s="19"/>
      <c r="H5" s="20"/>
    </row>
    <row r="6" spans="1:10" ht="19.5" thickBot="1" x14ac:dyDescent="0.35">
      <c r="A6" s="21" t="s">
        <v>15</v>
      </c>
      <c r="B6" s="13"/>
      <c r="C6" s="30" t="s">
        <v>33</v>
      </c>
      <c r="D6" s="13"/>
      <c r="E6" s="14"/>
      <c r="F6" s="27" t="s">
        <v>42</v>
      </c>
      <c r="G6" s="19"/>
      <c r="H6" s="20" t="s">
        <v>49</v>
      </c>
    </row>
    <row r="7" spans="1:10" ht="18.75" x14ac:dyDescent="0.3">
      <c r="A7" s="22" t="s">
        <v>9</v>
      </c>
      <c r="C7" s="69" t="s">
        <v>34</v>
      </c>
      <c r="D7" s="70"/>
      <c r="E7" s="60"/>
      <c r="F7" s="12"/>
      <c r="G7" s="13"/>
      <c r="H7" s="14"/>
    </row>
    <row r="8" spans="1:10" ht="18.75" customHeight="1" x14ac:dyDescent="0.3">
      <c r="A8" s="22" t="s">
        <v>10</v>
      </c>
      <c r="C8" s="71" t="s">
        <v>35</v>
      </c>
      <c r="D8" s="24" t="s">
        <v>41</v>
      </c>
      <c r="E8" s="72" t="s">
        <v>36</v>
      </c>
      <c r="F8" s="31" t="s">
        <v>0</v>
      </c>
      <c r="H8" s="32">
        <v>45782</v>
      </c>
    </row>
    <row r="9" spans="1:10" ht="18.75" x14ac:dyDescent="0.3">
      <c r="A9" s="22" t="s">
        <v>14</v>
      </c>
      <c r="C9" s="73" t="s">
        <v>37</v>
      </c>
      <c r="D9" s="25"/>
      <c r="E9" s="65"/>
      <c r="F9" s="31" t="s">
        <v>16</v>
      </c>
      <c r="H9" s="33"/>
    </row>
    <row r="10" spans="1:10" ht="18.75" x14ac:dyDescent="0.3">
      <c r="A10" s="22" t="s">
        <v>11</v>
      </c>
      <c r="C10" s="45"/>
      <c r="D10" s="25"/>
      <c r="E10" s="65"/>
      <c r="F10" s="31" t="s">
        <v>17</v>
      </c>
      <c r="G10" s="34"/>
      <c r="H10" s="32"/>
    </row>
    <row r="11" spans="1:10" ht="18.75" x14ac:dyDescent="0.3">
      <c r="A11" s="22" t="s">
        <v>12</v>
      </c>
      <c r="C11" s="45" t="s">
        <v>38</v>
      </c>
      <c r="D11" s="25"/>
      <c r="E11" s="65"/>
      <c r="F11" s="31" t="s">
        <v>18</v>
      </c>
      <c r="H11" s="35"/>
    </row>
    <row r="12" spans="1:10" ht="18.75" customHeight="1" thickBot="1" x14ac:dyDescent="0.35">
      <c r="A12" s="23" t="s">
        <v>13</v>
      </c>
      <c r="B12" s="4"/>
      <c r="C12" s="66" t="s">
        <v>39</v>
      </c>
      <c r="D12" s="74"/>
      <c r="E12" s="68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8" t="s">
        <v>24</v>
      </c>
      <c r="C14" s="19"/>
      <c r="D14" s="49"/>
      <c r="E14" s="47" t="s">
        <v>20</v>
      </c>
      <c r="F14" s="50" t="s">
        <v>22</v>
      </c>
      <c r="G14" s="50" t="s">
        <v>21</v>
      </c>
      <c r="H14" s="36" t="s">
        <v>23</v>
      </c>
    </row>
    <row r="15" spans="1:10" ht="19.5" customHeight="1" thickBot="1" x14ac:dyDescent="0.3">
      <c r="A15" s="52">
        <v>1</v>
      </c>
      <c r="B15" s="53" t="s">
        <v>50</v>
      </c>
      <c r="C15" s="53"/>
      <c r="D15" s="54"/>
      <c r="E15" s="55" t="s">
        <v>51</v>
      </c>
      <c r="F15" s="76">
        <v>210000</v>
      </c>
      <c r="G15" s="77">
        <v>2</v>
      </c>
      <c r="H15" s="56">
        <f t="shared" ref="H15" si="0">F15*G15</f>
        <v>420000</v>
      </c>
      <c r="I15" s="37"/>
      <c r="J15" s="37"/>
    </row>
    <row r="16" spans="1:10" ht="15.75" thickBot="1" x14ac:dyDescent="0.3">
      <c r="A16" s="51"/>
      <c r="D16" s="38"/>
      <c r="H16" s="38"/>
    </row>
    <row r="17" spans="1:8" ht="19.5" customHeight="1" thickBot="1" x14ac:dyDescent="0.35">
      <c r="A17" s="78" t="s">
        <v>25</v>
      </c>
      <c r="B17" s="12" t="s">
        <v>52</v>
      </c>
      <c r="C17" s="13"/>
      <c r="D17" s="14"/>
      <c r="E17" s="48"/>
      <c r="F17" s="57" t="s">
        <v>43</v>
      </c>
      <c r="G17" s="6"/>
      <c r="H17" s="7"/>
    </row>
    <row r="18" spans="1:8" ht="19.5" customHeight="1" thickBot="1" x14ac:dyDescent="0.3">
      <c r="A18" s="79"/>
      <c r="B18" s="17" t="s">
        <v>53</v>
      </c>
      <c r="C18" s="4"/>
      <c r="D18" s="18"/>
      <c r="E18" s="58" t="s">
        <v>26</v>
      </c>
      <c r="F18" s="59"/>
      <c r="G18" s="60"/>
      <c r="H18" s="43">
        <f>SUM(H15:H15)</f>
        <v>420000</v>
      </c>
    </row>
    <row r="19" spans="1:8" ht="19.5" customHeight="1" x14ac:dyDescent="0.25">
      <c r="A19" s="26" t="s">
        <v>27</v>
      </c>
      <c r="B19" s="13"/>
      <c r="C19" s="13"/>
      <c r="D19" s="14"/>
      <c r="E19" s="61" t="s">
        <v>40</v>
      </c>
      <c r="F19" s="41"/>
      <c r="G19" s="62">
        <v>0.19</v>
      </c>
      <c r="H19" s="43">
        <f>H18*0.19</f>
        <v>79800</v>
      </c>
    </row>
    <row r="20" spans="1:8" ht="15.75" x14ac:dyDescent="0.25">
      <c r="A20" s="46" t="s">
        <v>46</v>
      </c>
      <c r="D20" s="16"/>
      <c r="E20" s="63" t="s">
        <v>28</v>
      </c>
      <c r="F20" s="40"/>
      <c r="G20" s="64">
        <v>2.5000000000000001E-2</v>
      </c>
      <c r="H20" s="43"/>
    </row>
    <row r="21" spans="1:8" ht="15.75" x14ac:dyDescent="0.25">
      <c r="A21" s="46" t="s">
        <v>47</v>
      </c>
      <c r="D21" s="16"/>
      <c r="E21" s="61" t="s">
        <v>44</v>
      </c>
      <c r="G21" s="75">
        <v>7.7000000000000002E-3</v>
      </c>
      <c r="H21" s="43"/>
    </row>
    <row r="22" spans="1:8" ht="16.5" thickBot="1" x14ac:dyDescent="0.3">
      <c r="A22" s="15" t="s">
        <v>31</v>
      </c>
      <c r="D22" s="16"/>
      <c r="E22" s="66"/>
      <c r="F22" s="67"/>
      <c r="G22" s="68"/>
      <c r="H22" s="44"/>
    </row>
    <row r="23" spans="1:8" ht="16.5" customHeight="1" thickBot="1" x14ac:dyDescent="0.35">
      <c r="A23" s="17"/>
      <c r="B23" s="4"/>
      <c r="C23" s="4"/>
      <c r="D23" s="18"/>
      <c r="F23" s="3"/>
      <c r="G23" s="42" t="s">
        <v>29</v>
      </c>
      <c r="H23" s="39">
        <f>H18+H19-H20-H21</f>
        <v>499800</v>
      </c>
    </row>
    <row r="25" spans="1:8" x14ac:dyDescent="0.25">
      <c r="A25" t="s">
        <v>1</v>
      </c>
    </row>
    <row r="27" spans="1:8" ht="15.75" thickBot="1" x14ac:dyDescent="0.3"/>
    <row r="28" spans="1:8" ht="19.5" thickBot="1" x14ac:dyDescent="0.35">
      <c r="A28" s="27" t="s">
        <v>45</v>
      </c>
      <c r="B28" s="6"/>
      <c r="C28" s="6"/>
      <c r="D28" s="6"/>
      <c r="E28" s="6"/>
      <c r="F28" s="6"/>
      <c r="G28" s="6"/>
      <c r="H28" s="7"/>
    </row>
    <row r="37" spans="1:1" ht="18.75" x14ac:dyDescent="0.3">
      <c r="A37" s="5"/>
    </row>
  </sheetData>
  <mergeCells count="1">
    <mergeCell ref="A17:A18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2025-04-05T16:12:44Z</cp:lastPrinted>
  <dcterms:created xsi:type="dcterms:W3CDTF">2018-11-15T17:29:02Z</dcterms:created>
  <dcterms:modified xsi:type="dcterms:W3CDTF">2025-04-05T16:29:09Z</dcterms:modified>
</cp:coreProperties>
</file>