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2F3542BE-0F82-4A81-990E-C98D8878796A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EISTE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1" l="1"/>
  <c r="H18" i="1"/>
  <c r="H17" i="1"/>
  <c r="H16" i="1"/>
  <c r="H22" i="1" s="1"/>
  <c r="H23" i="1" l="1"/>
  <c r="H27" i="1" s="1"/>
</calcChain>
</file>

<file path=xl/sharedStrings.xml><?xml version="1.0" encoding="utf-8"?>
<sst xmlns="http://schemas.openxmlformats.org/spreadsheetml/2006/main" count="60" uniqueCount="58">
  <si>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</si>
  <si>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</si>
  <si>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</si>
  <si>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</si>
  <si>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</si>
  <si>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</si>
  <si>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</si>
  <si>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</si>
  <si>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</si>
  <si>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</si>
  <si>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</si>
  <si>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</si>
  <si>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</si>
  <si>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</si>
  <si>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</si>
  <si>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</si>
  <si>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</si>
  <si>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</si>
  <si>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</si>
  <si>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</si>
  <si>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</si>
  <si>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</si>
  <si>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</si>
  <si>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</si>
  <si>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</si>
  <si>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</si>
  <si>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</si>
  <si>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</si>
  <si>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</si>
  <si>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</si>
  <si>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</si>
  <si>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</si>
  <si>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</si>
  <si>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</si>
  <si>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</si>
  <si>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</si>
  <si>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</si>
  <si>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</si>
  <si>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</si>
  <si>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 xml:space="preserve">ENTREGA </t>
  </si>
  <si>
    <t>L I Q U I D A C I O N</t>
  </si>
  <si>
    <t xml:space="preserve">  CALLE  33A  No. 17F - 56                           B/  LA FLORESTA             -   CALI    -                                       CEL.     321 7834969</t>
  </si>
  <si>
    <t>EISTEN SALUD Y MANTENIMIENTO INDUSTRIAL</t>
  </si>
  <si>
    <t xml:space="preserve">CRA 15 No. 31A-42 </t>
  </si>
  <si>
    <t>CALI</t>
  </si>
  <si>
    <t>marcojmon@hotmail.com</t>
  </si>
  <si>
    <t>MARCO MONTOYA</t>
  </si>
  <si>
    <t>318 5413618</t>
  </si>
  <si>
    <t>LUIS A. BENAVIDES</t>
  </si>
  <si>
    <t xml:space="preserve">              R E M I S I O N</t>
  </si>
  <si>
    <t>No. 3</t>
  </si>
  <si>
    <t>TUBO</t>
  </si>
  <si>
    <t>TUBERIA  AC/INOX ORNAMENTAL CAL 16  2 " X 6 MT</t>
  </si>
  <si>
    <t>DISCO PLANO AC/INOX 304  2 "</t>
  </si>
  <si>
    <t>CODO AC/INOX 304  2 "  X  90 º P/S</t>
  </si>
  <si>
    <t>CODO AC/INOX 304 ROSCADO  1 "  X  90 º</t>
  </si>
  <si>
    <t>DOSCIENTOS NOVENTA Y NUEVE MIL OCHOCIENTOS</t>
  </si>
  <si>
    <t>OCHENTA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</si>
</sst>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rcojmo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4" zoomScaleNormal="100" workbookViewId="0">
      <selection activeCell="I9" sqref="I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3"/>
      <c r="H6" s="44"/>
    </row>
    <row r="7" spans="1:8" ht="19.5" thickBot="1" x14ac:dyDescent="0.35">
      <c r="A7" s="20" t="s">
        <v>14</v>
      </c>
      <c r="B7" s="12"/>
      <c r="C7" s="65" t="s">
        <v>42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7">
        <v>16701538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45693</v>
      </c>
    </row>
    <row r="10" spans="1:8" ht="18.75" x14ac:dyDescent="0.3">
      <c r="A10" s="21" t="s">
        <v>13</v>
      </c>
      <c r="C10" s="71" t="s">
        <v>45</v>
      </c>
      <c r="D10" s="66"/>
      <c r="E10" s="47"/>
      <c r="F10" s="30" t="s">
        <v>15</v>
      </c>
      <c r="H10" s="29" t="s">
        <v>31</v>
      </c>
    </row>
    <row r="11" spans="1:8" ht="18.75" x14ac:dyDescent="0.3">
      <c r="A11" s="21" t="s">
        <v>10</v>
      </c>
      <c r="C11" s="72" t="s">
        <v>46</v>
      </c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48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52</v>
      </c>
      <c r="C16" s="77"/>
      <c r="D16" s="78"/>
      <c r="E16" s="75" t="s">
        <v>51</v>
      </c>
      <c r="F16" s="79">
        <v>197000</v>
      </c>
      <c r="G16" s="75">
        <v>1</v>
      </c>
      <c r="H16" s="38">
        <f t="shared" ref="H16" si="0">G16*F16</f>
        <v>197000</v>
      </c>
    </row>
    <row r="17" spans="1:8" ht="16.5" thickBot="1" x14ac:dyDescent="0.3">
      <c r="A17" s="75">
        <v>2</v>
      </c>
      <c r="B17" s="76" t="s">
        <v>53</v>
      </c>
      <c r="C17" s="77"/>
      <c r="D17" s="78"/>
      <c r="E17" s="75" t="s">
        <v>38</v>
      </c>
      <c r="F17" s="79">
        <v>7500</v>
      </c>
      <c r="G17" s="75">
        <v>2</v>
      </c>
      <c r="H17" s="38">
        <f t="shared" ref="H17:H19" si="1">G17*F17</f>
        <v>15000</v>
      </c>
    </row>
    <row r="18" spans="1:8" ht="16.5" thickBot="1" x14ac:dyDescent="0.3">
      <c r="A18" s="75">
        <v>3</v>
      </c>
      <c r="B18" s="76" t="s">
        <v>54</v>
      </c>
      <c r="C18" s="77"/>
      <c r="D18" s="78"/>
      <c r="E18" s="75" t="s">
        <v>38</v>
      </c>
      <c r="F18" s="79">
        <v>31000</v>
      </c>
      <c r="G18" s="75">
        <v>1</v>
      </c>
      <c r="H18" s="38">
        <f t="shared" si="1"/>
        <v>31000</v>
      </c>
    </row>
    <row r="19" spans="1:8" ht="16.5" thickBot="1" x14ac:dyDescent="0.3">
      <c r="A19" s="75">
        <v>4</v>
      </c>
      <c r="B19" s="76" t="s">
        <v>55</v>
      </c>
      <c r="C19" s="77"/>
      <c r="D19" s="78"/>
      <c r="E19" s="75" t="s">
        <v>38</v>
      </c>
      <c r="F19" s="79">
        <v>9000</v>
      </c>
      <c r="G19" s="75">
        <v>1</v>
      </c>
      <c r="H19" s="38">
        <f t="shared" si="1"/>
        <v>9000</v>
      </c>
    </row>
    <row r="20" spans="1:8" ht="19.5" customHeight="1" thickBot="1" x14ac:dyDescent="0.3">
      <c r="A20" s="51"/>
      <c r="B20" s="45"/>
      <c r="C20" s="42"/>
      <c r="D20" s="52"/>
      <c r="E20" s="53"/>
      <c r="F20" s="53"/>
      <c r="G20" s="53"/>
    </row>
    <row r="21" spans="1:8" ht="19.5" customHeight="1" thickBot="1" x14ac:dyDescent="0.35">
      <c r="A21" s="50" t="s">
        <v>23</v>
      </c>
      <c r="B21" s="14" t="s">
        <v>56</v>
      </c>
      <c r="D21" s="15"/>
      <c r="E21" s="54"/>
      <c r="F21" s="37" t="s">
        <v>40</v>
      </c>
      <c r="G21" s="6"/>
      <c r="H21" s="7"/>
    </row>
    <row r="22" spans="1:8" ht="19.5" customHeight="1" thickBot="1" x14ac:dyDescent="0.3">
      <c r="A22" s="39"/>
      <c r="B22" s="16" t="s">
        <v>57</v>
      </c>
      <c r="C22" s="4"/>
      <c r="D22" s="4"/>
      <c r="E22" s="57" t="s">
        <v>24</v>
      </c>
      <c r="F22" s="58"/>
      <c r="G22" s="46"/>
      <c r="H22" s="55">
        <f>SUM(H16:H21)</f>
        <v>252000</v>
      </c>
    </row>
    <row r="23" spans="1:8" ht="19.5" customHeight="1" x14ac:dyDescent="0.25">
      <c r="A23" s="24" t="s">
        <v>25</v>
      </c>
      <c r="B23" s="12"/>
      <c r="C23" s="12"/>
      <c r="D23" s="12"/>
      <c r="E23" s="59" t="s">
        <v>29</v>
      </c>
      <c r="F23" s="23"/>
      <c r="G23" s="60">
        <v>0.19</v>
      </c>
      <c r="H23" s="40">
        <f>H22*G23</f>
        <v>47880</v>
      </c>
    </row>
    <row r="24" spans="1:8" ht="19.5" customHeight="1" x14ac:dyDescent="0.25">
      <c r="A24" s="14" t="s">
        <v>30</v>
      </c>
      <c r="E24" s="61" t="s">
        <v>26</v>
      </c>
      <c r="G24" s="64">
        <v>2.5000000000000001E-2</v>
      </c>
      <c r="H24" s="56"/>
    </row>
    <row r="25" spans="1:8" ht="15.75" x14ac:dyDescent="0.25">
      <c r="A25" s="14" t="s">
        <v>39</v>
      </c>
      <c r="E25" s="14"/>
      <c r="F25" s="33"/>
      <c r="G25" s="47"/>
      <c r="H25" s="15"/>
    </row>
    <row r="26" spans="1:8" ht="16.5" thickBot="1" x14ac:dyDescent="0.3">
      <c r="A26" s="14" t="s">
        <v>33</v>
      </c>
      <c r="E26" s="62" t="s">
        <v>27</v>
      </c>
      <c r="F26" s="63"/>
      <c r="G26" s="48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</f>
        <v>299880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41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0B950983-45A7-4DF2-AEAD-DCAF4F17C9CE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EISTEN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2025-02-05T18:28:47Z</cp:lastPrinted>
  <dcterms:created xsi:type="dcterms:W3CDTF">2018-11-15T17:29:02Z</dcterms:created>
  <dcterms:modified xsi:type="dcterms:W3CDTF">2025-02-05T18:29:45Z</dcterms:modified>
</cp:coreProperties>
</file>