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0D7841AA-5768-44E7-BC97-A792148DEF3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DUSTRIALES CORTEZ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<sst xmlns="http://schemas.openxmlformats.org/spreadsheetml/2006/main" count="55" uniqueCount="55">
  <si>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</si>
  <si>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</si>
  <si>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</si>
  <si>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</si>
  <si>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</si>
  <si>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</si>
  <si>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</si>
  <si>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</si>
  <si>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</si>
  <si>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</si>
  <si>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</si>
  <si>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</si>
  <si>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</si>
  <si>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</si>
  <si>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</si>
  <si>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</si>
  <si>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</si>
  <si>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</si>
  <si>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</si>
  <si>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</si>
  <si>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</si>
  <si>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</si>
  <si>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</si>
  <si>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</si>
  <si>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</si>
  <si>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</si>
  <si>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</si>
  <si>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</si>
  <si>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</si>
  <si>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</si>
  <si>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</si>
  <si>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</si>
  <si>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</si>
  <si>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</si>
  <si>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ITEM</t>
  </si>
  <si>
    <t>ACCESORIO</t>
  </si>
  <si>
    <t>CONTACTOS   310 8306118       319 7174165        321 7834969</t>
  </si>
  <si>
    <t>TULUA</t>
  </si>
  <si>
    <t>900 824177</t>
  </si>
  <si>
    <t>CRA 36 No. 28-73 LOCAL 1</t>
  </si>
  <si>
    <t>industrialcortez@hotmail.com</t>
  </si>
  <si>
    <t>602 2256253</t>
  </si>
  <si>
    <t>LUIS A. BENAVIDES</t>
  </si>
  <si>
    <t>FORMA DE PAGO : CONTADO</t>
  </si>
  <si>
    <t>AFORO CON CARGO AL CLIENTE</t>
  </si>
  <si>
    <t>INDUSTRIAL CORTEZ SAS</t>
  </si>
  <si>
    <t xml:space="preserve">           C O T I Z A C I O N</t>
  </si>
  <si>
    <t>L I Q U I D A C I O N</t>
  </si>
  <si>
    <t>ENTREGA EN TRES DIAS A PARTIR DE ORDEN DE COMPRA</t>
  </si>
  <si>
    <t xml:space="preserve">  CALLE  33A  No. 17F - 56                              B/  LA FLORESTA             -   CALI    -                                  CEL.     321 7834969</t>
  </si>
  <si>
    <t>No.  4</t>
  </si>
  <si>
    <t>10 DIAS</t>
  </si>
  <si>
    <t>YEE AC/INOX 304  2 " P/S</t>
  </si>
  <si>
    <t>CIENTO SETENTA Y DOS MIL QUINIENTOS CINCUENTA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</si>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</sst>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17" xfId="0" applyBorder="1"/>
    <xf numFmtId="0" fontId="8" fillId="0" borderId="0" xfId="0" applyFont="1"/>
    <xf numFmtId="0" fontId="0" fillId="0" borderId="14" xfId="0" applyBorder="1"/>
    <xf numFmtId="0" fontId="5" fillId="0" borderId="7" xfId="0" applyFont="1" applyBorder="1"/>
    <xf numFmtId="0" fontId="4" fillId="0" borderId="15" xfId="0" applyFont="1" applyBorder="1"/>
    <xf numFmtId="0" fontId="4" fillId="0" borderId="13" xfId="0" applyFont="1" applyBorder="1"/>
    <xf numFmtId="0" fontId="5" fillId="0" borderId="19" xfId="0" applyFont="1" applyBorder="1"/>
    <xf numFmtId="42" fontId="1" fillId="0" borderId="20" xfId="0" applyNumberFormat="1" applyFont="1" applyBorder="1"/>
    <xf numFmtId="0" fontId="0" fillId="0" borderId="20" xfId="0" applyBorder="1"/>
    <xf numFmtId="0" fontId="0" fillId="0" borderId="19" xfId="0" applyBorder="1"/>
    <xf numFmtId="0" fontId="11" fillId="0" borderId="17" xfId="0" applyFont="1" applyBorder="1"/>
    <xf numFmtId="0" fontId="12" fillId="0" borderId="0" xfId="0" applyFont="1" applyAlignment="1">
      <alignment horizontal="center"/>
    </xf>
    <xf numFmtId="42" fontId="1" fillId="0" borderId="18" xfId="0" applyNumberFormat="1" applyFont="1" applyBorder="1" applyAlignment="1">
      <alignment horizontal="left"/>
    </xf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5" fillId="0" borderId="4" xfId="0" applyFont="1" applyBorder="1"/>
    <xf numFmtId="10" fontId="1" fillId="0" borderId="0" xfId="0" applyNumberFormat="1" applyFont="1"/>
    <xf numFmtId="9" fontId="1" fillId="0" borderId="13" xfId="0" applyNumberFormat="1" applyFon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3" fillId="0" borderId="26" xfId="2" applyBorder="1"/>
    <xf numFmtId="0" fontId="0" fillId="0" borderId="27" xfId="0" applyBorder="1"/>
    <xf numFmtId="0" fontId="0" fillId="0" borderId="26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center"/>
    </xf>
    <xf numFmtId="0" fontId="8" fillId="0" borderId="32" xfId="0" applyFont="1" applyBorder="1"/>
    <xf numFmtId="0" fontId="8" fillId="0" borderId="22" xfId="0" applyFont="1" applyBorder="1"/>
    <xf numFmtId="0" fontId="8" fillId="0" borderId="31" xfId="0" applyFont="1" applyBorder="1"/>
    <xf numFmtId="42" fontId="11" fillId="0" borderId="22" xfId="1" applyFont="1" applyBorder="1" applyAlignment="1">
      <alignment horizontal="center"/>
    </xf>
    <xf numFmtId="42" fontId="1" fillId="0" borderId="31" xfId="1" applyFont="1" applyBorder="1" applyAlignment="1">
      <alignment horizontal="left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dustrialcortez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8"/>
  <sheetViews>
    <sheetView tabSelected="1" zoomScaleNormal="100" workbookViewId="0">
      <selection activeCell="J20" sqref="J20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9" t="s">
        <v>31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8" t="s">
        <v>8</v>
      </c>
      <c r="B4" s="6"/>
      <c r="C4" s="6"/>
      <c r="D4" s="29" t="s">
        <v>33</v>
      </c>
      <c r="E4" s="19"/>
      <c r="F4" s="20"/>
      <c r="G4" s="6"/>
      <c r="H4" s="7"/>
    </row>
    <row r="5" spans="1:8" ht="19.5" thickBot="1" x14ac:dyDescent="0.35">
      <c r="A5" s="55" t="s">
        <v>36</v>
      </c>
      <c r="B5" s="6"/>
      <c r="C5" s="6"/>
      <c r="D5" s="6"/>
      <c r="E5" s="6"/>
    </row>
    <row r="6" spans="1:8" ht="24.75" customHeight="1" thickBot="1" x14ac:dyDescent="0.45">
      <c r="F6" s="11" t="s">
        <v>46</v>
      </c>
      <c r="G6" s="19"/>
      <c r="H6" s="20"/>
    </row>
    <row r="7" spans="1:8" ht="19.5" thickBot="1" x14ac:dyDescent="0.35">
      <c r="A7" s="21" t="s">
        <v>15</v>
      </c>
      <c r="B7" s="13"/>
      <c r="C7" s="30" t="s">
        <v>45</v>
      </c>
      <c r="D7" s="13"/>
      <c r="E7" s="14"/>
      <c r="F7" s="27"/>
      <c r="G7" s="19"/>
      <c r="H7" s="20" t="s">
        <v>50</v>
      </c>
    </row>
    <row r="8" spans="1:8" ht="18.75" x14ac:dyDescent="0.3">
      <c r="A8" s="22" t="s">
        <v>9</v>
      </c>
      <c r="C8" s="58" t="s">
        <v>38</v>
      </c>
      <c r="D8" s="59"/>
      <c r="E8" s="60"/>
      <c r="F8" s="12"/>
      <c r="G8" s="13"/>
      <c r="H8" s="14"/>
    </row>
    <row r="9" spans="1:8" ht="18.75" customHeight="1" x14ac:dyDescent="0.3">
      <c r="A9" s="22" t="s">
        <v>10</v>
      </c>
      <c r="C9" s="61" t="s">
        <v>39</v>
      </c>
      <c r="D9" s="24"/>
      <c r="E9" s="62" t="s">
        <v>37</v>
      </c>
      <c r="F9" s="31" t="s">
        <v>0</v>
      </c>
      <c r="H9" s="32">
        <v>45846</v>
      </c>
    </row>
    <row r="10" spans="1:8" ht="18.75" x14ac:dyDescent="0.3">
      <c r="A10" s="22" t="s">
        <v>14</v>
      </c>
      <c r="C10" s="63" t="s">
        <v>40</v>
      </c>
      <c r="D10" s="25"/>
      <c r="E10" s="64"/>
      <c r="F10" s="31" t="s">
        <v>16</v>
      </c>
      <c r="H10" s="33" t="s">
        <v>51</v>
      </c>
    </row>
    <row r="11" spans="1:8" ht="18.75" x14ac:dyDescent="0.3">
      <c r="A11" s="22" t="s">
        <v>11</v>
      </c>
      <c r="C11" s="65"/>
      <c r="D11" s="25"/>
      <c r="E11" s="64"/>
      <c r="F11" s="31" t="s">
        <v>17</v>
      </c>
      <c r="G11" s="34"/>
      <c r="H11" s="32">
        <v>45855</v>
      </c>
    </row>
    <row r="12" spans="1:8" ht="18.75" x14ac:dyDescent="0.3">
      <c r="A12" s="22" t="s">
        <v>12</v>
      </c>
      <c r="C12" s="65" t="s">
        <v>41</v>
      </c>
      <c r="D12" s="25"/>
      <c r="E12" s="64"/>
      <c r="F12" s="31" t="s">
        <v>18</v>
      </c>
      <c r="H12" s="35"/>
    </row>
    <row r="13" spans="1:8" ht="18.75" customHeight="1" thickBot="1" x14ac:dyDescent="0.35">
      <c r="A13" s="23" t="s">
        <v>13</v>
      </c>
      <c r="B13" s="4"/>
      <c r="C13" s="66" t="s">
        <v>42</v>
      </c>
      <c r="D13" s="67"/>
      <c r="E13" s="68"/>
      <c r="F13" s="17"/>
      <c r="G13" s="4"/>
      <c r="H13" s="18"/>
    </row>
    <row r="14" spans="1:8" ht="15.75" thickBot="1" x14ac:dyDescent="0.3"/>
    <row r="15" spans="1:8" ht="15.75" thickBot="1" x14ac:dyDescent="0.3">
      <c r="A15" s="36" t="s">
        <v>34</v>
      </c>
      <c r="B15" s="53" t="s">
        <v>24</v>
      </c>
      <c r="C15" s="19"/>
      <c r="D15" s="7"/>
      <c r="E15" s="36" t="s">
        <v>20</v>
      </c>
      <c r="F15" s="36" t="s">
        <v>22</v>
      </c>
      <c r="G15" s="36" t="s">
        <v>21</v>
      </c>
      <c r="H15" s="36" t="s">
        <v>23</v>
      </c>
    </row>
    <row r="16" spans="1:8" ht="15.75" x14ac:dyDescent="0.25">
      <c r="A16" s="71">
        <v>1</v>
      </c>
      <c r="B16" s="72" t="s">
        <v>52</v>
      </c>
      <c r="C16" s="73"/>
      <c r="D16" s="74"/>
      <c r="E16" s="71" t="s">
        <v>35</v>
      </c>
      <c r="F16" s="75">
        <v>145000</v>
      </c>
      <c r="G16" s="71">
        <v>1</v>
      </c>
      <c r="H16" s="76">
        <f>G16*F16</f>
        <v>145000</v>
      </c>
    </row>
    <row r="17" spans="1:10" ht="16.5" thickBot="1" x14ac:dyDescent="0.3">
      <c r="A17" s="38"/>
      <c r="B17" s="39"/>
      <c r="E17" s="40"/>
      <c r="F17" s="37"/>
      <c r="G17" s="54"/>
      <c r="H17" s="48"/>
      <c r="I17" s="37"/>
      <c r="J17" s="37"/>
    </row>
    <row r="18" spans="1:10" ht="19.5" customHeight="1" thickBot="1" x14ac:dyDescent="0.35">
      <c r="A18" s="69" t="s">
        <v>25</v>
      </c>
      <c r="B18" s="12" t="s">
        <v>53</v>
      </c>
      <c r="C18" s="13"/>
      <c r="D18" s="14"/>
      <c r="E18" s="13"/>
      <c r="F18" s="41" t="s">
        <v>47</v>
      </c>
      <c r="G18" s="13"/>
      <c r="H18" s="7"/>
    </row>
    <row r="19" spans="1:10" ht="19.5" customHeight="1" thickBot="1" x14ac:dyDescent="0.3">
      <c r="A19" s="70"/>
      <c r="B19" s="17" t="s">
        <v>54</v>
      </c>
      <c r="C19" s="4"/>
      <c r="D19" s="4"/>
      <c r="E19" s="42" t="s">
        <v>26</v>
      </c>
      <c r="F19" s="43"/>
      <c r="G19" s="25"/>
      <c r="H19" s="50">
        <f>H16</f>
        <v>145000</v>
      </c>
    </row>
    <row r="20" spans="1:10" ht="19.5" customHeight="1" x14ac:dyDescent="0.25">
      <c r="A20" s="26" t="s">
        <v>27</v>
      </c>
      <c r="B20" s="13"/>
      <c r="C20" s="13"/>
      <c r="D20" s="14"/>
      <c r="E20" s="3" t="s">
        <v>32</v>
      </c>
      <c r="F20" s="43"/>
      <c r="G20" s="57">
        <v>0.19</v>
      </c>
      <c r="H20" s="51">
        <f>H19*G20</f>
        <v>27550</v>
      </c>
    </row>
    <row r="21" spans="1:10" ht="15.75" x14ac:dyDescent="0.25">
      <c r="A21" s="15" t="s">
        <v>43</v>
      </c>
      <c r="D21" s="16"/>
      <c r="E21" s="43" t="s">
        <v>28</v>
      </c>
      <c r="G21" s="56">
        <v>2.5000000000000001E-2</v>
      </c>
      <c r="H21" s="45"/>
    </row>
    <row r="22" spans="1:10" ht="15.75" x14ac:dyDescent="0.25">
      <c r="A22" s="15" t="s">
        <v>48</v>
      </c>
      <c r="D22" s="16"/>
      <c r="F22" s="43"/>
      <c r="G22" s="25"/>
      <c r="H22" s="46"/>
    </row>
    <row r="23" spans="1:10" ht="16.5" thickBot="1" x14ac:dyDescent="0.3">
      <c r="A23" s="15" t="s">
        <v>44</v>
      </c>
      <c r="D23" s="16"/>
      <c r="E23" s="43" t="s">
        <v>29</v>
      </c>
      <c r="F23" s="43"/>
      <c r="G23" s="25"/>
      <c r="H23" s="47"/>
    </row>
    <row r="24" spans="1:10" ht="16.5" customHeight="1" thickBot="1" x14ac:dyDescent="0.35">
      <c r="A24" s="17"/>
      <c r="B24" s="4"/>
      <c r="C24" s="4"/>
      <c r="D24" s="18"/>
      <c r="F24" s="3"/>
      <c r="G24" s="44" t="s">
        <v>30</v>
      </c>
      <c r="H24" s="52">
        <f>H19+H20-H21</f>
        <v>172550</v>
      </c>
    </row>
    <row r="26" spans="1:10" x14ac:dyDescent="0.25">
      <c r="A26" t="s">
        <v>1</v>
      </c>
    </row>
    <row r="28" spans="1:10" ht="15.75" thickBot="1" x14ac:dyDescent="0.3"/>
    <row r="29" spans="1:10" ht="19.5" thickBot="1" x14ac:dyDescent="0.35">
      <c r="A29" s="27" t="s">
        <v>49</v>
      </c>
      <c r="B29" s="6"/>
      <c r="C29" s="6"/>
      <c r="D29" s="6"/>
      <c r="E29" s="6"/>
      <c r="F29" s="6"/>
      <c r="G29" s="6"/>
      <c r="H29" s="7"/>
    </row>
    <row r="38" spans="1:1" ht="18.75" x14ac:dyDescent="0.3">
      <c r="A38" s="5"/>
    </row>
  </sheetData>
  <mergeCells count="1">
    <mergeCell ref="A18:A19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INDUSTRIALES CORTEZ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2025-07-08T21:11:11Z</dcterms:modified>
</cp:coreProperties>
</file>