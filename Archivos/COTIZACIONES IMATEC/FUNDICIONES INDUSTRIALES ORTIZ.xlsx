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51F3066-46BE-4E91-B44D-F3A7F53B4FC0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UNDIORTIZ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16" i="1"/>
  <c r="H37" i="1" s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<sst xmlns="http://schemas.openxmlformats.org/spreadsheetml/2006/main" count="54" uniqueCount="54">
  <si>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</si>
  <si>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</si>
  <si>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</si>
  <si>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</si>
  <si>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</si>
  <si>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</si>
  <si>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</si>
  <si>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</si>
  <si>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</si>
  <si>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</si>
  <si>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</si>
  <si>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</si>
  <si>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</si>
  <si>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</si>
  <si>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</si>
  <si>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</si>
  <si>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</si>
  <si>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</si>
  <si>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</si>
  <si>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</si>
  <si>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</si>
  <si>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</si>
  <si>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</si>
  <si>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</si>
  <si>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</si>
  <si>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</si>
  <si>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</si>
  <si>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</si>
  <si>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</si>
  <si>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</si>
  <si>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</si>
  <si>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</si>
  <si>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</si>
  <si>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</si>
  <si>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</si>
  <si>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</si>
  <si>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</si>
  <si>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</si>
  <si>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</si>
  <si>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</si>
  <si>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</si>
  <si>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</si>
  <si>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>FUNDICIONES INDUSTRIALES ORTIZ SAS</t>
  </si>
  <si>
    <t>805 006432</t>
  </si>
  <si>
    <t>CALLE 68 A  No.7C-32</t>
  </si>
  <si>
    <t>CALI</t>
  </si>
  <si>
    <t>facturacion@fundiortiz.com</t>
  </si>
  <si>
    <t>602 3799623</t>
  </si>
  <si>
    <t>METRO LINEAL</t>
  </si>
  <si>
    <t>FORMA DE PAGO : CONTADO</t>
  </si>
  <si>
    <t xml:space="preserve">  CALLE  33B  No. 17C - 70   2º PISO               B/  LA FLORESTA             -   CALI    -                                  CEL.     321 7834969</t>
  </si>
  <si>
    <t>BRIDA  SLIP ON   A / C   30 "  X  150 LB</t>
  </si>
  <si>
    <t>UN MILLON SEISCIENTOS SETENTA Y SIETE MIL NOVE-</t>
  </si>
  <si>
    <t>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</si>
</sst>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10" fontId="1" fillId="0" borderId="0" xfId="0" applyNumberFormat="1" applyFont="1"/>
    <xf numFmtId="0" fontId="0" fillId="0" borderId="2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fundiorti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30" zoomScaleNormal="100" workbookViewId="0">
      <selection activeCell="F33" sqref="F3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43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44</v>
      </c>
      <c r="D9" s="25"/>
      <c r="E9" s="26" t="s">
        <v>45</v>
      </c>
      <c r="F9" s="33" t="s">
        <v>0</v>
      </c>
      <c r="H9" s="34">
        <v>45484</v>
      </c>
    </row>
    <row r="10" spans="1:8" ht="18.75" x14ac:dyDescent="0.3">
      <c r="A10" s="22" t="s">
        <v>14</v>
      </c>
      <c r="C10" s="57" t="s">
        <v>46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45492</v>
      </c>
    </row>
    <row r="12" spans="1:8" ht="18.75" x14ac:dyDescent="0.3">
      <c r="A12" s="22" t="s">
        <v>12</v>
      </c>
      <c r="C12" s="26" t="s">
        <v>47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51</v>
      </c>
      <c r="C16" s="42"/>
      <c r="D16" s="63"/>
      <c r="E16" s="62" t="s">
        <v>48</v>
      </c>
      <c r="F16" s="66">
        <v>1410000</v>
      </c>
      <c r="G16" s="62">
        <v>1</v>
      </c>
      <c r="H16" s="64">
        <f>G16*F16</f>
        <v>1410000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1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2" t="s">
        <v>26</v>
      </c>
      <c r="B36" s="12" t="s">
        <v>52</v>
      </c>
      <c r="C36" s="13"/>
      <c r="D36" s="14"/>
      <c r="E36" s="13"/>
      <c r="F36" s="47" t="s">
        <v>32</v>
      </c>
      <c r="G36" s="13"/>
      <c r="H36" s="7"/>
    </row>
    <row r="37" spans="1:8" ht="19.5" customHeight="1" thickBot="1" x14ac:dyDescent="0.3">
      <c r="A37" s="73"/>
      <c r="B37" s="17" t="s">
        <v>53</v>
      </c>
      <c r="C37" s="4"/>
      <c r="D37" s="4"/>
      <c r="E37" s="48" t="s">
        <v>27</v>
      </c>
      <c r="F37" s="49"/>
      <c r="G37" s="27"/>
      <c r="H37" s="58">
        <f>H16</f>
        <v>1410000</v>
      </c>
    </row>
    <row r="38" spans="1:8" ht="19.5" customHeight="1" x14ac:dyDescent="0.25">
      <c r="A38" s="28" t="s">
        <v>28</v>
      </c>
      <c r="B38" s="13"/>
      <c r="C38" s="13"/>
      <c r="D38" s="14"/>
      <c r="E38" s="3" t="s">
        <v>34</v>
      </c>
      <c r="F38" s="75"/>
      <c r="G38" s="51">
        <v>0.19</v>
      </c>
      <c r="H38" s="59">
        <f>H37*G38</f>
        <v>267900</v>
      </c>
    </row>
    <row r="39" spans="1:8" ht="15.75" x14ac:dyDescent="0.25">
      <c r="A39" s="15" t="s">
        <v>49</v>
      </c>
      <c r="D39" s="16"/>
      <c r="E39" s="49" t="s">
        <v>29</v>
      </c>
      <c r="G39" s="74">
        <v>2.5000000000000001E-2</v>
      </c>
      <c r="H39" s="52">
        <f>H37*G39</f>
        <v>35250</v>
      </c>
    </row>
    <row r="40" spans="1:8" ht="15.75" x14ac:dyDescent="0.25">
      <c r="A40" s="15" t="s">
        <v>41</v>
      </c>
      <c r="D40" s="16"/>
      <c r="F40" s="49"/>
      <c r="G40" s="27"/>
      <c r="H40" s="53"/>
    </row>
    <row r="41" spans="1:8" ht="16.5" thickBot="1" x14ac:dyDescent="0.3">
      <c r="A41" s="15" t="s">
        <v>36</v>
      </c>
      <c r="D41" s="16"/>
      <c r="E41" s="49" t="s">
        <v>30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31</v>
      </c>
      <c r="H42" s="60">
        <f>H37+H38</f>
        <v>1677900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50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FUNDIORTIZ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2024-07-11T20:16:13Z</dcterms:modified>
</cp:coreProperties>
</file>