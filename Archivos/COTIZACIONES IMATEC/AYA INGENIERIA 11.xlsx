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75824E9-3FBF-43A0-8D9E-8330342F6A4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  <c r="H51" i="1"/>
  <c r="H48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50" i="1" l="1"/>
  <c r="H49" i="1"/>
</calcChain>
</file>

<file path=xl/sharedStrings.xml><?xml version="1.0" encoding="utf-8"?>
<sst xmlns="http://schemas.openxmlformats.org/spreadsheetml/2006/main" count="138" uniqueCount="84">
  <si>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</si>
  <si>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</si>
  <si>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</si>
  <si>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</si>
  <si>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</si>
  <si>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</si>
  <si>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</si>
  <si>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</si>
  <si>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</si>
  <si>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</si>
  <si>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</si>
  <si>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</si>
  <si>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</si>
  <si>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</si>
  <si>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</si>
  <si>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</si>
  <si>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</si>
  <si>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</si>
  <si>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</si>
  <si>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</si>
  <si>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</si>
  <si>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</si>
  <si>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</si>
  <si>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</si>
  <si>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</si>
  <si>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</si>
  <si>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</si>
  <si>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</si>
  <si>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</si>
  <si>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</si>
  <si>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</si>
  <si>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</si>
  <si>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</si>
  <si>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</si>
  <si>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</si>
  <si>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</si>
  <si>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</si>
  <si>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</si>
  <si>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</si>
  <si>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</si>
  <si>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</si>
  <si>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</si>
  <si>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</si>
  <si>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</si>
  <si>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</si>
  <si>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</si>
  <si>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ACCESORIO</t>
  </si>
  <si>
    <t xml:space="preserve">           C O T I Z A C I O N</t>
  </si>
  <si>
    <t>10 DIAS</t>
  </si>
  <si>
    <t>ENTREGA EN UN DIA POSTERIOR A ORDEN DE COMPRA</t>
  </si>
  <si>
    <t>No. 11</t>
  </si>
  <si>
    <t>FABRICACION</t>
  </si>
  <si>
    <t>METRO LINEAL</t>
  </si>
  <si>
    <t xml:space="preserve">  RETEICA</t>
  </si>
  <si>
    <t>NOVENTA Y CINCO MILLONES QUINIENTOS SESENTA Y</t>
  </si>
  <si>
    <t>TRES MIL TRESCIENTOS CINCUENTA Y TRES PESOS MCTE</t>
  </si>
  <si>
    <t>SEMICODO AC/INOX  304  SCH 10  4 "  X  45 º</t>
  </si>
  <si>
    <t>SEMICODO AC/INOX  304  SCH 10  6 "  X  45 º</t>
  </si>
  <si>
    <t>CODO AC/INOX  304  SCH 10 3 "  X  90 º</t>
  </si>
  <si>
    <t>CODO AC/INOX  304  SCH 10 6 "  X  90 º</t>
  </si>
  <si>
    <t>CODO AC/INOX  304  SCH 10 4 "  X  90 º</t>
  </si>
  <si>
    <t>BRIDA  A / C  LAP JOIN X 150 LBS</t>
  </si>
  <si>
    <t>1 1/2 "</t>
  </si>
  <si>
    <t>12 "</t>
  </si>
  <si>
    <t>3 "</t>
  </si>
  <si>
    <t>4 "</t>
  </si>
  <si>
    <t>8 "</t>
  </si>
  <si>
    <t>6 "</t>
  </si>
  <si>
    <t xml:space="preserve">STUB END  AC/INOX 304  SCH 10 </t>
  </si>
  <si>
    <t>2 1/2 "</t>
  </si>
  <si>
    <t xml:space="preserve">3 " </t>
  </si>
  <si>
    <t>RED. COPA AC/INOX 304 SCH 10</t>
  </si>
  <si>
    <t>4 "  X  2 "</t>
  </si>
  <si>
    <t>4 "  X  3 "</t>
  </si>
  <si>
    <t>8 "  X  6 "</t>
  </si>
  <si>
    <t>TEE AC/INOX 304  SCH 10</t>
  </si>
  <si>
    <t>TUBERIA  AC/INOX 304 SCH 10</t>
  </si>
  <si>
    <t xml:space="preserve">4 " </t>
  </si>
  <si>
    <t xml:space="preserve">RED COPA AC/INOX 304 SCH 10 </t>
  </si>
  <si>
    <t>6 "  X  4 "</t>
  </si>
  <si>
    <t>4 "  X  1 1/2 "</t>
  </si>
  <si>
    <t>6 "  X  3 "</t>
  </si>
  <si>
    <t>10 "  X  6 "</t>
  </si>
  <si>
    <t>RED EXCENTRICA AC/INOX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</si>
</sst>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10" fontId="1" fillId="0" borderId="25" xfId="0" applyNumberFormat="1" applyFont="1" applyBorder="1"/>
    <xf numFmtId="0" fontId="0" fillId="0" borderId="0" xfId="0" applyBorder="1"/>
    <xf numFmtId="0" fontId="1" fillId="0" borderId="10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8"/>
  <sheetViews>
    <sheetView tabSelected="1" topLeftCell="A34" zoomScaleNormal="100" workbookViewId="0">
      <selection activeCell="J49" sqref="J4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0" t="s">
        <v>40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41</v>
      </c>
      <c r="D9" s="23"/>
      <c r="E9" s="63" t="s">
        <v>42</v>
      </c>
      <c r="F9" s="30" t="s">
        <v>0</v>
      </c>
      <c r="H9" s="28">
        <v>45850</v>
      </c>
    </row>
    <row r="10" spans="1:8" ht="18.75" x14ac:dyDescent="0.3">
      <c r="A10" s="21" t="s">
        <v>13</v>
      </c>
      <c r="C10" s="64" t="s">
        <v>43</v>
      </c>
      <c r="D10" s="59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45859</v>
      </c>
    </row>
    <row r="12" spans="1:8" ht="18.75" x14ac:dyDescent="0.3">
      <c r="A12" s="21" t="s">
        <v>11</v>
      </c>
      <c r="C12" s="65" t="s">
        <v>44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45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81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3" t="s">
        <v>56</v>
      </c>
      <c r="C16" s="75"/>
      <c r="D16" s="76"/>
      <c r="E16" s="74" t="s">
        <v>46</v>
      </c>
      <c r="F16" s="80">
        <v>81100</v>
      </c>
      <c r="G16" s="74">
        <v>8</v>
      </c>
      <c r="H16" s="38">
        <f t="shared" ref="H16" si="0">G16*F16</f>
        <v>648800</v>
      </c>
    </row>
    <row r="17" spans="1:8" ht="16.5" thickBot="1" x14ac:dyDescent="0.3">
      <c r="A17" s="68">
        <v>2</v>
      </c>
      <c r="B17" s="69" t="s">
        <v>57</v>
      </c>
      <c r="C17" s="70"/>
      <c r="D17" s="71"/>
      <c r="E17" s="68" t="s">
        <v>46</v>
      </c>
      <c r="F17" s="72">
        <v>194600</v>
      </c>
      <c r="G17" s="68">
        <v>4</v>
      </c>
      <c r="H17" s="38">
        <f t="shared" ref="H17:H45" si="1">G17*F17</f>
        <v>778400</v>
      </c>
    </row>
    <row r="18" spans="1:8" ht="16.5" thickBot="1" x14ac:dyDescent="0.3">
      <c r="A18" s="68">
        <v>3</v>
      </c>
      <c r="B18" s="69" t="s">
        <v>58</v>
      </c>
      <c r="C18" s="70"/>
      <c r="D18" s="71"/>
      <c r="E18" s="68" t="s">
        <v>46</v>
      </c>
      <c r="F18" s="72">
        <v>56970</v>
      </c>
      <c r="G18" s="68">
        <v>10</v>
      </c>
      <c r="H18" s="38">
        <f t="shared" si="1"/>
        <v>569700</v>
      </c>
    </row>
    <row r="19" spans="1:8" ht="16.5" thickBot="1" x14ac:dyDescent="0.3">
      <c r="A19" s="68">
        <v>4</v>
      </c>
      <c r="B19" s="69" t="s">
        <v>59</v>
      </c>
      <c r="C19" s="70"/>
      <c r="D19" s="71"/>
      <c r="E19" s="68" t="s">
        <v>46</v>
      </c>
      <c r="F19" s="72">
        <v>151200</v>
      </c>
      <c r="G19" s="68">
        <v>19</v>
      </c>
      <c r="H19" s="38">
        <f t="shared" si="1"/>
        <v>2872800</v>
      </c>
    </row>
    <row r="20" spans="1:8" ht="16.5" thickBot="1" x14ac:dyDescent="0.3">
      <c r="A20" s="68">
        <v>5</v>
      </c>
      <c r="B20" s="69" t="s">
        <v>60</v>
      </c>
      <c r="C20" s="70"/>
      <c r="D20" s="71"/>
      <c r="E20" s="68" t="s">
        <v>46</v>
      </c>
      <c r="F20" s="72">
        <v>63450</v>
      </c>
      <c r="G20" s="68">
        <v>45</v>
      </c>
      <c r="H20" s="38">
        <f t="shared" si="1"/>
        <v>2855250</v>
      </c>
    </row>
    <row r="21" spans="1:8" ht="16.5" thickBot="1" x14ac:dyDescent="0.3">
      <c r="A21" s="68">
        <v>6</v>
      </c>
      <c r="B21" s="69" t="s">
        <v>61</v>
      </c>
      <c r="C21" s="70"/>
      <c r="D21" s="71" t="s">
        <v>62</v>
      </c>
      <c r="E21" s="68" t="s">
        <v>46</v>
      </c>
      <c r="F21" s="72">
        <v>20500</v>
      </c>
      <c r="G21" s="68">
        <v>2</v>
      </c>
      <c r="H21" s="38">
        <f t="shared" si="1"/>
        <v>41000</v>
      </c>
    </row>
    <row r="22" spans="1:8" ht="16.5" thickBot="1" x14ac:dyDescent="0.3">
      <c r="A22" s="68">
        <v>7</v>
      </c>
      <c r="B22" s="69" t="s">
        <v>61</v>
      </c>
      <c r="C22" s="70"/>
      <c r="D22" s="71" t="s">
        <v>63</v>
      </c>
      <c r="E22" s="68" t="s">
        <v>46</v>
      </c>
      <c r="F22" s="72">
        <v>238900</v>
      </c>
      <c r="G22" s="68">
        <v>2</v>
      </c>
      <c r="H22" s="38">
        <f t="shared" si="1"/>
        <v>477800</v>
      </c>
    </row>
    <row r="23" spans="1:8" ht="16.5" thickBot="1" x14ac:dyDescent="0.3">
      <c r="A23" s="68">
        <v>8</v>
      </c>
      <c r="B23" s="69" t="s">
        <v>61</v>
      </c>
      <c r="C23" s="70"/>
      <c r="D23" s="71" t="s">
        <v>64</v>
      </c>
      <c r="E23" s="68" t="s">
        <v>46</v>
      </c>
      <c r="F23" s="72">
        <v>38400</v>
      </c>
      <c r="G23" s="68">
        <v>16</v>
      </c>
      <c r="H23" s="38">
        <f t="shared" si="1"/>
        <v>614400</v>
      </c>
    </row>
    <row r="24" spans="1:8" ht="16.5" thickBot="1" x14ac:dyDescent="0.3">
      <c r="A24" s="68">
        <v>9</v>
      </c>
      <c r="B24" s="69" t="s">
        <v>61</v>
      </c>
      <c r="C24" s="70"/>
      <c r="D24" s="71" t="s">
        <v>65</v>
      </c>
      <c r="E24" s="68" t="s">
        <v>46</v>
      </c>
      <c r="F24" s="72">
        <v>53700</v>
      </c>
      <c r="G24" s="68">
        <v>30</v>
      </c>
      <c r="H24" s="38">
        <f t="shared" si="1"/>
        <v>1611000</v>
      </c>
    </row>
    <row r="25" spans="1:8" ht="16.5" thickBot="1" x14ac:dyDescent="0.3">
      <c r="A25" s="68">
        <v>10</v>
      </c>
      <c r="B25" s="69" t="s">
        <v>61</v>
      </c>
      <c r="C25" s="70"/>
      <c r="D25" s="71" t="s">
        <v>66</v>
      </c>
      <c r="E25" s="68" t="s">
        <v>46</v>
      </c>
      <c r="F25" s="72">
        <v>110550</v>
      </c>
      <c r="G25" s="68">
        <v>1</v>
      </c>
      <c r="H25" s="38">
        <f t="shared" si="1"/>
        <v>110550</v>
      </c>
    </row>
    <row r="26" spans="1:8" ht="16.5" thickBot="1" x14ac:dyDescent="0.3">
      <c r="A26" s="68">
        <v>11</v>
      </c>
      <c r="B26" s="69" t="s">
        <v>61</v>
      </c>
      <c r="C26" s="70"/>
      <c r="D26" s="71" t="s">
        <v>67</v>
      </c>
      <c r="E26" s="68" t="s">
        <v>46</v>
      </c>
      <c r="F26" s="72">
        <v>73450</v>
      </c>
      <c r="G26" s="68">
        <v>31</v>
      </c>
      <c r="H26" s="38">
        <f t="shared" si="1"/>
        <v>2276950</v>
      </c>
    </row>
    <row r="27" spans="1:8" ht="16.5" thickBot="1" x14ac:dyDescent="0.3">
      <c r="A27" s="68">
        <v>12</v>
      </c>
      <c r="B27" s="69" t="s">
        <v>68</v>
      </c>
      <c r="C27" s="70"/>
      <c r="D27" s="71" t="s">
        <v>67</v>
      </c>
      <c r="E27" s="68" t="s">
        <v>51</v>
      </c>
      <c r="F27" s="72">
        <v>82400</v>
      </c>
      <c r="G27" s="68">
        <v>33</v>
      </c>
      <c r="H27" s="38">
        <f t="shared" si="1"/>
        <v>2719200</v>
      </c>
    </row>
    <row r="28" spans="1:8" ht="16.5" thickBot="1" x14ac:dyDescent="0.3">
      <c r="A28" s="68">
        <v>13</v>
      </c>
      <c r="B28" s="69" t="s">
        <v>68</v>
      </c>
      <c r="C28" s="70"/>
      <c r="D28" s="71" t="s">
        <v>66</v>
      </c>
      <c r="E28" s="68" t="s">
        <v>51</v>
      </c>
      <c r="F28" s="72">
        <v>152600</v>
      </c>
      <c r="G28" s="68">
        <v>1</v>
      </c>
      <c r="H28" s="38">
        <f t="shared" si="1"/>
        <v>152600</v>
      </c>
    </row>
    <row r="29" spans="1:8" ht="16.5" thickBot="1" x14ac:dyDescent="0.3">
      <c r="A29" s="68">
        <v>14</v>
      </c>
      <c r="B29" s="69" t="s">
        <v>68</v>
      </c>
      <c r="C29" s="70"/>
      <c r="D29" s="71" t="s">
        <v>69</v>
      </c>
      <c r="E29" s="68" t="s">
        <v>51</v>
      </c>
      <c r="F29" s="72">
        <v>29700</v>
      </c>
      <c r="G29" s="68">
        <v>2</v>
      </c>
      <c r="H29" s="38">
        <f t="shared" si="1"/>
        <v>59400</v>
      </c>
    </row>
    <row r="30" spans="1:8" ht="16.5" thickBot="1" x14ac:dyDescent="0.3">
      <c r="A30" s="68">
        <v>15</v>
      </c>
      <c r="B30" s="69" t="s">
        <v>68</v>
      </c>
      <c r="C30" s="70"/>
      <c r="D30" s="71" t="s">
        <v>70</v>
      </c>
      <c r="E30" s="68" t="s">
        <v>51</v>
      </c>
      <c r="F30" s="72">
        <v>35800</v>
      </c>
      <c r="G30" s="68">
        <v>16</v>
      </c>
      <c r="H30" s="38">
        <f t="shared" si="1"/>
        <v>572800</v>
      </c>
    </row>
    <row r="31" spans="1:8" ht="16.5" thickBot="1" x14ac:dyDescent="0.3">
      <c r="A31" s="68">
        <v>16</v>
      </c>
      <c r="B31" s="69" t="s">
        <v>68</v>
      </c>
      <c r="C31" s="70"/>
      <c r="D31" s="71" t="s">
        <v>65</v>
      </c>
      <c r="E31" s="68" t="s">
        <v>51</v>
      </c>
      <c r="F31" s="72">
        <v>50650</v>
      </c>
      <c r="G31" s="68">
        <v>30</v>
      </c>
      <c r="H31" s="38">
        <f t="shared" si="1"/>
        <v>1519500</v>
      </c>
    </row>
    <row r="32" spans="1:8" ht="16.5" thickBot="1" x14ac:dyDescent="0.3">
      <c r="A32" s="68">
        <v>17</v>
      </c>
      <c r="B32" s="69" t="s">
        <v>71</v>
      </c>
      <c r="C32" s="70"/>
      <c r="D32" s="71" t="s">
        <v>72</v>
      </c>
      <c r="E32" s="68" t="s">
        <v>46</v>
      </c>
      <c r="F32" s="72">
        <v>49950</v>
      </c>
      <c r="G32" s="68">
        <v>2</v>
      </c>
      <c r="H32" s="38">
        <f t="shared" si="1"/>
        <v>99900</v>
      </c>
    </row>
    <row r="33" spans="1:8" ht="16.5" thickBot="1" x14ac:dyDescent="0.3">
      <c r="A33" s="68">
        <v>18</v>
      </c>
      <c r="B33" s="69" t="s">
        <v>71</v>
      </c>
      <c r="C33" s="70"/>
      <c r="D33" s="71" t="s">
        <v>73</v>
      </c>
      <c r="E33" s="68" t="s">
        <v>46</v>
      </c>
      <c r="F33" s="72">
        <v>49950</v>
      </c>
      <c r="G33" s="68">
        <v>4</v>
      </c>
      <c r="H33" s="38">
        <f t="shared" si="1"/>
        <v>199800</v>
      </c>
    </row>
    <row r="34" spans="1:8" ht="16.5" thickBot="1" x14ac:dyDescent="0.3">
      <c r="A34" s="68">
        <v>19</v>
      </c>
      <c r="B34" s="69" t="s">
        <v>71</v>
      </c>
      <c r="C34" s="70"/>
      <c r="D34" s="71" t="s">
        <v>74</v>
      </c>
      <c r="E34" s="68" t="s">
        <v>46</v>
      </c>
      <c r="F34" s="72">
        <v>162000</v>
      </c>
      <c r="G34" s="68">
        <v>1</v>
      </c>
      <c r="H34" s="38">
        <f t="shared" si="1"/>
        <v>162000</v>
      </c>
    </row>
    <row r="35" spans="1:8" ht="16.5" thickBot="1" x14ac:dyDescent="0.3">
      <c r="A35" s="68">
        <v>20</v>
      </c>
      <c r="B35" s="69" t="s">
        <v>75</v>
      </c>
      <c r="C35" s="70"/>
      <c r="D35" s="71" t="s">
        <v>67</v>
      </c>
      <c r="E35" s="68" t="s">
        <v>46</v>
      </c>
      <c r="F35" s="72">
        <v>205200</v>
      </c>
      <c r="G35" s="68">
        <v>3</v>
      </c>
      <c r="H35" s="38">
        <f t="shared" si="1"/>
        <v>615600</v>
      </c>
    </row>
    <row r="36" spans="1:8" ht="16.5" thickBot="1" x14ac:dyDescent="0.3">
      <c r="A36" s="68">
        <v>21</v>
      </c>
      <c r="B36" s="69" t="s">
        <v>75</v>
      </c>
      <c r="C36" s="70"/>
      <c r="D36" s="71" t="s">
        <v>65</v>
      </c>
      <c r="E36" s="68" t="s">
        <v>46</v>
      </c>
      <c r="F36" s="72">
        <v>103950</v>
      </c>
      <c r="G36" s="68">
        <v>1</v>
      </c>
      <c r="H36" s="38">
        <f t="shared" si="1"/>
        <v>103950</v>
      </c>
    </row>
    <row r="37" spans="1:8" ht="16.5" thickBot="1" x14ac:dyDescent="0.3">
      <c r="A37" s="68">
        <v>22</v>
      </c>
      <c r="B37" s="69" t="s">
        <v>76</v>
      </c>
      <c r="C37" s="70"/>
      <c r="D37" s="71" t="s">
        <v>64</v>
      </c>
      <c r="E37" s="68" t="s">
        <v>52</v>
      </c>
      <c r="F37" s="72">
        <v>123750</v>
      </c>
      <c r="G37" s="68">
        <v>24</v>
      </c>
      <c r="H37" s="38">
        <f t="shared" si="1"/>
        <v>2970000</v>
      </c>
    </row>
    <row r="38" spans="1:8" ht="16.5" thickBot="1" x14ac:dyDescent="0.3">
      <c r="A38" s="68">
        <v>23</v>
      </c>
      <c r="B38" s="69" t="s">
        <v>76</v>
      </c>
      <c r="C38" s="70"/>
      <c r="D38" s="71" t="s">
        <v>77</v>
      </c>
      <c r="E38" s="68" t="s">
        <v>52</v>
      </c>
      <c r="F38" s="72">
        <v>162900</v>
      </c>
      <c r="G38" s="68">
        <v>300</v>
      </c>
      <c r="H38" s="38">
        <f t="shared" si="1"/>
        <v>48870000</v>
      </c>
    </row>
    <row r="39" spans="1:8" ht="16.5" thickBot="1" x14ac:dyDescent="0.3">
      <c r="A39" s="68">
        <v>24</v>
      </c>
      <c r="B39" s="69" t="s">
        <v>76</v>
      </c>
      <c r="C39" s="70"/>
      <c r="D39" s="71" t="s">
        <v>67</v>
      </c>
      <c r="E39" s="68" t="s">
        <v>52</v>
      </c>
      <c r="F39" s="72">
        <v>243000</v>
      </c>
      <c r="G39" s="68">
        <v>42</v>
      </c>
      <c r="H39" s="38">
        <f t="shared" si="1"/>
        <v>10206000</v>
      </c>
    </row>
    <row r="40" spans="1:8" ht="16.5" thickBot="1" x14ac:dyDescent="0.3">
      <c r="A40" s="68">
        <v>25</v>
      </c>
      <c r="B40" s="69" t="s">
        <v>78</v>
      </c>
      <c r="C40" s="70"/>
      <c r="D40" s="71" t="s">
        <v>79</v>
      </c>
      <c r="E40" s="68" t="s">
        <v>46</v>
      </c>
      <c r="F40" s="72">
        <v>93850</v>
      </c>
      <c r="G40" s="68">
        <v>2</v>
      </c>
      <c r="H40" s="38">
        <f t="shared" si="1"/>
        <v>187700</v>
      </c>
    </row>
    <row r="41" spans="1:8" ht="16.5" thickBot="1" x14ac:dyDescent="0.3">
      <c r="A41" s="68">
        <v>26</v>
      </c>
      <c r="B41" s="69" t="s">
        <v>78</v>
      </c>
      <c r="C41" s="70"/>
      <c r="D41" s="71" t="s">
        <v>80</v>
      </c>
      <c r="E41" s="68" t="s">
        <v>46</v>
      </c>
      <c r="F41" s="72">
        <v>62500</v>
      </c>
      <c r="G41" s="68">
        <v>2</v>
      </c>
      <c r="H41" s="38">
        <f t="shared" si="1"/>
        <v>125000</v>
      </c>
    </row>
    <row r="42" spans="1:8" ht="16.5" thickBot="1" x14ac:dyDescent="0.3">
      <c r="A42" s="68">
        <v>27</v>
      </c>
      <c r="B42" s="69" t="s">
        <v>78</v>
      </c>
      <c r="C42" s="70"/>
      <c r="D42" s="71" t="s">
        <v>81</v>
      </c>
      <c r="E42" s="68" t="s">
        <v>46</v>
      </c>
      <c r="F42" s="72">
        <v>105100</v>
      </c>
      <c r="G42" s="68">
        <v>2</v>
      </c>
      <c r="H42" s="38">
        <f t="shared" si="1"/>
        <v>210200</v>
      </c>
    </row>
    <row r="43" spans="1:8" ht="16.5" thickBot="1" x14ac:dyDescent="0.3">
      <c r="A43" s="68">
        <v>28</v>
      </c>
      <c r="B43" s="69" t="s">
        <v>78</v>
      </c>
      <c r="C43" s="70"/>
      <c r="D43" s="71" t="s">
        <v>82</v>
      </c>
      <c r="E43" s="68" t="s">
        <v>46</v>
      </c>
      <c r="F43" s="72">
        <v>353700</v>
      </c>
      <c r="G43" s="68">
        <v>1</v>
      </c>
      <c r="H43" s="38">
        <f t="shared" si="1"/>
        <v>353700</v>
      </c>
    </row>
    <row r="44" spans="1:8" ht="16.5" thickBot="1" x14ac:dyDescent="0.3">
      <c r="A44" s="68">
        <v>29</v>
      </c>
      <c r="B44" s="69" t="s">
        <v>83</v>
      </c>
      <c r="C44" s="70"/>
      <c r="D44" s="71" t="s">
        <v>79</v>
      </c>
      <c r="E44" s="68" t="s">
        <v>46</v>
      </c>
      <c r="F44" s="72">
        <v>145200</v>
      </c>
      <c r="G44" s="68">
        <v>2</v>
      </c>
      <c r="H44" s="38">
        <f t="shared" si="1"/>
        <v>290400</v>
      </c>
    </row>
    <row r="45" spans="1:8" ht="16.5" thickBot="1" x14ac:dyDescent="0.3">
      <c r="A45" s="68">
        <v>30</v>
      </c>
      <c r="B45" s="69" t="s">
        <v>83</v>
      </c>
      <c r="C45" s="70"/>
      <c r="D45" s="71" t="s">
        <v>81</v>
      </c>
      <c r="E45" s="68" t="s">
        <v>46</v>
      </c>
      <c r="F45" s="72">
        <v>150000</v>
      </c>
      <c r="G45" s="68">
        <v>2</v>
      </c>
      <c r="H45" s="38">
        <f t="shared" si="1"/>
        <v>300000</v>
      </c>
    </row>
    <row r="46" spans="1:8" ht="19.5" customHeight="1" thickBot="1" x14ac:dyDescent="0.3">
      <c r="A46" s="47"/>
      <c r="B46" s="83"/>
      <c r="C46" s="78"/>
      <c r="D46" s="84"/>
      <c r="E46" s="47"/>
      <c r="F46" s="47"/>
      <c r="G46" s="47"/>
    </row>
    <row r="47" spans="1:8" ht="19.5" customHeight="1" thickBot="1" x14ac:dyDescent="0.35">
      <c r="A47" s="82" t="s">
        <v>23</v>
      </c>
      <c r="B47" s="85" t="s">
        <v>54</v>
      </c>
      <c r="C47" s="12"/>
      <c r="D47" s="13"/>
      <c r="E47" s="48"/>
      <c r="F47" s="37" t="s">
        <v>37</v>
      </c>
      <c r="G47" s="6"/>
      <c r="H47" s="7"/>
    </row>
    <row r="48" spans="1:8" ht="19.5" customHeight="1" thickBot="1" x14ac:dyDescent="0.3">
      <c r="A48" s="39"/>
      <c r="B48" s="16" t="s">
        <v>55</v>
      </c>
      <c r="C48" s="4"/>
      <c r="D48" s="17"/>
      <c r="E48" s="51" t="s">
        <v>24</v>
      </c>
      <c r="F48" s="52"/>
      <c r="G48" s="44"/>
      <c r="H48" s="49">
        <f>SUM(H16:H45)</f>
        <v>82574400</v>
      </c>
    </row>
    <row r="49" spans="1:8" ht="19.5" customHeight="1" x14ac:dyDescent="0.25">
      <c r="A49" s="24" t="s">
        <v>25</v>
      </c>
      <c r="B49" s="12"/>
      <c r="C49" s="12"/>
      <c r="D49" s="12"/>
      <c r="E49" s="53" t="s">
        <v>29</v>
      </c>
      <c r="F49" s="23"/>
      <c r="G49" s="54">
        <v>0.19</v>
      </c>
      <c r="H49" s="40">
        <f>H48*G49</f>
        <v>15689136</v>
      </c>
    </row>
    <row r="50" spans="1:8" ht="19.5" customHeight="1" x14ac:dyDescent="0.25">
      <c r="A50" s="14" t="s">
        <v>30</v>
      </c>
      <c r="E50" s="55" t="s">
        <v>26</v>
      </c>
      <c r="F50" s="78"/>
      <c r="G50" s="77">
        <v>2.5000000000000001E-2</v>
      </c>
      <c r="H50" s="50">
        <f>H48*G50</f>
        <v>2064360</v>
      </c>
    </row>
    <row r="51" spans="1:8" ht="15.75" x14ac:dyDescent="0.25">
      <c r="A51" s="14" t="s">
        <v>49</v>
      </c>
      <c r="E51" s="53" t="s">
        <v>53</v>
      </c>
      <c r="F51" s="33"/>
      <c r="G51" s="79">
        <v>7.7000000000000002E-3</v>
      </c>
      <c r="H51" s="50">
        <f>H48*G51</f>
        <v>635822.88</v>
      </c>
    </row>
    <row r="52" spans="1:8" ht="16.5" thickBot="1" x14ac:dyDescent="0.3">
      <c r="A52" s="14" t="s">
        <v>32</v>
      </c>
      <c r="E52" s="56" t="s">
        <v>27</v>
      </c>
      <c r="F52" s="57"/>
      <c r="G52" s="46"/>
      <c r="H52" s="17"/>
    </row>
    <row r="53" spans="1:8" ht="19.5" thickBot="1" x14ac:dyDescent="0.35">
      <c r="A53" s="16"/>
      <c r="B53" s="4"/>
      <c r="C53" s="4"/>
      <c r="D53" s="17"/>
      <c r="F53" s="3"/>
      <c r="G53" s="34" t="s">
        <v>28</v>
      </c>
      <c r="H53" s="36">
        <f>H48+H49-H50-H51</f>
        <v>95563353.120000005</v>
      </c>
    </row>
    <row r="54" spans="1:8" ht="16.5" customHeight="1" x14ac:dyDescent="0.25"/>
    <row r="59" spans="1:8" ht="15.75" thickBot="1" x14ac:dyDescent="0.3"/>
    <row r="60" spans="1:8" ht="19.5" thickBot="1" x14ac:dyDescent="0.35">
      <c r="A60" s="25" t="s">
        <v>38</v>
      </c>
      <c r="B60" s="6"/>
      <c r="C60" s="6"/>
      <c r="D60" s="6"/>
      <c r="E60" s="6"/>
      <c r="F60" s="6"/>
      <c r="G60" s="6"/>
      <c r="H60" s="7"/>
    </row>
    <row r="68" spans="1:1" ht="18.75" x14ac:dyDescent="0.3">
      <c r="A68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2025-07-12T15:35:56Z</dcterms:modified>
</cp:coreProperties>
</file>