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9FCF4D57-F4E2-49A0-8989-85B32F640960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CASA AGRARIA DEL PAC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2" i="1" l="1"/>
  <c r="H19" i="1"/>
  <c r="H18" i="1"/>
  <c r="H17" i="1"/>
  <c r="H16" i="1"/>
  <c r="H24" i="1" l="1"/>
  <c r="H23" i="1"/>
  <c r="H27" i="1" s="1"/>
</calcChain>
</file>

<file path=xl/sharedStrings.xml><?xml version="1.0" encoding="utf-8"?>
<sst xmlns="http://schemas.openxmlformats.org/spreadsheetml/2006/main" count="59" uniqueCount="56">
  <si>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</si>
  <si>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</si>
  <si>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</si>
  <si>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</si>
  <si>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</si>
  <si>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</si>
  <si>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</si>
  <si>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</si>
  <si>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</si>
  <si>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</si>
  <si>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</si>
  <si>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</si>
  <si>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</si>
  <si>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</si>
  <si>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</si>
  <si>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</si>
  <si>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</si>
  <si>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</si>
  <si>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</si>
  <si>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</si>
  <si>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</si>
  <si>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</si>
  <si>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</si>
  <si>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</si>
  <si>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</si>
  <si>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</si>
  <si>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</si>
  <si>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</si>
  <si>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</si>
  <si>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</si>
  <si>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</si>
  <si>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</si>
  <si>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</si>
  <si>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</si>
  <si>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</si>
  <si>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</si>
  <si>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</si>
  <si>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</si>
  <si>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</si>
  <si>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</si>
  <si>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</si>
  <si>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 xml:space="preserve">           C O T I Z A C I O N</t>
  </si>
  <si>
    <t>CASA AGRARIA DEL PACIFICO S.A.S.</t>
  </si>
  <si>
    <t>CALLE 3  No. 4-32</t>
  </si>
  <si>
    <t>YUMBO</t>
  </si>
  <si>
    <t>casagrariadelpac@hotmail.com</t>
  </si>
  <si>
    <t>602 6955467</t>
  </si>
  <si>
    <t>EDINSON CABEZAS</t>
  </si>
  <si>
    <t>TUBO X 6 MTS</t>
  </si>
  <si>
    <t>No. 2</t>
  </si>
  <si>
    <t>TUBERIA CUADRADA ESTRUCTURAL 40 mm X 3 mm</t>
  </si>
  <si>
    <t>TUBERIA CUADRADA ESTRUCTURAL 50 mm X 3 mm</t>
  </si>
  <si>
    <t xml:space="preserve">TUBERIA RECTANGULAR ESTRUCT. 50 X 25 mmX2.5 </t>
  </si>
  <si>
    <t>TUBERIA RECTANGULAR ESTRUC 100 X 50 mm X 4 m</t>
  </si>
  <si>
    <t>DOS MILLONES CIENTO VEINTIDOS MIL SEISCIENTOS</t>
  </si>
  <si>
    <t>TREINTA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</si>
</sst>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4" fillId="0" borderId="3" xfId="0" applyFont="1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3" fillId="0" borderId="9" xfId="2" applyBorder="1"/>
    <xf numFmtId="0" fontId="8" fillId="0" borderId="0" xfId="0" applyFont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0" fillId="0" borderId="32" xfId="0" applyBorder="1"/>
    <xf numFmtId="0" fontId="8" fillId="0" borderId="33" xfId="0" applyFont="1" applyBorder="1"/>
    <xf numFmtId="0" fontId="8" fillId="0" borderId="34" xfId="0" applyFont="1" applyBorder="1"/>
    <xf numFmtId="0" fontId="8" fillId="0" borderId="35" xfId="0" applyFont="1" applyBorder="1"/>
    <xf numFmtId="0" fontId="8" fillId="0" borderId="36" xfId="0" applyFont="1" applyBorder="1"/>
    <xf numFmtId="0" fontId="0" fillId="0" borderId="37" xfId="0" applyBorder="1"/>
    <xf numFmtId="42" fontId="11" fillId="0" borderId="30" xfId="1" applyFont="1" applyBorder="1" applyAlignment="1">
      <alignment horizontal="center"/>
    </xf>
    <xf numFmtId="42" fontId="11" fillId="0" borderId="31" xfId="1" applyFont="1" applyBorder="1" applyAlignment="1">
      <alignment horizontal="center"/>
    </xf>
    <xf numFmtId="0" fontId="0" fillId="0" borderId="31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0" fillId="0" borderId="1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sagrariadelpac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2"/>
  <sheetViews>
    <sheetView tabSelected="1" topLeftCell="A4" zoomScaleNormal="100" workbookViewId="0">
      <selection activeCell="G12" sqref="G12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39</v>
      </c>
    </row>
    <row r="3" spans="1:8" ht="27" thickBot="1" x14ac:dyDescent="0.45">
      <c r="A3" s="11" t="s">
        <v>40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41</v>
      </c>
      <c r="G6" s="43"/>
      <c r="H6" s="44"/>
    </row>
    <row r="7" spans="1:8" ht="19.5" thickBot="1" x14ac:dyDescent="0.35">
      <c r="A7" s="20" t="s">
        <v>14</v>
      </c>
      <c r="B7" s="12"/>
      <c r="C7" s="46" t="s">
        <v>42</v>
      </c>
      <c r="D7" s="6"/>
      <c r="E7" s="6"/>
      <c r="F7" s="37"/>
      <c r="G7" s="18"/>
      <c r="H7" s="19" t="s">
        <v>49</v>
      </c>
    </row>
    <row r="8" spans="1:8" ht="19.5" thickBot="1" x14ac:dyDescent="0.35">
      <c r="A8" s="21" t="s">
        <v>8</v>
      </c>
      <c r="C8" s="14">
        <v>900741359</v>
      </c>
      <c r="E8" s="15"/>
      <c r="H8" s="15"/>
    </row>
    <row r="9" spans="1:8" ht="18.75" customHeight="1" thickBot="1" x14ac:dyDescent="0.35">
      <c r="A9" s="21" t="s">
        <v>9</v>
      </c>
      <c r="C9" s="14" t="s">
        <v>43</v>
      </c>
      <c r="E9" s="76" t="s">
        <v>44</v>
      </c>
      <c r="F9" s="30" t="s">
        <v>0</v>
      </c>
      <c r="H9" s="28">
        <v>45632</v>
      </c>
    </row>
    <row r="10" spans="1:8" ht="18.75" x14ac:dyDescent="0.3">
      <c r="A10" s="21" t="s">
        <v>13</v>
      </c>
      <c r="C10" s="50" t="s">
        <v>45</v>
      </c>
      <c r="E10" s="15"/>
      <c r="F10" s="30" t="s">
        <v>15</v>
      </c>
      <c r="H10" s="29" t="s">
        <v>32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45641</v>
      </c>
    </row>
    <row r="12" spans="1:8" ht="18.75" x14ac:dyDescent="0.3">
      <c r="A12" s="21" t="s">
        <v>11</v>
      </c>
      <c r="C12" s="14" t="s">
        <v>46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47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52" t="s">
        <v>37</v>
      </c>
      <c r="B15" s="24" t="s">
        <v>22</v>
      </c>
      <c r="C15" s="43"/>
      <c r="D15" s="13"/>
      <c r="E15" s="52" t="s">
        <v>18</v>
      </c>
      <c r="F15" s="52" t="s">
        <v>20</v>
      </c>
      <c r="G15" s="52" t="s">
        <v>19</v>
      </c>
      <c r="H15" s="32" t="s">
        <v>21</v>
      </c>
    </row>
    <row r="16" spans="1:8" ht="16.5" thickBot="1" x14ac:dyDescent="0.3">
      <c r="A16" s="54">
        <v>1</v>
      </c>
      <c r="B16" s="57" t="s">
        <v>50</v>
      </c>
      <c r="C16" s="58"/>
      <c r="D16" s="59"/>
      <c r="E16" s="54" t="s">
        <v>48</v>
      </c>
      <c r="F16" s="62">
        <v>118500</v>
      </c>
      <c r="G16" s="54">
        <v>6</v>
      </c>
      <c r="H16" s="38">
        <f t="shared" ref="H16" si="0">G16*F16</f>
        <v>711000</v>
      </c>
    </row>
    <row r="17" spans="1:8" ht="16.5" thickBot="1" x14ac:dyDescent="0.3">
      <c r="A17" s="55">
        <v>2</v>
      </c>
      <c r="B17" s="57" t="s">
        <v>51</v>
      </c>
      <c r="C17" s="51"/>
      <c r="D17" s="60"/>
      <c r="E17" s="55" t="s">
        <v>48</v>
      </c>
      <c r="F17" s="63">
        <v>150500</v>
      </c>
      <c r="G17" s="55">
        <v>5</v>
      </c>
      <c r="H17" s="38">
        <f t="shared" ref="H17:H19" si="1">G17*F17</f>
        <v>752500</v>
      </c>
    </row>
    <row r="18" spans="1:8" ht="16.5" thickBot="1" x14ac:dyDescent="0.3">
      <c r="A18" s="55">
        <v>3</v>
      </c>
      <c r="B18" s="51" t="s">
        <v>52</v>
      </c>
      <c r="C18" s="51"/>
      <c r="D18" s="60"/>
      <c r="E18" s="55" t="s">
        <v>48</v>
      </c>
      <c r="F18" s="63">
        <v>105500</v>
      </c>
      <c r="G18" s="55">
        <v>1</v>
      </c>
      <c r="H18" s="38">
        <f t="shared" si="1"/>
        <v>105500</v>
      </c>
    </row>
    <row r="19" spans="1:8" ht="16.5" thickBot="1" x14ac:dyDescent="0.3">
      <c r="A19" s="55">
        <v>4</v>
      </c>
      <c r="B19" s="51" t="s">
        <v>53</v>
      </c>
      <c r="C19" s="51"/>
      <c r="D19" s="60"/>
      <c r="E19" s="55" t="s">
        <v>48</v>
      </c>
      <c r="F19" s="63">
        <v>253000</v>
      </c>
      <c r="G19" s="55">
        <v>1</v>
      </c>
      <c r="H19" s="38">
        <f t="shared" si="1"/>
        <v>253000</v>
      </c>
    </row>
    <row r="20" spans="1:8" ht="19.5" customHeight="1" thickBot="1" x14ac:dyDescent="0.3">
      <c r="A20" s="56"/>
      <c r="B20" s="45"/>
      <c r="C20" s="42"/>
      <c r="D20" s="61"/>
      <c r="E20" s="64"/>
      <c r="F20" s="64"/>
      <c r="G20" s="64"/>
    </row>
    <row r="21" spans="1:8" ht="19.5" customHeight="1" thickBot="1" x14ac:dyDescent="0.35">
      <c r="A21" s="53" t="s">
        <v>23</v>
      </c>
      <c r="B21" s="14" t="s">
        <v>54</v>
      </c>
      <c r="D21" s="15"/>
      <c r="E21" s="65"/>
      <c r="F21" s="37" t="s">
        <v>29</v>
      </c>
      <c r="G21" s="6"/>
      <c r="H21" s="7"/>
    </row>
    <row r="22" spans="1:8" ht="19.5" customHeight="1" thickBot="1" x14ac:dyDescent="0.3">
      <c r="A22" s="39"/>
      <c r="B22" s="16" t="s">
        <v>55</v>
      </c>
      <c r="C22" s="4"/>
      <c r="D22" s="4"/>
      <c r="E22" s="68" t="s">
        <v>24</v>
      </c>
      <c r="F22" s="69"/>
      <c r="G22" s="47"/>
      <c r="H22" s="66">
        <f>SUM(H16:H19)</f>
        <v>1822000</v>
      </c>
    </row>
    <row r="23" spans="1:8" ht="19.5" customHeight="1" x14ac:dyDescent="0.25">
      <c r="A23" s="24" t="s">
        <v>25</v>
      </c>
      <c r="B23" s="12"/>
      <c r="C23" s="12"/>
      <c r="D23" s="12"/>
      <c r="E23" s="70" t="s">
        <v>30</v>
      </c>
      <c r="F23" s="23"/>
      <c r="G23" s="71">
        <v>0.19</v>
      </c>
      <c r="H23" s="40">
        <f>H22*G23</f>
        <v>346180</v>
      </c>
    </row>
    <row r="24" spans="1:8" ht="19.5" customHeight="1" x14ac:dyDescent="0.25">
      <c r="A24" s="14" t="s">
        <v>31</v>
      </c>
      <c r="E24" s="72" t="s">
        <v>26</v>
      </c>
      <c r="G24" s="75">
        <v>2.5000000000000001E-2</v>
      </c>
      <c r="H24" s="67">
        <f>H22*G24</f>
        <v>45550</v>
      </c>
    </row>
    <row r="25" spans="1:8" ht="15.75" x14ac:dyDescent="0.25">
      <c r="A25" s="14" t="s">
        <v>38</v>
      </c>
      <c r="E25" s="14"/>
      <c r="F25" s="33"/>
      <c r="G25" s="48"/>
      <c r="H25" s="15"/>
    </row>
    <row r="26" spans="1:8" ht="16.5" thickBot="1" x14ac:dyDescent="0.3">
      <c r="A26" s="14" t="s">
        <v>34</v>
      </c>
      <c r="E26" s="73" t="s">
        <v>27</v>
      </c>
      <c r="F26" s="74"/>
      <c r="G26" s="49"/>
      <c r="H26" s="17"/>
    </row>
    <row r="27" spans="1:8" ht="19.5" thickBot="1" x14ac:dyDescent="0.35">
      <c r="A27" s="16"/>
      <c r="B27" s="4"/>
      <c r="C27" s="4"/>
      <c r="D27" s="17"/>
      <c r="F27" s="3"/>
      <c r="G27" s="34" t="s">
        <v>28</v>
      </c>
      <c r="H27" s="36">
        <f>H22+H23-H24</f>
        <v>2122630</v>
      </c>
    </row>
    <row r="28" spans="1:8" ht="16.5" customHeight="1" x14ac:dyDescent="0.25"/>
    <row r="33" spans="1:8" ht="15.75" thickBot="1" x14ac:dyDescent="0.3"/>
    <row r="34" spans="1:8" ht="19.5" thickBot="1" x14ac:dyDescent="0.35">
      <c r="A34" s="25" t="s">
        <v>35</v>
      </c>
      <c r="B34" s="6"/>
      <c r="C34" s="6"/>
      <c r="D34" s="6"/>
      <c r="E34" s="6"/>
      <c r="F34" s="6"/>
      <c r="G34" s="6"/>
      <c r="H34" s="7"/>
    </row>
    <row r="42" spans="1:8" ht="18.75" x14ac:dyDescent="0.3">
      <c r="A42" s="5"/>
    </row>
  </sheetData>
  <hyperlinks>
    <hyperlink ref="C10" r:id="rId1" xr:uid="{1E675426-F0F1-432A-A737-D06B8976ABCB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CASA AGRARIA DEL PAC.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2024-12-06T13:54:05Z</dcterms:modified>
</cp:coreProperties>
</file>