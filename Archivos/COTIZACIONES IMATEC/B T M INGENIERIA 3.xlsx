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4D64E393-840F-4D3B-8954-A70ACC8EFAAE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BTM INGENIERI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9" i="1" l="1"/>
  <c r="H18" i="1"/>
  <c r="H22" i="1" s="1"/>
  <c r="H23" i="1" l="1"/>
  <c r="H26" i="1"/>
</calcChain>
</file>

<file path=xl/sharedStrings.xml><?xml version="1.0" encoding="utf-8"?>
<sst xmlns="http://schemas.openxmlformats.org/spreadsheetml/2006/main" count="54" uniqueCount="54">
  <si>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</si>
  <si>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</si>
  <si>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</si>
  <si>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</si>
  <si>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</si>
  <si>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</si>
  <si>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</si>
  <si>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</si>
  <si>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</si>
  <si>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</si>
  <si>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</si>
  <si>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</si>
  <si>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</si>
  <si>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</si>
  <si>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</si>
  <si>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</si>
  <si>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</si>
  <si>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10 DIAS</t>
  </si>
  <si>
    <t>VENCE</t>
  </si>
  <si>
    <t>ORDEN No.</t>
  </si>
  <si>
    <t xml:space="preserve">             INGENIERIA , MONTAJES  Y  ASISTENCIA  TECNICA  S A S</t>
  </si>
  <si>
    <t xml:space="preserve">                   JAVIER LOZANO TAMAYO C.C. 16´654.252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</si>
  <si>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</si>
  <si>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</si>
  <si>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</si>
  <si>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</si>
  <si>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</si>
  <si>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</si>
  <si>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</si>
  <si>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</si>
  <si>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</si>
  <si>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TOTAL</t>
  </si>
  <si>
    <t>ITEM</t>
  </si>
  <si>
    <t xml:space="preserve">MAS IVA </t>
  </si>
  <si>
    <t>CALI</t>
  </si>
  <si>
    <t>ACCESORIO</t>
  </si>
  <si>
    <t xml:space="preserve">  CALLE  33B  No. 17C - 70   2º  PISO               B/  LA FLORESTA             -   CALI    -                                  CEL.     321 7834969</t>
  </si>
  <si>
    <t>BTM INGENIERIA S.A.S.</t>
  </si>
  <si>
    <t>900 586735</t>
  </si>
  <si>
    <t>CALLE 59 Nte.  No. 3B BIS -107</t>
  </si>
  <si>
    <t>btmingenieriasas@gmail.com</t>
  </si>
  <si>
    <t>310 8814313</t>
  </si>
  <si>
    <t>EDINSON CABEZAS</t>
  </si>
  <si>
    <t>L  I  N  E  A     C O M E R C I A L I Z A C I O N</t>
  </si>
  <si>
    <t>L I Q U I D A C I O N</t>
  </si>
  <si>
    <t xml:space="preserve">               R E M I S I O N</t>
  </si>
  <si>
    <t>No. 3</t>
  </si>
  <si>
    <t>TUBERIA  A / C  SCH 40  6 "  X  50 CMTS</t>
  </si>
  <si>
    <t>TRAMO</t>
  </si>
  <si>
    <t>BRIDA A / C  SLIP ON  6 "  X  150  LBS</t>
  </si>
  <si>
    <t>DOSCIENTOS CINCUENTA Y OCHO MIL SETECIENTOS SEIS</t>
  </si>
  <si>
    <t>PESOS MDA / CTE</t>
  </si>
  <si>
    <t>FORMA DE PAGO :  CONTADO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</si>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</sst>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42" fontId="12" fillId="0" borderId="1" xfId="1" applyFont="1" applyBorder="1" applyAlignment="1">
      <alignment horizontal="center"/>
    </xf>
    <xf numFmtId="42" fontId="1" fillId="0" borderId="1" xfId="0" applyNumberFormat="1" applyFont="1" applyBorder="1"/>
    <xf numFmtId="0" fontId="5" fillId="0" borderId="7" xfId="0" applyFont="1" applyBorder="1"/>
    <xf numFmtId="0" fontId="4" fillId="0" borderId="13" xfId="0" applyFont="1" applyBorder="1"/>
    <xf numFmtId="0" fontId="4" fillId="0" borderId="15" xfId="0" applyFont="1" applyBorder="1"/>
    <xf numFmtId="0" fontId="5" fillId="0" borderId="17" xfId="0" applyFont="1" applyBorder="1"/>
    <xf numFmtId="42" fontId="1" fillId="0" borderId="16" xfId="0" applyNumberFormat="1" applyFont="1" applyBorder="1"/>
    <xf numFmtId="42" fontId="1" fillId="0" borderId="18" xfId="0" applyNumberFormat="1" applyFont="1" applyBorder="1"/>
    <xf numFmtId="0" fontId="0" fillId="0" borderId="17" xfId="0" applyBorder="1"/>
    <xf numFmtId="42" fontId="1" fillId="0" borderId="19" xfId="1" applyFont="1" applyBorder="1" applyAlignment="1">
      <alignment horizontal="center"/>
    </xf>
    <xf numFmtId="0" fontId="0" fillId="0" borderId="20" xfId="0" applyBorder="1"/>
    <xf numFmtId="0" fontId="1" fillId="0" borderId="9" xfId="0" applyFont="1" applyBorder="1"/>
    <xf numFmtId="0" fontId="1" fillId="0" borderId="5" xfId="0" applyFont="1" applyBorder="1" applyAlignment="1">
      <alignment horizontal="center"/>
    </xf>
    <xf numFmtId="0" fontId="0" fillId="0" borderId="3" xfId="0" applyBorder="1"/>
    <xf numFmtId="0" fontId="0" fillId="0" borderId="21" xfId="0" applyBorder="1"/>
    <xf numFmtId="0" fontId="1" fillId="0" borderId="4" xfId="0" applyFont="1" applyBorder="1" applyAlignment="1">
      <alignment horizontal="center"/>
    </xf>
    <xf numFmtId="0" fontId="8" fillId="0" borderId="22" xfId="0" applyFont="1" applyBorder="1"/>
    <xf numFmtId="0" fontId="8" fillId="0" borderId="4" xfId="0" applyFont="1" applyBorder="1"/>
    <xf numFmtId="0" fontId="8" fillId="0" borderId="21" xfId="0" applyFont="1" applyBorder="1"/>
    <xf numFmtId="0" fontId="5" fillId="0" borderId="5" xfId="0" applyFont="1" applyBorder="1"/>
    <xf numFmtId="0" fontId="1" fillId="0" borderId="7" xfId="0" applyFont="1" applyBorder="1" applyAlignment="1">
      <alignment horizontal="center"/>
    </xf>
    <xf numFmtId="0" fontId="8" fillId="0" borderId="7" xfId="0" applyFont="1" applyBorder="1"/>
    <xf numFmtId="42" fontId="12" fillId="0" borderId="7" xfId="1" applyFont="1" applyBorder="1" applyAlignment="1">
      <alignment horizontal="center"/>
    </xf>
    <xf numFmtId="42" fontId="1" fillId="0" borderId="4" xfId="1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13" fillId="0" borderId="20" xfId="2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4" fillId="0" borderId="25" xfId="0" applyFont="1" applyBorder="1"/>
    <xf numFmtId="0" fontId="4" fillId="0" borderId="26" xfId="0" applyFont="1" applyBorder="1"/>
    <xf numFmtId="0" fontId="4" fillId="0" borderId="9" xfId="0" applyFont="1" applyBorder="1"/>
    <xf numFmtId="9" fontId="1" fillId="0" borderId="29" xfId="0" applyNumberFormat="1" applyFont="1" applyBorder="1"/>
    <xf numFmtId="0" fontId="4" fillId="0" borderId="20" xfId="0" applyFont="1" applyBorder="1"/>
    <xf numFmtId="10" fontId="1" fillId="0" borderId="30" xfId="0" applyNumberFormat="1" applyFont="1" applyBorder="1"/>
    <xf numFmtId="0" fontId="4" fillId="0" borderId="32" xfId="0" applyFont="1" applyBorder="1"/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tmingenierias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41"/>
  <sheetViews>
    <sheetView tabSelected="1" topLeftCell="A4" zoomScaleNormal="100" workbookViewId="0">
      <selection activeCell="A26" sqref="A2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8" width="16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 t="s">
        <v>43</v>
      </c>
    </row>
    <row r="3" spans="1:8" ht="27" thickBot="1" x14ac:dyDescent="0.45">
      <c r="A3" s="11" t="s">
        <v>20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8</v>
      </c>
      <c r="B4" s="6"/>
      <c r="C4" s="6"/>
      <c r="D4" s="27" t="s">
        <v>21</v>
      </c>
      <c r="E4" s="17"/>
      <c r="F4" s="18"/>
      <c r="G4" s="6"/>
      <c r="H4" s="7"/>
    </row>
    <row r="5" spans="1:8" ht="15.75" thickBot="1" x14ac:dyDescent="0.3"/>
    <row r="6" spans="1:8" ht="24.75" customHeight="1" thickBot="1" x14ac:dyDescent="0.45">
      <c r="F6" s="11" t="s">
        <v>45</v>
      </c>
      <c r="G6" s="17"/>
      <c r="H6" s="18"/>
    </row>
    <row r="7" spans="1:8" ht="19.5" thickBot="1" x14ac:dyDescent="0.35">
      <c r="A7" s="19" t="s">
        <v>15</v>
      </c>
      <c r="B7" s="13"/>
      <c r="C7" s="28" t="s">
        <v>37</v>
      </c>
      <c r="D7" s="13"/>
      <c r="E7" s="14"/>
      <c r="F7" s="25"/>
      <c r="G7" s="17"/>
      <c r="H7" s="55" t="s">
        <v>46</v>
      </c>
    </row>
    <row r="8" spans="1:8" ht="18.75" x14ac:dyDescent="0.3">
      <c r="A8" s="20" t="s">
        <v>9</v>
      </c>
      <c r="C8" s="63" t="s">
        <v>38</v>
      </c>
      <c r="D8" s="64"/>
      <c r="E8" s="65"/>
      <c r="F8" s="12"/>
      <c r="G8" s="13"/>
      <c r="H8" s="14"/>
    </row>
    <row r="9" spans="1:8" ht="18.75" customHeight="1" x14ac:dyDescent="0.3">
      <c r="A9" s="20" t="s">
        <v>10</v>
      </c>
      <c r="C9" s="66" t="s">
        <v>39</v>
      </c>
      <c r="D9" s="22"/>
      <c r="E9" s="67" t="s">
        <v>34</v>
      </c>
      <c r="F9" s="29" t="s">
        <v>0</v>
      </c>
      <c r="H9" s="30">
        <v>45670</v>
      </c>
    </row>
    <row r="10" spans="1:8" ht="18.75" x14ac:dyDescent="0.3">
      <c r="A10" s="20" t="s">
        <v>14</v>
      </c>
      <c r="C10" s="68" t="s">
        <v>40</v>
      </c>
      <c r="D10" s="23"/>
      <c r="E10" s="69"/>
      <c r="F10" s="29" t="s">
        <v>16</v>
      </c>
      <c r="H10" s="31" t="s">
        <v>17</v>
      </c>
    </row>
    <row r="11" spans="1:8" ht="18.75" x14ac:dyDescent="0.3">
      <c r="A11" s="20" t="s">
        <v>11</v>
      </c>
      <c r="C11" s="46"/>
      <c r="D11" s="23"/>
      <c r="E11" s="69"/>
      <c r="F11" s="29" t="s">
        <v>18</v>
      </c>
      <c r="G11" s="32"/>
      <c r="H11" s="30">
        <v>45679</v>
      </c>
    </row>
    <row r="12" spans="1:8" ht="18.75" x14ac:dyDescent="0.3">
      <c r="A12" s="20" t="s">
        <v>12</v>
      </c>
      <c r="C12" s="46" t="s">
        <v>41</v>
      </c>
      <c r="D12" s="23"/>
      <c r="E12" s="69"/>
      <c r="F12" s="29" t="s">
        <v>19</v>
      </c>
      <c r="H12" s="33"/>
    </row>
    <row r="13" spans="1:8" ht="18.75" customHeight="1" thickBot="1" x14ac:dyDescent="0.35">
      <c r="A13" s="21" t="s">
        <v>13</v>
      </c>
      <c r="B13" s="4"/>
      <c r="C13" s="70" t="s">
        <v>42</v>
      </c>
      <c r="D13" s="71"/>
      <c r="E13" s="72"/>
      <c r="F13" s="15"/>
      <c r="G13" s="4"/>
      <c r="H13" s="16"/>
    </row>
    <row r="16" spans="1:8" ht="15.75" thickBot="1" x14ac:dyDescent="0.3">
      <c r="E16" s="4"/>
      <c r="F16" s="4"/>
      <c r="G16" s="4"/>
      <c r="H16" s="4"/>
    </row>
    <row r="17" spans="1:10" ht="15.75" thickBot="1" x14ac:dyDescent="0.3">
      <c r="A17" s="34" t="s">
        <v>32</v>
      </c>
      <c r="B17" s="49" t="s">
        <v>26</v>
      </c>
      <c r="C17" s="17"/>
      <c r="D17" s="50"/>
      <c r="E17" s="60" t="s">
        <v>22</v>
      </c>
      <c r="F17" s="61" t="s">
        <v>24</v>
      </c>
      <c r="G17" s="61" t="s">
        <v>23</v>
      </c>
      <c r="H17" s="62" t="s">
        <v>25</v>
      </c>
    </row>
    <row r="18" spans="1:10" ht="16.5" thickBot="1" x14ac:dyDescent="0.3">
      <c r="A18" s="51">
        <v>1</v>
      </c>
      <c r="B18" s="52" t="s">
        <v>47</v>
      </c>
      <c r="C18" s="53"/>
      <c r="D18" s="54"/>
      <c r="E18" s="48" t="s">
        <v>48</v>
      </c>
      <c r="F18" s="36">
        <v>125400</v>
      </c>
      <c r="G18" s="34">
        <v>1</v>
      </c>
      <c r="H18" s="45">
        <f t="shared" ref="H18:H19" si="0">F18*G18</f>
        <v>125400</v>
      </c>
      <c r="I18" s="35"/>
      <c r="J18" s="35"/>
    </row>
    <row r="19" spans="1:10" ht="16.5" thickBot="1" x14ac:dyDescent="0.3">
      <c r="A19" s="51">
        <v>2</v>
      </c>
      <c r="B19" s="52" t="s">
        <v>49</v>
      </c>
      <c r="C19" s="53"/>
      <c r="D19" s="54"/>
      <c r="E19" s="48" t="s">
        <v>35</v>
      </c>
      <c r="F19" s="36">
        <v>92000</v>
      </c>
      <c r="G19" s="34">
        <v>1</v>
      </c>
      <c r="H19" s="45">
        <f t="shared" si="0"/>
        <v>92000</v>
      </c>
      <c r="I19" s="35"/>
      <c r="J19" s="35"/>
    </row>
    <row r="20" spans="1:10" ht="16.5" thickBot="1" x14ac:dyDescent="0.3">
      <c r="A20" s="56"/>
      <c r="B20" s="57"/>
      <c r="C20" s="57"/>
      <c r="D20" s="57"/>
      <c r="E20" s="56"/>
      <c r="F20" s="58"/>
      <c r="G20" s="56"/>
      <c r="H20" s="59"/>
      <c r="I20" s="35"/>
      <c r="J20" s="35"/>
    </row>
    <row r="21" spans="1:10" ht="19.5" customHeight="1" thickBot="1" x14ac:dyDescent="0.35">
      <c r="A21" s="80" t="s">
        <v>27</v>
      </c>
      <c r="B21" s="12" t="s">
        <v>50</v>
      </c>
      <c r="C21" s="13"/>
      <c r="D21" s="14"/>
      <c r="E21" s="13"/>
      <c r="F21" s="38" t="s">
        <v>44</v>
      </c>
      <c r="G21" s="13"/>
      <c r="H21" s="7"/>
    </row>
    <row r="22" spans="1:10" ht="19.5" customHeight="1" thickBot="1" x14ac:dyDescent="0.3">
      <c r="A22" s="81"/>
      <c r="B22" s="15" t="s">
        <v>51</v>
      </c>
      <c r="C22" s="4"/>
      <c r="D22" s="4"/>
      <c r="E22" s="73" t="s">
        <v>28</v>
      </c>
      <c r="F22" s="74"/>
      <c r="G22" s="65"/>
      <c r="H22" s="42">
        <f>SUM(H18:H19)</f>
        <v>217400</v>
      </c>
    </row>
    <row r="23" spans="1:10" ht="19.5" customHeight="1" x14ac:dyDescent="0.25">
      <c r="A23" s="24" t="s">
        <v>29</v>
      </c>
      <c r="B23" s="13"/>
      <c r="C23" s="13"/>
      <c r="D23" s="13"/>
      <c r="E23" s="75" t="s">
        <v>33</v>
      </c>
      <c r="F23" s="40"/>
      <c r="G23" s="76">
        <v>0.19</v>
      </c>
      <c r="H23" s="43">
        <f>H22*G23</f>
        <v>41306</v>
      </c>
    </row>
    <row r="24" spans="1:10" ht="15.75" x14ac:dyDescent="0.25">
      <c r="A24" s="47" t="s">
        <v>52</v>
      </c>
      <c r="E24" s="77" t="s">
        <v>30</v>
      </c>
      <c r="F24" s="39"/>
      <c r="G24" s="78">
        <v>2.5000000000000001E-2</v>
      </c>
      <c r="H24" s="43"/>
    </row>
    <row r="25" spans="1:10" ht="16.5" thickBot="1" x14ac:dyDescent="0.3">
      <c r="A25" s="47" t="s">
        <v>53</v>
      </c>
      <c r="E25" s="70"/>
      <c r="F25" s="79"/>
      <c r="G25" s="72"/>
      <c r="H25" s="44"/>
    </row>
    <row r="26" spans="1:10" ht="19.5" thickBot="1" x14ac:dyDescent="0.35">
      <c r="A26" s="15"/>
      <c r="B26" s="4"/>
      <c r="C26" s="4"/>
      <c r="D26" s="16"/>
      <c r="F26" s="3"/>
      <c r="G26" s="41" t="s">
        <v>31</v>
      </c>
      <c r="H26" s="37">
        <f>H22+H23-H24</f>
        <v>258706</v>
      </c>
    </row>
    <row r="27" spans="1:10" ht="16.5" customHeight="1" x14ac:dyDescent="0.25"/>
    <row r="29" spans="1:10" x14ac:dyDescent="0.25">
      <c r="A29" t="s">
        <v>1</v>
      </c>
    </row>
    <row r="31" spans="1:10" ht="15.75" thickBot="1" x14ac:dyDescent="0.3"/>
    <row r="32" spans="1:10" ht="19.5" thickBot="1" x14ac:dyDescent="0.35">
      <c r="A32" s="25" t="s">
        <v>36</v>
      </c>
      <c r="B32" s="6"/>
      <c r="C32" s="6"/>
      <c r="D32" s="6"/>
      <c r="E32" s="6"/>
      <c r="F32" s="6"/>
      <c r="G32" s="6"/>
      <c r="H32" s="7"/>
    </row>
    <row r="41" spans="1:1" ht="18.75" x14ac:dyDescent="0.3">
      <c r="A41" s="5"/>
    </row>
  </sheetData>
  <mergeCells count="1">
    <mergeCell ref="A21:A22"/>
  </mergeCells>
  <hyperlinks>
    <hyperlink ref="C10" r:id="rId1" xr:uid="{6984D6AB-6EC6-48F3-8D33-0853C9932D2E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BTM INGENIERIA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2024-08-14T20:19:50Z</cp:lastPrinted>
  <dcterms:created xsi:type="dcterms:W3CDTF">2018-11-15T17:29:02Z</dcterms:created>
  <dcterms:modified xsi:type="dcterms:W3CDTF">2025-01-14T17:09:13Z</dcterms:modified>
</cp:coreProperties>
</file>