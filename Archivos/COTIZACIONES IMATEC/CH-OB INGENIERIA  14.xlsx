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CDCB1EF-204E-4543-B07E-A289196CF81A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CH-O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<sst xmlns="http://schemas.openxmlformats.org/spreadsheetml/2006/main" count="54" uniqueCount="54">
  <si>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</si>
  <si>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</si>
  <si>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</si>
  <si>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</si>
  <si>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</si>
  <si>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</si>
  <si>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</si>
  <si>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</si>
  <si>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</si>
  <si>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</si>
  <si>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</si>
  <si>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</si>
  <si>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</si>
  <si>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</si>
  <si>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</si>
  <si>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</si>
  <si>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</si>
  <si>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</si>
  <si>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</si>
  <si>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</si>
  <si>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</si>
  <si>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</si>
  <si>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</si>
  <si>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</si>
  <si>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</si>
  <si>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</si>
  <si>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</si>
  <si>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</si>
  <si>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</si>
  <si>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</si>
  <si>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</si>
  <si>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</si>
  <si>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</si>
  <si>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</si>
  <si>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</si>
  <si>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</si>
  <si>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</si>
  <si>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</si>
  <si>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CH-OB INGENIERIA METALMECANICA SAS</t>
  </si>
  <si>
    <t>900 996438</t>
  </si>
  <si>
    <t>CRA 5  No. 33-06</t>
  </si>
  <si>
    <t>CALI</t>
  </si>
  <si>
    <t>financiero@chobingenieria.com</t>
  </si>
  <si>
    <t>320 6950230</t>
  </si>
  <si>
    <t>EDINSON CABEZAS</t>
  </si>
  <si>
    <t xml:space="preserve">           C O T I Z A C I O N</t>
  </si>
  <si>
    <t>L I Q U I D A C I O N</t>
  </si>
  <si>
    <t xml:space="preserve">  CALLE  33A  No. 17F - 56                            B/  LA FLORESTA             -   CALI    -                                   CEL.     321 7834969</t>
  </si>
  <si>
    <t>ENTREGA EN DOS DIAS POSTERIOR A ORDEN DE COMPRA</t>
  </si>
  <si>
    <t>No. 14</t>
  </si>
  <si>
    <t>TUBERIA AC/INOX 304 SCH 80  3 " X 3 MTS</t>
  </si>
  <si>
    <t>TRAMO</t>
  </si>
  <si>
    <t>DOS MILLONES TRESCIENTOS CINCUENTA Y SIETE MIL</t>
  </si>
  <si>
    <t>TRESCIENTOS SETENTA Y 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</si>
</sst>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6" xfId="0" applyBorder="1"/>
    <xf numFmtId="0" fontId="8" fillId="0" borderId="31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chob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I22" sqref="I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2"/>
      <c r="H6" s="43"/>
    </row>
    <row r="7" spans="1:8" ht="19.5" thickBot="1" x14ac:dyDescent="0.35">
      <c r="A7" s="20" t="s">
        <v>14</v>
      </c>
      <c r="B7" s="12"/>
      <c r="C7" s="60" t="s">
        <v>38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 t="s">
        <v>39</v>
      </c>
      <c r="D8" s="68"/>
      <c r="E8" s="44"/>
      <c r="H8" s="15"/>
    </row>
    <row r="9" spans="1:8" ht="18.75" customHeight="1" x14ac:dyDescent="0.3">
      <c r="A9" s="21" t="s">
        <v>9</v>
      </c>
      <c r="C9" s="69" t="s">
        <v>40</v>
      </c>
      <c r="D9" s="23"/>
      <c r="E9" s="70" t="s">
        <v>41</v>
      </c>
      <c r="F9" s="30" t="s">
        <v>0</v>
      </c>
      <c r="H9" s="28">
        <v>45785</v>
      </c>
    </row>
    <row r="10" spans="1:8" ht="18.75" x14ac:dyDescent="0.3">
      <c r="A10" s="21" t="s">
        <v>13</v>
      </c>
      <c r="C10" s="71" t="s">
        <v>42</v>
      </c>
      <c r="D10" s="61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1"/>
      <c r="E11" s="45"/>
      <c r="F11" s="30" t="s">
        <v>16</v>
      </c>
      <c r="G11" s="30"/>
      <c r="H11" s="28">
        <v>45794</v>
      </c>
    </row>
    <row r="12" spans="1:8" ht="18.75" x14ac:dyDescent="0.3">
      <c r="A12" s="21" t="s">
        <v>11</v>
      </c>
      <c r="C12" s="72" t="s">
        <v>43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44</v>
      </c>
      <c r="D13" s="74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2">
        <v>1</v>
      </c>
      <c r="B16" s="63" t="s">
        <v>50</v>
      </c>
      <c r="C16" s="64"/>
      <c r="D16" s="65"/>
      <c r="E16" s="62" t="s">
        <v>51</v>
      </c>
      <c r="F16" s="66">
        <v>2023500</v>
      </c>
      <c r="G16" s="62">
        <v>1</v>
      </c>
      <c r="H16" s="38">
        <f t="shared" ref="H16" si="0">G16*F16</f>
        <v>2023500</v>
      </c>
    </row>
    <row r="17" spans="1:8" ht="19.5" customHeight="1" thickBot="1" x14ac:dyDescent="0.3">
      <c r="A17" s="48"/>
      <c r="B17" s="78"/>
      <c r="D17" s="76"/>
      <c r="E17" s="48"/>
      <c r="F17" s="48"/>
      <c r="G17" s="48"/>
    </row>
    <row r="18" spans="1:8" ht="19.5" customHeight="1" thickBot="1" x14ac:dyDescent="0.35">
      <c r="A18" s="75" t="s">
        <v>23</v>
      </c>
      <c r="B18" s="77" t="s">
        <v>52</v>
      </c>
      <c r="C18" s="12"/>
      <c r="D18" s="13"/>
      <c r="E18" s="49"/>
      <c r="F18" s="37" t="s">
        <v>46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2" t="s">
        <v>24</v>
      </c>
      <c r="F19" s="53"/>
      <c r="G19" s="44"/>
      <c r="H19" s="50">
        <f>SUM(H16:H16)</f>
        <v>2023500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384465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>
        <f>H19*G21</f>
        <v>50587.5</v>
      </c>
    </row>
    <row r="22" spans="1:8" ht="15.75" x14ac:dyDescent="0.25">
      <c r="A22" s="14" t="s">
        <v>48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2357377.5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E2F2500-31E8-473B-9E47-6286800C39D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CH-OB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2024-12-10T17:13:42Z</cp:lastPrinted>
  <dcterms:created xsi:type="dcterms:W3CDTF">2018-11-15T17:29:02Z</dcterms:created>
  <dcterms:modified xsi:type="dcterms:W3CDTF">2025-05-08T19:19:05Z</dcterms:modified>
</cp:coreProperties>
</file>