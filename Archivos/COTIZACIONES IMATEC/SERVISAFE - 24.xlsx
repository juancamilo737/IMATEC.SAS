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1A7C433-E915-4733-9EFE-0EE19567D7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1" i="1" s="1"/>
  <c r="H22" i="1" l="1"/>
  <c r="H26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<sst xmlns="http://schemas.openxmlformats.org/spreadsheetml/2006/main" count="55" uniqueCount="54">
  <si>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</si>
  <si>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</si>
  <si>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</si>
  <si>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</si>
  <si>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</si>
  <si>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</si>
  <si>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</si>
  <si>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</si>
  <si>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</si>
  <si>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</si>
  <si>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</si>
  <si>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</si>
  <si>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</si>
  <si>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</si>
  <si>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</si>
  <si>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</si>
  <si>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</si>
  <si>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</si>
  <si>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</si>
  <si>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</si>
  <si>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</si>
  <si>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</si>
  <si>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</si>
  <si>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</si>
  <si>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</si>
  <si>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</si>
  <si>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</si>
  <si>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</si>
  <si>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</si>
  <si>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</si>
  <si>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</si>
  <si>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</si>
  <si>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</si>
  <si>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</si>
  <si>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</si>
  <si>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</si>
  <si>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</si>
  <si>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</si>
  <si>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</si>
  <si>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</si>
  <si>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</si>
  <si>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</si>
  <si>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</si>
  <si>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</si>
  <si>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</si>
  <si>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</si>
  <si>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</si>
  <si>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>ACCESORIO</t>
  </si>
  <si>
    <t>DESCUENTO</t>
  </si>
  <si>
    <t xml:space="preserve">              R E M I S I O N</t>
  </si>
  <si>
    <t>No.  24</t>
  </si>
  <si>
    <t>AMORTIGUADOR COLA DE MARRANO AC/INOX 1/4"</t>
  </si>
  <si>
    <t xml:space="preserve">CINCUENTA Y CUATRO MIL SETECIENTOS CUARENTA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</si>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</sst>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4" fillId="0" borderId="17" xfId="0" applyFont="1" applyBorder="1"/>
    <xf numFmtId="9" fontId="1" fillId="0" borderId="35" xfId="0" applyNumberFormat="1" applyFont="1" applyBorder="1"/>
    <xf numFmtId="42" fontId="1" fillId="0" borderId="36" xfId="0" applyNumberFormat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I23" sqref="I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45888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47</v>
      </c>
      <c r="F16" s="73">
        <v>23000</v>
      </c>
      <c r="G16" s="69">
        <v>2</v>
      </c>
      <c r="H16" s="38">
        <f t="shared" ref="H16" si="0">G16*F16</f>
        <v>46000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SUM(H16:H18)</f>
        <v>46000</v>
      </c>
    </row>
    <row r="20" spans="1:8" ht="19.5" customHeight="1" thickBot="1" x14ac:dyDescent="0.3">
      <c r="A20" s="24" t="s">
        <v>25</v>
      </c>
      <c r="B20" s="12"/>
      <c r="C20" s="12"/>
      <c r="D20" s="12"/>
      <c r="E20" s="55" t="s">
        <v>48</v>
      </c>
      <c r="F20" s="79"/>
      <c r="G20" s="80">
        <v>0</v>
      </c>
      <c r="H20" s="81">
        <f>H19*G20</f>
        <v>0</v>
      </c>
    </row>
    <row r="21" spans="1:8" ht="19.5" customHeight="1" thickTop="1" x14ac:dyDescent="0.25">
      <c r="A21" s="14" t="s">
        <v>30</v>
      </c>
      <c r="E21" s="53" t="s">
        <v>24</v>
      </c>
      <c r="F21" s="79"/>
      <c r="G21" s="80"/>
      <c r="H21" s="49">
        <f>H19-H20</f>
        <v>46000</v>
      </c>
    </row>
    <row r="22" spans="1:8" ht="15.75" x14ac:dyDescent="0.25">
      <c r="A22" s="14" t="s">
        <v>46</v>
      </c>
      <c r="E22" s="53" t="s">
        <v>29</v>
      </c>
      <c r="F22" s="23"/>
      <c r="G22" s="54">
        <v>0.19</v>
      </c>
      <c r="H22" s="40">
        <f>(H19-H20)*0.19</f>
        <v>8740</v>
      </c>
    </row>
    <row r="23" spans="1:8" ht="15.75" x14ac:dyDescent="0.25">
      <c r="A23" s="14" t="s">
        <v>32</v>
      </c>
      <c r="E23" s="55" t="s">
        <v>26</v>
      </c>
      <c r="G23" s="58">
        <v>2.5000000000000001E-2</v>
      </c>
      <c r="H23" s="50"/>
    </row>
    <row r="24" spans="1:8" ht="16.5" thickBot="1" x14ac:dyDescent="0.3">
      <c r="A24" s="16"/>
      <c r="B24" s="4"/>
      <c r="C24" s="4"/>
      <c r="D24" s="17"/>
      <c r="E24" s="14"/>
      <c r="F24" s="33"/>
      <c r="G24" s="45"/>
      <c r="H24" s="15"/>
    </row>
    <row r="25" spans="1:8" ht="16.5" customHeight="1" thickBot="1" x14ac:dyDescent="0.3">
      <c r="E25" s="56" t="s">
        <v>27</v>
      </c>
      <c r="F25" s="57"/>
      <c r="G25" s="46"/>
      <c r="H25" s="17"/>
    </row>
    <row r="26" spans="1:8" ht="19.5" thickBot="1" x14ac:dyDescent="0.35">
      <c r="F26" s="3"/>
      <c r="G26" s="34" t="s">
        <v>28</v>
      </c>
      <c r="H26" s="36">
        <f>H19-H20+H22-H23</f>
        <v>54740</v>
      </c>
    </row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2025-07-12T14:03:56Z</cp:lastPrinted>
  <dcterms:created xsi:type="dcterms:W3CDTF">2018-11-15T17:29:02Z</dcterms:created>
  <dcterms:modified xsi:type="dcterms:W3CDTF">2025-08-19T16:27:28Z</dcterms:modified>
</cp:coreProperties>
</file>