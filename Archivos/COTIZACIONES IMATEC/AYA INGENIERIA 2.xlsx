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6C6FF50-38FF-4D7A-A2B8-7857DF4A9C8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0" i="1"/>
  <c r="H28" i="1"/>
  <c r="H25" i="1"/>
  <c r="H24" i="1"/>
  <c r="H23" i="1"/>
  <c r="H22" i="1"/>
  <c r="H21" i="1"/>
  <c r="H20" i="1"/>
  <c r="H19" i="1"/>
  <c r="H18" i="1"/>
  <c r="H17" i="1"/>
  <c r="H16" i="1"/>
  <c r="H29" i="1" l="1"/>
</calcChain>
</file>

<file path=xl/sharedStrings.xml><?xml version="1.0" encoding="utf-8"?>
<sst xmlns="http://schemas.openxmlformats.org/spreadsheetml/2006/main" count="72" uniqueCount="64">
  <si>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</si>
  <si>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</si>
  <si>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</si>
  <si>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</si>
  <si>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</si>
  <si>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</si>
  <si>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</si>
  <si>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</si>
  <si>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</si>
  <si>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</si>
  <si>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</si>
  <si>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</si>
  <si>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</si>
  <si>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</si>
  <si>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</si>
  <si>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</si>
  <si>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</si>
  <si>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</si>
  <si>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</si>
  <si>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</si>
  <si>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</si>
  <si>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</si>
  <si>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</si>
  <si>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</si>
  <si>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</si>
  <si>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</si>
  <si>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</si>
  <si>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</si>
  <si>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</si>
  <si>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</si>
  <si>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</si>
  <si>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</si>
  <si>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</si>
  <si>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</si>
  <si>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</si>
  <si>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</si>
  <si>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</si>
  <si>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</si>
  <si>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</si>
  <si>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</si>
  <si>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</si>
  <si>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</si>
  <si>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</si>
  <si>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</si>
  <si>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</si>
  <si>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</si>
  <si>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</si>
  <si>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</si>
  <si>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</si>
  <si>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No. 2</t>
  </si>
  <si>
    <t>TUBO</t>
  </si>
  <si>
    <t>TUBERIA AC/INOX 304  SCH 10  6 " X 6 MTS</t>
  </si>
  <si>
    <t>TUBERIA AC/INOX 304  SCH 10  4 " X 6 MTS</t>
  </si>
  <si>
    <t>TUBERIA AC/INOX 304  SCH 10  2 " X 6 MTS</t>
  </si>
  <si>
    <t>TUBERIA AC/INOX 304  SCH 10  1 " X 6 MTS</t>
  </si>
  <si>
    <t>CODO  AC/INOX 304  SCH 10  6 "  X  90 º</t>
  </si>
  <si>
    <t>CODO  AC/INOX 304  SCH 10  4 "  X  90 º</t>
  </si>
  <si>
    <t>CODO  AC/INOX 304  SCH 10  2 "  X  90 º</t>
  </si>
  <si>
    <t>TEE AC/INOX 304  SCH 10  6 "</t>
  </si>
  <si>
    <t>TEE AC/INOX 304  SCH 10  4 "</t>
  </si>
  <si>
    <t>TEE AC/INOX 304  SCH 10  2 "</t>
  </si>
  <si>
    <t>VEINTISIETE MILLONES NOVECIENTOS SETENTA Y CINCO</t>
  </si>
  <si>
    <t>MIL CUATROCIENTOS OCHENTA Y OCHO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</si>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</sst>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17" zoomScaleNormal="100" workbookViewId="0">
      <selection activeCell="F35" sqref="F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45678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45687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50</v>
      </c>
      <c r="F16" s="79">
        <v>1498098</v>
      </c>
      <c r="G16" s="75">
        <v>10</v>
      </c>
      <c r="H16" s="38">
        <f t="shared" ref="H16" si="0">G16*F16</f>
        <v>14980980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50</v>
      </c>
      <c r="F17" s="79">
        <v>911499</v>
      </c>
      <c r="G17" s="75">
        <v>5</v>
      </c>
      <c r="H17" s="38">
        <f t="shared" ref="H17:H25" si="1">G17*F17</f>
        <v>4557495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50</v>
      </c>
      <c r="F18" s="79">
        <v>417209</v>
      </c>
      <c r="G18" s="75">
        <v>3</v>
      </c>
      <c r="H18" s="38">
        <f t="shared" si="1"/>
        <v>1251627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50</v>
      </c>
      <c r="F19" s="79">
        <v>228956</v>
      </c>
      <c r="G19" s="75">
        <v>2</v>
      </c>
      <c r="H19" s="38">
        <f t="shared" si="1"/>
        <v>457912</v>
      </c>
    </row>
    <row r="20" spans="1:8" ht="16.5" thickBot="1" x14ac:dyDescent="0.3">
      <c r="A20" s="75">
        <v>5</v>
      </c>
      <c r="B20" s="76" t="s">
        <v>55</v>
      </c>
      <c r="C20" s="77"/>
      <c r="D20" s="78"/>
      <c r="E20" s="75" t="s">
        <v>39</v>
      </c>
      <c r="F20" s="79">
        <v>300281</v>
      </c>
      <c r="G20" s="75">
        <v>3</v>
      </c>
      <c r="H20" s="38">
        <f t="shared" si="1"/>
        <v>900843</v>
      </c>
    </row>
    <row r="21" spans="1:8" ht="16.5" thickBot="1" x14ac:dyDescent="0.3">
      <c r="A21" s="75">
        <v>6</v>
      </c>
      <c r="B21" s="76" t="s">
        <v>56</v>
      </c>
      <c r="C21" s="77"/>
      <c r="D21" s="78"/>
      <c r="E21" s="75" t="s">
        <v>39</v>
      </c>
      <c r="F21" s="79">
        <v>90245</v>
      </c>
      <c r="G21" s="75">
        <v>8</v>
      </c>
      <c r="H21" s="38">
        <f t="shared" si="1"/>
        <v>721960</v>
      </c>
    </row>
    <row r="22" spans="1:8" ht="16.5" thickBot="1" x14ac:dyDescent="0.3">
      <c r="A22" s="75">
        <v>7</v>
      </c>
      <c r="B22" s="76" t="s">
        <v>57</v>
      </c>
      <c r="C22" s="77"/>
      <c r="D22" s="78"/>
      <c r="E22" s="75" t="s">
        <v>39</v>
      </c>
      <c r="F22" s="79">
        <v>21138</v>
      </c>
      <c r="G22" s="75">
        <v>4</v>
      </c>
      <c r="H22" s="38">
        <f t="shared" si="1"/>
        <v>84552</v>
      </c>
    </row>
    <row r="23" spans="1:8" ht="16.5" thickBot="1" x14ac:dyDescent="0.3">
      <c r="A23" s="75">
        <v>8</v>
      </c>
      <c r="B23" s="76" t="s">
        <v>58</v>
      </c>
      <c r="C23" s="77"/>
      <c r="D23" s="78"/>
      <c r="E23" s="75" t="s">
        <v>39</v>
      </c>
      <c r="F23" s="79">
        <v>348777</v>
      </c>
      <c r="G23" s="75">
        <v>2</v>
      </c>
      <c r="H23" s="38">
        <f t="shared" si="1"/>
        <v>697554</v>
      </c>
    </row>
    <row r="24" spans="1:8" ht="16.5" thickBot="1" x14ac:dyDescent="0.3">
      <c r="A24" s="75">
        <v>9</v>
      </c>
      <c r="B24" s="76" t="s">
        <v>59</v>
      </c>
      <c r="C24" s="77"/>
      <c r="D24" s="78"/>
      <c r="E24" s="75" t="s">
        <v>39</v>
      </c>
      <c r="F24" s="79">
        <v>96643</v>
      </c>
      <c r="G24" s="75">
        <v>3</v>
      </c>
      <c r="H24" s="38">
        <f t="shared" si="1"/>
        <v>289929</v>
      </c>
    </row>
    <row r="25" spans="1:8" ht="16.5" thickBot="1" x14ac:dyDescent="0.3">
      <c r="A25" s="75">
        <v>10</v>
      </c>
      <c r="B25" s="76" t="s">
        <v>60</v>
      </c>
      <c r="C25" s="77"/>
      <c r="D25" s="78"/>
      <c r="E25" s="75" t="s">
        <v>39</v>
      </c>
      <c r="F25" s="79">
        <v>35221</v>
      </c>
      <c r="G25" s="75">
        <v>2</v>
      </c>
      <c r="H25" s="38">
        <f t="shared" si="1"/>
        <v>70442</v>
      </c>
    </row>
    <row r="26" spans="1:8" ht="19.5" customHeight="1" thickBot="1" x14ac:dyDescent="0.3">
      <c r="A26" s="51"/>
      <c r="B26" s="45"/>
      <c r="C26" s="42"/>
      <c r="D26" s="52"/>
      <c r="E26" s="53"/>
      <c r="F26" s="53"/>
      <c r="G26" s="53"/>
    </row>
    <row r="27" spans="1:8" ht="19.5" customHeight="1" thickBot="1" x14ac:dyDescent="0.35">
      <c r="A27" s="50" t="s">
        <v>23</v>
      </c>
      <c r="B27" s="14" t="s">
        <v>61</v>
      </c>
      <c r="D27" s="15"/>
      <c r="E27" s="54"/>
      <c r="F27" s="37" t="s">
        <v>40</v>
      </c>
      <c r="G27" s="6"/>
      <c r="H27" s="7"/>
    </row>
    <row r="28" spans="1:8" ht="19.5" customHeight="1" thickBot="1" x14ac:dyDescent="0.3">
      <c r="A28" s="39"/>
      <c r="B28" s="16" t="s">
        <v>62</v>
      </c>
      <c r="C28" s="4"/>
      <c r="D28" s="4"/>
      <c r="E28" s="57" t="s">
        <v>24</v>
      </c>
      <c r="F28" s="58"/>
      <c r="G28" s="46"/>
      <c r="H28" s="55">
        <f>SUM(H16:H25)</f>
        <v>24013294</v>
      </c>
    </row>
    <row r="29" spans="1:8" ht="19.5" customHeight="1" x14ac:dyDescent="0.25">
      <c r="A29" s="24" t="s">
        <v>25</v>
      </c>
      <c r="B29" s="12"/>
      <c r="C29" s="12"/>
      <c r="D29" s="12"/>
      <c r="E29" s="59" t="s">
        <v>29</v>
      </c>
      <c r="F29" s="23"/>
      <c r="G29" s="60">
        <v>0.19</v>
      </c>
      <c r="H29" s="40">
        <f>H28*G29</f>
        <v>4562525.8600000003</v>
      </c>
    </row>
    <row r="30" spans="1:8" ht="19.5" customHeight="1" x14ac:dyDescent="0.25">
      <c r="A30" s="14" t="s">
        <v>30</v>
      </c>
      <c r="E30" s="61" t="s">
        <v>26</v>
      </c>
      <c r="G30" s="64">
        <v>2.5000000000000001E-2</v>
      </c>
      <c r="H30" s="56">
        <f>H28*G30</f>
        <v>600332.35</v>
      </c>
    </row>
    <row r="31" spans="1:8" ht="15.75" x14ac:dyDescent="0.25">
      <c r="A31" s="14" t="s">
        <v>63</v>
      </c>
      <c r="E31" s="14"/>
      <c r="F31" s="33"/>
      <c r="G31" s="47"/>
      <c r="H31" s="15"/>
    </row>
    <row r="32" spans="1:8" ht="16.5" thickBot="1" x14ac:dyDescent="0.3">
      <c r="A32" s="14" t="s">
        <v>33</v>
      </c>
      <c r="E32" s="62" t="s">
        <v>27</v>
      </c>
      <c r="F32" s="63"/>
      <c r="G32" s="48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H28+H29-H30</f>
        <v>27975487.509999998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41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2025-01-21T15:09:57Z</dcterms:modified>
</cp:coreProperties>
</file>