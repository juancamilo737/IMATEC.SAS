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ED557EE-3A09-4AAE-9189-0E5B04DAE4F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22" i="1" s="1"/>
  <c r="H23" i="1" l="1"/>
  <c r="H27" i="1" s="1"/>
</calcChain>
</file>

<file path=xl/sharedStrings.xml><?xml version="1.0" encoding="utf-8"?>
<sst xmlns="http://schemas.openxmlformats.org/spreadsheetml/2006/main" count="62" uniqueCount="61">
  <si>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</si>
  <si>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</si>
  <si>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</si>
  <si>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</si>
  <si>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</si>
  <si>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</si>
  <si>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</si>
  <si>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</si>
  <si>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</si>
  <si>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</si>
  <si>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</si>
  <si>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</si>
  <si>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</si>
  <si>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</si>
  <si>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</si>
  <si>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</si>
  <si>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</si>
  <si>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</si>
  <si>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</si>
  <si>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</si>
  <si>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</si>
  <si>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</si>
  <si>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</si>
  <si>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</si>
  <si>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</si>
  <si>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</si>
  <si>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</si>
  <si>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</si>
  <si>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</si>
  <si>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</si>
  <si>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</si>
  <si>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</si>
  <si>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</si>
  <si>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</si>
  <si>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</si>
  <si>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</si>
  <si>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</si>
  <si>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</si>
  <si>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</si>
  <si>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</si>
  <si>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</si>
  <si>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</si>
  <si>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</si>
  <si>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</si>
  <si>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</si>
  <si>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 xml:space="preserve">  CALLE  33A  No. 17F - 56                            B/  LA FLORESTA             -   CALI    -                                   CEL.     321 7834969</t>
  </si>
  <si>
    <t>FORMA DE PAGO : CREDITO A 30 DIAS</t>
  </si>
  <si>
    <t>ENTREGA INMEDIATA</t>
  </si>
  <si>
    <t>10 DIAS</t>
  </si>
  <si>
    <t>INSUMO</t>
  </si>
  <si>
    <t>PESOS MDA / CTE</t>
  </si>
  <si>
    <t xml:space="preserve">           C O T I Z A C I O N</t>
  </si>
  <si>
    <t>No. 15</t>
  </si>
  <si>
    <t>NIPLE AC/INOX 304  2 "  X  15 CMTS</t>
  </si>
  <si>
    <t>FABRICACION</t>
  </si>
  <si>
    <t>UNIVERSAL AC/INOX 304   2 "  X 150 LBS ROSCADA</t>
  </si>
  <si>
    <t>UNION AC/INOX 304  2 "  X  150 LBS ROSCADA</t>
  </si>
  <si>
    <t>MANGUERA DE SUCCION PARA BOMBA AUTO CE-</t>
  </si>
  <si>
    <t>BANTE  2 "  X  6 MTS</t>
  </si>
  <si>
    <t>UN MILLON CIENTO VEINTIDOS MIL CINCUENTA Y UN</t>
  </si>
  <si>
    <t>OC-GT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</si>
</sst>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7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8" fillId="0" borderId="0" xfId="0" applyFont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7" zoomScaleNormal="100" workbookViewId="0">
      <selection activeCell="K24" sqref="K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4" t="s">
        <v>39</v>
      </c>
      <c r="D8" s="60"/>
      <c r="E8" s="45"/>
      <c r="H8" s="15"/>
    </row>
    <row r="9" spans="1:8" ht="18.75" customHeight="1" x14ac:dyDescent="0.3">
      <c r="A9" s="21" t="s">
        <v>9</v>
      </c>
      <c r="C9" s="61" t="s">
        <v>40</v>
      </c>
      <c r="D9" s="23"/>
      <c r="E9" s="62" t="s">
        <v>41</v>
      </c>
      <c r="F9" s="30" t="s">
        <v>0</v>
      </c>
      <c r="H9" s="28">
        <v>45755</v>
      </c>
    </row>
    <row r="10" spans="1:8" ht="18.75" x14ac:dyDescent="0.3">
      <c r="A10" s="21" t="s">
        <v>13</v>
      </c>
      <c r="C10" s="63" t="s">
        <v>42</v>
      </c>
      <c r="D10" s="60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4"/>
      <c r="D11" s="60"/>
      <c r="E11" s="45"/>
      <c r="F11" s="30" t="s">
        <v>16</v>
      </c>
      <c r="G11" s="30"/>
      <c r="H11" s="28">
        <v>45764</v>
      </c>
    </row>
    <row r="12" spans="1:8" ht="18.75" x14ac:dyDescent="0.3">
      <c r="A12" s="21" t="s">
        <v>11</v>
      </c>
      <c r="C12" s="64" t="s">
        <v>43</v>
      </c>
      <c r="D12" s="60"/>
      <c r="E12" s="45"/>
      <c r="F12" s="30" t="s">
        <v>17</v>
      </c>
      <c r="G12" s="74" t="s">
        <v>60</v>
      </c>
      <c r="H12" s="31">
        <v>1994</v>
      </c>
    </row>
    <row r="13" spans="1:8" ht="18.75" customHeight="1" thickBot="1" x14ac:dyDescent="0.35">
      <c r="A13" s="22" t="s">
        <v>12</v>
      </c>
      <c r="B13" s="4"/>
      <c r="C13" s="65" t="s">
        <v>44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7">
        <v>1</v>
      </c>
      <c r="B16" s="68" t="s">
        <v>53</v>
      </c>
      <c r="C16" s="69"/>
      <c r="D16" s="70"/>
      <c r="E16" s="67" t="s">
        <v>54</v>
      </c>
      <c r="F16" s="71">
        <v>48200</v>
      </c>
      <c r="G16" s="67">
        <v>2</v>
      </c>
      <c r="H16" s="38">
        <f t="shared" ref="H16" si="0">G16*F16</f>
        <v>96400</v>
      </c>
    </row>
    <row r="17" spans="1:8" ht="16.5" thickBot="1" x14ac:dyDescent="0.3">
      <c r="A17" s="67">
        <v>2</v>
      </c>
      <c r="B17" s="68" t="s">
        <v>55</v>
      </c>
      <c r="C17" s="69"/>
      <c r="D17" s="70"/>
      <c r="E17" s="67" t="s">
        <v>37</v>
      </c>
      <c r="F17" s="71">
        <v>81500</v>
      </c>
      <c r="G17" s="67">
        <v>1</v>
      </c>
      <c r="H17" s="38">
        <f t="shared" ref="H17:H19" si="1">G17*F17</f>
        <v>81500</v>
      </c>
    </row>
    <row r="18" spans="1:8" ht="16.5" thickBot="1" x14ac:dyDescent="0.3">
      <c r="A18" s="67">
        <v>3</v>
      </c>
      <c r="B18" s="68" t="s">
        <v>56</v>
      </c>
      <c r="C18" s="69"/>
      <c r="D18" s="70"/>
      <c r="E18" s="67" t="s">
        <v>49</v>
      </c>
      <c r="F18" s="71">
        <v>31300</v>
      </c>
      <c r="G18" s="67">
        <v>1</v>
      </c>
      <c r="H18" s="38">
        <f t="shared" si="1"/>
        <v>31300</v>
      </c>
    </row>
    <row r="19" spans="1:8" ht="16.5" thickBot="1" x14ac:dyDescent="0.3">
      <c r="A19" s="67">
        <v>4</v>
      </c>
      <c r="B19" s="68" t="s">
        <v>57</v>
      </c>
      <c r="C19" s="69"/>
      <c r="D19" s="70"/>
      <c r="E19" s="67" t="s">
        <v>37</v>
      </c>
      <c r="F19" s="71">
        <v>342500</v>
      </c>
      <c r="G19" s="67">
        <v>1</v>
      </c>
      <c r="H19" s="38">
        <f t="shared" si="1"/>
        <v>342500</v>
      </c>
    </row>
    <row r="20" spans="1:8" ht="16.5" thickBot="1" x14ac:dyDescent="0.3">
      <c r="A20" s="67"/>
      <c r="B20" s="68" t="s">
        <v>58</v>
      </c>
      <c r="C20" s="69"/>
      <c r="D20" s="70"/>
      <c r="E20" s="67"/>
      <c r="F20" s="71"/>
      <c r="G20" s="67"/>
      <c r="H20" s="38"/>
    </row>
    <row r="21" spans="1:8" ht="19.5" customHeight="1" thickBot="1" x14ac:dyDescent="0.35">
      <c r="A21" s="72" t="s">
        <v>23</v>
      </c>
      <c r="B21" s="73" t="s">
        <v>59</v>
      </c>
      <c r="C21" s="12"/>
      <c r="D21" s="13"/>
      <c r="E21" s="48"/>
      <c r="F21" s="37" t="s">
        <v>29</v>
      </c>
      <c r="G21" s="6"/>
      <c r="H21" s="7"/>
    </row>
    <row r="22" spans="1:8" ht="19.5" customHeight="1" thickBot="1" x14ac:dyDescent="0.3">
      <c r="A22" s="39"/>
      <c r="B22" s="16" t="s">
        <v>50</v>
      </c>
      <c r="C22" s="4"/>
      <c r="D22" s="17"/>
      <c r="E22" s="51" t="s">
        <v>24</v>
      </c>
      <c r="F22" s="52"/>
      <c r="G22" s="44"/>
      <c r="H22" s="49">
        <f>SUM(H16:H20)</f>
        <v>551700</v>
      </c>
    </row>
    <row r="23" spans="1:8" ht="19.5" customHeight="1" x14ac:dyDescent="0.25">
      <c r="A23" s="24" t="s">
        <v>25</v>
      </c>
      <c r="B23" s="12"/>
      <c r="C23" s="12"/>
      <c r="D23" s="12"/>
      <c r="E23" s="53" t="s">
        <v>30</v>
      </c>
      <c r="F23" s="23"/>
      <c r="G23" s="54">
        <v>0.19</v>
      </c>
      <c r="H23" s="40">
        <f>H22*G23</f>
        <v>104823</v>
      </c>
    </row>
    <row r="24" spans="1:8" ht="19.5" customHeight="1" x14ac:dyDescent="0.25">
      <c r="A24" s="14" t="s">
        <v>46</v>
      </c>
      <c r="E24" s="55" t="s">
        <v>26</v>
      </c>
      <c r="G24" s="58">
        <v>2.5000000000000001E-2</v>
      </c>
      <c r="H24" s="50"/>
    </row>
    <row r="25" spans="1:8" ht="15.75" x14ac:dyDescent="0.25">
      <c r="A25" s="14" t="s">
        <v>47</v>
      </c>
      <c r="E25" s="14"/>
      <c r="F25" s="33"/>
      <c r="G25" s="45"/>
      <c r="H25" s="15"/>
    </row>
    <row r="26" spans="1:8" ht="16.5" thickBot="1" x14ac:dyDescent="0.3">
      <c r="A26" s="14" t="s">
        <v>32</v>
      </c>
      <c r="E26" s="56" t="s">
        <v>27</v>
      </c>
      <c r="F26" s="57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656523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2025-04-10T22:25:27Z</cp:lastPrinted>
  <dcterms:created xsi:type="dcterms:W3CDTF">2018-11-15T17:29:02Z</dcterms:created>
  <dcterms:modified xsi:type="dcterms:W3CDTF">2025-04-11T22:47:55Z</dcterms:modified>
</cp:coreProperties>
</file>