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B1612B9-64E3-433F-A19F-FAF175D59D4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N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18" i="1"/>
  <c r="H17" i="1"/>
  <c r="H16" i="1"/>
  <c r="H21" i="1" s="1"/>
  <c r="H22" i="1" l="1"/>
</calcChain>
</file>

<file path=xl/sharedStrings.xml><?xml version="1.0" encoding="utf-8"?>
<sst xmlns="http://schemas.openxmlformats.org/spreadsheetml/2006/main" count="59" uniqueCount="58">
  <si>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</si>
  <si>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</si>
  <si>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</si>
  <si>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</si>
  <si>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</si>
  <si>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</si>
  <si>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</si>
  <si>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</si>
  <si>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</si>
  <si>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</si>
  <si>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</si>
  <si>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</si>
  <si>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</si>
  <si>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</si>
  <si>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</si>
  <si>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</si>
  <si>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</si>
  <si>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</si>
  <si>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</si>
  <si>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</si>
  <si>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</si>
  <si>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</si>
  <si>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</si>
  <si>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</si>
  <si>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</si>
  <si>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</si>
  <si>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</si>
  <si>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</si>
  <si>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</si>
  <si>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</si>
  <si>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</si>
  <si>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</si>
  <si>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</si>
  <si>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</si>
  <si>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</si>
  <si>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</si>
  <si>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</si>
  <si>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</si>
  <si>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</si>
  <si>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</si>
  <si>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</si>
  <si>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</si>
  <si>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CONINGENIERIA SAS</t>
  </si>
  <si>
    <t>805 030454-9</t>
  </si>
  <si>
    <t>AVENIDA 6a.  No. 14N-31</t>
  </si>
  <si>
    <t>auxmec.coningenieria@gmail.com</t>
  </si>
  <si>
    <t>DIANA</t>
  </si>
  <si>
    <t>316 0172690</t>
  </si>
  <si>
    <t>LUIS BENAVIDEZ</t>
  </si>
  <si>
    <t>TUBERIA GALVANIZADA SCH 40  2 "  X 6 MTS</t>
  </si>
  <si>
    <t>TUBO</t>
  </si>
  <si>
    <t>CODO GALVANIZADO  2 "  X  90 º</t>
  </si>
  <si>
    <t>ACCESORIO</t>
  </si>
  <si>
    <t>UNIVERSAL GALVANIZADA  2 "</t>
  </si>
  <si>
    <t>UN MILLON SETECIENTOS CINCUENTA Y CINCO MIL CIEN</t>
  </si>
  <si>
    <t>TO OCHENTA Y NUEVE MIL PESOS MDA / CTE</t>
  </si>
  <si>
    <t>No. 2</t>
  </si>
  <si>
    <t>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</si>
</sst>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39" xfId="0" applyBorder="1"/>
    <xf numFmtId="0" fontId="0" fillId="0" borderId="13" xfId="0" applyBorder="1"/>
    <xf numFmtId="0" fontId="13" fillId="0" borderId="3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xmec.coningenie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E13" sqref="E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75" t="s">
        <v>42</v>
      </c>
      <c r="D7" s="12"/>
      <c r="E7" s="13"/>
      <c r="F7" s="37"/>
      <c r="G7" s="18"/>
      <c r="H7" s="19" t="s">
        <v>56</v>
      </c>
    </row>
    <row r="8" spans="1:8" ht="18.75" x14ac:dyDescent="0.3">
      <c r="A8" s="21" t="s">
        <v>8</v>
      </c>
      <c r="C8" s="76" t="s">
        <v>43</v>
      </c>
      <c r="D8" s="77"/>
      <c r="E8" s="77"/>
      <c r="H8" s="15"/>
    </row>
    <row r="9" spans="1:8" ht="18.75" customHeight="1" x14ac:dyDescent="0.3">
      <c r="A9" s="21" t="s">
        <v>9</v>
      </c>
      <c r="C9" s="23" t="s">
        <v>44</v>
      </c>
      <c r="D9" s="23"/>
      <c r="E9" s="76" t="s">
        <v>57</v>
      </c>
      <c r="F9" s="30" t="s">
        <v>0</v>
      </c>
      <c r="H9" s="28">
        <v>45602</v>
      </c>
    </row>
    <row r="10" spans="1:8" ht="18.75" x14ac:dyDescent="0.3">
      <c r="A10" s="21" t="s">
        <v>13</v>
      </c>
      <c r="C10" s="78" t="s">
        <v>45</v>
      </c>
      <c r="D10" s="77"/>
      <c r="E10" s="77"/>
      <c r="F10" s="30" t="s">
        <v>15</v>
      </c>
      <c r="H10" s="29" t="s">
        <v>32</v>
      </c>
    </row>
    <row r="11" spans="1:8" ht="18.75" x14ac:dyDescent="0.3">
      <c r="A11" s="21" t="s">
        <v>10</v>
      </c>
      <c r="C11" s="76" t="s">
        <v>46</v>
      </c>
      <c r="D11" s="77"/>
      <c r="E11" s="77"/>
      <c r="F11" s="30" t="s">
        <v>16</v>
      </c>
      <c r="G11" s="30"/>
      <c r="H11" s="28">
        <v>45611</v>
      </c>
    </row>
    <row r="12" spans="1:8" ht="18.75" x14ac:dyDescent="0.3">
      <c r="A12" s="21" t="s">
        <v>11</v>
      </c>
      <c r="C12" s="76" t="s">
        <v>47</v>
      </c>
      <c r="D12" s="77"/>
      <c r="E12" s="7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6" t="s">
        <v>48</v>
      </c>
      <c r="D13" s="77"/>
      <c r="E13" s="77"/>
      <c r="F13" s="4"/>
      <c r="G13" s="4"/>
      <c r="H13" s="17"/>
    </row>
    <row r="14" spans="1:8" ht="15.75" thickBot="1" x14ac:dyDescent="0.3"/>
    <row r="15" spans="1:8" ht="15.75" thickBot="1" x14ac:dyDescent="0.3">
      <c r="A15" s="50" t="s">
        <v>37</v>
      </c>
      <c r="B15" s="24" t="s">
        <v>22</v>
      </c>
      <c r="C15" s="43"/>
      <c r="D15" s="13"/>
      <c r="E15" s="50" t="s">
        <v>18</v>
      </c>
      <c r="F15" s="50" t="s">
        <v>20</v>
      </c>
      <c r="G15" s="50" t="s">
        <v>19</v>
      </c>
      <c r="H15" s="32" t="s">
        <v>21</v>
      </c>
    </row>
    <row r="16" spans="1:8" ht="16.5" thickBot="1" x14ac:dyDescent="0.3">
      <c r="A16" s="52">
        <v>1</v>
      </c>
      <c r="B16" s="55" t="s">
        <v>49</v>
      </c>
      <c r="C16" s="56"/>
      <c r="D16" s="57"/>
      <c r="E16" s="52" t="s">
        <v>50</v>
      </c>
      <c r="F16" s="61">
        <v>408200</v>
      </c>
      <c r="G16" s="52">
        <v>3</v>
      </c>
      <c r="H16" s="38">
        <f t="shared" ref="H16" si="0">G16*F16</f>
        <v>1224600</v>
      </c>
    </row>
    <row r="17" spans="1:8" ht="16.5" thickBot="1" x14ac:dyDescent="0.3">
      <c r="A17" s="53">
        <v>2</v>
      </c>
      <c r="B17" s="58" t="s">
        <v>51</v>
      </c>
      <c r="C17" s="49"/>
      <c r="D17" s="59"/>
      <c r="E17" s="53" t="s">
        <v>52</v>
      </c>
      <c r="F17" s="62">
        <v>11000</v>
      </c>
      <c r="G17" s="53">
        <v>12</v>
      </c>
      <c r="H17" s="38">
        <f t="shared" ref="H17:H18" si="1">G17*F17</f>
        <v>132000</v>
      </c>
    </row>
    <row r="18" spans="1:8" ht="16.5" thickBot="1" x14ac:dyDescent="0.3">
      <c r="A18" s="53">
        <v>3</v>
      </c>
      <c r="B18" s="58" t="s">
        <v>53</v>
      </c>
      <c r="C18" s="49"/>
      <c r="D18" s="59"/>
      <c r="E18" s="53" t="s">
        <v>52</v>
      </c>
      <c r="F18" s="62">
        <v>30000</v>
      </c>
      <c r="G18" s="53">
        <v>5</v>
      </c>
      <c r="H18" s="38">
        <f t="shared" si="1"/>
        <v>150000</v>
      </c>
    </row>
    <row r="19" spans="1:8" ht="19.5" customHeight="1" thickBot="1" x14ac:dyDescent="0.3">
      <c r="A19" s="54"/>
      <c r="B19" s="45"/>
      <c r="C19" s="42"/>
      <c r="D19" s="60"/>
      <c r="E19" s="63"/>
      <c r="F19" s="63"/>
      <c r="G19" s="63"/>
    </row>
    <row r="20" spans="1:8" ht="19.5" customHeight="1" thickBot="1" x14ac:dyDescent="0.35">
      <c r="A20" s="51" t="s">
        <v>23</v>
      </c>
      <c r="B20" s="14" t="s">
        <v>54</v>
      </c>
      <c r="D20" s="15"/>
      <c r="E20" s="64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4"/>
      <c r="E21" s="67" t="s">
        <v>24</v>
      </c>
      <c r="F21" s="68"/>
      <c r="G21" s="46"/>
      <c r="H21" s="65">
        <f>SUM(H16:H20)</f>
        <v>1506600</v>
      </c>
    </row>
    <row r="22" spans="1:8" ht="19.5" customHeight="1" x14ac:dyDescent="0.25">
      <c r="A22" s="24" t="s">
        <v>25</v>
      </c>
      <c r="B22" s="12"/>
      <c r="C22" s="12"/>
      <c r="D22" s="12"/>
      <c r="E22" s="69" t="s">
        <v>30</v>
      </c>
      <c r="F22" s="23"/>
      <c r="G22" s="70">
        <v>0.19</v>
      </c>
      <c r="H22" s="40">
        <f>H21*G22</f>
        <v>286254</v>
      </c>
    </row>
    <row r="23" spans="1:8" ht="19.5" customHeight="1" x14ac:dyDescent="0.25">
      <c r="A23" s="14" t="s">
        <v>31</v>
      </c>
      <c r="E23" s="71" t="s">
        <v>26</v>
      </c>
      <c r="G23" s="74">
        <v>2.5000000000000001E-2</v>
      </c>
      <c r="H23" s="66">
        <f>H21*G23</f>
        <v>37665</v>
      </c>
    </row>
    <row r="24" spans="1:8" ht="15.75" x14ac:dyDescent="0.25">
      <c r="A24" s="14" t="s">
        <v>38</v>
      </c>
      <c r="E24" s="14"/>
      <c r="F24" s="33"/>
      <c r="G24" s="47"/>
      <c r="H24" s="15"/>
    </row>
    <row r="25" spans="1:8" ht="16.5" thickBot="1" x14ac:dyDescent="0.3">
      <c r="A25" s="14" t="s">
        <v>34</v>
      </c>
      <c r="E25" s="72" t="s">
        <v>27</v>
      </c>
      <c r="F25" s="73"/>
      <c r="G25" s="48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1755189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0BD68E56-F31D-4E5D-89E9-B86C03ECBDDB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2024-11-06T13:42:21Z</dcterms:modified>
</cp:coreProperties>
</file>