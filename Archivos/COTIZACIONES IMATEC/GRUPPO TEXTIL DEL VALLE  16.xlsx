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EDD5AE-F315-47F4-8D46-A61FB6B564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/>
  <c r="H22" i="1" l="1"/>
  <c r="H26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<sst xmlns="http://schemas.openxmlformats.org/spreadsheetml/2006/main" count="57" uniqueCount="56">
  <si>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</si>
  <si>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</si>
  <si>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</si>
  <si>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</si>
  <si>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</si>
  <si>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</si>
  <si>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</si>
  <si>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</si>
  <si>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</si>
  <si>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</si>
  <si>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</si>
  <si>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</si>
  <si>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</si>
  <si>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</si>
  <si>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</si>
  <si>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</si>
  <si>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</si>
  <si>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</si>
  <si>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</si>
  <si>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</si>
  <si>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</si>
  <si>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</si>
  <si>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</si>
  <si>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</si>
  <si>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</si>
  <si>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</si>
  <si>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</si>
  <si>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</si>
  <si>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</si>
  <si>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</si>
  <si>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</si>
  <si>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</si>
  <si>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</si>
  <si>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</si>
  <si>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</si>
  <si>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</si>
  <si>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</si>
  <si>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</si>
  <si>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</si>
  <si>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</si>
  <si>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</si>
  <si>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</si>
  <si>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</si>
  <si>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</si>
  <si>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</si>
  <si>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FORMA DE PAGO : CREDITO A 30 DIAS</t>
  </si>
  <si>
    <t xml:space="preserve">              R E M I S I O N</t>
  </si>
  <si>
    <t>ENTREGA EN TRES DIAS A PARTIR DE ORDEN DE COMPRA</t>
  </si>
  <si>
    <t>No. 16</t>
  </si>
  <si>
    <t>VALVULA  DE BOLA AC/INOX 316  2 "</t>
  </si>
  <si>
    <t>NIPLE  AC/INOX 304  2 "  X  4 "</t>
  </si>
  <si>
    <t>FABRICACION</t>
  </si>
  <si>
    <t>REDUCCION COPA  AC/INOX 304  3 " X 2 " X 150 LB</t>
  </si>
  <si>
    <t>SEISCIENTOS CUARENTA Y SIETE MIL TRESCIENTOS SESEN</t>
  </si>
  <si>
    <t>TA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</si>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</sst>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J10" sqref="J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9" t="s">
        <v>39</v>
      </c>
      <c r="D8" s="65"/>
      <c r="E8" s="46"/>
      <c r="H8" s="15"/>
    </row>
    <row r="9" spans="1:8" ht="18.75" customHeight="1" x14ac:dyDescent="0.3">
      <c r="A9" s="21" t="s">
        <v>9</v>
      </c>
      <c r="C9" s="66" t="s">
        <v>40</v>
      </c>
      <c r="D9" s="23"/>
      <c r="E9" s="67" t="s">
        <v>41</v>
      </c>
      <c r="F9" s="30" t="s">
        <v>0</v>
      </c>
      <c r="H9" s="28">
        <v>45763</v>
      </c>
    </row>
    <row r="10" spans="1:8" ht="18.75" x14ac:dyDescent="0.3">
      <c r="A10" s="21" t="s">
        <v>13</v>
      </c>
      <c r="C10" s="68" t="s">
        <v>42</v>
      </c>
      <c r="D10" s="65"/>
      <c r="E10" s="46"/>
      <c r="F10" s="30" t="s">
        <v>15</v>
      </c>
      <c r="H10" s="29"/>
    </row>
    <row r="11" spans="1:8" ht="18.75" x14ac:dyDescent="0.3">
      <c r="A11" s="21" t="s">
        <v>10</v>
      </c>
      <c r="C11" s="69"/>
      <c r="D11" s="65"/>
      <c r="E11" s="46"/>
      <c r="F11" s="30" t="s">
        <v>16</v>
      </c>
      <c r="G11" s="30"/>
      <c r="H11" s="28"/>
    </row>
    <row r="12" spans="1:8" ht="18.75" x14ac:dyDescent="0.3">
      <c r="A12" s="21" t="s">
        <v>11</v>
      </c>
      <c r="C12" s="69" t="s">
        <v>43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0" t="s">
        <v>44</v>
      </c>
      <c r="D13" s="71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2">
        <v>1</v>
      </c>
      <c r="B16" s="73" t="s">
        <v>49</v>
      </c>
      <c r="C16" s="74"/>
      <c r="D16" s="75"/>
      <c r="E16" s="72" t="s">
        <v>37</v>
      </c>
      <c r="F16" s="76">
        <v>185000</v>
      </c>
      <c r="G16" s="72">
        <v>2</v>
      </c>
      <c r="H16" s="38">
        <f t="shared" ref="H16" si="0">G16*F16</f>
        <v>370000</v>
      </c>
    </row>
    <row r="17" spans="1:8" ht="16.5" thickBot="1" x14ac:dyDescent="0.3">
      <c r="A17" s="72">
        <v>2</v>
      </c>
      <c r="B17" s="73" t="s">
        <v>50</v>
      </c>
      <c r="C17" s="74"/>
      <c r="D17" s="75"/>
      <c r="E17" s="72" t="s">
        <v>51</v>
      </c>
      <c r="F17" s="76">
        <v>32000</v>
      </c>
      <c r="G17" s="72">
        <v>2</v>
      </c>
      <c r="H17" s="38">
        <f t="shared" ref="H17:H18" si="1">G17*F17</f>
        <v>64000</v>
      </c>
    </row>
    <row r="18" spans="1:8" ht="16.5" thickBot="1" x14ac:dyDescent="0.3">
      <c r="A18" s="72">
        <v>3</v>
      </c>
      <c r="B18" s="73" t="s">
        <v>52</v>
      </c>
      <c r="C18" s="74"/>
      <c r="D18" s="75"/>
      <c r="E18" s="72" t="s">
        <v>37</v>
      </c>
      <c r="F18" s="76">
        <v>110000</v>
      </c>
      <c r="G18" s="72">
        <v>1</v>
      </c>
      <c r="H18" s="38">
        <f t="shared" si="1"/>
        <v>110000</v>
      </c>
    </row>
    <row r="19" spans="1:8" ht="19.5" customHeight="1" thickBot="1" x14ac:dyDescent="0.3">
      <c r="A19" s="50"/>
      <c r="B19" s="77"/>
      <c r="C19" s="42"/>
      <c r="D19" s="51"/>
      <c r="E19" s="52"/>
      <c r="F19" s="52"/>
      <c r="G19" s="52"/>
    </row>
    <row r="20" spans="1:8" ht="19.5" customHeight="1" thickBot="1" x14ac:dyDescent="0.35">
      <c r="A20" s="49" t="s">
        <v>23</v>
      </c>
      <c r="B20" s="14" t="s">
        <v>53</v>
      </c>
      <c r="D20" s="15"/>
      <c r="E20" s="53"/>
      <c r="F20" s="37" t="s">
        <v>55</v>
      </c>
      <c r="G20" s="6"/>
      <c r="H20" s="7"/>
    </row>
    <row r="21" spans="1:8" ht="19.5" customHeight="1" thickBot="1" x14ac:dyDescent="0.3">
      <c r="A21" s="39"/>
      <c r="B21" s="16" t="s">
        <v>54</v>
      </c>
      <c r="C21" s="4"/>
      <c r="D21" s="4"/>
      <c r="E21" s="56" t="s">
        <v>24</v>
      </c>
      <c r="F21" s="57"/>
      <c r="G21" s="45"/>
      <c r="H21" s="54">
        <f>SUM(H16:H20)</f>
        <v>544000</v>
      </c>
    </row>
    <row r="22" spans="1:8" ht="19.5" customHeight="1" x14ac:dyDescent="0.25">
      <c r="A22" s="24" t="s">
        <v>25</v>
      </c>
      <c r="B22" s="12"/>
      <c r="C22" s="12"/>
      <c r="D22" s="12"/>
      <c r="E22" s="58" t="s">
        <v>29</v>
      </c>
      <c r="F22" s="23"/>
      <c r="G22" s="59">
        <v>0.19</v>
      </c>
      <c r="H22" s="40">
        <f>H21*G22</f>
        <v>103360</v>
      </c>
    </row>
    <row r="23" spans="1:8" ht="19.5" customHeight="1" x14ac:dyDescent="0.25">
      <c r="A23" s="14" t="s">
        <v>45</v>
      </c>
      <c r="E23" s="60" t="s">
        <v>26</v>
      </c>
      <c r="G23" s="63">
        <v>2.5000000000000001E-2</v>
      </c>
      <c r="H23" s="55"/>
    </row>
    <row r="24" spans="1:8" ht="15.75" x14ac:dyDescent="0.25">
      <c r="A24" s="14" t="s">
        <v>47</v>
      </c>
      <c r="E24" s="14"/>
      <c r="F24" s="33"/>
      <c r="G24" s="46"/>
      <c r="H24" s="15"/>
    </row>
    <row r="25" spans="1:8" ht="16.5" thickBot="1" x14ac:dyDescent="0.3">
      <c r="A25" s="14" t="s">
        <v>31</v>
      </c>
      <c r="E25" s="61" t="s">
        <v>27</v>
      </c>
      <c r="F25" s="62"/>
      <c r="G25" s="47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647360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32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2025-04-16T14:08:01Z</cp:lastPrinted>
  <dcterms:created xsi:type="dcterms:W3CDTF">2018-11-15T17:29:02Z</dcterms:created>
  <dcterms:modified xsi:type="dcterms:W3CDTF">2025-04-16T14:41:14Z</dcterms:modified>
</cp:coreProperties>
</file>