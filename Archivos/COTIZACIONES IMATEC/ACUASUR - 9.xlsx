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9BF1665-7DF8-4F82-9CD1-CF16A9F7D00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7" i="1"/>
  <c r="H26" i="1"/>
  <c r="H25" i="1"/>
  <c r="H24" i="1"/>
  <c r="H23" i="1"/>
  <c r="H22" i="1"/>
  <c r="H21" i="1"/>
  <c r="H20" i="1"/>
  <c r="H19" i="1"/>
  <c r="H18" i="1"/>
  <c r="H30" i="1" s="1"/>
  <c r="H17" i="1"/>
  <c r="H16" i="1"/>
  <c r="H31" i="1" l="1"/>
  <c r="H35" i="1" s="1"/>
</calcChain>
</file>

<file path=xl/sharedStrings.xml><?xml version="1.0" encoding="utf-8"?>
<sst xmlns="http://schemas.openxmlformats.org/spreadsheetml/2006/main" count="76" uniqueCount="66">
  <si>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</si>
  <si>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</si>
  <si>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</si>
  <si>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</si>
  <si>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</si>
  <si>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</si>
  <si>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</si>
  <si>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</si>
  <si>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</si>
  <si>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</si>
  <si>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</si>
  <si>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</si>
  <si>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</si>
  <si>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</si>
  <si>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</si>
  <si>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</si>
  <si>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</si>
  <si>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</si>
  <si>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</si>
  <si>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</si>
  <si>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</si>
  <si>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</si>
  <si>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</si>
  <si>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</si>
  <si>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</si>
  <si>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</si>
  <si>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</si>
  <si>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</si>
  <si>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</si>
  <si>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</si>
  <si>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</si>
  <si>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</si>
  <si>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</si>
  <si>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</si>
  <si>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</si>
  <si>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</si>
  <si>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</si>
  <si>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</si>
  <si>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</si>
  <si>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</si>
  <si>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</si>
  <si>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</si>
  <si>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</si>
  <si>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</si>
  <si>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</si>
  <si>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</si>
  <si>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</si>
  <si>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 xml:space="preserve">              R E M I S I O N</t>
  </si>
  <si>
    <t>ORDEN DE COMPRA No.</t>
  </si>
  <si>
    <t>No. 9</t>
  </si>
  <si>
    <t>0021-25</t>
  </si>
  <si>
    <t>ADAPTADOR MACHO PVC PRESION 2 1/2 " PAVCO</t>
  </si>
  <si>
    <t>UNIVERSAL PVC PRESION 3 "</t>
  </si>
  <si>
    <t>ADAPTADOR HEMBRA PVC PRESION 1 " PAVCO</t>
  </si>
  <si>
    <t xml:space="preserve">VALVULA DE PIE BRONCE 3 "  JAGUAR </t>
  </si>
  <si>
    <t>TAPON COPA PVC PRESION 3/4 " ROSCADO</t>
  </si>
  <si>
    <t>TAPON COPA PVC PRESION 1 " ROSCADO</t>
  </si>
  <si>
    <t>TAPON COPA PVC PRESION 3/4 " SOLDAR</t>
  </si>
  <si>
    <t>UNIVERSAL PVC PRESION 2 " PAVCO</t>
  </si>
  <si>
    <t>BRIDA PVC 2 " SOLDAR</t>
  </si>
  <si>
    <t>LIMPIADOR PVC</t>
  </si>
  <si>
    <t>1/4 GALON</t>
  </si>
  <si>
    <t>FILTRO EN Y HR 2 "  X  125 LBS FLANCHADO</t>
  </si>
  <si>
    <t>VALVULA DE BOLA AC/INOX 304  1 " ROSCADA</t>
  </si>
  <si>
    <t>UN MILLON SETECIENTOS VEINTITRES MIL QUINIENTOS</t>
  </si>
  <si>
    <t>NOVENTA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</si>
</sst>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0"/>
  <sheetViews>
    <sheetView tabSelected="1" topLeftCell="A7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45736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48</v>
      </c>
      <c r="H12" s="31" t="s">
        <v>50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51</v>
      </c>
      <c r="C16" s="76"/>
      <c r="D16" s="77"/>
      <c r="E16" s="74" t="s">
        <v>42</v>
      </c>
      <c r="F16" s="78">
        <v>12900</v>
      </c>
      <c r="G16" s="74">
        <v>4</v>
      </c>
      <c r="H16" s="38">
        <f t="shared" ref="H16" si="0">G16*F16</f>
        <v>51600</v>
      </c>
    </row>
    <row r="17" spans="1:8" ht="16.5" thickBot="1" x14ac:dyDescent="0.3">
      <c r="A17" s="80">
        <v>2</v>
      </c>
      <c r="B17" s="75" t="s">
        <v>52</v>
      </c>
      <c r="C17" s="76"/>
      <c r="D17" s="77"/>
      <c r="E17" s="74" t="s">
        <v>42</v>
      </c>
      <c r="F17" s="78">
        <v>28500</v>
      </c>
      <c r="G17" s="74">
        <v>6</v>
      </c>
      <c r="H17" s="38">
        <f t="shared" ref="H17:H27" si="1">G17*F17</f>
        <v>171000</v>
      </c>
    </row>
    <row r="18" spans="1:8" ht="16.5" thickBot="1" x14ac:dyDescent="0.3">
      <c r="A18" s="80">
        <v>3</v>
      </c>
      <c r="B18" s="75" t="s">
        <v>53</v>
      </c>
      <c r="C18" s="76"/>
      <c r="D18" s="77"/>
      <c r="E18" s="74" t="s">
        <v>42</v>
      </c>
      <c r="F18" s="78">
        <v>1681</v>
      </c>
      <c r="G18" s="74">
        <v>6</v>
      </c>
      <c r="H18" s="38">
        <f t="shared" si="1"/>
        <v>10086</v>
      </c>
    </row>
    <row r="19" spans="1:8" ht="16.5" thickBot="1" x14ac:dyDescent="0.3">
      <c r="A19" s="80">
        <v>4</v>
      </c>
      <c r="B19" s="75" t="s">
        <v>54</v>
      </c>
      <c r="C19" s="76"/>
      <c r="D19" s="77"/>
      <c r="E19" s="74" t="s">
        <v>42</v>
      </c>
      <c r="F19" s="78">
        <v>240000</v>
      </c>
      <c r="G19" s="74">
        <v>2</v>
      </c>
      <c r="H19" s="38">
        <f t="shared" si="1"/>
        <v>480000</v>
      </c>
    </row>
    <row r="20" spans="1:8" ht="16.5" thickBot="1" x14ac:dyDescent="0.3">
      <c r="A20" s="80">
        <v>5</v>
      </c>
      <c r="B20" s="75" t="s">
        <v>55</v>
      </c>
      <c r="C20" s="76"/>
      <c r="D20" s="77"/>
      <c r="E20" s="74" t="s">
        <v>42</v>
      </c>
      <c r="F20" s="78">
        <v>1250</v>
      </c>
      <c r="G20" s="74">
        <v>6</v>
      </c>
      <c r="H20" s="38">
        <f t="shared" si="1"/>
        <v>7500</v>
      </c>
    </row>
    <row r="21" spans="1:8" ht="16.5" thickBot="1" x14ac:dyDescent="0.3">
      <c r="A21" s="80">
        <v>6</v>
      </c>
      <c r="B21" s="75" t="s">
        <v>56</v>
      </c>
      <c r="C21" s="76"/>
      <c r="D21" s="77"/>
      <c r="E21" s="74" t="s">
        <v>42</v>
      </c>
      <c r="F21" s="78">
        <v>1750</v>
      </c>
      <c r="G21" s="74">
        <v>6</v>
      </c>
      <c r="H21" s="38">
        <f t="shared" si="1"/>
        <v>10500</v>
      </c>
    </row>
    <row r="22" spans="1:8" ht="16.5" thickBot="1" x14ac:dyDescent="0.3">
      <c r="A22" s="80">
        <v>7</v>
      </c>
      <c r="B22" s="75" t="s">
        <v>57</v>
      </c>
      <c r="C22" s="76"/>
      <c r="D22" s="77"/>
      <c r="E22" s="74" t="s">
        <v>42</v>
      </c>
      <c r="F22" s="78">
        <v>616</v>
      </c>
      <c r="G22" s="74">
        <v>6</v>
      </c>
      <c r="H22" s="38">
        <f t="shared" si="1"/>
        <v>3696</v>
      </c>
    </row>
    <row r="23" spans="1:8" ht="16.5" thickBot="1" x14ac:dyDescent="0.3">
      <c r="A23" s="80">
        <v>8</v>
      </c>
      <c r="B23" s="75" t="s">
        <v>58</v>
      </c>
      <c r="C23" s="76"/>
      <c r="D23" s="77"/>
      <c r="E23" s="74" t="s">
        <v>42</v>
      </c>
      <c r="F23" s="78">
        <v>31750</v>
      </c>
      <c r="G23" s="74">
        <v>4</v>
      </c>
      <c r="H23" s="38">
        <f t="shared" si="1"/>
        <v>127000</v>
      </c>
    </row>
    <row r="24" spans="1:8" ht="16.5" thickBot="1" x14ac:dyDescent="0.3">
      <c r="A24" s="80">
        <v>9</v>
      </c>
      <c r="B24" s="75" t="s">
        <v>59</v>
      </c>
      <c r="C24" s="76"/>
      <c r="D24" s="77"/>
      <c r="E24" s="74" t="s">
        <v>42</v>
      </c>
      <c r="F24" s="78">
        <v>21300</v>
      </c>
      <c r="G24" s="74">
        <v>12</v>
      </c>
      <c r="H24" s="38">
        <f t="shared" si="1"/>
        <v>255600</v>
      </c>
    </row>
    <row r="25" spans="1:8" ht="16.5" thickBot="1" x14ac:dyDescent="0.3">
      <c r="A25" s="80">
        <v>10</v>
      </c>
      <c r="B25" s="75" t="s">
        <v>60</v>
      </c>
      <c r="C25" s="76"/>
      <c r="D25" s="77"/>
      <c r="E25" s="74" t="s">
        <v>61</v>
      </c>
      <c r="F25" s="78">
        <v>41200</v>
      </c>
      <c r="G25" s="74">
        <v>2</v>
      </c>
      <c r="H25" s="38">
        <f t="shared" si="1"/>
        <v>82400</v>
      </c>
    </row>
    <row r="26" spans="1:8" ht="16.5" thickBot="1" x14ac:dyDescent="0.3">
      <c r="A26" s="80">
        <v>11</v>
      </c>
      <c r="B26" s="75" t="s">
        <v>62</v>
      </c>
      <c r="C26" s="76"/>
      <c r="D26" s="77"/>
      <c r="E26" s="74" t="s">
        <v>42</v>
      </c>
      <c r="F26" s="78">
        <v>195000</v>
      </c>
      <c r="G26" s="74">
        <v>1</v>
      </c>
      <c r="H26" s="38">
        <f t="shared" si="1"/>
        <v>195000</v>
      </c>
    </row>
    <row r="27" spans="1:8" ht="16.5" thickBot="1" x14ac:dyDescent="0.3">
      <c r="A27" s="80">
        <v>12</v>
      </c>
      <c r="B27" s="75" t="s">
        <v>63</v>
      </c>
      <c r="C27" s="76"/>
      <c r="D27" s="77"/>
      <c r="E27" s="74" t="s">
        <v>42</v>
      </c>
      <c r="F27" s="78">
        <v>42550</v>
      </c>
      <c r="G27" s="74">
        <v>2</v>
      </c>
      <c r="H27" s="38">
        <f t="shared" si="1"/>
        <v>85100</v>
      </c>
    </row>
    <row r="28" spans="1:8" ht="19.5" customHeight="1" thickBot="1" x14ac:dyDescent="0.3">
      <c r="A28" s="47"/>
      <c r="B28" s="71"/>
      <c r="D28" s="72"/>
      <c r="E28" s="47"/>
      <c r="F28" s="47"/>
      <c r="G28" s="47"/>
    </row>
    <row r="29" spans="1:8" ht="19.5" customHeight="1" thickBot="1" x14ac:dyDescent="0.35">
      <c r="A29" s="70" t="s">
        <v>22</v>
      </c>
      <c r="B29" s="73" t="s">
        <v>64</v>
      </c>
      <c r="C29" s="12"/>
      <c r="D29" s="13"/>
      <c r="E29" s="48"/>
      <c r="F29" s="37" t="s">
        <v>45</v>
      </c>
      <c r="G29" s="6"/>
      <c r="H29" s="7"/>
    </row>
    <row r="30" spans="1:8" ht="19.5" customHeight="1" thickBot="1" x14ac:dyDescent="0.3">
      <c r="A30" s="39"/>
      <c r="B30" s="16" t="s">
        <v>65</v>
      </c>
      <c r="C30" s="4"/>
      <c r="D30" s="17"/>
      <c r="E30" s="51" t="s">
        <v>23</v>
      </c>
      <c r="F30" s="52"/>
      <c r="G30" s="44"/>
      <c r="H30" s="49">
        <f>SUM(H16:H27)</f>
        <v>1479482</v>
      </c>
    </row>
    <row r="31" spans="1:8" ht="19.5" customHeight="1" x14ac:dyDescent="0.25">
      <c r="A31" s="24" t="s">
        <v>24</v>
      </c>
      <c r="B31" s="12"/>
      <c r="C31" s="12"/>
      <c r="D31" s="12"/>
      <c r="E31" s="53" t="s">
        <v>28</v>
      </c>
      <c r="F31" s="23"/>
      <c r="G31" s="54">
        <v>0.19</v>
      </c>
      <c r="H31" s="40">
        <f>H30*G31</f>
        <v>281101.58</v>
      </c>
    </row>
    <row r="32" spans="1:8" ht="19.5" customHeight="1" x14ac:dyDescent="0.25">
      <c r="A32" s="14" t="s">
        <v>46</v>
      </c>
      <c r="E32" s="55" t="s">
        <v>25</v>
      </c>
      <c r="G32" s="58">
        <v>2.5000000000000001E-2</v>
      </c>
      <c r="H32" s="50">
        <f>H30*G32</f>
        <v>36987.050000000003</v>
      </c>
    </row>
    <row r="33" spans="1:8" ht="15.75" x14ac:dyDescent="0.25">
      <c r="A33" s="14" t="s">
        <v>43</v>
      </c>
      <c r="E33" s="14"/>
      <c r="F33" s="33"/>
      <c r="G33" s="45"/>
      <c r="H33" s="15"/>
    </row>
    <row r="34" spans="1:8" ht="16.5" thickBot="1" x14ac:dyDescent="0.3">
      <c r="A34" s="14" t="s">
        <v>30</v>
      </c>
      <c r="E34" s="56" t="s">
        <v>26</v>
      </c>
      <c r="F34" s="57"/>
      <c r="G34" s="46"/>
      <c r="H34" s="17"/>
    </row>
    <row r="35" spans="1:8" ht="19.5" thickBot="1" x14ac:dyDescent="0.35">
      <c r="A35" s="16"/>
      <c r="B35" s="4"/>
      <c r="C35" s="4"/>
      <c r="D35" s="17"/>
      <c r="F35" s="3"/>
      <c r="G35" s="34" t="s">
        <v>27</v>
      </c>
      <c r="H35" s="36">
        <f>H30+H31-H32</f>
        <v>1723596.53</v>
      </c>
    </row>
    <row r="36" spans="1:8" ht="16.5" customHeight="1" x14ac:dyDescent="0.25"/>
    <row r="41" spans="1:8" ht="15.75" thickBot="1" x14ac:dyDescent="0.3"/>
    <row r="42" spans="1:8" ht="19.5" thickBot="1" x14ac:dyDescent="0.35">
      <c r="A42" s="25" t="s">
        <v>44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2025-03-19T22:22:31Z</cp:lastPrinted>
  <dcterms:created xsi:type="dcterms:W3CDTF">2018-11-15T17:29:02Z</dcterms:created>
  <dcterms:modified xsi:type="dcterms:W3CDTF">2025-03-19T22:23:41Z</dcterms:modified>
</cp:coreProperties>
</file>