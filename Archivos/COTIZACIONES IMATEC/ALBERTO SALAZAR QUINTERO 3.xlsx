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E4EF746-B17F-4388-AC6E-EF83B17563E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LBERTO SALAZAR Q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6" i="1" l="1"/>
  <c r="H25" i="1"/>
  <c r="H29" i="1" s="1"/>
</calcChain>
</file>

<file path=xl/sharedStrings.xml><?xml version="1.0" encoding="utf-8"?>
<sst xmlns="http://schemas.openxmlformats.org/spreadsheetml/2006/main" count="64" uniqueCount="62">
  <si>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</si>
  <si>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</si>
  <si>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</si>
  <si>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</si>
  <si>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</si>
  <si>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</si>
  <si>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</si>
  <si>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</si>
  <si>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</si>
  <si>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</si>
  <si>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</si>
  <si>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</si>
  <si>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</si>
  <si>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</si>
  <si>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</si>
  <si>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</si>
  <si>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</si>
  <si>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</si>
  <si>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</si>
  <si>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</si>
  <si>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</si>
  <si>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</si>
  <si>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</si>
  <si>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</si>
  <si>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</si>
  <si>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</si>
  <si>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</si>
  <si>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</si>
  <si>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</si>
  <si>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</si>
  <si>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</si>
  <si>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</si>
  <si>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</si>
  <si>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</si>
  <si>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</si>
  <si>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</si>
  <si>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</si>
  <si>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</si>
  <si>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</si>
  <si>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ALBERTO SALAZAR QUINTERO</t>
  </si>
  <si>
    <t>CALLE 2 S  No.  7B12 - 14</t>
  </si>
  <si>
    <t>BUENAVENTURA</t>
  </si>
  <si>
    <t>yamapesca@hotmail.com</t>
  </si>
  <si>
    <t xml:space="preserve">YAMAPESCA  </t>
  </si>
  <si>
    <t>602 2414869</t>
  </si>
  <si>
    <t>EDINSON CABEZAS</t>
  </si>
  <si>
    <t>TUBO X 6MTS</t>
  </si>
  <si>
    <t xml:space="preserve">           C O T I Z A C I O N</t>
  </si>
  <si>
    <t xml:space="preserve">TUBERIA  AC/INOX 304  SCH 40 1 1/2" </t>
  </si>
  <si>
    <t>No. 3</t>
  </si>
  <si>
    <t xml:space="preserve">CODO  AC/INOX 304  1 1/2 "  X  90º </t>
  </si>
  <si>
    <t>ACCESORIO</t>
  </si>
  <si>
    <t xml:space="preserve">CODO  AC/INOX 304  3 "  X  90º </t>
  </si>
  <si>
    <t xml:space="preserve">SOLDADURA AC/INOX 1/8 "  </t>
  </si>
  <si>
    <t>KILO</t>
  </si>
  <si>
    <t>DISCO DE PULIR  4 1/2 "</t>
  </si>
  <si>
    <t>INSUMO</t>
  </si>
  <si>
    <t>DISCO DE CORTE  4 1/2 "</t>
  </si>
  <si>
    <t>UN MILLON OCHOCIENTOS QUINCE MIL CUATRTOCIENTOS</t>
  </si>
  <si>
    <t>SESENTA Y SEIS PESOS MDA / CTE</t>
  </si>
  <si>
    <t>ENTREGA INMEDIATA</t>
  </si>
  <si>
    <t xml:space="preserve">  CALLE  33A No. 17F - 56  2o. PISO              B / LA FLORESTA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</si>
</sst>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mapesca@hotmail.com" TargetMode="External"/><Relationship Id="rId1" Type="http://schemas.openxmlformats.org/officeDocument/2006/relationships/hyperlink" Target="mailto:yamapesca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F33" sqref="F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>
        <v>10395093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45712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43</v>
      </c>
      <c r="D11" s="66"/>
      <c r="E11" s="47"/>
      <c r="F11" s="30" t="s">
        <v>16</v>
      </c>
      <c r="G11" s="30"/>
      <c r="H11" s="28">
        <v>45721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46</v>
      </c>
      <c r="F16" s="79">
        <v>610000</v>
      </c>
      <c r="G16" s="75">
        <v>2</v>
      </c>
      <c r="H16" s="38">
        <f t="shared" ref="H16" si="0">G16*F16</f>
        <v>1220000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51</v>
      </c>
      <c r="F17" s="79">
        <v>19600</v>
      </c>
      <c r="G17" s="75">
        <v>2</v>
      </c>
      <c r="H17" s="38">
        <f t="shared" ref="H17" si="1">G17*F17</f>
        <v>39200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51</v>
      </c>
      <c r="F18" s="79">
        <v>87500</v>
      </c>
      <c r="G18" s="75">
        <v>1</v>
      </c>
      <c r="H18" s="38">
        <f t="shared" ref="H18:H21" si="2">G18*F18</f>
        <v>87500</v>
      </c>
    </row>
    <row r="19" spans="1:8" ht="16.5" thickBot="1" x14ac:dyDescent="0.3">
      <c r="A19" s="75">
        <v>4</v>
      </c>
      <c r="B19" s="76" t="s">
        <v>53</v>
      </c>
      <c r="C19" s="77"/>
      <c r="D19" s="78"/>
      <c r="E19" s="75" t="s">
        <v>54</v>
      </c>
      <c r="F19" s="79">
        <v>43900</v>
      </c>
      <c r="G19" s="75">
        <v>2</v>
      </c>
      <c r="H19" s="38">
        <f t="shared" si="2"/>
        <v>87800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56</v>
      </c>
      <c r="F20" s="79">
        <v>5960</v>
      </c>
      <c r="G20" s="75">
        <v>4</v>
      </c>
      <c r="H20" s="38">
        <f t="shared" si="2"/>
        <v>23840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56</v>
      </c>
      <c r="F21" s="79">
        <v>5000</v>
      </c>
      <c r="G21" s="75">
        <v>20</v>
      </c>
      <c r="H21" s="38">
        <f t="shared" si="2"/>
        <v>100000</v>
      </c>
    </row>
    <row r="22" spans="1:8" ht="19.5" customHeight="1" thickBot="1" x14ac:dyDescent="0.3">
      <c r="A22" s="51"/>
      <c r="B22" s="45"/>
      <c r="C22" s="42"/>
      <c r="D22" s="52"/>
      <c r="E22" s="53"/>
      <c r="F22" s="53"/>
      <c r="G22" s="53"/>
    </row>
    <row r="23" spans="1:8" ht="19.5" customHeight="1" thickBot="1" x14ac:dyDescent="0.35">
      <c r="A23" s="50" t="s">
        <v>23</v>
      </c>
      <c r="B23" s="14" t="s">
        <v>58</v>
      </c>
      <c r="D23" s="15"/>
      <c r="E23" s="54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59</v>
      </c>
      <c r="C24" s="4"/>
      <c r="D24" s="4"/>
      <c r="E24" s="57" t="s">
        <v>24</v>
      </c>
      <c r="F24" s="58"/>
      <c r="G24" s="46"/>
      <c r="H24" s="55">
        <f>SUM(H16:H21)</f>
        <v>1558340</v>
      </c>
    </row>
    <row r="25" spans="1:8" ht="19.5" customHeight="1" x14ac:dyDescent="0.25">
      <c r="A25" s="24" t="s">
        <v>25</v>
      </c>
      <c r="B25" s="12"/>
      <c r="C25" s="12"/>
      <c r="D25" s="12"/>
      <c r="E25" s="59" t="s">
        <v>30</v>
      </c>
      <c r="F25" s="23"/>
      <c r="G25" s="60">
        <v>0.19</v>
      </c>
      <c r="H25" s="40">
        <f>H24*G25</f>
        <v>296084.59999999998</v>
      </c>
    </row>
    <row r="26" spans="1:8" ht="19.5" customHeight="1" x14ac:dyDescent="0.25">
      <c r="A26" s="14" t="s">
        <v>31</v>
      </c>
      <c r="E26" s="61" t="s">
        <v>26</v>
      </c>
      <c r="G26" s="64">
        <v>2.5000000000000001E-2</v>
      </c>
      <c r="H26" s="56">
        <f>H24*G26</f>
        <v>38958.5</v>
      </c>
    </row>
    <row r="27" spans="1:8" ht="15.75" x14ac:dyDescent="0.25">
      <c r="A27" s="14" t="s">
        <v>60</v>
      </c>
      <c r="E27" s="14"/>
      <c r="F27" s="33"/>
      <c r="G27" s="47"/>
      <c r="H27" s="15"/>
    </row>
    <row r="28" spans="1:8" ht="16.5" thickBot="1" x14ac:dyDescent="0.3">
      <c r="A28" s="14" t="s">
        <v>34</v>
      </c>
      <c r="E28" s="62" t="s">
        <v>27</v>
      </c>
      <c r="F28" s="63"/>
      <c r="G28" s="48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1815466.1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61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B44C1524-B522-428C-AB7B-DFC40A0643EA}"/>
    <hyperlink ref="C11" r:id="rId2" display="yamapesca@hotmail.com" xr:uid="{0D39698E-A5B7-4C8C-9049-9E9565D5432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ALBERTO SALAZAR 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2025-02-24T14:48:18Z</dcterms:modified>
</cp:coreProperties>
</file>