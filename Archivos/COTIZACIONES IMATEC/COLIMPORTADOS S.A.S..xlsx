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37DBD4ED-D394-439A-8C9F-CB0B8C478205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COLIMPORTADOS S.A.S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H21" i="1" s="1"/>
  <c r="H23" i="1" l="1"/>
  <c r="H22" i="1"/>
  <c r="H26" i="1" s="1"/>
</calcChain>
</file>

<file path=xl/sharedStrings.xml><?xml version="1.0" encoding="utf-8"?>
<sst xmlns="http://schemas.openxmlformats.org/spreadsheetml/2006/main" count="54" uniqueCount="54">
  <si>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</si>
  <si>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</si>
  <si>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</si>
  <si>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</si>
  <si>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</si>
  <si>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</si>
  <si>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</si>
  <si>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</si>
  <si>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</si>
  <si>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</si>
  <si>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</si>
  <si>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</si>
  <si>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</si>
  <si>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</si>
  <si>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</si>
  <si>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</si>
  <si>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</si>
  <si>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</si>
  <si>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</si>
  <si>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</si>
  <si>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</si>
  <si>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</si>
  <si>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</si>
  <si>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</si>
  <si>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</si>
  <si>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</si>
  <si>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</si>
  <si>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</si>
  <si>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</si>
  <si>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</si>
  <si>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</si>
  <si>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</si>
  <si>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</si>
  <si>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</si>
  <si>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</si>
  <si>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</si>
  <si>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</si>
  <si>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EDINSON CABEZAS</t>
  </si>
  <si>
    <t>8 DIAS</t>
  </si>
  <si>
    <t>ITEM</t>
  </si>
  <si>
    <t>CONTACTOS   310 8306118       319 7174165        321 7834969</t>
  </si>
  <si>
    <t>FORMA DE PAGO : CREDITO  A  TREINTA DIAS</t>
  </si>
  <si>
    <t>ENTREGA EN TRES DIAS A PARTIR DE ORDEN DE COMPRA</t>
  </si>
  <si>
    <t xml:space="preserve">  CALLE  33B  No. 17C - 70   2º PISO               B/  LA FLORESTA             -   CALI    -                                  CEL.     321 7834969</t>
  </si>
  <si>
    <t>COLIMPORTADOS S.A.S.</t>
  </si>
  <si>
    <t>901 009799</t>
  </si>
  <si>
    <t>CALLE 18  No.25-55</t>
  </si>
  <si>
    <t>BOGOTÁ</t>
  </si>
  <si>
    <t>facturacionelectronica@colimportados.com</t>
  </si>
  <si>
    <t>310 2825439</t>
  </si>
  <si>
    <t>VALVULA MARIPOSA CLAMP TIPO 304  1 1/2 "</t>
  </si>
  <si>
    <t>ACCESORIO</t>
  </si>
  <si>
    <t>UN MILLON QUINIENTOS TREINTA Y SIETE MIL OCHO-</t>
  </si>
  <si>
    <t>CIENTOS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</si>
</sst>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17" xfId="0" applyBorder="1"/>
    <xf numFmtId="0" fontId="8" fillId="0" borderId="14" xfId="0" applyFont="1" applyBorder="1"/>
    <xf numFmtId="0" fontId="8" fillId="0" borderId="0" xfId="0" applyFont="1"/>
    <xf numFmtId="0" fontId="0" fillId="0" borderId="14" xfId="0" applyBorder="1"/>
    <xf numFmtId="0" fontId="5" fillId="0" borderId="7" xfId="0" applyFont="1" applyBorder="1"/>
    <xf numFmtId="0" fontId="4" fillId="0" borderId="15" xfId="0" applyFont="1" applyBorder="1"/>
    <xf numFmtId="0" fontId="4" fillId="0" borderId="13" xfId="0" applyFont="1" applyBorder="1"/>
    <xf numFmtId="0" fontId="5" fillId="0" borderId="19" xfId="0" applyFont="1" applyBorder="1"/>
    <xf numFmtId="9" fontId="1" fillId="0" borderId="15" xfId="0" applyNumberFormat="1" applyFont="1" applyBorder="1"/>
    <xf numFmtId="42" fontId="1" fillId="0" borderId="20" xfId="0" applyNumberFormat="1" applyFont="1" applyBorder="1"/>
    <xf numFmtId="0" fontId="0" fillId="0" borderId="20" xfId="0" applyBorder="1"/>
    <xf numFmtId="0" fontId="0" fillId="0" borderId="19" xfId="0" applyBorder="1"/>
    <xf numFmtId="0" fontId="11" fillId="0" borderId="17" xfId="0" applyFont="1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18" xfId="0" applyNumberFormat="1" applyFont="1" applyBorder="1" applyAlignment="1">
      <alignment horizontal="left"/>
    </xf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1" xfId="0" applyFont="1" applyBorder="1"/>
    <xf numFmtId="42" fontId="1" fillId="0" borderId="21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0" fontId="0" fillId="0" borderId="22" xfId="0" applyBorder="1"/>
    <xf numFmtId="0" fontId="5" fillId="0" borderId="4" xfId="0" applyFont="1" applyBorder="1"/>
    <xf numFmtId="0" fontId="1" fillId="0" borderId="0" xfId="0" applyFont="1"/>
    <xf numFmtId="0" fontId="0" fillId="0" borderId="23" xfId="0" applyBorder="1"/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electronica@colimportad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0"/>
  <sheetViews>
    <sheetView tabSelected="1" topLeftCell="A20" zoomScaleNormal="100" workbookViewId="0">
      <selection activeCell="D29" sqref="D29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2" t="s">
        <v>33</v>
      </c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35</v>
      </c>
      <c r="E4" s="19"/>
      <c r="F4" s="20"/>
      <c r="G4" s="6"/>
      <c r="H4" s="7"/>
    </row>
    <row r="5" spans="1:8" ht="19.5" thickBot="1" x14ac:dyDescent="0.35">
      <c r="A5" s="64" t="s">
        <v>40</v>
      </c>
      <c r="B5" s="6"/>
      <c r="C5" s="6"/>
      <c r="D5" s="6"/>
      <c r="E5" s="6"/>
    </row>
    <row r="6" spans="1:8" ht="24.75" customHeight="1" thickBot="1" x14ac:dyDescent="0.45">
      <c r="F6" s="11" t="s">
        <v>19</v>
      </c>
      <c r="G6" s="19"/>
      <c r="H6" s="20"/>
    </row>
    <row r="7" spans="1:8" ht="19.5" thickBot="1" x14ac:dyDescent="0.35">
      <c r="A7" s="21" t="s">
        <v>15</v>
      </c>
      <c r="B7" s="13"/>
      <c r="C7" s="31" t="s">
        <v>44</v>
      </c>
      <c r="D7" s="13"/>
      <c r="E7" s="14"/>
      <c r="F7" s="28"/>
      <c r="G7" s="19"/>
      <c r="H7" s="20"/>
    </row>
    <row r="8" spans="1:8" ht="18.75" x14ac:dyDescent="0.3">
      <c r="A8" s="22" t="s">
        <v>9</v>
      </c>
      <c r="C8" s="25" t="s">
        <v>45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46</v>
      </c>
      <c r="D9" s="24"/>
      <c r="E9" s="25" t="s">
        <v>47</v>
      </c>
      <c r="F9" s="32" t="s">
        <v>0</v>
      </c>
      <c r="H9" s="33">
        <v>45498</v>
      </c>
    </row>
    <row r="10" spans="1:8" ht="18.75" x14ac:dyDescent="0.3">
      <c r="A10" s="22" t="s">
        <v>14</v>
      </c>
      <c r="C10" s="53" t="s">
        <v>48</v>
      </c>
      <c r="D10" s="26"/>
      <c r="E10" s="26"/>
      <c r="F10" s="32" t="s">
        <v>16</v>
      </c>
      <c r="H10" s="34" t="s">
        <v>38</v>
      </c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>
        <v>45505</v>
      </c>
    </row>
    <row r="12" spans="1:8" ht="18.75" x14ac:dyDescent="0.3">
      <c r="A12" s="22" t="s">
        <v>12</v>
      </c>
      <c r="C12" s="25" t="s">
        <v>49</v>
      </c>
      <c r="D12" s="26"/>
      <c r="E12" s="26"/>
      <c r="F12" s="32" t="s">
        <v>18</v>
      </c>
      <c r="H12" s="36"/>
    </row>
    <row r="13" spans="1:8" ht="18.75" customHeight="1" thickBot="1" x14ac:dyDescent="0.35">
      <c r="A13" s="23" t="s">
        <v>13</v>
      </c>
      <c r="B13" s="4"/>
      <c r="C13" s="25" t="s">
        <v>37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37" t="s">
        <v>39</v>
      </c>
      <c r="B15" s="57" t="s">
        <v>25</v>
      </c>
      <c r="C15" s="19"/>
      <c r="D15" s="7"/>
      <c r="E15" s="37" t="s">
        <v>21</v>
      </c>
      <c r="F15" s="37" t="s">
        <v>23</v>
      </c>
      <c r="G15" s="37" t="s">
        <v>22</v>
      </c>
      <c r="H15" s="37" t="s">
        <v>24</v>
      </c>
    </row>
    <row r="16" spans="1:8" ht="15.75" x14ac:dyDescent="0.25">
      <c r="A16" s="58">
        <v>1</v>
      </c>
      <c r="B16" s="40" t="s">
        <v>50</v>
      </c>
      <c r="C16" s="41"/>
      <c r="D16" s="59"/>
      <c r="E16" s="58" t="s">
        <v>51</v>
      </c>
      <c r="F16" s="62">
        <v>110000</v>
      </c>
      <c r="G16" s="58">
        <v>12</v>
      </c>
      <c r="H16" s="60">
        <f>G16*F16</f>
        <v>1320000</v>
      </c>
    </row>
    <row r="17" spans="1:10" ht="15.75" x14ac:dyDescent="0.25">
      <c r="A17" s="39"/>
      <c r="B17" s="41"/>
      <c r="E17" s="42"/>
      <c r="F17" s="38"/>
      <c r="G17" s="58"/>
      <c r="H17" s="51"/>
      <c r="I17" s="38"/>
      <c r="J17" s="38"/>
    </row>
    <row r="18" spans="1:10" ht="15.75" x14ac:dyDescent="0.25">
      <c r="B18" s="40"/>
      <c r="C18" s="41"/>
      <c r="D18" s="41"/>
      <c r="E18" s="42"/>
      <c r="F18" s="61"/>
      <c r="G18" s="58"/>
      <c r="H18" s="39"/>
      <c r="I18" s="38"/>
      <c r="J18" s="38"/>
    </row>
    <row r="19" spans="1:10" ht="19.5" customHeight="1" thickBot="1" x14ac:dyDescent="0.3">
      <c r="H19" s="63"/>
    </row>
    <row r="20" spans="1:10" ht="19.5" customHeight="1" thickBot="1" x14ac:dyDescent="0.35">
      <c r="A20" s="67" t="s">
        <v>26</v>
      </c>
      <c r="B20" s="12" t="s">
        <v>52</v>
      </c>
      <c r="C20" s="13"/>
      <c r="D20" s="14"/>
      <c r="E20" s="13"/>
      <c r="F20" s="43" t="s">
        <v>32</v>
      </c>
      <c r="G20" s="13"/>
      <c r="H20" s="7"/>
    </row>
    <row r="21" spans="1:10" ht="19.5" customHeight="1" thickBot="1" x14ac:dyDescent="0.3">
      <c r="A21" s="68"/>
      <c r="B21" s="17" t="s">
        <v>53</v>
      </c>
      <c r="C21" s="4"/>
      <c r="D21" s="4"/>
      <c r="E21" s="44" t="s">
        <v>27</v>
      </c>
      <c r="F21" s="45"/>
      <c r="G21" s="26"/>
      <c r="H21" s="54">
        <f>SUM(H16:H17)</f>
        <v>1320000</v>
      </c>
    </row>
    <row r="22" spans="1:10" ht="19.5" customHeight="1" x14ac:dyDescent="0.25">
      <c r="A22" s="27" t="s">
        <v>28</v>
      </c>
      <c r="B22" s="13"/>
      <c r="C22" s="13"/>
      <c r="D22" s="14"/>
      <c r="E22" s="3" t="s">
        <v>34</v>
      </c>
      <c r="F22" s="66"/>
      <c r="G22" s="47">
        <v>0.19</v>
      </c>
      <c r="H22" s="55">
        <f>H21*G22</f>
        <v>250800</v>
      </c>
    </row>
    <row r="23" spans="1:10" ht="15.75" x14ac:dyDescent="0.25">
      <c r="A23" s="15" t="s">
        <v>41</v>
      </c>
      <c r="D23" s="16"/>
      <c r="E23" s="45" t="s">
        <v>29</v>
      </c>
      <c r="G23" s="65">
        <v>2.5</v>
      </c>
      <c r="H23" s="48">
        <f>H21*0.025</f>
        <v>33000</v>
      </c>
    </row>
    <row r="24" spans="1:10" ht="15.75" x14ac:dyDescent="0.25">
      <c r="A24" s="15" t="s">
        <v>42</v>
      </c>
      <c r="D24" s="16"/>
      <c r="F24" s="45"/>
      <c r="G24" s="26"/>
      <c r="H24" s="49"/>
    </row>
    <row r="25" spans="1:10" ht="16.5" thickBot="1" x14ac:dyDescent="0.3">
      <c r="A25" s="15" t="s">
        <v>36</v>
      </c>
      <c r="D25" s="16"/>
      <c r="E25" s="45" t="s">
        <v>30</v>
      </c>
      <c r="F25" s="45"/>
      <c r="G25" s="26"/>
      <c r="H25" s="50"/>
    </row>
    <row r="26" spans="1:10" ht="16.5" customHeight="1" thickBot="1" x14ac:dyDescent="0.35">
      <c r="A26" s="17"/>
      <c r="B26" s="4"/>
      <c r="C26" s="4"/>
      <c r="D26" s="18"/>
      <c r="F26" s="3"/>
      <c r="G26" s="46" t="s">
        <v>31</v>
      </c>
      <c r="H26" s="56">
        <f>H21+H22-H23</f>
        <v>1537800</v>
      </c>
    </row>
    <row r="28" spans="1:10" x14ac:dyDescent="0.25">
      <c r="A28" t="s">
        <v>1</v>
      </c>
    </row>
    <row r="30" spans="1:10" ht="15.75" thickBot="1" x14ac:dyDescent="0.3"/>
    <row r="31" spans="1:10" ht="19.5" thickBot="1" x14ac:dyDescent="0.35">
      <c r="A31" s="28" t="s">
        <v>43</v>
      </c>
      <c r="B31" s="6"/>
      <c r="C31" s="6"/>
      <c r="D31" s="6"/>
      <c r="E31" s="6"/>
      <c r="F31" s="6"/>
      <c r="G31" s="6"/>
      <c r="H31" s="7"/>
    </row>
    <row r="40" spans="1:1" ht="18.75" x14ac:dyDescent="0.3">
      <c r="A40" s="5"/>
    </row>
  </sheetData>
  <mergeCells count="1">
    <mergeCell ref="A20:A21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COLIMPORTADOS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2024-07-25T16:24:34Z</dcterms:modified>
</cp:coreProperties>
</file>