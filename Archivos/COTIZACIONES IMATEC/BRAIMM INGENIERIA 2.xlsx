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2F85183-F390-41D4-9604-C13B202584B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RAIM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<sst xmlns="http://schemas.openxmlformats.org/spreadsheetml/2006/main" count="54" uniqueCount="54">
  <si>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</si>
  <si>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</si>
  <si>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</si>
  <si>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</si>
  <si>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</si>
  <si>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</si>
  <si>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</si>
  <si>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</si>
  <si>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</si>
  <si>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</si>
  <si>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</si>
  <si>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</si>
  <si>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</si>
  <si>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</si>
  <si>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</si>
  <si>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</si>
  <si>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</si>
  <si>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</si>
  <si>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</si>
  <si>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</si>
  <si>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</si>
  <si>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</si>
  <si>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</si>
  <si>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</si>
  <si>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</si>
  <si>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</si>
  <si>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</si>
  <si>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</si>
  <si>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</si>
  <si>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</si>
  <si>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</si>
  <si>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</si>
  <si>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</si>
  <si>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</si>
  <si>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</si>
  <si>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</si>
  <si>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</si>
  <si>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</si>
  <si>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</si>
  <si>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</si>
  <si>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</si>
  <si>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BRAIMM INGENIERIA , MANTENIMIENTO Y MONTAJES S.A.S</t>
  </si>
  <si>
    <t>901 784512</t>
  </si>
  <si>
    <t>CRA 17F5  No  27 C bis-43</t>
  </si>
  <si>
    <t>CALI</t>
  </si>
  <si>
    <t>311 3595801</t>
  </si>
  <si>
    <t>LUIS A. BENAVIDES</t>
  </si>
  <si>
    <t>ACCESORIO</t>
  </si>
  <si>
    <t>ENTREGA EN 3 DIAS  A PARTIR DE ORDEN DE COMPRA</t>
  </si>
  <si>
    <t>No. 2</t>
  </si>
  <si>
    <t>VALVULA MARIPOSA  AC/INOX 304 CLAMP  1 1/2 "</t>
  </si>
  <si>
    <t>CON ACTUADOR NEUMATICO</t>
  </si>
  <si>
    <t>DOS MILLONES SEISCIENTOS OCHENTA Y OCHO MIL</t>
  </si>
  <si>
    <t>OCHOCIENTOS VEINTE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</si>
</sst>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0" fillId="0" borderId="35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D11" sqref="D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1" t="s">
        <v>44</v>
      </c>
      <c r="F9" s="30" t="s">
        <v>0</v>
      </c>
      <c r="H9" s="28">
        <v>45575</v>
      </c>
    </row>
    <row r="10" spans="1:8" ht="18.75" x14ac:dyDescent="0.3">
      <c r="A10" s="21" t="s">
        <v>13</v>
      </c>
      <c r="C10" s="50"/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45584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50</v>
      </c>
      <c r="C16" s="55"/>
      <c r="D16" s="56"/>
      <c r="E16" s="53" t="s">
        <v>47</v>
      </c>
      <c r="F16" s="58">
        <v>1154000</v>
      </c>
      <c r="G16" s="53">
        <v>2</v>
      </c>
      <c r="H16" s="38">
        <f t="shared" ref="H16" si="0">G16*F16</f>
        <v>2308000</v>
      </c>
    </row>
    <row r="17" spans="1:8" ht="19.5" customHeight="1" thickBot="1" x14ac:dyDescent="0.3">
      <c r="A17" s="54"/>
      <c r="B17" s="45" t="s">
        <v>51</v>
      </c>
      <c r="C17" s="42"/>
      <c r="D17" s="57"/>
      <c r="E17" s="59"/>
      <c r="F17" s="59"/>
      <c r="G17" s="59"/>
    </row>
    <row r="18" spans="1:8" ht="19.5" customHeight="1" thickBot="1" x14ac:dyDescent="0.35">
      <c r="A18" s="52" t="s">
        <v>23</v>
      </c>
      <c r="B18" s="14" t="s">
        <v>52</v>
      </c>
      <c r="D18" s="15"/>
      <c r="E18" s="60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4"/>
      <c r="E19" s="63" t="s">
        <v>24</v>
      </c>
      <c r="F19" s="64"/>
      <c r="G19" s="47"/>
      <c r="H19" s="61">
        <f>SUM(H16:H18)</f>
        <v>2308000</v>
      </c>
    </row>
    <row r="20" spans="1:8" ht="19.5" customHeight="1" x14ac:dyDescent="0.25">
      <c r="A20" s="24" t="s">
        <v>25</v>
      </c>
      <c r="B20" s="12"/>
      <c r="C20" s="12"/>
      <c r="D20" s="12"/>
      <c r="E20" s="65" t="s">
        <v>30</v>
      </c>
      <c r="F20" s="23"/>
      <c r="G20" s="66">
        <v>0.19</v>
      </c>
      <c r="H20" s="40">
        <f>H19*G20</f>
        <v>438520</v>
      </c>
    </row>
    <row r="21" spans="1:8" ht="19.5" customHeight="1" x14ac:dyDescent="0.25">
      <c r="A21" s="14" t="s">
        <v>31</v>
      </c>
      <c r="E21" s="67" t="s">
        <v>26</v>
      </c>
      <c r="G21" s="70">
        <v>2.5000000000000001E-2</v>
      </c>
      <c r="H21" s="62">
        <f>H19*G21</f>
        <v>57700</v>
      </c>
    </row>
    <row r="22" spans="1:8" ht="15.75" x14ac:dyDescent="0.25">
      <c r="A22" s="14" t="s">
        <v>48</v>
      </c>
      <c r="E22" s="14"/>
      <c r="F22" s="33"/>
      <c r="G22" s="48"/>
      <c r="H22" s="15"/>
    </row>
    <row r="23" spans="1:8" ht="16.5" thickBot="1" x14ac:dyDescent="0.3">
      <c r="A23" s="14" t="s">
        <v>34</v>
      </c>
      <c r="E23" s="68" t="s">
        <v>27</v>
      </c>
      <c r="F23" s="69"/>
      <c r="G23" s="49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2688820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BRAIMM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2024-10-10T16:58:30Z</dcterms:modified>
</cp:coreProperties>
</file>