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60AED9BC-1B49-4707-A15B-D0602DF33196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FC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1" l="1"/>
  <c r="H18" i="1"/>
  <c r="H16" i="1"/>
  <c r="H38" i="1" s="1"/>
  <c r="H39" i="1" l="1"/>
  <c r="H43" i="1" s="1"/>
</calcChain>
</file>

<file path=xl/sharedStrings.xml><?xml version="1.0" encoding="utf-8"?>
<sst xmlns="http://schemas.openxmlformats.org/spreadsheetml/2006/main" count="56" uniqueCount="55">
  <si>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</si>
  <si>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</si>
  <si>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</si>
  <si>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</si>
  <si>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</si>
  <si>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</si>
  <si>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</si>
  <si>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</si>
  <si>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</si>
  <si>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</si>
  <si>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</si>
  <si>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</si>
  <si>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</si>
  <si>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</si>
  <si>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</si>
  <si>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</si>
  <si>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</si>
  <si>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</si>
  <si>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</si>
  <si>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</si>
  <si>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</si>
  <si>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</si>
  <si>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</si>
  <si>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</si>
  <si>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</si>
  <si>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</si>
  <si>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</si>
  <si>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</si>
  <si>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</si>
  <si>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</si>
  <si>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</si>
  <si>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</si>
  <si>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</si>
  <si>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</si>
  <si>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</si>
  <si>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</si>
  <si>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</si>
  <si>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</si>
  <si>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</si>
  <si>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</si>
  <si>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>ENTREGA INMEDIATA</t>
  </si>
  <si>
    <t>TUBERIA AC/INOX 304 SCH 40  10 "</t>
  </si>
  <si>
    <t>METRO LINEAL</t>
  </si>
  <si>
    <t>TUBERIA AC/INOX 304 SCH 40  12 "</t>
  </si>
  <si>
    <t>DISTRIBUIDORA FERRETERA COLOMBIANA SAS</t>
  </si>
  <si>
    <t>900 374938</t>
  </si>
  <si>
    <t>CALLE 12B  No. 23-35</t>
  </si>
  <si>
    <t>BOGOTA</t>
  </si>
  <si>
    <t>facturacion@dfcsas.com</t>
  </si>
  <si>
    <t>601 3905898</t>
  </si>
  <si>
    <t>LUIS A. BENAVIDES</t>
  </si>
  <si>
    <t xml:space="preserve">  CALLE  33B  No. 17C - 70   2º  PISO               B/  LA FLORESTA             -   CALI    -                               CEL.     321 7834969</t>
  </si>
  <si>
    <t>CUARENTA Y CINCO MILLONES QUINIENTOS CINCUENTA</t>
  </si>
  <si>
    <t>MIL TRESCIENTOS CUARENTA Y CUATRO PESOS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</si>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</sst>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42" fontId="1" fillId="0" borderId="20" xfId="0" applyNumberFormat="1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10" fontId="1" fillId="0" borderId="0" xfId="0" applyNumberFormat="1" applyFont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dfc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7"/>
  <sheetViews>
    <sheetView tabSelected="1" topLeftCell="A10" zoomScaleNormal="100" workbookViewId="0">
      <selection activeCell="D25" sqref="D25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39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44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45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46</v>
      </c>
      <c r="D9" s="25"/>
      <c r="E9" s="26" t="s">
        <v>47</v>
      </c>
      <c r="F9" s="33" t="s">
        <v>0</v>
      </c>
      <c r="H9" s="34">
        <v>45479</v>
      </c>
    </row>
    <row r="10" spans="1:8" ht="18.75" x14ac:dyDescent="0.3">
      <c r="A10" s="22" t="s">
        <v>14</v>
      </c>
      <c r="C10" s="57" t="s">
        <v>48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45487</v>
      </c>
    </row>
    <row r="12" spans="1:8" ht="18.75" x14ac:dyDescent="0.3">
      <c r="A12" s="22" t="s">
        <v>12</v>
      </c>
      <c r="C12" s="26" t="s">
        <v>49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50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41</v>
      </c>
      <c r="C16" s="42"/>
      <c r="D16" s="63"/>
      <c r="E16" s="62" t="s">
        <v>42</v>
      </c>
      <c r="F16" s="66">
        <v>1380000</v>
      </c>
      <c r="G16" s="62">
        <v>12</v>
      </c>
      <c r="H16" s="64">
        <f>G16*F16</f>
        <v>16560000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" customHeight="1" x14ac:dyDescent="0.25">
      <c r="A18" s="62">
        <v>2</v>
      </c>
      <c r="B18" s="41" t="s">
        <v>43</v>
      </c>
      <c r="C18" s="42"/>
      <c r="D18" s="42"/>
      <c r="E18" s="72" t="s">
        <v>42</v>
      </c>
      <c r="F18" s="65">
        <v>1809800</v>
      </c>
      <c r="G18" s="62">
        <v>12</v>
      </c>
      <c r="H18" s="73">
        <f>F18*G18</f>
        <v>21717600</v>
      </c>
      <c r="I18" s="39"/>
      <c r="J18" s="39"/>
    </row>
    <row r="19" spans="1:10" ht="15.75" x14ac:dyDescent="0.25">
      <c r="A19" s="62"/>
      <c r="B19" s="41"/>
      <c r="C19" s="42"/>
      <c r="D19" s="42"/>
      <c r="E19" s="72"/>
      <c r="F19" s="65"/>
      <c r="G19" s="62"/>
      <c r="H19" s="40"/>
      <c r="I19" s="39"/>
      <c r="J19" s="39"/>
    </row>
    <row r="20" spans="1:10" ht="15.75" x14ac:dyDescent="0.25">
      <c r="B20" s="41"/>
      <c r="C20" s="42"/>
      <c r="D20" s="42"/>
      <c r="E20" s="46"/>
      <c r="F20" s="65"/>
      <c r="G20" s="62"/>
      <c r="H20" s="55"/>
      <c r="I20" s="39"/>
      <c r="J20" s="39"/>
    </row>
    <row r="21" spans="1:10" ht="15.75" x14ac:dyDescent="0.25">
      <c r="A21" s="62"/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5.75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G24" s="62"/>
      <c r="H24" s="55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5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  <c r="I29" s="39"/>
      <c r="J29" s="39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C31" s="42"/>
      <c r="D31" s="42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1"/>
      <c r="E34" s="46"/>
      <c r="F34" s="67"/>
      <c r="H34" s="40"/>
    </row>
    <row r="35" spans="1:8" ht="19.5" customHeight="1" x14ac:dyDescent="0.25">
      <c r="B35" s="43"/>
      <c r="C35" s="44"/>
      <c r="D35" s="44"/>
      <c r="E35" s="24"/>
      <c r="F35" s="68"/>
      <c r="G35" s="44"/>
      <c r="H35" s="45"/>
    </row>
    <row r="36" spans="1:8" ht="19.5" customHeight="1" thickBot="1" x14ac:dyDescent="0.3">
      <c r="H36" s="69"/>
    </row>
    <row r="37" spans="1:8" ht="19.5" customHeight="1" thickBot="1" x14ac:dyDescent="0.35">
      <c r="A37" s="74" t="s">
        <v>26</v>
      </c>
      <c r="B37" s="12" t="s">
        <v>52</v>
      </c>
      <c r="C37" s="13"/>
      <c r="D37" s="14"/>
      <c r="E37" s="13"/>
      <c r="F37" s="47" t="s">
        <v>32</v>
      </c>
      <c r="G37" s="13"/>
      <c r="H37" s="7"/>
    </row>
    <row r="38" spans="1:8" ht="19.5" customHeight="1" thickBot="1" x14ac:dyDescent="0.3">
      <c r="A38" s="75"/>
      <c r="B38" s="17" t="s">
        <v>53</v>
      </c>
      <c r="C38" s="4"/>
      <c r="D38" s="4"/>
      <c r="E38" s="48" t="s">
        <v>27</v>
      </c>
      <c r="F38" s="49"/>
      <c r="G38" s="27"/>
      <c r="H38" s="58">
        <f>H16+H18</f>
        <v>38277600</v>
      </c>
    </row>
    <row r="39" spans="1:8" ht="19.5" customHeight="1" thickBot="1" x14ac:dyDescent="0.3">
      <c r="A39" s="28" t="s">
        <v>28</v>
      </c>
      <c r="B39" s="13"/>
      <c r="C39" s="13"/>
      <c r="D39" s="14"/>
      <c r="E39" s="3" t="s">
        <v>34</v>
      </c>
      <c r="F39" s="71"/>
      <c r="G39" s="51">
        <v>0.19</v>
      </c>
      <c r="H39" s="59">
        <f>H38*G39</f>
        <v>7272744</v>
      </c>
    </row>
    <row r="40" spans="1:8" ht="16.5" thickTop="1" x14ac:dyDescent="0.25">
      <c r="A40" s="15" t="s">
        <v>54</v>
      </c>
      <c r="D40" s="16"/>
      <c r="E40" s="49" t="s">
        <v>29</v>
      </c>
      <c r="G40" s="76">
        <v>2.5000000000000001E-2</v>
      </c>
      <c r="H40" s="52">
        <f>H38*G40</f>
        <v>956940</v>
      </c>
    </row>
    <row r="41" spans="1:8" ht="15.75" x14ac:dyDescent="0.25">
      <c r="A41" s="15" t="s">
        <v>40</v>
      </c>
      <c r="D41" s="16"/>
      <c r="F41" s="49"/>
      <c r="G41" s="27"/>
      <c r="H41" s="53"/>
    </row>
    <row r="42" spans="1:8" ht="16.5" thickBot="1" x14ac:dyDescent="0.3">
      <c r="A42" s="15" t="s">
        <v>36</v>
      </c>
      <c r="D42" s="16"/>
      <c r="E42" s="49" t="s">
        <v>30</v>
      </c>
      <c r="F42" s="49"/>
      <c r="G42" s="27"/>
      <c r="H42" s="54"/>
    </row>
    <row r="43" spans="1:8" ht="16.5" customHeight="1" thickBot="1" x14ac:dyDescent="0.35">
      <c r="A43" s="17"/>
      <c r="B43" s="4"/>
      <c r="C43" s="4"/>
      <c r="D43" s="18"/>
      <c r="F43" s="3"/>
      <c r="G43" s="50" t="s">
        <v>31</v>
      </c>
      <c r="H43" s="60">
        <f>H38+H39</f>
        <v>45550344</v>
      </c>
    </row>
    <row r="45" spans="1:8" x14ac:dyDescent="0.25">
      <c r="A45" t="s">
        <v>1</v>
      </c>
    </row>
    <row r="47" spans="1:8" ht="15.75" thickBot="1" x14ac:dyDescent="0.3"/>
    <row r="48" spans="1:8" ht="19.5" thickBot="1" x14ac:dyDescent="0.35">
      <c r="A48" s="29" t="s">
        <v>51</v>
      </c>
      <c r="B48" s="6"/>
      <c r="C48" s="6"/>
      <c r="D48" s="6"/>
      <c r="E48" s="6"/>
      <c r="F48" s="6"/>
      <c r="G48" s="6"/>
      <c r="H48" s="7"/>
    </row>
    <row r="57" spans="1:1" ht="18.75" x14ac:dyDescent="0.3">
      <c r="A57" s="5"/>
    </row>
  </sheetData>
  <mergeCells count="1">
    <mergeCell ref="A37:A38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DFC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2024-07-06T17:13:40Z</dcterms:modified>
</cp:coreProperties>
</file>