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0768F17-17FD-47B0-8085-B6111442857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9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H18" i="2"/>
  <c r="H17" i="2"/>
  <c r="H16" i="2"/>
  <c r="H22" i="2" s="1"/>
  <c r="H23" i="2" l="1"/>
  <c r="H27" i="2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<sst xmlns="http://schemas.openxmlformats.org/spreadsheetml/2006/main" count="60" uniqueCount="57">
  <si>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</si>
  <si>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</si>
  <si>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</si>
  <si>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</si>
  <si>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</si>
  <si>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</si>
  <si>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</si>
  <si>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</si>
  <si>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</si>
  <si>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</si>
  <si>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</si>
  <si>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</si>
  <si>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</si>
  <si>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</si>
  <si>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</si>
  <si>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</si>
  <si>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</si>
  <si>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</si>
  <si>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</si>
  <si>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</si>
  <si>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</si>
  <si>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</si>
  <si>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</si>
  <si>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</si>
  <si>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</si>
  <si>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</si>
  <si>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</si>
  <si>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</si>
  <si>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</si>
  <si>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</si>
  <si>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</si>
  <si>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</si>
  <si>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</si>
  <si>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</si>
  <si>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</si>
  <si>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</si>
  <si>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</si>
  <si>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</si>
  <si>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</si>
  <si>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</si>
  <si>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</si>
  <si>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</si>
  <si>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</si>
  <si>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</si>
  <si>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</si>
  <si>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</si>
  <si>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</si>
  <si>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</si>
  <si>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</si>
  <si>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>CODO AC/INOX 316 SANITARIO 4 "  X  90º</t>
  </si>
  <si>
    <t>FERULA AC/INOX 316 SANITARIA  4 "</t>
  </si>
  <si>
    <t>ABRAZADERA  4 "</t>
  </si>
  <si>
    <t>EMPAQUE EN SILICONA  4 "</t>
  </si>
  <si>
    <t>TRESCIENTOS CINCUENTA Y SIETE MIL CIENTO SETEN-</t>
  </si>
  <si>
    <t>TA Y NUEVE PESOS MDA / CTE</t>
  </si>
  <si>
    <t>No.  19</t>
  </si>
  <si>
    <t xml:space="preserve"> 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</si>
</sst>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7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2"/>
  <sheetViews>
    <sheetView tabSelected="1" topLeftCell="A6" zoomScale="106" zoomScaleNormal="106" workbookViewId="0">
      <selection activeCell="M21" sqref="M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56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55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45581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45590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49</v>
      </c>
      <c r="C16" s="12"/>
      <c r="D16" s="13"/>
      <c r="E16" s="65" t="s">
        <v>47</v>
      </c>
      <c r="F16" s="66">
        <v>118500</v>
      </c>
      <c r="G16" s="67">
        <v>1</v>
      </c>
      <c r="H16" s="38">
        <f t="shared" ref="H16" si="0">G16*F16</f>
        <v>118500</v>
      </c>
    </row>
    <row r="17" spans="1:8" ht="15.75" thickBot="1" x14ac:dyDescent="0.3">
      <c r="A17" s="64">
        <v>2</v>
      </c>
      <c r="B17" s="61" t="s">
        <v>50</v>
      </c>
      <c r="C17" s="12"/>
      <c r="D17" s="13"/>
      <c r="E17" s="65" t="s">
        <v>47</v>
      </c>
      <c r="F17" s="66">
        <v>24100</v>
      </c>
      <c r="G17" s="67">
        <v>2</v>
      </c>
      <c r="H17" s="38">
        <f t="shared" ref="H17:H18" si="1">G17*F17</f>
        <v>48200</v>
      </c>
    </row>
    <row r="18" spans="1:8" ht="15.75" thickBot="1" x14ac:dyDescent="0.3">
      <c r="A18" s="64">
        <v>3</v>
      </c>
      <c r="B18" s="61" t="s">
        <v>51</v>
      </c>
      <c r="C18" s="12"/>
      <c r="D18" s="13"/>
      <c r="E18" s="65" t="s">
        <v>47</v>
      </c>
      <c r="F18" s="66">
        <v>32700</v>
      </c>
      <c r="G18" s="67">
        <v>4</v>
      </c>
      <c r="H18" s="38">
        <f t="shared" si="1"/>
        <v>130800</v>
      </c>
    </row>
    <row r="19" spans="1:8" ht="15.75" thickBot="1" x14ac:dyDescent="0.3">
      <c r="A19" s="32">
        <v>4</v>
      </c>
      <c r="B19" s="68" t="s">
        <v>52</v>
      </c>
      <c r="C19" s="6"/>
      <c r="D19" s="7"/>
      <c r="E19" s="69" t="s">
        <v>47</v>
      </c>
      <c r="F19" s="70">
        <v>2650</v>
      </c>
      <c r="G19" s="71">
        <v>1</v>
      </c>
      <c r="H19" s="38">
        <f t="shared" ref="H19" si="2">G19*F19</f>
        <v>2650</v>
      </c>
    </row>
    <row r="20" spans="1:8" ht="15.75" thickBot="1" x14ac:dyDescent="0.3">
      <c r="B20" s="16"/>
      <c r="C20" s="4"/>
      <c r="D20" s="17"/>
      <c r="F20" s="72"/>
      <c r="G20" s="72"/>
    </row>
    <row r="21" spans="1:8" ht="19.5" customHeight="1" thickBot="1" x14ac:dyDescent="0.35">
      <c r="A21" s="62" t="s">
        <v>23</v>
      </c>
      <c r="B21" s="61" t="s">
        <v>53</v>
      </c>
      <c r="C21" s="12"/>
      <c r="D21" s="13"/>
      <c r="E21" s="68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17"/>
      <c r="E22" s="52" t="s">
        <v>24</v>
      </c>
      <c r="F22" s="52"/>
      <c r="G22" s="45"/>
      <c r="H22" s="50">
        <f>SUM(H16:H19)</f>
        <v>300150</v>
      </c>
    </row>
    <row r="23" spans="1:8" ht="19.5" customHeight="1" x14ac:dyDescent="0.25">
      <c r="A23" s="24" t="s">
        <v>25</v>
      </c>
      <c r="E23" s="53" t="s">
        <v>30</v>
      </c>
      <c r="F23" s="23"/>
      <c r="G23" s="54">
        <v>0.19</v>
      </c>
      <c r="H23" s="40">
        <f>H22*G23</f>
        <v>57028.5</v>
      </c>
    </row>
    <row r="24" spans="1:8" ht="19.5" customHeight="1" x14ac:dyDescent="0.25">
      <c r="A24" s="14" t="s">
        <v>48</v>
      </c>
      <c r="E24" s="55" t="s">
        <v>26</v>
      </c>
      <c r="G24" s="58">
        <v>2.5000000000000001E-2</v>
      </c>
      <c r="H24" s="51"/>
    </row>
    <row r="25" spans="1:8" ht="15.75" x14ac:dyDescent="0.25">
      <c r="A25" s="14" t="s">
        <v>46</v>
      </c>
      <c r="E25" s="14"/>
      <c r="F25" s="33"/>
      <c r="G25" s="46"/>
      <c r="H25" s="15"/>
    </row>
    <row r="26" spans="1:8" ht="16.5" thickBot="1" x14ac:dyDescent="0.3">
      <c r="A26" s="14" t="s">
        <v>33</v>
      </c>
      <c r="E26" s="56" t="s">
        <v>27</v>
      </c>
      <c r="F26" s="57"/>
      <c r="G26" s="47"/>
      <c r="H26" s="17"/>
    </row>
    <row r="27" spans="1:8" ht="19.5" thickBot="1" x14ac:dyDescent="0.35">
      <c r="A27" s="60"/>
      <c r="B27" s="4"/>
      <c r="C27" s="4"/>
      <c r="D27" s="17"/>
      <c r="F27" s="3"/>
      <c r="G27" s="34" t="s">
        <v>28</v>
      </c>
      <c r="H27" s="36">
        <f>H22+H23-H24</f>
        <v>357178.5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2024-10-16T19:46:19Z</dcterms:modified>
</cp:coreProperties>
</file>