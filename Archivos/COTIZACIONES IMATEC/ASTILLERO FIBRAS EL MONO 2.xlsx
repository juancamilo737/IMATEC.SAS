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C8A97CD7-E038-4EE2-82AA-EC7D0ED3EC07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ASTILLEROS EL MONO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" i="1" l="1"/>
  <c r="H16" i="1"/>
  <c r="H20" i="1" s="1"/>
  <c r="H21" i="1" l="1"/>
  <c r="H25" i="1" s="1"/>
</calcChain>
</file>

<file path=xl/sharedStrings.xml><?xml version="1.0" encoding="utf-8"?>
<sst xmlns="http://schemas.openxmlformats.org/spreadsheetml/2006/main" count="56" uniqueCount="55">
  <si>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</si>
  <si>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</si>
  <si>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</si>
  <si>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</si>
  <si>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</si>
  <si>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</si>
  <si>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</si>
  <si>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</si>
  <si>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</si>
  <si>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</si>
  <si>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</si>
  <si>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</si>
  <si>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</si>
  <si>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</si>
  <si>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</si>
  <si>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</si>
  <si>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</si>
  <si>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</si>
  <si>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</si>
  <si>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</si>
  <si>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</si>
  <si>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</si>
  <si>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</si>
  <si>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</si>
  <si>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</si>
  <si>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</si>
  <si>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</si>
  <si>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</si>
  <si>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</si>
  <si>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</si>
  <si>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</si>
  <si>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</si>
  <si>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</si>
  <si>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</si>
  <si>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</si>
  <si>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</si>
  <si>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</si>
  <si>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</si>
  <si>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</si>
  <si>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 xml:space="preserve">           C O T I Z A C I O N</t>
  </si>
  <si>
    <t>ASTILLERO FIBRAS EL MONO</t>
  </si>
  <si>
    <t>1087 1256789</t>
  </si>
  <si>
    <t>BRR EXPORCOL C S 241</t>
  </si>
  <si>
    <t>TUMACO</t>
  </si>
  <si>
    <t>fibraselmono07@hotmail.com</t>
  </si>
  <si>
    <t>310 4169566</t>
  </si>
  <si>
    <t>LUIS A. BENAVIDES</t>
  </si>
  <si>
    <t>No. 2</t>
  </si>
  <si>
    <t>ENTREGA INMEDIATA</t>
  </si>
  <si>
    <t>L I Q U I D A C I O N</t>
  </si>
  <si>
    <t>VALVULA DE BOLA AC/INOX 304 3/4 "</t>
  </si>
  <si>
    <t>ACCESORIO</t>
  </si>
  <si>
    <t>UNIVERSAL AC/INOX 304  3/4 "</t>
  </si>
  <si>
    <t>DOSCIENTOS TREINTA Y CINCO MIL OCHOCIENTOS CIN-</t>
  </si>
  <si>
    <t>CUENTA Y OCHO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</si>
</sst>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30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1" xfId="0" applyBorder="1"/>
    <xf numFmtId="0" fontId="0" fillId="0" borderId="22" xfId="0" applyBorder="1"/>
    <xf numFmtId="0" fontId="0" fillId="0" borderId="33" xfId="0" applyBorder="1"/>
    <xf numFmtId="0" fontId="0" fillId="0" borderId="24" xfId="0" applyBorder="1"/>
    <xf numFmtId="0" fontId="13" fillId="0" borderId="25" xfId="2" applyBorder="1"/>
    <xf numFmtId="0" fontId="0" fillId="0" borderId="25" xfId="0" applyBorder="1"/>
    <xf numFmtId="0" fontId="0" fillId="0" borderId="27" xfId="0" applyBorder="1"/>
    <xf numFmtId="0" fontId="0" fillId="0" borderId="28" xfId="0" applyBorder="1"/>
    <xf numFmtId="0" fontId="1" fillId="0" borderId="14" xfId="0" applyFont="1" applyBorder="1" applyAlignment="1">
      <alignment horizontal="center"/>
    </xf>
    <xf numFmtId="0" fontId="8" fillId="0" borderId="34" xfId="0" applyFont="1" applyBorder="1"/>
    <xf numFmtId="0" fontId="8" fillId="0" borderId="13" xfId="0" applyFont="1" applyBorder="1"/>
    <xf numFmtId="0" fontId="8" fillId="0" borderId="35" xfId="0" applyFont="1" applyBorder="1"/>
    <xf numFmtId="42" fontId="11" fillId="0" borderId="14" xfId="1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ibraselmono07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0"/>
  <sheetViews>
    <sheetView tabSelected="1" topLeftCell="A7" zoomScaleNormal="100" workbookViewId="0">
      <selection activeCell="D23" sqref="D23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37</v>
      </c>
    </row>
    <row r="3" spans="1:8" ht="27" thickBot="1" x14ac:dyDescent="0.45">
      <c r="A3" s="11" t="s">
        <v>38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32</v>
      </c>
      <c r="E4" s="18"/>
      <c r="F4" s="19"/>
      <c r="G4" s="6"/>
      <c r="H4" s="7"/>
    </row>
    <row r="5" spans="1:8" ht="19.5" thickBot="1" x14ac:dyDescent="0.35">
      <c r="A5" s="37" t="s">
        <v>35</v>
      </c>
      <c r="B5" s="6"/>
      <c r="C5" s="6"/>
      <c r="D5" s="6"/>
      <c r="E5" s="6"/>
    </row>
    <row r="6" spans="1:8" ht="24.75" customHeight="1" thickBot="1" x14ac:dyDescent="0.45">
      <c r="F6" s="41" t="s">
        <v>39</v>
      </c>
      <c r="G6" s="43"/>
      <c r="H6" s="44"/>
    </row>
    <row r="7" spans="1:8" ht="19.5" thickBot="1" x14ac:dyDescent="0.35">
      <c r="A7" s="20" t="s">
        <v>14</v>
      </c>
      <c r="B7" s="12"/>
      <c r="C7" s="65" t="s">
        <v>40</v>
      </c>
      <c r="D7" s="12"/>
      <c r="E7" s="13"/>
      <c r="F7" s="37"/>
      <c r="G7" s="18"/>
      <c r="H7" s="19" t="s">
        <v>47</v>
      </c>
    </row>
    <row r="8" spans="1:8" ht="18.75" x14ac:dyDescent="0.3">
      <c r="A8" s="21" t="s">
        <v>8</v>
      </c>
      <c r="C8" s="67" t="s">
        <v>41</v>
      </c>
      <c r="D8" s="68"/>
      <c r="E8" s="46"/>
      <c r="H8" s="15"/>
    </row>
    <row r="9" spans="1:8" ht="18.75" customHeight="1" x14ac:dyDescent="0.3">
      <c r="A9" s="21" t="s">
        <v>9</v>
      </c>
      <c r="C9" s="69" t="s">
        <v>42</v>
      </c>
      <c r="D9" s="23"/>
      <c r="E9" s="70" t="s">
        <v>43</v>
      </c>
      <c r="F9" s="30" t="s">
        <v>0</v>
      </c>
      <c r="H9" s="28">
        <v>45666</v>
      </c>
    </row>
    <row r="10" spans="1:8" ht="18.75" x14ac:dyDescent="0.3">
      <c r="A10" s="21" t="s">
        <v>13</v>
      </c>
      <c r="C10" s="71" t="s">
        <v>44</v>
      </c>
      <c r="D10" s="66"/>
      <c r="E10" s="47"/>
      <c r="F10" s="30" t="s">
        <v>15</v>
      </c>
      <c r="H10" s="29" t="s">
        <v>31</v>
      </c>
    </row>
    <row r="11" spans="1:8" ht="18.75" x14ac:dyDescent="0.3">
      <c r="A11" s="21" t="s">
        <v>10</v>
      </c>
      <c r="C11" s="72"/>
      <c r="D11" s="66"/>
      <c r="E11" s="47"/>
      <c r="F11" s="30" t="s">
        <v>16</v>
      </c>
      <c r="G11" s="30"/>
      <c r="H11" s="28">
        <v>45658</v>
      </c>
    </row>
    <row r="12" spans="1:8" ht="18.75" x14ac:dyDescent="0.3">
      <c r="A12" s="21" t="s">
        <v>11</v>
      </c>
      <c r="C12" s="72" t="s">
        <v>45</v>
      </c>
      <c r="D12" s="66"/>
      <c r="E12" s="47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3" t="s">
        <v>46</v>
      </c>
      <c r="D13" s="74"/>
      <c r="E13" s="48"/>
      <c r="F13" s="4"/>
      <c r="G13" s="4"/>
      <c r="H13" s="17"/>
    </row>
    <row r="14" spans="1:8" ht="15.75" thickBot="1" x14ac:dyDescent="0.3"/>
    <row r="15" spans="1:8" ht="15.75" thickBot="1" x14ac:dyDescent="0.3">
      <c r="A15" s="49" t="s">
        <v>36</v>
      </c>
      <c r="B15" s="24" t="s">
        <v>22</v>
      </c>
      <c r="C15" s="43"/>
      <c r="D15" s="13"/>
      <c r="E15" s="49" t="s">
        <v>18</v>
      </c>
      <c r="F15" s="49" t="s">
        <v>20</v>
      </c>
      <c r="G15" s="49" t="s">
        <v>19</v>
      </c>
      <c r="H15" s="32" t="s">
        <v>21</v>
      </c>
    </row>
    <row r="16" spans="1:8" ht="16.5" thickBot="1" x14ac:dyDescent="0.3">
      <c r="A16" s="75">
        <v>1</v>
      </c>
      <c r="B16" s="76" t="s">
        <v>50</v>
      </c>
      <c r="C16" s="77"/>
      <c r="D16" s="78"/>
      <c r="E16" s="75" t="s">
        <v>51</v>
      </c>
      <c r="F16" s="79">
        <v>37400</v>
      </c>
      <c r="G16" s="75">
        <v>4</v>
      </c>
      <c r="H16" s="38">
        <f t="shared" ref="H16" si="0">G16*F16</f>
        <v>149600</v>
      </c>
    </row>
    <row r="17" spans="1:8" ht="16.5" thickBot="1" x14ac:dyDescent="0.3">
      <c r="A17" s="75">
        <v>2</v>
      </c>
      <c r="B17" s="76" t="s">
        <v>52</v>
      </c>
      <c r="C17" s="77"/>
      <c r="D17" s="78"/>
      <c r="E17" s="75" t="s">
        <v>51</v>
      </c>
      <c r="F17" s="79">
        <v>16200</v>
      </c>
      <c r="G17" s="75">
        <v>3</v>
      </c>
      <c r="H17" s="38">
        <f t="shared" ref="H17" si="1">G17*F17</f>
        <v>48600</v>
      </c>
    </row>
    <row r="18" spans="1:8" ht="19.5" customHeight="1" thickBot="1" x14ac:dyDescent="0.3">
      <c r="A18" s="51"/>
      <c r="B18" s="45"/>
      <c r="C18" s="42"/>
      <c r="D18" s="52"/>
      <c r="E18" s="53"/>
      <c r="F18" s="53"/>
      <c r="G18" s="53"/>
    </row>
    <row r="19" spans="1:8" ht="19.5" customHeight="1" thickBot="1" x14ac:dyDescent="0.35">
      <c r="A19" s="50" t="s">
        <v>23</v>
      </c>
      <c r="B19" s="14" t="s">
        <v>53</v>
      </c>
      <c r="D19" s="15"/>
      <c r="E19" s="54"/>
      <c r="F19" s="37" t="s">
        <v>49</v>
      </c>
      <c r="G19" s="6"/>
      <c r="H19" s="7"/>
    </row>
    <row r="20" spans="1:8" ht="19.5" customHeight="1" thickBot="1" x14ac:dyDescent="0.3">
      <c r="A20" s="39"/>
      <c r="B20" s="16" t="s">
        <v>54</v>
      </c>
      <c r="C20" s="4"/>
      <c r="D20" s="4"/>
      <c r="E20" s="57" t="s">
        <v>24</v>
      </c>
      <c r="F20" s="58"/>
      <c r="G20" s="46"/>
      <c r="H20" s="55">
        <f>SUM(H16:H19)</f>
        <v>198200</v>
      </c>
    </row>
    <row r="21" spans="1:8" ht="19.5" customHeight="1" x14ac:dyDescent="0.25">
      <c r="A21" s="24" t="s">
        <v>25</v>
      </c>
      <c r="B21" s="12"/>
      <c r="C21" s="12"/>
      <c r="D21" s="12"/>
      <c r="E21" s="59" t="s">
        <v>29</v>
      </c>
      <c r="F21" s="23"/>
      <c r="G21" s="60">
        <v>0.19</v>
      </c>
      <c r="H21" s="40">
        <f>H20*G21</f>
        <v>37658</v>
      </c>
    </row>
    <row r="22" spans="1:8" ht="19.5" customHeight="1" x14ac:dyDescent="0.25">
      <c r="A22" s="14" t="s">
        <v>30</v>
      </c>
      <c r="E22" s="61" t="s">
        <v>26</v>
      </c>
      <c r="G22" s="64">
        <v>2.5000000000000001E-2</v>
      </c>
      <c r="H22" s="56"/>
    </row>
    <row r="23" spans="1:8" ht="15.75" x14ac:dyDescent="0.25">
      <c r="A23" s="14" t="s">
        <v>48</v>
      </c>
      <c r="E23" s="14"/>
      <c r="F23" s="33"/>
      <c r="G23" s="47"/>
      <c r="H23" s="15"/>
    </row>
    <row r="24" spans="1:8" ht="16.5" thickBot="1" x14ac:dyDescent="0.3">
      <c r="A24" s="14" t="s">
        <v>33</v>
      </c>
      <c r="E24" s="62" t="s">
        <v>27</v>
      </c>
      <c r="F24" s="63"/>
      <c r="G24" s="48"/>
      <c r="H24" s="17"/>
    </row>
    <row r="25" spans="1:8" ht="19.5" thickBot="1" x14ac:dyDescent="0.35">
      <c r="A25" s="16"/>
      <c r="B25" s="4"/>
      <c r="C25" s="4"/>
      <c r="D25" s="17"/>
      <c r="F25" s="3"/>
      <c r="G25" s="34" t="s">
        <v>28</v>
      </c>
      <c r="H25" s="36">
        <f>H20+H21</f>
        <v>235858</v>
      </c>
    </row>
    <row r="26" spans="1:8" ht="16.5" customHeight="1" x14ac:dyDescent="0.25"/>
    <row r="31" spans="1:8" ht="15.75" thickBot="1" x14ac:dyDescent="0.3"/>
    <row r="32" spans="1:8" ht="19.5" thickBot="1" x14ac:dyDescent="0.35">
      <c r="A32" s="25" t="s">
        <v>34</v>
      </c>
      <c r="B32" s="6"/>
      <c r="C32" s="6"/>
      <c r="D32" s="6"/>
      <c r="E32" s="6"/>
      <c r="F32" s="6"/>
      <c r="G32" s="6"/>
      <c r="H32" s="7"/>
    </row>
    <row r="40" spans="1:1" ht="18.75" x14ac:dyDescent="0.3">
      <c r="A40" s="5"/>
    </row>
  </sheetData>
  <hyperlinks>
    <hyperlink ref="C10" r:id="rId1" xr:uid="{FF619751-70BF-49DE-98A3-87351DEE997F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ASTILLEROS EL MONO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2025-01-10T17:29:37Z</dcterms:modified>
</cp:coreProperties>
</file>