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DBDFF9D-A0FD-4CF3-B7FF-BE6DF74528F2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JR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5" i="1" l="1"/>
  <c r="H29" i="1" s="1"/>
</calcChain>
</file>

<file path=xl/sharedStrings.xml><?xml version="1.0" encoding="utf-8"?>
<sst xmlns="http://schemas.openxmlformats.org/spreadsheetml/2006/main" count="64" uniqueCount="59">
  <si>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</si>
  <si>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</si>
  <si>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</si>
  <si>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</si>
  <si>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</si>
  <si>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</si>
  <si>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</si>
  <si>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</si>
  <si>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</si>
  <si>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</si>
  <si>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</si>
  <si>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</si>
  <si>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</si>
  <si>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</si>
  <si>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</si>
  <si>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</si>
  <si>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</si>
  <si>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</si>
  <si>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</si>
  <si>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</si>
  <si>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</si>
  <si>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</si>
  <si>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</si>
  <si>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</si>
  <si>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</si>
  <si>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</si>
  <si>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</si>
  <si>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</si>
  <si>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</si>
  <si>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</si>
  <si>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</si>
  <si>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</si>
  <si>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</si>
  <si>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</si>
  <si>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</si>
  <si>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</si>
  <si>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</si>
  <si>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</si>
  <si>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SERVICIOS PARA LA INDUSTRIA JRL S.A.S.</t>
  </si>
  <si>
    <t>901 054255</t>
  </si>
  <si>
    <t>CALLE 20 SUR  No. 12B-04</t>
  </si>
  <si>
    <t>BUGA</t>
  </si>
  <si>
    <t>gerencia@jrl-sas.co</t>
  </si>
  <si>
    <t>315 5632902</t>
  </si>
  <si>
    <t>LUIS A. BENAVIDES</t>
  </si>
  <si>
    <t>ACCESORIO</t>
  </si>
  <si>
    <t>L I Q U I D A C I O N</t>
  </si>
  <si>
    <t xml:space="preserve">  CALLE  33A  No. 17F - 56                        B/  LA FLORESTA             -   CALI    -                                         CEL.     321 7834969</t>
  </si>
  <si>
    <t xml:space="preserve">           C O T I Z A C I O N</t>
  </si>
  <si>
    <t>No.12</t>
  </si>
  <si>
    <t>10 DIAS</t>
  </si>
  <si>
    <t>TEE A / C SCH 40  1 1/2 "</t>
  </si>
  <si>
    <t>COPA  A / C SCH 40  1 1/2 "  X  1 1/4 "</t>
  </si>
  <si>
    <t>NIPLE A / C  1 1/4 "  X   6 "</t>
  </si>
  <si>
    <t>NIPLE A / C  1 1/2 "  X   6 "</t>
  </si>
  <si>
    <t>NIPLE A / C   1/2 "  X   4 "</t>
  </si>
  <si>
    <t>VALVULA CORTINA A / C  1/2 "  X  800 LBS</t>
  </si>
  <si>
    <t xml:space="preserve">DOSCIENTOS DIECISEIS MIL TRESCIENTOS CUARENTA Y </t>
  </si>
  <si>
    <t>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</si>
</sst>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9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1" fillId="0" borderId="30" xfId="0" applyFont="1" applyBorder="1" applyAlignment="1">
      <alignment horizontal="left" vertical="top" wrapText="1"/>
    </xf>
    <xf numFmtId="0" fontId="0" fillId="0" borderId="27" xfId="0" applyBorder="1"/>
    <xf numFmtId="0" fontId="0" fillId="0" borderId="28" xfId="0" applyBorder="1"/>
    <xf numFmtId="0" fontId="0" fillId="0" borderId="6" xfId="0" applyBorder="1"/>
    <xf numFmtId="0" fontId="1" fillId="0" borderId="14" xfId="0" applyFont="1" applyBorder="1" applyAlignment="1">
      <alignment horizontal="center"/>
    </xf>
    <xf numFmtId="0" fontId="8" fillId="0" borderId="14" xfId="0" applyFont="1" applyBorder="1"/>
    <xf numFmtId="42" fontId="11" fillId="0" borderId="14" xfId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42" fontId="11" fillId="0" borderId="35" xfId="1" applyFont="1" applyBorder="1" applyAlignment="1">
      <alignment horizontal="center"/>
    </xf>
    <xf numFmtId="0" fontId="1" fillId="0" borderId="35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jrl-s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7" zoomScaleNormal="100" workbookViewId="0">
      <selection activeCell="B31" sqref="B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45784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45793</v>
      </c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24" t="s">
        <v>22</v>
      </c>
      <c r="C15" s="42"/>
      <c r="D15" s="13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8">
        <v>1</v>
      </c>
      <c r="B16" s="74" t="s">
        <v>51</v>
      </c>
      <c r="C16" s="74"/>
      <c r="D16" s="74"/>
      <c r="E16" s="79" t="s">
        <v>45</v>
      </c>
      <c r="F16" s="80">
        <v>19500</v>
      </c>
      <c r="G16" s="81">
        <v>1</v>
      </c>
      <c r="H16" s="38">
        <f t="shared" ref="H16" si="0">G16*F16</f>
        <v>19500</v>
      </c>
    </row>
    <row r="17" spans="1:8" ht="16.5" thickBot="1" x14ac:dyDescent="0.3">
      <c r="A17" s="76">
        <v>2</v>
      </c>
      <c r="B17" s="74" t="s">
        <v>52</v>
      </c>
      <c r="C17" s="74"/>
      <c r="D17" s="74"/>
      <c r="E17" s="77" t="s">
        <v>45</v>
      </c>
      <c r="F17" s="75">
        <v>8500</v>
      </c>
      <c r="G17" s="73">
        <v>1</v>
      </c>
      <c r="H17" s="38">
        <f t="shared" ref="H17:H21" si="1">G17*F17</f>
        <v>8500</v>
      </c>
    </row>
    <row r="18" spans="1:8" ht="16.5" thickBot="1" x14ac:dyDescent="0.3">
      <c r="A18" s="76">
        <v>3</v>
      </c>
      <c r="B18" s="74" t="s">
        <v>53</v>
      </c>
      <c r="C18" s="74"/>
      <c r="D18" s="74"/>
      <c r="E18" s="77" t="s">
        <v>45</v>
      </c>
      <c r="F18" s="75">
        <v>9000</v>
      </c>
      <c r="G18" s="73">
        <v>1</v>
      </c>
      <c r="H18" s="38">
        <f t="shared" si="1"/>
        <v>9000</v>
      </c>
    </row>
    <row r="19" spans="1:8" ht="16.5" thickBot="1" x14ac:dyDescent="0.3">
      <c r="A19" s="76">
        <v>4</v>
      </c>
      <c r="B19" s="74" t="s">
        <v>54</v>
      </c>
      <c r="C19" s="74"/>
      <c r="D19" s="74"/>
      <c r="E19" s="77" t="s">
        <v>45</v>
      </c>
      <c r="F19" s="75">
        <v>12000</v>
      </c>
      <c r="G19" s="73">
        <v>1</v>
      </c>
      <c r="H19" s="38">
        <f t="shared" si="1"/>
        <v>12000</v>
      </c>
    </row>
    <row r="20" spans="1:8" ht="16.5" thickBot="1" x14ac:dyDescent="0.3">
      <c r="A20" s="76">
        <v>5</v>
      </c>
      <c r="B20" s="74" t="s">
        <v>55</v>
      </c>
      <c r="C20" s="74"/>
      <c r="D20" s="74"/>
      <c r="E20" s="77" t="s">
        <v>45</v>
      </c>
      <c r="F20" s="75">
        <v>2800</v>
      </c>
      <c r="G20" s="73">
        <v>1</v>
      </c>
      <c r="H20" s="38">
        <f t="shared" si="1"/>
        <v>2800</v>
      </c>
    </row>
    <row r="21" spans="1:8" ht="16.5" thickBot="1" x14ac:dyDescent="0.3">
      <c r="A21" s="76">
        <v>6</v>
      </c>
      <c r="B21" s="74" t="s">
        <v>56</v>
      </c>
      <c r="C21" s="74"/>
      <c r="D21" s="74"/>
      <c r="E21" s="77" t="s">
        <v>45</v>
      </c>
      <c r="F21" s="75">
        <v>130000</v>
      </c>
      <c r="G21" s="73">
        <v>1</v>
      </c>
      <c r="H21" s="38">
        <f t="shared" si="1"/>
        <v>130000</v>
      </c>
    </row>
    <row r="22" spans="1:8" ht="19.5" customHeight="1" thickBot="1" x14ac:dyDescent="0.3">
      <c r="A22" s="47"/>
      <c r="B22" s="70"/>
      <c r="D22" s="71"/>
      <c r="E22" s="47"/>
      <c r="F22" s="47"/>
      <c r="G22" s="47"/>
    </row>
    <row r="23" spans="1:8" ht="19.5" customHeight="1" thickBot="1" x14ac:dyDescent="0.35">
      <c r="A23" s="69" t="s">
        <v>23</v>
      </c>
      <c r="B23" s="72" t="s">
        <v>57</v>
      </c>
      <c r="C23" s="12"/>
      <c r="D23" s="13"/>
      <c r="E23" s="48"/>
      <c r="F23" s="37" t="s">
        <v>46</v>
      </c>
      <c r="G23" s="6"/>
      <c r="H23" s="7"/>
    </row>
    <row r="24" spans="1:8" ht="19.5" customHeight="1" thickBot="1" x14ac:dyDescent="0.3">
      <c r="A24" s="39"/>
      <c r="B24" s="16" t="s">
        <v>58</v>
      </c>
      <c r="C24" s="4"/>
      <c r="D24" s="17"/>
      <c r="E24" s="51" t="s">
        <v>24</v>
      </c>
      <c r="F24" s="52"/>
      <c r="G24" s="44"/>
      <c r="H24" s="49">
        <f>SUM(H16:H21)</f>
        <v>181800</v>
      </c>
    </row>
    <row r="25" spans="1:8" ht="19.5" customHeight="1" x14ac:dyDescent="0.25">
      <c r="A25" s="24" t="s">
        <v>25</v>
      </c>
      <c r="B25" s="12"/>
      <c r="C25" s="12"/>
      <c r="D25" s="12"/>
      <c r="E25" s="53" t="s">
        <v>29</v>
      </c>
      <c r="F25" s="23"/>
      <c r="G25" s="54">
        <v>0.19</v>
      </c>
      <c r="H25" s="40">
        <f>H24*G25</f>
        <v>34542</v>
      </c>
    </row>
    <row r="26" spans="1:8" ht="19.5" customHeight="1" x14ac:dyDescent="0.25">
      <c r="A26" s="14" t="s">
        <v>30</v>
      </c>
      <c r="E26" s="55" t="s">
        <v>26</v>
      </c>
      <c r="G26" s="58">
        <v>2.5000000000000001E-2</v>
      </c>
      <c r="H26" s="50"/>
    </row>
    <row r="27" spans="1:8" ht="15.75" x14ac:dyDescent="0.25">
      <c r="A27" s="14" t="s">
        <v>35</v>
      </c>
      <c r="E27" s="14"/>
      <c r="F27" s="33"/>
      <c r="G27" s="45"/>
      <c r="H27" s="15"/>
    </row>
    <row r="28" spans="1:8" ht="16.5" thickBot="1" x14ac:dyDescent="0.3">
      <c r="A28" s="14" t="s">
        <v>32</v>
      </c>
      <c r="E28" s="56" t="s">
        <v>27</v>
      </c>
      <c r="F28" s="57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</f>
        <v>216342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47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C013117B-A38F-4CB6-97FD-52F4FB6837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JRL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2025-01-28T19:04:17Z</cp:lastPrinted>
  <dcterms:created xsi:type="dcterms:W3CDTF">2018-11-15T17:29:02Z</dcterms:created>
  <dcterms:modified xsi:type="dcterms:W3CDTF">2025-05-07T16:53:29Z</dcterms:modified>
</cp:coreProperties>
</file>