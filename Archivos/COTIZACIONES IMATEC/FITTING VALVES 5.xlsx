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5678598-5399-4011-B272-6D2351A5B5C4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ITTING VALVE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8" i="1"/>
  <c r="H17" i="1"/>
  <c r="H16" i="1"/>
  <c r="H24" i="1" l="1"/>
  <c r="H23" i="1"/>
  <c r="H26" i="1" s="1"/>
</calcChain>
</file>

<file path=xl/sharedStrings.xml><?xml version="1.0" encoding="utf-8"?>
<sst xmlns="http://schemas.openxmlformats.org/spreadsheetml/2006/main" count="59" uniqueCount="57">
  <si>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</si>
  <si>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</si>
  <si>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</si>
  <si>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</si>
  <si>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</si>
  <si>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</si>
  <si>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</si>
  <si>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</si>
  <si>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</si>
  <si>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</si>
  <si>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</si>
  <si>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</si>
  <si>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</si>
  <si>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</si>
  <si>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</si>
  <si>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</si>
  <si>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</si>
  <si>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</si>
  <si>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</si>
  <si>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</si>
  <si>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</si>
  <si>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</si>
  <si>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</si>
  <si>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</si>
  <si>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</si>
  <si>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</si>
  <si>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</si>
  <si>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</si>
  <si>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</si>
  <si>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</si>
  <si>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</si>
  <si>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</si>
  <si>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</si>
  <si>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</si>
  <si>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</si>
  <si>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8 DIAS</t>
  </si>
  <si>
    <t>ENTREGA EN CALI</t>
  </si>
  <si>
    <t xml:space="preserve">  CALLE  33B  No. 17C - 70     2º PISO            B/  LA FLORESTA             -   CALI    -                               CEL.     321 7834969</t>
  </si>
  <si>
    <t>ITEM</t>
  </si>
  <si>
    <t>FITTING VALVES S.A.S.</t>
  </si>
  <si>
    <t>804 014709</t>
  </si>
  <si>
    <t>AUTOPISTA GIRON KMT 6</t>
  </si>
  <si>
    <t>rut@fittingvalves.com</t>
  </si>
  <si>
    <t>BUCARAMANGA</t>
  </si>
  <si>
    <t>607 7000350</t>
  </si>
  <si>
    <t xml:space="preserve">           C O T I Z A C I O N</t>
  </si>
  <si>
    <t>CONTACTOS    310 8306118     319  7174165     321 7834969</t>
  </si>
  <si>
    <t>FORMA DE PAGO : CREDITO A 30 DIAS</t>
  </si>
  <si>
    <t>LUIS  A.  BENAVIDES</t>
  </si>
  <si>
    <t>ENTREGA EN 8 DIAS A PARTIR DE ORDEN DE COMPRA</t>
  </si>
  <si>
    <t>No. 5</t>
  </si>
  <si>
    <t>STUB END AC/INOX 316 SCH 40  1 1/4 "</t>
  </si>
  <si>
    <t>FABRICACION</t>
  </si>
  <si>
    <t>STUB END AC/INOX 304 SCH 40  5 "</t>
  </si>
  <si>
    <t>STUB END AC/INOX 304 SCH 40  3 "</t>
  </si>
  <si>
    <t>NUEVE MILLONES DOSCIENTOS OCHENTA Y CINCO MIL</t>
  </si>
  <si>
    <t>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</si>
</sst>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7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14" xfId="0" applyFont="1" applyBorder="1"/>
    <xf numFmtId="0" fontId="0" fillId="0" borderId="15" xfId="0" applyBorder="1"/>
    <xf numFmtId="0" fontId="0" fillId="0" borderId="16" xfId="0" applyBorder="1"/>
    <xf numFmtId="42" fontId="11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1" fillId="0" borderId="21" xfId="0" applyFont="1" applyBorder="1" applyAlignment="1">
      <alignment horizontal="center"/>
    </xf>
    <xf numFmtId="42" fontId="1" fillId="0" borderId="22" xfId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5" fillId="0" borderId="11" xfId="0" applyFont="1" applyBorder="1"/>
    <xf numFmtId="0" fontId="4" fillId="0" borderId="16" xfId="0" applyFont="1" applyBorder="1"/>
    <xf numFmtId="0" fontId="7" fillId="0" borderId="11" xfId="0" applyFont="1" applyBorder="1"/>
    <xf numFmtId="0" fontId="1" fillId="0" borderId="2" xfId="0" applyFont="1" applyBorder="1"/>
    <xf numFmtId="0" fontId="1" fillId="0" borderId="12" xfId="0" applyFont="1" applyBorder="1"/>
    <xf numFmtId="0" fontId="3" fillId="0" borderId="3" xfId="0" applyFont="1" applyBorder="1"/>
    <xf numFmtId="0" fontId="1" fillId="0" borderId="2" xfId="0" applyFont="1" applyBorder="1" applyAlignment="1">
      <alignment horizontal="center"/>
    </xf>
    <xf numFmtId="0" fontId="8" fillId="0" borderId="24" xfId="0" applyFont="1" applyBorder="1"/>
    <xf numFmtId="0" fontId="8" fillId="0" borderId="2" xfId="0" applyFont="1" applyBorder="1"/>
    <xf numFmtId="0" fontId="8" fillId="0" borderId="23" xfId="0" applyFont="1" applyBorder="1"/>
    <xf numFmtId="0" fontId="1" fillId="0" borderId="3" xfId="0" applyFont="1" applyBorder="1"/>
    <xf numFmtId="0" fontId="0" fillId="0" borderId="3" xfId="0" applyBorder="1"/>
    <xf numFmtId="0" fontId="5" fillId="0" borderId="4" xfId="0" applyFont="1" applyBorder="1"/>
    <xf numFmtId="42" fontId="1" fillId="0" borderId="18" xfId="0" applyNumberFormat="1" applyFont="1" applyBorder="1"/>
    <xf numFmtId="42" fontId="1" fillId="0" borderId="18" xfId="1" applyFont="1" applyBorder="1"/>
    <xf numFmtId="0" fontId="0" fillId="0" borderId="18" xfId="0" applyBorder="1"/>
    <xf numFmtId="0" fontId="0" fillId="0" borderId="25" xfId="0" applyBorder="1"/>
    <xf numFmtId="0" fontId="0" fillId="0" borderId="26" xfId="0" applyBorder="1"/>
    <xf numFmtId="0" fontId="4" fillId="0" borderId="27" xfId="0" applyFont="1" applyBorder="1"/>
    <xf numFmtId="0" fontId="4" fillId="0" borderId="9" xfId="0" applyFont="1" applyBorder="1"/>
    <xf numFmtId="9" fontId="1" fillId="0" borderId="28" xfId="0" applyNumberFormat="1" applyFont="1" applyBorder="1"/>
    <xf numFmtId="0" fontId="4" fillId="0" borderId="29" xfId="0" applyFont="1" applyBorder="1"/>
    <xf numFmtId="10" fontId="1" fillId="0" borderId="30" xfId="0" applyNumberFormat="1" applyFont="1" applyBorder="1"/>
    <xf numFmtId="0" fontId="4" fillId="0" borderId="31" xfId="0" applyFont="1" applyBorder="1"/>
    <xf numFmtId="0" fontId="4" fillId="0" borderId="32" xfId="0" applyFont="1" applyBorder="1"/>
    <xf numFmtId="0" fontId="0" fillId="0" borderId="33" xfId="0" applyBorder="1"/>
    <xf numFmtId="0" fontId="4" fillId="0" borderId="3" xfId="0" applyFont="1" applyBorder="1"/>
    <xf numFmtId="0" fontId="0" fillId="0" borderId="27" xfId="0" applyBorder="1"/>
    <xf numFmtId="0" fontId="0" fillId="0" borderId="34" xfId="0" applyBorder="1"/>
    <xf numFmtId="0" fontId="0" fillId="0" borderId="30" xfId="0" applyBorder="1"/>
    <xf numFmtId="0" fontId="13" fillId="0" borderId="29" xfId="2" applyBorder="1"/>
    <xf numFmtId="0" fontId="0" fillId="0" borderId="35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36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4" zoomScaleNormal="100" workbookViewId="0">
      <selection activeCell="E13" sqref="E1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4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20</v>
      </c>
      <c r="E4" s="19"/>
      <c r="F4" s="20"/>
      <c r="G4" s="6"/>
      <c r="H4" s="7"/>
    </row>
    <row r="5" spans="1:8" ht="21.75" thickBot="1" x14ac:dyDescent="0.4">
      <c r="A5" s="52" t="s">
        <v>46</v>
      </c>
      <c r="B5" s="19"/>
      <c r="C5" s="19"/>
      <c r="D5" s="19"/>
      <c r="E5" s="19"/>
      <c r="F5" s="19"/>
      <c r="G5" s="19"/>
      <c r="H5" s="20"/>
    </row>
    <row r="6" spans="1:8" ht="24.75" customHeight="1" thickBot="1" x14ac:dyDescent="0.45">
      <c r="F6" s="49" t="s">
        <v>45</v>
      </c>
      <c r="G6" s="50"/>
      <c r="H6" s="51"/>
    </row>
    <row r="7" spans="1:8" ht="19.5" thickBot="1" x14ac:dyDescent="0.35">
      <c r="A7" s="21" t="s">
        <v>15</v>
      </c>
      <c r="B7" s="13"/>
      <c r="C7" s="73" t="s">
        <v>39</v>
      </c>
      <c r="D7" s="6"/>
      <c r="E7" s="7"/>
      <c r="F7" s="28"/>
      <c r="G7" s="19"/>
      <c r="H7" s="20" t="s">
        <v>50</v>
      </c>
    </row>
    <row r="8" spans="1:8" ht="18.75" x14ac:dyDescent="0.3">
      <c r="A8" s="22" t="s">
        <v>9</v>
      </c>
      <c r="C8" s="63" t="s">
        <v>40</v>
      </c>
      <c r="D8" s="64"/>
      <c r="E8" s="74"/>
      <c r="F8" s="12"/>
      <c r="G8" s="13"/>
      <c r="H8" s="14"/>
    </row>
    <row r="9" spans="1:8" ht="18.75" customHeight="1" x14ac:dyDescent="0.3">
      <c r="A9" s="22" t="s">
        <v>10</v>
      </c>
      <c r="C9" s="75" t="s">
        <v>41</v>
      </c>
      <c r="D9" s="25"/>
      <c r="E9" s="76" t="s">
        <v>43</v>
      </c>
      <c r="F9" s="31" t="s">
        <v>0</v>
      </c>
      <c r="H9" s="32">
        <v>45591</v>
      </c>
    </row>
    <row r="10" spans="1:8" ht="18.75" x14ac:dyDescent="0.3">
      <c r="A10" s="22" t="s">
        <v>14</v>
      </c>
      <c r="C10" s="77" t="s">
        <v>42</v>
      </c>
      <c r="D10" s="26"/>
      <c r="E10" s="78"/>
      <c r="F10" s="31" t="s">
        <v>16</v>
      </c>
      <c r="H10" s="33" t="s">
        <v>35</v>
      </c>
    </row>
    <row r="11" spans="1:8" ht="18.75" x14ac:dyDescent="0.3">
      <c r="A11" s="22" t="s">
        <v>11</v>
      </c>
      <c r="C11" s="77"/>
      <c r="D11" s="26"/>
      <c r="E11" s="78"/>
      <c r="F11" s="31" t="s">
        <v>17</v>
      </c>
      <c r="G11" s="34"/>
      <c r="H11" s="32">
        <v>45600</v>
      </c>
    </row>
    <row r="12" spans="1:8" ht="18.75" x14ac:dyDescent="0.3">
      <c r="A12" s="22" t="s">
        <v>12</v>
      </c>
      <c r="C12" s="79" t="s">
        <v>44</v>
      </c>
      <c r="D12" s="26"/>
      <c r="E12" s="78"/>
      <c r="F12" s="31" t="s">
        <v>18</v>
      </c>
      <c r="H12" s="35"/>
    </row>
    <row r="13" spans="1:8" ht="18.75" customHeight="1" thickBot="1" x14ac:dyDescent="0.35">
      <c r="A13" s="23" t="s">
        <v>13</v>
      </c>
      <c r="B13" s="4"/>
      <c r="C13" s="80" t="s">
        <v>48</v>
      </c>
      <c r="D13" s="81"/>
      <c r="E13" s="82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38</v>
      </c>
      <c r="B15" s="57" t="s">
        <v>25</v>
      </c>
      <c r="C15" s="19"/>
      <c r="D15" s="7"/>
      <c r="E15" s="36" t="s">
        <v>21</v>
      </c>
      <c r="F15" s="36" t="s">
        <v>23</v>
      </c>
      <c r="G15" s="36" t="s">
        <v>22</v>
      </c>
      <c r="H15" s="36" t="s">
        <v>24</v>
      </c>
    </row>
    <row r="16" spans="1:8" ht="16.5" thickBot="1" x14ac:dyDescent="0.3">
      <c r="A16" s="53">
        <v>1</v>
      </c>
      <c r="B16" s="54" t="s">
        <v>51</v>
      </c>
      <c r="C16" s="55"/>
      <c r="D16" s="56"/>
      <c r="E16" s="42" t="s">
        <v>52</v>
      </c>
      <c r="F16" s="40">
        <v>50000</v>
      </c>
      <c r="G16" s="36">
        <v>7</v>
      </c>
      <c r="H16" s="43">
        <f>G16*F16</f>
        <v>350000</v>
      </c>
    </row>
    <row r="17" spans="1:8" ht="16.5" thickBot="1" x14ac:dyDescent="0.3">
      <c r="A17" s="53">
        <v>2</v>
      </c>
      <c r="B17" s="54" t="s">
        <v>53</v>
      </c>
      <c r="C17" s="55"/>
      <c r="D17" s="56"/>
      <c r="E17" s="42" t="s">
        <v>52</v>
      </c>
      <c r="F17" s="40">
        <v>120000</v>
      </c>
      <c r="G17" s="36">
        <v>26</v>
      </c>
      <c r="H17" s="43">
        <f>G17*F17</f>
        <v>3120000</v>
      </c>
    </row>
    <row r="18" spans="1:8" ht="16.5" thickBot="1" x14ac:dyDescent="0.3">
      <c r="A18" s="53">
        <v>3</v>
      </c>
      <c r="B18" s="54" t="s">
        <v>54</v>
      </c>
      <c r="C18" s="55"/>
      <c r="D18" s="56"/>
      <c r="E18" s="42" t="s">
        <v>52</v>
      </c>
      <c r="F18" s="40">
        <v>45000</v>
      </c>
      <c r="G18" s="36">
        <v>100</v>
      </c>
      <c r="H18" s="43">
        <f>G18*F18</f>
        <v>4500000</v>
      </c>
    </row>
    <row r="19" spans="1:8" ht="19.5" customHeight="1" x14ac:dyDescent="0.25">
      <c r="B19" s="37"/>
      <c r="C19" s="38"/>
      <c r="D19" s="38"/>
      <c r="E19" s="24"/>
      <c r="F19" s="38"/>
      <c r="G19" s="38"/>
      <c r="H19" s="39"/>
    </row>
    <row r="20" spans="1:8" ht="19.5" customHeight="1" thickBot="1" x14ac:dyDescent="0.3"/>
    <row r="21" spans="1:8" ht="19.5" customHeight="1" thickBot="1" x14ac:dyDescent="0.35">
      <c r="A21" s="45" t="s">
        <v>26</v>
      </c>
      <c r="B21" s="12" t="s">
        <v>55</v>
      </c>
      <c r="C21" s="13"/>
      <c r="D21" s="14"/>
      <c r="E21" s="58"/>
      <c r="F21" s="59" t="s">
        <v>32</v>
      </c>
      <c r="G21" s="6"/>
      <c r="H21" s="7"/>
    </row>
    <row r="22" spans="1:8" ht="19.5" customHeight="1" thickBot="1" x14ac:dyDescent="0.3">
      <c r="A22" s="46"/>
      <c r="B22" s="17" t="s">
        <v>56</v>
      </c>
      <c r="C22" s="4"/>
      <c r="D22" s="4"/>
      <c r="E22" s="63"/>
      <c r="F22" s="64"/>
      <c r="G22" s="65" t="s">
        <v>27</v>
      </c>
      <c r="H22" s="60">
        <f>SUM(H16:H18)</f>
        <v>7970000</v>
      </c>
    </row>
    <row r="23" spans="1:8" ht="19.5" customHeight="1" x14ac:dyDescent="0.25">
      <c r="A23" s="27" t="s">
        <v>28</v>
      </c>
      <c r="B23" s="13"/>
      <c r="C23" s="13"/>
      <c r="D23" s="13"/>
      <c r="E23" s="66" t="s">
        <v>34</v>
      </c>
      <c r="F23" s="48"/>
      <c r="G23" s="67">
        <v>0.19</v>
      </c>
      <c r="H23" s="61">
        <f>H22*G23</f>
        <v>1514300</v>
      </c>
    </row>
    <row r="24" spans="1:8" ht="19.5" customHeight="1" x14ac:dyDescent="0.25">
      <c r="A24" s="15" t="s">
        <v>47</v>
      </c>
      <c r="E24" s="68" t="s">
        <v>29</v>
      </c>
      <c r="G24" s="69">
        <v>2.5000000000000001E-2</v>
      </c>
      <c r="H24" s="60">
        <f>H22*G24</f>
        <v>199250</v>
      </c>
    </row>
    <row r="25" spans="1:8" ht="19.5" customHeight="1" thickBot="1" x14ac:dyDescent="0.3">
      <c r="A25" s="15" t="s">
        <v>49</v>
      </c>
      <c r="E25" s="70" t="s">
        <v>30</v>
      </c>
      <c r="F25" s="71"/>
      <c r="G25" s="72"/>
      <c r="H25" s="62"/>
    </row>
    <row r="26" spans="1:8" ht="19.5" customHeight="1" thickBot="1" x14ac:dyDescent="0.35">
      <c r="A26" s="15" t="s">
        <v>36</v>
      </c>
      <c r="D26" s="16"/>
      <c r="F26" s="3"/>
      <c r="G26" s="47" t="s">
        <v>31</v>
      </c>
      <c r="H26" s="41">
        <f>H22+H23-H24</f>
        <v>9285050</v>
      </c>
    </row>
    <row r="27" spans="1:8" ht="15.75" thickBot="1" x14ac:dyDescent="0.3">
      <c r="A27" s="17"/>
      <c r="B27" s="4"/>
      <c r="C27" s="4"/>
      <c r="D27" s="18"/>
    </row>
    <row r="29" spans="1:8" x14ac:dyDescent="0.25">
      <c r="A29" t="s">
        <v>1</v>
      </c>
    </row>
    <row r="30" spans="1:8" ht="16.5" customHeight="1" x14ac:dyDescent="0.25"/>
    <row r="31" spans="1:8" ht="15.75" thickBot="1" x14ac:dyDescent="0.3"/>
    <row r="32" spans="1:8" ht="19.5" thickBot="1" x14ac:dyDescent="0.35">
      <c r="A32" s="28" t="s">
        <v>37</v>
      </c>
      <c r="B32" s="6"/>
      <c r="C32" s="6"/>
      <c r="D32" s="6"/>
      <c r="E32" s="6"/>
      <c r="F32" s="6"/>
      <c r="G32" s="6"/>
      <c r="H32" s="7"/>
    </row>
    <row r="44" spans="1:1" ht="18.75" x14ac:dyDescent="0.3">
      <c r="A44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2024-10-26T16:04:31Z</dcterms:modified>
</cp:coreProperties>
</file>