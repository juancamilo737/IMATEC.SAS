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10EA488-D4B1-4FA3-9641-7DF8DEAB2D7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EPRYS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22" i="1" s="1"/>
  <c r="H23" i="1" l="1"/>
  <c r="H27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<sst xmlns="http://schemas.openxmlformats.org/spreadsheetml/2006/main" count="54" uniqueCount="54">
  <si>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</si>
  <si>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</si>
  <si>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</si>
  <si>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</si>
  <si>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</si>
  <si>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</si>
  <si>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</si>
  <si>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</si>
  <si>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</si>
  <si>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</si>
  <si>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</si>
  <si>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</si>
  <si>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</si>
  <si>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</si>
  <si>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</si>
  <si>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</si>
  <si>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</si>
  <si>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</si>
  <si>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</si>
  <si>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</si>
  <si>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</si>
  <si>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</si>
  <si>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</si>
  <si>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</si>
  <si>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</si>
  <si>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</si>
  <si>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</si>
  <si>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</si>
  <si>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</si>
  <si>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</si>
  <si>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</si>
  <si>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</si>
  <si>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</si>
  <si>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</si>
  <si>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</si>
  <si>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</si>
  <si>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LUIS BENAVIDEZ</t>
  </si>
  <si>
    <t>8 DIAS</t>
  </si>
  <si>
    <t>FORMA DE PAGO : CONTADO</t>
  </si>
  <si>
    <t>ENTREGA INMEDIATA</t>
  </si>
  <si>
    <t>ENTREGA EN CALI</t>
  </si>
  <si>
    <t>REPRESENTACIONES , PRODUCTOS Y SERVICIOS S A S</t>
  </si>
  <si>
    <t>901 402525</t>
  </si>
  <si>
    <t>CRA 40 No. 27-46</t>
  </si>
  <si>
    <t>CALI</t>
  </si>
  <si>
    <t>gerencia@repryser.com</t>
  </si>
  <si>
    <t>317 6590957</t>
  </si>
  <si>
    <t>FABIAN ESTEBAN CASTILLO</t>
  </si>
  <si>
    <t>ITEM</t>
  </si>
  <si>
    <t>TUBERIA  A / C SCH 40  2 1/2 "</t>
  </si>
  <si>
    <t>METRO LINEAL</t>
  </si>
  <si>
    <t>OCHENTA Y NUEVE MIL DOSCIENTOS CINCUENTA</t>
  </si>
  <si>
    <t>PESOS MDA / CTE</t>
  </si>
  <si>
    <t xml:space="preserve">  CALLE  33B  No. 17C - 70  2º  PISO               B/  LA FLORESTA             -   CALI    -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</si>
</sst>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42" fontId="1" fillId="0" borderId="1" xfId="0" applyNumberFormat="1" applyFont="1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1" xfId="0" applyNumberFormat="1" applyFont="1" applyBorder="1"/>
    <xf numFmtId="42" fontId="1" fillId="0" borderId="23" xfId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" fillId="0" borderId="24" xfId="0" applyFont="1" applyBorder="1" applyAlignment="1">
      <alignment horizontal="center"/>
    </xf>
    <xf numFmtId="0" fontId="11" fillId="0" borderId="20" xfId="0" applyFont="1" applyBorder="1"/>
    <xf numFmtId="0" fontId="13" fillId="0" borderId="0" xfId="0" applyFont="1" applyAlignment="1">
      <alignment horizontal="center"/>
    </xf>
    <xf numFmtId="0" fontId="14" fillId="0" borderId="18" xfId="2" applyBorder="1"/>
    <xf numFmtId="0" fontId="15" fillId="0" borderId="18" xfId="2" applyFont="1" applyBorder="1"/>
    <xf numFmtId="0" fontId="1" fillId="0" borderId="25" xfId="0" applyFont="1" applyBorder="1" applyAlignment="1">
      <alignment horizontal="center"/>
    </xf>
    <xf numFmtId="42" fontId="12" fillId="0" borderId="22" xfId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2" fontId="1" fillId="0" borderId="26" xfId="1" applyFont="1" applyBorder="1" applyAlignment="1">
      <alignment horizontal="center"/>
    </xf>
    <xf numFmtId="0" fontId="1" fillId="0" borderId="3" xfId="0" applyFont="1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/>
    </xf>
    <xf numFmtId="0" fontId="8" fillId="0" borderId="28" xfId="0" applyFont="1" applyBorder="1"/>
    <xf numFmtId="0" fontId="8" fillId="0" borderId="4" xfId="0" applyFont="1" applyBorder="1"/>
    <xf numFmtId="0" fontId="8" fillId="0" borderId="27" xfId="0" applyFont="1" applyBorder="1"/>
    <xf numFmtId="0" fontId="4" fillId="0" borderId="29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95250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reprys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8"/>
  <sheetViews>
    <sheetView tabSelected="1" zoomScaleNormal="100" workbookViewId="0">
      <selection activeCell="E6" sqref="E6"/>
    </sheetView>
  </sheetViews>
  <sheetFormatPr baseColWidth="10" defaultRowHeight="15" x14ac:dyDescent="0.25"/>
  <cols>
    <col min="1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60" t="s">
        <v>34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21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41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42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43</v>
      </c>
      <c r="D9" s="25"/>
      <c r="E9" s="26" t="s">
        <v>44</v>
      </c>
      <c r="F9" s="33" t="s">
        <v>0</v>
      </c>
      <c r="H9" s="34">
        <v>45526</v>
      </c>
    </row>
    <row r="10" spans="1:8" ht="18.75" x14ac:dyDescent="0.3">
      <c r="A10" s="22" t="s">
        <v>14</v>
      </c>
      <c r="C10" s="61" t="s">
        <v>45</v>
      </c>
      <c r="D10" s="27"/>
      <c r="E10" s="27"/>
      <c r="F10" s="33" t="s">
        <v>16</v>
      </c>
      <c r="H10" s="35" t="s">
        <v>37</v>
      </c>
    </row>
    <row r="11" spans="1:8" ht="18.75" x14ac:dyDescent="0.3">
      <c r="A11" s="22" t="s">
        <v>11</v>
      </c>
      <c r="C11" s="62" t="s">
        <v>47</v>
      </c>
      <c r="D11" s="27"/>
      <c r="E11" s="27"/>
      <c r="F11" s="33" t="s">
        <v>17</v>
      </c>
      <c r="G11" s="36"/>
      <c r="H11" s="34">
        <v>45534</v>
      </c>
    </row>
    <row r="12" spans="1:8" ht="18.75" x14ac:dyDescent="0.3">
      <c r="A12" s="22" t="s">
        <v>12</v>
      </c>
      <c r="C12" s="26" t="s">
        <v>46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36</v>
      </c>
      <c r="D13" s="27"/>
      <c r="E13" s="27"/>
      <c r="F13" s="17"/>
      <c r="G13" s="4"/>
      <c r="H13" s="18"/>
    </row>
    <row r="15" spans="1:8" ht="15.75" thickBot="1" x14ac:dyDescent="0.3"/>
    <row r="16" spans="1:8" ht="15.75" thickBot="1" x14ac:dyDescent="0.3">
      <c r="A16" s="38" t="s">
        <v>48</v>
      </c>
      <c r="B16" s="67" t="s">
        <v>26</v>
      </c>
      <c r="C16" s="19"/>
      <c r="D16" s="6"/>
      <c r="E16" s="58" t="s">
        <v>22</v>
      </c>
      <c r="F16" s="38" t="s">
        <v>24</v>
      </c>
      <c r="G16" s="38" t="s">
        <v>23</v>
      </c>
      <c r="H16" s="38" t="s">
        <v>25</v>
      </c>
    </row>
    <row r="17" spans="1:10" ht="16.5" thickBot="1" x14ac:dyDescent="0.3">
      <c r="A17" s="70">
        <v>1</v>
      </c>
      <c r="B17" s="71" t="s">
        <v>49</v>
      </c>
      <c r="C17" s="72"/>
      <c r="D17" s="73"/>
      <c r="E17" s="63" t="s">
        <v>50</v>
      </c>
      <c r="F17" s="64">
        <v>75000</v>
      </c>
      <c r="G17" s="65">
        <v>1</v>
      </c>
      <c r="H17" s="66">
        <f>G17*F17</f>
        <v>75000</v>
      </c>
    </row>
    <row r="18" spans="1:10" ht="15.75" x14ac:dyDescent="0.25">
      <c r="A18" s="40"/>
      <c r="B18" s="42"/>
      <c r="C18" s="42"/>
      <c r="D18" s="42"/>
      <c r="E18" s="46"/>
      <c r="F18" s="39"/>
      <c r="H18" s="59"/>
      <c r="I18" s="39"/>
      <c r="J18" s="39"/>
    </row>
    <row r="19" spans="1:10" ht="15.75" x14ac:dyDescent="0.25">
      <c r="B19" s="41"/>
      <c r="C19" s="42"/>
      <c r="D19" s="42"/>
      <c r="E19" s="46"/>
      <c r="F19" s="39"/>
      <c r="H19" s="59"/>
      <c r="I19" s="39"/>
      <c r="J19" s="39"/>
    </row>
    <row r="20" spans="1:10" ht="19.5" customHeight="1" thickBot="1" x14ac:dyDescent="0.3">
      <c r="B20" s="43"/>
      <c r="C20" s="44"/>
      <c r="D20" s="44"/>
      <c r="E20" s="24"/>
      <c r="F20" s="44"/>
      <c r="G20" s="44"/>
      <c r="H20" s="45"/>
      <c r="I20" s="39"/>
      <c r="J20" s="39"/>
    </row>
    <row r="21" spans="1:10" ht="19.5" customHeight="1" thickBot="1" x14ac:dyDescent="0.35">
      <c r="A21" s="68" t="s">
        <v>27</v>
      </c>
      <c r="B21" s="12" t="s">
        <v>51</v>
      </c>
      <c r="C21" s="13"/>
      <c r="D21" s="14"/>
      <c r="E21" s="13"/>
      <c r="F21" s="48" t="s">
        <v>33</v>
      </c>
      <c r="G21" s="13"/>
      <c r="H21" s="7"/>
    </row>
    <row r="22" spans="1:10" ht="19.5" customHeight="1" thickBot="1" x14ac:dyDescent="0.3">
      <c r="A22" s="69"/>
      <c r="B22" s="17" t="s">
        <v>52</v>
      </c>
      <c r="C22" s="4"/>
      <c r="D22" s="4"/>
      <c r="E22" s="49" t="s">
        <v>28</v>
      </c>
      <c r="F22" s="50"/>
      <c r="G22" s="27"/>
      <c r="H22" s="53">
        <f>H17</f>
        <v>75000</v>
      </c>
    </row>
    <row r="23" spans="1:10" ht="19.5" customHeight="1" x14ac:dyDescent="0.25">
      <c r="A23" s="28" t="s">
        <v>29</v>
      </c>
      <c r="B23" s="13"/>
      <c r="C23" s="13"/>
      <c r="D23" s="14"/>
      <c r="E23" s="3" t="s">
        <v>35</v>
      </c>
      <c r="F23" s="74"/>
      <c r="G23" s="52">
        <v>0.19</v>
      </c>
      <c r="H23" s="54">
        <f>H22*G23</f>
        <v>14250</v>
      </c>
    </row>
    <row r="24" spans="1:10" ht="19.5" customHeight="1" x14ac:dyDescent="0.25">
      <c r="A24" s="15" t="s">
        <v>38</v>
      </c>
      <c r="D24" s="16"/>
      <c r="E24" s="50" t="s">
        <v>30</v>
      </c>
      <c r="G24">
        <v>0</v>
      </c>
      <c r="H24" s="55"/>
    </row>
    <row r="25" spans="1:10" ht="19.5" customHeight="1" x14ac:dyDescent="0.25">
      <c r="A25" s="15" t="s">
        <v>39</v>
      </c>
      <c r="D25" s="16"/>
      <c r="F25" s="50"/>
      <c r="G25" s="27"/>
      <c r="H25" s="56"/>
    </row>
    <row r="26" spans="1:10" ht="19.5" customHeight="1" thickBot="1" x14ac:dyDescent="0.3">
      <c r="A26" s="15" t="s">
        <v>40</v>
      </c>
      <c r="D26" s="16"/>
      <c r="E26" s="50" t="s">
        <v>31</v>
      </c>
      <c r="F26" s="50"/>
      <c r="G26" s="27"/>
      <c r="H26" s="57"/>
    </row>
    <row r="27" spans="1:10" ht="19.5" customHeight="1" thickBot="1" x14ac:dyDescent="0.35">
      <c r="A27" s="17"/>
      <c r="B27" s="4"/>
      <c r="C27" s="4"/>
      <c r="D27" s="18"/>
      <c r="F27" s="3"/>
      <c r="G27" s="51" t="s">
        <v>32</v>
      </c>
      <c r="H27" s="47">
        <f>H22+H23</f>
        <v>89250</v>
      </c>
    </row>
    <row r="28" spans="1:10" ht="19.5" customHeight="1" x14ac:dyDescent="0.25"/>
    <row r="29" spans="1:10" ht="19.5" customHeight="1" x14ac:dyDescent="0.25"/>
    <row r="30" spans="1:10" ht="19.5" customHeight="1" x14ac:dyDescent="0.25"/>
    <row r="34" spans="1:8" ht="16.5" customHeight="1" x14ac:dyDescent="0.25"/>
    <row r="36" spans="1:8" x14ac:dyDescent="0.25">
      <c r="A36" t="s">
        <v>1</v>
      </c>
    </row>
    <row r="38" spans="1:8" ht="15.75" thickBot="1" x14ac:dyDescent="0.3"/>
    <row r="39" spans="1:8" ht="19.5" thickBot="1" x14ac:dyDescent="0.35">
      <c r="A39" s="29" t="s">
        <v>53</v>
      </c>
      <c r="B39" s="6"/>
      <c r="C39" s="6"/>
      <c r="D39" s="6"/>
      <c r="E39" s="6"/>
      <c r="F39" s="6"/>
      <c r="G39" s="6"/>
      <c r="H39" s="7"/>
    </row>
    <row r="48" spans="1:8" ht="18.75" x14ac:dyDescent="0.3">
      <c r="A48" s="5"/>
    </row>
  </sheetData>
  <mergeCells count="1">
    <mergeCell ref="A21:A22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REPRYSER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2024-08-22T21:27:04Z</dcterms:modified>
</cp:coreProperties>
</file>