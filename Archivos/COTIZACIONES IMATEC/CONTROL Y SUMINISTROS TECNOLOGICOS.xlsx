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500C01B-C4B0-42D3-9052-3565514749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SUTEC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1" i="1" s="1"/>
  <c r="H20" i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<sst xmlns="http://schemas.openxmlformats.org/spreadsheetml/2006/main" count="52" uniqueCount="52">
  <si>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</si>
  <si>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</si>
  <si>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</si>
  <si>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</si>
  <si>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</si>
  <si>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</si>
  <si>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</si>
  <si>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</si>
  <si>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</si>
  <si>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</si>
  <si>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</si>
  <si>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</si>
  <si>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</si>
  <si>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</si>
  <si>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</si>
  <si>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</si>
  <si>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</si>
  <si>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</si>
  <si>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</si>
  <si>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</si>
  <si>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</si>
  <si>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</si>
  <si>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</si>
  <si>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</si>
  <si>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</si>
  <si>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</si>
  <si>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</si>
  <si>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</si>
  <si>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</si>
  <si>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</si>
  <si>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</si>
  <si>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</si>
  <si>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</si>
  <si>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</si>
  <si>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</si>
  <si>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</si>
  <si>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</si>
  <si>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ACCESORIO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</si>
  <si>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</si>
  <si>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</si>
  <si>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</si>
  <si>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 xml:space="preserve">              R E M I S I O N</t>
  </si>
  <si>
    <t>CONTROL &amp; SUMINISTROS TECNOLOGICOS S.A.S.</t>
  </si>
  <si>
    <t>CALI</t>
  </si>
  <si>
    <t>602 3988400</t>
  </si>
  <si>
    <t>VALVULA FLOTADOR AC/INOX 304  1 1/2 "</t>
  </si>
  <si>
    <t>CALLE 31 A  No.  2-30</t>
  </si>
  <si>
    <t>administracion@consutecsas.com</t>
  </si>
  <si>
    <t>DOS MILLONES DOSCIENTOS OCHENTA Y TRES MIL</t>
  </si>
  <si>
    <t>CUATROCIENTOS PESOS MDA / CTE</t>
  </si>
  <si>
    <t>ENTREGA 2 DIAS POSTERIOR A ORDEN DE COMPRA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</si>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</sst>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/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8" fillId="0" borderId="17" xfId="0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/>
    <xf numFmtId="0" fontId="8" fillId="0" borderId="21" xfId="0" applyFont="1" applyBorder="1"/>
    <xf numFmtId="0" fontId="1" fillId="0" borderId="22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3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consutec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7"/>
  <sheetViews>
    <sheetView tabSelected="1" topLeftCell="A4" zoomScaleNormal="100" workbookViewId="0">
      <selection activeCell="F25" sqref="F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6" t="s">
        <v>39</v>
      </c>
      <c r="B5" s="6"/>
      <c r="C5" s="6"/>
      <c r="D5" s="6"/>
      <c r="E5" s="6"/>
    </row>
    <row r="6" spans="1:8" ht="24.75" customHeight="1" thickBot="1" x14ac:dyDescent="0.45">
      <c r="F6" s="11" t="s">
        <v>41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>
        <v>900489891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46</v>
      </c>
      <c r="D9" s="24"/>
      <c r="E9" s="25" t="s">
        <v>43</v>
      </c>
      <c r="F9" s="32" t="s">
        <v>0</v>
      </c>
      <c r="H9" s="33">
        <v>45518</v>
      </c>
    </row>
    <row r="10" spans="1:8" ht="18.75" x14ac:dyDescent="0.3">
      <c r="A10" s="22" t="s">
        <v>13</v>
      </c>
      <c r="C10" s="49" t="s">
        <v>47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45528</v>
      </c>
    </row>
    <row r="12" spans="1:8" ht="18.75" x14ac:dyDescent="0.3">
      <c r="A12" s="22" t="s">
        <v>11</v>
      </c>
      <c r="C12" s="25" t="s">
        <v>44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40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2" t="s">
        <v>19</v>
      </c>
      <c r="B15" s="53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64">
        <v>1</v>
      </c>
      <c r="B16" s="65" t="s">
        <v>45</v>
      </c>
      <c r="C16" s="66"/>
      <c r="D16" s="67"/>
      <c r="E16" s="68" t="s">
        <v>37</v>
      </c>
      <c r="F16" s="69">
        <v>980000</v>
      </c>
      <c r="G16" s="64">
        <v>2</v>
      </c>
      <c r="H16" s="57">
        <f t="shared" ref="H16" si="0">G16*F16</f>
        <v>1960000</v>
      </c>
    </row>
    <row r="17" spans="1:8" ht="16.5" thickBot="1" x14ac:dyDescent="0.3">
      <c r="A17" s="54"/>
      <c r="B17" s="38"/>
      <c r="C17" s="39"/>
      <c r="D17" s="58"/>
      <c r="E17" s="59"/>
      <c r="F17" s="55"/>
      <c r="G17" s="54"/>
      <c r="H17" s="57"/>
    </row>
    <row r="18" spans="1:8" ht="19.5" customHeight="1" thickBot="1" x14ac:dyDescent="0.35">
      <c r="A18" s="60" t="s">
        <v>25</v>
      </c>
      <c r="B18" s="12" t="s">
        <v>48</v>
      </c>
      <c r="C18" s="13"/>
      <c r="D18" s="14"/>
      <c r="E18" s="13"/>
      <c r="F18" s="40" t="s">
        <v>31</v>
      </c>
      <c r="G18" s="13"/>
      <c r="H18" s="7"/>
    </row>
    <row r="19" spans="1:8" ht="19.5" customHeight="1" thickBot="1" x14ac:dyDescent="0.3">
      <c r="A19" s="61"/>
      <c r="B19" s="17" t="s">
        <v>49</v>
      </c>
      <c r="C19" s="4"/>
      <c r="D19" s="4"/>
      <c r="E19" s="41" t="s">
        <v>26</v>
      </c>
      <c r="F19" s="42"/>
      <c r="G19" s="26"/>
      <c r="H19" s="50">
        <f>SUM(H16:H17)</f>
        <v>1960000</v>
      </c>
    </row>
    <row r="20" spans="1:8" ht="15.75" x14ac:dyDescent="0.25">
      <c r="A20" s="27" t="s">
        <v>27</v>
      </c>
      <c r="B20" s="13"/>
      <c r="C20" s="13"/>
      <c r="D20" s="14"/>
      <c r="E20" s="3" t="s">
        <v>33</v>
      </c>
      <c r="F20" s="70"/>
      <c r="G20" s="44">
        <v>0.19</v>
      </c>
      <c r="H20" s="51">
        <f>H19*G20</f>
        <v>372400</v>
      </c>
    </row>
    <row r="21" spans="1:8" ht="15.75" x14ac:dyDescent="0.25">
      <c r="A21" s="15" t="s">
        <v>51</v>
      </c>
      <c r="D21" s="16"/>
      <c r="E21" s="42" t="s">
        <v>28</v>
      </c>
      <c r="G21" s="63">
        <v>2.5000000000000001E-2</v>
      </c>
      <c r="H21" s="45">
        <f>H19*G21</f>
        <v>49000</v>
      </c>
    </row>
    <row r="22" spans="1:8" ht="15.75" x14ac:dyDescent="0.25">
      <c r="A22" s="15" t="s">
        <v>50</v>
      </c>
      <c r="D22" s="16"/>
      <c r="F22" s="42"/>
      <c r="G22" s="26"/>
      <c r="H22" s="46"/>
    </row>
    <row r="23" spans="1:8" ht="16.5" customHeight="1" thickBot="1" x14ac:dyDescent="0.3">
      <c r="A23" s="15" t="s">
        <v>36</v>
      </c>
      <c r="D23" s="16"/>
      <c r="E23" s="42" t="s">
        <v>29</v>
      </c>
      <c r="F23" s="42"/>
      <c r="G23" s="26"/>
      <c r="H23" s="47"/>
    </row>
    <row r="24" spans="1:8" ht="19.5" thickBot="1" x14ac:dyDescent="0.35">
      <c r="A24" s="17"/>
      <c r="B24" s="4"/>
      <c r="C24" s="4"/>
      <c r="D24" s="18"/>
      <c r="F24" s="3"/>
      <c r="G24" s="43" t="s">
        <v>30</v>
      </c>
      <c r="H24" s="52">
        <f>H19+H20-H21</f>
        <v>2283400</v>
      </c>
    </row>
    <row r="28" spans="1:8" ht="15.75" thickBot="1" x14ac:dyDescent="0.3"/>
    <row r="29" spans="1:8" ht="19.5" thickBot="1" x14ac:dyDescent="0.35">
      <c r="A29" s="28" t="s">
        <v>38</v>
      </c>
      <c r="B29" s="6"/>
      <c r="C29" s="6"/>
      <c r="D29" s="6"/>
      <c r="E29" s="6"/>
      <c r="F29" s="6"/>
      <c r="G29" s="6"/>
      <c r="H29" s="7"/>
    </row>
    <row r="37" spans="1:1" ht="18.75" x14ac:dyDescent="0.3">
      <c r="A3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CONSUTEC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2024-08-14T16:26:59Z</dcterms:modified>
</cp:coreProperties>
</file>