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87A1A17-7A43-4C15-B25E-99608FAB42DF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<sst xmlns="http://schemas.openxmlformats.org/spreadsheetml/2006/main" count="54" uniqueCount="54">
  <si>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</si>
  <si>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</si>
  <si>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</si>
  <si>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</si>
  <si>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</si>
  <si>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</si>
  <si>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</si>
  <si>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</si>
  <si>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</si>
  <si>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</si>
  <si>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</si>
  <si>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</si>
  <si>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</si>
  <si>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</si>
  <si>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</si>
  <si>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</si>
  <si>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</si>
  <si>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</si>
  <si>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</si>
  <si>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</si>
  <si>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</si>
  <si>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</si>
  <si>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</si>
  <si>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</si>
  <si>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</si>
  <si>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</si>
  <si>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</si>
  <si>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</si>
  <si>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</si>
  <si>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</si>
  <si>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</si>
  <si>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</si>
  <si>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</si>
  <si>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</si>
  <si>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</si>
  <si>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</si>
  <si>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</si>
  <si>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</si>
  <si>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</si>
  <si>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</si>
  <si>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</si>
  <si>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DISTRIBUCIONES PRAIN S.A.S.</t>
  </si>
  <si>
    <t>900 295321</t>
  </si>
  <si>
    <t>LA NUBIA BODEGA 37</t>
  </si>
  <si>
    <t>CANDELARIA</t>
  </si>
  <si>
    <t>info@prain.co</t>
  </si>
  <si>
    <t>322 6216274</t>
  </si>
  <si>
    <t>EDINSON CABEZAS</t>
  </si>
  <si>
    <t>No. 3</t>
  </si>
  <si>
    <t>TUBERIA  A / C SCH 80  1/2 "</t>
  </si>
  <si>
    <t>METRO LINEAL</t>
  </si>
  <si>
    <t>TUBERIA  A / C SCH 80  3/4 "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</si>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</sst>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rain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D19" sqref="D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70" t="s">
        <v>42</v>
      </c>
      <c r="D8" s="66"/>
      <c r="E8" s="47"/>
      <c r="H8" s="15"/>
    </row>
    <row r="9" spans="1:8" ht="18.75" customHeight="1" x14ac:dyDescent="0.3">
      <c r="A9" s="21" t="s">
        <v>9</v>
      </c>
      <c r="C9" s="67" t="s">
        <v>43</v>
      </c>
      <c r="D9" s="23"/>
      <c r="E9" s="68" t="s">
        <v>44</v>
      </c>
      <c r="F9" s="30" t="s">
        <v>0</v>
      </c>
      <c r="H9" s="28">
        <v>45625</v>
      </c>
    </row>
    <row r="10" spans="1:8" ht="18.75" x14ac:dyDescent="0.3">
      <c r="A10" s="21" t="s">
        <v>13</v>
      </c>
      <c r="C10" s="69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0"/>
      <c r="D11" s="66"/>
      <c r="E11" s="47"/>
      <c r="F11" s="30" t="s">
        <v>16</v>
      </c>
      <c r="G11" s="30"/>
      <c r="H11" s="28">
        <v>45634</v>
      </c>
    </row>
    <row r="12" spans="1:8" ht="18.75" x14ac:dyDescent="0.3">
      <c r="A12" s="21" t="s">
        <v>11</v>
      </c>
      <c r="C12" s="70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47</v>
      </c>
      <c r="D13" s="72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3">
        <v>1</v>
      </c>
      <c r="B16" s="74" t="s">
        <v>49</v>
      </c>
      <c r="C16" s="75"/>
      <c r="D16" s="76"/>
      <c r="E16" s="73" t="s">
        <v>50</v>
      </c>
      <c r="F16" s="77">
        <v>16500</v>
      </c>
      <c r="G16" s="73">
        <v>3</v>
      </c>
      <c r="H16" s="38">
        <f t="shared" ref="H16" si="0">G16*F16</f>
        <v>49500</v>
      </c>
    </row>
    <row r="17" spans="1:8" ht="16.5" thickBot="1" x14ac:dyDescent="0.3">
      <c r="A17" s="73">
        <v>2</v>
      </c>
      <c r="B17" s="74" t="s">
        <v>51</v>
      </c>
      <c r="C17" s="75"/>
      <c r="D17" s="76"/>
      <c r="E17" s="73" t="s">
        <v>40</v>
      </c>
      <c r="F17" s="77">
        <v>21500</v>
      </c>
      <c r="G17" s="73">
        <v>5</v>
      </c>
      <c r="H17" s="38">
        <f t="shared" ref="H17" si="1">G17*F17</f>
        <v>107500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/>
      <c r="D19" s="15"/>
      <c r="E19" s="54"/>
      <c r="F19" s="37" t="s">
        <v>29</v>
      </c>
      <c r="G19" s="6"/>
      <c r="H19" s="7"/>
    </row>
    <row r="20" spans="1:8" ht="19.5" customHeight="1" thickBot="1" x14ac:dyDescent="0.3">
      <c r="A20" s="39"/>
      <c r="B20" s="16"/>
      <c r="C20" s="4"/>
      <c r="D20" s="4"/>
      <c r="E20" s="57" t="s">
        <v>24</v>
      </c>
      <c r="F20" s="58"/>
      <c r="G20" s="46"/>
      <c r="H20" s="55">
        <f>SUM(H16:H19)</f>
        <v>157000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30</v>
      </c>
      <c r="F21" s="23"/>
      <c r="G21" s="60">
        <v>0.19</v>
      </c>
      <c r="H21" s="40">
        <f>H20*G21</f>
        <v>29830</v>
      </c>
    </row>
    <row r="22" spans="1:8" ht="19.5" customHeight="1" x14ac:dyDescent="0.25">
      <c r="A22" s="14" t="s">
        <v>31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52</v>
      </c>
      <c r="E23" s="14"/>
      <c r="F23" s="33"/>
      <c r="G23" s="47"/>
      <c r="H23" s="15"/>
    </row>
    <row r="24" spans="1:8" ht="16.5" thickBot="1" x14ac:dyDescent="0.3">
      <c r="A24" s="14" t="s">
        <v>34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186830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35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6673FC7C-18C2-40EC-AF35-7E889533FE8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2024-11-29T14:46:33Z</dcterms:modified>
</cp:coreProperties>
</file>