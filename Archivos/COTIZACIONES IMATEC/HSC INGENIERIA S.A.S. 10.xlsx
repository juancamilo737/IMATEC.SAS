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HSC INGENIER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20" i="1"/>
  <c r="G20" i="1"/>
  <c r="H16" i="1" l="1"/>
  <c r="H19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<sst xmlns="http://schemas.openxmlformats.org/spreadsheetml/2006/main" count="55" uniqueCount="55">
  <si>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</si>
  <si>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</si>
  <si>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</si>
  <si>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</si>
  <si>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</si>
  <si>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</si>
  <si>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</si>
  <si>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</si>
  <si>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</si>
  <si>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</si>
  <si>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</si>
  <si>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</si>
  <si>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</si>
  <si>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</si>
  <si>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</si>
  <si>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</si>
  <si>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</si>
  <si>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</si>
  <si>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</si>
  <si>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</si>
  <si>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</si>
  <si>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</si>
  <si>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</si>
  <si>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</si>
  <si>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</si>
  <si>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</si>
  <si>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</si>
  <si>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</si>
  <si>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</si>
  <si>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</si>
  <si>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</si>
  <si>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</si>
  <si>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</si>
  <si>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</si>
  <si>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</si>
  <si>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</si>
  <si>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</si>
  <si>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</si>
  <si>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</si>
  <si>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</si>
  <si>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</si>
  <si>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</si>
  <si>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</si>
  <si>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</si>
  <si>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</si>
  <si>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</si>
  <si>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</si>
  <si>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</si>
  <si>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TUBO X 5,80</t>
  </si>
  <si>
    <t>ENTREGA EN TRES DIAS A PARTIR DE ORDEN DE COMPRA</t>
  </si>
  <si>
    <t>No. 10</t>
  </si>
  <si>
    <t xml:space="preserve">TUBERIA  A / C  SCH 160  1 1/4 " </t>
  </si>
  <si>
    <t>DESCUENTO</t>
  </si>
  <si>
    <t>CINCO MILLONES SEISCIENTOS CUARENTA Y OCHO MIL</t>
  </si>
  <si>
    <t>OCHOCIENTOS CINCUENTA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</si>
</sst>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9" fontId="1" fillId="0" borderId="14" xfId="0" applyNumberFormat="1" applyFont="1" applyBorder="1"/>
    <xf numFmtId="42" fontId="1" fillId="0" borderId="14" xfId="0" applyNumberFormat="1" applyFont="1" applyBorder="1"/>
    <xf numFmtId="0" fontId="4" fillId="0" borderId="0" xfId="0" applyFont="1" applyBorder="1"/>
    <xf numFmtId="0" fontId="0" fillId="0" borderId="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4" zoomScaleNormal="100" workbookViewId="0">
      <selection activeCell="J12" sqref="J12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36</v>
      </c>
    </row>
    <row r="3" spans="1:8" ht="27" thickBot="1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>
      <c r="A5" s="37" t="s">
        <v>34</v>
      </c>
      <c r="B5" s="6"/>
      <c r="C5" s="6"/>
      <c r="D5" s="6"/>
      <c r="E5" s="6"/>
    </row>
    <row r="6" spans="1:8" ht="24.75" customHeight="1" thickBot="1">
      <c r="F6" s="41" t="s">
        <v>38</v>
      </c>
      <c r="G6" s="42"/>
      <c r="H6" s="43"/>
    </row>
    <row r="7" spans="1:8" ht="19.5" thickBot="1">
      <c r="A7" s="20" t="s">
        <v>14</v>
      </c>
      <c r="B7" s="12"/>
      <c r="C7" s="56" t="s">
        <v>39</v>
      </c>
      <c r="D7" s="12"/>
      <c r="E7" s="13"/>
      <c r="F7" s="37"/>
      <c r="G7" s="18"/>
      <c r="H7" s="19" t="s">
        <v>50</v>
      </c>
    </row>
    <row r="8" spans="1:8" ht="18.75">
      <c r="A8" s="21" t="s">
        <v>8</v>
      </c>
      <c r="C8" s="58" t="s">
        <v>40</v>
      </c>
      <c r="D8" s="59"/>
      <c r="E8" s="44"/>
      <c r="H8" s="15"/>
    </row>
    <row r="9" spans="1:8" ht="18.75" customHeight="1">
      <c r="A9" s="21" t="s">
        <v>9</v>
      </c>
      <c r="C9" s="60" t="s">
        <v>41</v>
      </c>
      <c r="D9" s="23"/>
      <c r="E9" s="61" t="s">
        <v>42</v>
      </c>
      <c r="F9" s="30" t="s">
        <v>0</v>
      </c>
      <c r="H9" s="28">
        <v>45817</v>
      </c>
    </row>
    <row r="10" spans="1:8" ht="18.75">
      <c r="A10" s="21" t="s">
        <v>13</v>
      </c>
      <c r="C10" s="62" t="s">
        <v>43</v>
      </c>
      <c r="D10" s="57"/>
      <c r="E10" s="45"/>
      <c r="F10" s="30" t="s">
        <v>15</v>
      </c>
      <c r="H10" s="29" t="s">
        <v>31</v>
      </c>
    </row>
    <row r="11" spans="1:8" ht="18.75">
      <c r="A11" s="21" t="s">
        <v>10</v>
      </c>
      <c r="C11" s="63"/>
      <c r="D11" s="57"/>
      <c r="E11" s="45"/>
      <c r="F11" s="30" t="s">
        <v>16</v>
      </c>
      <c r="G11" s="30"/>
      <c r="H11" s="28">
        <v>45826</v>
      </c>
    </row>
    <row r="12" spans="1:8" ht="18.75">
      <c r="A12" s="21" t="s">
        <v>11</v>
      </c>
      <c r="C12" s="63" t="s">
        <v>44</v>
      </c>
      <c r="D12" s="57"/>
      <c r="E12" s="45"/>
      <c r="F12" s="30" t="s">
        <v>17</v>
      </c>
      <c r="H12" s="31"/>
    </row>
    <row r="13" spans="1:8" ht="18.75" customHeight="1" thickBot="1">
      <c r="A13" s="22" t="s">
        <v>12</v>
      </c>
      <c r="B13" s="4"/>
      <c r="C13" s="64" t="s">
        <v>45</v>
      </c>
      <c r="D13" s="65"/>
      <c r="E13" s="46"/>
      <c r="F13" s="4"/>
      <c r="G13" s="4"/>
      <c r="H13" s="17"/>
    </row>
    <row r="14" spans="1:8" ht="15.75" thickBot="1"/>
    <row r="15" spans="1:8" ht="15.75" thickBot="1">
      <c r="A15" s="32" t="s">
        <v>35</v>
      </c>
      <c r="B15" s="7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>
      <c r="A16" s="66">
        <v>1</v>
      </c>
      <c r="B16" s="67" t="s">
        <v>51</v>
      </c>
      <c r="C16" s="68"/>
      <c r="D16" s="69"/>
      <c r="E16" s="66" t="s">
        <v>48</v>
      </c>
      <c r="F16" s="70">
        <v>232000</v>
      </c>
      <c r="G16" s="66">
        <v>22</v>
      </c>
      <c r="H16" s="38">
        <f t="shared" ref="H16" si="0">G16*F16</f>
        <v>5104000</v>
      </c>
    </row>
    <row r="17" spans="1:8" ht="19.5" customHeight="1" thickBot="1">
      <c r="A17" s="47"/>
      <c r="B17" s="73"/>
      <c r="D17" s="74"/>
      <c r="E17" s="47"/>
      <c r="F17" s="47"/>
      <c r="G17" s="47"/>
    </row>
    <row r="18" spans="1:8" ht="19.5" customHeight="1" thickBot="1">
      <c r="A18" s="72" t="s">
        <v>23</v>
      </c>
      <c r="B18" s="75" t="s">
        <v>53</v>
      </c>
      <c r="C18" s="12"/>
      <c r="D18" s="13"/>
      <c r="E18" s="48"/>
      <c r="F18" s="37" t="s">
        <v>47</v>
      </c>
      <c r="G18" s="6"/>
      <c r="H18" s="7"/>
    </row>
    <row r="19" spans="1:8" ht="19.5" customHeight="1" thickBot="1">
      <c r="A19" s="39"/>
      <c r="B19" s="16" t="s">
        <v>54</v>
      </c>
      <c r="C19" s="4"/>
      <c r="D19" s="17"/>
      <c r="E19" s="51" t="s">
        <v>24</v>
      </c>
      <c r="F19" s="52"/>
      <c r="G19" s="44"/>
      <c r="H19" s="49">
        <f>SUM(H16:H18)</f>
        <v>5104000</v>
      </c>
    </row>
    <row r="20" spans="1:8" ht="19.5" customHeight="1">
      <c r="A20" s="24" t="s">
        <v>25</v>
      </c>
      <c r="B20" s="12"/>
      <c r="C20" s="12"/>
      <c r="D20" s="13"/>
      <c r="E20" s="3" t="s">
        <v>52</v>
      </c>
      <c r="F20" s="76">
        <v>0.05</v>
      </c>
      <c r="G20" s="77">
        <f>H19*F20</f>
        <v>255200</v>
      </c>
      <c r="H20" s="77">
        <f>H19-G20</f>
        <v>4848800</v>
      </c>
    </row>
    <row r="21" spans="1:8" ht="19.5" customHeight="1">
      <c r="A21" s="14" t="s">
        <v>30</v>
      </c>
      <c r="B21" s="79"/>
      <c r="C21" s="79"/>
      <c r="D21" s="15"/>
      <c r="E21" s="78" t="s">
        <v>29</v>
      </c>
      <c r="F21" s="23"/>
      <c r="G21" s="53">
        <v>0.19</v>
      </c>
      <c r="H21" s="40">
        <f>H20*G21</f>
        <v>921272</v>
      </c>
    </row>
    <row r="22" spans="1:8" ht="15.75">
      <c r="A22" s="14" t="s">
        <v>49</v>
      </c>
      <c r="B22" s="79"/>
      <c r="C22" s="79"/>
      <c r="D22" s="15"/>
      <c r="E22" s="33" t="s">
        <v>26</v>
      </c>
      <c r="G22" s="55">
        <v>2.5000000000000001E-2</v>
      </c>
      <c r="H22" s="50">
        <f>H20*G22</f>
        <v>121220</v>
      </c>
    </row>
    <row r="23" spans="1:8" ht="16.5" thickBot="1">
      <c r="A23" s="14" t="s">
        <v>33</v>
      </c>
      <c r="B23" s="79"/>
      <c r="C23" s="79"/>
      <c r="D23" s="15"/>
      <c r="E23" s="54" t="s">
        <v>27</v>
      </c>
      <c r="F23" s="54"/>
      <c r="G23" s="46"/>
      <c r="H23" s="17"/>
    </row>
    <row r="24" spans="1:8" ht="19.5" thickBot="1">
      <c r="A24" s="16"/>
      <c r="B24" s="4"/>
      <c r="C24" s="4"/>
      <c r="D24" s="17"/>
      <c r="F24" s="3"/>
      <c r="G24" s="34" t="s">
        <v>28</v>
      </c>
      <c r="H24" s="36">
        <f>H20+H21-H22</f>
        <v>5648852</v>
      </c>
    </row>
    <row r="25" spans="1:8" ht="16.5" customHeight="1"/>
    <row r="30" spans="1:8" ht="15.75" thickBot="1"/>
    <row r="31" spans="1:8" ht="19.5" thickBot="1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>
      <c r="A39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2023-03-16T17:43:01Z</cp:lastPrinted>
  <dcterms:created xsi:type="dcterms:W3CDTF">2018-11-15T17:29:02Z</dcterms:created>
  <dcterms:modified xsi:type="dcterms:W3CDTF">2025-06-09T21:21:17Z</dcterms:modified>
</cp:coreProperties>
</file>