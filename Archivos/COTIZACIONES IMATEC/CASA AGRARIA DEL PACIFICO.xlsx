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C4754F88-1BD2-495E-8664-90F81259A28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SA AGRARIA DEL PAC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5" i="1"/>
  <c r="H19" i="1"/>
  <c r="H18" i="1"/>
  <c r="H17" i="1"/>
  <c r="H16" i="1"/>
  <c r="H23" i="1" s="1"/>
  <c r="H24" i="1" l="1"/>
</calcChain>
</file>

<file path=xl/sharedStrings.xml><?xml version="1.0" encoding="utf-8"?>
<sst xmlns="http://schemas.openxmlformats.org/spreadsheetml/2006/main" count="58" uniqueCount="55">
  <si>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</si>
  <si>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</si>
  <si>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</si>
  <si>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</si>
  <si>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</si>
  <si>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</si>
  <si>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</si>
  <si>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</si>
  <si>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</si>
  <si>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</si>
  <si>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</si>
  <si>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</si>
  <si>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</si>
  <si>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</si>
  <si>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</si>
  <si>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</si>
  <si>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</si>
  <si>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</si>
  <si>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</si>
  <si>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</si>
  <si>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</si>
  <si>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</si>
  <si>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</si>
  <si>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</si>
  <si>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</si>
  <si>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</si>
  <si>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</si>
  <si>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</si>
  <si>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</si>
  <si>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</si>
  <si>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</si>
  <si>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</si>
  <si>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</si>
  <si>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</si>
  <si>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</si>
  <si>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</si>
  <si>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</si>
  <si>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</si>
  <si>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</si>
  <si>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</si>
  <si>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</si>
  <si>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</si>
  <si>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CASA AGRARIA DEL PACIFICO S.A.S.</t>
  </si>
  <si>
    <t>CALLE 3  No. 4-32</t>
  </si>
  <si>
    <t>YUMBO</t>
  </si>
  <si>
    <t>casagrariadelpac@hotmail.com</t>
  </si>
  <si>
    <t>602 6955467</t>
  </si>
  <si>
    <t>EDINSON CABEZAS</t>
  </si>
  <si>
    <t>TUBERIA  A / C SCH 40  6 "</t>
  </si>
  <si>
    <t>TUBO X 6 MTS</t>
  </si>
  <si>
    <t>TUBERIA  A / C SCH 40  2 "</t>
  </si>
  <si>
    <t>TUBERIA  A / C SCH 40  1 1/2 "</t>
  </si>
  <si>
    <t>TUBERIA  A / C SCH 40  1  "</t>
  </si>
  <si>
    <t>UN MILLON OCHOCIENTOS CUARENTA Y DOS MIL CUA-</t>
  </si>
  <si>
    <t>TROCIENTOS CUARENTA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</si>
</sst>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8" fillId="0" borderId="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sagrariadelpac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7" zoomScaleNormal="100" workbookViewId="0">
      <selection activeCell="E30" sqref="E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>
        <v>900741359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8" t="s">
        <v>44</v>
      </c>
      <c r="F9" s="30" t="s">
        <v>0</v>
      </c>
      <c r="H9" s="28">
        <v>45560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45569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3" t="s">
        <v>37</v>
      </c>
      <c r="B15" s="24" t="s">
        <v>22</v>
      </c>
      <c r="C15" s="43"/>
      <c r="D15" s="13"/>
      <c r="E15" s="53" t="s">
        <v>18</v>
      </c>
      <c r="F15" s="53" t="s">
        <v>20</v>
      </c>
      <c r="G15" s="53" t="s">
        <v>19</v>
      </c>
      <c r="H15" s="32" t="s">
        <v>21</v>
      </c>
    </row>
    <row r="16" spans="1:8" ht="16.5" thickBot="1" x14ac:dyDescent="0.3">
      <c r="A16" s="55">
        <v>1</v>
      </c>
      <c r="B16" s="58" t="s">
        <v>48</v>
      </c>
      <c r="C16" s="59"/>
      <c r="D16" s="60"/>
      <c r="E16" s="55" t="s">
        <v>49</v>
      </c>
      <c r="F16" s="64">
        <v>1105000</v>
      </c>
      <c r="G16" s="55">
        <v>1</v>
      </c>
      <c r="H16" s="38">
        <f t="shared" ref="H16" si="0">G16*F16</f>
        <v>1105000</v>
      </c>
    </row>
    <row r="17" spans="1:8" ht="16.5" thickBot="1" x14ac:dyDescent="0.3">
      <c r="A17" s="56">
        <v>2</v>
      </c>
      <c r="B17" s="79" t="s">
        <v>50</v>
      </c>
      <c r="C17" s="51"/>
      <c r="D17" s="62"/>
      <c r="E17" s="56" t="s">
        <v>49</v>
      </c>
      <c r="F17" s="65">
        <v>197000</v>
      </c>
      <c r="G17" s="56">
        <v>1</v>
      </c>
      <c r="H17" s="38">
        <f t="shared" ref="H17:H19" si="1">G17*F17</f>
        <v>197000</v>
      </c>
    </row>
    <row r="18" spans="1:8" ht="16.5" thickBot="1" x14ac:dyDescent="0.3">
      <c r="A18" s="56">
        <v>3</v>
      </c>
      <c r="B18" s="79" t="s">
        <v>51</v>
      </c>
      <c r="C18" s="51"/>
      <c r="D18" s="62"/>
      <c r="E18" s="56" t="s">
        <v>49</v>
      </c>
      <c r="F18" s="65">
        <v>172000</v>
      </c>
      <c r="G18" s="56">
        <v>1</v>
      </c>
      <c r="H18" s="38">
        <f t="shared" si="1"/>
        <v>172000</v>
      </c>
    </row>
    <row r="19" spans="1:8" ht="16.5" thickBot="1" x14ac:dyDescent="0.3">
      <c r="A19" s="56">
        <v>4</v>
      </c>
      <c r="B19" s="79" t="s">
        <v>52</v>
      </c>
      <c r="C19" s="51"/>
      <c r="D19" s="62"/>
      <c r="E19" s="56" t="s">
        <v>49</v>
      </c>
      <c r="F19" s="65">
        <v>107500</v>
      </c>
      <c r="G19" s="56">
        <v>1</v>
      </c>
      <c r="H19" s="38">
        <f t="shared" si="1"/>
        <v>107500</v>
      </c>
    </row>
    <row r="20" spans="1:8" ht="15.75" x14ac:dyDescent="0.25">
      <c r="A20" s="56"/>
      <c r="B20" s="61"/>
      <c r="C20" s="51"/>
      <c r="D20" s="62"/>
      <c r="E20" s="56"/>
      <c r="F20" s="65"/>
      <c r="G20" s="56"/>
      <c r="H20" s="52"/>
    </row>
    <row r="21" spans="1:8" ht="19.5" customHeight="1" thickBot="1" x14ac:dyDescent="0.3">
      <c r="A21" s="57"/>
      <c r="B21" s="45"/>
      <c r="C21" s="42"/>
      <c r="D21" s="63"/>
      <c r="E21" s="66"/>
      <c r="F21" s="66"/>
      <c r="G21" s="66"/>
    </row>
    <row r="22" spans="1:8" ht="19.5" customHeight="1" thickBot="1" x14ac:dyDescent="0.35">
      <c r="A22" s="54" t="s">
        <v>23</v>
      </c>
      <c r="B22" s="14" t="s">
        <v>53</v>
      </c>
      <c r="D22" s="15"/>
      <c r="E22" s="67"/>
      <c r="F22" s="37" t="s">
        <v>29</v>
      </c>
      <c r="G22" s="6"/>
      <c r="H22" s="7"/>
    </row>
    <row r="23" spans="1:8" ht="19.5" customHeight="1" thickBot="1" x14ac:dyDescent="0.3">
      <c r="A23" s="39"/>
      <c r="B23" s="16" t="s">
        <v>54</v>
      </c>
      <c r="C23" s="4"/>
      <c r="D23" s="4"/>
      <c r="E23" s="70" t="s">
        <v>24</v>
      </c>
      <c r="F23" s="71"/>
      <c r="G23" s="47"/>
      <c r="H23" s="68">
        <f>SUM(H16:H22)</f>
        <v>1581500</v>
      </c>
    </row>
    <row r="24" spans="1:8" ht="19.5" customHeight="1" x14ac:dyDescent="0.25">
      <c r="A24" s="24" t="s">
        <v>25</v>
      </c>
      <c r="B24" s="12"/>
      <c r="C24" s="12"/>
      <c r="D24" s="12"/>
      <c r="E24" s="72" t="s">
        <v>30</v>
      </c>
      <c r="F24" s="23"/>
      <c r="G24" s="73">
        <v>0.19</v>
      </c>
      <c r="H24" s="40">
        <f>H23*G24</f>
        <v>300485</v>
      </c>
    </row>
    <row r="25" spans="1:8" ht="19.5" customHeight="1" x14ac:dyDescent="0.25">
      <c r="A25" s="14" t="s">
        <v>31</v>
      </c>
      <c r="E25" s="74" t="s">
        <v>26</v>
      </c>
      <c r="G25" s="77">
        <v>2.5000000000000001E-2</v>
      </c>
      <c r="H25" s="69">
        <f>H23*G25</f>
        <v>39537.5</v>
      </c>
    </row>
    <row r="26" spans="1:8" ht="15.75" x14ac:dyDescent="0.25">
      <c r="A26" s="14" t="s">
        <v>38</v>
      </c>
      <c r="E26" s="14"/>
      <c r="F26" s="33"/>
      <c r="G26" s="48"/>
      <c r="H26" s="15"/>
    </row>
    <row r="27" spans="1:8" ht="16.5" thickBot="1" x14ac:dyDescent="0.3">
      <c r="A27" s="14" t="s">
        <v>34</v>
      </c>
      <c r="E27" s="75" t="s">
        <v>27</v>
      </c>
      <c r="F27" s="76"/>
      <c r="G27" s="49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H23+H24-H25</f>
        <v>1842447.5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35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1E675426-F0F1-432A-A737-D06B8976ABCB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CASA AGRARIA DEL PAC.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2024-09-25T18:52:40Z</dcterms:modified>
</cp:coreProperties>
</file>