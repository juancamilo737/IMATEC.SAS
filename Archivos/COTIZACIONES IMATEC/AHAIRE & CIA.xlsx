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34BC5F40-A73E-40D6-89BD-D44BDD380D55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AHAIRE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7" i="1" l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39" i="1" l="1"/>
  <c r="H38" i="1"/>
  <c r="H42" i="1" s="1"/>
</calcChain>
</file>

<file path=xl/sharedStrings.xml><?xml version="1.0" encoding="utf-8"?>
<sst xmlns="http://schemas.openxmlformats.org/spreadsheetml/2006/main" count="87" uniqueCount="71">
  <si>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</si>
  <si>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</si>
  <si>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</si>
  <si>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</si>
  <si>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</si>
  <si>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</si>
  <si>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</si>
  <si>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</si>
  <si>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</si>
  <si>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</si>
  <si>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</si>
  <si>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</si>
  <si>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</si>
  <si>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</si>
  <si>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</si>
  <si>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</si>
  <si>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</si>
  <si>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</si>
  <si>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</si>
  <si>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</si>
  <si>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</si>
  <si>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</si>
  <si>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</si>
  <si>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</si>
  <si>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</si>
  <si>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</si>
  <si>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</si>
  <si>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</si>
  <si>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</si>
  <si>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</si>
  <si>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</si>
  <si>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</si>
  <si>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</si>
  <si>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</si>
  <si>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</si>
  <si>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</si>
  <si>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ACCESORIO</t>
  </si>
  <si>
    <t>L I Q U I D A C I O N</t>
  </si>
  <si>
    <t xml:space="preserve">  CALLE  33A  No. 17F - 56                           B/  LA FLORESTA             -   CALI    -                                       CEL.     321 7834969</t>
  </si>
  <si>
    <t>O de C  No.</t>
  </si>
  <si>
    <t>AHAIRE &amp; CIA  LTDA</t>
  </si>
  <si>
    <t xml:space="preserve">          C O T I Z A C I O N</t>
  </si>
  <si>
    <t>CRA 11  No.  46-21</t>
  </si>
  <si>
    <t>CALI</t>
  </si>
  <si>
    <t>admon.ahaire@yahoo.es</t>
  </si>
  <si>
    <t>10 dias</t>
  </si>
  <si>
    <t>602 4486533</t>
  </si>
  <si>
    <t>LUIS A. BENAVIDES</t>
  </si>
  <si>
    <t>TUBERIA  A / C  SCH 40  4 "  X 6 MTS</t>
  </si>
  <si>
    <t>TUBO</t>
  </si>
  <si>
    <t>TUBERIA  A / C  SCH 40  2 1/2  "  X 6 MTS</t>
  </si>
  <si>
    <t>VALVULA MARIPOSA TIPO WAFER 4 "</t>
  </si>
  <si>
    <t>VALVULA MARIPOSA TIPO WAFER 2 1/2  "</t>
  </si>
  <si>
    <t>BRIDA  A / C  SLIP ON  4 "  X  150 LBS</t>
  </si>
  <si>
    <t>BRIDA  A / C  SLIP ON  2 1/2  "  X  150 LBS</t>
  </si>
  <si>
    <t>UNION HD RANURADA  4 "</t>
  </si>
  <si>
    <t>UNION HD RANURADA  2 1/2  "</t>
  </si>
  <si>
    <t>CODO HD RANURADO  4 "  X  90 º</t>
  </si>
  <si>
    <t>CODO HD RANURADO  2 1/2  "  X  90 º</t>
  </si>
  <si>
    <t>TEE HD RANURADA 4 "</t>
  </si>
  <si>
    <t>TEE HD RANURADA 2 1/2  "</t>
  </si>
  <si>
    <t>COPA HD RANURADA  4 "  X  2 1/2 "</t>
  </si>
  <si>
    <t>COPA HD RANURADA   2 1/2 " X 1 "</t>
  </si>
  <si>
    <t>SIFON COLA DE MARRANO AC/INOX 304  1/4 "</t>
  </si>
  <si>
    <t>VALVULA DE BOLA AC/INOX 304  1/4 "</t>
  </si>
  <si>
    <t>MANOMETRO CAJA AC/INOX CV 1/4 " 2 1/2 " 0-100</t>
  </si>
  <si>
    <t>TERMOMETRO CAJA AC/INOX 3 "  CONEXIÓN 1/2 "</t>
  </si>
  <si>
    <t>BULBO 4 "   -10º A + 120º</t>
  </si>
  <si>
    <t>TREINTA Y OCHO MILLONES CUATROCIENTOS CINCUENTA</t>
  </si>
  <si>
    <t>Y DOS MIL CUATROCIENTOS CINCUENTA Y SEIS PESOS MC</t>
  </si>
  <si>
    <t>ENTREGA EN TRES DIAS HABILES A PARTIR DE ORDEN DE COMPRA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</si>
</sst>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7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1" fillId="0" borderId="15" xfId="0" applyFont="1" applyBorder="1" applyAlignment="1">
      <alignment horizontal="center"/>
    </xf>
    <xf numFmtId="0" fontId="0" fillId="0" borderId="27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19" xfId="0" applyFont="1" applyBorder="1"/>
    <xf numFmtId="0" fontId="4" fillId="0" borderId="9" xfId="0" applyFont="1" applyBorder="1"/>
    <xf numFmtId="9" fontId="1" fillId="0" borderId="21" xfId="3" applyFont="1" applyBorder="1"/>
    <xf numFmtId="0" fontId="4" fillId="0" borderId="22" xfId="0" applyFont="1" applyBorder="1"/>
    <xf numFmtId="0" fontId="4" fillId="0" borderId="24" xfId="0" applyFont="1" applyBorder="1"/>
    <xf numFmtId="0" fontId="4" fillId="0" borderId="25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1" fillId="0" borderId="14" xfId="0" applyFont="1" applyBorder="1" applyAlignment="1">
      <alignment horizontal="center"/>
    </xf>
    <xf numFmtId="0" fontId="8" fillId="0" borderId="28" xfId="0" applyFont="1" applyBorder="1"/>
    <xf numFmtId="0" fontId="8" fillId="0" borderId="13" xfId="0" applyFont="1" applyBorder="1"/>
    <xf numFmtId="0" fontId="8" fillId="0" borderId="29" xfId="0" applyFont="1" applyBorder="1"/>
    <xf numFmtId="42" fontId="11" fillId="0" borderId="14" xfId="1" applyFont="1" applyBorder="1" applyAlignment="1">
      <alignment horizontal="center"/>
    </xf>
    <xf numFmtId="0" fontId="1" fillId="0" borderId="15" xfId="0" applyFont="1" applyBorder="1" applyAlignment="1">
      <alignment horizontal="left" vertical="top" wrapText="1"/>
    </xf>
    <xf numFmtId="0" fontId="0" fillId="0" borderId="30" xfId="0" applyBorder="1"/>
    <xf numFmtId="0" fontId="0" fillId="0" borderId="31" xfId="0" applyBorder="1"/>
    <xf numFmtId="0" fontId="0" fillId="0" borderId="6" xfId="0" applyBorder="1"/>
    <xf numFmtId="0" fontId="13" fillId="0" borderId="9" xfId="2" applyBorder="1"/>
    <xf numFmtId="0" fontId="1" fillId="0" borderId="27" xfId="0" applyFont="1" applyBorder="1" applyAlignment="1">
      <alignment horizontal="center"/>
    </xf>
    <xf numFmtId="0" fontId="8" fillId="0" borderId="30" xfId="0" applyFont="1" applyBorder="1"/>
    <xf numFmtId="0" fontId="8" fillId="0" borderId="0" xfId="0" applyFont="1" applyBorder="1"/>
    <xf numFmtId="0" fontId="8" fillId="0" borderId="31" xfId="0" applyFont="1" applyBorder="1"/>
    <xf numFmtId="42" fontId="11" fillId="0" borderId="27" xfId="1" applyFont="1" applyBorder="1" applyAlignment="1">
      <alignment horizontal="center"/>
    </xf>
    <xf numFmtId="42" fontId="1" fillId="0" borderId="0" xfId="1" applyFont="1" applyBorder="1" applyAlignment="1">
      <alignment horizontal="left"/>
    </xf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dmon.ahaire@yahoo.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57"/>
  <sheetViews>
    <sheetView tabSelected="1" topLeftCell="A28" zoomScaleNormal="100" workbookViewId="0">
      <selection activeCell="K41" sqref="K41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34</v>
      </c>
    </row>
    <row r="3" spans="1:8" ht="27" thickBot="1" x14ac:dyDescent="0.45">
      <c r="A3" s="11" t="s">
        <v>35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30</v>
      </c>
      <c r="E4" s="18"/>
      <c r="F4" s="19"/>
      <c r="G4" s="6"/>
      <c r="H4" s="7"/>
    </row>
    <row r="5" spans="1:8" ht="19.5" thickBot="1" x14ac:dyDescent="0.35">
      <c r="A5" s="37" t="s">
        <v>32</v>
      </c>
      <c r="B5" s="6"/>
      <c r="C5" s="6"/>
      <c r="D5" s="6"/>
      <c r="E5" s="6"/>
    </row>
    <row r="6" spans="1:8" ht="24.75" customHeight="1" thickBot="1" x14ac:dyDescent="0.45">
      <c r="F6" s="41" t="s">
        <v>41</v>
      </c>
      <c r="G6" s="42"/>
      <c r="H6" s="43"/>
    </row>
    <row r="7" spans="1:8" ht="19.5" thickBot="1" x14ac:dyDescent="0.35">
      <c r="A7" s="20" t="s">
        <v>14</v>
      </c>
      <c r="B7" s="12"/>
      <c r="C7" s="60" t="s">
        <v>40</v>
      </c>
      <c r="D7" s="12"/>
      <c r="E7" s="13"/>
      <c r="F7" s="37"/>
      <c r="G7" s="18"/>
      <c r="H7" s="19"/>
    </row>
    <row r="8" spans="1:8" ht="18.75" x14ac:dyDescent="0.3">
      <c r="A8" s="21" t="s">
        <v>8</v>
      </c>
      <c r="C8" s="69">
        <v>805006800</v>
      </c>
      <c r="D8" s="12"/>
      <c r="E8" s="13"/>
      <c r="H8" s="15"/>
    </row>
    <row r="9" spans="1:8" ht="18.75" customHeight="1" x14ac:dyDescent="0.3">
      <c r="A9" s="21" t="s">
        <v>9</v>
      </c>
      <c r="C9" s="14" t="s">
        <v>42</v>
      </c>
      <c r="E9" s="15" t="s">
        <v>43</v>
      </c>
      <c r="F9" s="30" t="s">
        <v>0</v>
      </c>
      <c r="H9" s="28">
        <v>45762</v>
      </c>
    </row>
    <row r="10" spans="1:8" ht="18.75" x14ac:dyDescent="0.3">
      <c r="A10" s="21" t="s">
        <v>13</v>
      </c>
      <c r="C10" s="70" t="s">
        <v>44</v>
      </c>
      <c r="E10" s="15"/>
      <c r="F10" s="30" t="s">
        <v>15</v>
      </c>
      <c r="H10" s="29" t="s">
        <v>45</v>
      </c>
    </row>
    <row r="11" spans="1:8" ht="18.75" x14ac:dyDescent="0.3">
      <c r="A11" s="21" t="s">
        <v>10</v>
      </c>
      <c r="C11" s="14"/>
      <c r="E11" s="15"/>
      <c r="F11" s="30" t="s">
        <v>16</v>
      </c>
      <c r="G11" s="30"/>
      <c r="H11" s="28">
        <v>45771</v>
      </c>
    </row>
    <row r="12" spans="1:8" ht="18.75" x14ac:dyDescent="0.3">
      <c r="A12" s="21" t="s">
        <v>11</v>
      </c>
      <c r="C12" s="14" t="s">
        <v>46</v>
      </c>
      <c r="E12" s="15"/>
      <c r="F12" s="30" t="s">
        <v>39</v>
      </c>
      <c r="H12" s="31"/>
    </row>
    <row r="13" spans="1:8" ht="18.75" customHeight="1" thickBot="1" x14ac:dyDescent="0.35">
      <c r="A13" s="22" t="s">
        <v>12</v>
      </c>
      <c r="B13" s="4"/>
      <c r="C13" s="16" t="s">
        <v>47</v>
      </c>
      <c r="D13" s="4"/>
      <c r="E13" s="17"/>
      <c r="F13" s="4"/>
      <c r="G13" s="4"/>
      <c r="H13" s="17"/>
    </row>
    <row r="14" spans="1:8" ht="15.75" thickBot="1" x14ac:dyDescent="0.3"/>
    <row r="15" spans="1:8" ht="15.75" thickBot="1" x14ac:dyDescent="0.3">
      <c r="A15" s="47" t="s">
        <v>33</v>
      </c>
      <c r="B15" s="24" t="s">
        <v>21</v>
      </c>
      <c r="C15" s="42"/>
      <c r="D15" s="13"/>
      <c r="E15" s="47" t="s">
        <v>17</v>
      </c>
      <c r="F15" s="47" t="s">
        <v>19</v>
      </c>
      <c r="G15" s="47" t="s">
        <v>18</v>
      </c>
      <c r="H15" s="32" t="s">
        <v>20</v>
      </c>
    </row>
    <row r="16" spans="1:8" ht="16.5" thickBot="1" x14ac:dyDescent="0.3">
      <c r="A16" s="61">
        <v>1</v>
      </c>
      <c r="B16" s="62" t="s">
        <v>48</v>
      </c>
      <c r="C16" s="63"/>
      <c r="D16" s="64"/>
      <c r="E16" s="61" t="s">
        <v>49</v>
      </c>
      <c r="F16" s="65">
        <v>522000</v>
      </c>
      <c r="G16" s="61">
        <v>39</v>
      </c>
      <c r="H16" s="38">
        <f t="shared" ref="H16" si="0">G16*F16</f>
        <v>20358000</v>
      </c>
    </row>
    <row r="17" spans="1:8" ht="16.5" thickBot="1" x14ac:dyDescent="0.3">
      <c r="A17" s="61">
        <v>2</v>
      </c>
      <c r="B17" s="62" t="s">
        <v>50</v>
      </c>
      <c r="C17" s="63"/>
      <c r="D17" s="64"/>
      <c r="E17" s="61" t="s">
        <v>49</v>
      </c>
      <c r="F17" s="65">
        <v>277200</v>
      </c>
      <c r="G17" s="61">
        <v>5</v>
      </c>
      <c r="H17" s="38">
        <f t="shared" ref="H17:H33" si="1">G17*F17</f>
        <v>1386000</v>
      </c>
    </row>
    <row r="18" spans="1:8" ht="16.5" thickBot="1" x14ac:dyDescent="0.3">
      <c r="A18" s="61">
        <v>3</v>
      </c>
      <c r="B18" s="62" t="s">
        <v>51</v>
      </c>
      <c r="C18" s="63"/>
      <c r="D18" s="64"/>
      <c r="E18" s="61" t="s">
        <v>36</v>
      </c>
      <c r="F18" s="65">
        <v>210000</v>
      </c>
      <c r="G18" s="61">
        <v>12</v>
      </c>
      <c r="H18" s="38">
        <f t="shared" si="1"/>
        <v>2520000</v>
      </c>
    </row>
    <row r="19" spans="1:8" ht="16.5" thickBot="1" x14ac:dyDescent="0.3">
      <c r="A19" s="61">
        <v>4</v>
      </c>
      <c r="B19" s="62" t="s">
        <v>52</v>
      </c>
      <c r="C19" s="63"/>
      <c r="D19" s="64"/>
      <c r="E19" s="61" t="s">
        <v>36</v>
      </c>
      <c r="F19" s="65">
        <v>145000</v>
      </c>
      <c r="G19" s="61">
        <v>6</v>
      </c>
      <c r="H19" s="38">
        <f t="shared" si="1"/>
        <v>870000</v>
      </c>
    </row>
    <row r="20" spans="1:8" ht="16.5" thickBot="1" x14ac:dyDescent="0.3">
      <c r="A20" s="61">
        <v>5</v>
      </c>
      <c r="B20" s="62" t="s">
        <v>53</v>
      </c>
      <c r="C20" s="63"/>
      <c r="D20" s="64"/>
      <c r="E20" s="61" t="s">
        <v>36</v>
      </c>
      <c r="F20" s="65">
        <v>49240</v>
      </c>
      <c r="G20" s="61">
        <v>20</v>
      </c>
      <c r="H20" s="38">
        <f t="shared" si="1"/>
        <v>984800</v>
      </c>
    </row>
    <row r="21" spans="1:8" ht="16.5" thickBot="1" x14ac:dyDescent="0.3">
      <c r="A21" s="61">
        <v>6</v>
      </c>
      <c r="B21" s="62" t="s">
        <v>54</v>
      </c>
      <c r="C21" s="63"/>
      <c r="D21" s="64"/>
      <c r="E21" s="61" t="s">
        <v>36</v>
      </c>
      <c r="F21" s="65">
        <v>29500</v>
      </c>
      <c r="G21" s="61">
        <v>12</v>
      </c>
      <c r="H21" s="38">
        <f t="shared" si="1"/>
        <v>354000</v>
      </c>
    </row>
    <row r="22" spans="1:8" ht="16.5" thickBot="1" x14ac:dyDescent="0.3">
      <c r="A22" s="61">
        <v>7</v>
      </c>
      <c r="B22" s="62" t="s">
        <v>55</v>
      </c>
      <c r="C22" s="63"/>
      <c r="D22" s="64"/>
      <c r="E22" s="61" t="s">
        <v>36</v>
      </c>
      <c r="F22" s="65">
        <v>18500</v>
      </c>
      <c r="G22" s="61">
        <v>106</v>
      </c>
      <c r="H22" s="38">
        <f t="shared" si="1"/>
        <v>1961000</v>
      </c>
    </row>
    <row r="23" spans="1:8" ht="16.5" thickBot="1" x14ac:dyDescent="0.3">
      <c r="A23" s="61">
        <v>8</v>
      </c>
      <c r="B23" s="62" t="s">
        <v>56</v>
      </c>
      <c r="C23" s="63"/>
      <c r="D23" s="64"/>
      <c r="E23" s="61" t="s">
        <v>36</v>
      </c>
      <c r="F23" s="65">
        <v>14000</v>
      </c>
      <c r="G23" s="61">
        <v>54</v>
      </c>
      <c r="H23" s="38">
        <f t="shared" si="1"/>
        <v>756000</v>
      </c>
    </row>
    <row r="24" spans="1:8" ht="16.5" thickBot="1" x14ac:dyDescent="0.3">
      <c r="A24" s="61">
        <v>9</v>
      </c>
      <c r="B24" s="62" t="s">
        <v>57</v>
      </c>
      <c r="C24" s="63"/>
      <c r="D24" s="64"/>
      <c r="E24" s="61" t="s">
        <v>36</v>
      </c>
      <c r="F24" s="65">
        <v>31400</v>
      </c>
      <c r="G24" s="61">
        <v>24</v>
      </c>
      <c r="H24" s="38">
        <f t="shared" si="1"/>
        <v>753600</v>
      </c>
    </row>
    <row r="25" spans="1:8" ht="16.5" thickBot="1" x14ac:dyDescent="0.3">
      <c r="A25" s="61">
        <v>10</v>
      </c>
      <c r="B25" s="62" t="s">
        <v>58</v>
      </c>
      <c r="C25" s="63"/>
      <c r="D25" s="64"/>
      <c r="E25" s="61" t="s">
        <v>36</v>
      </c>
      <c r="F25" s="65">
        <v>18400</v>
      </c>
      <c r="G25" s="61">
        <v>12</v>
      </c>
      <c r="H25" s="38">
        <f t="shared" si="1"/>
        <v>220800</v>
      </c>
    </row>
    <row r="26" spans="1:8" ht="16.5" thickBot="1" x14ac:dyDescent="0.3">
      <c r="A26" s="61">
        <v>11</v>
      </c>
      <c r="B26" s="62" t="s">
        <v>59</v>
      </c>
      <c r="C26" s="63"/>
      <c r="D26" s="64"/>
      <c r="E26" s="61" t="s">
        <v>36</v>
      </c>
      <c r="F26" s="65">
        <v>53500</v>
      </c>
      <c r="G26" s="61">
        <v>10</v>
      </c>
      <c r="H26" s="38">
        <f t="shared" si="1"/>
        <v>535000</v>
      </c>
    </row>
    <row r="27" spans="1:8" ht="16.5" thickBot="1" x14ac:dyDescent="0.3">
      <c r="A27" s="61">
        <v>12</v>
      </c>
      <c r="B27" s="62" t="s">
        <v>60</v>
      </c>
      <c r="C27" s="63"/>
      <c r="D27" s="64"/>
      <c r="E27" s="61" t="s">
        <v>36</v>
      </c>
      <c r="F27" s="65">
        <v>26000</v>
      </c>
      <c r="G27" s="61">
        <v>10</v>
      </c>
      <c r="H27" s="38">
        <f t="shared" si="1"/>
        <v>260000</v>
      </c>
    </row>
    <row r="28" spans="1:8" ht="16.5" thickBot="1" x14ac:dyDescent="0.3">
      <c r="A28" s="61">
        <v>13</v>
      </c>
      <c r="B28" s="62" t="s">
        <v>61</v>
      </c>
      <c r="C28" s="63"/>
      <c r="D28" s="64"/>
      <c r="E28" s="61" t="s">
        <v>36</v>
      </c>
      <c r="F28" s="65">
        <v>17200</v>
      </c>
      <c r="G28" s="61">
        <v>12</v>
      </c>
      <c r="H28" s="38">
        <f t="shared" si="1"/>
        <v>206400</v>
      </c>
    </row>
    <row r="29" spans="1:8" ht="16.5" thickBot="1" x14ac:dyDescent="0.3">
      <c r="A29" s="61">
        <v>14</v>
      </c>
      <c r="B29" s="62" t="s">
        <v>62</v>
      </c>
      <c r="C29" s="63"/>
      <c r="D29" s="64"/>
      <c r="E29" s="61" t="s">
        <v>36</v>
      </c>
      <c r="F29" s="65">
        <v>12600</v>
      </c>
      <c r="G29" s="61">
        <v>8</v>
      </c>
      <c r="H29" s="38">
        <f t="shared" si="1"/>
        <v>100800</v>
      </c>
    </row>
    <row r="30" spans="1:8" ht="16.5" thickBot="1" x14ac:dyDescent="0.3">
      <c r="A30" s="61">
        <v>15</v>
      </c>
      <c r="B30" s="62" t="s">
        <v>63</v>
      </c>
      <c r="C30" s="63"/>
      <c r="D30" s="64"/>
      <c r="E30" s="61" t="s">
        <v>36</v>
      </c>
      <c r="F30" s="65">
        <v>26000</v>
      </c>
      <c r="G30" s="61">
        <v>16</v>
      </c>
      <c r="H30" s="38">
        <f t="shared" si="1"/>
        <v>416000</v>
      </c>
    </row>
    <row r="31" spans="1:8" ht="16.5" thickBot="1" x14ac:dyDescent="0.3">
      <c r="A31" s="61">
        <v>16</v>
      </c>
      <c r="B31" s="62" t="s">
        <v>64</v>
      </c>
      <c r="C31" s="63"/>
      <c r="D31" s="64"/>
      <c r="E31" s="61" t="s">
        <v>36</v>
      </c>
      <c r="F31" s="65">
        <v>19000</v>
      </c>
      <c r="G31" s="61">
        <v>16</v>
      </c>
      <c r="H31" s="38">
        <f t="shared" si="1"/>
        <v>304000</v>
      </c>
    </row>
    <row r="32" spans="1:8" ht="16.5" thickBot="1" x14ac:dyDescent="0.3">
      <c r="A32" s="61">
        <v>17</v>
      </c>
      <c r="B32" s="62" t="s">
        <v>65</v>
      </c>
      <c r="C32" s="63"/>
      <c r="D32" s="64"/>
      <c r="E32" s="61" t="s">
        <v>36</v>
      </c>
      <c r="F32" s="65">
        <v>36000</v>
      </c>
      <c r="G32" s="61">
        <v>12</v>
      </c>
      <c r="H32" s="38">
        <f t="shared" si="1"/>
        <v>432000</v>
      </c>
    </row>
    <row r="33" spans="1:8" ht="16.5" thickBot="1" x14ac:dyDescent="0.3">
      <c r="A33" s="61">
        <v>18</v>
      </c>
      <c r="B33" s="62" t="s">
        <v>66</v>
      </c>
      <c r="C33" s="63"/>
      <c r="D33" s="64"/>
      <c r="E33" s="61" t="s">
        <v>36</v>
      </c>
      <c r="F33" s="65">
        <v>49000</v>
      </c>
      <c r="G33" s="61">
        <v>12</v>
      </c>
      <c r="H33" s="38">
        <f t="shared" si="1"/>
        <v>588000</v>
      </c>
    </row>
    <row r="34" spans="1:8" ht="15.75" x14ac:dyDescent="0.25">
      <c r="A34" s="71"/>
      <c r="B34" s="72" t="s">
        <v>67</v>
      </c>
      <c r="C34" s="73"/>
      <c r="D34" s="74"/>
      <c r="E34" s="71"/>
      <c r="F34" s="75"/>
      <c r="G34" s="71"/>
      <c r="H34" s="76"/>
    </row>
    <row r="35" spans="1:8" ht="19.5" customHeight="1" thickBot="1" x14ac:dyDescent="0.3">
      <c r="A35" s="48"/>
      <c r="B35" s="67"/>
      <c r="D35" s="68"/>
      <c r="E35" s="48"/>
      <c r="F35" s="48"/>
      <c r="G35" s="48"/>
    </row>
    <row r="36" spans="1:8" ht="19.5" customHeight="1" thickBot="1" x14ac:dyDescent="0.35">
      <c r="A36" s="66" t="s">
        <v>22</v>
      </c>
      <c r="B36" s="69" t="s">
        <v>68</v>
      </c>
      <c r="C36" s="12"/>
      <c r="D36" s="13"/>
      <c r="E36" s="49"/>
      <c r="F36" s="37" t="s">
        <v>37</v>
      </c>
      <c r="G36" s="6"/>
      <c r="H36" s="7"/>
    </row>
    <row r="37" spans="1:8" ht="19.5" customHeight="1" thickBot="1" x14ac:dyDescent="0.3">
      <c r="A37" s="39"/>
      <c r="B37" s="16" t="s">
        <v>69</v>
      </c>
      <c r="C37" s="4"/>
      <c r="D37" s="17"/>
      <c r="E37" s="52" t="s">
        <v>23</v>
      </c>
      <c r="F37" s="53"/>
      <c r="G37" s="44"/>
      <c r="H37" s="50">
        <f>SUM(H16:H33)</f>
        <v>33006400</v>
      </c>
    </row>
    <row r="38" spans="1:8" ht="19.5" customHeight="1" x14ac:dyDescent="0.25">
      <c r="A38" s="24" t="s">
        <v>24</v>
      </c>
      <c r="B38" s="12"/>
      <c r="C38" s="12"/>
      <c r="D38" s="12"/>
      <c r="E38" s="54" t="s">
        <v>28</v>
      </c>
      <c r="F38" s="23"/>
      <c r="G38" s="55">
        <v>0.19</v>
      </c>
      <c r="H38" s="40">
        <f>H37*G38</f>
        <v>6271216</v>
      </c>
    </row>
    <row r="39" spans="1:8" ht="19.5" customHeight="1" x14ac:dyDescent="0.25">
      <c r="A39" s="14" t="s">
        <v>29</v>
      </c>
      <c r="E39" s="56" t="s">
        <v>25</v>
      </c>
      <c r="G39" s="59">
        <v>2.5000000000000001E-2</v>
      </c>
      <c r="H39" s="51">
        <f>H37*G39</f>
        <v>825160</v>
      </c>
    </row>
    <row r="40" spans="1:8" ht="15.75" x14ac:dyDescent="0.25">
      <c r="A40" s="14" t="s">
        <v>70</v>
      </c>
      <c r="E40" s="14"/>
      <c r="F40" s="33"/>
      <c r="G40" s="45"/>
      <c r="H40" s="15"/>
    </row>
    <row r="41" spans="1:8" ht="16.5" thickBot="1" x14ac:dyDescent="0.3">
      <c r="A41" s="14" t="s">
        <v>31</v>
      </c>
      <c r="E41" s="57" t="s">
        <v>26</v>
      </c>
      <c r="F41" s="58"/>
      <c r="G41" s="46"/>
      <c r="H41" s="17"/>
    </row>
    <row r="42" spans="1:8" ht="19.5" thickBot="1" x14ac:dyDescent="0.35">
      <c r="A42" s="16"/>
      <c r="B42" s="4"/>
      <c r="C42" s="4"/>
      <c r="D42" s="17"/>
      <c r="F42" s="3"/>
      <c r="G42" s="34" t="s">
        <v>27</v>
      </c>
      <c r="H42" s="36">
        <f>H37+H38-H39</f>
        <v>38452456</v>
      </c>
    </row>
    <row r="43" spans="1:8" ht="16.5" customHeight="1" x14ac:dyDescent="0.25"/>
    <row r="48" spans="1:8" ht="15.75" thickBot="1" x14ac:dyDescent="0.3"/>
    <row r="49" spans="1:8" ht="19.5" thickBot="1" x14ac:dyDescent="0.35">
      <c r="A49" s="25" t="s">
        <v>38</v>
      </c>
      <c r="B49" s="6"/>
      <c r="C49" s="6"/>
      <c r="D49" s="6"/>
      <c r="E49" s="6"/>
      <c r="F49" s="6"/>
      <c r="G49" s="6"/>
      <c r="H49" s="7"/>
    </row>
    <row r="57" spans="1:8" ht="18.75" x14ac:dyDescent="0.3">
      <c r="A57" s="5"/>
    </row>
  </sheetData>
  <hyperlinks>
    <hyperlink ref="C10" r:id="rId1" xr:uid="{074B1966-6183-43B2-A87A-34581517F767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AHAIRE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2025-03-22T16:14:13Z</cp:lastPrinted>
  <dcterms:created xsi:type="dcterms:W3CDTF">2018-11-15T17:29:02Z</dcterms:created>
  <dcterms:modified xsi:type="dcterms:W3CDTF">2025-04-15T16:13:19Z</dcterms:modified>
</cp:coreProperties>
</file>