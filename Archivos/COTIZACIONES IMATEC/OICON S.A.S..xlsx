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26D791A-343B-4946-8900-5489D0F6AB2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ICON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5" i="1"/>
  <c r="H16" i="1"/>
  <c r="H23" i="1" s="1"/>
  <c r="H24" i="1" l="1"/>
</calcChain>
</file>

<file path=xl/sharedStrings.xml><?xml version="1.0" encoding="utf-8"?>
<sst xmlns="http://schemas.openxmlformats.org/spreadsheetml/2006/main" count="53" uniqueCount="53">
  <si>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</si>
  <si>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</si>
  <si>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</si>
  <si>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</si>
  <si>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</si>
  <si>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</si>
  <si>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</si>
  <si>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</si>
  <si>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</si>
  <si>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</si>
  <si>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</si>
  <si>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</si>
  <si>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</si>
  <si>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</si>
  <si>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</si>
  <si>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</si>
  <si>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</si>
  <si>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</si>
  <si>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</si>
  <si>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</si>
  <si>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</si>
  <si>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</si>
  <si>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</si>
  <si>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</si>
  <si>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</si>
  <si>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</si>
  <si>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</si>
  <si>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</si>
  <si>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</si>
  <si>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</si>
  <si>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</si>
  <si>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</si>
  <si>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</si>
  <si>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</si>
  <si>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8 DIAS</t>
  </si>
  <si>
    <t>FORMA DE PAGO : CONTADO</t>
  </si>
  <si>
    <t>ENTREGA INMEDIATA</t>
  </si>
  <si>
    <t>ENTREGA EN CALI</t>
  </si>
  <si>
    <t>METRO LINEAL</t>
  </si>
  <si>
    <t xml:space="preserve">  CALLE  33B  No. 17C - 70     2º PISO            B/  LA FLORESTA             -   CALI    -                               CEL.     321 7834969</t>
  </si>
  <si>
    <t>CALI</t>
  </si>
  <si>
    <t>ITEM</t>
  </si>
  <si>
    <t>900 349277</t>
  </si>
  <si>
    <t>CALLE 47  No. 84A-20</t>
  </si>
  <si>
    <t>facturacion@oiconingenieria.com</t>
  </si>
  <si>
    <t xml:space="preserve">           C O T I Z A C I O N</t>
  </si>
  <si>
    <t>602 3872523</t>
  </si>
  <si>
    <t>LUIS BENAVIDES</t>
  </si>
  <si>
    <t>TUBERIA A / C SCH 40  S/C  6 "</t>
  </si>
  <si>
    <t xml:space="preserve">                          JAVIER LOZANO TAMAYO C.C. 16´654.252</t>
  </si>
  <si>
    <t>CINCO MILLONES CIENTO SETENTA Y DOS MIL SEISCIEN</t>
  </si>
  <si>
    <t>TOS PESOS MDA / CTE</t>
  </si>
  <si>
    <t>OICON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</si>
</sst>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42" fontId="1" fillId="0" borderId="1" xfId="0" applyNumberFormat="1" applyFont="1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3" fillId="0" borderId="0" xfId="0" applyFont="1" applyAlignment="1">
      <alignment horizontal="center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42" fontId="1" fillId="0" borderId="19" xfId="0" applyNumberFormat="1" applyFont="1" applyBorder="1"/>
    <xf numFmtId="0" fontId="4" fillId="0" borderId="24" xfId="0" applyFont="1" applyBorder="1"/>
    <xf numFmtId="0" fontId="1" fillId="0" borderId="2" xfId="0" applyFont="1" applyBorder="1" applyAlignment="1">
      <alignment horizontal="center"/>
    </xf>
    <xf numFmtId="0" fontId="8" fillId="0" borderId="27" xfId="0" applyFont="1" applyBorder="1"/>
    <xf numFmtId="0" fontId="8" fillId="0" borderId="2" xfId="0" applyFont="1" applyBorder="1"/>
    <xf numFmtId="0" fontId="8" fillId="0" borderId="25" xfId="0" applyFont="1" applyBorder="1"/>
    <xf numFmtId="0" fontId="1" fillId="0" borderId="28" xfId="0" applyFont="1" applyBorder="1" applyAlignment="1">
      <alignment horizontal="center"/>
    </xf>
    <xf numFmtId="42" fontId="12" fillId="0" borderId="22" xfId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2" fontId="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5" xfId="0" applyFont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4" fillId="0" borderId="30" xfId="2" applyBorder="1"/>
    <xf numFmtId="0" fontId="0" fillId="0" borderId="34" xfId="0" applyBorder="1"/>
    <xf numFmtId="0" fontId="0" fillId="0" borderId="26" xfId="0" applyBorder="1"/>
    <xf numFmtId="0" fontId="0" fillId="0" borderId="35" xfId="0" applyBorder="1"/>
    <xf numFmtId="10" fontId="1" fillId="0" borderId="0" xfId="0" applyNumberFormat="1" applyFont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oicon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zoomScaleNormal="100" workbookViewId="0">
      <selection activeCell="G18" sqref="G18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7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49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45</v>
      </c>
      <c r="G6" s="19"/>
      <c r="H6" s="20"/>
    </row>
    <row r="7" spans="1:8" ht="19.5" thickBot="1" x14ac:dyDescent="0.35">
      <c r="A7" s="21" t="s">
        <v>15</v>
      </c>
      <c r="B7" s="13"/>
      <c r="C7" s="31" t="s">
        <v>52</v>
      </c>
      <c r="D7" s="13"/>
      <c r="E7" s="14"/>
      <c r="F7" s="28"/>
      <c r="G7" s="19"/>
      <c r="H7" s="20"/>
    </row>
    <row r="8" spans="1:8" ht="18.75" x14ac:dyDescent="0.3">
      <c r="A8" s="22" t="s">
        <v>9</v>
      </c>
      <c r="C8" s="73" t="s">
        <v>42</v>
      </c>
      <c r="D8" s="26"/>
      <c r="E8" s="74"/>
      <c r="F8" s="12"/>
      <c r="G8" s="13"/>
      <c r="H8" s="14"/>
    </row>
    <row r="9" spans="1:8" ht="18.75" customHeight="1" x14ac:dyDescent="0.3">
      <c r="A9" s="22" t="s">
        <v>10</v>
      </c>
      <c r="C9" s="75" t="s">
        <v>43</v>
      </c>
      <c r="D9" s="25"/>
      <c r="E9" s="76" t="s">
        <v>40</v>
      </c>
      <c r="F9" s="32" t="s">
        <v>0</v>
      </c>
      <c r="H9" s="33">
        <v>45537</v>
      </c>
    </row>
    <row r="10" spans="1:8" ht="18.75" x14ac:dyDescent="0.3">
      <c r="A10" s="22" t="s">
        <v>14</v>
      </c>
      <c r="C10" s="77" t="s">
        <v>44</v>
      </c>
      <c r="D10" s="26"/>
      <c r="E10" s="74"/>
      <c r="F10" s="32" t="s">
        <v>16</v>
      </c>
      <c r="H10" s="34" t="s">
        <v>34</v>
      </c>
    </row>
    <row r="11" spans="1:8" ht="18.75" x14ac:dyDescent="0.3">
      <c r="A11" s="22" t="s">
        <v>11</v>
      </c>
      <c r="C11" s="77"/>
      <c r="D11" s="26"/>
      <c r="E11" s="74"/>
      <c r="F11" s="32" t="s">
        <v>17</v>
      </c>
      <c r="G11" s="35"/>
      <c r="H11" s="33">
        <v>45545</v>
      </c>
    </row>
    <row r="12" spans="1:8" ht="18.75" x14ac:dyDescent="0.3">
      <c r="A12" s="22" t="s">
        <v>12</v>
      </c>
      <c r="C12" s="73" t="s">
        <v>46</v>
      </c>
      <c r="D12" s="26"/>
      <c r="E12" s="74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78" t="s">
        <v>47</v>
      </c>
      <c r="D13" s="79"/>
      <c r="E13" s="80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41</v>
      </c>
      <c r="B15" s="71" t="s">
        <v>24</v>
      </c>
      <c r="C15" s="19"/>
      <c r="D15" s="7"/>
      <c r="E15" s="72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63">
        <v>1</v>
      </c>
      <c r="B16" s="64" t="s">
        <v>48</v>
      </c>
      <c r="C16" s="65"/>
      <c r="D16" s="66"/>
      <c r="E16" s="67" t="s">
        <v>38</v>
      </c>
      <c r="F16" s="68">
        <v>185000</v>
      </c>
      <c r="G16" s="69">
        <v>24</v>
      </c>
      <c r="H16" s="70">
        <f>G16*F16</f>
        <v>4440000</v>
      </c>
    </row>
    <row r="17" spans="1:8" ht="15.75" x14ac:dyDescent="0.25">
      <c r="A17" s="60"/>
      <c r="B17" s="40"/>
      <c r="C17" s="41"/>
      <c r="D17" s="41"/>
      <c r="E17" s="45"/>
      <c r="F17" s="38"/>
      <c r="H17" s="56"/>
    </row>
    <row r="18" spans="1:8" ht="19.5" customHeight="1" x14ac:dyDescent="0.25">
      <c r="B18" s="40"/>
      <c r="E18" s="45"/>
      <c r="H18" s="39"/>
    </row>
    <row r="19" spans="1:8" ht="19.5" customHeight="1" x14ac:dyDescent="0.25">
      <c r="B19" s="40"/>
      <c r="E19" s="45"/>
      <c r="H19" s="39"/>
    </row>
    <row r="20" spans="1:8" ht="19.5" customHeight="1" x14ac:dyDescent="0.25">
      <c r="B20" s="42"/>
      <c r="C20" s="43"/>
      <c r="D20" s="43"/>
      <c r="E20" s="24"/>
      <c r="F20" s="43"/>
      <c r="G20" s="43"/>
      <c r="H20" s="44"/>
    </row>
    <row r="21" spans="1:8" ht="19.5" customHeight="1" thickBot="1" x14ac:dyDescent="0.3"/>
    <row r="22" spans="1:8" ht="19.5" customHeight="1" x14ac:dyDescent="0.3">
      <c r="A22" s="58" t="s">
        <v>25</v>
      </c>
      <c r="B22" s="12" t="s">
        <v>50</v>
      </c>
      <c r="C22" s="13"/>
      <c r="D22" s="14"/>
      <c r="E22" s="13"/>
      <c r="F22" s="47" t="s">
        <v>31</v>
      </c>
      <c r="G22" s="13"/>
      <c r="H22" s="14"/>
    </row>
    <row r="23" spans="1:8" ht="19.5" customHeight="1" thickBot="1" x14ac:dyDescent="0.3">
      <c r="A23" s="59"/>
      <c r="B23" s="17" t="s">
        <v>51</v>
      </c>
      <c r="C23" s="4"/>
      <c r="D23" s="4"/>
      <c r="E23" s="48" t="s">
        <v>26</v>
      </c>
      <c r="F23" s="49"/>
      <c r="G23" s="26"/>
      <c r="H23" s="61">
        <f>SUM(H16:H17)</f>
        <v>4440000</v>
      </c>
    </row>
    <row r="24" spans="1:8" ht="19.5" customHeight="1" x14ac:dyDescent="0.25">
      <c r="A24" s="27" t="s">
        <v>27</v>
      </c>
      <c r="B24" s="13"/>
      <c r="C24" s="13"/>
      <c r="D24" s="14"/>
      <c r="E24" s="3" t="s">
        <v>33</v>
      </c>
      <c r="F24" s="62"/>
      <c r="G24" s="51">
        <v>0.19</v>
      </c>
      <c r="H24" s="52">
        <f>H23*G24</f>
        <v>843600</v>
      </c>
    </row>
    <row r="25" spans="1:8" ht="19.5" customHeight="1" x14ac:dyDescent="0.25">
      <c r="A25" s="15" t="s">
        <v>35</v>
      </c>
      <c r="D25" s="16"/>
      <c r="E25" s="49" t="s">
        <v>28</v>
      </c>
      <c r="G25" s="81">
        <v>2.5000000000000001E-2</v>
      </c>
      <c r="H25" s="53">
        <f>H23*G25</f>
        <v>111000</v>
      </c>
    </row>
    <row r="26" spans="1:8" ht="19.5" customHeight="1" x14ac:dyDescent="0.25">
      <c r="A26" s="15" t="s">
        <v>36</v>
      </c>
      <c r="D26" s="16"/>
      <c r="F26" s="49"/>
      <c r="G26" s="26"/>
      <c r="H26" s="54"/>
    </row>
    <row r="27" spans="1:8" ht="19.5" customHeight="1" thickBot="1" x14ac:dyDescent="0.3">
      <c r="A27" s="15" t="s">
        <v>37</v>
      </c>
      <c r="D27" s="16"/>
      <c r="E27" s="49" t="s">
        <v>29</v>
      </c>
      <c r="F27" s="49"/>
      <c r="G27" s="26"/>
      <c r="H27" s="55"/>
    </row>
    <row r="28" spans="1:8" ht="19.5" thickBot="1" x14ac:dyDescent="0.35">
      <c r="A28" s="17"/>
      <c r="B28" s="4"/>
      <c r="C28" s="4"/>
      <c r="D28" s="18"/>
      <c r="F28" s="3"/>
      <c r="G28" s="50" t="s">
        <v>30</v>
      </c>
      <c r="H28" s="46">
        <f>H23+H24-H25</f>
        <v>5172600</v>
      </c>
    </row>
    <row r="30" spans="1:8" x14ac:dyDescent="0.25">
      <c r="A30" t="s">
        <v>1</v>
      </c>
    </row>
    <row r="31" spans="1:8" ht="16.5" customHeight="1" x14ac:dyDescent="0.25"/>
    <row r="32" spans="1:8" ht="15.75" thickBot="1" x14ac:dyDescent="0.3"/>
    <row r="33" spans="1:8" ht="19.5" thickBot="1" x14ac:dyDescent="0.35">
      <c r="A33" s="28" t="s">
        <v>39</v>
      </c>
      <c r="B33" s="6"/>
      <c r="C33" s="6"/>
      <c r="D33" s="6"/>
      <c r="E33" s="6"/>
      <c r="F33" s="6"/>
      <c r="G33" s="6"/>
      <c r="H33" s="7"/>
    </row>
    <row r="45" spans="1:8" ht="18.75" x14ac:dyDescent="0.3">
      <c r="A45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OICON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2024-09-02T21:53:50Z</dcterms:modified>
</cp:coreProperties>
</file>