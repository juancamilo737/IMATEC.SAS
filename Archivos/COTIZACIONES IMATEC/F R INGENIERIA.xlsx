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144C161-FE37-4641-8C2D-15CD86F25AD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.R. INGENIERI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6" i="1"/>
  <c r="H35" i="1"/>
  <c r="H33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34" i="1" l="1"/>
</calcChain>
</file>

<file path=xl/sharedStrings.xml><?xml version="1.0" encoding="utf-8"?>
<sst xmlns="http://schemas.openxmlformats.org/spreadsheetml/2006/main" count="82" uniqueCount="74">
  <si>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</si>
  <si>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</si>
  <si>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</si>
  <si>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</si>
  <si>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</si>
  <si>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</si>
  <si>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</si>
  <si>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</si>
  <si>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</si>
  <si>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</si>
  <si>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</si>
  <si>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</si>
  <si>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</si>
  <si>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</si>
  <si>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</si>
  <si>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</si>
  <si>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</si>
  <si>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</si>
  <si>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</si>
  <si>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</si>
  <si>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</si>
  <si>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</si>
  <si>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</si>
  <si>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</si>
  <si>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</si>
  <si>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</si>
  <si>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</si>
  <si>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</si>
  <si>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</si>
  <si>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</si>
  <si>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</si>
  <si>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</si>
  <si>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</si>
  <si>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</si>
  <si>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</si>
  <si>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</si>
  <si>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</si>
  <si>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</si>
  <si>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</si>
  <si>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ACCESORIO</t>
  </si>
  <si>
    <t>L I Q U I D A C I O N</t>
  </si>
  <si>
    <t xml:space="preserve">  CALLE  33A  No.   17F - 56                           B/  LA FLORESTA             -   CALI    -                                       CEL.     321 7834969</t>
  </si>
  <si>
    <t>F. R. INGENIERIA EN PROTECCION CONTRA INCENDIOS S.A.S.</t>
  </si>
  <si>
    <t>901 765696</t>
  </si>
  <si>
    <t>CALLE 83  No. 28A - 33</t>
  </si>
  <si>
    <t>CALI</t>
  </si>
  <si>
    <t>frproyectosyseguridad@hotmail.com</t>
  </si>
  <si>
    <t>317 5534241</t>
  </si>
  <si>
    <t>EDINSON CABEZAS</t>
  </si>
  <si>
    <t>ROCIADOR MONTANTE 1/2 "</t>
  </si>
  <si>
    <t>UNION RANURADA RIGIDA 2 "</t>
  </si>
  <si>
    <t>REDUCCION BUSHING HO  1 "  X  1/2 "  X  150 LBS</t>
  </si>
  <si>
    <t>STRAP 2 "  X  1 "  ROSCADO</t>
  </si>
  <si>
    <t xml:space="preserve">TUBERIA  A / C SCH 40   1 " </t>
  </si>
  <si>
    <t>METRO LINEAL</t>
  </si>
  <si>
    <t>TUBERIA  A / C SCH 10   2 " ROJA</t>
  </si>
  <si>
    <t>SOPORTE PERA  1 "</t>
  </si>
  <si>
    <t>SOPORTE ANTI SISMICO TRANSVERSAL 2 "</t>
  </si>
  <si>
    <t>SOPORTE  ANTI SISMICO LONGITUDINAL 2 "</t>
  </si>
  <si>
    <t xml:space="preserve">  3  MTS</t>
  </si>
  <si>
    <t xml:space="preserve">VARILLA GALVANIZADA ROSCADA 3/8 "  </t>
  </si>
  <si>
    <t>CHAZO MULTIUSO 3/8  X  50 UNDS</t>
  </si>
  <si>
    <t>CAJA</t>
  </si>
  <si>
    <t>RED CHANNEL  4 "  X  4 "· PERFORADO</t>
  </si>
  <si>
    <t>TEFLON INDUSTRIAL 3/4 " X  50  MTS</t>
  </si>
  <si>
    <t>ROLLO</t>
  </si>
  <si>
    <t>SELLANTE SHELLAC 2 OZ</t>
  </si>
  <si>
    <t>FRASCO</t>
  </si>
  <si>
    <t>BROCA HSS 3/8 "</t>
  </si>
  <si>
    <t>INSUMO</t>
  </si>
  <si>
    <t xml:space="preserve">   RETEICA</t>
  </si>
  <si>
    <t>DOS MILLONES NOVENTA Y CINCO MIL SETECIENTOS</t>
  </si>
  <si>
    <t>CINCUENTA Y UN PESOS MDA / CTE</t>
  </si>
  <si>
    <t>ENTREGA EN UN DIA A PARTIR DE ORDEN DE COMPRA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</si>
</sst>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4" xfId="0" applyFont="1" applyBorder="1" applyAlignment="1">
      <alignment horizontal="center"/>
    </xf>
    <xf numFmtId="0" fontId="8" fillId="0" borderId="28" xfId="0" applyFont="1" applyBorder="1"/>
    <xf numFmtId="0" fontId="8" fillId="0" borderId="13" xfId="0" applyFont="1" applyBorder="1"/>
    <xf numFmtId="0" fontId="8" fillId="0" borderId="29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0" xfId="0" applyBorder="1"/>
    <xf numFmtId="0" fontId="0" fillId="0" borderId="31" xfId="0" applyBorder="1"/>
    <xf numFmtId="0" fontId="0" fillId="0" borderId="6" xfId="0" applyBorder="1"/>
    <xf numFmtId="0" fontId="13" fillId="0" borderId="9" xfId="2" applyBorder="1"/>
    <xf numFmtId="0" fontId="1" fillId="0" borderId="2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rproyectosyseguridad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3"/>
  <sheetViews>
    <sheetView tabSelected="1" topLeftCell="A10" zoomScaleNormal="100" workbookViewId="0">
      <selection activeCell="J36" sqref="J3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59" t="s">
        <v>42</v>
      </c>
      <c r="D7" s="12"/>
      <c r="E7" s="13"/>
      <c r="F7" s="37"/>
      <c r="G7" s="18"/>
      <c r="H7" s="19"/>
    </row>
    <row r="8" spans="1:8" ht="18.75" x14ac:dyDescent="0.3">
      <c r="A8" s="21" t="s">
        <v>8</v>
      </c>
      <c r="C8" s="68" t="s">
        <v>43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44</v>
      </c>
      <c r="E9" s="15" t="s">
        <v>45</v>
      </c>
      <c r="F9" s="30" t="s">
        <v>0</v>
      </c>
      <c r="H9" s="28">
        <v>45860</v>
      </c>
    </row>
    <row r="10" spans="1:8" ht="18.75" x14ac:dyDescent="0.3">
      <c r="A10" s="21" t="s">
        <v>13</v>
      </c>
      <c r="C10" s="69" t="s">
        <v>46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45869</v>
      </c>
    </row>
    <row r="12" spans="1:8" ht="18.75" x14ac:dyDescent="0.3">
      <c r="A12" s="21" t="s">
        <v>11</v>
      </c>
      <c r="C12" s="14" t="s">
        <v>47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48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6" t="s">
        <v>35</v>
      </c>
      <c r="B15" s="24" t="s">
        <v>22</v>
      </c>
      <c r="C15" s="42"/>
      <c r="D15" s="13"/>
      <c r="E15" s="46" t="s">
        <v>18</v>
      </c>
      <c r="F15" s="46" t="s">
        <v>20</v>
      </c>
      <c r="G15" s="46" t="s">
        <v>19</v>
      </c>
      <c r="H15" s="32" t="s">
        <v>21</v>
      </c>
    </row>
    <row r="16" spans="1:8" ht="16.5" thickBot="1" x14ac:dyDescent="0.3">
      <c r="A16" s="60">
        <v>1</v>
      </c>
      <c r="B16" s="61" t="s">
        <v>49</v>
      </c>
      <c r="C16" s="62"/>
      <c r="D16" s="63"/>
      <c r="E16" s="60" t="s">
        <v>39</v>
      </c>
      <c r="F16" s="64">
        <v>18300</v>
      </c>
      <c r="G16" s="60">
        <v>11</v>
      </c>
      <c r="H16" s="38">
        <f t="shared" ref="H16" si="0">G16*F16</f>
        <v>201300</v>
      </c>
    </row>
    <row r="17" spans="1:8" ht="16.5" thickBot="1" x14ac:dyDescent="0.3">
      <c r="A17" s="60">
        <v>2</v>
      </c>
      <c r="B17" s="61" t="s">
        <v>50</v>
      </c>
      <c r="C17" s="62"/>
      <c r="D17" s="63"/>
      <c r="E17" s="60" t="s">
        <v>39</v>
      </c>
      <c r="F17" s="64">
        <v>11705</v>
      </c>
      <c r="G17" s="60">
        <v>5</v>
      </c>
      <c r="H17" s="38">
        <f t="shared" ref="H17:H30" si="1">G17*F17</f>
        <v>58525</v>
      </c>
    </row>
    <row r="18" spans="1:8" ht="16.5" thickBot="1" x14ac:dyDescent="0.3">
      <c r="A18" s="60">
        <v>3</v>
      </c>
      <c r="B18" s="61" t="s">
        <v>51</v>
      </c>
      <c r="C18" s="62"/>
      <c r="D18" s="63"/>
      <c r="E18" s="60" t="s">
        <v>39</v>
      </c>
      <c r="F18" s="64">
        <v>2350</v>
      </c>
      <c r="G18" s="60">
        <v>11</v>
      </c>
      <c r="H18" s="38">
        <f t="shared" si="1"/>
        <v>25850</v>
      </c>
    </row>
    <row r="19" spans="1:8" ht="16.5" thickBot="1" x14ac:dyDescent="0.3">
      <c r="A19" s="60">
        <v>4</v>
      </c>
      <c r="B19" s="61" t="s">
        <v>52</v>
      </c>
      <c r="C19" s="62"/>
      <c r="D19" s="63"/>
      <c r="E19" s="60" t="s">
        <v>39</v>
      </c>
      <c r="F19" s="64">
        <v>10360</v>
      </c>
      <c r="G19" s="60">
        <v>11</v>
      </c>
      <c r="H19" s="38">
        <f t="shared" si="1"/>
        <v>113960</v>
      </c>
    </row>
    <row r="20" spans="1:8" ht="16.5" thickBot="1" x14ac:dyDescent="0.3">
      <c r="A20" s="60">
        <v>5</v>
      </c>
      <c r="B20" s="61" t="s">
        <v>53</v>
      </c>
      <c r="C20" s="62"/>
      <c r="D20" s="63"/>
      <c r="E20" s="60" t="s">
        <v>54</v>
      </c>
      <c r="F20" s="64">
        <v>16824</v>
      </c>
      <c r="G20" s="60">
        <v>18</v>
      </c>
      <c r="H20" s="38">
        <f t="shared" si="1"/>
        <v>302832</v>
      </c>
    </row>
    <row r="21" spans="1:8" ht="16.5" thickBot="1" x14ac:dyDescent="0.3">
      <c r="A21" s="60">
        <v>6</v>
      </c>
      <c r="B21" s="61" t="s">
        <v>55</v>
      </c>
      <c r="C21" s="62"/>
      <c r="D21" s="63"/>
      <c r="E21" s="60" t="s">
        <v>54</v>
      </c>
      <c r="F21" s="64">
        <v>29000</v>
      </c>
      <c r="G21" s="60">
        <v>18</v>
      </c>
      <c r="H21" s="38">
        <f t="shared" si="1"/>
        <v>522000</v>
      </c>
    </row>
    <row r="22" spans="1:8" ht="16.5" thickBot="1" x14ac:dyDescent="0.3">
      <c r="A22" s="60">
        <v>7</v>
      </c>
      <c r="B22" s="61" t="s">
        <v>56</v>
      </c>
      <c r="C22" s="62"/>
      <c r="D22" s="63"/>
      <c r="E22" s="60" t="s">
        <v>39</v>
      </c>
      <c r="F22" s="64">
        <v>1450</v>
      </c>
      <c r="G22" s="60">
        <v>11</v>
      </c>
      <c r="H22" s="38">
        <f t="shared" si="1"/>
        <v>15950</v>
      </c>
    </row>
    <row r="23" spans="1:8" ht="16.5" thickBot="1" x14ac:dyDescent="0.3">
      <c r="A23" s="60">
        <v>8</v>
      </c>
      <c r="B23" s="61" t="s">
        <v>57</v>
      </c>
      <c r="C23" s="62"/>
      <c r="D23" s="63"/>
      <c r="E23" s="60" t="s">
        <v>39</v>
      </c>
      <c r="F23" s="64">
        <v>54600</v>
      </c>
      <c r="G23" s="60">
        <v>2</v>
      </c>
      <c r="H23" s="38">
        <f t="shared" si="1"/>
        <v>109200</v>
      </c>
    </row>
    <row r="24" spans="1:8" ht="16.5" thickBot="1" x14ac:dyDescent="0.3">
      <c r="A24" s="60">
        <v>9</v>
      </c>
      <c r="B24" s="61" t="s">
        <v>58</v>
      </c>
      <c r="C24" s="62"/>
      <c r="D24" s="63"/>
      <c r="E24" s="60" t="s">
        <v>39</v>
      </c>
      <c r="F24" s="64">
        <v>70500</v>
      </c>
      <c r="G24" s="60">
        <v>2</v>
      </c>
      <c r="H24" s="38">
        <f t="shared" si="1"/>
        <v>141000</v>
      </c>
    </row>
    <row r="25" spans="1:8" ht="16.5" thickBot="1" x14ac:dyDescent="0.3">
      <c r="A25" s="60">
        <v>10</v>
      </c>
      <c r="B25" s="61" t="s">
        <v>60</v>
      </c>
      <c r="C25" s="62"/>
      <c r="D25" s="63"/>
      <c r="E25" s="60" t="s">
        <v>59</v>
      </c>
      <c r="F25" s="64">
        <v>8560</v>
      </c>
      <c r="G25" s="60">
        <v>3</v>
      </c>
      <c r="H25" s="38">
        <f t="shared" si="1"/>
        <v>25680</v>
      </c>
    </row>
    <row r="26" spans="1:8" ht="16.5" thickBot="1" x14ac:dyDescent="0.3">
      <c r="A26" s="60">
        <v>11</v>
      </c>
      <c r="B26" s="61" t="s">
        <v>61</v>
      </c>
      <c r="C26" s="62"/>
      <c r="D26" s="63"/>
      <c r="E26" s="60" t="s">
        <v>62</v>
      </c>
      <c r="F26" s="64">
        <v>15050</v>
      </c>
      <c r="G26" s="60">
        <v>1</v>
      </c>
      <c r="H26" s="38">
        <f t="shared" si="1"/>
        <v>15050</v>
      </c>
    </row>
    <row r="27" spans="1:8" ht="16.5" thickBot="1" x14ac:dyDescent="0.3">
      <c r="A27" s="60">
        <v>12</v>
      </c>
      <c r="B27" s="61" t="s">
        <v>63</v>
      </c>
      <c r="C27" s="62"/>
      <c r="D27" s="63"/>
      <c r="E27" s="60" t="s">
        <v>39</v>
      </c>
      <c r="F27" s="64">
        <v>32900</v>
      </c>
      <c r="G27" s="60">
        <v>4</v>
      </c>
      <c r="H27" s="38">
        <f t="shared" si="1"/>
        <v>131600</v>
      </c>
    </row>
    <row r="28" spans="1:8" ht="16.5" thickBot="1" x14ac:dyDescent="0.3">
      <c r="A28" s="60">
        <v>13</v>
      </c>
      <c r="B28" s="61" t="s">
        <v>64</v>
      </c>
      <c r="C28" s="62"/>
      <c r="D28" s="63"/>
      <c r="E28" s="60" t="s">
        <v>65</v>
      </c>
      <c r="F28" s="64">
        <v>7900</v>
      </c>
      <c r="G28" s="60">
        <v>10</v>
      </c>
      <c r="H28" s="38">
        <f t="shared" si="1"/>
        <v>79000</v>
      </c>
    </row>
    <row r="29" spans="1:8" ht="16.5" thickBot="1" x14ac:dyDescent="0.3">
      <c r="A29" s="60">
        <v>14</v>
      </c>
      <c r="B29" s="61" t="s">
        <v>66</v>
      </c>
      <c r="C29" s="62"/>
      <c r="D29" s="63"/>
      <c r="E29" s="60" t="s">
        <v>67</v>
      </c>
      <c r="F29" s="64">
        <v>17500</v>
      </c>
      <c r="G29" s="60">
        <v>1</v>
      </c>
      <c r="H29" s="38">
        <f t="shared" si="1"/>
        <v>17500</v>
      </c>
    </row>
    <row r="30" spans="1:8" ht="16.5" thickBot="1" x14ac:dyDescent="0.3">
      <c r="A30" s="60">
        <v>15</v>
      </c>
      <c r="B30" s="61" t="s">
        <v>68</v>
      </c>
      <c r="C30" s="62"/>
      <c r="D30" s="63"/>
      <c r="E30" s="60" t="s">
        <v>69</v>
      </c>
      <c r="F30" s="64">
        <v>17150</v>
      </c>
      <c r="G30" s="60">
        <v>3</v>
      </c>
      <c r="H30" s="38">
        <f t="shared" si="1"/>
        <v>51450</v>
      </c>
    </row>
    <row r="31" spans="1:8" ht="19.5" customHeight="1" thickBot="1" x14ac:dyDescent="0.3">
      <c r="A31" s="47"/>
      <c r="B31" s="66"/>
      <c r="D31" s="67"/>
      <c r="E31" s="47"/>
      <c r="F31" s="47"/>
      <c r="G31" s="47"/>
    </row>
    <row r="32" spans="1:8" ht="19.5" customHeight="1" thickBot="1" x14ac:dyDescent="0.35">
      <c r="A32" s="65" t="s">
        <v>23</v>
      </c>
      <c r="B32" s="68" t="s">
        <v>71</v>
      </c>
      <c r="C32" s="12"/>
      <c r="D32" s="13"/>
      <c r="E32" s="48"/>
      <c r="F32" s="37" t="s">
        <v>40</v>
      </c>
      <c r="G32" s="6"/>
      <c r="H32" s="7"/>
    </row>
    <row r="33" spans="1:8" ht="19.5" customHeight="1" thickBot="1" x14ac:dyDescent="0.3">
      <c r="A33" s="39"/>
      <c r="B33" s="16" t="s">
        <v>72</v>
      </c>
      <c r="C33" s="4"/>
      <c r="D33" s="17"/>
      <c r="E33" s="51" t="s">
        <v>24</v>
      </c>
      <c r="F33" s="52"/>
      <c r="G33" s="44"/>
      <c r="H33" s="49">
        <f>SUM(H16:H30)</f>
        <v>1810897</v>
      </c>
    </row>
    <row r="34" spans="1:8" ht="19.5" customHeight="1" x14ac:dyDescent="0.25">
      <c r="A34" s="24" t="s">
        <v>25</v>
      </c>
      <c r="B34" s="12"/>
      <c r="C34" s="12"/>
      <c r="D34" s="12"/>
      <c r="E34" s="53" t="s">
        <v>29</v>
      </c>
      <c r="F34" s="23"/>
      <c r="G34" s="54">
        <v>0.19</v>
      </c>
      <c r="H34" s="40">
        <f>H33*G34</f>
        <v>344070.43</v>
      </c>
    </row>
    <row r="35" spans="1:8" ht="19.5" customHeight="1" x14ac:dyDescent="0.25">
      <c r="A35" s="14" t="s">
        <v>30</v>
      </c>
      <c r="E35" s="55" t="s">
        <v>26</v>
      </c>
      <c r="G35" s="58">
        <v>2.5000000000000001E-2</v>
      </c>
      <c r="H35" s="50">
        <f>H33*G35</f>
        <v>45272.425000000003</v>
      </c>
    </row>
    <row r="36" spans="1:8" ht="15.75" x14ac:dyDescent="0.25">
      <c r="A36" s="14" t="s">
        <v>73</v>
      </c>
      <c r="E36" s="53" t="s">
        <v>70</v>
      </c>
      <c r="F36" s="33"/>
      <c r="G36" s="70">
        <v>7.7000000000000002E-3</v>
      </c>
      <c r="H36" s="50">
        <f>H33*G36</f>
        <v>13943.9069</v>
      </c>
    </row>
    <row r="37" spans="1:8" ht="16.5" thickBot="1" x14ac:dyDescent="0.3">
      <c r="A37" s="14" t="s">
        <v>33</v>
      </c>
      <c r="E37" s="56" t="s">
        <v>27</v>
      </c>
      <c r="F37" s="57"/>
      <c r="G37" s="45"/>
      <c r="H37" s="17"/>
    </row>
    <row r="38" spans="1:8" ht="19.5" thickBot="1" x14ac:dyDescent="0.35">
      <c r="A38" s="16"/>
      <c r="B38" s="4"/>
      <c r="C38" s="4"/>
      <c r="D38" s="17"/>
      <c r="F38" s="3"/>
      <c r="G38" s="34" t="s">
        <v>28</v>
      </c>
      <c r="H38" s="36">
        <f>H33+H34-H35-H36</f>
        <v>2095751.0981000003</v>
      </c>
    </row>
    <row r="39" spans="1:8" ht="16.5" customHeight="1" x14ac:dyDescent="0.25"/>
    <row r="44" spans="1:8" ht="15.75" thickBot="1" x14ac:dyDescent="0.3"/>
    <row r="45" spans="1:8" ht="19.5" thickBot="1" x14ac:dyDescent="0.35">
      <c r="A45" s="25" t="s">
        <v>41</v>
      </c>
      <c r="B45" s="6"/>
      <c r="C45" s="6"/>
      <c r="D45" s="6"/>
      <c r="E45" s="6"/>
      <c r="F45" s="6"/>
      <c r="G45" s="6"/>
      <c r="H45" s="7"/>
    </row>
    <row r="53" spans="1:1" ht="18.75" x14ac:dyDescent="0.3">
      <c r="A53" s="5"/>
    </row>
  </sheetData>
  <hyperlinks>
    <hyperlink ref="C10" r:id="rId1" xr:uid="{73EFC209-41C9-4D25-B77C-F82437270519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F.R. INGENIERIA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2025-07-22T17:11:35Z</dcterms:modified>
</cp:coreProperties>
</file>