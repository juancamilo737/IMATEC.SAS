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78D146FD-B9F1-4CC1-9D7F-B12BB9130569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ON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2" i="1"/>
  <c r="H21" i="1"/>
  <c r="H19" i="1"/>
  <c r="H27" i="1" l="1"/>
  <c r="H31" i="1" s="1"/>
</calcChain>
</file>

<file path=xl/sharedStrings.xml><?xml version="1.0" encoding="utf-8"?>
<sst xmlns="http://schemas.openxmlformats.org/spreadsheetml/2006/main" count="59" uniqueCount="57">
  <si>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</si>
  <si>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</si>
  <si>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</si>
  <si>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</si>
  <si>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</si>
  <si>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</si>
  <si>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</si>
  <si>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</si>
  <si>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</si>
  <si>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</si>
  <si>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</si>
  <si>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</si>
  <si>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</si>
  <si>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</si>
  <si>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</si>
  <si>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</si>
  <si>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</si>
  <si>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</si>
  <si>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</si>
  <si>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</si>
  <si>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</si>
  <si>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</si>
  <si>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</si>
  <si>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</si>
  <si>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</si>
  <si>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</si>
  <si>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</si>
  <si>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</si>
  <si>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</si>
  <si>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</si>
  <si>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</si>
  <si>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</si>
  <si>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</si>
  <si>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</si>
  <si>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</si>
  <si>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</si>
  <si>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</si>
  <si>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</si>
  <si>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CONINGENIERIA SAS</t>
  </si>
  <si>
    <t>805 030454-9</t>
  </si>
  <si>
    <t>OFIC 702</t>
  </si>
  <si>
    <t>AVENIDA 6a.  No. 14N-31</t>
  </si>
  <si>
    <t>auxmec.coningenieria@gmail.com</t>
  </si>
  <si>
    <t>DIANA</t>
  </si>
  <si>
    <t>316 0172690</t>
  </si>
  <si>
    <t>LUIS BENAVIDEZ</t>
  </si>
  <si>
    <t>8 DIAS</t>
  </si>
  <si>
    <t>FORMA DE PAGO : CONTADO</t>
  </si>
  <si>
    <t>ENTREGAS PARCIALES EN TREINTA DIAS</t>
  </si>
  <si>
    <t>ITEM</t>
  </si>
  <si>
    <t>VALVULA MARIPOSA WAFER CUERPO HIERRO</t>
  </si>
  <si>
    <t>DISCO INOX  4 "  X  150 LB</t>
  </si>
  <si>
    <t>TEE AC/INOX 304  SCH 10  4 "</t>
  </si>
  <si>
    <t>TEE AC/INOX 304  SCH 40  4 "</t>
  </si>
  <si>
    <t>ACCESORIO</t>
  </si>
  <si>
    <t>SEISCIENTOS CUARENTA Y TRES MIL CUATROCIENTOS</t>
  </si>
  <si>
    <t>TREINTA Y TRES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</si>
</sst>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0" xfId="0" applyBorder="1"/>
    <xf numFmtId="0" fontId="0" fillId="0" borderId="19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0" fontId="8" fillId="0" borderId="17" xfId="0" applyFont="1" applyBorder="1"/>
    <xf numFmtId="0" fontId="0" fillId="0" borderId="18" xfId="0" applyBorder="1"/>
    <xf numFmtId="42" fontId="13" fillId="0" borderId="1" xfId="1" applyFont="1" applyBorder="1" applyAlignment="1">
      <alignment horizontal="center"/>
    </xf>
    <xf numFmtId="0" fontId="0" fillId="0" borderId="15" xfId="0" applyBorder="1"/>
    <xf numFmtId="0" fontId="5" fillId="0" borderId="7" xfId="0" applyFont="1" applyBorder="1"/>
    <xf numFmtId="0" fontId="4" fillId="0" borderId="19" xfId="0" applyFont="1" applyBorder="1"/>
    <xf numFmtId="0" fontId="4" fillId="0" borderId="14" xfId="0" applyFont="1" applyBorder="1"/>
    <xf numFmtId="0" fontId="5" fillId="0" borderId="23" xfId="0" applyFont="1" applyBorder="1"/>
    <xf numFmtId="9" fontId="1" fillId="0" borderId="19" xfId="0" applyNumberFormat="1" applyFont="1" applyBorder="1"/>
    <xf numFmtId="42" fontId="1" fillId="0" borderId="24" xfId="0" applyNumberFormat="1" applyFont="1" applyBorder="1"/>
    <xf numFmtId="0" fontId="0" fillId="0" borderId="24" xfId="0" applyBorder="1"/>
    <xf numFmtId="0" fontId="0" fillId="0" borderId="23" xfId="0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1" fillId="0" borderId="21" xfId="0" applyFont="1" applyBorder="1"/>
    <xf numFmtId="0" fontId="12" fillId="0" borderId="3" xfId="0" applyFont="1" applyBorder="1"/>
    <xf numFmtId="0" fontId="14" fillId="0" borderId="0" xfId="0" applyFont="1" applyAlignment="1">
      <alignment horizontal="center"/>
    </xf>
    <xf numFmtId="0" fontId="15" fillId="0" borderId="19" xfId="2" applyBorder="1"/>
    <xf numFmtId="42" fontId="1" fillId="0" borderId="29" xfId="1" applyFont="1" applyBorder="1" applyAlignment="1">
      <alignment horizontal="left"/>
    </xf>
    <xf numFmtId="42" fontId="1" fillId="0" borderId="22" xfId="0" applyNumberFormat="1" applyFont="1" applyBorder="1" applyAlignment="1">
      <alignment horizontal="left"/>
    </xf>
    <xf numFmtId="42" fontId="1" fillId="0" borderId="24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30" xfId="0" applyFont="1" applyBorder="1"/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xmec.con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5"/>
  <sheetViews>
    <sheetView tabSelected="1" topLeftCell="A17" zoomScaleNormal="100" workbookViewId="0">
      <selection activeCell="C29" sqref="C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2" t="s">
        <v>36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41</v>
      </c>
      <c r="D9" s="24"/>
      <c r="E9" s="25" t="s">
        <v>40</v>
      </c>
      <c r="F9" s="32" t="s">
        <v>0</v>
      </c>
      <c r="H9" s="33">
        <v>45509</v>
      </c>
    </row>
    <row r="10" spans="1:8" ht="18.75" x14ac:dyDescent="0.3">
      <c r="A10" s="22" t="s">
        <v>14</v>
      </c>
      <c r="C10" s="63" t="s">
        <v>42</v>
      </c>
      <c r="D10" s="26"/>
      <c r="E10" s="26"/>
      <c r="F10" s="32" t="s">
        <v>16</v>
      </c>
      <c r="H10" s="34" t="s">
        <v>46</v>
      </c>
    </row>
    <row r="11" spans="1:8" ht="18.75" x14ac:dyDescent="0.3">
      <c r="A11" s="22" t="s">
        <v>11</v>
      </c>
      <c r="C11" s="25" t="s">
        <v>43</v>
      </c>
      <c r="D11" s="26"/>
      <c r="E11" s="26"/>
      <c r="F11" s="32" t="s">
        <v>17</v>
      </c>
      <c r="G11" s="35"/>
      <c r="H11" s="33">
        <v>45517</v>
      </c>
    </row>
    <row r="12" spans="1:8" ht="18.75" x14ac:dyDescent="0.3">
      <c r="A12" s="22" t="s">
        <v>12</v>
      </c>
      <c r="C12" s="25" t="s">
        <v>44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45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61" t="s">
        <v>27</v>
      </c>
      <c r="B16" s="7"/>
    </row>
    <row r="17" spans="1:10" ht="15.75" thickBot="1" x14ac:dyDescent="0.3"/>
    <row r="18" spans="1:10" ht="15.75" thickBot="1" x14ac:dyDescent="0.3">
      <c r="A18" s="37" t="s">
        <v>49</v>
      </c>
      <c r="B18" s="27" t="s">
        <v>26</v>
      </c>
      <c r="C18" s="39"/>
      <c r="D18" s="13"/>
      <c r="E18" s="56" t="s">
        <v>22</v>
      </c>
      <c r="F18" s="57" t="s">
        <v>24</v>
      </c>
      <c r="G18" s="57" t="s">
        <v>23</v>
      </c>
      <c r="H18" s="58" t="s">
        <v>25</v>
      </c>
    </row>
    <row r="19" spans="1:10" ht="16.5" thickBot="1" x14ac:dyDescent="0.3">
      <c r="A19" s="68">
        <v>1</v>
      </c>
      <c r="B19" s="40" t="s">
        <v>50</v>
      </c>
      <c r="C19" s="41"/>
      <c r="D19" s="41"/>
      <c r="E19" s="59" t="s">
        <v>54</v>
      </c>
      <c r="F19" s="46">
        <v>214000</v>
      </c>
      <c r="G19" s="37">
        <v>1</v>
      </c>
      <c r="H19" s="64">
        <f>G19*F19</f>
        <v>214000</v>
      </c>
    </row>
    <row r="20" spans="1:10" ht="16.5" thickBot="1" x14ac:dyDescent="0.3">
      <c r="A20" s="68"/>
      <c r="B20" s="42" t="s">
        <v>51</v>
      </c>
      <c r="C20" s="43"/>
      <c r="D20" s="43"/>
      <c r="E20" s="47"/>
      <c r="F20" s="38"/>
      <c r="H20" s="60"/>
      <c r="I20" s="38"/>
      <c r="J20" s="38"/>
    </row>
    <row r="21" spans="1:10" ht="16.5" thickBot="1" x14ac:dyDescent="0.3">
      <c r="A21" s="68">
        <v>2</v>
      </c>
      <c r="B21" s="42" t="s">
        <v>52</v>
      </c>
      <c r="C21" s="43"/>
      <c r="D21" s="43"/>
      <c r="E21" s="59" t="s">
        <v>54</v>
      </c>
      <c r="F21" s="46">
        <v>132500</v>
      </c>
      <c r="G21" s="37">
        <v>1</v>
      </c>
      <c r="H21" s="64">
        <f>G21*F21</f>
        <v>132500</v>
      </c>
      <c r="I21" s="38"/>
      <c r="J21" s="38"/>
    </row>
    <row r="22" spans="1:10" ht="16.5" thickBot="1" x14ac:dyDescent="0.3">
      <c r="A22" s="68">
        <v>3</v>
      </c>
      <c r="B22" s="42" t="s">
        <v>53</v>
      </c>
      <c r="C22" s="43"/>
      <c r="D22" s="43"/>
      <c r="E22" s="59" t="s">
        <v>54</v>
      </c>
      <c r="F22" s="46">
        <v>194200</v>
      </c>
      <c r="G22" s="37">
        <v>1</v>
      </c>
      <c r="H22" s="64">
        <f>G22*F22</f>
        <v>194200</v>
      </c>
      <c r="I22" s="38"/>
      <c r="J22" s="38"/>
    </row>
    <row r="23" spans="1:10" ht="19.5" customHeight="1" x14ac:dyDescent="0.25">
      <c r="B23" s="44"/>
      <c r="C23" s="45"/>
      <c r="D23" s="45"/>
    </row>
    <row r="24" spans="1:10" ht="19.5" customHeight="1" thickBot="1" x14ac:dyDescent="0.3"/>
    <row r="25" spans="1:10" ht="19.5" customHeight="1" thickBot="1" x14ac:dyDescent="0.35">
      <c r="A25" s="70" t="s">
        <v>28</v>
      </c>
      <c r="B25" s="12" t="s">
        <v>55</v>
      </c>
      <c r="C25" s="13"/>
      <c r="D25" s="14"/>
      <c r="E25" s="13"/>
      <c r="F25" s="48" t="s">
        <v>34</v>
      </c>
      <c r="G25" s="13"/>
      <c r="H25" s="7"/>
    </row>
    <row r="26" spans="1:10" ht="19.5" customHeight="1" thickBot="1" x14ac:dyDescent="0.3">
      <c r="A26" s="71"/>
      <c r="B26" s="17" t="s">
        <v>56</v>
      </c>
      <c r="C26" s="4"/>
      <c r="D26" s="4"/>
      <c r="E26" s="49" t="s">
        <v>29</v>
      </c>
      <c r="F26" s="50"/>
      <c r="G26" s="26"/>
      <c r="H26" s="65">
        <f>SUM(H19:H22)</f>
        <v>540700</v>
      </c>
    </row>
    <row r="27" spans="1:10" ht="19.5" customHeight="1" x14ac:dyDescent="0.25">
      <c r="A27" s="27" t="s">
        <v>30</v>
      </c>
      <c r="B27" s="13"/>
      <c r="C27" s="13"/>
      <c r="D27" s="14"/>
      <c r="E27" s="3" t="s">
        <v>37</v>
      </c>
      <c r="F27" s="69"/>
      <c r="G27" s="52">
        <v>0.19</v>
      </c>
      <c r="H27" s="66">
        <f>H26*G27</f>
        <v>102733</v>
      </c>
    </row>
    <row r="28" spans="1:10" ht="15.75" x14ac:dyDescent="0.25">
      <c r="A28" s="15" t="s">
        <v>47</v>
      </c>
      <c r="D28" s="16"/>
      <c r="E28" s="50" t="s">
        <v>31</v>
      </c>
      <c r="G28">
        <v>0</v>
      </c>
      <c r="H28" s="53"/>
    </row>
    <row r="29" spans="1:10" ht="15.75" x14ac:dyDescent="0.25">
      <c r="A29" s="15" t="s">
        <v>48</v>
      </c>
      <c r="D29" s="16"/>
      <c r="F29" s="50"/>
      <c r="G29" s="26"/>
      <c r="H29" s="54"/>
    </row>
    <row r="30" spans="1:10" ht="16.5" thickBot="1" x14ac:dyDescent="0.3">
      <c r="A30" s="15"/>
      <c r="D30" s="16"/>
      <c r="E30" s="50" t="s">
        <v>32</v>
      </c>
      <c r="F30" s="50"/>
      <c r="G30" s="26"/>
      <c r="H30" s="55"/>
    </row>
    <row r="31" spans="1:10" ht="16.5" customHeight="1" thickBot="1" x14ac:dyDescent="0.35">
      <c r="A31" s="17"/>
      <c r="B31" s="4"/>
      <c r="C31" s="4"/>
      <c r="D31" s="18"/>
      <c r="F31" s="3"/>
      <c r="G31" s="51" t="s">
        <v>33</v>
      </c>
      <c r="H31" s="67">
        <f>H26+H27</f>
        <v>643433</v>
      </c>
    </row>
    <row r="33" spans="1:8" x14ac:dyDescent="0.25">
      <c r="A33" t="s">
        <v>1</v>
      </c>
    </row>
    <row r="35" spans="1:8" ht="15.75" thickBot="1" x14ac:dyDescent="0.3"/>
    <row r="36" spans="1:8" ht="19.5" thickBot="1" x14ac:dyDescent="0.35">
      <c r="A36" s="28" t="s">
        <v>35</v>
      </c>
      <c r="B36" s="6"/>
      <c r="C36" s="6"/>
      <c r="D36" s="6"/>
      <c r="E36" s="6"/>
      <c r="F36" s="6"/>
      <c r="G36" s="6"/>
      <c r="H36" s="7"/>
    </row>
    <row r="45" spans="1:8" ht="18.75" x14ac:dyDescent="0.3">
      <c r="A45" s="5"/>
    </row>
  </sheetData>
  <mergeCells count="1">
    <mergeCell ref="A25:A26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2024-08-05T21:49:29Z</dcterms:modified>
</cp:coreProperties>
</file>