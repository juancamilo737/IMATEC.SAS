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61EE43-AE10-4DEE-AF23-148164C7CAB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3" i="2"/>
  <c r="H20" i="2"/>
  <c r="H19" i="2"/>
  <c r="H17" i="2"/>
  <c r="H18" i="2"/>
  <c r="H16" i="2"/>
  <c r="H24" i="2" l="1"/>
  <c r="H28" i="2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<sst xmlns="http://schemas.openxmlformats.org/spreadsheetml/2006/main" count="62" uniqueCount="59">
  <si>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</si>
  <si>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</si>
  <si>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</si>
  <si>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</si>
  <si>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</si>
  <si>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</si>
  <si>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</si>
  <si>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</si>
  <si>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</si>
  <si>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</si>
  <si>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</si>
  <si>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</si>
  <si>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</si>
  <si>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</si>
  <si>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</si>
  <si>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</si>
  <si>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</si>
  <si>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</si>
  <si>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</si>
  <si>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</si>
  <si>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</si>
  <si>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</si>
  <si>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</si>
  <si>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</si>
  <si>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</si>
  <si>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</si>
  <si>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</si>
  <si>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</si>
  <si>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</si>
  <si>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</si>
  <si>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</si>
  <si>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</si>
  <si>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</si>
  <si>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</si>
  <si>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</si>
  <si>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</si>
  <si>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</si>
  <si>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</si>
  <si>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</si>
  <si>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</si>
  <si>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</si>
  <si>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</si>
  <si>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</si>
  <si>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</si>
  <si>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</si>
  <si>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</si>
  <si>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</si>
  <si>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</si>
  <si>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</si>
  <si>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METRO LINEAL</t>
  </si>
  <si>
    <t xml:space="preserve">           C O T I Z A C I O N</t>
  </si>
  <si>
    <t>No.  45</t>
  </si>
  <si>
    <t>TUBERIA PVC PRESION  SCH 40  3 "</t>
  </si>
  <si>
    <t>CODO PVC PRESION SCH 40  3 "  X  90 º</t>
  </si>
  <si>
    <t>BRIDA PVC  PRESSION SCH 40  3 "</t>
  </si>
  <si>
    <t>EMPAQUE CAUCHO 3 "</t>
  </si>
  <si>
    <t>TORNILLO A/C SCH 8  5/8 "  X  3 " COMPLETO</t>
  </si>
  <si>
    <t>TRES MILLONES OCHOCIENTOS CINCUENTA Y CUATRO</t>
  </si>
  <si>
    <t>MIL TRESCIENTOS DIECISEIS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</si>
</sst>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3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45734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45743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49</v>
      </c>
      <c r="F16" s="66">
        <v>30915</v>
      </c>
      <c r="G16" s="67">
        <v>78</v>
      </c>
      <c r="H16" s="38">
        <f>F16*G16</f>
        <v>2411370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48</v>
      </c>
      <c r="F17" s="66">
        <v>34870</v>
      </c>
      <c r="G17" s="67">
        <v>12</v>
      </c>
      <c r="H17" s="38">
        <f t="shared" ref="H17:H20" si="0">F17*G17</f>
        <v>418440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48</v>
      </c>
      <c r="F18" s="66">
        <v>43177</v>
      </c>
      <c r="G18" s="67">
        <v>8</v>
      </c>
      <c r="H18" s="38">
        <f t="shared" si="0"/>
        <v>345416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48</v>
      </c>
      <c r="F19" s="66">
        <v>12100</v>
      </c>
      <c r="G19" s="67">
        <v>4</v>
      </c>
      <c r="H19" s="38">
        <f t="shared" si="0"/>
        <v>48400</v>
      </c>
    </row>
    <row r="20" spans="1:8" ht="15.75" thickBot="1" x14ac:dyDescent="0.3">
      <c r="A20" s="68">
        <v>5</v>
      </c>
      <c r="B20" s="69" t="s">
        <v>56</v>
      </c>
      <c r="C20" s="70"/>
      <c r="D20" s="45"/>
      <c r="E20" s="71" t="s">
        <v>48</v>
      </c>
      <c r="F20" s="66">
        <v>2650</v>
      </c>
      <c r="G20" s="67">
        <v>32</v>
      </c>
      <c r="H20" s="38">
        <f t="shared" si="0"/>
        <v>84800</v>
      </c>
    </row>
    <row r="21" spans="1:8" ht="15.75" thickBot="1" x14ac:dyDescent="0.3">
      <c r="B21" s="16"/>
      <c r="C21" s="4"/>
      <c r="D21" s="17"/>
      <c r="F21" s="65"/>
      <c r="G21" s="65"/>
    </row>
    <row r="22" spans="1:8" ht="19.5" customHeight="1" thickBot="1" x14ac:dyDescent="0.35">
      <c r="A22" s="62" t="s">
        <v>23</v>
      </c>
      <c r="B22" s="61" t="s">
        <v>57</v>
      </c>
      <c r="C22" s="12"/>
      <c r="D22" s="13"/>
      <c r="E22" s="64"/>
      <c r="F22" s="37" t="s">
        <v>46</v>
      </c>
      <c r="G22" s="6"/>
      <c r="H22" s="7"/>
    </row>
    <row r="23" spans="1:8" ht="19.5" customHeight="1" thickBot="1" x14ac:dyDescent="0.3">
      <c r="A23" s="39"/>
      <c r="B23" s="16" t="s">
        <v>58</v>
      </c>
      <c r="C23" s="4"/>
      <c r="D23" s="17"/>
      <c r="E23" s="52" t="s">
        <v>24</v>
      </c>
      <c r="F23" s="52"/>
      <c r="G23" s="45"/>
      <c r="H23" s="50">
        <f>SUM(H16:H20)</f>
        <v>3308426</v>
      </c>
    </row>
    <row r="24" spans="1:8" ht="19.5" customHeight="1" x14ac:dyDescent="0.25">
      <c r="A24" s="24" t="s">
        <v>25</v>
      </c>
      <c r="E24" s="53" t="s">
        <v>29</v>
      </c>
      <c r="F24" s="23"/>
      <c r="G24" s="54">
        <v>0.19</v>
      </c>
      <c r="H24" s="40">
        <f>H23*G24</f>
        <v>628600.94000000006</v>
      </c>
    </row>
    <row r="25" spans="1:8" ht="19.5" customHeight="1" x14ac:dyDescent="0.25">
      <c r="A25" s="14" t="s">
        <v>45</v>
      </c>
      <c r="E25" s="55" t="s">
        <v>26</v>
      </c>
      <c r="G25" s="58">
        <v>2.5000000000000001E-2</v>
      </c>
      <c r="H25" s="51">
        <f>H23*G25</f>
        <v>82710.650000000009</v>
      </c>
    </row>
    <row r="26" spans="1:8" ht="15.75" x14ac:dyDescent="0.25">
      <c r="A26" s="14" t="s">
        <v>44</v>
      </c>
      <c r="E26" s="14"/>
      <c r="F26" s="33"/>
      <c r="G26" s="46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7"/>
      <c r="H27" s="17"/>
    </row>
    <row r="28" spans="1:8" ht="19.5" thickBot="1" x14ac:dyDescent="0.35">
      <c r="A28" s="60"/>
      <c r="B28" s="4"/>
      <c r="C28" s="4"/>
      <c r="D28" s="17"/>
      <c r="F28" s="3"/>
      <c r="G28" s="34" t="s">
        <v>28</v>
      </c>
      <c r="H28" s="36">
        <f>H23+H24-H25</f>
        <v>3854316.29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2025-03-18T17:26:40Z</dcterms:modified>
</cp:coreProperties>
</file>