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BE4C9A8-5EAC-4008-A517-41269185345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QUA - VITRUV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s="1"/>
  <c r="H25" i="1" l="1"/>
</calcChain>
</file>

<file path=xl/sharedStrings.xml><?xml version="1.0" encoding="utf-8"?>
<sst xmlns="http://schemas.openxmlformats.org/spreadsheetml/2006/main" count="56" uniqueCount="56">
  <si>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</si>
  <si>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</si>
  <si>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</si>
  <si>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</si>
  <si>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</si>
  <si>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</si>
  <si>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</si>
  <si>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</si>
  <si>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</si>
  <si>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</si>
  <si>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</si>
  <si>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</si>
  <si>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</si>
  <si>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</si>
  <si>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</si>
  <si>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</si>
  <si>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</si>
  <si>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</si>
  <si>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</si>
  <si>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</si>
  <si>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</si>
  <si>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</si>
  <si>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</si>
  <si>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</si>
  <si>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</si>
  <si>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</si>
  <si>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</si>
  <si>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</si>
  <si>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</si>
  <si>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</si>
  <si>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</si>
  <si>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</si>
  <si>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</si>
  <si>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</si>
  <si>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</si>
  <si>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</si>
  <si>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</si>
  <si>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</si>
  <si>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ACCESORIO</t>
  </si>
  <si>
    <t>CONTACTOS   310 8306118       319 7174165        321 7834969</t>
  </si>
  <si>
    <t>ACQUA VITRUVIO SAS</t>
  </si>
  <si>
    <t>900 881379</t>
  </si>
  <si>
    <t>CALLE 3  No. 4-300</t>
  </si>
  <si>
    <t>PALMIRA</t>
  </si>
  <si>
    <t>j-gaitan@hotmail.com</t>
  </si>
  <si>
    <t>602 6669102</t>
  </si>
  <si>
    <t xml:space="preserve">           C O T I Z A C I O N</t>
  </si>
  <si>
    <t xml:space="preserve">  CALLE  33A  No. 17F - 56                          B/  LA FLORESTA             -   CALI    -                                  CEL.     321 7834969</t>
  </si>
  <si>
    <t>No. 15</t>
  </si>
  <si>
    <t xml:space="preserve">RANGO 334-367 mm </t>
  </si>
  <si>
    <t>L I Q U I D A C I O N</t>
  </si>
  <si>
    <t>FORMA DE PAGO : CONTADO</t>
  </si>
  <si>
    <t>ENTREGA INMEDIATA</t>
  </si>
  <si>
    <t xml:space="preserve">COLLAR 3421Al  14 "  X  3/4 " </t>
  </si>
  <si>
    <t xml:space="preserve"> PE HEMBRA PARA PEAD, CON SPRING WASHER</t>
  </si>
  <si>
    <t>UN MILLON TRESCIENTOS NUEVE MIL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</si>
</sst>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7" xfId="0" applyFont="1" applyBorder="1"/>
    <xf numFmtId="0" fontId="4" fillId="0" borderId="13" xfId="0" applyFont="1" applyBorder="1"/>
    <xf numFmtId="0" fontId="5" fillId="0" borderId="18" xfId="0" applyFont="1" applyBorder="1"/>
    <xf numFmtId="9" fontId="1" fillId="0" borderId="14" xfId="0" applyNumberFormat="1" applyFont="1" applyBorder="1"/>
    <xf numFmtId="42" fontId="1" fillId="0" borderId="19" xfId="0" applyNumberFormat="1" applyFont="1" applyBorder="1"/>
    <xf numFmtId="0" fontId="0" fillId="0" borderId="19" xfId="0" applyBorder="1"/>
    <xf numFmtId="0" fontId="0" fillId="0" borderId="18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7" xfId="0" applyNumberFormat="1" applyFont="1" applyBorder="1" applyAlignment="1">
      <alignment horizontal="left"/>
    </xf>
    <xf numFmtId="42" fontId="1" fillId="0" borderId="19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1" fillId="0" borderId="0" xfId="1" applyFont="1" applyBorder="1" applyAlignment="1">
      <alignment horizontal="center"/>
    </xf>
    <xf numFmtId="0" fontId="0" fillId="0" borderId="20" xfId="0" applyBorder="1"/>
    <xf numFmtId="0" fontId="5" fillId="0" borderId="4" xfId="0" applyFont="1" applyBorder="1"/>
    <xf numFmtId="0" fontId="0" fillId="0" borderId="21" xfId="0" applyBorder="1"/>
    <xf numFmtId="10" fontId="1" fillId="0" borderId="0" xfId="0" applyNumberFormat="1" applyFont="1"/>
    <xf numFmtId="0" fontId="1" fillId="0" borderId="11" xfId="0" applyFont="1" applyBorder="1"/>
    <xf numFmtId="42" fontId="1" fillId="0" borderId="22" xfId="1" applyFont="1" applyBorder="1" applyAlignment="1">
      <alignment horizontal="left"/>
    </xf>
    <xf numFmtId="42" fontId="1" fillId="0" borderId="16" xfId="1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42" fontId="11" fillId="0" borderId="23" xfId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8" fillId="0" borderId="15" xfId="0" applyFont="1" applyBorder="1"/>
    <xf numFmtId="0" fontId="0" fillId="0" borderId="24" xfId="0" applyBorder="1"/>
    <xf numFmtId="0" fontId="8" fillId="0" borderId="2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8" fillId="0" borderId="25" xfId="0" applyFont="1" applyBorder="1"/>
    <xf numFmtId="0" fontId="0" fillId="0" borderId="25" xfId="0" applyBorder="1"/>
    <xf numFmtId="0" fontId="0" fillId="0" borderId="0" xfId="0" applyBorder="1"/>
    <xf numFmtId="0" fontId="1" fillId="0" borderId="3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-gaita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9"/>
  <sheetViews>
    <sheetView tabSelected="1" topLeftCell="A7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85546875" customWidth="1"/>
    <col min="5" max="8" width="15.7109375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/>
      <c r="E2" s="46" t="s">
        <v>31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9" t="s">
        <v>8</v>
      </c>
      <c r="B4" s="6"/>
      <c r="C4" s="6"/>
      <c r="D4" s="30" t="s">
        <v>33</v>
      </c>
      <c r="E4" s="19"/>
      <c r="F4" s="20"/>
      <c r="G4" s="6"/>
      <c r="H4" s="7"/>
    </row>
    <row r="5" spans="1:10" ht="19.5" thickBot="1" x14ac:dyDescent="0.35">
      <c r="A5" s="54" t="s">
        <v>39</v>
      </c>
      <c r="B5" s="6"/>
      <c r="C5" s="6"/>
      <c r="D5" s="6"/>
      <c r="E5" s="6"/>
    </row>
    <row r="6" spans="1:10" ht="24.75" customHeight="1" thickBot="1" x14ac:dyDescent="0.45">
      <c r="F6" s="11" t="s">
        <v>46</v>
      </c>
      <c r="G6" s="19"/>
      <c r="H6" s="20"/>
    </row>
    <row r="7" spans="1:10" ht="19.5" thickBot="1" x14ac:dyDescent="0.35">
      <c r="A7" s="21" t="s">
        <v>15</v>
      </c>
      <c r="B7" s="13"/>
      <c r="C7" s="31" t="s">
        <v>40</v>
      </c>
      <c r="D7" s="13"/>
      <c r="E7" s="14"/>
      <c r="F7" s="28"/>
      <c r="G7" s="19"/>
      <c r="H7" s="20" t="s">
        <v>48</v>
      </c>
    </row>
    <row r="8" spans="1:10" ht="18.75" x14ac:dyDescent="0.3">
      <c r="A8" s="22" t="s">
        <v>9</v>
      </c>
      <c r="C8" s="25" t="s">
        <v>41</v>
      </c>
      <c r="D8" s="26"/>
      <c r="E8" s="26"/>
      <c r="F8" s="12"/>
      <c r="G8" s="13"/>
      <c r="H8" s="14"/>
    </row>
    <row r="9" spans="1:10" ht="18.75" customHeight="1" x14ac:dyDescent="0.3">
      <c r="A9" s="22" t="s">
        <v>10</v>
      </c>
      <c r="C9" s="24" t="s">
        <v>42</v>
      </c>
      <c r="D9" s="24"/>
      <c r="E9" s="25" t="s">
        <v>43</v>
      </c>
      <c r="F9" s="32" t="s">
        <v>0</v>
      </c>
      <c r="H9" s="33">
        <v>45755</v>
      </c>
    </row>
    <row r="10" spans="1:10" ht="18.75" x14ac:dyDescent="0.3">
      <c r="A10" s="22" t="s">
        <v>14</v>
      </c>
      <c r="C10" s="47" t="s">
        <v>44</v>
      </c>
      <c r="D10" s="26"/>
      <c r="E10" s="26"/>
      <c r="F10" s="32" t="s">
        <v>16</v>
      </c>
      <c r="H10" s="34" t="s">
        <v>36</v>
      </c>
    </row>
    <row r="11" spans="1:10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45764</v>
      </c>
    </row>
    <row r="12" spans="1:10" ht="18.75" x14ac:dyDescent="0.3">
      <c r="A12" s="22" t="s">
        <v>12</v>
      </c>
      <c r="C12" s="25" t="s">
        <v>45</v>
      </c>
      <c r="D12" s="26"/>
      <c r="E12" s="26"/>
      <c r="F12" s="32" t="s">
        <v>18</v>
      </c>
      <c r="H12" s="36"/>
    </row>
    <row r="13" spans="1:10" ht="18.75" customHeight="1" thickBot="1" x14ac:dyDescent="0.35">
      <c r="A13" s="23" t="s">
        <v>13</v>
      </c>
      <c r="B13" s="4"/>
      <c r="C13" s="25" t="s">
        <v>35</v>
      </c>
      <c r="D13" s="26"/>
      <c r="E13" s="26"/>
      <c r="F13" s="17"/>
      <c r="G13" s="4"/>
      <c r="H13" s="18"/>
    </row>
    <row r="14" spans="1:10" ht="15.75" thickBot="1" x14ac:dyDescent="0.3">
      <c r="A14" s="71"/>
      <c r="B14" s="71"/>
      <c r="C14" s="71"/>
      <c r="D14" s="71"/>
    </row>
    <row r="15" spans="1:10" ht="15.75" thickBot="1" x14ac:dyDescent="0.3">
      <c r="A15" s="37" t="s">
        <v>37</v>
      </c>
      <c r="B15" s="72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10" ht="16.5" thickBot="1" x14ac:dyDescent="0.3">
      <c r="A16" s="68">
        <v>1</v>
      </c>
      <c r="B16" s="69" t="s">
        <v>53</v>
      </c>
      <c r="C16" s="69"/>
      <c r="D16" s="70"/>
      <c r="E16" s="60" t="s">
        <v>38</v>
      </c>
      <c r="F16" s="61">
        <v>1100000</v>
      </c>
      <c r="G16" s="60">
        <v>1</v>
      </c>
      <c r="H16" s="58">
        <f>G16*F16</f>
        <v>1100000</v>
      </c>
      <c r="I16" s="38"/>
      <c r="J16" s="38"/>
    </row>
    <row r="17" spans="1:10" ht="15.75" x14ac:dyDescent="0.25">
      <c r="A17" s="62"/>
      <c r="B17" s="63" t="s">
        <v>54</v>
      </c>
      <c r="C17" s="24"/>
      <c r="D17" s="24"/>
      <c r="E17" s="51"/>
      <c r="F17" s="52"/>
      <c r="G17" s="51"/>
      <c r="H17" s="59"/>
      <c r="I17" s="38"/>
      <c r="J17" s="38"/>
    </row>
    <row r="18" spans="1:10" ht="19.5" customHeight="1" thickBot="1" x14ac:dyDescent="0.3">
      <c r="A18" s="64"/>
      <c r="B18" s="65" t="s">
        <v>49</v>
      </c>
      <c r="C18" s="64"/>
      <c r="D18" s="64"/>
      <c r="H18" s="53"/>
    </row>
    <row r="19" spans="1:10" ht="19.5" customHeight="1" thickBot="1" x14ac:dyDescent="0.35">
      <c r="A19" s="66" t="s">
        <v>25</v>
      </c>
      <c r="B19" s="12" t="s">
        <v>55</v>
      </c>
      <c r="C19" s="13"/>
      <c r="D19" s="14"/>
      <c r="E19" s="13"/>
      <c r="F19" s="39" t="s">
        <v>50</v>
      </c>
      <c r="G19" s="13"/>
      <c r="H19" s="7"/>
    </row>
    <row r="20" spans="1:10" ht="19.5" customHeight="1" thickBot="1" x14ac:dyDescent="0.3">
      <c r="A20" s="67"/>
      <c r="B20" s="17"/>
      <c r="C20" s="4"/>
      <c r="D20" s="18"/>
      <c r="E20" s="40" t="s">
        <v>26</v>
      </c>
      <c r="F20" s="40"/>
      <c r="G20" s="26"/>
      <c r="H20" s="48">
        <f>SUM(H16:H16)</f>
        <v>1100000</v>
      </c>
    </row>
    <row r="21" spans="1:10" ht="19.5" customHeight="1" x14ac:dyDescent="0.25">
      <c r="A21" s="27" t="s">
        <v>27</v>
      </c>
      <c r="B21" s="13"/>
      <c r="C21" s="13"/>
      <c r="D21" s="14"/>
      <c r="E21" s="3" t="s">
        <v>32</v>
      </c>
      <c r="F21" s="55"/>
      <c r="G21" s="42">
        <v>0.19</v>
      </c>
      <c r="H21" s="49">
        <f>H20*G21</f>
        <v>209000</v>
      </c>
    </row>
    <row r="22" spans="1:10" ht="15.75" x14ac:dyDescent="0.25">
      <c r="A22" s="15" t="s">
        <v>51</v>
      </c>
      <c r="D22" s="16"/>
      <c r="E22" s="40" t="s">
        <v>28</v>
      </c>
      <c r="G22" s="56">
        <v>2.5000000000000001E-2</v>
      </c>
      <c r="H22" s="43"/>
    </row>
    <row r="23" spans="1:10" ht="15.75" x14ac:dyDescent="0.25">
      <c r="A23" s="15" t="s">
        <v>52</v>
      </c>
      <c r="D23" s="16"/>
      <c r="F23" s="40"/>
      <c r="G23" s="26"/>
      <c r="H23" s="44"/>
    </row>
    <row r="24" spans="1:10" ht="16.5" thickBot="1" x14ac:dyDescent="0.3">
      <c r="A24" s="15" t="s">
        <v>34</v>
      </c>
      <c r="D24" s="16"/>
      <c r="E24" s="40" t="s">
        <v>29</v>
      </c>
      <c r="F24" s="40"/>
      <c r="G24" s="26"/>
      <c r="H24" s="45"/>
    </row>
    <row r="25" spans="1:10" ht="16.5" customHeight="1" thickBot="1" x14ac:dyDescent="0.35">
      <c r="A25" s="57"/>
      <c r="B25" s="4"/>
      <c r="C25" s="4"/>
      <c r="D25" s="18"/>
      <c r="F25" s="3"/>
      <c r="G25" s="41" t="s">
        <v>30</v>
      </c>
      <c r="H25" s="50">
        <f>H20+H21-H22</f>
        <v>1309000</v>
      </c>
    </row>
    <row r="27" spans="1:10" x14ac:dyDescent="0.25">
      <c r="A27" t="s">
        <v>1</v>
      </c>
    </row>
    <row r="29" spans="1:10" ht="15.75" thickBot="1" x14ac:dyDescent="0.3"/>
    <row r="30" spans="1:10" ht="19.5" thickBot="1" x14ac:dyDescent="0.35">
      <c r="A30" s="28" t="s">
        <v>47</v>
      </c>
      <c r="B30" s="6"/>
      <c r="C30" s="6"/>
      <c r="D30" s="6"/>
      <c r="E30" s="6"/>
      <c r="F30" s="6"/>
      <c r="G30" s="6"/>
      <c r="H30" s="7"/>
    </row>
    <row r="39" spans="1:1" ht="18.75" x14ac:dyDescent="0.3">
      <c r="A39" s="5"/>
    </row>
  </sheetData>
  <mergeCells count="1">
    <mergeCell ref="A19:A20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ACQUA - VITRUVIO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2024-11-08T14:14:19Z</cp:lastPrinted>
  <dcterms:created xsi:type="dcterms:W3CDTF">2018-11-15T17:29:02Z</dcterms:created>
  <dcterms:modified xsi:type="dcterms:W3CDTF">2025-04-09T17:24:12Z</dcterms:modified>
</cp:coreProperties>
</file>