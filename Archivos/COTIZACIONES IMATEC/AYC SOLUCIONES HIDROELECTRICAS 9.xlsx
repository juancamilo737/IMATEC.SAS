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DB095E70-2F3D-49E1-82F6-50A5B8C549E6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YC SOLUCION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8" i="1" l="1"/>
  <c r="H17" i="1"/>
  <c r="H16" i="1"/>
  <c r="H21" i="1" s="1"/>
  <c r="H22" i="1" l="1"/>
  <c r="H26" i="1" s="1"/>
</calcChain>
</file>

<file path=xl/sharedStrings.xml><?xml version="1.0" encoding="utf-8"?>
<sst xmlns="http://schemas.openxmlformats.org/spreadsheetml/2006/main" count="57" uniqueCount="55">
  <si>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</si>
  <si>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</si>
  <si>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</si>
  <si>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</si>
  <si>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</si>
  <si>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</si>
  <si>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</si>
  <si>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</si>
  <si>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</si>
  <si>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</si>
  <si>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</si>
  <si>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</si>
  <si>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</si>
  <si>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</si>
  <si>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</si>
  <si>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</si>
  <si>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</si>
  <si>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</si>
  <si>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</si>
  <si>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</si>
  <si>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</si>
  <si>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</si>
  <si>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</si>
  <si>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</si>
  <si>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</si>
  <si>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</si>
  <si>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</si>
  <si>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</si>
  <si>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</si>
  <si>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</si>
  <si>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</si>
  <si>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</si>
  <si>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</si>
  <si>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</si>
  <si>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</si>
  <si>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</si>
  <si>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</si>
  <si>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</si>
  <si>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AYC SOLUCIONES HIDROELECTRICAS SAS</t>
  </si>
  <si>
    <t>901 269341</t>
  </si>
  <si>
    <t>CALLE 23 No. 28-11</t>
  </si>
  <si>
    <t>CALI</t>
  </si>
  <si>
    <t>aycsolucioneshidroelectricas@gmail.com</t>
  </si>
  <si>
    <t>602 2830205</t>
  </si>
  <si>
    <t>ACCESORIO</t>
  </si>
  <si>
    <t>LUIS A. BENAVIDES</t>
  </si>
  <si>
    <t>L I Q U I D A C I O N</t>
  </si>
  <si>
    <t xml:space="preserve">  CALLE  33A  No. 17F - 56                              B/  LA FLORESTA             -   CALI    -                                   CEL.     321 7834969</t>
  </si>
  <si>
    <t>No. 9</t>
  </si>
  <si>
    <t>ADAPTADOR MACHO PVC SCH 40  6 "</t>
  </si>
  <si>
    <t>ADAPTADOR HEMBRA PVC SCH 40  6 "</t>
  </si>
  <si>
    <t>CODO PVC  SCH 40  6 "  X  90 º</t>
  </si>
  <si>
    <t>TRESCIENTOS VEINTICINCO MIL CUATROCIENTOS SESEN</t>
  </si>
  <si>
    <t>TA Y CINCO PESOS MDA  /CTE</t>
  </si>
  <si>
    <t xml:space="preserve">              R E M I S I 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</si>
</sst>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8" fillId="0" borderId="29" xfId="0" applyFont="1" applyBorder="1"/>
    <xf numFmtId="0" fontId="8" fillId="0" borderId="30" xfId="0" applyFont="1" applyBorder="1"/>
    <xf numFmtId="0" fontId="8" fillId="0" borderId="31" xfId="0" applyFont="1" applyBorder="1"/>
    <xf numFmtId="42" fontId="11" fillId="0" borderId="27" xfId="1" applyFont="1" applyBorder="1" applyAlignment="1">
      <alignment horizontal="center"/>
    </xf>
    <xf numFmtId="0" fontId="0" fillId="0" borderId="28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32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1" fillId="0" borderId="14" xfId="0" applyFont="1" applyBorder="1" applyAlignment="1">
      <alignment horizontal="center"/>
    </xf>
    <xf numFmtId="0" fontId="8" fillId="0" borderId="33" xfId="0" applyFont="1" applyBorder="1"/>
    <xf numFmtId="0" fontId="8" fillId="0" borderId="13" xfId="0" applyFont="1" applyBorder="1"/>
    <xf numFmtId="0" fontId="8" fillId="0" borderId="34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8" fillId="0" borderId="35" xfId="0" applyFont="1" applyBorder="1"/>
    <xf numFmtId="0" fontId="0" fillId="0" borderId="36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ycsolucioneshidroelectrica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1"/>
  <sheetViews>
    <sheetView tabSelected="1" topLeftCell="A4" zoomScaleNormal="100" workbookViewId="0">
      <selection activeCell="J19" sqref="J19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54</v>
      </c>
      <c r="G6" s="42"/>
      <c r="H6" s="43"/>
    </row>
    <row r="7" spans="1:8" ht="19.5" thickBot="1" x14ac:dyDescent="0.35">
      <c r="A7" s="20" t="s">
        <v>14</v>
      </c>
      <c r="B7" s="12"/>
      <c r="C7" s="65" t="s">
        <v>38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7" t="s">
        <v>39</v>
      </c>
      <c r="D8" s="68"/>
      <c r="E8" s="44"/>
      <c r="H8" s="15"/>
    </row>
    <row r="9" spans="1:8" ht="18.75" customHeight="1" x14ac:dyDescent="0.3">
      <c r="A9" s="21" t="s">
        <v>9</v>
      </c>
      <c r="C9" s="69" t="s">
        <v>40</v>
      </c>
      <c r="D9" s="23"/>
      <c r="E9" s="70" t="s">
        <v>41</v>
      </c>
      <c r="F9" s="30" t="s">
        <v>0</v>
      </c>
      <c r="H9" s="28">
        <v>45860</v>
      </c>
    </row>
    <row r="10" spans="1:8" ht="18.75" x14ac:dyDescent="0.3">
      <c r="A10" s="21" t="s">
        <v>13</v>
      </c>
      <c r="C10" s="71" t="s">
        <v>42</v>
      </c>
      <c r="D10" s="66"/>
      <c r="E10" s="45"/>
      <c r="F10" s="30" t="s">
        <v>15</v>
      </c>
      <c r="H10" s="29"/>
    </row>
    <row r="11" spans="1:8" ht="18.75" x14ac:dyDescent="0.3">
      <c r="A11" s="21" t="s">
        <v>10</v>
      </c>
      <c r="C11" s="72"/>
      <c r="D11" s="66"/>
      <c r="E11" s="45"/>
      <c r="F11" s="30" t="s">
        <v>16</v>
      </c>
      <c r="G11" s="30"/>
      <c r="H11" s="28"/>
    </row>
    <row r="12" spans="1:8" ht="18.75" x14ac:dyDescent="0.3">
      <c r="A12" s="21" t="s">
        <v>11</v>
      </c>
      <c r="C12" s="72" t="s">
        <v>43</v>
      </c>
      <c r="D12" s="66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2" t="s">
        <v>45</v>
      </c>
      <c r="D13" s="66"/>
      <c r="E13" s="45"/>
      <c r="F13" s="4"/>
      <c r="G13" s="4"/>
      <c r="H13" s="17"/>
    </row>
    <row r="14" spans="1:8" ht="15.75" thickBot="1" x14ac:dyDescent="0.3">
      <c r="C14" s="16"/>
      <c r="D14" s="4"/>
      <c r="E14" s="17"/>
    </row>
    <row r="15" spans="1:8" ht="15.75" thickBot="1" x14ac:dyDescent="0.3">
      <c r="A15" s="47" t="s">
        <v>34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48">
        <v>1</v>
      </c>
      <c r="B16" s="49" t="s">
        <v>49</v>
      </c>
      <c r="C16" s="50"/>
      <c r="D16" s="51"/>
      <c r="E16" s="48" t="s">
        <v>44</v>
      </c>
      <c r="F16" s="52">
        <v>39000</v>
      </c>
      <c r="G16" s="48">
        <v>1</v>
      </c>
      <c r="H16" s="38">
        <f t="shared" ref="H16" si="0">G16*F16</f>
        <v>39000</v>
      </c>
    </row>
    <row r="17" spans="1:8" ht="16.5" thickBot="1" x14ac:dyDescent="0.3">
      <c r="A17" s="48">
        <v>2</v>
      </c>
      <c r="B17" s="49" t="s">
        <v>50</v>
      </c>
      <c r="C17" s="50"/>
      <c r="D17" s="51"/>
      <c r="E17" s="48" t="s">
        <v>44</v>
      </c>
      <c r="F17" s="52">
        <v>35000</v>
      </c>
      <c r="G17" s="48">
        <v>1</v>
      </c>
      <c r="H17" s="38">
        <f t="shared" ref="H17:H18" si="1">G17*F17</f>
        <v>35000</v>
      </c>
    </row>
    <row r="18" spans="1:8" ht="16.5" thickBot="1" x14ac:dyDescent="0.3">
      <c r="A18" s="73">
        <v>3</v>
      </c>
      <c r="B18" s="74" t="s">
        <v>51</v>
      </c>
      <c r="C18" s="75"/>
      <c r="D18" s="76"/>
      <c r="E18" s="73" t="s">
        <v>44</v>
      </c>
      <c r="F18" s="77">
        <v>59500</v>
      </c>
      <c r="G18" s="73">
        <v>1</v>
      </c>
      <c r="H18" s="38">
        <f t="shared" si="1"/>
        <v>59500</v>
      </c>
    </row>
    <row r="19" spans="1:8" ht="19.5" customHeight="1" thickBot="1" x14ac:dyDescent="0.3">
      <c r="A19" s="53"/>
      <c r="B19" s="79"/>
      <c r="D19" s="80"/>
      <c r="E19" s="53"/>
      <c r="F19" s="53"/>
      <c r="G19" s="53"/>
    </row>
    <row r="20" spans="1:8" ht="19.5" customHeight="1" thickBot="1" x14ac:dyDescent="0.35">
      <c r="A20" s="78" t="s">
        <v>23</v>
      </c>
      <c r="B20" s="81" t="s">
        <v>52</v>
      </c>
      <c r="C20" s="12"/>
      <c r="D20" s="13"/>
      <c r="E20" s="54"/>
      <c r="F20" s="37" t="s">
        <v>46</v>
      </c>
      <c r="G20" s="6"/>
      <c r="H20" s="7"/>
    </row>
    <row r="21" spans="1:8" ht="19.5" customHeight="1" thickBot="1" x14ac:dyDescent="0.3">
      <c r="A21" s="39"/>
      <c r="B21" s="16" t="s">
        <v>53</v>
      </c>
      <c r="C21" s="4"/>
      <c r="D21" s="17"/>
      <c r="E21" s="57" t="s">
        <v>24</v>
      </c>
      <c r="F21" s="58"/>
      <c r="G21" s="44"/>
      <c r="H21" s="55">
        <f>SUM(H16:H18)</f>
        <v>133500</v>
      </c>
    </row>
    <row r="22" spans="1:8" ht="19.5" customHeight="1" x14ac:dyDescent="0.25">
      <c r="A22" s="24" t="s">
        <v>25</v>
      </c>
      <c r="B22" s="12"/>
      <c r="C22" s="12"/>
      <c r="D22" s="12"/>
      <c r="E22" s="59" t="s">
        <v>29</v>
      </c>
      <c r="F22" s="23"/>
      <c r="G22" s="60">
        <v>0.19</v>
      </c>
      <c r="H22" s="40">
        <f>H21*G22</f>
        <v>25365</v>
      </c>
    </row>
    <row r="23" spans="1:8" ht="19.5" customHeight="1" x14ac:dyDescent="0.25">
      <c r="A23" s="14" t="s">
        <v>30</v>
      </c>
      <c r="E23" s="61" t="s">
        <v>26</v>
      </c>
      <c r="G23" s="64">
        <v>2.5000000000000001E-2</v>
      </c>
      <c r="H23" s="56"/>
    </row>
    <row r="24" spans="1:8" ht="15.75" x14ac:dyDescent="0.25">
      <c r="A24" s="14" t="s">
        <v>35</v>
      </c>
      <c r="E24" s="14"/>
      <c r="F24" s="33"/>
      <c r="G24" s="45"/>
      <c r="H24" s="15"/>
    </row>
    <row r="25" spans="1:8" ht="16.5" thickBot="1" x14ac:dyDescent="0.3">
      <c r="A25" s="14" t="s">
        <v>32</v>
      </c>
      <c r="E25" s="62" t="s">
        <v>27</v>
      </c>
      <c r="F25" s="63"/>
      <c r="G25" s="46"/>
      <c r="H25" s="17"/>
    </row>
    <row r="26" spans="1:8" ht="19.5" thickBot="1" x14ac:dyDescent="0.35">
      <c r="A26" s="16"/>
      <c r="B26" s="4"/>
      <c r="C26" s="4"/>
      <c r="D26" s="17"/>
      <c r="F26" s="3"/>
      <c r="G26" s="34" t="s">
        <v>28</v>
      </c>
      <c r="H26" s="36">
        <f>H21+H22-H23</f>
        <v>158865</v>
      </c>
    </row>
    <row r="27" spans="1:8" ht="16.5" customHeight="1" x14ac:dyDescent="0.25"/>
    <row r="32" spans="1:8" ht="15.75" thickBot="1" x14ac:dyDescent="0.3"/>
    <row r="33" spans="1:8" ht="19.5" thickBot="1" x14ac:dyDescent="0.35">
      <c r="A33" s="25" t="s">
        <v>47</v>
      </c>
      <c r="B33" s="6"/>
      <c r="C33" s="6"/>
      <c r="D33" s="6"/>
      <c r="E33" s="6"/>
      <c r="F33" s="6"/>
      <c r="G33" s="6"/>
      <c r="H33" s="7"/>
    </row>
    <row r="41" spans="1:8" ht="18.75" x14ac:dyDescent="0.3">
      <c r="A41" s="5"/>
    </row>
  </sheetData>
  <hyperlinks>
    <hyperlink ref="C10" r:id="rId1" xr:uid="{CE4586D5-0C34-4CBB-A163-3643D8919FDD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AYC SOLUCIONES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2025-07-22T19:29:12Z</dcterms:modified>
</cp:coreProperties>
</file>