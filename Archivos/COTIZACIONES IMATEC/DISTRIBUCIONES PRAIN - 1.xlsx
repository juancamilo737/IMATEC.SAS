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C5FAE64-0BCF-4D6E-8682-F67AE8BCA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AIN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1" i="1" s="1"/>
  <c r="H22" i="1" l="1"/>
  <c r="H26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<sst xmlns="http://schemas.openxmlformats.org/spreadsheetml/2006/main" count="54" uniqueCount="54">
  <si>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</si>
  <si>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</si>
  <si>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</si>
  <si>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</si>
  <si>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</si>
  <si>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</si>
  <si>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</si>
  <si>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</si>
  <si>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</si>
  <si>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</si>
  <si>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</si>
  <si>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</si>
  <si>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</si>
  <si>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</si>
  <si>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</si>
  <si>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</si>
  <si>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</si>
  <si>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</si>
  <si>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</si>
  <si>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</si>
  <si>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</si>
  <si>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</si>
  <si>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</si>
  <si>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</si>
  <si>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</si>
  <si>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</si>
  <si>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</si>
  <si>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</si>
  <si>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</si>
  <si>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</si>
  <si>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</si>
  <si>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</si>
  <si>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</si>
  <si>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</si>
  <si>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</si>
  <si>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</si>
  <si>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</si>
  <si>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</si>
  <si>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</si>
  <si>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</si>
  <si>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ENTREGA INMEDIATA</t>
  </si>
  <si>
    <t xml:space="preserve">  CALLE  33B  No. 17C - 70  2º PISO               B/  LA FLORESTA             -   CALI    -                                  CEL.     321 7834969</t>
  </si>
  <si>
    <t xml:space="preserve">              R E M I S I O N</t>
  </si>
  <si>
    <t>METRO LINEAL</t>
  </si>
  <si>
    <t>FORMA DE PAGO : CONTADO</t>
  </si>
  <si>
    <t>DISTRIBUCIONES PRAIN S.A.S.</t>
  </si>
  <si>
    <t>900 295321</t>
  </si>
  <si>
    <t>LA NUBIA BODEGA 37</t>
  </si>
  <si>
    <t>CANDELARIA</t>
  </si>
  <si>
    <t>info@prain.co</t>
  </si>
  <si>
    <t>322 6216274</t>
  </si>
  <si>
    <t xml:space="preserve">TUBERIA A / C  SCH 80  1/2 "  </t>
  </si>
  <si>
    <t>CINCUENTA Y OCHO MIL NOVECIENTOS CINCO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</si>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</sst>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9" xfId="0" applyBorder="1"/>
    <xf numFmtId="0" fontId="8" fillId="0" borderId="14" xfId="0" applyFont="1" applyBorder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4" fillId="0" borderId="13" xfId="0" applyFont="1" applyBorder="1"/>
    <xf numFmtId="0" fontId="5" fillId="0" borderId="21" xfId="0" applyFont="1" applyBorder="1"/>
    <xf numFmtId="42" fontId="1" fillId="0" borderId="22" xfId="0" applyNumberFormat="1" applyFont="1" applyBorder="1"/>
    <xf numFmtId="0" fontId="0" fillId="0" borderId="22" xfId="0" applyBorder="1"/>
    <xf numFmtId="0" fontId="0" fillId="0" borderId="21" xfId="0" applyBorder="1"/>
    <xf numFmtId="0" fontId="12" fillId="0" borderId="0" xfId="0" applyFont="1" applyAlignment="1">
      <alignment horizontal="center"/>
    </xf>
    <xf numFmtId="42" fontId="1" fillId="0" borderId="22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42" fontId="6" fillId="0" borderId="0" xfId="1" applyFont="1"/>
    <xf numFmtId="42" fontId="6" fillId="0" borderId="16" xfId="1" applyFont="1" applyBorder="1"/>
    <xf numFmtId="0" fontId="0" fillId="0" borderId="23" xfId="0" applyBorder="1"/>
    <xf numFmtId="0" fontId="5" fillId="0" borderId="4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0" borderId="5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3" fillId="0" borderId="27" xfId="2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42" fontId="1" fillId="0" borderId="22" xfId="0" applyNumberFormat="1" applyFont="1" applyBorder="1" applyAlignment="1">
      <alignment horizontal="left"/>
    </xf>
    <xf numFmtId="0" fontId="0" fillId="0" borderId="3" xfId="0" applyBorder="1"/>
    <xf numFmtId="0" fontId="4" fillId="0" borderId="34" xfId="0" applyFont="1" applyBorder="1"/>
    <xf numFmtId="0" fontId="4" fillId="0" borderId="35" xfId="0" applyFont="1" applyBorder="1"/>
    <xf numFmtId="0" fontId="0" fillId="0" borderId="36" xfId="0" applyBorder="1"/>
    <xf numFmtId="0" fontId="4" fillId="0" borderId="9" xfId="0" applyFont="1" applyBorder="1"/>
    <xf numFmtId="9" fontId="1" fillId="0" borderId="30" xfId="0" applyNumberFormat="1" applyFont="1" applyBorder="1"/>
    <xf numFmtId="0" fontId="4" fillId="0" borderId="27" xfId="0" applyFont="1" applyBorder="1"/>
    <xf numFmtId="0" fontId="4" fillId="0" borderId="31" xfId="0" applyFont="1" applyBorder="1"/>
    <xf numFmtId="0" fontId="4" fillId="0" borderId="32" xfId="0" applyFont="1" applyBorder="1"/>
    <xf numFmtId="0" fontId="1" fillId="0" borderId="38" xfId="0" applyFont="1" applyBorder="1" applyAlignment="1">
      <alignment horizontal="center"/>
    </xf>
    <xf numFmtId="0" fontId="8" fillId="0" borderId="37" xfId="0" applyFont="1" applyBorder="1"/>
    <xf numFmtId="0" fontId="8" fillId="0" borderId="4" xfId="0" applyFont="1" applyBorder="1"/>
    <xf numFmtId="0" fontId="8" fillId="0" borderId="39" xfId="0" applyFont="1" applyBorder="1"/>
    <xf numFmtId="0" fontId="1" fillId="0" borderId="4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39" xfId="1" applyFont="1" applyBorder="1" applyAlignment="1">
      <alignment horizontal="left"/>
    </xf>
    <xf numFmtId="10" fontId="1" fillId="0" borderId="10" xfId="0" applyNumberFormat="1" applyFont="1" applyBorder="1"/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F29" sqref="F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6" t="s">
        <v>39</v>
      </c>
      <c r="B5" s="6"/>
      <c r="C5" s="6"/>
      <c r="D5" s="6"/>
      <c r="E5" s="6"/>
    </row>
    <row r="6" spans="1:8" ht="24.75" customHeight="1" thickBot="1" x14ac:dyDescent="0.45">
      <c r="F6" s="11" t="s">
        <v>42</v>
      </c>
      <c r="G6" s="19"/>
      <c r="H6" s="20"/>
    </row>
    <row r="7" spans="1:8" ht="19.5" thickBot="1" x14ac:dyDescent="0.35">
      <c r="A7" s="21" t="s">
        <v>15</v>
      </c>
      <c r="B7" s="13"/>
      <c r="C7" s="31" t="s">
        <v>45</v>
      </c>
      <c r="D7" s="13"/>
      <c r="E7" s="14"/>
      <c r="F7" s="28"/>
      <c r="G7" s="19"/>
      <c r="H7" s="60">
        <v>210824001</v>
      </c>
    </row>
    <row r="8" spans="1:8" ht="18.75" x14ac:dyDescent="0.3">
      <c r="A8" s="22" t="s">
        <v>9</v>
      </c>
      <c r="C8" s="61" t="s">
        <v>46</v>
      </c>
      <c r="D8" s="26"/>
      <c r="E8" s="62"/>
      <c r="F8" s="12"/>
      <c r="G8" s="13"/>
      <c r="H8" s="14"/>
    </row>
    <row r="9" spans="1:8" ht="18.75" customHeight="1" x14ac:dyDescent="0.3">
      <c r="A9" s="22" t="s">
        <v>10</v>
      </c>
      <c r="C9" s="63" t="s">
        <v>47</v>
      </c>
      <c r="D9" s="25"/>
      <c r="E9" s="64" t="s">
        <v>48</v>
      </c>
      <c r="F9" s="32" t="s">
        <v>0</v>
      </c>
      <c r="H9" s="33">
        <v>45471</v>
      </c>
    </row>
    <row r="10" spans="1:8" ht="18.75" x14ac:dyDescent="0.3">
      <c r="A10" s="22" t="s">
        <v>14</v>
      </c>
      <c r="C10" s="65" t="s">
        <v>49</v>
      </c>
      <c r="D10" s="26"/>
      <c r="E10" s="62"/>
      <c r="F10" s="32" t="s">
        <v>16</v>
      </c>
      <c r="H10" s="34" t="s">
        <v>37</v>
      </c>
    </row>
    <row r="11" spans="1:8" ht="18.75" x14ac:dyDescent="0.3">
      <c r="A11" s="22" t="s">
        <v>11</v>
      </c>
      <c r="C11" s="61"/>
      <c r="D11" s="26"/>
      <c r="E11" s="62"/>
      <c r="F11" s="32" t="s">
        <v>17</v>
      </c>
      <c r="G11" s="35"/>
      <c r="H11" s="33">
        <v>45539</v>
      </c>
    </row>
    <row r="12" spans="1:8" ht="18.75" x14ac:dyDescent="0.3">
      <c r="A12" s="22" t="s">
        <v>12</v>
      </c>
      <c r="C12" s="61" t="s">
        <v>50</v>
      </c>
      <c r="D12" s="26"/>
      <c r="E12" s="62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66" t="s">
        <v>36</v>
      </c>
      <c r="D13" s="67"/>
      <c r="E13" s="68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38</v>
      </c>
      <c r="B15" s="52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79">
        <v>1</v>
      </c>
      <c r="B16" s="80" t="s">
        <v>51</v>
      </c>
      <c r="C16" s="81"/>
      <c r="D16" s="82"/>
      <c r="E16" s="83" t="s">
        <v>43</v>
      </c>
      <c r="F16" s="84">
        <v>16500</v>
      </c>
      <c r="G16" s="83">
        <v>3</v>
      </c>
      <c r="H16" s="85">
        <f>G16*F16</f>
        <v>49500</v>
      </c>
    </row>
    <row r="17" spans="1:8" ht="19.5" customHeight="1" x14ac:dyDescent="0.25">
      <c r="A17" s="57"/>
      <c r="B17" s="39"/>
      <c r="E17" s="43"/>
      <c r="F17" s="53"/>
      <c r="H17" s="38"/>
    </row>
    <row r="18" spans="1:8" ht="19.5" customHeight="1" x14ac:dyDescent="0.25">
      <c r="A18" s="58"/>
      <c r="B18" s="40"/>
      <c r="C18" s="41"/>
      <c r="D18" s="41"/>
      <c r="E18" s="24"/>
      <c r="F18" s="54"/>
      <c r="G18" s="41"/>
      <c r="H18" s="42"/>
    </row>
    <row r="19" spans="1:8" ht="19.5" customHeight="1" thickBot="1" x14ac:dyDescent="0.3">
      <c r="H19" s="55"/>
    </row>
    <row r="20" spans="1:8" ht="19.5" customHeight="1" thickBot="1" x14ac:dyDescent="0.35">
      <c r="A20" s="87" t="s">
        <v>25</v>
      </c>
      <c r="B20" s="12" t="s">
        <v>52</v>
      </c>
      <c r="C20" s="13"/>
      <c r="D20" s="14"/>
      <c r="E20" s="70"/>
      <c r="F20" s="56" t="s">
        <v>31</v>
      </c>
      <c r="G20" s="6"/>
      <c r="H20" s="7"/>
    </row>
    <row r="21" spans="1:8" ht="19.5" customHeight="1" thickBot="1" x14ac:dyDescent="0.3">
      <c r="A21" s="88"/>
      <c r="B21" s="17" t="s">
        <v>53</v>
      </c>
      <c r="C21" s="4"/>
      <c r="D21" s="18"/>
      <c r="E21" s="71" t="s">
        <v>26</v>
      </c>
      <c r="F21" s="72"/>
      <c r="G21" s="73"/>
      <c r="H21" s="69">
        <f>SUM(H16:H16)</f>
        <v>49500</v>
      </c>
    </row>
    <row r="22" spans="1:8" ht="19.5" customHeight="1" x14ac:dyDescent="0.25">
      <c r="A22" s="27" t="s">
        <v>27</v>
      </c>
      <c r="B22" s="13"/>
      <c r="C22" s="13"/>
      <c r="D22" s="14"/>
      <c r="E22" s="74" t="s">
        <v>33</v>
      </c>
      <c r="F22" s="59"/>
      <c r="G22" s="75">
        <v>0.19</v>
      </c>
      <c r="H22" s="50">
        <f>H21*G22</f>
        <v>9405</v>
      </c>
    </row>
    <row r="23" spans="1:8" ht="15.75" x14ac:dyDescent="0.25">
      <c r="A23" s="15" t="s">
        <v>44</v>
      </c>
      <c r="D23" s="16"/>
      <c r="E23" s="76" t="s">
        <v>28</v>
      </c>
      <c r="G23" s="86">
        <v>2.5000000000000001E-2</v>
      </c>
      <c r="H23" s="46"/>
    </row>
    <row r="24" spans="1:8" ht="15.75" x14ac:dyDescent="0.25">
      <c r="A24" s="15" t="s">
        <v>40</v>
      </c>
      <c r="D24" s="16"/>
      <c r="E24" s="15"/>
      <c r="F24" s="44"/>
      <c r="G24" s="62"/>
      <c r="H24" s="47"/>
    </row>
    <row r="25" spans="1:8" ht="16.5" thickBot="1" x14ac:dyDescent="0.3">
      <c r="A25" s="15" t="s">
        <v>35</v>
      </c>
      <c r="D25" s="16"/>
      <c r="E25" s="77" t="s">
        <v>29</v>
      </c>
      <c r="F25" s="78"/>
      <c r="G25" s="68"/>
      <c r="H25" s="48"/>
    </row>
    <row r="26" spans="1:8" ht="16.5" customHeight="1" thickBot="1" x14ac:dyDescent="0.35">
      <c r="A26" s="17"/>
      <c r="B26" s="4"/>
      <c r="C26" s="4"/>
      <c r="D26" s="18"/>
      <c r="F26" s="3"/>
      <c r="G26" s="45" t="s">
        <v>30</v>
      </c>
      <c r="H26" s="51">
        <f>H21+H22-H23</f>
        <v>58905</v>
      </c>
    </row>
    <row r="28" spans="1:8" x14ac:dyDescent="0.25">
      <c r="A28" t="s">
        <v>1</v>
      </c>
    </row>
    <row r="30" spans="1:8" ht="15.75" thickBot="1" x14ac:dyDescent="0.3"/>
    <row r="31" spans="1:8" ht="19.5" thickBot="1" x14ac:dyDescent="0.35">
      <c r="A31" s="28" t="s">
        <v>41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2024-08-21T21:09:52Z</cp:lastPrinted>
  <dcterms:created xsi:type="dcterms:W3CDTF">2018-11-15T17:29:02Z</dcterms:created>
  <dcterms:modified xsi:type="dcterms:W3CDTF">2024-08-28T13:42:01Z</dcterms:modified>
</cp:coreProperties>
</file>