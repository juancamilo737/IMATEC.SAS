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316F89F-7234-45DF-BE0F-4F23996FF11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IS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1" l="1"/>
  <c r="H39" i="1"/>
  <c r="H37" i="1"/>
  <c r="H34" i="1" l="1"/>
  <c r="H33" i="1"/>
  <c r="H32" i="1"/>
  <c r="H31" i="1"/>
  <c r="H30" i="1"/>
  <c r="H29" i="1"/>
  <c r="H28" i="1"/>
  <c r="H27" i="1"/>
  <c r="H26" i="1"/>
  <c r="H25" i="1"/>
  <c r="H24" i="1"/>
  <c r="H23" i="1"/>
  <c r="H21" i="1"/>
  <c r="H19" i="1"/>
  <c r="H18" i="1"/>
  <c r="H17" i="1"/>
  <c r="H16" i="1"/>
  <c r="H38" i="1" l="1"/>
</calcChain>
</file>

<file path=xl/sharedStrings.xml><?xml version="1.0" encoding="utf-8"?>
<sst xmlns="http://schemas.openxmlformats.org/spreadsheetml/2006/main" count="96" uniqueCount="75">
  <si>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</si>
  <si>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</si>
  <si>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</si>
  <si>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</si>
  <si>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</si>
  <si>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</si>
  <si>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</si>
  <si>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</si>
  <si>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</si>
  <si>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</si>
  <si>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</si>
  <si>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</si>
  <si>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</si>
  <si>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</si>
  <si>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</si>
  <si>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</si>
  <si>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</si>
  <si>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</si>
  <si>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</si>
  <si>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</si>
  <si>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</si>
  <si>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</si>
  <si>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</si>
  <si>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</si>
  <si>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</si>
  <si>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</si>
  <si>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</si>
  <si>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</si>
  <si>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</si>
  <si>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</si>
  <si>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</si>
  <si>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</si>
  <si>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</si>
  <si>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</si>
  <si>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</si>
  <si>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</si>
  <si>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</si>
  <si>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</si>
  <si>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</si>
  <si>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</si>
  <si>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</si>
  <si>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CISAM INGENIERIA S.A.S.</t>
  </si>
  <si>
    <t>No. 1</t>
  </si>
  <si>
    <t>900 636950</t>
  </si>
  <si>
    <t>CALLE 7 OESTE  No. 2 - 80 APTO 301</t>
  </si>
  <si>
    <t>CALI</t>
  </si>
  <si>
    <t>ing.arturogomez@gmail.com</t>
  </si>
  <si>
    <t>602 3465930</t>
  </si>
  <si>
    <t>EDINSON CABEZAS</t>
  </si>
  <si>
    <t>CODO A / C STD 16 "  X  90 º BRIDA X BRIDA</t>
  </si>
  <si>
    <t>FABRICACION</t>
  </si>
  <si>
    <t>RED COPA CONCENTRICA 16 " X 10 " BRIDA X BRIDA</t>
  </si>
  <si>
    <t>TEE A / C  14 "  BRIDADA</t>
  </si>
  <si>
    <t>VALVULA MARIPOSA CUERPO HO DISCO INOX</t>
  </si>
  <si>
    <t>14 " CAJA DE ENGRANAJE</t>
  </si>
  <si>
    <t>6 " CAJA DE ENGRANAJE</t>
  </si>
  <si>
    <t>CODO  A / C  STD 14 "  X  90 º BRIDA X BRIDA</t>
  </si>
  <si>
    <t>UNION DRESSER 14 "</t>
  </si>
  <si>
    <t>NIPLE  A  / C  BRIDA X BRIDA</t>
  </si>
  <si>
    <t>14 "  X  195  CMT</t>
  </si>
  <si>
    <t>14 "  X  405 CMT</t>
  </si>
  <si>
    <t>14 "  X  50 CMTS</t>
  </si>
  <si>
    <t>14 "  X  15 CMTS</t>
  </si>
  <si>
    <t>14 "  X  335 CMT</t>
  </si>
  <si>
    <t>14 "  X  185  CMT</t>
  </si>
  <si>
    <t>NIPLE  A / C   BRIDA X ESPINAPESC</t>
  </si>
  <si>
    <t>6 "  X  20 CMTS</t>
  </si>
  <si>
    <t>CODO  HD  6 "  X  90 º  CAMPANA</t>
  </si>
  <si>
    <t>TUBERIA PVC BIAXIAL RDE 26  6 "  X  6 MTS</t>
  </si>
  <si>
    <t>TUBO</t>
  </si>
  <si>
    <t>NIPLE  A / C   BRIDA X EXT.  LISO</t>
  </si>
  <si>
    <t>SESENTA Y OCHO MILLONES QUINIENTOS NOVENTA MIL</t>
  </si>
  <si>
    <t>QUINIENTOS CUARENTA PESOS MDA / CTE</t>
  </si>
  <si>
    <t>FORMA DE PAGO : 70 % ANTICIPO  SALDO CONTRA ENTREGA</t>
  </si>
  <si>
    <t>ENTREGA EN OCHO DIAS HABILES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</si>
</sst>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g.arturogom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7"/>
  <sheetViews>
    <sheetView tabSelected="1" topLeftCell="A17" zoomScaleNormal="100" workbookViewId="0">
      <selection activeCell="K32" sqref="K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45812</v>
      </c>
    </row>
    <row r="10" spans="1:8" ht="18.75" x14ac:dyDescent="0.3">
      <c r="A10" s="21" t="s">
        <v>13</v>
      </c>
      <c r="C10" s="64" t="s">
        <v>46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45821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50</v>
      </c>
      <c r="F16" s="69">
        <v>2200000</v>
      </c>
      <c r="G16" s="65">
        <v>1</v>
      </c>
      <c r="H16" s="38">
        <f t="shared" ref="H16" si="0">G16*F16</f>
        <v>2200000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50</v>
      </c>
      <c r="F17" s="69">
        <v>1350000</v>
      </c>
      <c r="G17" s="65">
        <v>1</v>
      </c>
      <c r="H17" s="38">
        <f t="shared" ref="H17:H34" si="1">G17*F17</f>
        <v>1350000</v>
      </c>
    </row>
    <row r="18" spans="1:8" ht="16.5" thickBot="1" x14ac:dyDescent="0.3">
      <c r="A18" s="65">
        <v>3</v>
      </c>
      <c r="B18" s="66" t="s">
        <v>52</v>
      </c>
      <c r="C18" s="67"/>
      <c r="D18" s="68"/>
      <c r="E18" s="65" t="s">
        <v>50</v>
      </c>
      <c r="F18" s="69">
        <v>2350000</v>
      </c>
      <c r="G18" s="65">
        <v>2</v>
      </c>
      <c r="H18" s="38">
        <f t="shared" si="1"/>
        <v>4700000</v>
      </c>
    </row>
    <row r="19" spans="1:8" ht="16.5" thickBot="1" x14ac:dyDescent="0.3">
      <c r="A19" s="65">
        <v>4</v>
      </c>
      <c r="B19" s="66" t="s">
        <v>53</v>
      </c>
      <c r="C19" s="67"/>
      <c r="D19" s="68"/>
      <c r="E19" s="65" t="s">
        <v>38</v>
      </c>
      <c r="F19" s="69">
        <v>4410000</v>
      </c>
      <c r="G19" s="65">
        <v>3</v>
      </c>
      <c r="H19" s="38">
        <f t="shared" si="1"/>
        <v>13230000</v>
      </c>
    </row>
    <row r="20" spans="1:8" ht="16.5" thickBot="1" x14ac:dyDescent="0.3">
      <c r="A20" s="65"/>
      <c r="B20" s="66" t="s">
        <v>54</v>
      </c>
      <c r="C20" s="67"/>
      <c r="D20" s="68"/>
      <c r="E20" s="65"/>
      <c r="F20" s="69"/>
      <c r="G20" s="65"/>
      <c r="H20" s="38"/>
    </row>
    <row r="21" spans="1:8" ht="16.5" thickBot="1" x14ac:dyDescent="0.3">
      <c r="A21" s="65">
        <v>5</v>
      </c>
      <c r="B21" s="66" t="s">
        <v>53</v>
      </c>
      <c r="C21" s="67"/>
      <c r="D21" s="68"/>
      <c r="E21" s="65" t="s">
        <v>38</v>
      </c>
      <c r="F21" s="69">
        <v>460000</v>
      </c>
      <c r="G21" s="65">
        <v>3</v>
      </c>
      <c r="H21" s="38">
        <f t="shared" si="1"/>
        <v>1380000</v>
      </c>
    </row>
    <row r="22" spans="1:8" ht="16.5" thickBot="1" x14ac:dyDescent="0.3">
      <c r="A22" s="65"/>
      <c r="B22" s="66" t="s">
        <v>55</v>
      </c>
      <c r="C22" s="67"/>
      <c r="D22" s="68"/>
      <c r="E22" s="65"/>
      <c r="F22" s="69"/>
      <c r="G22" s="65"/>
      <c r="H22" s="38"/>
    </row>
    <row r="23" spans="1:8" ht="16.5" thickBot="1" x14ac:dyDescent="0.3">
      <c r="A23" s="65">
        <v>6</v>
      </c>
      <c r="B23" s="66" t="s">
        <v>56</v>
      </c>
      <c r="C23" s="67"/>
      <c r="D23" s="68"/>
      <c r="E23" s="65" t="s">
        <v>50</v>
      </c>
      <c r="F23" s="69">
        <v>1650000</v>
      </c>
      <c r="G23" s="65">
        <v>6</v>
      </c>
      <c r="H23" s="38">
        <f t="shared" si="1"/>
        <v>9900000</v>
      </c>
    </row>
    <row r="24" spans="1:8" ht="16.5" thickBot="1" x14ac:dyDescent="0.3">
      <c r="A24" s="65">
        <v>7</v>
      </c>
      <c r="B24" s="66" t="s">
        <v>57</v>
      </c>
      <c r="C24" s="67"/>
      <c r="D24" s="68"/>
      <c r="E24" s="65" t="s">
        <v>38</v>
      </c>
      <c r="F24" s="69">
        <v>1250000</v>
      </c>
      <c r="G24" s="65">
        <v>2</v>
      </c>
      <c r="H24" s="38">
        <f t="shared" si="1"/>
        <v>2500000</v>
      </c>
    </row>
    <row r="25" spans="1:8" ht="16.5" thickBot="1" x14ac:dyDescent="0.3">
      <c r="A25" s="65">
        <v>8</v>
      </c>
      <c r="B25" s="66" t="s">
        <v>58</v>
      </c>
      <c r="C25" s="67"/>
      <c r="D25" s="68" t="s">
        <v>59</v>
      </c>
      <c r="E25" s="65" t="s">
        <v>50</v>
      </c>
      <c r="F25" s="69">
        <v>2600000</v>
      </c>
      <c r="G25" s="65">
        <v>2</v>
      </c>
      <c r="H25" s="38">
        <f t="shared" si="1"/>
        <v>5200000</v>
      </c>
    </row>
    <row r="26" spans="1:8" ht="16.5" thickBot="1" x14ac:dyDescent="0.3">
      <c r="A26" s="65">
        <v>9</v>
      </c>
      <c r="B26" s="66" t="s">
        <v>58</v>
      </c>
      <c r="C26" s="67"/>
      <c r="D26" s="68" t="s">
        <v>60</v>
      </c>
      <c r="E26" s="65" t="s">
        <v>50</v>
      </c>
      <c r="F26" s="69">
        <v>4200000</v>
      </c>
      <c r="G26" s="65">
        <v>1</v>
      </c>
      <c r="H26" s="38">
        <f t="shared" si="1"/>
        <v>4200000</v>
      </c>
    </row>
    <row r="27" spans="1:8" ht="16.5" thickBot="1" x14ac:dyDescent="0.3">
      <c r="A27" s="65">
        <v>10</v>
      </c>
      <c r="B27" s="66" t="s">
        <v>58</v>
      </c>
      <c r="C27" s="67"/>
      <c r="D27" s="68" t="s">
        <v>61</v>
      </c>
      <c r="E27" s="65" t="s">
        <v>50</v>
      </c>
      <c r="F27" s="69">
        <v>1450000</v>
      </c>
      <c r="G27" s="65">
        <v>1</v>
      </c>
      <c r="H27" s="38">
        <f t="shared" si="1"/>
        <v>1450000</v>
      </c>
    </row>
    <row r="28" spans="1:8" ht="16.5" thickBot="1" x14ac:dyDescent="0.3">
      <c r="A28" s="65">
        <v>11</v>
      </c>
      <c r="B28" s="66" t="s">
        <v>58</v>
      </c>
      <c r="C28" s="67"/>
      <c r="D28" s="68" t="s">
        <v>62</v>
      </c>
      <c r="E28" s="65" t="s">
        <v>50</v>
      </c>
      <c r="F28" s="69">
        <v>1100000</v>
      </c>
      <c r="G28" s="65">
        <v>1</v>
      </c>
      <c r="H28" s="38">
        <f t="shared" si="1"/>
        <v>1100000</v>
      </c>
    </row>
    <row r="29" spans="1:8" ht="16.5" thickBot="1" x14ac:dyDescent="0.3">
      <c r="A29" s="65">
        <v>12</v>
      </c>
      <c r="B29" s="66" t="s">
        <v>58</v>
      </c>
      <c r="C29" s="67"/>
      <c r="D29" s="68" t="s">
        <v>63</v>
      </c>
      <c r="E29" s="65" t="s">
        <v>50</v>
      </c>
      <c r="F29" s="69">
        <v>3600000</v>
      </c>
      <c r="G29" s="65">
        <v>1</v>
      </c>
      <c r="H29" s="38">
        <f t="shared" si="1"/>
        <v>3600000</v>
      </c>
    </row>
    <row r="30" spans="1:8" ht="16.5" thickBot="1" x14ac:dyDescent="0.3">
      <c r="A30" s="65">
        <v>13</v>
      </c>
      <c r="B30" s="66" t="s">
        <v>58</v>
      </c>
      <c r="C30" s="67"/>
      <c r="D30" s="68" t="s">
        <v>64</v>
      </c>
      <c r="E30" s="65" t="s">
        <v>50</v>
      </c>
      <c r="F30" s="69">
        <v>2200000</v>
      </c>
      <c r="G30" s="65">
        <v>1</v>
      </c>
      <c r="H30" s="38">
        <f t="shared" si="1"/>
        <v>2200000</v>
      </c>
    </row>
    <row r="31" spans="1:8" ht="16.5" thickBot="1" x14ac:dyDescent="0.3">
      <c r="A31" s="65">
        <v>14</v>
      </c>
      <c r="B31" s="66" t="s">
        <v>65</v>
      </c>
      <c r="C31" s="67"/>
      <c r="D31" s="68" t="s">
        <v>66</v>
      </c>
      <c r="E31" s="65" t="s">
        <v>50</v>
      </c>
      <c r="F31" s="69">
        <v>270000</v>
      </c>
      <c r="G31" s="65">
        <v>1</v>
      </c>
      <c r="H31" s="38">
        <f t="shared" si="1"/>
        <v>270000</v>
      </c>
    </row>
    <row r="32" spans="1:8" ht="16.5" thickBot="1" x14ac:dyDescent="0.3">
      <c r="A32" s="65">
        <v>15</v>
      </c>
      <c r="B32" s="66" t="s">
        <v>70</v>
      </c>
      <c r="C32" s="67"/>
      <c r="D32" s="68" t="s">
        <v>66</v>
      </c>
      <c r="E32" s="65" t="s">
        <v>50</v>
      </c>
      <c r="F32" s="69">
        <v>240000</v>
      </c>
      <c r="G32" s="65">
        <v>1</v>
      </c>
      <c r="H32" s="38">
        <f t="shared" si="1"/>
        <v>240000</v>
      </c>
    </row>
    <row r="33" spans="1:8" ht="16.5" thickBot="1" x14ac:dyDescent="0.3">
      <c r="A33" s="65">
        <v>16</v>
      </c>
      <c r="B33" s="66" t="s">
        <v>67</v>
      </c>
      <c r="C33" s="67"/>
      <c r="D33" s="68"/>
      <c r="E33" s="65" t="s">
        <v>38</v>
      </c>
      <c r="F33" s="69">
        <v>472000</v>
      </c>
      <c r="G33" s="65">
        <v>1</v>
      </c>
      <c r="H33" s="38">
        <f t="shared" si="1"/>
        <v>472000</v>
      </c>
    </row>
    <row r="34" spans="1:8" ht="16.5" thickBot="1" x14ac:dyDescent="0.3">
      <c r="A34" s="65">
        <v>17</v>
      </c>
      <c r="B34" s="66" t="s">
        <v>68</v>
      </c>
      <c r="C34" s="67"/>
      <c r="D34" s="68"/>
      <c r="E34" s="65" t="s">
        <v>69</v>
      </c>
      <c r="F34" s="69">
        <v>407000</v>
      </c>
      <c r="G34" s="65">
        <v>12</v>
      </c>
      <c r="H34" s="38">
        <f t="shared" si="1"/>
        <v>4884000</v>
      </c>
    </row>
    <row r="35" spans="1:8" ht="19.5" customHeight="1" thickBot="1" x14ac:dyDescent="0.3">
      <c r="A35" s="47"/>
      <c r="B35" s="61"/>
      <c r="D35" s="62"/>
      <c r="E35" s="47"/>
      <c r="F35" s="47"/>
      <c r="G35" s="47"/>
    </row>
    <row r="36" spans="1:8" ht="19.5" customHeight="1" thickBot="1" x14ac:dyDescent="0.35">
      <c r="A36" s="60" t="s">
        <v>23</v>
      </c>
      <c r="B36" s="63" t="s">
        <v>71</v>
      </c>
      <c r="C36" s="12"/>
      <c r="D36" s="13"/>
      <c r="E36" s="48"/>
      <c r="F36" s="37" t="s">
        <v>39</v>
      </c>
      <c r="G36" s="6"/>
      <c r="H36" s="7"/>
    </row>
    <row r="37" spans="1:8" ht="19.5" customHeight="1" thickBot="1" x14ac:dyDescent="0.3">
      <c r="A37" s="39"/>
      <c r="B37" s="16" t="s">
        <v>72</v>
      </c>
      <c r="C37" s="4"/>
      <c r="D37" s="17"/>
      <c r="E37" s="51" t="s">
        <v>24</v>
      </c>
      <c r="F37" s="52"/>
      <c r="G37" s="44"/>
      <c r="H37" s="49">
        <f>SUM(H16:H34)</f>
        <v>58876000</v>
      </c>
    </row>
    <row r="38" spans="1:8" ht="19.5" customHeight="1" x14ac:dyDescent="0.25">
      <c r="A38" s="24" t="s">
        <v>25</v>
      </c>
      <c r="B38" s="12"/>
      <c r="C38" s="12"/>
      <c r="D38" s="12"/>
      <c r="E38" s="53" t="s">
        <v>29</v>
      </c>
      <c r="F38" s="23"/>
      <c r="G38" s="54">
        <v>0.19</v>
      </c>
      <c r="H38" s="40">
        <f>H37*G38</f>
        <v>11186440</v>
      </c>
    </row>
    <row r="39" spans="1:8" ht="19.5" customHeight="1" x14ac:dyDescent="0.25">
      <c r="A39" s="14" t="s">
        <v>73</v>
      </c>
      <c r="E39" s="55" t="s">
        <v>26</v>
      </c>
      <c r="G39" s="58">
        <v>2.5000000000000001E-2</v>
      </c>
      <c r="H39" s="50">
        <f>H37*G39</f>
        <v>1471900</v>
      </c>
    </row>
    <row r="40" spans="1:8" ht="15.75" x14ac:dyDescent="0.25">
      <c r="A40" s="14" t="s">
        <v>74</v>
      </c>
      <c r="E40" s="14"/>
      <c r="F40" s="33"/>
      <c r="G40" s="45"/>
      <c r="H40" s="15"/>
    </row>
    <row r="41" spans="1:8" ht="16.5" thickBot="1" x14ac:dyDescent="0.3">
      <c r="A41" s="14" t="s">
        <v>32</v>
      </c>
      <c r="E41" s="56" t="s">
        <v>27</v>
      </c>
      <c r="F41" s="57"/>
      <c r="G41" s="46"/>
      <c r="H41" s="17"/>
    </row>
    <row r="42" spans="1:8" ht="19.5" thickBot="1" x14ac:dyDescent="0.35">
      <c r="A42" s="16"/>
      <c r="B42" s="4"/>
      <c r="C42" s="4"/>
      <c r="D42" s="17"/>
      <c r="F42" s="3"/>
      <c r="G42" s="34" t="s">
        <v>28</v>
      </c>
      <c r="H42" s="36">
        <f>H37+H38-H39</f>
        <v>68590540</v>
      </c>
    </row>
    <row r="43" spans="1:8" ht="16.5" customHeight="1" x14ac:dyDescent="0.25"/>
    <row r="48" spans="1:8" ht="15.75" thickBot="1" x14ac:dyDescent="0.3"/>
    <row r="49" spans="1:8" ht="19.5" thickBot="1" x14ac:dyDescent="0.35">
      <c r="A49" s="25" t="s">
        <v>40</v>
      </c>
      <c r="B49" s="6"/>
      <c r="C49" s="6"/>
      <c r="D49" s="6"/>
      <c r="E49" s="6"/>
      <c r="F49" s="6"/>
      <c r="G49" s="6"/>
      <c r="H49" s="7"/>
    </row>
    <row r="57" spans="1:8" ht="18.75" x14ac:dyDescent="0.3">
      <c r="A57" s="5"/>
    </row>
  </sheetData>
  <hyperlinks>
    <hyperlink ref="C10" r:id="rId1" xr:uid="{634E7AAD-1F14-42D6-BDBB-EC1D815552F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2025-06-04T22:16:20Z</dcterms:modified>
</cp:coreProperties>
</file>