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2132EDD-A432-4C00-B87A-C96E8C0784B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NSORCIO SANE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7" i="1" l="1"/>
  <c r="H116" i="1"/>
  <c r="H115" i="1"/>
  <c r="H111" i="1"/>
  <c r="H109" i="1"/>
  <c r="H97" i="1"/>
  <c r="H104" i="1"/>
  <c r="H99" i="1"/>
  <c r="H89" i="1"/>
  <c r="H93" i="1"/>
  <c r="H88" i="1"/>
  <c r="H85" i="1"/>
  <c r="H84" i="1"/>
  <c r="H83" i="1"/>
  <c r="H80" i="1"/>
  <c r="H77" i="1"/>
  <c r="H74" i="1"/>
  <c r="H70" i="1"/>
  <c r="H68" i="1"/>
  <c r="H66" i="1"/>
  <c r="H64" i="1"/>
  <c r="H62" i="1"/>
  <c r="H61" i="1"/>
  <c r="H58" i="1"/>
  <c r="H54" i="1"/>
  <c r="H50" i="1"/>
  <c r="H48" i="1"/>
  <c r="H44" i="1"/>
  <c r="H43" i="1"/>
  <c r="H39" i="1"/>
  <c r="H35" i="1"/>
  <c r="H33" i="1"/>
  <c r="H31" i="1"/>
  <c r="H30" i="1"/>
  <c r="H29" i="1"/>
  <c r="H28" i="1"/>
  <c r="H27" i="1"/>
  <c r="H25" i="1"/>
  <c r="H23" i="1"/>
  <c r="H21" i="1"/>
  <c r="H19" i="1"/>
  <c r="H17" i="1"/>
  <c r="H24" i="1"/>
  <c r="H22" i="1"/>
  <c r="H20" i="1"/>
  <c r="H18" i="1"/>
  <c r="H16" i="1"/>
  <c r="H120" i="1" l="1"/>
</calcChain>
</file>

<file path=xl/sharedStrings.xml><?xml version="1.0" encoding="utf-8"?>
<sst xmlns="http://schemas.openxmlformats.org/spreadsheetml/2006/main" count="238" uniqueCount="195">
  <si>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</si>
  <si>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</si>
  <si>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</si>
  <si>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</si>
  <si>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</si>
  <si>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</si>
  <si>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</si>
  <si>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</si>
  <si>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</si>
  <si>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</si>
  <si>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</si>
  <si>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</si>
  <si>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</si>
  <si>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</si>
  <si>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</si>
  <si>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</si>
  <si>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</si>
  <si>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</si>
  <si>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</si>
  <si>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</si>
  <si>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</si>
  <si>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</si>
  <si>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</si>
  <si>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</si>
  <si>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</si>
  <si>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</si>
  <si>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</si>
  <si>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</si>
  <si>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</si>
  <si>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</si>
  <si>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</si>
  <si>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</si>
  <si>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</si>
  <si>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</si>
  <si>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</si>
  <si>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</si>
  <si>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</si>
  <si>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</si>
  <si>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</si>
  <si>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ACCESORIO</t>
  </si>
  <si>
    <t>CONTACTOS   310 8306118       319 7174165        321 7834969</t>
  </si>
  <si>
    <t xml:space="preserve">  CALLE  33B  No. 17C - 70  2º  PISO               B/  LA FLORESTA             -   CALI    -                                  CEL.     321 7834969</t>
  </si>
  <si>
    <t>CONSORCIO SANEAR CANDELARIA 2022</t>
  </si>
  <si>
    <t>901 659998</t>
  </si>
  <si>
    <t>AV 6 Nte. 14 -31  Of 702</t>
  </si>
  <si>
    <t>CALI</t>
  </si>
  <si>
    <t>contadorconingenieria@gmail.com</t>
  </si>
  <si>
    <t>LUIS NA. BENAVIDES</t>
  </si>
  <si>
    <t>602 6686671</t>
  </si>
  <si>
    <t>8,5,10</t>
  </si>
  <si>
    <t>CODO AC/INOX  6" X 90º EXTREMOS BRIDADOS</t>
  </si>
  <si>
    <t>8,5,11</t>
  </si>
  <si>
    <t>NIPLE AC/INOX 6" X 4"  EXTREMOS BRIDADOS</t>
  </si>
  <si>
    <t>8,5,12</t>
  </si>
  <si>
    <t>TEE AC/INOX  6"X4"  EXTREMOS BRIDADOS</t>
  </si>
  <si>
    <t>8,5,13</t>
  </si>
  <si>
    <t>NIPLE 6"  X 6,58 MTS EXTREMOS BRIDADOS</t>
  </si>
  <si>
    <t>8,5,15</t>
  </si>
  <si>
    <t>CODO AC/INOX 4"X 90º EXTREMOS BRIDADOS</t>
  </si>
  <si>
    <t>HDM224</t>
  </si>
  <si>
    <t>NIPLE AC/INOX 4"  X  6,40 MTS EXTREMOS BRIDADOS</t>
  </si>
  <si>
    <t>HDM028</t>
  </si>
  <si>
    <t>NIPLE AC/INOX  4"  X 0,56 MTS EXTREMOS BRIDADOS</t>
  </si>
  <si>
    <t>HDM026</t>
  </si>
  <si>
    <t>NIPLE  AC/INOX  4"  X  1,27 MTS  EXTREMOS BRIDADOS</t>
  </si>
  <si>
    <t>HDM027</t>
  </si>
  <si>
    <t>REDUCCION  AC/INOX  6" X 4" EXTREMOS BRIDADOS</t>
  </si>
  <si>
    <t>HDM013</t>
  </si>
  <si>
    <t>NIPLE PASAMURO AC/INOX 6" EXTREMOS BRIDADOS</t>
  </si>
  <si>
    <t>L=1,22 MTS Z= 0,30 MTS</t>
  </si>
  <si>
    <t>HDM018</t>
  </si>
  <si>
    <t>TEE  AC/INOX  6" EXTREMOS BRIDADOS</t>
  </si>
  <si>
    <t>HDM019</t>
  </si>
  <si>
    <t>HDM021</t>
  </si>
  <si>
    <t>NIPLE  AC/INOX 6" X 4,84 MTS  EXTREMOS BRIDADOS</t>
  </si>
  <si>
    <t>NIPLE  AC/INOX 6" X  0,87 MTS EXTREMOS BRIDADOS</t>
  </si>
  <si>
    <t>HDM030</t>
  </si>
  <si>
    <t>NIPLE  AC/INOX 4" X 2,5 MTS  EXTREMOS BRIDADOS</t>
  </si>
  <si>
    <t>10,1,25</t>
  </si>
  <si>
    <t>NIPLE AC/INOX 8 " EXTREMO BRIDA CON SALIDA ROSCA</t>
  </si>
  <si>
    <t>10,1,44</t>
  </si>
  <si>
    <t xml:space="preserve">NIPLE AC/INOX 4" EXTREMOS BRIDADOS CON SALIDA </t>
  </si>
  <si>
    <t>HEMBRA NPT 1/2 " L=0,25 MTS</t>
  </si>
  <si>
    <t>ROSCA HEMBRA NPT 1/2 " L=0,482 MTS</t>
  </si>
  <si>
    <t>HDM075</t>
  </si>
  <si>
    <t>MANIFOLD DE SUCCION AC/INOX 6" DESDE SEDIMENTA</t>
  </si>
  <si>
    <t>TRAMOS DE TUBERIA Y TRES TEES PARA CONSTRUIR EN</t>
  </si>
  <si>
    <t>OBRA</t>
  </si>
  <si>
    <t>HDM076</t>
  </si>
  <si>
    <t>MANIFOLD DE IMPULSION AC/INOX 4 " HACIA ESPESA-</t>
  </si>
  <si>
    <t>DOR,INCLUYE 5 BRIDA EN EXTREMOS ANSI CL 150,SEIS</t>
  </si>
  <si>
    <t>DOR,INCLUYE 5 BRIDAS EN EXTREMOS ANSI CL 150,CIN-</t>
  </si>
  <si>
    <t>45 º PARA CONSTRUIR EN OBRA</t>
  </si>
  <si>
    <t>CO TRAMOS DE TUBERIA, TRES TEES Y TRES CODOS DE</t>
  </si>
  <si>
    <t>HDM090</t>
  </si>
  <si>
    <t>NIPLE AC/INOX SCH 40  8" EXTREMO ROSCA X BRIDA</t>
  </si>
  <si>
    <t>HDM060</t>
  </si>
  <si>
    <t>CONJUNTO DE CONEXIÓN ENTRADA A BOMBA DE CAVI</t>
  </si>
  <si>
    <t>DAD PROGRESIVA EN AC/INOX 6" .INCLUYE 2 BRIDAS DE</t>
  </si>
  <si>
    <t>EXTREMO ANSI CL 150 , 2 TRAMOS DE TUBERIA , 1 CODO</t>
  </si>
  <si>
    <t>45 º Y OTRO DE 90 º PARA CONSTRUIR EN OBRA</t>
  </si>
  <si>
    <t>11,4,9</t>
  </si>
  <si>
    <t>NIPLE AC/INOX 6" EXTREMOS BRIDADOS ANSI CL 150</t>
  </si>
  <si>
    <t>L=0,84 MTS CON NIPLE BRIDADO DE DERIVACION EN 2"</t>
  </si>
  <si>
    <t>HDM061</t>
  </si>
  <si>
    <t>CONJUNTO DE CONEXIÓN PARA IMPULSION DESDE</t>
  </si>
  <si>
    <t>BOMBA DE CAVIDAD PROGRESIVA EN AC/INOX 4" IN-</t>
  </si>
  <si>
    <t>CLUYE 2 BRIDAS EN EXTREMOS ANSI CL 150 , 2 TRAMOS</t>
  </si>
  <si>
    <t>DE TUBERIA Y 1 CODO DE 90º PARA CONSTRUIR EN OBRA</t>
  </si>
  <si>
    <t>HDM058</t>
  </si>
  <si>
    <t xml:space="preserve">MANIFOLD PARA IMPULSION HACIA DIGESTORES EN </t>
  </si>
  <si>
    <t>AC/INOX 4" , INCLUYE 4 BRIDAS EN EXTREMOS ANSI CL</t>
  </si>
  <si>
    <t xml:space="preserve">150 , 2 TEES Y 3 TRAMOS DE TUBERIA PARA CONSTRUIR </t>
  </si>
  <si>
    <t>EN OBRA.</t>
  </si>
  <si>
    <t>HDM221</t>
  </si>
  <si>
    <t>CONJUNTO DE CONEXIÓN MIXTO EN AC/INOX 4" INCLU-</t>
  </si>
  <si>
    <t>YE 3 BRIDAS EN EXTREMO ANSI CL 150 , 1 TEE , 2 TRAMOS</t>
  </si>
  <si>
    <t>12,5,31</t>
  </si>
  <si>
    <t>TUBERIA AC/INOX  SCH 10  14"</t>
  </si>
  <si>
    <t>TUBO X 6 MTS</t>
  </si>
  <si>
    <t>12,5,32</t>
  </si>
  <si>
    <t>BRIDA AC/INOX 304 SLIP ON 14 " INCLUYE EMPAQUE Y</t>
  </si>
  <si>
    <t>TORNILLERIA</t>
  </si>
  <si>
    <t>12,5,34</t>
  </si>
  <si>
    <t>NIPLE PASAMURO 6" AC/INOX EXTREMOS BRIDADOS</t>
  </si>
  <si>
    <t>L= 1,07 MTS</t>
  </si>
  <si>
    <t>12,5,42</t>
  </si>
  <si>
    <t>NIPLE PASAMURO AC/INOX 6 " EXTREMOS BRIDADOS</t>
  </si>
  <si>
    <t>L=1,07 MTS  Z= 0,25 MTS</t>
  </si>
  <si>
    <t>HDM272</t>
  </si>
  <si>
    <t>NIPLE PASAMURO AC/INOX 6 "  EXTREMOS BRIDADOS</t>
  </si>
  <si>
    <t>L=0,44 MTS  Z= 0,22 MTS</t>
  </si>
  <si>
    <t>12,5,46</t>
  </si>
  <si>
    <t xml:space="preserve">NIPLE AC/INOX  14 "  EXTREMO BRIDADO Y EXTREMO </t>
  </si>
  <si>
    <t>LISO L= 1,60 MTS CON SALIDA LATERAL 6" A 1,2 DE ALTU-</t>
  </si>
  <si>
    <t>RA DESDE LA BRIDA LONGITUD DE LA SALIDA 150 mm A</t>
  </si>
  <si>
    <t>1,30 EXTREMO BRIDADO</t>
  </si>
  <si>
    <t>HDM143</t>
  </si>
  <si>
    <t>TEE AC/INOX DN 10" CON EXTREMO BRIDA X REDUCCION</t>
  </si>
  <si>
    <t>LISA A 6" EN EL SENTIDO LONGITUDINAL Y SALIDA LATE-</t>
  </si>
  <si>
    <t>RAL PARA SOLDAR 10 "</t>
  </si>
  <si>
    <t>HDM144</t>
  </si>
  <si>
    <t>BRIDA CIEGA AC/INOX DN 10 " CON ABERTURA CENTRAL</t>
  </si>
  <si>
    <t>6" PARA CONEXIÓN SOLDADA CON NPLE AC/INOX DN6"</t>
  </si>
  <si>
    <t>L= 0,50 MTS</t>
  </si>
  <si>
    <t>HDM029</t>
  </si>
  <si>
    <t>NIPLE  AC/INOX  10 "SCH 40 EXTREMOS BRIDADOS ANSI</t>
  </si>
  <si>
    <t>CL 150 L= 1,43 MTS CON SALIDA DE 4 "EB L= 0,15 MTS A</t>
  </si>
  <si>
    <t>0,30 MTS DE CUALQUIER EXTREMO</t>
  </si>
  <si>
    <t>TUBERIA AC/INOX 304  8 "  SCH 10</t>
  </si>
  <si>
    <t xml:space="preserve">METRO LINEAL </t>
  </si>
  <si>
    <t>12,5,59</t>
  </si>
  <si>
    <t>12,5,60</t>
  </si>
  <si>
    <t>BRIDA AC/INOX SLIP ON  8 "</t>
  </si>
  <si>
    <t>HDM242</t>
  </si>
  <si>
    <t>NIPLE AC/INOX 12 " EXTREMOS BRIDADOS L = 2,46 MTS</t>
  </si>
  <si>
    <t>INCLUYE DERIVACION AL CENTRO NIPLE 2 "  L=0,15 MTS</t>
  </si>
  <si>
    <t>ROSCA NPT</t>
  </si>
  <si>
    <t>12,5,116</t>
  </si>
  <si>
    <t>NIPLE AC/INOX  2 " EXTREMOS ROSCADOS NPT L= 0,15 M</t>
  </si>
  <si>
    <t>HDM254</t>
  </si>
  <si>
    <t>CONJUNTO DE TUBERIA AC/INOX SCH 1O DN 4 " PARA</t>
  </si>
  <si>
    <t>ELEVACION DE LODOSDESDE BOMBEO DE ESPESADOR A</t>
  </si>
  <si>
    <t xml:space="preserve">DIGESTOR 1 COMPUESTO POR 2 CODOS  90º , 1 CODO A </t>
  </si>
  <si>
    <t>45º , 2 BRIDAS ANSI CL 15  Y 3 NIPLES</t>
  </si>
  <si>
    <t>HDM255</t>
  </si>
  <si>
    <t xml:space="preserve">CONJUNTO DE TUNERIA AC/INOX SCH 10  DN 4 " PARA </t>
  </si>
  <si>
    <t>ELEVACION DE LODOS DESDE BOMBEO DE TRANFEREN-</t>
  </si>
  <si>
    <t xml:space="preserve">CIA A DIGESTOR 1 COMPUESTO POR 2 CODOS  90 º , 2 </t>
  </si>
  <si>
    <t>BRIDAS ANSI CL 150 Y 2 NIPLES</t>
  </si>
  <si>
    <t>12,5,41</t>
  </si>
  <si>
    <t>NIPLE PASAMURO AC/INOX 6 " EXTREMO BRIDA X LISO</t>
  </si>
  <si>
    <t>L=0,80 MTS</t>
  </si>
  <si>
    <t>HDM268</t>
  </si>
  <si>
    <t>ACCESORIO MIXTO  No. 1  CONSTRUIDO EN OBRA EN AC</t>
  </si>
  <si>
    <t>INOX DN 4 "  PARA ELEVACION DE LODOS CALIENTES</t>
  </si>
  <si>
    <t xml:space="preserve">DESDE INTERCAMBIADOR,COMPUESTO POR UN TRAMO </t>
  </si>
  <si>
    <t>RECTO L=0,15 MT , 2 CODOS DE 90º Y BRIDADO EN CADA</t>
  </si>
  <si>
    <t>EXTREMO.</t>
  </si>
  <si>
    <t>HDM269</t>
  </si>
  <si>
    <t>ACCESORIO MIXTO No. 2  CONSTRUIDO EN OBRA EN AC</t>
  </si>
  <si>
    <t>DESDE INTERCAMBIADOR,COMPUESTO POR DOS TRA-</t>
  </si>
  <si>
    <t>MOS RECTOS  LH=0,66 MTS Y LV= 6,5 MTS , 1 CODO 90º</t>
  </si>
  <si>
    <t>Y BRIDADO EN CADA EXTREMO.</t>
  </si>
  <si>
    <t>NIPLE PASAMURO AC/INOX 4 " EXTREMOS BRIDADOS</t>
  </si>
  <si>
    <t>L=0,40 MTS</t>
  </si>
  <si>
    <t>12,5,173</t>
  </si>
  <si>
    <t>HDM117</t>
  </si>
  <si>
    <t>NIPLE PASAMURO MIXTO  10 " AC/INOX EXTREMOS LISO</t>
  </si>
  <si>
    <t>COMPUESTO POR 2 TRAMOS RECTOS L1=0,90 MT L2=0,50</t>
  </si>
  <si>
    <t>MT  Y 1 CODO 90º PARA SOLDAR</t>
  </si>
  <si>
    <t>CIENTO OCHENTA Y NUEVE MILLONESQUINIENTOS VEIN</t>
  </si>
  <si>
    <t>TIOCHOMIL VEINTICINCO PESOS MDA / CTE</t>
  </si>
  <si>
    <t>FORMA DE PAGO : A CONVENIR</t>
  </si>
  <si>
    <t>ENTREGAS PARCIALES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</si>
</sst>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" fillId="0" borderId="19" xfId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1" fillId="0" borderId="21" xfId="1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42" fontId="1" fillId="0" borderId="24" xfId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0" fontId="0" fillId="0" borderId="25" xfId="0" applyBorder="1"/>
    <xf numFmtId="42" fontId="0" fillId="0" borderId="22" xfId="1" applyFont="1" applyBorder="1"/>
    <xf numFmtId="42" fontId="1" fillId="0" borderId="23" xfId="1" applyFont="1" applyBorder="1"/>
    <xf numFmtId="0" fontId="1" fillId="0" borderId="17" xfId="0" applyFont="1" applyBorder="1" applyAlignment="1">
      <alignment horizontal="left" vertical="top" wrapText="1"/>
    </xf>
    <xf numFmtId="42" fontId="1" fillId="0" borderId="20" xfId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/>
    <xf numFmtId="42" fontId="0" fillId="0" borderId="0" xfId="1" applyFont="1" applyBorder="1"/>
    <xf numFmtId="42" fontId="1" fillId="0" borderId="0" xfId="1" applyFont="1" applyBorder="1"/>
    <xf numFmtId="42" fontId="1" fillId="0" borderId="4" xfId="1" applyFont="1" applyBorder="1"/>
    <xf numFmtId="42" fontId="1" fillId="0" borderId="2" xfId="1" applyFont="1" applyBorder="1"/>
    <xf numFmtId="42" fontId="1" fillId="0" borderId="18" xfId="0" applyNumberFormat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3" xfId="0" applyFont="1" applyBorder="1"/>
    <xf numFmtId="0" fontId="1" fillId="0" borderId="2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9" xfId="0" applyFill="1" applyBorder="1"/>
    <xf numFmtId="0" fontId="0" fillId="0" borderId="11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3" fillId="0" borderId="32" xfId="2" applyBorder="1"/>
    <xf numFmtId="0" fontId="0" fillId="0" borderId="33" xfId="0" applyBorder="1"/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27" xfId="0" applyFont="1" applyBorder="1"/>
    <xf numFmtId="0" fontId="4" fillId="0" borderId="28" xfId="0" applyFont="1" applyBorder="1"/>
    <xf numFmtId="0" fontId="4" fillId="0" borderId="9" xfId="0" applyFont="1" applyBorder="1"/>
    <xf numFmtId="9" fontId="1" fillId="0" borderId="31" xfId="0" applyNumberFormat="1" applyFont="1" applyBorder="1"/>
    <xf numFmtId="0" fontId="4" fillId="0" borderId="32" xfId="0" applyFont="1" applyBorder="1"/>
    <xf numFmtId="10" fontId="1" fillId="0" borderId="10" xfId="0" applyNumberFormat="1" applyFont="1" applyBorder="1"/>
    <xf numFmtId="0" fontId="4" fillId="0" borderId="34" xfId="0" applyFont="1" applyBorder="1"/>
    <xf numFmtId="0" fontId="4" fillId="0" borderId="35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dorconingenie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4"/>
  <sheetViews>
    <sheetView tabSelected="1" topLeftCell="A106" zoomScaleNormal="100" workbookViewId="0">
      <selection activeCell="D131" sqref="D1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2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35</v>
      </c>
      <c r="E4" s="19"/>
      <c r="F4" s="20"/>
      <c r="G4" s="6"/>
      <c r="H4" s="7"/>
    </row>
    <row r="5" spans="1:8" ht="19.5" thickBot="1" x14ac:dyDescent="0.35">
      <c r="A5" s="47" t="s">
        <v>40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0" t="s">
        <v>42</v>
      </c>
      <c r="D7" s="13"/>
      <c r="E7" s="14"/>
      <c r="F7" s="27"/>
      <c r="G7" s="19"/>
      <c r="H7" s="20"/>
    </row>
    <row r="8" spans="1:8" ht="18.75" x14ac:dyDescent="0.3">
      <c r="A8" s="22" t="s">
        <v>9</v>
      </c>
      <c r="C8" s="74" t="s">
        <v>43</v>
      </c>
      <c r="D8" s="75"/>
      <c r="E8" s="76"/>
      <c r="F8" s="12"/>
      <c r="G8" s="13"/>
      <c r="H8" s="14"/>
    </row>
    <row r="9" spans="1:8" ht="18.75" customHeight="1" x14ac:dyDescent="0.3">
      <c r="A9" s="22" t="s">
        <v>10</v>
      </c>
      <c r="C9" s="77" t="s">
        <v>44</v>
      </c>
      <c r="D9" s="24"/>
      <c r="E9" s="78" t="s">
        <v>45</v>
      </c>
      <c r="F9" s="31" t="s">
        <v>0</v>
      </c>
      <c r="H9" s="32">
        <v>45545</v>
      </c>
    </row>
    <row r="10" spans="1:8" ht="18.75" x14ac:dyDescent="0.3">
      <c r="A10" s="22" t="s">
        <v>14</v>
      </c>
      <c r="C10" s="79" t="s">
        <v>46</v>
      </c>
      <c r="D10" s="25"/>
      <c r="E10" s="80"/>
      <c r="F10" s="31" t="s">
        <v>16</v>
      </c>
      <c r="H10" s="33" t="s">
        <v>37</v>
      </c>
    </row>
    <row r="11" spans="1:8" ht="18.75" x14ac:dyDescent="0.3">
      <c r="A11" s="22" t="s">
        <v>11</v>
      </c>
      <c r="C11" s="81"/>
      <c r="D11" s="25"/>
      <c r="E11" s="80"/>
      <c r="F11" s="31" t="s">
        <v>17</v>
      </c>
      <c r="G11" s="34"/>
      <c r="H11" s="32">
        <v>45553</v>
      </c>
    </row>
    <row r="12" spans="1:8" ht="18.75" x14ac:dyDescent="0.3">
      <c r="A12" s="22" t="s">
        <v>12</v>
      </c>
      <c r="C12" s="81" t="s">
        <v>48</v>
      </c>
      <c r="D12" s="25"/>
      <c r="E12" s="80"/>
      <c r="F12" s="31" t="s">
        <v>18</v>
      </c>
      <c r="H12" s="35"/>
    </row>
    <row r="13" spans="1:8" ht="18.75" customHeight="1" thickBot="1" x14ac:dyDescent="0.35">
      <c r="A13" s="23" t="s">
        <v>13</v>
      </c>
      <c r="B13" s="4"/>
      <c r="C13" s="82" t="s">
        <v>47</v>
      </c>
      <c r="D13" s="83"/>
      <c r="E13" s="84"/>
      <c r="F13" s="17"/>
      <c r="G13" s="4"/>
      <c r="H13" s="18"/>
    </row>
    <row r="14" spans="1:8" ht="15.75" thickBot="1" x14ac:dyDescent="0.3"/>
    <row r="15" spans="1:8" ht="15.75" thickBot="1" x14ac:dyDescent="0.3">
      <c r="A15" s="48" t="s">
        <v>38</v>
      </c>
      <c r="B15" s="68" t="s">
        <v>25</v>
      </c>
      <c r="C15" s="19"/>
      <c r="D15" s="7"/>
      <c r="E15" s="36" t="s">
        <v>21</v>
      </c>
      <c r="F15" s="48" t="s">
        <v>23</v>
      </c>
      <c r="G15" s="48" t="s">
        <v>22</v>
      </c>
      <c r="H15" s="36" t="s">
        <v>24</v>
      </c>
    </row>
    <row r="16" spans="1:8" ht="15.75" thickBot="1" x14ac:dyDescent="0.3">
      <c r="A16" s="69" t="s">
        <v>49</v>
      </c>
      <c r="B16" s="12" t="s">
        <v>50</v>
      </c>
      <c r="C16" s="13"/>
      <c r="D16" s="14"/>
      <c r="E16" s="45" t="s">
        <v>39</v>
      </c>
      <c r="F16" s="51">
        <v>840000</v>
      </c>
      <c r="G16" s="49">
        <v>4</v>
      </c>
      <c r="H16" s="46">
        <f t="shared" ref="H16:H93" si="0">G16*F16</f>
        <v>3360000</v>
      </c>
    </row>
    <row r="17" spans="1:8" ht="15.75" thickBot="1" x14ac:dyDescent="0.3">
      <c r="A17" s="70" t="s">
        <v>51</v>
      </c>
      <c r="B17" s="15" t="s">
        <v>52</v>
      </c>
      <c r="C17" s="61"/>
      <c r="D17" s="16"/>
      <c r="E17" s="45" t="s">
        <v>39</v>
      </c>
      <c r="F17" s="52">
        <v>1850000</v>
      </c>
      <c r="G17" s="50">
        <v>2</v>
      </c>
      <c r="H17" s="46">
        <f t="shared" si="0"/>
        <v>3700000</v>
      </c>
    </row>
    <row r="18" spans="1:8" ht="15.75" thickBot="1" x14ac:dyDescent="0.3">
      <c r="A18" s="70" t="s">
        <v>53</v>
      </c>
      <c r="B18" s="15" t="s">
        <v>54</v>
      </c>
      <c r="C18" s="61"/>
      <c r="D18" s="16"/>
      <c r="E18" s="45" t="s">
        <v>39</v>
      </c>
      <c r="F18" s="52">
        <v>1385000</v>
      </c>
      <c r="G18" s="50">
        <v>4</v>
      </c>
      <c r="H18" s="46">
        <f t="shared" si="0"/>
        <v>5540000</v>
      </c>
    </row>
    <row r="19" spans="1:8" ht="15.75" thickBot="1" x14ac:dyDescent="0.3">
      <c r="A19" s="70" t="s">
        <v>55</v>
      </c>
      <c r="B19" s="15" t="s">
        <v>56</v>
      </c>
      <c r="C19" s="61"/>
      <c r="D19" s="16"/>
      <c r="E19" s="45" t="s">
        <v>39</v>
      </c>
      <c r="F19" s="52">
        <v>2290000</v>
      </c>
      <c r="G19" s="50">
        <v>2</v>
      </c>
      <c r="H19" s="46">
        <f t="shared" si="0"/>
        <v>4580000</v>
      </c>
    </row>
    <row r="20" spans="1:8" ht="15.75" thickBot="1" x14ac:dyDescent="0.3">
      <c r="A20" s="70" t="s">
        <v>57</v>
      </c>
      <c r="B20" s="15" t="s">
        <v>58</v>
      </c>
      <c r="C20" s="61"/>
      <c r="D20" s="16"/>
      <c r="E20" s="45" t="s">
        <v>39</v>
      </c>
      <c r="F20" s="52">
        <v>620000</v>
      </c>
      <c r="G20" s="50">
        <v>10</v>
      </c>
      <c r="H20" s="46">
        <f t="shared" si="0"/>
        <v>6200000</v>
      </c>
    </row>
    <row r="21" spans="1:8" ht="15.75" thickBot="1" x14ac:dyDescent="0.3">
      <c r="A21" s="70" t="s">
        <v>59</v>
      </c>
      <c r="B21" s="15" t="s">
        <v>60</v>
      </c>
      <c r="C21" s="61"/>
      <c r="D21" s="16"/>
      <c r="E21" s="45" t="s">
        <v>39</v>
      </c>
      <c r="F21" s="52">
        <v>1508000</v>
      </c>
      <c r="G21" s="50">
        <v>2</v>
      </c>
      <c r="H21" s="46">
        <f t="shared" si="0"/>
        <v>3016000</v>
      </c>
    </row>
    <row r="22" spans="1:8" ht="15.75" thickBot="1" x14ac:dyDescent="0.3">
      <c r="A22" s="70" t="s">
        <v>61</v>
      </c>
      <c r="B22" s="15" t="s">
        <v>62</v>
      </c>
      <c r="C22" s="61"/>
      <c r="D22" s="16"/>
      <c r="E22" s="45" t="s">
        <v>39</v>
      </c>
      <c r="F22" s="52">
        <v>580000</v>
      </c>
      <c r="G22" s="50">
        <v>10</v>
      </c>
      <c r="H22" s="46">
        <f t="shared" si="0"/>
        <v>5800000</v>
      </c>
    </row>
    <row r="23" spans="1:8" ht="15.75" thickBot="1" x14ac:dyDescent="0.3">
      <c r="A23" s="70" t="s">
        <v>63</v>
      </c>
      <c r="B23" s="15" t="s">
        <v>64</v>
      </c>
      <c r="C23" s="61"/>
      <c r="D23" s="16"/>
      <c r="E23" s="45" t="s">
        <v>39</v>
      </c>
      <c r="F23" s="52">
        <v>690000</v>
      </c>
      <c r="G23" s="50">
        <v>2</v>
      </c>
      <c r="H23" s="46">
        <f t="shared" si="0"/>
        <v>1380000</v>
      </c>
    </row>
    <row r="24" spans="1:8" ht="15.75" thickBot="1" x14ac:dyDescent="0.3">
      <c r="A24" s="70" t="s">
        <v>65</v>
      </c>
      <c r="B24" s="15" t="s">
        <v>66</v>
      </c>
      <c r="C24" s="61"/>
      <c r="D24" s="16"/>
      <c r="E24" s="45" t="s">
        <v>39</v>
      </c>
      <c r="F24" s="52">
        <v>750000</v>
      </c>
      <c r="G24" s="50">
        <v>2</v>
      </c>
      <c r="H24" s="46">
        <f t="shared" si="0"/>
        <v>1500000</v>
      </c>
    </row>
    <row r="25" spans="1:8" ht="15.75" thickBot="1" x14ac:dyDescent="0.3">
      <c r="A25" s="70" t="s">
        <v>67</v>
      </c>
      <c r="B25" s="15" t="s">
        <v>68</v>
      </c>
      <c r="C25" s="61"/>
      <c r="D25" s="16"/>
      <c r="E25" s="45" t="s">
        <v>39</v>
      </c>
      <c r="F25" s="52">
        <v>1210000</v>
      </c>
      <c r="G25" s="50">
        <v>2</v>
      </c>
      <c r="H25" s="46">
        <f t="shared" si="0"/>
        <v>2420000</v>
      </c>
    </row>
    <row r="26" spans="1:8" ht="15.75" thickBot="1" x14ac:dyDescent="0.3">
      <c r="A26" s="70"/>
      <c r="B26" s="15" t="s">
        <v>69</v>
      </c>
      <c r="C26" s="61"/>
      <c r="D26" s="16"/>
      <c r="E26" s="45"/>
      <c r="F26" s="52"/>
      <c r="G26" s="50"/>
      <c r="H26" s="46"/>
    </row>
    <row r="27" spans="1:8" ht="15.75" thickBot="1" x14ac:dyDescent="0.3">
      <c r="A27" s="70" t="s">
        <v>70</v>
      </c>
      <c r="B27" s="15" t="s">
        <v>71</v>
      </c>
      <c r="C27" s="61"/>
      <c r="D27" s="16"/>
      <c r="E27" s="45" t="s">
        <v>39</v>
      </c>
      <c r="F27" s="52">
        <v>1160000</v>
      </c>
      <c r="G27" s="50">
        <v>2</v>
      </c>
      <c r="H27" s="46">
        <f t="shared" si="0"/>
        <v>2320000</v>
      </c>
    </row>
    <row r="28" spans="1:8" ht="15.75" thickBot="1" x14ac:dyDescent="0.3">
      <c r="A28" s="70" t="s">
        <v>72</v>
      </c>
      <c r="B28" s="15" t="s">
        <v>75</v>
      </c>
      <c r="C28" s="61"/>
      <c r="D28" s="16"/>
      <c r="E28" s="45" t="s">
        <v>39</v>
      </c>
      <c r="F28" s="52">
        <v>860000</v>
      </c>
      <c r="G28" s="50">
        <v>1</v>
      </c>
      <c r="H28" s="46">
        <f t="shared" si="0"/>
        <v>860000</v>
      </c>
    </row>
    <row r="29" spans="1:8" ht="15.75" thickBot="1" x14ac:dyDescent="0.3">
      <c r="A29" s="70" t="s">
        <v>73</v>
      </c>
      <c r="B29" s="15" t="s">
        <v>74</v>
      </c>
      <c r="C29" s="61"/>
      <c r="D29" s="16"/>
      <c r="E29" s="45" t="s">
        <v>39</v>
      </c>
      <c r="F29" s="52">
        <v>1960000</v>
      </c>
      <c r="G29" s="50">
        <v>2</v>
      </c>
      <c r="H29" s="46">
        <f t="shared" si="0"/>
        <v>3920000</v>
      </c>
    </row>
    <row r="30" spans="1:8" ht="15.75" thickBot="1" x14ac:dyDescent="0.3">
      <c r="A30" s="70" t="s">
        <v>76</v>
      </c>
      <c r="B30" s="15" t="s">
        <v>77</v>
      </c>
      <c r="C30" s="61"/>
      <c r="D30" s="16"/>
      <c r="E30" s="45" t="s">
        <v>39</v>
      </c>
      <c r="F30" s="52">
        <v>910000</v>
      </c>
      <c r="G30" s="50">
        <v>6</v>
      </c>
      <c r="H30" s="46">
        <f t="shared" si="0"/>
        <v>5460000</v>
      </c>
    </row>
    <row r="31" spans="1:8" ht="15.75" thickBot="1" x14ac:dyDescent="0.3">
      <c r="A31" s="70" t="s">
        <v>78</v>
      </c>
      <c r="B31" s="15" t="s">
        <v>79</v>
      </c>
      <c r="C31" s="61"/>
      <c r="D31" s="16"/>
      <c r="E31" s="45" t="s">
        <v>39</v>
      </c>
      <c r="F31" s="52">
        <v>1110000</v>
      </c>
      <c r="G31" s="50">
        <v>3</v>
      </c>
      <c r="H31" s="46">
        <f t="shared" si="0"/>
        <v>3330000</v>
      </c>
    </row>
    <row r="32" spans="1:8" ht="15.75" thickBot="1" x14ac:dyDescent="0.3">
      <c r="A32" s="70"/>
      <c r="B32" s="15" t="s">
        <v>82</v>
      </c>
      <c r="C32" s="61"/>
      <c r="D32" s="16"/>
      <c r="E32" s="45"/>
      <c r="F32" s="52"/>
      <c r="G32" s="50"/>
      <c r="H32" s="46"/>
    </row>
    <row r="33" spans="1:8" ht="15.75" thickBot="1" x14ac:dyDescent="0.3">
      <c r="A33" s="70" t="s">
        <v>80</v>
      </c>
      <c r="B33" s="15" t="s">
        <v>81</v>
      </c>
      <c r="C33" s="61"/>
      <c r="D33" s="16"/>
      <c r="E33" s="45" t="s">
        <v>39</v>
      </c>
      <c r="F33" s="52">
        <v>620000</v>
      </c>
      <c r="G33" s="50">
        <v>3</v>
      </c>
      <c r="H33" s="46">
        <f t="shared" si="0"/>
        <v>1860000</v>
      </c>
    </row>
    <row r="34" spans="1:8" ht="15.75" thickBot="1" x14ac:dyDescent="0.3">
      <c r="A34" s="70"/>
      <c r="B34" s="15" t="s">
        <v>83</v>
      </c>
      <c r="C34" s="61"/>
      <c r="D34" s="16"/>
      <c r="E34" s="45"/>
      <c r="F34" s="52"/>
      <c r="G34" s="50"/>
      <c r="H34" s="46"/>
    </row>
    <row r="35" spans="1:8" ht="15.75" thickBot="1" x14ac:dyDescent="0.3">
      <c r="A35" s="70" t="s">
        <v>84</v>
      </c>
      <c r="B35" s="15" t="s">
        <v>85</v>
      </c>
      <c r="C35" s="61"/>
      <c r="D35" s="16"/>
      <c r="E35" s="45" t="s">
        <v>39</v>
      </c>
      <c r="F35" s="52">
        <v>2880000</v>
      </c>
      <c r="G35" s="50">
        <v>1</v>
      </c>
      <c r="H35" s="46">
        <f t="shared" si="0"/>
        <v>2880000</v>
      </c>
    </row>
    <row r="36" spans="1:8" ht="15.75" thickBot="1" x14ac:dyDescent="0.3">
      <c r="A36" s="70"/>
      <c r="B36" s="15" t="s">
        <v>90</v>
      </c>
      <c r="C36" s="61"/>
      <c r="D36" s="16"/>
      <c r="E36" s="45"/>
      <c r="F36" s="52"/>
      <c r="G36" s="50"/>
      <c r="H36" s="46"/>
    </row>
    <row r="37" spans="1:8" ht="15.75" thickBot="1" x14ac:dyDescent="0.3">
      <c r="A37" s="70"/>
      <c r="B37" s="15" t="s">
        <v>86</v>
      </c>
      <c r="C37" s="61"/>
      <c r="D37" s="16"/>
      <c r="E37" s="45"/>
      <c r="F37" s="52"/>
      <c r="G37" s="50"/>
      <c r="H37" s="46"/>
    </row>
    <row r="38" spans="1:8" ht="15.75" thickBot="1" x14ac:dyDescent="0.3">
      <c r="A38" s="70"/>
      <c r="B38" s="15" t="s">
        <v>87</v>
      </c>
      <c r="C38" s="61"/>
      <c r="D38" s="16"/>
      <c r="E38" s="45"/>
      <c r="F38" s="52"/>
      <c r="G38" s="50"/>
      <c r="H38" s="46"/>
    </row>
    <row r="39" spans="1:8" ht="15.75" thickBot="1" x14ac:dyDescent="0.3">
      <c r="A39" s="70" t="s">
        <v>88</v>
      </c>
      <c r="B39" s="15" t="s">
        <v>89</v>
      </c>
      <c r="C39" s="61"/>
      <c r="D39" s="16"/>
      <c r="E39" s="45" t="s">
        <v>39</v>
      </c>
      <c r="F39" s="52">
        <v>3300000</v>
      </c>
      <c r="G39" s="50">
        <v>1</v>
      </c>
      <c r="H39" s="46">
        <f t="shared" si="0"/>
        <v>3300000</v>
      </c>
    </row>
    <row r="40" spans="1:8" ht="15.75" thickBot="1" x14ac:dyDescent="0.3">
      <c r="A40" s="70"/>
      <c r="B40" s="15" t="s">
        <v>91</v>
      </c>
      <c r="C40" s="61"/>
      <c r="D40" s="16"/>
      <c r="E40" s="45"/>
      <c r="F40" s="52"/>
      <c r="G40" s="50"/>
      <c r="H40" s="46"/>
    </row>
    <row r="41" spans="1:8" ht="15.75" thickBot="1" x14ac:dyDescent="0.3">
      <c r="A41" s="70"/>
      <c r="B41" s="15" t="s">
        <v>93</v>
      </c>
      <c r="C41" s="61"/>
      <c r="D41" s="16"/>
      <c r="E41" s="45"/>
      <c r="F41" s="52"/>
      <c r="G41" s="50"/>
      <c r="H41" s="46"/>
    </row>
    <row r="42" spans="1:8" ht="15.75" thickBot="1" x14ac:dyDescent="0.3">
      <c r="A42" s="70"/>
      <c r="B42" s="15" t="s">
        <v>92</v>
      </c>
      <c r="C42" s="61"/>
      <c r="D42" s="16"/>
      <c r="E42" s="45"/>
      <c r="F42" s="52"/>
      <c r="G42" s="50"/>
      <c r="H42" s="46"/>
    </row>
    <row r="43" spans="1:8" ht="15.75" thickBot="1" x14ac:dyDescent="0.3">
      <c r="A43" s="70" t="s">
        <v>94</v>
      </c>
      <c r="B43" s="15" t="s">
        <v>95</v>
      </c>
      <c r="C43" s="61"/>
      <c r="D43" s="16"/>
      <c r="E43" s="45" t="s">
        <v>39</v>
      </c>
      <c r="F43" s="52">
        <v>134000</v>
      </c>
      <c r="G43" s="50">
        <v>2</v>
      </c>
      <c r="H43" s="46">
        <f t="shared" si="0"/>
        <v>268000</v>
      </c>
    </row>
    <row r="44" spans="1:8" ht="15.75" thickBot="1" x14ac:dyDescent="0.3">
      <c r="A44" s="70" t="s">
        <v>96</v>
      </c>
      <c r="B44" s="15" t="s">
        <v>97</v>
      </c>
      <c r="C44" s="61"/>
      <c r="D44" s="16"/>
      <c r="E44" s="45" t="s">
        <v>39</v>
      </c>
      <c r="F44" s="52">
        <v>1740000</v>
      </c>
      <c r="G44" s="50">
        <v>2</v>
      </c>
      <c r="H44" s="46">
        <f t="shared" si="0"/>
        <v>3480000</v>
      </c>
    </row>
    <row r="45" spans="1:8" ht="15.75" thickBot="1" x14ac:dyDescent="0.3">
      <c r="A45" s="70"/>
      <c r="B45" s="15" t="s">
        <v>98</v>
      </c>
      <c r="C45" s="61"/>
      <c r="D45" s="16"/>
      <c r="E45" s="45"/>
      <c r="F45" s="52"/>
      <c r="G45" s="50"/>
      <c r="H45" s="46"/>
    </row>
    <row r="46" spans="1:8" ht="15.75" thickBot="1" x14ac:dyDescent="0.3">
      <c r="A46" s="70"/>
      <c r="B46" s="15" t="s">
        <v>99</v>
      </c>
      <c r="C46" s="61"/>
      <c r="D46" s="16"/>
      <c r="E46" s="45"/>
      <c r="F46" s="52"/>
      <c r="G46" s="50"/>
      <c r="H46" s="46"/>
    </row>
    <row r="47" spans="1:8" ht="15.75" thickBot="1" x14ac:dyDescent="0.3">
      <c r="A47" s="70"/>
      <c r="B47" s="15" t="s">
        <v>100</v>
      </c>
      <c r="C47" s="61"/>
      <c r="D47" s="16"/>
      <c r="E47" s="45"/>
      <c r="F47" s="52"/>
      <c r="G47" s="50"/>
      <c r="H47" s="46"/>
    </row>
    <row r="48" spans="1:8" ht="15.75" thickBot="1" x14ac:dyDescent="0.3">
      <c r="A48" s="70" t="s">
        <v>101</v>
      </c>
      <c r="B48" s="15" t="s">
        <v>102</v>
      </c>
      <c r="C48" s="61"/>
      <c r="D48" s="16"/>
      <c r="E48" s="45" t="s">
        <v>39</v>
      </c>
      <c r="F48" s="52">
        <v>940000</v>
      </c>
      <c r="G48" s="50">
        <v>1</v>
      </c>
      <c r="H48" s="46">
        <f t="shared" si="0"/>
        <v>940000</v>
      </c>
    </row>
    <row r="49" spans="1:8" ht="15.75" thickBot="1" x14ac:dyDescent="0.3">
      <c r="A49" s="70"/>
      <c r="B49" s="15" t="s">
        <v>103</v>
      </c>
      <c r="C49" s="61"/>
      <c r="D49" s="16"/>
      <c r="E49" s="45"/>
      <c r="F49" s="52"/>
      <c r="G49" s="50"/>
      <c r="H49" s="46"/>
    </row>
    <row r="50" spans="1:8" ht="15.75" thickBot="1" x14ac:dyDescent="0.3">
      <c r="A50" s="70" t="s">
        <v>104</v>
      </c>
      <c r="B50" s="15" t="s">
        <v>105</v>
      </c>
      <c r="C50" s="61"/>
      <c r="D50" s="16"/>
      <c r="E50" s="45" t="s">
        <v>39</v>
      </c>
      <c r="F50" s="52">
        <v>720000</v>
      </c>
      <c r="G50" s="50">
        <v>2</v>
      </c>
      <c r="H50" s="46">
        <f t="shared" si="0"/>
        <v>1440000</v>
      </c>
    </row>
    <row r="51" spans="1:8" ht="15.75" thickBot="1" x14ac:dyDescent="0.3">
      <c r="A51" s="70"/>
      <c r="B51" s="15" t="s">
        <v>106</v>
      </c>
      <c r="C51" s="61"/>
      <c r="D51" s="16"/>
      <c r="E51" s="45"/>
      <c r="F51" s="52"/>
      <c r="G51" s="50"/>
      <c r="H51" s="46"/>
    </row>
    <row r="52" spans="1:8" ht="15.75" thickBot="1" x14ac:dyDescent="0.3">
      <c r="A52" s="70"/>
      <c r="B52" s="15" t="s">
        <v>107</v>
      </c>
      <c r="C52" s="61"/>
      <c r="D52" s="16"/>
      <c r="E52" s="45"/>
      <c r="F52" s="52"/>
      <c r="G52" s="50"/>
      <c r="H52" s="46"/>
    </row>
    <row r="53" spans="1:8" ht="15.75" thickBot="1" x14ac:dyDescent="0.3">
      <c r="A53" s="70"/>
      <c r="B53" s="15" t="s">
        <v>108</v>
      </c>
      <c r="C53" s="61"/>
      <c r="D53" s="16"/>
      <c r="E53" s="45"/>
      <c r="F53" s="52"/>
      <c r="G53" s="50"/>
      <c r="H53" s="46"/>
    </row>
    <row r="54" spans="1:8" ht="15.75" thickBot="1" x14ac:dyDescent="0.3">
      <c r="A54" s="70" t="s">
        <v>109</v>
      </c>
      <c r="B54" s="15" t="s">
        <v>110</v>
      </c>
      <c r="C54" s="61"/>
      <c r="D54" s="16"/>
      <c r="E54" s="45" t="s">
        <v>39</v>
      </c>
      <c r="F54" s="52">
        <v>1300000</v>
      </c>
      <c r="G54" s="50">
        <v>2</v>
      </c>
      <c r="H54" s="46">
        <f t="shared" si="0"/>
        <v>2600000</v>
      </c>
    </row>
    <row r="55" spans="1:8" ht="15.75" thickBot="1" x14ac:dyDescent="0.3">
      <c r="A55" s="70"/>
      <c r="B55" s="15" t="s">
        <v>111</v>
      </c>
      <c r="C55" s="61"/>
      <c r="D55" s="16"/>
      <c r="E55" s="45"/>
      <c r="F55" s="52"/>
      <c r="G55" s="50"/>
      <c r="H55" s="46"/>
    </row>
    <row r="56" spans="1:8" ht="15.75" thickBot="1" x14ac:dyDescent="0.3">
      <c r="A56" s="70"/>
      <c r="B56" s="15" t="s">
        <v>112</v>
      </c>
      <c r="C56" s="61"/>
      <c r="D56" s="16"/>
      <c r="E56" s="45"/>
      <c r="F56" s="52"/>
      <c r="G56" s="50"/>
      <c r="H56" s="46"/>
    </row>
    <row r="57" spans="1:8" ht="15.75" thickBot="1" x14ac:dyDescent="0.3">
      <c r="A57" s="70"/>
      <c r="B57" s="15" t="s">
        <v>113</v>
      </c>
      <c r="C57" s="61"/>
      <c r="D57" s="16"/>
      <c r="E57" s="45"/>
      <c r="F57" s="52"/>
      <c r="G57" s="50"/>
      <c r="H57" s="46"/>
    </row>
    <row r="58" spans="1:8" ht="15.75" thickBot="1" x14ac:dyDescent="0.3">
      <c r="A58" s="70" t="s">
        <v>114</v>
      </c>
      <c r="B58" s="15" t="s">
        <v>115</v>
      </c>
      <c r="C58" s="61"/>
      <c r="D58" s="16"/>
      <c r="E58" s="45" t="s">
        <v>39</v>
      </c>
      <c r="F58" s="52">
        <v>854000</v>
      </c>
      <c r="G58" s="50">
        <v>1</v>
      </c>
      <c r="H58" s="46">
        <f t="shared" si="0"/>
        <v>854000</v>
      </c>
    </row>
    <row r="59" spans="1:8" ht="15.75" thickBot="1" x14ac:dyDescent="0.3">
      <c r="A59" s="70"/>
      <c r="B59" s="15" t="s">
        <v>116</v>
      </c>
      <c r="C59" s="61"/>
      <c r="D59" s="16"/>
      <c r="E59" s="45"/>
      <c r="F59" s="52"/>
      <c r="G59" s="50"/>
      <c r="H59" s="46"/>
    </row>
    <row r="60" spans="1:8" ht="15.75" thickBot="1" x14ac:dyDescent="0.3">
      <c r="A60" s="70"/>
      <c r="B60" s="15" t="s">
        <v>108</v>
      </c>
      <c r="C60" s="61"/>
      <c r="D60" s="16"/>
      <c r="E60" s="45"/>
      <c r="F60" s="52"/>
      <c r="G60" s="50"/>
      <c r="H60" s="46"/>
    </row>
    <row r="61" spans="1:8" ht="15.75" thickBot="1" x14ac:dyDescent="0.3">
      <c r="A61" s="70" t="s">
        <v>117</v>
      </c>
      <c r="B61" s="15" t="s">
        <v>118</v>
      </c>
      <c r="C61" s="61"/>
      <c r="D61" s="16"/>
      <c r="E61" s="45" t="s">
        <v>119</v>
      </c>
      <c r="F61" s="52">
        <v>4000000</v>
      </c>
      <c r="G61" s="50">
        <v>10</v>
      </c>
      <c r="H61" s="46">
        <f t="shared" si="0"/>
        <v>40000000</v>
      </c>
    </row>
    <row r="62" spans="1:8" ht="15.75" thickBot="1" x14ac:dyDescent="0.3">
      <c r="A62" s="70" t="s">
        <v>120</v>
      </c>
      <c r="B62" s="15" t="s">
        <v>121</v>
      </c>
      <c r="C62" s="61"/>
      <c r="D62" s="16"/>
      <c r="E62" s="45" t="s">
        <v>39</v>
      </c>
      <c r="F62" s="52">
        <v>1600000</v>
      </c>
      <c r="G62" s="50">
        <v>2</v>
      </c>
      <c r="H62" s="46">
        <f t="shared" si="0"/>
        <v>3200000</v>
      </c>
    </row>
    <row r="63" spans="1:8" ht="15.75" thickBot="1" x14ac:dyDescent="0.3">
      <c r="A63" s="70"/>
      <c r="B63" s="15" t="s">
        <v>122</v>
      </c>
      <c r="C63" s="61"/>
      <c r="D63" s="16"/>
      <c r="E63" s="45"/>
      <c r="F63" s="52"/>
      <c r="G63" s="50"/>
      <c r="H63" s="46"/>
    </row>
    <row r="64" spans="1:8" ht="15.75" thickBot="1" x14ac:dyDescent="0.3">
      <c r="A64" s="70" t="s">
        <v>123</v>
      </c>
      <c r="B64" s="15" t="s">
        <v>124</v>
      </c>
      <c r="C64" s="61"/>
      <c r="D64" s="16"/>
      <c r="E64" s="45" t="s">
        <v>39</v>
      </c>
      <c r="F64" s="52">
        <v>915000</v>
      </c>
      <c r="G64" s="50">
        <v>1</v>
      </c>
      <c r="H64" s="46">
        <f t="shared" si="0"/>
        <v>915000</v>
      </c>
    </row>
    <row r="65" spans="1:8" ht="15.75" thickBot="1" x14ac:dyDescent="0.3">
      <c r="A65" s="70"/>
      <c r="B65" s="15" t="s">
        <v>125</v>
      </c>
      <c r="C65" s="61"/>
      <c r="D65" s="16"/>
      <c r="E65" s="45"/>
      <c r="F65" s="52"/>
      <c r="G65" s="50"/>
      <c r="H65" s="46"/>
    </row>
    <row r="66" spans="1:8" ht="15.75" thickBot="1" x14ac:dyDescent="0.3">
      <c r="A66" s="70" t="s">
        <v>126</v>
      </c>
      <c r="B66" s="15" t="s">
        <v>127</v>
      </c>
      <c r="C66" s="61"/>
      <c r="D66" s="16"/>
      <c r="E66" s="45" t="s">
        <v>39</v>
      </c>
      <c r="F66" s="52">
        <v>1140000</v>
      </c>
      <c r="G66" s="50">
        <v>1</v>
      </c>
      <c r="H66" s="54">
        <f t="shared" si="0"/>
        <v>1140000</v>
      </c>
    </row>
    <row r="67" spans="1:8" ht="15.75" thickBot="1" x14ac:dyDescent="0.3">
      <c r="A67" s="70"/>
      <c r="B67" s="15" t="s">
        <v>128</v>
      </c>
      <c r="C67" s="61"/>
      <c r="D67" s="16"/>
      <c r="E67" s="45"/>
      <c r="F67" s="52"/>
      <c r="G67" s="50"/>
      <c r="H67" s="54"/>
    </row>
    <row r="68" spans="1:8" ht="15.75" thickBot="1" x14ac:dyDescent="0.3">
      <c r="A68" s="70" t="s">
        <v>129</v>
      </c>
      <c r="B68" s="15" t="s">
        <v>130</v>
      </c>
      <c r="C68" s="61"/>
      <c r="D68" s="16"/>
      <c r="E68" s="45" t="s">
        <v>39</v>
      </c>
      <c r="F68" s="52">
        <v>970000</v>
      </c>
      <c r="G68" s="50">
        <v>2</v>
      </c>
      <c r="H68" s="54">
        <f t="shared" si="0"/>
        <v>1940000</v>
      </c>
    </row>
    <row r="69" spans="1:8" ht="15.75" thickBot="1" x14ac:dyDescent="0.3">
      <c r="A69" s="70"/>
      <c r="B69" s="15" t="s">
        <v>131</v>
      </c>
      <c r="C69" s="61"/>
      <c r="D69" s="16"/>
      <c r="E69" s="45"/>
      <c r="F69" s="52"/>
      <c r="G69" s="50"/>
      <c r="H69" s="54"/>
    </row>
    <row r="70" spans="1:8" ht="15.75" thickBot="1" x14ac:dyDescent="0.3">
      <c r="A70" s="70" t="s">
        <v>132</v>
      </c>
      <c r="B70" s="15" t="s">
        <v>133</v>
      </c>
      <c r="C70" s="61"/>
      <c r="D70" s="16"/>
      <c r="E70" s="45" t="s">
        <v>39</v>
      </c>
      <c r="F70" s="52">
        <v>3800000</v>
      </c>
      <c r="G70" s="50">
        <v>1</v>
      </c>
      <c r="H70" s="54">
        <f t="shared" si="0"/>
        <v>3800000</v>
      </c>
    </row>
    <row r="71" spans="1:8" ht="15.75" thickBot="1" x14ac:dyDescent="0.3">
      <c r="A71" s="70"/>
      <c r="B71" s="15" t="s">
        <v>134</v>
      </c>
      <c r="C71" s="61"/>
      <c r="D71" s="16"/>
      <c r="E71" s="45"/>
      <c r="F71" s="52"/>
      <c r="G71" s="50"/>
      <c r="H71" s="54"/>
    </row>
    <row r="72" spans="1:8" ht="15.75" thickBot="1" x14ac:dyDescent="0.3">
      <c r="A72" s="70"/>
      <c r="B72" s="15" t="s">
        <v>135</v>
      </c>
      <c r="C72" s="61"/>
      <c r="D72" s="16"/>
      <c r="E72" s="45"/>
      <c r="F72" s="52"/>
      <c r="G72" s="50"/>
      <c r="H72" s="54"/>
    </row>
    <row r="73" spans="1:8" ht="15.75" thickBot="1" x14ac:dyDescent="0.3">
      <c r="A73" s="70"/>
      <c r="B73" s="15" t="s">
        <v>136</v>
      </c>
      <c r="C73" s="61"/>
      <c r="D73" s="16"/>
      <c r="E73" s="45"/>
      <c r="F73" s="52"/>
      <c r="G73" s="50"/>
      <c r="H73" s="54"/>
    </row>
    <row r="74" spans="1:8" ht="15.75" thickBot="1" x14ac:dyDescent="0.3">
      <c r="A74" s="70" t="s">
        <v>137</v>
      </c>
      <c r="B74" s="15" t="s">
        <v>138</v>
      </c>
      <c r="C74" s="61"/>
      <c r="D74" s="16"/>
      <c r="E74" s="45" t="s">
        <v>39</v>
      </c>
      <c r="F74" s="52">
        <v>3590000</v>
      </c>
      <c r="G74" s="50">
        <v>1</v>
      </c>
      <c r="H74" s="54">
        <f t="shared" si="0"/>
        <v>3590000</v>
      </c>
    </row>
    <row r="75" spans="1:8" ht="15.75" thickBot="1" x14ac:dyDescent="0.3">
      <c r="A75" s="70"/>
      <c r="B75" s="15" t="s">
        <v>139</v>
      </c>
      <c r="C75" s="61"/>
      <c r="D75" s="16"/>
      <c r="E75" s="45"/>
      <c r="F75" s="52"/>
      <c r="G75" s="50"/>
      <c r="H75" s="54"/>
    </row>
    <row r="76" spans="1:8" ht="15.75" thickBot="1" x14ac:dyDescent="0.3">
      <c r="A76" s="70"/>
      <c r="B76" s="15" t="s">
        <v>140</v>
      </c>
      <c r="C76" s="61"/>
      <c r="D76" s="16"/>
      <c r="E76" s="45"/>
      <c r="F76" s="52"/>
      <c r="G76" s="50"/>
      <c r="H76" s="54"/>
    </row>
    <row r="77" spans="1:8" ht="15.75" thickBot="1" x14ac:dyDescent="0.3">
      <c r="A77" s="70" t="s">
        <v>141</v>
      </c>
      <c r="B77" s="15" t="s">
        <v>142</v>
      </c>
      <c r="C77" s="61"/>
      <c r="D77" s="16"/>
      <c r="E77" s="45" t="s">
        <v>39</v>
      </c>
      <c r="F77" s="52">
        <v>1730000</v>
      </c>
      <c r="G77" s="50">
        <v>1</v>
      </c>
      <c r="H77" s="54">
        <f t="shared" si="0"/>
        <v>1730000</v>
      </c>
    </row>
    <row r="78" spans="1:8" ht="15.75" thickBot="1" x14ac:dyDescent="0.3">
      <c r="A78" s="70"/>
      <c r="B78" s="15" t="s">
        <v>143</v>
      </c>
      <c r="C78" s="61"/>
      <c r="D78" s="16"/>
      <c r="E78" s="45"/>
      <c r="F78" s="52"/>
      <c r="G78" s="50"/>
      <c r="H78" s="54"/>
    </row>
    <row r="79" spans="1:8" ht="15.75" thickBot="1" x14ac:dyDescent="0.3">
      <c r="A79" s="70"/>
      <c r="B79" s="15" t="s">
        <v>144</v>
      </c>
      <c r="C79" s="61"/>
      <c r="D79" s="16"/>
      <c r="E79" s="45"/>
      <c r="F79" s="52"/>
      <c r="G79" s="50"/>
      <c r="H79" s="54"/>
    </row>
    <row r="80" spans="1:8" ht="15.75" thickBot="1" x14ac:dyDescent="0.3">
      <c r="A80" s="70" t="s">
        <v>145</v>
      </c>
      <c r="B80" s="15" t="s">
        <v>146</v>
      </c>
      <c r="C80" s="61"/>
      <c r="D80" s="16"/>
      <c r="E80" s="45" t="s">
        <v>39</v>
      </c>
      <c r="F80" s="52">
        <v>3150000</v>
      </c>
      <c r="G80" s="50">
        <v>2</v>
      </c>
      <c r="H80" s="54">
        <f t="shared" si="0"/>
        <v>6300000</v>
      </c>
    </row>
    <row r="81" spans="1:8" ht="15.75" thickBot="1" x14ac:dyDescent="0.3">
      <c r="A81" s="70"/>
      <c r="B81" s="15" t="s">
        <v>147</v>
      </c>
      <c r="C81" s="61"/>
      <c r="D81" s="16"/>
      <c r="E81" s="45"/>
      <c r="F81" s="52"/>
      <c r="G81" s="50"/>
      <c r="H81" s="54"/>
    </row>
    <row r="82" spans="1:8" ht="15.75" thickBot="1" x14ac:dyDescent="0.3">
      <c r="A82" s="70"/>
      <c r="B82" s="15" t="s">
        <v>148</v>
      </c>
      <c r="C82" s="61"/>
      <c r="D82" s="16"/>
      <c r="E82" s="45"/>
      <c r="F82" s="52"/>
      <c r="G82" s="50"/>
      <c r="H82" s="54"/>
    </row>
    <row r="83" spans="1:8" ht="15.75" thickBot="1" x14ac:dyDescent="0.3">
      <c r="A83" s="70" t="s">
        <v>151</v>
      </c>
      <c r="B83" s="15" t="s">
        <v>149</v>
      </c>
      <c r="C83" s="61"/>
      <c r="D83" s="16"/>
      <c r="E83" s="45" t="s">
        <v>150</v>
      </c>
      <c r="F83" s="52">
        <v>334000</v>
      </c>
      <c r="G83" s="50">
        <v>24</v>
      </c>
      <c r="H83" s="54">
        <f t="shared" si="0"/>
        <v>8016000</v>
      </c>
    </row>
    <row r="84" spans="1:8" ht="15.75" thickBot="1" x14ac:dyDescent="0.3">
      <c r="A84" s="70" t="s">
        <v>152</v>
      </c>
      <c r="B84" s="15" t="s">
        <v>153</v>
      </c>
      <c r="C84" s="61"/>
      <c r="D84" s="16"/>
      <c r="E84" s="45" t="s">
        <v>39</v>
      </c>
      <c r="F84" s="52">
        <v>290000</v>
      </c>
      <c r="G84" s="50">
        <v>4</v>
      </c>
      <c r="H84" s="54">
        <f t="shared" si="0"/>
        <v>1160000</v>
      </c>
    </row>
    <row r="85" spans="1:8" ht="15.75" thickBot="1" x14ac:dyDescent="0.3">
      <c r="A85" s="70" t="s">
        <v>154</v>
      </c>
      <c r="B85" s="15" t="s">
        <v>155</v>
      </c>
      <c r="C85" s="61"/>
      <c r="D85" s="16"/>
      <c r="E85" s="45" t="s">
        <v>39</v>
      </c>
      <c r="F85" s="52">
        <v>4700000</v>
      </c>
      <c r="G85" s="50">
        <v>2</v>
      </c>
      <c r="H85" s="53">
        <f t="shared" si="0"/>
        <v>9400000</v>
      </c>
    </row>
    <row r="86" spans="1:8" ht="15.75" thickBot="1" x14ac:dyDescent="0.3">
      <c r="A86" s="70"/>
      <c r="B86" s="15" t="s">
        <v>156</v>
      </c>
      <c r="C86" s="61"/>
      <c r="D86" s="16"/>
      <c r="E86" s="45"/>
      <c r="F86" s="52"/>
      <c r="G86" s="50"/>
      <c r="H86" s="59"/>
    </row>
    <row r="87" spans="1:8" ht="15.75" thickBot="1" x14ac:dyDescent="0.3">
      <c r="A87" s="70"/>
      <c r="B87" s="15" t="s">
        <v>157</v>
      </c>
      <c r="C87" s="61"/>
      <c r="D87" s="16"/>
      <c r="E87" s="45"/>
      <c r="F87" s="52"/>
      <c r="G87" s="50"/>
      <c r="H87" s="59"/>
    </row>
    <row r="88" spans="1:8" ht="15.75" customHeight="1" thickBot="1" x14ac:dyDescent="0.3">
      <c r="A88" s="70" t="s">
        <v>158</v>
      </c>
      <c r="B88" s="15" t="s">
        <v>159</v>
      </c>
      <c r="C88" s="61"/>
      <c r="D88" s="16"/>
      <c r="E88" s="71" t="s">
        <v>39</v>
      </c>
      <c r="F88" s="56">
        <v>40000</v>
      </c>
      <c r="G88" s="50">
        <v>4</v>
      </c>
      <c r="H88" s="57">
        <f t="shared" si="0"/>
        <v>160000</v>
      </c>
    </row>
    <row r="89" spans="1:8" ht="15.75" customHeight="1" thickBot="1" x14ac:dyDescent="0.3">
      <c r="A89" s="60" t="s">
        <v>160</v>
      </c>
      <c r="B89" s="15" t="s">
        <v>161</v>
      </c>
      <c r="C89" s="61"/>
      <c r="D89" s="16"/>
      <c r="E89" s="60" t="s">
        <v>39</v>
      </c>
      <c r="F89" s="62">
        <v>1980000</v>
      </c>
      <c r="G89" s="60">
        <v>1</v>
      </c>
      <c r="H89" s="64">
        <f t="shared" ref="H89" si="1">G89*F89</f>
        <v>1980000</v>
      </c>
    </row>
    <row r="90" spans="1:8" ht="15.75" customHeight="1" x14ac:dyDescent="0.25">
      <c r="A90" s="60"/>
      <c r="B90" s="72" t="s">
        <v>162</v>
      </c>
      <c r="C90" s="61"/>
      <c r="D90" s="16"/>
      <c r="E90" s="60"/>
      <c r="F90" s="62"/>
      <c r="G90" s="60"/>
      <c r="H90" s="63"/>
    </row>
    <row r="91" spans="1:8" ht="15.75" customHeight="1" x14ac:dyDescent="0.25">
      <c r="A91" s="60"/>
      <c r="B91" s="72" t="s">
        <v>163</v>
      </c>
      <c r="C91" s="61"/>
      <c r="D91" s="16"/>
      <c r="E91" s="60"/>
      <c r="F91" s="62"/>
      <c r="G91" s="60"/>
      <c r="H91" s="63"/>
    </row>
    <row r="92" spans="1:8" ht="15.75" customHeight="1" x14ac:dyDescent="0.25">
      <c r="A92" s="60"/>
      <c r="B92" s="72" t="s">
        <v>164</v>
      </c>
      <c r="C92" s="61"/>
      <c r="D92" s="16"/>
      <c r="E92" s="60"/>
      <c r="F92" s="62"/>
      <c r="G92" s="60"/>
      <c r="H92" s="63"/>
    </row>
    <row r="93" spans="1:8" ht="15.75" customHeight="1" thickBot="1" x14ac:dyDescent="0.3">
      <c r="A93" s="60" t="s">
        <v>165</v>
      </c>
      <c r="B93" s="72" t="s">
        <v>166</v>
      </c>
      <c r="C93" s="61"/>
      <c r="D93" s="16"/>
      <c r="E93" s="60" t="s">
        <v>39</v>
      </c>
      <c r="F93" s="62">
        <v>1750000</v>
      </c>
      <c r="G93" s="60">
        <v>1</v>
      </c>
      <c r="H93" s="65">
        <f t="shared" si="0"/>
        <v>1750000</v>
      </c>
    </row>
    <row r="94" spans="1:8" ht="15.75" customHeight="1" x14ac:dyDescent="0.25">
      <c r="A94" s="60"/>
      <c r="B94" s="72" t="s">
        <v>167</v>
      </c>
      <c r="C94" s="61"/>
      <c r="D94" s="16"/>
      <c r="E94" s="60"/>
      <c r="F94" s="62"/>
      <c r="G94" s="60"/>
      <c r="H94" s="63"/>
    </row>
    <row r="95" spans="1:8" ht="15.75" customHeight="1" x14ac:dyDescent="0.25">
      <c r="A95" s="60"/>
      <c r="B95" s="72" t="s">
        <v>168</v>
      </c>
      <c r="C95" s="61"/>
      <c r="D95" s="16"/>
      <c r="E95" s="60"/>
      <c r="F95" s="62"/>
      <c r="G95" s="60"/>
      <c r="H95" s="63"/>
    </row>
    <row r="96" spans="1:8" ht="15.75" customHeight="1" x14ac:dyDescent="0.25">
      <c r="A96" s="60"/>
      <c r="B96" s="72" t="s">
        <v>169</v>
      </c>
      <c r="C96" s="61"/>
      <c r="D96" s="16"/>
      <c r="E96" s="60"/>
      <c r="F96" s="62"/>
      <c r="G96" s="60"/>
      <c r="H96" s="63"/>
    </row>
    <row r="97" spans="1:8" ht="15.75" customHeight="1" thickBot="1" x14ac:dyDescent="0.3">
      <c r="A97" s="60" t="s">
        <v>170</v>
      </c>
      <c r="B97" s="72" t="s">
        <v>171</v>
      </c>
      <c r="C97" s="61"/>
      <c r="D97" s="16"/>
      <c r="E97" s="60" t="s">
        <v>39</v>
      </c>
      <c r="F97" s="62">
        <v>896000</v>
      </c>
      <c r="G97" s="60">
        <v>1</v>
      </c>
      <c r="H97" s="65">
        <f t="shared" ref="H97" si="2">G97*F97</f>
        <v>896000</v>
      </c>
    </row>
    <row r="98" spans="1:8" ht="15.75" customHeight="1" x14ac:dyDescent="0.25">
      <c r="A98" s="60"/>
      <c r="B98" s="72" t="s">
        <v>172</v>
      </c>
      <c r="C98" s="61"/>
      <c r="D98" s="16"/>
      <c r="E98" s="60"/>
      <c r="F98" s="62"/>
      <c r="G98" s="60"/>
      <c r="H98" s="63"/>
    </row>
    <row r="99" spans="1:8" ht="15.75" customHeight="1" thickBot="1" x14ac:dyDescent="0.3">
      <c r="A99" s="60" t="s">
        <v>173</v>
      </c>
      <c r="B99" s="72" t="s">
        <v>174</v>
      </c>
      <c r="C99" s="61"/>
      <c r="D99" s="16"/>
      <c r="E99" s="60" t="s">
        <v>39</v>
      </c>
      <c r="F99" s="62">
        <v>670000</v>
      </c>
      <c r="G99" s="60">
        <v>1</v>
      </c>
      <c r="H99" s="65">
        <f t="shared" ref="H99" si="3">G99*F99</f>
        <v>670000</v>
      </c>
    </row>
    <row r="100" spans="1:8" ht="15.75" customHeight="1" x14ac:dyDescent="0.25">
      <c r="A100" s="60"/>
      <c r="B100" s="72" t="s">
        <v>175</v>
      </c>
      <c r="C100" s="61"/>
      <c r="D100" s="16"/>
      <c r="E100" s="60"/>
      <c r="F100" s="62"/>
      <c r="G100" s="60"/>
      <c r="H100" s="63"/>
    </row>
    <row r="101" spans="1:8" ht="15.75" customHeight="1" x14ac:dyDescent="0.25">
      <c r="A101" s="60"/>
      <c r="B101" s="72" t="s">
        <v>176</v>
      </c>
      <c r="C101" s="61"/>
      <c r="D101" s="16"/>
      <c r="E101" s="60"/>
      <c r="F101" s="62"/>
      <c r="G101" s="60"/>
      <c r="H101" s="63"/>
    </row>
    <row r="102" spans="1:8" ht="15.75" customHeight="1" x14ac:dyDescent="0.25">
      <c r="A102" s="60"/>
      <c r="B102" s="72" t="s">
        <v>177</v>
      </c>
      <c r="C102" s="61"/>
      <c r="D102" s="16"/>
      <c r="E102" s="60"/>
      <c r="F102" s="62"/>
      <c r="G102" s="60"/>
      <c r="H102" s="63"/>
    </row>
    <row r="103" spans="1:8" ht="15.75" customHeight="1" x14ac:dyDescent="0.25">
      <c r="A103" s="60"/>
      <c r="B103" s="72" t="s">
        <v>178</v>
      </c>
      <c r="C103" s="61"/>
      <c r="D103" s="16"/>
      <c r="E103" s="60"/>
      <c r="F103" s="62"/>
      <c r="G103" s="60"/>
      <c r="H103" s="63"/>
    </row>
    <row r="104" spans="1:8" ht="15.75" customHeight="1" thickBot="1" x14ac:dyDescent="0.3">
      <c r="A104" s="60" t="s">
        <v>179</v>
      </c>
      <c r="B104" s="72" t="s">
        <v>180</v>
      </c>
      <c r="C104" s="61"/>
      <c r="D104" s="16"/>
      <c r="E104" s="60" t="s">
        <v>39</v>
      </c>
      <c r="F104" s="62">
        <v>1450000</v>
      </c>
      <c r="G104" s="60">
        <v>1</v>
      </c>
      <c r="H104" s="65">
        <f t="shared" ref="H104" si="4">G104*F104</f>
        <v>1450000</v>
      </c>
    </row>
    <row r="105" spans="1:8" ht="15.75" customHeight="1" x14ac:dyDescent="0.25">
      <c r="A105" s="60"/>
      <c r="B105" s="72" t="s">
        <v>175</v>
      </c>
      <c r="C105" s="61"/>
      <c r="D105" s="16"/>
      <c r="E105" s="60"/>
      <c r="F105" s="62"/>
      <c r="G105" s="60"/>
      <c r="H105" s="63"/>
    </row>
    <row r="106" spans="1:8" ht="15.75" customHeight="1" x14ac:dyDescent="0.25">
      <c r="A106" s="60"/>
      <c r="B106" s="72" t="s">
        <v>181</v>
      </c>
      <c r="C106" s="61"/>
      <c r="D106" s="16"/>
      <c r="E106" s="60"/>
      <c r="F106" s="62"/>
      <c r="G106" s="60"/>
      <c r="H106" s="63"/>
    </row>
    <row r="107" spans="1:8" ht="15.75" customHeight="1" x14ac:dyDescent="0.25">
      <c r="A107" s="60"/>
      <c r="B107" s="72" t="s">
        <v>182</v>
      </c>
      <c r="C107" s="61"/>
      <c r="D107" s="16"/>
      <c r="E107" s="60"/>
      <c r="F107" s="62"/>
      <c r="G107" s="60"/>
      <c r="H107" s="63"/>
    </row>
    <row r="108" spans="1:8" ht="15.75" customHeight="1" x14ac:dyDescent="0.25">
      <c r="A108" s="60"/>
      <c r="B108" s="72" t="s">
        <v>183</v>
      </c>
      <c r="C108" s="61"/>
      <c r="D108" s="16"/>
      <c r="E108" s="60"/>
      <c r="F108" s="62"/>
      <c r="G108" s="60"/>
      <c r="H108" s="63"/>
    </row>
    <row r="109" spans="1:8" ht="15.75" customHeight="1" thickBot="1" x14ac:dyDescent="0.3">
      <c r="A109" s="60" t="s">
        <v>186</v>
      </c>
      <c r="B109" s="72" t="s">
        <v>184</v>
      </c>
      <c r="C109" s="61"/>
      <c r="D109" s="16"/>
      <c r="E109" s="60" t="s">
        <v>39</v>
      </c>
      <c r="F109" s="62">
        <v>560000</v>
      </c>
      <c r="G109" s="60">
        <v>3</v>
      </c>
      <c r="H109" s="65">
        <f t="shared" ref="H109" si="5">G109*F109</f>
        <v>1680000</v>
      </c>
    </row>
    <row r="110" spans="1:8" ht="15.75" customHeight="1" thickBot="1" x14ac:dyDescent="0.3">
      <c r="A110" s="60"/>
      <c r="B110" s="72" t="s">
        <v>185</v>
      </c>
      <c r="C110" s="61"/>
      <c r="D110" s="16"/>
      <c r="E110" s="60"/>
      <c r="F110" s="62"/>
      <c r="G110" s="60"/>
      <c r="H110" s="63"/>
    </row>
    <row r="111" spans="1:8" ht="15.75" thickBot="1" x14ac:dyDescent="0.3">
      <c r="A111" s="70" t="s">
        <v>187</v>
      </c>
      <c r="B111" s="15" t="s">
        <v>188</v>
      </c>
      <c r="C111" s="61"/>
      <c r="D111" s="16"/>
      <c r="E111" s="45" t="s">
        <v>39</v>
      </c>
      <c r="F111" s="52">
        <v>1900000</v>
      </c>
      <c r="G111" s="50">
        <v>1</v>
      </c>
      <c r="H111" s="54">
        <f t="shared" ref="H111" si="6">G111*F111</f>
        <v>1900000</v>
      </c>
    </row>
    <row r="112" spans="1:8" ht="15.75" customHeight="1" x14ac:dyDescent="0.25">
      <c r="A112" s="60"/>
      <c r="B112" s="72" t="s">
        <v>189</v>
      </c>
      <c r="C112" s="61"/>
      <c r="D112" s="16"/>
      <c r="E112" s="60"/>
      <c r="F112" s="62"/>
      <c r="G112" s="60"/>
      <c r="H112" s="63"/>
    </row>
    <row r="113" spans="1:8" ht="15.75" customHeight="1" thickBot="1" x14ac:dyDescent="0.3">
      <c r="A113" s="60"/>
      <c r="B113" s="73" t="s">
        <v>190</v>
      </c>
      <c r="C113" s="4"/>
      <c r="D113" s="18"/>
      <c r="E113" s="60"/>
      <c r="F113" s="62"/>
      <c r="G113" s="60"/>
      <c r="H113" s="63"/>
    </row>
    <row r="114" spans="1:8" ht="19.5" customHeight="1" thickBot="1" x14ac:dyDescent="0.35">
      <c r="A114" s="67" t="s">
        <v>26</v>
      </c>
      <c r="B114" s="12" t="s">
        <v>191</v>
      </c>
      <c r="C114" s="13"/>
      <c r="D114" s="14"/>
      <c r="E114" s="6"/>
      <c r="F114" s="47" t="s">
        <v>32</v>
      </c>
      <c r="G114" s="6"/>
      <c r="H114" s="7"/>
    </row>
    <row r="115" spans="1:8" ht="19.5" customHeight="1" thickBot="1" x14ac:dyDescent="0.3">
      <c r="A115" s="58"/>
      <c r="B115" s="17" t="s">
        <v>192</v>
      </c>
      <c r="C115" s="4"/>
      <c r="D115" s="18"/>
      <c r="E115" s="85" t="s">
        <v>27</v>
      </c>
      <c r="F115" s="86"/>
      <c r="G115" s="76"/>
      <c r="H115" s="66">
        <f>SUM(H16:H111)</f>
        <v>162685000</v>
      </c>
    </row>
    <row r="116" spans="1:8" ht="15.75" customHeight="1" x14ac:dyDescent="0.25">
      <c r="A116" s="26" t="s">
        <v>28</v>
      </c>
      <c r="B116" s="13"/>
      <c r="C116" s="13"/>
      <c r="D116" s="14"/>
      <c r="E116" s="87" t="s">
        <v>34</v>
      </c>
      <c r="F116" s="55"/>
      <c r="G116" s="88">
        <v>0.19</v>
      </c>
      <c r="H116" s="43">
        <f>H115*G116</f>
        <v>30910150</v>
      </c>
    </row>
    <row r="117" spans="1:8" ht="15.75" x14ac:dyDescent="0.25">
      <c r="A117" s="15" t="s">
        <v>193</v>
      </c>
      <c r="D117" s="16"/>
      <c r="E117" s="89" t="s">
        <v>29</v>
      </c>
      <c r="F117" s="61"/>
      <c r="G117" s="90">
        <v>2.5000000000000001E-2</v>
      </c>
      <c r="H117" s="39">
        <f>H115*G117</f>
        <v>4067125</v>
      </c>
    </row>
    <row r="118" spans="1:8" ht="15.75" x14ac:dyDescent="0.25">
      <c r="A118" s="15" t="s">
        <v>194</v>
      </c>
      <c r="D118" s="16"/>
      <c r="E118" s="15"/>
      <c r="F118" s="37"/>
      <c r="G118" s="80"/>
      <c r="H118" s="40"/>
    </row>
    <row r="119" spans="1:8" ht="16.5" thickBot="1" x14ac:dyDescent="0.3">
      <c r="A119" s="15" t="s">
        <v>36</v>
      </c>
      <c r="D119" s="16"/>
      <c r="E119" s="91" t="s">
        <v>30</v>
      </c>
      <c r="F119" s="92"/>
      <c r="G119" s="84"/>
      <c r="H119" s="41"/>
    </row>
    <row r="120" spans="1:8" ht="16.5" customHeight="1" thickBot="1" x14ac:dyDescent="0.35">
      <c r="A120" s="17"/>
      <c r="B120" s="4"/>
      <c r="C120" s="4"/>
      <c r="D120" s="18"/>
      <c r="F120" s="3"/>
      <c r="G120" s="38" t="s">
        <v>31</v>
      </c>
      <c r="H120" s="44">
        <f>H115+H116-H117</f>
        <v>189528025</v>
      </c>
    </row>
    <row r="122" spans="1:8" x14ac:dyDescent="0.25">
      <c r="A122" t="s">
        <v>1</v>
      </c>
    </row>
    <row r="124" spans="1:8" ht="15.75" thickBot="1" x14ac:dyDescent="0.3"/>
    <row r="125" spans="1:8" ht="19.5" thickBot="1" x14ac:dyDescent="0.35">
      <c r="A125" s="27" t="s">
        <v>41</v>
      </c>
      <c r="B125" s="6"/>
      <c r="C125" s="6"/>
      <c r="D125" s="6"/>
      <c r="E125" s="6"/>
      <c r="F125" s="6"/>
      <c r="G125" s="6"/>
      <c r="H125" s="7"/>
    </row>
    <row r="134" spans="1:1" ht="18.75" x14ac:dyDescent="0.3">
      <c r="A134" s="5"/>
    </row>
  </sheetData>
  <mergeCells count="1">
    <mergeCell ref="A114:A115"/>
  </mergeCells>
  <hyperlinks>
    <hyperlink ref="C10" r:id="rId1" xr:uid="{09967037-ACA1-4B12-927D-DCAAB3EA8BB6}"/>
  </hyperlinks>
  <printOptions horizontalCentered="1"/>
  <pageMargins left="0.47244094488188981" right="0.31496062992125984" top="0.31496062992125984" bottom="0.39370078740157483" header="0.31496062992125984" footer="0.31496062992125984"/>
  <pageSetup scale="6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CONSORCIO SANEAR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2024-07-30T14:27:20Z</cp:lastPrinted>
  <dcterms:created xsi:type="dcterms:W3CDTF">2018-11-15T17:29:02Z</dcterms:created>
  <dcterms:modified xsi:type="dcterms:W3CDTF">2024-09-10T23:08:16Z</dcterms:modified>
</cp:coreProperties>
</file>