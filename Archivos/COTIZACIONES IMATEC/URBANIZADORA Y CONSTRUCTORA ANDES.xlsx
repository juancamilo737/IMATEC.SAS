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D76C8DF-337F-4E09-B8F1-90FC6FE290B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NSTRUANDES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<sst xmlns="http://schemas.openxmlformats.org/spreadsheetml/2006/main" count="55" uniqueCount="54">
  <si>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</si>
  <si>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</si>
  <si>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</si>
  <si>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</si>
  <si>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</si>
  <si>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</si>
  <si>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</si>
  <si>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</si>
  <si>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</si>
  <si>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</si>
  <si>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</si>
  <si>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</si>
  <si>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</si>
  <si>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</si>
  <si>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</si>
  <si>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</si>
  <si>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</si>
  <si>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</si>
  <si>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</si>
  <si>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</si>
  <si>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</si>
  <si>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</si>
  <si>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</si>
  <si>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</si>
  <si>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</si>
  <si>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</si>
  <si>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</si>
  <si>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</si>
  <si>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</si>
  <si>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</si>
  <si>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</si>
  <si>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</si>
  <si>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</si>
  <si>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</si>
  <si>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</si>
  <si>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</si>
  <si>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</si>
  <si>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</si>
  <si>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</si>
  <si>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</si>
  <si>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</si>
  <si>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</si>
  <si>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URBANIZADORA Y CONSTRUCTORA ANDES S.A.S.</t>
  </si>
  <si>
    <t>800 228069</t>
  </si>
  <si>
    <t>CL 2 Oeste  No. 24F-60</t>
  </si>
  <si>
    <t>CALI</t>
  </si>
  <si>
    <t>contabilidad@construandes.com</t>
  </si>
  <si>
    <t>602 5243337</t>
  </si>
  <si>
    <t>EDINSON CABEZAS</t>
  </si>
  <si>
    <t>CODO CPVC  2 "  X  90º</t>
  </si>
  <si>
    <t>ACCESORIO</t>
  </si>
  <si>
    <t>UNION CPVC  2 "</t>
  </si>
  <si>
    <t>UN MILLON CUATROCIENTOS CUARENTA Y TRES MIL</t>
  </si>
  <si>
    <t>CUATROCIENTOS SETENTA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</si>
</sst>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nstruand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7" zoomScaleNormal="100" workbookViewId="0">
      <selection activeCell="H19" sqref="H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40</v>
      </c>
    </row>
    <row r="3" spans="1:8" ht="27" thickBot="1" x14ac:dyDescent="0.45">
      <c r="A3" s="11" t="s">
        <v>41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34</v>
      </c>
      <c r="E4" s="18"/>
      <c r="F4" s="19"/>
      <c r="G4" s="6"/>
      <c r="H4" s="7"/>
    </row>
    <row r="5" spans="1:8" ht="19.5" thickBot="1" x14ac:dyDescent="0.35">
      <c r="A5" s="37" t="s">
        <v>37</v>
      </c>
      <c r="B5" s="6"/>
      <c r="C5" s="6"/>
      <c r="D5" s="6"/>
      <c r="E5" s="6"/>
    </row>
    <row r="6" spans="1:8" ht="24.75" customHeight="1" thickBot="1" x14ac:dyDescent="0.45">
      <c r="F6" s="41" t="s">
        <v>18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8" t="s">
        <v>45</v>
      </c>
      <c r="F9" s="30" t="s">
        <v>0</v>
      </c>
      <c r="H9" s="28">
        <v>45552</v>
      </c>
    </row>
    <row r="10" spans="1:8" ht="18.75" x14ac:dyDescent="0.3">
      <c r="A10" s="21" t="s">
        <v>13</v>
      </c>
      <c r="C10" s="50" t="s">
        <v>46</v>
      </c>
      <c r="E10" s="15"/>
      <c r="F10" s="30" t="s">
        <v>15</v>
      </c>
      <c r="H10" s="29" t="s">
        <v>33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45562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3" t="s">
        <v>38</v>
      </c>
      <c r="B15" s="24" t="s">
        <v>23</v>
      </c>
      <c r="C15" s="43"/>
      <c r="D15" s="13"/>
      <c r="E15" s="53" t="s">
        <v>19</v>
      </c>
      <c r="F15" s="53" t="s">
        <v>21</v>
      </c>
      <c r="G15" s="53" t="s">
        <v>20</v>
      </c>
      <c r="H15" s="32" t="s">
        <v>22</v>
      </c>
    </row>
    <row r="16" spans="1:8" ht="16.5" thickBot="1" x14ac:dyDescent="0.3">
      <c r="A16" s="55">
        <v>1</v>
      </c>
      <c r="B16" s="58" t="s">
        <v>49</v>
      </c>
      <c r="C16" s="59"/>
      <c r="D16" s="60"/>
      <c r="E16" s="55" t="s">
        <v>50</v>
      </c>
      <c r="F16" s="64">
        <v>34750</v>
      </c>
      <c r="G16" s="55">
        <v>20</v>
      </c>
      <c r="H16" s="38">
        <f t="shared" ref="H16" si="0">G16*F16</f>
        <v>695000</v>
      </c>
    </row>
    <row r="17" spans="1:8" ht="16.5" thickBot="1" x14ac:dyDescent="0.3">
      <c r="A17" s="56">
        <v>2</v>
      </c>
      <c r="B17" s="61" t="s">
        <v>51</v>
      </c>
      <c r="C17" s="51"/>
      <c r="D17" s="62"/>
      <c r="E17" s="56" t="s">
        <v>50</v>
      </c>
      <c r="F17" s="65">
        <v>25900</v>
      </c>
      <c r="G17" s="56">
        <v>20</v>
      </c>
      <c r="H17" s="38">
        <f t="shared" ref="H17" si="1">G17*F17</f>
        <v>518000</v>
      </c>
    </row>
    <row r="18" spans="1:8" ht="15.75" x14ac:dyDescent="0.25">
      <c r="A18" s="56"/>
      <c r="B18" s="61"/>
      <c r="C18" s="51"/>
      <c r="D18" s="62"/>
      <c r="E18" s="56"/>
      <c r="F18" s="65"/>
      <c r="G18" s="56"/>
      <c r="H18" s="52"/>
    </row>
    <row r="19" spans="1:8" ht="19.5" customHeight="1" thickBot="1" x14ac:dyDescent="0.3">
      <c r="A19" s="57"/>
      <c r="B19" s="45"/>
      <c r="C19" s="42"/>
      <c r="D19" s="63"/>
      <c r="E19" s="66"/>
      <c r="F19" s="66"/>
      <c r="G19" s="66"/>
    </row>
    <row r="20" spans="1:8" ht="19.5" customHeight="1" thickBot="1" x14ac:dyDescent="0.35">
      <c r="A20" s="54" t="s">
        <v>24</v>
      </c>
      <c r="B20" s="14" t="s">
        <v>52</v>
      </c>
      <c r="D20" s="15"/>
      <c r="E20" s="67"/>
      <c r="F20" s="37" t="s">
        <v>30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4"/>
      <c r="E21" s="70" t="s">
        <v>25</v>
      </c>
      <c r="F21" s="71"/>
      <c r="G21" s="47"/>
      <c r="H21" s="68">
        <f>SUM(H16:H20)</f>
        <v>1213000</v>
      </c>
    </row>
    <row r="22" spans="1:8" ht="19.5" customHeight="1" x14ac:dyDescent="0.25">
      <c r="A22" s="24" t="s">
        <v>26</v>
      </c>
      <c r="B22" s="12"/>
      <c r="C22" s="12"/>
      <c r="D22" s="12"/>
      <c r="E22" s="72" t="s">
        <v>31</v>
      </c>
      <c r="F22" s="23"/>
      <c r="G22" s="73">
        <v>0.19</v>
      </c>
      <c r="H22" s="40">
        <f>H21*G22</f>
        <v>230470</v>
      </c>
    </row>
    <row r="23" spans="1:8" ht="19.5" customHeight="1" x14ac:dyDescent="0.25">
      <c r="A23" s="14" t="s">
        <v>32</v>
      </c>
      <c r="E23" s="74" t="s">
        <v>27</v>
      </c>
      <c r="G23" s="77">
        <v>2.5000000000000001E-2</v>
      </c>
      <c r="H23" s="69"/>
    </row>
    <row r="24" spans="1:8" ht="15.75" x14ac:dyDescent="0.25">
      <c r="A24" s="14" t="s">
        <v>39</v>
      </c>
      <c r="E24" s="14"/>
      <c r="F24" s="33"/>
      <c r="G24" s="48"/>
      <c r="H24" s="15"/>
    </row>
    <row r="25" spans="1:8" ht="16.5" thickBot="1" x14ac:dyDescent="0.3">
      <c r="A25" s="14" t="s">
        <v>35</v>
      </c>
      <c r="E25" s="75" t="s">
        <v>28</v>
      </c>
      <c r="F25" s="76"/>
      <c r="G25" s="49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29</v>
      </c>
      <c r="H26" s="36">
        <f>H21+H22</f>
        <v>1443470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36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2273DFF9-903C-401A-97A5-78F8C5ED4DB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CONSTRUANDES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2024-09-17T19:18:27Z</dcterms:modified>
</cp:coreProperties>
</file>