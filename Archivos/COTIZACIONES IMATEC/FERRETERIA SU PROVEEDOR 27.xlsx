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6C7D528-CD12-4317-9052-280DD28E9DA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4" i="1" s="1"/>
</calcChain>
</file>

<file path=xl/sharedStrings.xml><?xml version="1.0" encoding="utf-8"?>
<sst xmlns="http://schemas.openxmlformats.org/spreadsheetml/2006/main" count="58" uniqueCount="57">
  <si>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</si>
  <si>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</si>
  <si>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</si>
  <si>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</si>
  <si>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</si>
  <si>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</si>
  <si>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</si>
  <si>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</si>
  <si>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</si>
  <si>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</si>
  <si>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</si>
  <si>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</si>
  <si>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</si>
  <si>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</si>
  <si>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</si>
  <si>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</si>
  <si>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</si>
  <si>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</si>
  <si>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</si>
  <si>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</si>
  <si>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</si>
  <si>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</si>
  <si>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</si>
  <si>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</si>
  <si>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</si>
  <si>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</si>
  <si>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</si>
  <si>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</si>
  <si>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</si>
  <si>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</si>
  <si>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</si>
  <si>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</si>
  <si>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</si>
  <si>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</si>
  <si>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</si>
  <si>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</si>
  <si>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</si>
  <si>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BENAVIDES</t>
  </si>
  <si>
    <t>FERRETERIA SUPROVEEDOR S.A.S.</t>
  </si>
  <si>
    <t>900 262123</t>
  </si>
  <si>
    <t>CRA 1 Nte  No. 50-224</t>
  </si>
  <si>
    <t>ferresuproveedor@gmail.com</t>
  </si>
  <si>
    <t>602 5247788</t>
  </si>
  <si>
    <t>FORMA DE PAGO : CREDITO A 30 DIAS</t>
  </si>
  <si>
    <t>ORDEN DE COMPRA No.</t>
  </si>
  <si>
    <t>L I Q U I D A C I O N</t>
  </si>
  <si>
    <t xml:space="preserve">  CALLE  33A  No. 17F - 56                          B/  LA FLORESTA             -   CALI    -                                  CEL.     321 7834969</t>
  </si>
  <si>
    <t>ACCESORIO</t>
  </si>
  <si>
    <t xml:space="preserve">         </t>
  </si>
  <si>
    <t xml:space="preserve">             R E M I S I O N</t>
  </si>
  <si>
    <t>No. 27</t>
  </si>
  <si>
    <t>P-27542</t>
  </si>
  <si>
    <t>SOPORTE TIPO PERA  1  1/4 "</t>
  </si>
  <si>
    <t>SOPORTE TIPO PERA  1  "</t>
  </si>
  <si>
    <t>CIENTO TREINTA Y TRES MIL CIENTO SESENTA Y UN PE-</t>
  </si>
  <si>
    <t>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</si>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</sst>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0" fillId="0" borderId="17" xfId="0" applyBorder="1"/>
    <xf numFmtId="0" fontId="0" fillId="0" borderId="14" xfId="0" applyBorder="1"/>
    <xf numFmtId="0" fontId="5" fillId="0" borderId="19" xfId="0" applyFont="1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8" xfId="0" applyFont="1" applyBorder="1" applyAlignment="1">
      <alignment horizontal="center"/>
    </xf>
    <xf numFmtId="42" fontId="1" fillId="0" borderId="20" xfId="0" applyNumberFormat="1" applyFont="1" applyBorder="1" applyAlignment="1">
      <alignment horizontal="left"/>
    </xf>
    <xf numFmtId="0" fontId="0" fillId="0" borderId="3" xfId="0" applyBorder="1"/>
    <xf numFmtId="42" fontId="1" fillId="0" borderId="20" xfId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1" fillId="0" borderId="25" xfId="0" applyFont="1" applyBorder="1" applyAlignment="1">
      <alignment horizont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1" fillId="0" borderId="27" xfId="0" applyFont="1" applyBorder="1" applyAlignment="1">
      <alignment horizontal="center"/>
    </xf>
    <xf numFmtId="42" fontId="11" fillId="0" borderId="27" xfId="1" applyFont="1" applyBorder="1" applyAlignment="1">
      <alignment horizontal="center"/>
    </xf>
    <xf numFmtId="42" fontId="1" fillId="0" borderId="29" xfId="1" applyFont="1" applyBorder="1" applyAlignment="1">
      <alignment horizontal="left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0" fillId="0" borderId="0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L3" sqref="L3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32</v>
      </c>
      <c r="E4" s="19"/>
      <c r="F4" s="20"/>
      <c r="G4" s="6"/>
      <c r="H4" s="7"/>
    </row>
    <row r="5" spans="1:8" ht="19.5" thickBot="1" x14ac:dyDescent="0.35">
      <c r="A5" s="44" t="s">
        <v>36</v>
      </c>
      <c r="B5" s="6"/>
      <c r="C5" s="6"/>
      <c r="D5" s="6"/>
      <c r="E5" s="6"/>
    </row>
    <row r="6" spans="1:8" ht="24.75" customHeight="1" thickBot="1" x14ac:dyDescent="0.45">
      <c r="F6" s="11" t="s">
        <v>49</v>
      </c>
      <c r="G6" s="19"/>
      <c r="H6" s="20"/>
    </row>
    <row r="7" spans="1:8" ht="19.5" thickBot="1" x14ac:dyDescent="0.35">
      <c r="A7" s="21" t="s">
        <v>15</v>
      </c>
      <c r="B7" s="13"/>
      <c r="C7" s="31" t="s">
        <v>38</v>
      </c>
      <c r="D7" s="13"/>
      <c r="E7" s="14"/>
      <c r="F7" s="28"/>
      <c r="G7" s="19"/>
      <c r="H7" s="20" t="s">
        <v>50</v>
      </c>
    </row>
    <row r="8" spans="1:8" ht="18.75" x14ac:dyDescent="0.3">
      <c r="A8" s="22" t="s">
        <v>9</v>
      </c>
      <c r="C8" s="25" t="s">
        <v>39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40</v>
      </c>
      <c r="D9" s="24"/>
      <c r="E9" s="25" t="s">
        <v>34</v>
      </c>
      <c r="F9" s="32" t="s">
        <v>0</v>
      </c>
      <c r="H9" s="33">
        <v>45748</v>
      </c>
    </row>
    <row r="10" spans="1:8" ht="18.75" x14ac:dyDescent="0.3">
      <c r="A10" s="22" t="s">
        <v>14</v>
      </c>
      <c r="C10" s="41" t="s">
        <v>41</v>
      </c>
      <c r="D10" s="26"/>
      <c r="E10" s="26"/>
      <c r="F10" s="32" t="s">
        <v>16</v>
      </c>
      <c r="H10" s="34"/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/>
    </row>
    <row r="12" spans="1:8" ht="18.75" x14ac:dyDescent="0.3">
      <c r="A12" s="22" t="s">
        <v>12</v>
      </c>
      <c r="C12" s="25" t="s">
        <v>42</v>
      </c>
      <c r="D12" s="26"/>
      <c r="E12" s="26"/>
      <c r="F12" s="32" t="s">
        <v>44</v>
      </c>
      <c r="H12" s="34" t="s">
        <v>51</v>
      </c>
    </row>
    <row r="13" spans="1:8" ht="18.75" customHeight="1" thickBot="1" x14ac:dyDescent="0.35">
      <c r="A13" s="23" t="s">
        <v>13</v>
      </c>
      <c r="B13" s="4"/>
      <c r="C13" s="25" t="s">
        <v>37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45" t="s">
        <v>35</v>
      </c>
      <c r="B15" s="27" t="s">
        <v>23</v>
      </c>
      <c r="C15" s="57"/>
      <c r="D15" s="14"/>
      <c r="E15" s="45" t="s">
        <v>19</v>
      </c>
      <c r="F15" s="45" t="s">
        <v>21</v>
      </c>
      <c r="G15" s="45" t="s">
        <v>20</v>
      </c>
      <c r="H15" s="45" t="s">
        <v>22</v>
      </c>
    </row>
    <row r="16" spans="1:8" ht="16.5" thickBot="1" x14ac:dyDescent="0.3">
      <c r="A16" s="58">
        <v>1</v>
      </c>
      <c r="B16" s="59" t="s">
        <v>52</v>
      </c>
      <c r="C16" s="60"/>
      <c r="D16" s="61"/>
      <c r="E16" s="62" t="s">
        <v>47</v>
      </c>
      <c r="F16" s="63">
        <v>1480</v>
      </c>
      <c r="G16" s="62">
        <v>30</v>
      </c>
      <c r="H16" s="64">
        <f t="shared" ref="H16" si="0">G16*F16</f>
        <v>44400</v>
      </c>
    </row>
    <row r="17" spans="1:8" ht="15.75" x14ac:dyDescent="0.25">
      <c r="A17" s="58">
        <v>2</v>
      </c>
      <c r="B17" s="59" t="s">
        <v>53</v>
      </c>
      <c r="C17" s="60"/>
      <c r="D17" s="61"/>
      <c r="E17" s="62" t="s">
        <v>47</v>
      </c>
      <c r="F17" s="63">
        <v>1350</v>
      </c>
      <c r="G17" s="62">
        <v>50</v>
      </c>
      <c r="H17" s="64">
        <f t="shared" ref="H17" si="1">G17*F17</f>
        <v>67500</v>
      </c>
    </row>
    <row r="18" spans="1:8" ht="19.5" customHeight="1" thickBot="1" x14ac:dyDescent="0.3">
      <c r="H18" s="36"/>
    </row>
    <row r="19" spans="1:8" ht="19.5" customHeight="1" thickBot="1" x14ac:dyDescent="0.35">
      <c r="A19" s="65" t="s">
        <v>24</v>
      </c>
      <c r="B19" s="12" t="s">
        <v>54</v>
      </c>
      <c r="C19" s="13"/>
      <c r="D19" s="13"/>
      <c r="E19" s="47"/>
      <c r="F19" s="44" t="s">
        <v>45</v>
      </c>
      <c r="G19" s="6"/>
      <c r="H19" s="7"/>
    </row>
    <row r="20" spans="1:8" ht="19.5" customHeight="1" thickBot="1" x14ac:dyDescent="0.3">
      <c r="A20" s="66"/>
      <c r="B20" s="17" t="s">
        <v>55</v>
      </c>
      <c r="C20" s="4"/>
      <c r="D20" s="4"/>
      <c r="E20" s="54" t="s">
        <v>25</v>
      </c>
      <c r="F20" s="55"/>
      <c r="G20" s="7"/>
      <c r="H20" s="46">
        <f>SUM(H16:H17)</f>
        <v>111900</v>
      </c>
    </row>
    <row r="21" spans="1:8" ht="19.5" customHeight="1" thickBot="1" x14ac:dyDescent="0.3">
      <c r="A21" s="27" t="s">
        <v>26</v>
      </c>
      <c r="B21" s="13"/>
      <c r="C21" s="13"/>
      <c r="D21" s="14"/>
      <c r="E21" s="52" t="s">
        <v>31</v>
      </c>
      <c r="F21" s="37"/>
      <c r="G21" s="53">
        <v>0.19</v>
      </c>
      <c r="H21" s="42">
        <f>H20*G21</f>
        <v>21261</v>
      </c>
    </row>
    <row r="22" spans="1:8" ht="16.5" thickBot="1" x14ac:dyDescent="0.3">
      <c r="A22" s="15" t="s">
        <v>43</v>
      </c>
      <c r="B22" s="67"/>
      <c r="C22" s="67"/>
      <c r="D22" s="16"/>
      <c r="E22" s="49" t="s">
        <v>27</v>
      </c>
      <c r="G22" s="56">
        <v>2.5000000000000001E-2</v>
      </c>
      <c r="H22" s="48"/>
    </row>
    <row r="23" spans="1:8" ht="16.5" thickBot="1" x14ac:dyDescent="0.3">
      <c r="A23" s="15" t="s">
        <v>56</v>
      </c>
      <c r="B23" s="67"/>
      <c r="C23" s="67"/>
      <c r="D23" s="16"/>
      <c r="E23" s="50" t="s">
        <v>28</v>
      </c>
      <c r="F23" s="51"/>
      <c r="G23" s="18"/>
      <c r="H23" s="39"/>
    </row>
    <row r="24" spans="1:8" ht="19.5" thickBot="1" x14ac:dyDescent="0.35">
      <c r="A24" s="17" t="s">
        <v>33</v>
      </c>
      <c r="B24" s="4"/>
      <c r="C24" s="4"/>
      <c r="D24" s="18"/>
      <c r="G24" s="38" t="s">
        <v>29</v>
      </c>
      <c r="H24" s="43">
        <f>H20+H21-H22</f>
        <v>133161</v>
      </c>
    </row>
    <row r="25" spans="1:8" ht="16.5" customHeight="1" x14ac:dyDescent="0.25">
      <c r="F25" s="3"/>
    </row>
    <row r="27" spans="1:8" x14ac:dyDescent="0.25">
      <c r="A27" t="s">
        <v>1</v>
      </c>
      <c r="C27" t="s">
        <v>48</v>
      </c>
    </row>
    <row r="29" spans="1:8" ht="15.75" thickBot="1" x14ac:dyDescent="0.3"/>
    <row r="30" spans="1:8" ht="19.5" thickBot="1" x14ac:dyDescent="0.35">
      <c r="A30" s="28" t="s">
        <v>46</v>
      </c>
      <c r="B30" s="6"/>
      <c r="C30" s="6"/>
      <c r="D30" s="6"/>
      <c r="E30" s="6"/>
      <c r="F30" s="6"/>
      <c r="G30" s="6"/>
      <c r="H30" s="7"/>
    </row>
    <row r="39" spans="1:1" ht="18.75" x14ac:dyDescent="0.3">
      <c r="A39" s="5"/>
    </row>
  </sheetData>
  <mergeCells count="1">
    <mergeCell ref="A19:A20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2025-03-31T21:57:52Z</cp:lastPrinted>
  <dcterms:created xsi:type="dcterms:W3CDTF">2018-11-15T17:29:02Z</dcterms:created>
  <dcterms:modified xsi:type="dcterms:W3CDTF">2025-03-31T21:59:23Z</dcterms:modified>
</cp:coreProperties>
</file>