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66C3919C-B9A3-4EE1-80F2-7CB48B4D4800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INDUSTRIA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8" i="1"/>
  <c r="H26" i="1"/>
  <c r="H24" i="1"/>
  <c r="H22" i="1"/>
  <c r="H20" i="1"/>
  <c r="H18" i="1"/>
  <c r="H16" i="1"/>
  <c r="H32" i="1" l="1"/>
  <c r="H36" i="1" s="1"/>
</calcChain>
</file>

<file path=xl/sharedStrings.xml><?xml version="1.0" encoding="utf-8"?>
<sst xmlns="http://schemas.openxmlformats.org/spreadsheetml/2006/main" count="66" uniqueCount="60">
  <si>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</si>
  <si>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</si>
  <si>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</si>
  <si>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</si>
  <si>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</si>
  <si>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</si>
  <si>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</si>
  <si>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</si>
  <si>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</si>
  <si>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</si>
  <si>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</si>
  <si>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</si>
  <si>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</si>
  <si>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</si>
  <si>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</si>
  <si>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</si>
  <si>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</si>
  <si>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</si>
  <si>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</si>
  <si>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</si>
  <si>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</si>
  <si>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</si>
  <si>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</si>
  <si>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</si>
  <si>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</si>
  <si>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</si>
  <si>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</si>
  <si>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</si>
  <si>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</si>
  <si>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</si>
  <si>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</si>
  <si>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</si>
  <si>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</si>
  <si>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</si>
  <si>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</si>
  <si>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</si>
  <si>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</si>
  <si>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FORMA DE PAGO : CONTADO</t>
  </si>
  <si>
    <t>ENTREGA INMEDIATA</t>
  </si>
  <si>
    <t>ENTREGA EN CALI</t>
  </si>
  <si>
    <t>CALI</t>
  </si>
  <si>
    <t>ACCESORIO</t>
  </si>
  <si>
    <t>FERRETERIA INDUSTRIAL DEL VALLE SAS</t>
  </si>
  <si>
    <t xml:space="preserve">          C O T I Z A C I O N</t>
  </si>
  <si>
    <t>901 048853</t>
  </si>
  <si>
    <t>CRA 5  No. 33-37</t>
  </si>
  <si>
    <t>gerencia@ferreindustrialdel valle.com</t>
  </si>
  <si>
    <t>602 3744887</t>
  </si>
  <si>
    <t>EDINSON CABEZAS</t>
  </si>
  <si>
    <t>REDUCCION COPA HR RANURADA 3 "  X  2 1/2 "</t>
  </si>
  <si>
    <t>NIPLE A / C  1 1/2 "  X  20 CMTS RANURADA</t>
  </si>
  <si>
    <t>VALVULA MARIPOSA RANURADA SUPERVISADA</t>
  </si>
  <si>
    <t>2 1/2 "</t>
  </si>
  <si>
    <t>CODO HR RANURADO 2 1/2 "  X  90º</t>
  </si>
  <si>
    <t>REDUCCION COPA HR RANURADA 2 1/2 "  X  1 1/2 "</t>
  </si>
  <si>
    <t xml:space="preserve">UNION HR RANURADA  2 1/2 " </t>
  </si>
  <si>
    <t>REDUCCION BUJE PVC PRESION  3 "  X  1 1/2 "</t>
  </si>
  <si>
    <t xml:space="preserve">OCHOCIENTOS VEINTIOCHO MIL QUINIENTOS ONCE </t>
  </si>
  <si>
    <t>PESOS MDA / CTE</t>
  </si>
  <si>
    <t xml:space="preserve">  CALLE  33B  No. 17C - 70  2º  PISO               B/  LA FLORESTA             -   CALI    -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</si>
</sst>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8" xfId="0" applyBorder="1"/>
    <xf numFmtId="0" fontId="0" fillId="0" borderId="17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42" fontId="12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17" xfId="0" applyFont="1" applyBorder="1"/>
    <xf numFmtId="0" fontId="4" fillId="0" borderId="14" xfId="0" applyFont="1" applyBorder="1"/>
    <xf numFmtId="0" fontId="4" fillId="0" borderId="19" xfId="0" applyFont="1" applyBorder="1"/>
    <xf numFmtId="0" fontId="5" fillId="0" borderId="21" xfId="0" applyFont="1" applyBorder="1"/>
    <xf numFmtId="9" fontId="1" fillId="0" borderId="17" xfId="0" applyNumberFormat="1" applyFont="1" applyBorder="1"/>
    <xf numFmtId="42" fontId="1" fillId="0" borderId="20" xfId="0" applyNumberFormat="1" applyFont="1" applyBorder="1"/>
    <xf numFmtId="42" fontId="1" fillId="0" borderId="22" xfId="1" applyFont="1" applyBorder="1"/>
    <xf numFmtId="42" fontId="1" fillId="0" borderId="22" xfId="0" applyNumberFormat="1" applyFont="1" applyBorder="1"/>
    <xf numFmtId="0" fontId="0" fillId="0" borderId="22" xfId="0" applyBorder="1"/>
    <xf numFmtId="0" fontId="0" fillId="0" borderId="21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2" fontId="1" fillId="0" borderId="27" xfId="1" applyFont="1" applyBorder="1" applyAlignment="1">
      <alignment horizontal="center"/>
    </xf>
    <xf numFmtId="0" fontId="11" fillId="0" borderId="19" xfId="0" applyFont="1" applyBorder="1"/>
    <xf numFmtId="0" fontId="13" fillId="0" borderId="0" xfId="0" applyFont="1" applyAlignment="1">
      <alignment horizontal="center"/>
    </xf>
    <xf numFmtId="0" fontId="14" fillId="0" borderId="17" xfId="2" applyBorder="1"/>
    <xf numFmtId="0" fontId="15" fillId="0" borderId="17" xfId="2" applyFont="1" applyBorder="1"/>
    <xf numFmtId="0" fontId="1" fillId="0" borderId="0" xfId="0" applyFont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/>
    </xf>
    <xf numFmtId="42" fontId="12" fillId="0" borderId="0" xfId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2" fontId="1" fillId="0" borderId="19" xfId="1" applyFont="1" applyBorder="1" applyAlignment="1">
      <alignment horizontal="center"/>
    </xf>
    <xf numFmtId="0" fontId="8" fillId="0" borderId="0" xfId="0" applyFont="1" applyBorder="1"/>
    <xf numFmtId="0" fontId="1" fillId="0" borderId="19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ferreindustrialdel%20val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3"/>
  <sheetViews>
    <sheetView tabSelected="1" topLeftCell="A13" zoomScale="85" zoomScaleNormal="85" workbookViewId="0">
      <selection activeCell="I29" sqref="I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4" t="s">
        <v>34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20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15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45</v>
      </c>
      <c r="D9" s="24"/>
      <c r="E9" s="25" t="s">
        <v>40</v>
      </c>
      <c r="F9" s="32" t="s">
        <v>0</v>
      </c>
      <c r="H9" s="33">
        <v>45489</v>
      </c>
    </row>
    <row r="10" spans="1:8" ht="18.75" x14ac:dyDescent="0.3">
      <c r="A10" s="22" t="s">
        <v>14</v>
      </c>
      <c r="C10" s="65" t="s">
        <v>46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66"/>
      <c r="D11" s="26"/>
      <c r="E11" s="26"/>
      <c r="F11" s="32" t="s">
        <v>17</v>
      </c>
      <c r="G11" s="35"/>
      <c r="H11" s="33">
        <v>45497</v>
      </c>
    </row>
    <row r="12" spans="1:8" ht="18.75" x14ac:dyDescent="0.3">
      <c r="A12" s="22" t="s">
        <v>12</v>
      </c>
      <c r="C12" s="25" t="s">
        <v>47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21</v>
      </c>
      <c r="B15" s="27" t="s">
        <v>26</v>
      </c>
      <c r="C15" s="39"/>
      <c r="D15" s="13"/>
      <c r="E15" s="58" t="s">
        <v>22</v>
      </c>
      <c r="F15" s="59" t="s">
        <v>24</v>
      </c>
      <c r="G15" s="59" t="s">
        <v>23</v>
      </c>
      <c r="H15" s="60" t="s">
        <v>25</v>
      </c>
    </row>
    <row r="16" spans="1:8" ht="16.5" thickBot="1" x14ac:dyDescent="0.3">
      <c r="A16" s="67">
        <v>1</v>
      </c>
      <c r="B16" s="40" t="s">
        <v>49</v>
      </c>
      <c r="C16" s="41"/>
      <c r="D16" s="41"/>
      <c r="E16" s="61" t="s">
        <v>41</v>
      </c>
      <c r="F16" s="44">
        <v>17100</v>
      </c>
      <c r="G16" s="37">
        <v>1</v>
      </c>
      <c r="H16" s="62">
        <f>G16*F16</f>
        <v>17100</v>
      </c>
    </row>
    <row r="17" spans="1:10" ht="16.5" thickBot="1" x14ac:dyDescent="0.3">
      <c r="A17" s="67"/>
      <c r="B17" s="42"/>
      <c r="C17" s="43"/>
      <c r="D17" s="43"/>
      <c r="E17" s="45"/>
      <c r="F17" s="38"/>
      <c r="H17" s="63"/>
    </row>
    <row r="18" spans="1:10" ht="16.5" thickBot="1" x14ac:dyDescent="0.3">
      <c r="A18" s="67">
        <v>2</v>
      </c>
      <c r="B18" s="42" t="s">
        <v>50</v>
      </c>
      <c r="C18" s="43"/>
      <c r="D18" s="43"/>
      <c r="E18" s="61" t="s">
        <v>41</v>
      </c>
      <c r="F18" s="44">
        <v>12500</v>
      </c>
      <c r="G18" s="37">
        <v>1</v>
      </c>
      <c r="H18" s="62">
        <f>G18*F18</f>
        <v>12500</v>
      </c>
    </row>
    <row r="19" spans="1:10" ht="16.5" thickBot="1" x14ac:dyDescent="0.3">
      <c r="A19" s="67"/>
      <c r="B19" s="42"/>
      <c r="C19" s="43"/>
      <c r="D19" s="43"/>
      <c r="E19" s="45"/>
      <c r="F19" s="38"/>
      <c r="H19" s="63"/>
    </row>
    <row r="20" spans="1:10" ht="16.5" thickBot="1" x14ac:dyDescent="0.3">
      <c r="A20" s="67">
        <v>3</v>
      </c>
      <c r="B20" s="42" t="s">
        <v>51</v>
      </c>
      <c r="C20" s="43"/>
      <c r="D20" s="43"/>
      <c r="E20" s="61" t="s">
        <v>41</v>
      </c>
      <c r="F20" s="44">
        <v>258128</v>
      </c>
      <c r="G20" s="37">
        <v>1</v>
      </c>
      <c r="H20" s="62">
        <f>G20*F20</f>
        <v>258128</v>
      </c>
      <c r="I20" s="38"/>
      <c r="J20" s="38"/>
    </row>
    <row r="21" spans="1:10" ht="16.5" thickBot="1" x14ac:dyDescent="0.3">
      <c r="A21" s="67"/>
      <c r="B21" s="42" t="s">
        <v>52</v>
      </c>
      <c r="C21" s="43"/>
      <c r="D21" s="43"/>
      <c r="E21" s="45"/>
      <c r="F21" s="38"/>
      <c r="H21" s="63"/>
      <c r="I21" s="38"/>
      <c r="J21" s="38"/>
    </row>
    <row r="22" spans="1:10" ht="16.5" thickBot="1" x14ac:dyDescent="0.3">
      <c r="A22" s="67">
        <v>4</v>
      </c>
      <c r="B22" s="42" t="s">
        <v>53</v>
      </c>
      <c r="C22" s="43"/>
      <c r="D22" s="43"/>
      <c r="E22" s="61" t="s">
        <v>41</v>
      </c>
      <c r="F22" s="44">
        <v>22100</v>
      </c>
      <c r="G22" s="37">
        <v>1</v>
      </c>
      <c r="H22" s="62">
        <f>G22*F22</f>
        <v>22100</v>
      </c>
      <c r="I22" s="38"/>
      <c r="J22" s="38"/>
    </row>
    <row r="23" spans="1:10" ht="16.5" thickBot="1" x14ac:dyDescent="0.3">
      <c r="A23" s="75"/>
      <c r="B23" s="74"/>
      <c r="C23" s="43"/>
      <c r="D23" s="43"/>
      <c r="E23" s="45"/>
      <c r="F23" s="38"/>
      <c r="H23" s="63"/>
      <c r="I23" s="38"/>
      <c r="J23" s="38"/>
    </row>
    <row r="24" spans="1:10" ht="16.5" thickBot="1" x14ac:dyDescent="0.3">
      <c r="A24" s="67">
        <v>5</v>
      </c>
      <c r="B24" s="42" t="s">
        <v>54</v>
      </c>
      <c r="C24" s="43"/>
      <c r="D24" s="43"/>
      <c r="E24" s="61" t="s">
        <v>41</v>
      </c>
      <c r="F24" s="44">
        <v>11200</v>
      </c>
      <c r="G24" s="37">
        <v>1</v>
      </c>
      <c r="H24" s="62">
        <f>G24*F24</f>
        <v>11200</v>
      </c>
      <c r="I24" s="38"/>
      <c r="J24" s="38"/>
    </row>
    <row r="25" spans="1:10" ht="16.5" thickBot="1" x14ac:dyDescent="0.3">
      <c r="A25" s="67"/>
      <c r="B25" s="42"/>
      <c r="C25" s="43"/>
      <c r="D25" s="43"/>
      <c r="E25" s="45"/>
      <c r="F25" s="38"/>
      <c r="H25" s="63"/>
      <c r="I25" s="38"/>
      <c r="J25" s="38"/>
    </row>
    <row r="26" spans="1:10" ht="16.5" thickBot="1" x14ac:dyDescent="0.3">
      <c r="A26" s="67">
        <v>6</v>
      </c>
      <c r="B26" s="42" t="s">
        <v>55</v>
      </c>
      <c r="C26" s="43"/>
      <c r="D26" s="43"/>
      <c r="E26" s="61" t="s">
        <v>41</v>
      </c>
      <c r="F26" s="44">
        <v>17200</v>
      </c>
      <c r="G26" s="37">
        <v>20</v>
      </c>
      <c r="H26" s="62">
        <f>G26*F26</f>
        <v>344000</v>
      </c>
      <c r="I26" s="38"/>
      <c r="J26" s="38"/>
    </row>
    <row r="27" spans="1:10" ht="16.5" thickBot="1" x14ac:dyDescent="0.3">
      <c r="A27" s="67"/>
      <c r="B27" s="42"/>
      <c r="C27" s="43"/>
      <c r="D27" s="43"/>
      <c r="E27" s="70"/>
      <c r="F27" s="71"/>
      <c r="G27" s="72"/>
      <c r="H27" s="73"/>
      <c r="I27" s="38"/>
      <c r="J27" s="38"/>
    </row>
    <row r="28" spans="1:10" ht="16.5" thickBot="1" x14ac:dyDescent="0.3">
      <c r="A28" s="67">
        <v>7</v>
      </c>
      <c r="B28" s="42" t="s">
        <v>56</v>
      </c>
      <c r="C28" s="43"/>
      <c r="D28" s="43"/>
      <c r="E28" s="61" t="s">
        <v>41</v>
      </c>
      <c r="F28" s="44">
        <v>5200</v>
      </c>
      <c r="G28" s="37">
        <v>6</v>
      </c>
      <c r="H28" s="62">
        <f>G28*F28</f>
        <v>31200</v>
      </c>
      <c r="I28" s="38"/>
      <c r="J28" s="38"/>
    </row>
    <row r="29" spans="1:10" ht="19.5" customHeight="1" thickBot="1" x14ac:dyDescent="0.3">
      <c r="A29" s="67"/>
      <c r="B29" s="42"/>
      <c r="C29" s="43"/>
      <c r="D29" s="43"/>
      <c r="E29" s="45"/>
      <c r="F29" s="38"/>
      <c r="H29" s="63"/>
      <c r="I29" s="38"/>
      <c r="J29" s="38"/>
    </row>
    <row r="30" spans="1:10" ht="19.5" customHeight="1" thickBot="1" x14ac:dyDescent="0.35">
      <c r="A30" s="68" t="s">
        <v>27</v>
      </c>
      <c r="B30" s="12" t="s">
        <v>57</v>
      </c>
      <c r="C30" s="13"/>
      <c r="D30" s="14"/>
      <c r="E30" s="13"/>
      <c r="F30" s="47" t="s">
        <v>33</v>
      </c>
      <c r="G30" s="13"/>
      <c r="H30" s="7"/>
      <c r="I30" s="38"/>
      <c r="J30" s="38"/>
    </row>
    <row r="31" spans="1:10" ht="19.5" customHeight="1" thickBot="1" x14ac:dyDescent="0.3">
      <c r="A31" s="69"/>
      <c r="B31" s="17" t="s">
        <v>58</v>
      </c>
      <c r="C31" s="4"/>
      <c r="D31" s="4"/>
      <c r="E31" s="48" t="s">
        <v>28</v>
      </c>
      <c r="F31" s="49"/>
      <c r="G31" s="26"/>
      <c r="H31" s="53">
        <f>SUM(H16:H28)</f>
        <v>696228</v>
      </c>
      <c r="I31" s="38"/>
      <c r="J31" s="38"/>
    </row>
    <row r="32" spans="1:10" ht="19.5" customHeight="1" x14ac:dyDescent="0.25">
      <c r="A32" s="27" t="s">
        <v>29</v>
      </c>
      <c r="B32" s="13"/>
      <c r="C32" s="13"/>
      <c r="D32" s="14"/>
      <c r="E32" s="3" t="s">
        <v>35</v>
      </c>
      <c r="F32" s="50"/>
      <c r="G32" s="52">
        <v>0.19</v>
      </c>
      <c r="H32" s="54">
        <f>H31*G32</f>
        <v>132283.32</v>
      </c>
      <c r="I32" s="38"/>
      <c r="J32" s="38"/>
    </row>
    <row r="33" spans="1:10" ht="19.5" customHeight="1" x14ac:dyDescent="0.25">
      <c r="A33" s="15" t="s">
        <v>37</v>
      </c>
      <c r="D33" s="16"/>
      <c r="E33" s="49" t="s">
        <v>30</v>
      </c>
      <c r="G33">
        <v>0</v>
      </c>
      <c r="H33" s="55"/>
      <c r="I33" s="38"/>
      <c r="J33" s="38"/>
    </row>
    <row r="34" spans="1:10" ht="19.5" customHeight="1" x14ac:dyDescent="0.25">
      <c r="A34" s="15" t="s">
        <v>38</v>
      </c>
      <c r="D34" s="16"/>
      <c r="F34" s="49"/>
      <c r="G34" s="26"/>
      <c r="H34" s="56"/>
      <c r="I34" s="38"/>
      <c r="J34" s="38"/>
    </row>
    <row r="35" spans="1:10" ht="19.5" customHeight="1" thickBot="1" x14ac:dyDescent="0.3">
      <c r="A35" s="15" t="s">
        <v>39</v>
      </c>
      <c r="D35" s="16"/>
      <c r="E35" s="49" t="s">
        <v>31</v>
      </c>
      <c r="F35" s="49"/>
      <c r="G35" s="26"/>
      <c r="H35" s="57"/>
      <c r="I35" s="38"/>
      <c r="J35" s="38"/>
    </row>
    <row r="36" spans="1:10" ht="19.5" customHeight="1" thickBot="1" x14ac:dyDescent="0.35">
      <c r="A36" s="17"/>
      <c r="B36" s="4"/>
      <c r="C36" s="4"/>
      <c r="D36" s="18"/>
      <c r="F36" s="3"/>
      <c r="G36" s="51" t="s">
        <v>32</v>
      </c>
      <c r="H36" s="46">
        <f>H31+H32</f>
        <v>828511.32000000007</v>
      </c>
    </row>
    <row r="37" spans="1:10" ht="19.5" customHeight="1" x14ac:dyDescent="0.25"/>
    <row r="38" spans="1:10" ht="19.5" customHeight="1" x14ac:dyDescent="0.25">
      <c r="A38" t="s">
        <v>1</v>
      </c>
    </row>
    <row r="39" spans="1:10" ht="19.5" customHeight="1" x14ac:dyDescent="0.25"/>
    <row r="40" spans="1:10" ht="19.5" customHeight="1" thickBot="1" x14ac:dyDescent="0.3"/>
    <row r="41" spans="1:10" ht="19.5" customHeight="1" thickBot="1" x14ac:dyDescent="0.35">
      <c r="A41" s="28" t="s">
        <v>59</v>
      </c>
      <c r="B41" s="6"/>
      <c r="C41" s="6"/>
      <c r="D41" s="6"/>
      <c r="E41" s="6"/>
      <c r="F41" s="6"/>
      <c r="G41" s="6"/>
      <c r="H41" s="7"/>
    </row>
    <row r="42" spans="1:10" ht="19.5" customHeight="1" x14ac:dyDescent="0.25"/>
    <row r="43" spans="1:10" ht="19.5" customHeight="1" x14ac:dyDescent="0.25"/>
    <row r="44" spans="1:10" ht="19.5" customHeight="1" x14ac:dyDescent="0.25"/>
    <row r="45" spans="1:10" ht="19.5" customHeight="1" x14ac:dyDescent="0.25"/>
    <row r="49" spans="1:1" ht="16.5" customHeight="1" x14ac:dyDescent="0.25"/>
    <row r="63" spans="1:1" ht="18.75" x14ac:dyDescent="0.3">
      <c r="A63" s="5"/>
    </row>
  </sheetData>
  <mergeCells count="1">
    <mergeCell ref="A30:A3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INDUSTRIAL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2024-07-16T17:14:13Z</dcterms:modified>
</cp:coreProperties>
</file>