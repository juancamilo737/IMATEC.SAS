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4230FA0-1B4D-4B9A-9371-910CB58942E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<sst xmlns="http://schemas.openxmlformats.org/spreadsheetml/2006/main" count="58" uniqueCount="57">
  <si>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</si>
  <si>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</si>
  <si>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</si>
  <si>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</si>
  <si>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</si>
  <si>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</si>
  <si>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</si>
  <si>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</si>
  <si>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</si>
  <si>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</si>
  <si>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</si>
  <si>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</si>
  <si>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</si>
  <si>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</si>
  <si>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</si>
  <si>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</si>
  <si>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</si>
  <si>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</si>
  <si>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</si>
  <si>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</si>
  <si>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</si>
  <si>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</si>
  <si>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</si>
  <si>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</si>
  <si>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</si>
  <si>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</si>
  <si>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</si>
  <si>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</si>
  <si>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</si>
  <si>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</si>
  <si>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</si>
  <si>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</si>
  <si>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</si>
  <si>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</si>
  <si>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</si>
  <si>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</si>
  <si>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</si>
  <si>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</si>
  <si>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</si>
  <si>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</si>
  <si>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</si>
  <si>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</si>
  <si>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</si>
  <si>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</si>
  <si>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</si>
  <si>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RETEICA</t>
  </si>
  <si>
    <t xml:space="preserve">              R E M I S I O N</t>
  </si>
  <si>
    <t>L I Q U I D A C I O N</t>
  </si>
  <si>
    <t>ENTREGA INMEDIATA</t>
  </si>
  <si>
    <t xml:space="preserve">  CALLE  33A  No. 17F - 56                         B/  LA FLORESTA             -   CALI    -                                   CEL.     321 7834969</t>
  </si>
  <si>
    <t>No. 8</t>
  </si>
  <si>
    <t>TUBERIA  AC/INOX 304 SCH 10  1 1/4 " X 6 MTS</t>
  </si>
  <si>
    <t>TUBO</t>
  </si>
  <si>
    <t>BRIDA PVC SCH 40  6 "  SOLDAR</t>
  </si>
  <si>
    <t>CODO PVC SCH 40 6 "  X   90 º SOLDAR</t>
  </si>
  <si>
    <t xml:space="preserve">NOVECIENTOS CUARENTA Y CINCO MIL SEISCIENTOS </t>
  </si>
  <si>
    <t>CUARENTA Y CINCO 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</si>
</sst>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5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/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51</v>
      </c>
      <c r="C16" s="70"/>
      <c r="D16" s="71"/>
      <c r="E16" s="68" t="s">
        <v>52</v>
      </c>
      <c r="F16" s="72">
        <v>299160</v>
      </c>
      <c r="G16" s="68">
        <v>1</v>
      </c>
      <c r="H16" s="38">
        <f t="shared" ref="H16" si="0">G16*F16</f>
        <v>299160</v>
      </c>
    </row>
    <row r="17" spans="1:8" ht="16.5" thickBot="1" x14ac:dyDescent="0.3">
      <c r="A17" s="68">
        <v>2</v>
      </c>
      <c r="B17" s="69" t="s">
        <v>53</v>
      </c>
      <c r="C17" s="70"/>
      <c r="D17" s="71"/>
      <c r="E17" s="68" t="s">
        <v>37</v>
      </c>
      <c r="F17" s="72">
        <v>103500</v>
      </c>
      <c r="G17" s="68">
        <v>3</v>
      </c>
      <c r="H17" s="38">
        <f t="shared" ref="H17:H18" si="1">G17*F17</f>
        <v>310500</v>
      </c>
    </row>
    <row r="18" spans="1:8" ht="16.5" thickBot="1" x14ac:dyDescent="0.3">
      <c r="A18" s="68">
        <v>3</v>
      </c>
      <c r="B18" s="69" t="s">
        <v>54</v>
      </c>
      <c r="C18" s="70"/>
      <c r="D18" s="71"/>
      <c r="E18" s="68" t="s">
        <v>37</v>
      </c>
      <c r="F18" s="72">
        <v>92500</v>
      </c>
      <c r="G18" s="68">
        <v>2</v>
      </c>
      <c r="H18" s="38">
        <f t="shared" si="1"/>
        <v>185000</v>
      </c>
    </row>
    <row r="19" spans="1:8" ht="19.5" customHeight="1" thickBot="1" x14ac:dyDescent="0.3">
      <c r="A19" s="74"/>
      <c r="B19" s="75"/>
      <c r="C19" s="67"/>
      <c r="D19" s="76"/>
      <c r="E19" s="49"/>
      <c r="F19" s="49"/>
      <c r="G19" s="49"/>
    </row>
    <row r="20" spans="1:8" ht="19.5" customHeight="1" thickBot="1" x14ac:dyDescent="0.35">
      <c r="A20" s="48" t="s">
        <v>23</v>
      </c>
      <c r="B20" s="14" t="s">
        <v>55</v>
      </c>
      <c r="D20" s="15"/>
      <c r="E20" s="50"/>
      <c r="F20" s="37" t="s">
        <v>47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4"/>
      <c r="E21" s="53" t="s">
        <v>24</v>
      </c>
      <c r="F21" s="54"/>
      <c r="G21" s="44"/>
      <c r="H21" s="51">
        <f>SUM(H16:H18)</f>
        <v>794660</v>
      </c>
    </row>
    <row r="22" spans="1:8" ht="19.5" customHeight="1" x14ac:dyDescent="0.25">
      <c r="A22" s="24" t="s">
        <v>25</v>
      </c>
      <c r="B22" s="12"/>
      <c r="C22" s="12"/>
      <c r="D22" s="13"/>
      <c r="E22" s="3" t="s">
        <v>29</v>
      </c>
      <c r="F22" s="23"/>
      <c r="G22" s="55">
        <v>0.19</v>
      </c>
      <c r="H22" s="40">
        <f>H21*G22</f>
        <v>150985.4</v>
      </c>
    </row>
    <row r="23" spans="1:8" ht="19.5" customHeight="1" x14ac:dyDescent="0.25">
      <c r="A23" s="14" t="s">
        <v>30</v>
      </c>
      <c r="D23" s="15"/>
      <c r="E23" s="33" t="s">
        <v>26</v>
      </c>
      <c r="G23" s="57">
        <v>2.5000000000000001E-2</v>
      </c>
      <c r="H23" s="52"/>
    </row>
    <row r="24" spans="1:8" ht="15.75" x14ac:dyDescent="0.25">
      <c r="A24" s="14" t="s">
        <v>48</v>
      </c>
      <c r="D24" s="15"/>
      <c r="E24" s="3" t="s">
        <v>45</v>
      </c>
      <c r="F24" s="33"/>
      <c r="G24" s="73">
        <v>7.7000000000000002E-3</v>
      </c>
      <c r="H24" s="52"/>
    </row>
    <row r="25" spans="1:8" ht="16.5" thickBot="1" x14ac:dyDescent="0.3">
      <c r="A25" s="16" t="s">
        <v>32</v>
      </c>
      <c r="B25" s="4"/>
      <c r="C25" s="4"/>
      <c r="D25" s="17"/>
      <c r="E25" s="56" t="s">
        <v>27</v>
      </c>
      <c r="F25" s="56"/>
      <c r="G25" s="46"/>
      <c r="H25" s="17"/>
    </row>
    <row r="26" spans="1:8" ht="19.5" thickBot="1" x14ac:dyDescent="0.35">
      <c r="F26" s="3"/>
      <c r="G26" s="34" t="s">
        <v>28</v>
      </c>
      <c r="H26" s="36">
        <f>H21+H22-H23-H24</f>
        <v>945645.4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2024-12-27T15:03:55Z</cp:lastPrinted>
  <dcterms:created xsi:type="dcterms:W3CDTF">2018-11-15T17:29:02Z</dcterms:created>
  <dcterms:modified xsi:type="dcterms:W3CDTF">2025-05-15T20:52:23Z</dcterms:modified>
</cp:coreProperties>
</file>