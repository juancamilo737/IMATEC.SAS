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CA7943E9-6134-4073-92BF-21651213AA58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22" i="1"/>
  <c r="H20" i="1"/>
  <c r="H18" i="1"/>
  <c r="H16" i="1"/>
  <c r="H40" i="1" l="1"/>
  <c r="H44" i="1" s="1"/>
</calcChain>
</file>

<file path=xl/sharedStrings.xml><?xml version="1.0" encoding="utf-8"?>
<sst xmlns="http://schemas.openxmlformats.org/spreadsheetml/2006/main" count="61" uniqueCount="59">
  <si>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</si>
  <si>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</si>
  <si>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</si>
  <si>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</si>
  <si>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</si>
  <si>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</si>
  <si>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</si>
  <si>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</si>
  <si>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</si>
  <si>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</si>
  <si>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</si>
  <si>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</si>
  <si>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</si>
  <si>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</si>
  <si>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</si>
  <si>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</si>
  <si>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</si>
  <si>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</si>
  <si>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</si>
  <si>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</si>
  <si>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</si>
  <si>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</si>
  <si>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</si>
  <si>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</si>
  <si>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</si>
  <si>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</si>
  <si>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</si>
  <si>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</si>
  <si>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</si>
  <si>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</si>
  <si>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</si>
  <si>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</si>
  <si>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</si>
  <si>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</si>
  <si>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</si>
  <si>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</si>
  <si>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</si>
  <si>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LUIS BENAVIDEZ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</si>
  <si>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</si>
  <si>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</si>
  <si>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</si>
  <si>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</si>
  <si>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ENTREGA INMEDIATA</t>
  </si>
  <si>
    <t>CONTACTOS   310 8306118      319 7174165       321 7834969</t>
  </si>
  <si>
    <t>ACCESORIO</t>
  </si>
  <si>
    <t>CALI</t>
  </si>
  <si>
    <t>602 8801132</t>
  </si>
  <si>
    <t>ARLEY</t>
  </si>
  <si>
    <t>FERRETERIA LIDER</t>
  </si>
  <si>
    <t>805 027317</t>
  </si>
  <si>
    <t>CRA 15 No. 31-43</t>
  </si>
  <si>
    <t>METRO LINEAL</t>
  </si>
  <si>
    <t>TUBERIA A/C SCH 40  1 "  S/C</t>
  </si>
  <si>
    <t xml:space="preserve">UNIVERSAL HO  1 "  X  150 </t>
  </si>
  <si>
    <t>UNION A/C  1 " X 300</t>
  </si>
  <si>
    <t>NIPLE A/C  1/4 "  X  2 "</t>
  </si>
  <si>
    <t>UN MILLON CIENTO VEINTICUATRO MIL QUINIENTOS</t>
  </si>
  <si>
    <t>CINCUENTA PESOS MDA / CTE</t>
  </si>
  <si>
    <t>contabilidad@ferreterialider.com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</si>
</sst>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6" xfId="0" applyBorder="1"/>
    <xf numFmtId="0" fontId="1" fillId="0" borderId="14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11" zoomScaleNormal="100" workbookViewId="0">
      <selection activeCell="D29" sqref="D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35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40</v>
      </c>
      <c r="E4" s="19"/>
      <c r="F4" s="20"/>
      <c r="G4" s="6"/>
      <c r="H4" s="7"/>
    </row>
    <row r="5" spans="1:8" ht="19.5" thickBot="1" x14ac:dyDescent="0.35">
      <c r="A5" s="70" t="s">
        <v>43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48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49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50</v>
      </c>
      <c r="D9" s="25"/>
      <c r="E9" s="26" t="s">
        <v>45</v>
      </c>
      <c r="F9" s="33" t="s">
        <v>0</v>
      </c>
      <c r="H9" s="34">
        <v>45455</v>
      </c>
    </row>
    <row r="10" spans="1:8" ht="18.75" x14ac:dyDescent="0.3">
      <c r="A10" s="22" t="s">
        <v>14</v>
      </c>
      <c r="C10" s="57" t="s">
        <v>58</v>
      </c>
      <c r="D10" s="27"/>
      <c r="E10" s="27"/>
      <c r="F10" s="33" t="s">
        <v>16</v>
      </c>
      <c r="H10" s="35" t="s">
        <v>39</v>
      </c>
    </row>
    <row r="11" spans="1:8" ht="18.75" x14ac:dyDescent="0.3">
      <c r="A11" s="22" t="s">
        <v>11</v>
      </c>
      <c r="C11" s="26" t="s">
        <v>47</v>
      </c>
      <c r="D11" s="27"/>
      <c r="E11" s="27"/>
      <c r="F11" s="33" t="s">
        <v>17</v>
      </c>
      <c r="G11" s="36"/>
      <c r="H11" s="34">
        <v>45465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21</v>
      </c>
      <c r="B15" s="61" t="s">
        <v>26</v>
      </c>
      <c r="C15" s="19"/>
      <c r="D15" s="7"/>
      <c r="E15" s="38" t="s">
        <v>22</v>
      </c>
      <c r="F15" s="38" t="s">
        <v>24</v>
      </c>
      <c r="G15" s="38" t="s">
        <v>23</v>
      </c>
      <c r="H15" s="38" t="s">
        <v>25</v>
      </c>
    </row>
    <row r="16" spans="1:8" ht="15.75" x14ac:dyDescent="0.25">
      <c r="A16" s="62">
        <v>1</v>
      </c>
      <c r="B16" s="41" t="s">
        <v>52</v>
      </c>
      <c r="C16" s="42"/>
      <c r="D16" s="63"/>
      <c r="E16" s="62" t="s">
        <v>51</v>
      </c>
      <c r="F16" s="66">
        <v>18000</v>
      </c>
      <c r="G16" s="62">
        <v>36</v>
      </c>
      <c r="H16" s="64">
        <f>G16*F16</f>
        <v>648000</v>
      </c>
    </row>
    <row r="17" spans="1:10" ht="15.75" thickBot="1" x14ac:dyDescent="0.3">
      <c r="A17" s="40"/>
      <c r="E17" s="46"/>
      <c r="F17" s="39"/>
      <c r="G17" s="62"/>
      <c r="H17" s="55"/>
    </row>
    <row r="18" spans="1:10" ht="15.75" x14ac:dyDescent="0.25">
      <c r="A18" s="62">
        <v>2</v>
      </c>
      <c r="B18" s="41" t="s">
        <v>53</v>
      </c>
      <c r="C18" s="42"/>
      <c r="D18" s="42"/>
      <c r="E18" s="74" t="s">
        <v>44</v>
      </c>
      <c r="F18" s="65">
        <v>15000</v>
      </c>
      <c r="G18" s="62">
        <v>15</v>
      </c>
      <c r="H18" s="64">
        <f>G18*F18</f>
        <v>225000</v>
      </c>
    </row>
    <row r="19" spans="1:10" ht="16.5" thickBot="1" x14ac:dyDescent="0.3">
      <c r="A19" s="62"/>
      <c r="B19" s="41"/>
      <c r="C19" s="42"/>
      <c r="D19" s="42"/>
      <c r="E19" s="46"/>
      <c r="F19" s="65"/>
      <c r="G19" s="62"/>
      <c r="H19" s="40"/>
    </row>
    <row r="20" spans="1:10" ht="15.75" x14ac:dyDescent="0.25">
      <c r="A20" s="62">
        <v>3</v>
      </c>
      <c r="B20" s="41" t="s">
        <v>54</v>
      </c>
      <c r="C20" s="42"/>
      <c r="D20" s="42"/>
      <c r="E20" s="74" t="s">
        <v>44</v>
      </c>
      <c r="F20" s="65">
        <v>4500</v>
      </c>
      <c r="G20" s="62">
        <v>6</v>
      </c>
      <c r="H20" s="64">
        <f>G20*F20</f>
        <v>27000</v>
      </c>
      <c r="I20" s="39"/>
      <c r="J20" s="39"/>
    </row>
    <row r="21" spans="1:10" ht="16.5" thickBot="1" x14ac:dyDescent="0.3">
      <c r="A21" s="62"/>
      <c r="B21" s="41"/>
      <c r="C21" s="42"/>
      <c r="D21" s="42"/>
      <c r="E21" s="46"/>
      <c r="F21" s="65"/>
      <c r="G21" s="62"/>
      <c r="H21" s="55"/>
      <c r="I21" s="39"/>
      <c r="J21" s="39"/>
    </row>
    <row r="22" spans="1:10" ht="15.75" x14ac:dyDescent="0.25">
      <c r="A22" s="62">
        <v>4</v>
      </c>
      <c r="B22" s="41" t="s">
        <v>55</v>
      </c>
      <c r="C22" s="42"/>
      <c r="D22" s="42"/>
      <c r="E22" s="74" t="s">
        <v>44</v>
      </c>
      <c r="F22" s="65">
        <v>3000</v>
      </c>
      <c r="G22" s="62">
        <v>15</v>
      </c>
      <c r="H22" s="64">
        <f>G22*F22</f>
        <v>45000</v>
      </c>
      <c r="I22" s="39"/>
      <c r="J22" s="39"/>
    </row>
    <row r="23" spans="1:10" ht="16.5" thickBot="1" x14ac:dyDescent="0.3">
      <c r="B23" s="41"/>
      <c r="C23" s="42"/>
      <c r="D23" s="42"/>
      <c r="E23" s="46"/>
      <c r="F23" s="65"/>
      <c r="G23" s="62"/>
      <c r="H23" s="69"/>
      <c r="I23" s="39"/>
      <c r="J23" s="39"/>
    </row>
    <row r="24" spans="1:10" ht="15.75" x14ac:dyDescent="0.25">
      <c r="B24" s="41"/>
      <c r="C24" s="42"/>
      <c r="D24" s="42"/>
      <c r="E24" s="46"/>
      <c r="F24" s="65"/>
      <c r="G24" s="62"/>
      <c r="H24" s="40"/>
      <c r="I24" s="39"/>
      <c r="J24" s="39"/>
    </row>
    <row r="25" spans="1:10" ht="15.75" x14ac:dyDescent="0.25">
      <c r="B25" s="41"/>
      <c r="C25" s="42"/>
      <c r="D25" s="42"/>
      <c r="E25" s="46"/>
      <c r="F25" s="65"/>
      <c r="G25" s="62"/>
      <c r="H25" s="55"/>
      <c r="I25" s="39"/>
      <c r="J25" s="39"/>
    </row>
    <row r="26" spans="1:10" ht="15.75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5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  <c r="I30" s="39"/>
      <c r="J30" s="39"/>
    </row>
    <row r="31" spans="1:10" ht="19.5" customHeight="1" x14ac:dyDescent="0.25">
      <c r="B31" s="41"/>
      <c r="C31" s="42"/>
      <c r="D31" s="42"/>
      <c r="E31" s="46"/>
      <c r="F31" s="67"/>
      <c r="H31" s="40"/>
      <c r="I31" s="39"/>
      <c r="J31" s="39"/>
    </row>
    <row r="32" spans="1:10" ht="19.5" customHeight="1" x14ac:dyDescent="0.25">
      <c r="B32" s="41"/>
      <c r="C32" s="42"/>
      <c r="D32" s="42"/>
      <c r="E32" s="46"/>
      <c r="F32" s="67"/>
      <c r="H32" s="40"/>
      <c r="I32" s="39"/>
      <c r="J32" s="39"/>
    </row>
    <row r="33" spans="1:10" ht="19.5" customHeight="1" x14ac:dyDescent="0.25">
      <c r="B33" s="41"/>
      <c r="E33" s="46"/>
      <c r="F33" s="67"/>
      <c r="H33" s="40"/>
      <c r="I33" s="39"/>
      <c r="J33" s="39"/>
    </row>
    <row r="34" spans="1:10" ht="19.5" customHeight="1" x14ac:dyDescent="0.25">
      <c r="B34" s="41"/>
      <c r="E34" s="46"/>
      <c r="F34" s="67"/>
      <c r="H34" s="40"/>
    </row>
    <row r="35" spans="1:10" ht="19.5" customHeight="1" x14ac:dyDescent="0.25">
      <c r="B35" s="41"/>
      <c r="E35" s="46"/>
      <c r="F35" s="67"/>
      <c r="H35" s="40"/>
    </row>
    <row r="36" spans="1:10" ht="19.5" customHeight="1" x14ac:dyDescent="0.25">
      <c r="B36" s="43"/>
      <c r="C36" s="44"/>
      <c r="D36" s="44"/>
      <c r="E36" s="24"/>
      <c r="F36" s="68"/>
      <c r="G36" s="44"/>
      <c r="H36" s="45"/>
    </row>
    <row r="37" spans="1:10" ht="19.5" customHeight="1" thickBot="1" x14ac:dyDescent="0.3">
      <c r="H37" s="69"/>
    </row>
    <row r="38" spans="1:10" ht="19.5" customHeight="1" thickBot="1" x14ac:dyDescent="0.35">
      <c r="A38" s="71" t="s">
        <v>27</v>
      </c>
      <c r="B38" s="12" t="s">
        <v>56</v>
      </c>
      <c r="C38" s="13"/>
      <c r="D38" s="14"/>
      <c r="E38" s="13"/>
      <c r="F38" s="47" t="s">
        <v>33</v>
      </c>
      <c r="G38" s="13"/>
      <c r="H38" s="7"/>
    </row>
    <row r="39" spans="1:10" ht="19.5" customHeight="1" thickBot="1" x14ac:dyDescent="0.3">
      <c r="A39" s="72"/>
      <c r="B39" s="17" t="s">
        <v>57</v>
      </c>
      <c r="C39" s="4"/>
      <c r="D39" s="4"/>
      <c r="E39" s="48" t="s">
        <v>28</v>
      </c>
      <c r="F39" s="49"/>
      <c r="G39" s="27"/>
      <c r="H39" s="58">
        <f>SUM(H16:H22)</f>
        <v>945000</v>
      </c>
    </row>
    <row r="40" spans="1:10" ht="19.5" customHeight="1" x14ac:dyDescent="0.25">
      <c r="A40" s="28" t="s">
        <v>29</v>
      </c>
      <c r="B40" s="13"/>
      <c r="C40" s="13"/>
      <c r="D40" s="14"/>
      <c r="E40" s="3" t="s">
        <v>36</v>
      </c>
      <c r="F40" s="73"/>
      <c r="G40" s="51">
        <v>0.19</v>
      </c>
      <c r="H40" s="59">
        <f>H39*G40</f>
        <v>179550</v>
      </c>
    </row>
    <row r="41" spans="1:10" ht="19.5" customHeight="1" x14ac:dyDescent="0.25">
      <c r="A41" s="15" t="s">
        <v>38</v>
      </c>
      <c r="D41" s="16"/>
      <c r="E41" s="49" t="s">
        <v>30</v>
      </c>
      <c r="G41">
        <v>0</v>
      </c>
      <c r="H41" s="52"/>
    </row>
    <row r="42" spans="1:10" ht="19.5" customHeight="1" x14ac:dyDescent="0.25">
      <c r="A42" s="15" t="s">
        <v>42</v>
      </c>
      <c r="D42" s="16"/>
      <c r="F42" s="49"/>
      <c r="G42" s="27"/>
      <c r="H42" s="53"/>
    </row>
    <row r="43" spans="1:10" ht="19.5" customHeight="1" thickBot="1" x14ac:dyDescent="0.3">
      <c r="A43" s="15" t="s">
        <v>41</v>
      </c>
      <c r="D43" s="16"/>
      <c r="E43" s="49" t="s">
        <v>31</v>
      </c>
      <c r="F43" s="49"/>
      <c r="G43" s="27"/>
      <c r="H43" s="54"/>
    </row>
    <row r="44" spans="1:10" ht="19.5" thickBot="1" x14ac:dyDescent="0.35">
      <c r="A44" s="17"/>
      <c r="B44" s="4"/>
      <c r="C44" s="4"/>
      <c r="D44" s="18"/>
      <c r="F44" s="3"/>
      <c r="G44" s="50" t="s">
        <v>32</v>
      </c>
      <c r="H44" s="60">
        <f>H39+H40</f>
        <v>1124550</v>
      </c>
    </row>
    <row r="47" spans="1:10" ht="16.5" customHeight="1" x14ac:dyDescent="0.25"/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9" t="s">
        <v>34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2024-06-12T20:55:49Z</dcterms:modified>
</cp:coreProperties>
</file>