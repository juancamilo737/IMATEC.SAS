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38B9476-8ED2-4455-BABB-C07EE77954B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<sst xmlns="http://schemas.openxmlformats.org/spreadsheetml/2006/main" count="57" uniqueCount="55">
  <si>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</si>
  <si>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</si>
  <si>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</si>
  <si>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</si>
  <si>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</si>
  <si>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</si>
  <si>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</si>
  <si>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</si>
  <si>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</si>
  <si>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</si>
  <si>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</si>
  <si>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</si>
  <si>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</si>
  <si>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</si>
  <si>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</si>
  <si>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</si>
  <si>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</si>
  <si>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</si>
  <si>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</si>
  <si>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</si>
  <si>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</si>
  <si>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</si>
  <si>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</si>
  <si>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</si>
  <si>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</si>
  <si>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</si>
  <si>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</si>
  <si>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</si>
  <si>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</si>
  <si>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</si>
  <si>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</si>
  <si>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</si>
  <si>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</si>
  <si>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</si>
  <si>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</si>
  <si>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</si>
  <si>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</si>
  <si>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</si>
  <si>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</si>
  <si>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</si>
  <si>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</si>
  <si>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</si>
  <si>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</si>
  <si>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</si>
  <si>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</si>
  <si>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</si>
  <si>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</si>
  <si>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</si>
  <si>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</si>
  <si>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6</t>
  </si>
  <si>
    <t>VALVULA MARIPOSA CUERPO HIERRO DISCO INOX</t>
  </si>
  <si>
    <t>3 "</t>
  </si>
  <si>
    <t>4 "</t>
  </si>
  <si>
    <t>CIENTOS SETENTA PESOS MDA / CTE</t>
  </si>
  <si>
    <t>UN MILLON OCHOCIENTOS TREINTA Y OCHO MIL TRES-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</si>
</sst>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13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1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41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42</v>
      </c>
      <c r="D9" s="23"/>
      <c r="E9" s="65" t="s">
        <v>43</v>
      </c>
      <c r="F9" s="30" t="s">
        <v>0</v>
      </c>
      <c r="H9" s="28">
        <v>45610</v>
      </c>
    </row>
    <row r="10" spans="1:8" ht="18.75" x14ac:dyDescent="0.3">
      <c r="A10" s="21" t="s">
        <v>13</v>
      </c>
      <c r="C10" s="66" t="s">
        <v>44</v>
      </c>
      <c r="D10" s="67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8"/>
      <c r="D11" s="67"/>
      <c r="E11" s="45"/>
      <c r="F11" s="30" t="s">
        <v>16</v>
      </c>
      <c r="G11" s="30"/>
      <c r="H11" s="28">
        <v>45619</v>
      </c>
    </row>
    <row r="12" spans="1:8" ht="18.75" x14ac:dyDescent="0.3">
      <c r="A12" s="21" t="s">
        <v>11</v>
      </c>
      <c r="C12" s="68" t="s">
        <v>45</v>
      </c>
      <c r="D12" s="67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46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50</v>
      </c>
      <c r="C16" s="73"/>
      <c r="D16" s="74"/>
      <c r="E16" s="71" t="s">
        <v>48</v>
      </c>
      <c r="F16" s="75">
        <v>177000</v>
      </c>
      <c r="G16" s="71">
        <v>5</v>
      </c>
      <c r="H16" s="38">
        <f t="shared" ref="H16" si="0">G16*F16</f>
        <v>885000</v>
      </c>
    </row>
    <row r="17" spans="1:8" ht="16.5" thickBot="1" x14ac:dyDescent="0.3">
      <c r="A17" s="71"/>
      <c r="B17" s="72" t="s">
        <v>51</v>
      </c>
      <c r="C17" s="73"/>
      <c r="D17" s="74"/>
      <c r="E17" s="71"/>
      <c r="F17" s="75"/>
      <c r="G17" s="71"/>
      <c r="H17" s="38"/>
    </row>
    <row r="18" spans="1:8" ht="16.5" thickBot="1" x14ac:dyDescent="0.3">
      <c r="A18" s="71">
        <v>2</v>
      </c>
      <c r="B18" s="72" t="s">
        <v>50</v>
      </c>
      <c r="C18" s="73"/>
      <c r="D18" s="74"/>
      <c r="E18" s="71" t="s">
        <v>48</v>
      </c>
      <c r="F18" s="75">
        <v>231000</v>
      </c>
      <c r="G18" s="71">
        <v>3</v>
      </c>
      <c r="H18" s="38">
        <f t="shared" ref="H18" si="1">G18*F18</f>
        <v>693000</v>
      </c>
    </row>
    <row r="19" spans="1:8" ht="19.5" customHeight="1" thickBot="1" x14ac:dyDescent="0.3">
      <c r="A19" s="49"/>
      <c r="B19" s="72" t="s">
        <v>52</v>
      </c>
      <c r="C19" s="73"/>
      <c r="D19" s="74"/>
    </row>
    <row r="20" spans="1:8" ht="19.5" customHeight="1" thickBot="1" x14ac:dyDescent="0.35">
      <c r="A20" s="48" t="s">
        <v>23</v>
      </c>
      <c r="B20" s="76" t="s">
        <v>54</v>
      </c>
      <c r="C20" s="12"/>
      <c r="D20" s="13"/>
      <c r="E20" s="50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17"/>
      <c r="E21" s="53" t="s">
        <v>24</v>
      </c>
      <c r="F21" s="54"/>
      <c r="G21" s="44"/>
      <c r="H21" s="51">
        <f>SUM(H16:H20)</f>
        <v>1578000</v>
      </c>
    </row>
    <row r="22" spans="1:8" ht="19.5" customHeight="1" x14ac:dyDescent="0.25">
      <c r="A22" s="24" t="s">
        <v>25</v>
      </c>
      <c r="E22" s="55" t="s">
        <v>30</v>
      </c>
      <c r="F22" s="23"/>
      <c r="G22" s="56">
        <v>0.19</v>
      </c>
      <c r="H22" s="40">
        <f>H21*G22</f>
        <v>299820</v>
      </c>
    </row>
    <row r="23" spans="1:8" ht="15.75" x14ac:dyDescent="0.25">
      <c r="A23" s="14" t="s">
        <v>47</v>
      </c>
      <c r="E23" s="57" t="s">
        <v>26</v>
      </c>
      <c r="G23" s="60">
        <v>2.5000000000000001E-2</v>
      </c>
      <c r="H23" s="52">
        <f>H21*G23</f>
        <v>39450</v>
      </c>
    </row>
    <row r="24" spans="1:8" ht="15.75" x14ac:dyDescent="0.25">
      <c r="A24" s="14" t="s">
        <v>36</v>
      </c>
      <c r="E24" s="14"/>
      <c r="F24" s="33"/>
      <c r="G24" s="45"/>
      <c r="H24" s="15"/>
    </row>
    <row r="25" spans="1:8" ht="16.5" thickBot="1" x14ac:dyDescent="0.3">
      <c r="A25" s="16"/>
      <c r="B25" s="4"/>
      <c r="C25" s="4"/>
      <c r="D25" s="17"/>
      <c r="E25" s="58" t="s">
        <v>27</v>
      </c>
      <c r="F25" s="59"/>
      <c r="G25" s="46"/>
      <c r="H25" s="17"/>
    </row>
    <row r="26" spans="1:8" ht="16.5" customHeight="1" thickBot="1" x14ac:dyDescent="0.35">
      <c r="F26" s="3"/>
      <c r="G26" s="34" t="s">
        <v>28</v>
      </c>
      <c r="H26" s="36">
        <f>H21+H22-H23</f>
        <v>1838370</v>
      </c>
    </row>
    <row r="31" spans="1:8" ht="15.75" thickBot="1" x14ac:dyDescent="0.3"/>
    <row r="32" spans="1:8" ht="19.5" thickBot="1" x14ac:dyDescent="0.35">
      <c r="A32" s="25" t="s">
        <v>33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2024-11-14T14:23:09Z</dcterms:modified>
</cp:coreProperties>
</file>