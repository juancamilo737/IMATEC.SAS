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C0A6F9D9-8804-415C-9292-53B65754DCD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CANIZADOS DEL PACIFIC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<sst xmlns="http://schemas.openxmlformats.org/spreadsheetml/2006/main" count="54" uniqueCount="54">
  <si>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</si>
  <si>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</si>
  <si>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</si>
  <si>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</si>
  <si>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</si>
  <si>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</si>
  <si>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</si>
  <si>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</si>
  <si>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</si>
  <si>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</si>
  <si>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</si>
  <si>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</si>
  <si>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</si>
  <si>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</si>
  <si>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</si>
  <si>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</si>
  <si>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</si>
  <si>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</si>
  <si>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</si>
  <si>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</si>
  <si>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</si>
  <si>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</si>
  <si>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</si>
  <si>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</si>
  <si>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</si>
  <si>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</si>
  <si>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</si>
  <si>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</si>
  <si>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</si>
  <si>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</si>
  <si>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</si>
  <si>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</si>
  <si>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</si>
  <si>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</si>
  <si>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</si>
  <si>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</si>
  <si>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</si>
  <si>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</si>
  <si>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MECANIZADOS DEL PACIFICO S A S</t>
  </si>
  <si>
    <t>900 889067</t>
  </si>
  <si>
    <t>CL 40 No. 32A-27</t>
  </si>
  <si>
    <t>PALMIRA</t>
  </si>
  <si>
    <t>mecapacifico@gmail.com</t>
  </si>
  <si>
    <t>319  5776780</t>
  </si>
  <si>
    <t>LUIS ANTONIO BENAVIDEZ</t>
  </si>
  <si>
    <t xml:space="preserve">  CALLE  33A  No. 17F - 56                          B/  LA FLORESTA             -   CALI    -                                   CEL.     321 7834969</t>
  </si>
  <si>
    <t>No.  17</t>
  </si>
  <si>
    <t xml:space="preserve">           C O T I Z A C I O N</t>
  </si>
  <si>
    <t>10 DIAS</t>
  </si>
  <si>
    <t>TUBERIA  A / C SCH 10 RANURADO 12 " ROJO</t>
  </si>
  <si>
    <t>5,80 MTS</t>
  </si>
  <si>
    <t>DOS MILLONES OCHOCIENTOS OCHENTA Y OCHO MIL</t>
  </si>
  <si>
    <t>DOSCIENTOS DOCE PESOS MDA / CTE</t>
  </si>
  <si>
    <t>L I Q U I D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</si>
</sst>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6" xfId="0" applyFont="1" applyBorder="1" applyAlignment="1">
      <alignment horizontal="left" vertical="top" wrapText="1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13" xfId="0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" fillId="0" borderId="32" xfId="0" applyFont="1" applyBorder="1" applyAlignment="1">
      <alignment horizontal="center"/>
    </xf>
    <xf numFmtId="0" fontId="8" fillId="0" borderId="33" xfId="0" applyFont="1" applyBorder="1"/>
    <xf numFmtId="0" fontId="8" fillId="0" borderId="34" xfId="0" applyFont="1" applyBorder="1"/>
    <xf numFmtId="0" fontId="8" fillId="0" borderId="35" xfId="0" applyFont="1" applyBorder="1"/>
    <xf numFmtId="42" fontId="11" fillId="0" borderId="32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capacifi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zoomScaleNormal="100" workbookViewId="0">
      <selection activeCell="F19" sqref="F1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4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31</v>
      </c>
      <c r="E4" s="17"/>
      <c r="F4" s="18"/>
      <c r="G4" s="6"/>
      <c r="H4" s="7"/>
    </row>
    <row r="5" spans="1:8" ht="19.5" thickBot="1" x14ac:dyDescent="0.35">
      <c r="A5" s="36" t="s">
        <v>33</v>
      </c>
      <c r="B5" s="6"/>
      <c r="C5" s="6"/>
      <c r="D5" s="6"/>
      <c r="E5" s="6"/>
    </row>
    <row r="6" spans="1:8" ht="24.75" customHeight="1" thickBot="1" x14ac:dyDescent="0.45">
      <c r="F6" s="40" t="s">
        <v>47</v>
      </c>
      <c r="G6" s="41"/>
      <c r="H6" s="42"/>
    </row>
    <row r="7" spans="1:8" ht="19.5" thickBot="1" x14ac:dyDescent="0.35">
      <c r="A7" s="19" t="s">
        <v>14</v>
      </c>
      <c r="B7" s="12"/>
      <c r="C7" s="43" t="s">
        <v>38</v>
      </c>
      <c r="D7" s="6"/>
      <c r="E7" s="7"/>
      <c r="F7" s="36"/>
      <c r="G7" s="17"/>
      <c r="H7" s="18" t="s">
        <v>46</v>
      </c>
    </row>
    <row r="8" spans="1:8" ht="18.75" x14ac:dyDescent="0.3">
      <c r="A8" s="20" t="s">
        <v>8</v>
      </c>
      <c r="C8" s="60" t="s">
        <v>39</v>
      </c>
      <c r="D8" s="61"/>
      <c r="E8" s="44"/>
      <c r="H8" s="14"/>
    </row>
    <row r="9" spans="1:8" ht="18.75" customHeight="1" x14ac:dyDescent="0.3">
      <c r="A9" s="20" t="s">
        <v>9</v>
      </c>
      <c r="C9" s="62" t="s">
        <v>40</v>
      </c>
      <c r="D9" s="22"/>
      <c r="E9" s="63" t="s">
        <v>41</v>
      </c>
      <c r="F9" s="29" t="s">
        <v>0</v>
      </c>
      <c r="H9" s="27">
        <v>45806</v>
      </c>
    </row>
    <row r="10" spans="1:8" ht="18.75" x14ac:dyDescent="0.3">
      <c r="A10" s="20" t="s">
        <v>13</v>
      </c>
      <c r="C10" s="64" t="s">
        <v>42</v>
      </c>
      <c r="D10" s="65"/>
      <c r="E10" s="45"/>
      <c r="F10" s="29" t="s">
        <v>15</v>
      </c>
      <c r="H10" s="28" t="s">
        <v>48</v>
      </c>
    </row>
    <row r="11" spans="1:8" ht="18.75" x14ac:dyDescent="0.3">
      <c r="A11" s="20" t="s">
        <v>10</v>
      </c>
      <c r="C11" s="66"/>
      <c r="D11" s="65"/>
      <c r="E11" s="45"/>
      <c r="F11" s="29" t="s">
        <v>16</v>
      </c>
      <c r="G11" s="29"/>
      <c r="H11" s="27">
        <v>45815</v>
      </c>
    </row>
    <row r="12" spans="1:8" ht="18.75" x14ac:dyDescent="0.3">
      <c r="A12" s="20" t="s">
        <v>11</v>
      </c>
      <c r="C12" s="66" t="s">
        <v>43</v>
      </c>
      <c r="D12" s="65"/>
      <c r="E12" s="45"/>
      <c r="F12" s="29" t="s">
        <v>17</v>
      </c>
      <c r="H12" s="30"/>
    </row>
    <row r="13" spans="1:8" ht="18.75" customHeight="1" thickBot="1" x14ac:dyDescent="0.35">
      <c r="A13" s="21" t="s">
        <v>12</v>
      </c>
      <c r="B13" s="4"/>
      <c r="C13" s="67" t="s">
        <v>44</v>
      </c>
      <c r="D13" s="68"/>
      <c r="E13" s="46"/>
      <c r="F13" s="4"/>
      <c r="G13" s="4"/>
      <c r="H13" s="16"/>
    </row>
    <row r="14" spans="1:8" ht="15.75" thickBot="1" x14ac:dyDescent="0.3"/>
    <row r="15" spans="1:8" ht="15.75" thickBot="1" x14ac:dyDescent="0.3">
      <c r="A15" s="31" t="s">
        <v>34</v>
      </c>
      <c r="B15" s="77" t="s">
        <v>22</v>
      </c>
      <c r="C15" s="17"/>
      <c r="D15" s="7"/>
      <c r="E15" s="31" t="s">
        <v>18</v>
      </c>
      <c r="F15" s="31" t="s">
        <v>20</v>
      </c>
      <c r="G15" s="31" t="s">
        <v>19</v>
      </c>
      <c r="H15" s="31" t="s">
        <v>21</v>
      </c>
    </row>
    <row r="16" spans="1:8" ht="16.5" thickBot="1" x14ac:dyDescent="0.3">
      <c r="A16" s="72">
        <v>1</v>
      </c>
      <c r="B16" s="73" t="s">
        <v>49</v>
      </c>
      <c r="C16" s="74"/>
      <c r="D16" s="75"/>
      <c r="E16" s="72" t="s">
        <v>50</v>
      </c>
      <c r="F16" s="76">
        <v>2479152</v>
      </c>
      <c r="G16" s="72">
        <v>1</v>
      </c>
      <c r="H16" s="37">
        <f t="shared" ref="H16" si="0">G16*F16</f>
        <v>2479152</v>
      </c>
    </row>
    <row r="17" spans="1:8" ht="19.5" customHeight="1" thickBot="1" x14ac:dyDescent="0.3">
      <c r="A17" s="69"/>
      <c r="B17" s="70"/>
      <c r="C17" s="4"/>
      <c r="D17" s="71"/>
      <c r="E17" s="48"/>
      <c r="F17" s="48"/>
      <c r="G17" s="48"/>
    </row>
    <row r="18" spans="1:8" ht="19.5" customHeight="1" thickBot="1" x14ac:dyDescent="0.35">
      <c r="A18" s="47" t="s">
        <v>23</v>
      </c>
      <c r="B18" s="13" t="s">
        <v>51</v>
      </c>
      <c r="D18" s="14"/>
      <c r="E18" s="49"/>
      <c r="F18" s="36" t="s">
        <v>53</v>
      </c>
      <c r="G18" s="6"/>
      <c r="H18" s="7"/>
    </row>
    <row r="19" spans="1:8" ht="19.5" customHeight="1" thickBot="1" x14ac:dyDescent="0.3">
      <c r="A19" s="38"/>
      <c r="B19" s="15" t="s">
        <v>52</v>
      </c>
      <c r="C19" s="4"/>
      <c r="D19" s="4"/>
      <c r="E19" s="52" t="s">
        <v>24</v>
      </c>
      <c r="F19" s="53"/>
      <c r="G19" s="44"/>
      <c r="H19" s="50">
        <f>SUM(H16:H16)</f>
        <v>2479152</v>
      </c>
    </row>
    <row r="20" spans="1:8" ht="19.5" customHeight="1" x14ac:dyDescent="0.25">
      <c r="A20" s="23" t="s">
        <v>25</v>
      </c>
      <c r="B20" s="12"/>
      <c r="C20" s="12"/>
      <c r="D20" s="12"/>
      <c r="E20" s="54" t="s">
        <v>29</v>
      </c>
      <c r="F20" s="22"/>
      <c r="G20" s="55">
        <v>0.19</v>
      </c>
      <c r="H20" s="39">
        <f>H19*G20</f>
        <v>471038.88</v>
      </c>
    </row>
    <row r="21" spans="1:8" ht="19.5" customHeight="1" x14ac:dyDescent="0.25">
      <c r="A21" s="13" t="s">
        <v>30</v>
      </c>
      <c r="E21" s="56" t="s">
        <v>26</v>
      </c>
      <c r="G21" s="59">
        <v>2.5000000000000001E-2</v>
      </c>
      <c r="H21" s="51">
        <f>H19*G21</f>
        <v>61978.8</v>
      </c>
    </row>
    <row r="22" spans="1:8" ht="15.75" x14ac:dyDescent="0.25">
      <c r="A22" s="13" t="s">
        <v>35</v>
      </c>
      <c r="E22" s="13"/>
      <c r="F22" s="32"/>
      <c r="G22" s="45"/>
      <c r="H22" s="14"/>
    </row>
    <row r="23" spans="1:8" ht="16.5" thickBot="1" x14ac:dyDescent="0.3">
      <c r="A23" s="13" t="s">
        <v>32</v>
      </c>
      <c r="E23" s="57" t="s">
        <v>27</v>
      </c>
      <c r="F23" s="58"/>
      <c r="G23" s="46"/>
      <c r="H23" s="16"/>
    </row>
    <row r="24" spans="1:8" ht="19.5" thickBot="1" x14ac:dyDescent="0.35">
      <c r="A24" s="15"/>
      <c r="B24" s="4"/>
      <c r="C24" s="4"/>
      <c r="D24" s="16"/>
      <c r="F24" s="3"/>
      <c r="G24" s="33" t="s">
        <v>28</v>
      </c>
      <c r="H24" s="35">
        <f>H19+H20-H21</f>
        <v>2888212.08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D354789F-A1BD-423C-B1C6-F5A57F531D2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MECANIZADOS DEL PACIFICO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2025-05-29T17:18:05Z</dcterms:modified>
</cp:coreProperties>
</file>