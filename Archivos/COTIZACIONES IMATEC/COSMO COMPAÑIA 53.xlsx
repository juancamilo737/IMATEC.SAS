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42E4CFC-64A8-4DF0-9A77-5AF79092662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2" l="1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40" i="2" l="1"/>
  <c r="H39" i="2"/>
  <c r="H43" i="2" s="1"/>
</calcChain>
</file>

<file path=xl/sharedStrings.xml><?xml version="1.0" encoding="utf-8"?>
<sst xmlns="http://schemas.openxmlformats.org/spreadsheetml/2006/main" count="93" uniqueCount="78">
  <si>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</si>
  <si>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</si>
  <si>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</si>
  <si>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</si>
  <si>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</si>
  <si>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</si>
  <si>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</si>
  <si>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</si>
  <si>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</si>
  <si>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</si>
  <si>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</si>
  <si>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</si>
  <si>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</si>
  <si>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</si>
  <si>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</si>
  <si>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</si>
  <si>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</si>
  <si>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</si>
  <si>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</si>
  <si>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</si>
  <si>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</si>
  <si>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</si>
  <si>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</si>
  <si>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</si>
  <si>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</si>
  <si>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</si>
  <si>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</si>
  <si>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</si>
  <si>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</si>
  <si>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</si>
  <si>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</si>
  <si>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</si>
  <si>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</si>
  <si>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</si>
  <si>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</si>
  <si>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</si>
  <si>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</si>
  <si>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</si>
  <si>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</si>
  <si>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</si>
  <si>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</si>
  <si>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</si>
  <si>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</si>
  <si>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</si>
  <si>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</si>
  <si>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</si>
  <si>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</si>
  <si>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 xml:space="preserve">           C O T I Z A C I O N</t>
  </si>
  <si>
    <t>10 DIAS</t>
  </si>
  <si>
    <t>TUBO</t>
  </si>
  <si>
    <t>FABRICACION</t>
  </si>
  <si>
    <t>PIEZA</t>
  </si>
  <si>
    <t>No.  53</t>
  </si>
  <si>
    <t>MEDIDOR DE CAUDAL  2 " MARCA D,ACQUA</t>
  </si>
  <si>
    <t>ACCESORIO</t>
  </si>
  <si>
    <t>TUBERIA  AC/INOX 304  SCH 40  2 "  X  5,80 MTS</t>
  </si>
  <si>
    <t>CODO  AC/INOX 304 SCH 40  2 "  X  90 º</t>
  </si>
  <si>
    <t>BRIDA AC/INOX 304 SLIP ON  2 "  X  150 LBS</t>
  </si>
  <si>
    <t>TORNILLO AC/INOX  5/8 "  X  2 1/2 "  COMPLETO</t>
  </si>
  <si>
    <t>EMPAQUE FLEXITALICO  2 "  X  150 LBS</t>
  </si>
  <si>
    <t>NIPLE AC/INOX 304   2 "  X  8  CMTS</t>
  </si>
  <si>
    <t>VALVULA GLOBO  AC/INOX 316  2 "  X  150 LBS ROSCADA</t>
  </si>
  <si>
    <t>ANGULO HR  2 "  X  1/8 "  X  6  MTS</t>
  </si>
  <si>
    <t xml:space="preserve">TUBO  AC/INOX 304   SCH 40   1 " X 2 MTS  </t>
  </si>
  <si>
    <t>TRAMO</t>
  </si>
  <si>
    <t>MANOMETRO CARAT. 4 " AC/INOX  0-200 PSI 1/2 " NPT</t>
  </si>
  <si>
    <t>CODO AC/INOX 304  1 "  X  90 º  X  150 LBS ROSCADO</t>
  </si>
  <si>
    <t>VALVULA DE BOLA AC/INOX 304  1 "  ROSCADA</t>
  </si>
  <si>
    <t>NIPLE  AC/INOX  304   1 "  X  8 "</t>
  </si>
  <si>
    <t>UNION AC/INOX  304  1 "  ROSCADA</t>
  </si>
  <si>
    <t>TUBERIA  AC/INOX 304  SCH 40  1/2 "  X  3 MTS</t>
  </si>
  <si>
    <t>CODO AC/INOX  304  1/2 "  X  900 º X 150 LBS ROSCADO</t>
  </si>
  <si>
    <t>VALVULA DE BOLA AC/INOX 316  1/2 "  ROSCADA</t>
  </si>
  <si>
    <t>NIPLE AC/INOX  304 1/2 "  X  8  CMTS</t>
  </si>
  <si>
    <t>UNION AC/INOX  304 1/2 "  ROSCADA</t>
  </si>
  <si>
    <t>DIEZ MILLONES NOVECIENTOS SESENTA MIL QUINIENTOS</t>
  </si>
  <si>
    <t>OCHENTA Y NUEVE PESOS MDA / CTE</t>
  </si>
  <si>
    <t>ENTREGA EN DOS DIAS 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</si>
</sst>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58"/>
  <sheetViews>
    <sheetView tabSelected="1" topLeftCell="A22" zoomScaleNormal="100" workbookViewId="0">
      <selection activeCell="K42" sqref="K4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52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45797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48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45806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3"/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72"/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53</v>
      </c>
      <c r="C16" s="70"/>
      <c r="D16" s="45"/>
      <c r="E16" s="71" t="s">
        <v>54</v>
      </c>
      <c r="F16" s="66">
        <v>756000</v>
      </c>
      <c r="G16" s="67">
        <v>1</v>
      </c>
      <c r="H16" s="38">
        <f>F16*G16</f>
        <v>756000</v>
      </c>
    </row>
    <row r="17" spans="1:8" ht="15.75" thickBot="1" x14ac:dyDescent="0.3">
      <c r="A17" s="68">
        <v>2</v>
      </c>
      <c r="B17" s="69" t="s">
        <v>55</v>
      </c>
      <c r="C17" s="70"/>
      <c r="D17" s="45"/>
      <c r="E17" s="71" t="s">
        <v>49</v>
      </c>
      <c r="F17" s="66">
        <v>696000</v>
      </c>
      <c r="G17" s="67">
        <v>8</v>
      </c>
      <c r="H17" s="38">
        <f t="shared" ref="H17:H18" si="0">F17*G17</f>
        <v>5568000</v>
      </c>
    </row>
    <row r="18" spans="1:8" ht="15.75" thickBot="1" x14ac:dyDescent="0.3">
      <c r="A18" s="68">
        <v>3</v>
      </c>
      <c r="B18" s="69" t="s">
        <v>56</v>
      </c>
      <c r="C18" s="70"/>
      <c r="D18" s="45"/>
      <c r="E18" s="71" t="s">
        <v>54</v>
      </c>
      <c r="F18" s="66">
        <v>31500</v>
      </c>
      <c r="G18" s="67">
        <v>12</v>
      </c>
      <c r="H18" s="38">
        <f t="shared" si="0"/>
        <v>378000</v>
      </c>
    </row>
    <row r="19" spans="1:8" ht="15.75" thickBot="1" x14ac:dyDescent="0.3">
      <c r="A19" s="68">
        <v>4</v>
      </c>
      <c r="B19" s="69" t="s">
        <v>57</v>
      </c>
      <c r="C19" s="70"/>
      <c r="D19" s="45"/>
      <c r="E19" s="71" t="s">
        <v>54</v>
      </c>
      <c r="F19" s="66">
        <v>63600</v>
      </c>
      <c r="G19" s="67">
        <v>16</v>
      </c>
      <c r="H19" s="38">
        <f t="shared" ref="H19:H35" si="1">F19*G19</f>
        <v>1017600</v>
      </c>
    </row>
    <row r="20" spans="1:8" ht="15.75" thickBot="1" x14ac:dyDescent="0.3">
      <c r="A20" s="68">
        <v>5</v>
      </c>
      <c r="B20" s="69" t="s">
        <v>58</v>
      </c>
      <c r="C20" s="70"/>
      <c r="D20" s="45"/>
      <c r="E20" s="71" t="s">
        <v>54</v>
      </c>
      <c r="F20" s="66">
        <v>4600</v>
      </c>
      <c r="G20" s="67">
        <v>64</v>
      </c>
      <c r="H20" s="38">
        <f t="shared" si="1"/>
        <v>294400</v>
      </c>
    </row>
    <row r="21" spans="1:8" ht="15.75" thickBot="1" x14ac:dyDescent="0.3">
      <c r="A21" s="68">
        <v>6</v>
      </c>
      <c r="B21" s="69" t="s">
        <v>59</v>
      </c>
      <c r="C21" s="70"/>
      <c r="D21" s="45"/>
      <c r="E21" s="71" t="s">
        <v>54</v>
      </c>
      <c r="F21" s="66">
        <v>6356</v>
      </c>
      <c r="G21" s="67">
        <v>16</v>
      </c>
      <c r="H21" s="38">
        <f t="shared" si="1"/>
        <v>101696</v>
      </c>
    </row>
    <row r="22" spans="1:8" ht="15.75" thickBot="1" x14ac:dyDescent="0.3">
      <c r="A22" s="68">
        <v>7</v>
      </c>
      <c r="B22" s="69" t="s">
        <v>60</v>
      </c>
      <c r="C22" s="70"/>
      <c r="D22" s="45"/>
      <c r="E22" s="71" t="s">
        <v>50</v>
      </c>
      <c r="F22" s="66">
        <v>25650</v>
      </c>
      <c r="G22" s="67">
        <v>8</v>
      </c>
      <c r="H22" s="38">
        <f t="shared" si="1"/>
        <v>205200</v>
      </c>
    </row>
    <row r="23" spans="1:8" ht="15.75" thickBot="1" x14ac:dyDescent="0.3">
      <c r="A23" s="68">
        <v>8</v>
      </c>
      <c r="B23" s="69" t="s">
        <v>61</v>
      </c>
      <c r="C23" s="70"/>
      <c r="D23" s="45"/>
      <c r="E23" s="71" t="s">
        <v>54</v>
      </c>
      <c r="F23" s="66">
        <v>182700</v>
      </c>
      <c r="G23" s="67">
        <v>1</v>
      </c>
      <c r="H23" s="38">
        <f t="shared" si="1"/>
        <v>182700</v>
      </c>
    </row>
    <row r="24" spans="1:8" ht="15.75" thickBot="1" x14ac:dyDescent="0.3">
      <c r="A24" s="68">
        <v>9</v>
      </c>
      <c r="B24" s="69" t="s">
        <v>62</v>
      </c>
      <c r="C24" s="70"/>
      <c r="D24" s="45"/>
      <c r="E24" s="71" t="s">
        <v>51</v>
      </c>
      <c r="F24" s="66">
        <v>76300</v>
      </c>
      <c r="G24" s="67">
        <v>4</v>
      </c>
      <c r="H24" s="38">
        <f t="shared" si="1"/>
        <v>305200</v>
      </c>
    </row>
    <row r="25" spans="1:8" ht="15.75" thickBot="1" x14ac:dyDescent="0.3">
      <c r="A25" s="68">
        <v>10</v>
      </c>
      <c r="B25" s="69" t="s">
        <v>63</v>
      </c>
      <c r="C25" s="70"/>
      <c r="D25" s="45"/>
      <c r="E25" s="71" t="s">
        <v>64</v>
      </c>
      <c r="F25" s="66">
        <v>119400</v>
      </c>
      <c r="G25" s="67">
        <v>1</v>
      </c>
      <c r="H25" s="38">
        <f t="shared" si="1"/>
        <v>119400</v>
      </c>
    </row>
    <row r="26" spans="1:8" ht="15.75" thickBot="1" x14ac:dyDescent="0.3">
      <c r="A26" s="68">
        <v>11</v>
      </c>
      <c r="B26" s="69" t="s">
        <v>65</v>
      </c>
      <c r="C26" s="70"/>
      <c r="D26" s="45"/>
      <c r="E26" s="71" t="s">
        <v>54</v>
      </c>
      <c r="F26" s="66">
        <v>130500</v>
      </c>
      <c r="G26" s="67">
        <v>1</v>
      </c>
      <c r="H26" s="38">
        <f t="shared" si="1"/>
        <v>130500</v>
      </c>
    </row>
    <row r="27" spans="1:8" ht="15.75" thickBot="1" x14ac:dyDescent="0.3">
      <c r="A27" s="68">
        <v>12</v>
      </c>
      <c r="B27" s="69" t="s">
        <v>66</v>
      </c>
      <c r="C27" s="70"/>
      <c r="D27" s="45"/>
      <c r="E27" s="71" t="s">
        <v>54</v>
      </c>
      <c r="F27" s="66">
        <v>11610</v>
      </c>
      <c r="G27" s="67">
        <v>2</v>
      </c>
      <c r="H27" s="38">
        <f t="shared" si="1"/>
        <v>23220</v>
      </c>
    </row>
    <row r="28" spans="1:8" ht="15.75" thickBot="1" x14ac:dyDescent="0.3">
      <c r="A28" s="68">
        <v>13</v>
      </c>
      <c r="B28" s="69" t="s">
        <v>67</v>
      </c>
      <c r="C28" s="70"/>
      <c r="D28" s="45"/>
      <c r="E28" s="71" t="s">
        <v>54</v>
      </c>
      <c r="F28" s="66">
        <v>70650</v>
      </c>
      <c r="G28" s="67">
        <v>1</v>
      </c>
      <c r="H28" s="38">
        <f t="shared" si="1"/>
        <v>70650</v>
      </c>
    </row>
    <row r="29" spans="1:8" ht="15.75" thickBot="1" x14ac:dyDescent="0.3">
      <c r="A29" s="68">
        <v>14</v>
      </c>
      <c r="B29" s="69" t="s">
        <v>68</v>
      </c>
      <c r="C29" s="70"/>
      <c r="D29" s="45"/>
      <c r="E29" s="71" t="s">
        <v>50</v>
      </c>
      <c r="F29" s="66">
        <v>24600</v>
      </c>
      <c r="G29" s="67">
        <v>2</v>
      </c>
      <c r="H29" s="38">
        <f t="shared" si="1"/>
        <v>49200</v>
      </c>
    </row>
    <row r="30" spans="1:8" ht="15.75" thickBot="1" x14ac:dyDescent="0.3">
      <c r="A30" s="68">
        <v>15</v>
      </c>
      <c r="B30" s="69" t="s">
        <v>69</v>
      </c>
      <c r="C30" s="70"/>
      <c r="D30" s="45"/>
      <c r="E30" s="71" t="s">
        <v>54</v>
      </c>
      <c r="F30" s="66">
        <v>10530</v>
      </c>
      <c r="G30" s="67">
        <v>1</v>
      </c>
      <c r="H30" s="38">
        <f t="shared" si="1"/>
        <v>10530</v>
      </c>
    </row>
    <row r="31" spans="1:8" ht="15.75" thickBot="1" x14ac:dyDescent="0.3">
      <c r="A31" s="68">
        <v>16</v>
      </c>
      <c r="B31" s="69" t="s">
        <v>70</v>
      </c>
      <c r="C31" s="70"/>
      <c r="D31" s="45"/>
      <c r="E31" s="71" t="s">
        <v>64</v>
      </c>
      <c r="F31" s="66">
        <v>98300</v>
      </c>
      <c r="G31" s="67">
        <v>1</v>
      </c>
      <c r="H31" s="38">
        <f t="shared" si="1"/>
        <v>98300</v>
      </c>
    </row>
    <row r="32" spans="1:8" ht="15.75" thickBot="1" x14ac:dyDescent="0.3">
      <c r="A32" s="68">
        <v>17</v>
      </c>
      <c r="B32" s="69" t="s">
        <v>71</v>
      </c>
      <c r="C32" s="70"/>
      <c r="D32" s="45"/>
      <c r="E32" s="71" t="s">
        <v>54</v>
      </c>
      <c r="F32" s="66">
        <v>4995</v>
      </c>
      <c r="G32" s="67">
        <v>3</v>
      </c>
      <c r="H32" s="38">
        <f t="shared" si="1"/>
        <v>14985</v>
      </c>
    </row>
    <row r="33" spans="1:8" ht="15.75" thickBot="1" x14ac:dyDescent="0.3">
      <c r="A33" s="68">
        <v>18</v>
      </c>
      <c r="B33" s="69" t="s">
        <v>72</v>
      </c>
      <c r="C33" s="70"/>
      <c r="D33" s="45"/>
      <c r="E33" s="71" t="s">
        <v>54</v>
      </c>
      <c r="F33" s="66">
        <v>27050</v>
      </c>
      <c r="G33" s="67">
        <v>1</v>
      </c>
      <c r="H33" s="38">
        <f t="shared" si="1"/>
        <v>27050</v>
      </c>
    </row>
    <row r="34" spans="1:8" ht="15.75" thickBot="1" x14ac:dyDescent="0.3">
      <c r="A34" s="68">
        <v>19</v>
      </c>
      <c r="B34" s="69" t="s">
        <v>73</v>
      </c>
      <c r="C34" s="70"/>
      <c r="D34" s="45"/>
      <c r="E34" s="71" t="s">
        <v>50</v>
      </c>
      <c r="F34" s="66">
        <v>8100</v>
      </c>
      <c r="G34" s="67">
        <v>6</v>
      </c>
      <c r="H34" s="38">
        <f t="shared" si="1"/>
        <v>48600</v>
      </c>
    </row>
    <row r="35" spans="1:8" ht="15.75" thickBot="1" x14ac:dyDescent="0.3">
      <c r="A35" s="68">
        <v>20</v>
      </c>
      <c r="B35" s="69" t="s">
        <v>74</v>
      </c>
      <c r="C35" s="70"/>
      <c r="D35" s="45"/>
      <c r="E35" s="71" t="s">
        <v>54</v>
      </c>
      <c r="F35" s="66">
        <v>3500</v>
      </c>
      <c r="G35" s="67">
        <v>2</v>
      </c>
      <c r="H35" s="38">
        <f t="shared" si="1"/>
        <v>7000</v>
      </c>
    </row>
    <row r="36" spans="1:8" ht="15.75" thickBot="1" x14ac:dyDescent="0.3">
      <c r="B36" s="16"/>
      <c r="C36" s="4"/>
      <c r="D36" s="17"/>
      <c r="F36" s="65"/>
      <c r="G36" s="65"/>
    </row>
    <row r="37" spans="1:8" ht="19.5" customHeight="1" thickBot="1" x14ac:dyDescent="0.35">
      <c r="A37" s="62" t="s">
        <v>22</v>
      </c>
      <c r="B37" s="61" t="s">
        <v>75</v>
      </c>
      <c r="C37" s="12"/>
      <c r="D37" s="13"/>
      <c r="E37" s="64"/>
      <c r="F37" s="37" t="s">
        <v>43</v>
      </c>
      <c r="G37" s="6"/>
      <c r="H37" s="7"/>
    </row>
    <row r="38" spans="1:8" ht="19.5" customHeight="1" thickBot="1" x14ac:dyDescent="0.3">
      <c r="A38" s="39"/>
      <c r="B38" s="16" t="s">
        <v>76</v>
      </c>
      <c r="C38" s="4"/>
      <c r="D38" s="17"/>
      <c r="E38" s="52" t="s">
        <v>23</v>
      </c>
      <c r="F38" s="52"/>
      <c r="G38" s="45"/>
      <c r="H38" s="50">
        <f>SUM(H16:H35)</f>
        <v>9408231</v>
      </c>
    </row>
    <row r="39" spans="1:8" ht="19.5" customHeight="1" x14ac:dyDescent="0.25">
      <c r="A39" s="24" t="s">
        <v>24</v>
      </c>
      <c r="E39" s="53" t="s">
        <v>28</v>
      </c>
      <c r="F39" s="23"/>
      <c r="G39" s="54">
        <v>0.19</v>
      </c>
      <c r="H39" s="40">
        <f>H38*G39</f>
        <v>1787563.8900000001</v>
      </c>
    </row>
    <row r="40" spans="1:8" ht="19.5" customHeight="1" x14ac:dyDescent="0.25">
      <c r="A40" s="14" t="s">
        <v>42</v>
      </c>
      <c r="E40" s="55" t="s">
        <v>25</v>
      </c>
      <c r="G40" s="58">
        <v>2.5000000000000001E-2</v>
      </c>
      <c r="H40" s="51">
        <f>H38*G40</f>
        <v>235205.77500000002</v>
      </c>
    </row>
    <row r="41" spans="1:8" ht="15.75" x14ac:dyDescent="0.25">
      <c r="A41" s="14" t="s">
        <v>77</v>
      </c>
      <c r="E41" s="14"/>
      <c r="F41" s="33"/>
      <c r="G41" s="46"/>
      <c r="H41" s="15"/>
    </row>
    <row r="42" spans="1:8" ht="16.5" thickBot="1" x14ac:dyDescent="0.3">
      <c r="A42" s="14" t="s">
        <v>30</v>
      </c>
      <c r="E42" s="56" t="s">
        <v>26</v>
      </c>
      <c r="F42" s="57"/>
      <c r="G42" s="47"/>
      <c r="H42" s="17"/>
    </row>
    <row r="43" spans="1:8" ht="19.5" thickBot="1" x14ac:dyDescent="0.35">
      <c r="A43" s="60"/>
      <c r="B43" s="4"/>
      <c r="C43" s="4"/>
      <c r="D43" s="17"/>
      <c r="F43" s="3"/>
      <c r="G43" s="34" t="s">
        <v>27</v>
      </c>
      <c r="H43" s="36">
        <f>H38+H39-H40</f>
        <v>10960589.115</v>
      </c>
    </row>
    <row r="44" spans="1:8" ht="16.5" customHeight="1" x14ac:dyDescent="0.25"/>
    <row r="49" spans="1:8" ht="15.75" thickBot="1" x14ac:dyDescent="0.3"/>
    <row r="50" spans="1:8" ht="19.5" thickBot="1" x14ac:dyDescent="0.35">
      <c r="A50" s="25" t="s">
        <v>44</v>
      </c>
      <c r="B50" s="6"/>
      <c r="C50" s="6"/>
      <c r="D50" s="6"/>
      <c r="E50" s="6"/>
      <c r="F50" s="6"/>
      <c r="G50" s="6"/>
      <c r="H50" s="7"/>
    </row>
    <row r="58" spans="1:8" ht="18.75" x14ac:dyDescent="0.3">
      <c r="A58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2025-05-20T16:01:19Z</dcterms:modified>
</cp:coreProperties>
</file>