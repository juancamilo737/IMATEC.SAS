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5B9FCEC3-F17F-4DB0-B64D-94F3FB39E1DE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2" l="1"/>
  <c r="H17" i="2"/>
  <c r="H18" i="2"/>
  <c r="H19" i="2"/>
  <c r="H16" i="2"/>
  <c r="H24" i="2" s="1"/>
  <c r="H23" i="2" l="1"/>
  <c r="H27" i="2" s="1"/>
</calcChain>
</file>

<file path=xl/sharedStrings.xml><?xml version="1.0" encoding="utf-8"?>
<sst xmlns="http://schemas.openxmlformats.org/spreadsheetml/2006/main" count="60" uniqueCount="58">
  <si>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</si>
  <si>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</si>
  <si>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</si>
  <si>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</si>
  <si>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</si>
  <si>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</si>
  <si>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</si>
  <si>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</si>
  <si>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</si>
  <si>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</si>
  <si>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</si>
  <si>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</si>
  <si>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</si>
  <si>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</si>
  <si>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</si>
  <si>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</si>
  <si>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</si>
  <si>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</si>
  <si>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</si>
  <si>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</si>
  <si>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</si>
  <si>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</si>
  <si>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</si>
  <si>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</si>
  <si>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</si>
  <si>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</si>
  <si>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</si>
  <si>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</si>
  <si>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</si>
  <si>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</si>
  <si>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</si>
  <si>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</si>
  <si>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</si>
  <si>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</si>
  <si>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</si>
  <si>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</si>
  <si>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</si>
  <si>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</si>
  <si>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</si>
  <si>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</si>
  <si>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</si>
  <si>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</si>
  <si>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</si>
  <si>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</si>
  <si>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ENTREGA INMEDIATA</t>
  </si>
  <si>
    <t>FORMA DE PAGO : CREDITO A 30 DIAS</t>
  </si>
  <si>
    <t>ACCESORIO</t>
  </si>
  <si>
    <t xml:space="preserve">            C O T I Z A C I O N</t>
  </si>
  <si>
    <t>L I Q U I D A C I O N</t>
  </si>
  <si>
    <t xml:space="preserve">  CALLE  33 A  No. 17 A - 56                           B/  LA FLORESTA             -   CALI    -                         CEL.     321 7834969</t>
  </si>
  <si>
    <t>TUBO</t>
  </si>
  <si>
    <t>No.  41</t>
  </si>
  <si>
    <t>BRIDA  AC/INOX  316  SLIP ON   3 "  X  150 LBS</t>
  </si>
  <si>
    <t>BRIDA  AC/INOX  316  CIEGA   3 "  X  150 LBS</t>
  </si>
  <si>
    <t>EMPAQUE FLEXITALICO  3 "  X  150  LBS</t>
  </si>
  <si>
    <t>TUBERIA  AC/INOX  316  SCH 40  3 " X  6 MTS</t>
  </si>
  <si>
    <t>TRES MILLONES NOVECIENTOS OCHENTA MIL QUINIENTOS</t>
  </si>
  <si>
    <t>CATORCE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</si>
</sst>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2"/>
  <sheetViews>
    <sheetView tabSelected="1" topLeftCell="A4" zoomScaleNormal="100" workbookViewId="0">
      <selection activeCell="G10" sqref="G1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44" t="s">
        <v>37</v>
      </c>
      <c r="D7" s="6"/>
      <c r="E7" s="6"/>
      <c r="F7" s="37"/>
      <c r="G7" s="18"/>
      <c r="H7" s="63" t="s">
        <v>51</v>
      </c>
    </row>
    <row r="8" spans="1:8" ht="19.5" thickBot="1" x14ac:dyDescent="0.35">
      <c r="A8" s="21" t="s">
        <v>8</v>
      </c>
      <c r="C8" s="14" t="s">
        <v>38</v>
      </c>
      <c r="E8" s="15"/>
      <c r="H8" s="15"/>
    </row>
    <row r="9" spans="1:8" ht="18.75" customHeight="1" thickBot="1" x14ac:dyDescent="0.35">
      <c r="A9" s="21" t="s">
        <v>9</v>
      </c>
      <c r="C9" s="14" t="s">
        <v>39</v>
      </c>
      <c r="E9" s="59" t="s">
        <v>40</v>
      </c>
      <c r="F9" s="30" t="s">
        <v>0</v>
      </c>
      <c r="H9" s="28">
        <v>45691</v>
      </c>
    </row>
    <row r="10" spans="1:8" ht="18.75" x14ac:dyDescent="0.3">
      <c r="A10" s="21" t="s">
        <v>13</v>
      </c>
      <c r="C10" s="48" t="s">
        <v>41</v>
      </c>
      <c r="E10" s="15"/>
      <c r="F10" s="30" t="s">
        <v>15</v>
      </c>
      <c r="H10" s="29" t="s">
        <v>30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45700</v>
      </c>
    </row>
    <row r="12" spans="1:8" ht="18.75" x14ac:dyDescent="0.3">
      <c r="A12" s="21" t="s">
        <v>11</v>
      </c>
      <c r="C12" s="14" t="s">
        <v>42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43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8">
        <v>1</v>
      </c>
      <c r="B16" s="69" t="s">
        <v>52</v>
      </c>
      <c r="C16" s="70"/>
      <c r="D16" s="45"/>
      <c r="E16" s="71" t="s">
        <v>46</v>
      </c>
      <c r="F16" s="66">
        <v>266150</v>
      </c>
      <c r="G16" s="67">
        <v>1</v>
      </c>
      <c r="H16" s="38">
        <f>F16*G16</f>
        <v>266150</v>
      </c>
    </row>
    <row r="17" spans="1:8" ht="15.75" thickBot="1" x14ac:dyDescent="0.3">
      <c r="A17" s="68">
        <v>2</v>
      </c>
      <c r="B17" s="69" t="s">
        <v>53</v>
      </c>
      <c r="C17" s="70"/>
      <c r="D17" s="45"/>
      <c r="E17" s="71" t="s">
        <v>46</v>
      </c>
      <c r="F17" s="66">
        <v>476500</v>
      </c>
      <c r="G17" s="67">
        <v>1</v>
      </c>
      <c r="H17" s="38">
        <f t="shared" ref="H17:H19" si="0">F17*G17</f>
        <v>476500</v>
      </c>
    </row>
    <row r="18" spans="1:8" ht="15.75" thickBot="1" x14ac:dyDescent="0.3">
      <c r="A18" s="68">
        <v>3</v>
      </c>
      <c r="B18" s="69" t="s">
        <v>54</v>
      </c>
      <c r="C18" s="70"/>
      <c r="D18" s="45"/>
      <c r="E18" s="71" t="s">
        <v>46</v>
      </c>
      <c r="F18" s="66">
        <v>7850</v>
      </c>
      <c r="G18" s="67">
        <v>1</v>
      </c>
      <c r="H18" s="38">
        <f t="shared" si="0"/>
        <v>7850</v>
      </c>
    </row>
    <row r="19" spans="1:8" ht="15.75" thickBot="1" x14ac:dyDescent="0.3">
      <c r="A19" s="68">
        <v>4</v>
      </c>
      <c r="B19" s="69" t="s">
        <v>55</v>
      </c>
      <c r="C19" s="70"/>
      <c r="D19" s="45"/>
      <c r="E19" s="71" t="s">
        <v>50</v>
      </c>
      <c r="F19" s="66">
        <v>2666250</v>
      </c>
      <c r="G19" s="67">
        <v>1</v>
      </c>
      <c r="H19" s="38">
        <f t="shared" si="0"/>
        <v>2666250</v>
      </c>
    </row>
    <row r="20" spans="1:8" ht="15.75" thickBot="1" x14ac:dyDescent="0.3">
      <c r="B20" s="16"/>
      <c r="C20" s="4"/>
      <c r="D20" s="17"/>
      <c r="F20" s="65"/>
      <c r="G20" s="65"/>
    </row>
    <row r="21" spans="1:8" ht="19.5" customHeight="1" thickBot="1" x14ac:dyDescent="0.35">
      <c r="A21" s="62" t="s">
        <v>23</v>
      </c>
      <c r="B21" s="61" t="s">
        <v>56</v>
      </c>
      <c r="C21" s="12"/>
      <c r="D21" s="13"/>
      <c r="E21" s="64"/>
      <c r="F21" s="37" t="s">
        <v>48</v>
      </c>
      <c r="G21" s="6"/>
      <c r="H21" s="7"/>
    </row>
    <row r="22" spans="1:8" ht="19.5" customHeight="1" thickBot="1" x14ac:dyDescent="0.3">
      <c r="A22" s="39"/>
      <c r="B22" s="16" t="s">
        <v>57</v>
      </c>
      <c r="C22" s="4"/>
      <c r="D22" s="17"/>
      <c r="E22" s="52" t="s">
        <v>24</v>
      </c>
      <c r="F22" s="52"/>
      <c r="G22" s="45"/>
      <c r="H22" s="50">
        <f>SUM(H16:H19)</f>
        <v>3416750</v>
      </c>
    </row>
    <row r="23" spans="1:8" ht="19.5" customHeight="1" x14ac:dyDescent="0.25">
      <c r="A23" s="24" t="s">
        <v>25</v>
      </c>
      <c r="E23" s="53" t="s">
        <v>29</v>
      </c>
      <c r="F23" s="23"/>
      <c r="G23" s="54">
        <v>0.19</v>
      </c>
      <c r="H23" s="40">
        <f>H22*G23</f>
        <v>649182.5</v>
      </c>
    </row>
    <row r="24" spans="1:8" ht="19.5" customHeight="1" x14ac:dyDescent="0.25">
      <c r="A24" s="14" t="s">
        <v>45</v>
      </c>
      <c r="E24" s="55" t="s">
        <v>26</v>
      </c>
      <c r="G24" s="58">
        <v>2.5000000000000001E-2</v>
      </c>
      <c r="H24" s="51">
        <f>H22*G24</f>
        <v>85418.75</v>
      </c>
    </row>
    <row r="25" spans="1:8" ht="15.75" x14ac:dyDescent="0.25">
      <c r="A25" s="14" t="s">
        <v>44</v>
      </c>
      <c r="E25" s="14"/>
      <c r="F25" s="33"/>
      <c r="G25" s="46"/>
      <c r="H25" s="15"/>
    </row>
    <row r="26" spans="1:8" ht="16.5" thickBot="1" x14ac:dyDescent="0.3">
      <c r="A26" s="14" t="s">
        <v>32</v>
      </c>
      <c r="E26" s="56" t="s">
        <v>27</v>
      </c>
      <c r="F26" s="57"/>
      <c r="G26" s="47"/>
      <c r="H26" s="17"/>
    </row>
    <row r="27" spans="1:8" ht="19.5" thickBot="1" x14ac:dyDescent="0.35">
      <c r="A27" s="60"/>
      <c r="B27" s="4"/>
      <c r="C27" s="4"/>
      <c r="D27" s="17"/>
      <c r="F27" s="3"/>
      <c r="G27" s="34" t="s">
        <v>28</v>
      </c>
      <c r="H27" s="36">
        <f>H22+H23-H24</f>
        <v>3980513.75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49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2024-12-27T15:29:35Z</cp:lastPrinted>
  <dcterms:created xsi:type="dcterms:W3CDTF">2018-11-15T17:29:02Z</dcterms:created>
  <dcterms:modified xsi:type="dcterms:W3CDTF">2025-02-03T21:27:20Z</dcterms:modified>
</cp:coreProperties>
</file>