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8F1E4BD-2401-4305-AD78-4145B46B8A1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YA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21" i="1"/>
  <c r="H16" i="1"/>
  <c r="H19" i="1" s="1"/>
  <c r="H20" i="1" l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<sst xmlns="http://schemas.openxmlformats.org/spreadsheetml/2006/main" count="55" uniqueCount="55">
  <si>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</si>
  <si>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</si>
  <si>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</si>
  <si>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</si>
  <si>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</si>
  <si>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</si>
  <si>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</si>
  <si>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</si>
  <si>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</si>
  <si>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</si>
  <si>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</si>
  <si>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</si>
  <si>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</si>
  <si>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</si>
  <si>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</si>
  <si>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</si>
  <si>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</si>
  <si>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</si>
  <si>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</si>
  <si>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</si>
  <si>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</si>
  <si>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</si>
  <si>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</si>
  <si>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</si>
  <si>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</si>
  <si>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</si>
  <si>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</si>
  <si>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</si>
  <si>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</si>
  <si>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</si>
  <si>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</si>
  <si>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</si>
  <si>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</si>
  <si>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</si>
  <si>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</si>
  <si>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</si>
  <si>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</si>
  <si>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</si>
  <si>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AYA INGENIERIA FABRICACION Y MONTAJES METALMECANICAS S.A.S</t>
  </si>
  <si>
    <t>901 888388</t>
  </si>
  <si>
    <t>CALLE 44  No. 3N-09</t>
  </si>
  <si>
    <t>CALI</t>
  </si>
  <si>
    <t>contablidad@ayaingenieria.com.co</t>
  </si>
  <si>
    <t>317 8913305</t>
  </si>
  <si>
    <t>EDINSON CABEZAS</t>
  </si>
  <si>
    <t xml:space="preserve">  RETEICA</t>
  </si>
  <si>
    <t>TUBO</t>
  </si>
  <si>
    <t>FORMA DE PAGO : CONTADO</t>
  </si>
  <si>
    <t>10 DIAS</t>
  </si>
  <si>
    <t>No. 13</t>
  </si>
  <si>
    <t xml:space="preserve">           C O T I Z A C I O N</t>
  </si>
  <si>
    <t>TUBERIA  AC/INOX 304 SCH 40  4 " X  5,8  MTS   S/C</t>
  </si>
  <si>
    <t>SEIS MILLONES CIENTO NOVENTA Y DOS MIL OCHOCIEN-</t>
  </si>
  <si>
    <t>TOS CINCO PESOS MDA / CTE</t>
  </si>
  <si>
    <t>ENTREGA EN TRTES DIAS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</si>
</sst>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8" fillId="0" borderId="19" xfId="0" applyFont="1" applyBorder="1"/>
    <xf numFmtId="0" fontId="1" fillId="0" borderId="30" xfId="0" applyFont="1" applyBorder="1" applyAlignment="1">
      <alignment horizontal="center"/>
    </xf>
    <xf numFmtId="0" fontId="8" fillId="0" borderId="18" xfId="0" applyFont="1" applyBorder="1"/>
    <xf numFmtId="0" fontId="8" fillId="0" borderId="31" xfId="0" applyFont="1" applyBorder="1"/>
    <xf numFmtId="10" fontId="1" fillId="0" borderId="25" xfId="0" applyNumberFormat="1" applyFont="1" applyBorder="1"/>
    <xf numFmtId="0" fontId="1" fillId="0" borderId="10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8" fillId="0" borderId="33" xfId="0" applyFont="1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lidad@ayaingenieri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A23" sqref="A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58" t="s">
        <v>38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0" t="s">
        <v>39</v>
      </c>
      <c r="D8" s="61"/>
      <c r="E8" s="44"/>
      <c r="H8" s="15"/>
    </row>
    <row r="9" spans="1:8" ht="18.75" customHeight="1" x14ac:dyDescent="0.3">
      <c r="A9" s="21" t="s">
        <v>9</v>
      </c>
      <c r="C9" s="62" t="s">
        <v>40</v>
      </c>
      <c r="D9" s="23"/>
      <c r="E9" s="63" t="s">
        <v>41</v>
      </c>
      <c r="F9" s="30" t="s">
        <v>0</v>
      </c>
      <c r="H9" s="28">
        <v>45873</v>
      </c>
    </row>
    <row r="10" spans="1:8" ht="18.75" x14ac:dyDescent="0.3">
      <c r="A10" s="21" t="s">
        <v>13</v>
      </c>
      <c r="C10" s="64" t="s">
        <v>42</v>
      </c>
      <c r="D10" s="59"/>
      <c r="E10" s="45"/>
      <c r="F10" s="30" t="s">
        <v>15</v>
      </c>
      <c r="H10" s="29" t="s">
        <v>48</v>
      </c>
    </row>
    <row r="11" spans="1:8" ht="18.75" x14ac:dyDescent="0.3">
      <c r="A11" s="21" t="s">
        <v>10</v>
      </c>
      <c r="C11" s="65"/>
      <c r="D11" s="59"/>
      <c r="E11" s="45"/>
      <c r="F11" s="30" t="s">
        <v>16</v>
      </c>
      <c r="G11" s="30"/>
      <c r="H11" s="28">
        <v>45882</v>
      </c>
    </row>
    <row r="12" spans="1:8" ht="18.75" x14ac:dyDescent="0.3">
      <c r="A12" s="21" t="s">
        <v>11</v>
      </c>
      <c r="C12" s="65" t="s">
        <v>43</v>
      </c>
      <c r="D12" s="59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6" t="s">
        <v>44</v>
      </c>
      <c r="D13" s="67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5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68" t="s">
        <v>51</v>
      </c>
      <c r="C16" s="70"/>
      <c r="D16" s="71"/>
      <c r="E16" s="69" t="s">
        <v>46</v>
      </c>
      <c r="F16" s="74">
        <v>2675540</v>
      </c>
      <c r="G16" s="69">
        <v>2</v>
      </c>
      <c r="H16" s="38">
        <f t="shared" ref="H16" si="0">G16*F16</f>
        <v>5351080</v>
      </c>
    </row>
    <row r="17" spans="1:8" ht="19.5" customHeight="1" thickBot="1" x14ac:dyDescent="0.3">
      <c r="A17" s="47"/>
      <c r="B17" s="77"/>
      <c r="D17" s="78"/>
      <c r="E17" s="47"/>
      <c r="F17" s="47"/>
      <c r="G17" s="47"/>
    </row>
    <row r="18" spans="1:8" ht="19.5" customHeight="1" thickBot="1" x14ac:dyDescent="0.35">
      <c r="A18" s="76" t="s">
        <v>23</v>
      </c>
      <c r="B18" s="79" t="s">
        <v>52</v>
      </c>
      <c r="C18" s="12"/>
      <c r="D18" s="13"/>
      <c r="E18" s="48"/>
      <c r="F18" s="37" t="s">
        <v>36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17"/>
      <c r="E19" s="51" t="s">
        <v>24</v>
      </c>
      <c r="F19" s="52"/>
      <c r="G19" s="44"/>
      <c r="H19" s="49">
        <f>SUM(H16:H16)</f>
        <v>5351080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1016705.2000000001</v>
      </c>
    </row>
    <row r="21" spans="1:8" ht="19.5" customHeight="1" x14ac:dyDescent="0.25">
      <c r="A21" s="14" t="s">
        <v>47</v>
      </c>
      <c r="E21" s="55" t="s">
        <v>26</v>
      </c>
      <c r="G21" s="72">
        <v>2.5000000000000001E-2</v>
      </c>
      <c r="H21" s="50">
        <f>H19*G21</f>
        <v>133777</v>
      </c>
    </row>
    <row r="22" spans="1:8" ht="15.75" x14ac:dyDescent="0.25">
      <c r="A22" s="14" t="s">
        <v>54</v>
      </c>
      <c r="E22" s="53" t="s">
        <v>45</v>
      </c>
      <c r="F22" s="33"/>
      <c r="G22" s="73">
        <v>7.7000000000000002E-3</v>
      </c>
      <c r="H22" s="50">
        <f>H19*G22</f>
        <v>41203.315999999999</v>
      </c>
    </row>
    <row r="23" spans="1:8" ht="16.5" thickBot="1" x14ac:dyDescent="0.3">
      <c r="A23" s="14" t="s">
        <v>31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H19+H20-H21-H22</f>
        <v>6192804.8840000005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08CA974-7AE2-4051-9FAA-D1F45E90EBF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AYA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2025-06-20T18:10:47Z</cp:lastPrinted>
  <dcterms:created xsi:type="dcterms:W3CDTF">2018-11-15T17:29:02Z</dcterms:created>
  <dcterms:modified xsi:type="dcterms:W3CDTF">2025-08-04T16:23:43Z</dcterms:modified>
</cp:coreProperties>
</file>