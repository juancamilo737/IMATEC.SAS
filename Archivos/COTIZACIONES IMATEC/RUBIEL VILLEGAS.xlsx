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DDDC511-A2C0-492F-ACB0-5E8C06069D67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RUBI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4" i="1"/>
  <c r="H23" i="1"/>
  <c r="H22" i="1"/>
  <c r="H21" i="1"/>
  <c r="H20" i="1"/>
  <c r="H19" i="1"/>
  <c r="H18" i="1"/>
  <c r="H17" i="1"/>
  <c r="H16" i="1"/>
  <c r="H28" i="1" s="1"/>
  <c r="H29" i="1" l="1"/>
  <c r="H33" i="1" s="1"/>
</calcChain>
</file>

<file path=xl/sharedStrings.xml><?xml version="1.0" encoding="utf-8"?>
<sst xmlns="http://schemas.openxmlformats.org/spreadsheetml/2006/main" count="70" uniqueCount="65">
  <si>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</si>
  <si>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</si>
  <si>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</si>
  <si>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</si>
  <si>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</si>
  <si>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</si>
  <si>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</si>
  <si>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</si>
  <si>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</si>
  <si>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</si>
  <si>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</si>
  <si>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</si>
  <si>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</si>
  <si>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</si>
  <si>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</si>
  <si>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</si>
  <si>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</si>
  <si>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</si>
  <si>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</si>
  <si>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</si>
  <si>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</si>
  <si>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</si>
  <si>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</si>
  <si>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</si>
  <si>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</si>
  <si>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</si>
  <si>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</si>
  <si>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</si>
  <si>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</si>
  <si>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</si>
  <si>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</si>
  <si>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</si>
  <si>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</si>
  <si>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</si>
  <si>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</si>
  <si>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</si>
  <si>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</si>
  <si>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</si>
  <si>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</si>
  <si>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</si>
  <si>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</si>
  <si>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RUBIEL VILLEGAS</t>
  </si>
  <si>
    <t>No. 1</t>
  </si>
  <si>
    <t>CRA 24 C  No.  33 C - 17</t>
  </si>
  <si>
    <t>314 7794976</t>
  </si>
  <si>
    <t>LUIS A. BENAVIDES</t>
  </si>
  <si>
    <t>TUBERIA PVC PRESION 1 1/2 " X 6 MTS</t>
  </si>
  <si>
    <t>TUBO</t>
  </si>
  <si>
    <t>UNION PVC PRESION 1 1/2 "</t>
  </si>
  <si>
    <t>CODO PVC PRESION  1 1/2 "</t>
  </si>
  <si>
    <t>TEE PVC PRESION  1 1/2 "</t>
  </si>
  <si>
    <t>SOLDADURA PVC</t>
  </si>
  <si>
    <t>1/4 GALON</t>
  </si>
  <si>
    <t xml:space="preserve">LIMPIADOR PVC </t>
  </si>
  <si>
    <t>GRAPAS DOBLE GALVANIZADA  1 1/2 "</t>
  </si>
  <si>
    <t>PUNTILLA EN ACERO 2 "</t>
  </si>
  <si>
    <t>INSUMO</t>
  </si>
  <si>
    <t>LADRILLO COMUN 20 CMTS</t>
  </si>
  <si>
    <t>CEMENTO GRIS X 50 KG</t>
  </si>
  <si>
    <t>BULTO</t>
  </si>
  <si>
    <t xml:space="preserve">FORMA DE PAGO : </t>
  </si>
  <si>
    <t>ENTREGA INMEDIATA</t>
  </si>
  <si>
    <t>CALI</t>
  </si>
  <si>
    <t>UN MILLON CIENTO VEINTITRES MIL OCHOCIENTOS TREIN</t>
  </si>
  <si>
    <t>TA Y 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</si>
</sst>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8"/>
  <sheetViews>
    <sheetView tabSelected="1" topLeftCell="A10" zoomScaleNormal="100" workbookViewId="0">
      <selection activeCell="C35" sqref="C3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9">
        <v>10624325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62</v>
      </c>
      <c r="F9" s="30" t="s">
        <v>0</v>
      </c>
      <c r="H9" s="28">
        <v>45776</v>
      </c>
    </row>
    <row r="10" spans="1:8" ht="18.75" x14ac:dyDescent="0.3">
      <c r="A10" s="21" t="s">
        <v>13</v>
      </c>
      <c r="C10" s="70"/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45785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46</v>
      </c>
      <c r="C16" s="63"/>
      <c r="D16" s="64"/>
      <c r="E16" s="61" t="s">
        <v>47</v>
      </c>
      <c r="F16" s="65">
        <v>42000</v>
      </c>
      <c r="G16" s="61">
        <v>15</v>
      </c>
      <c r="H16" s="38">
        <f t="shared" ref="H16" si="0">G16*F16</f>
        <v>630000</v>
      </c>
    </row>
    <row r="17" spans="1:8" ht="16.5" thickBot="1" x14ac:dyDescent="0.3">
      <c r="A17" s="61">
        <v>2</v>
      </c>
      <c r="B17" s="62" t="s">
        <v>48</v>
      </c>
      <c r="C17" s="63"/>
      <c r="D17" s="64"/>
      <c r="E17" s="61" t="s">
        <v>38</v>
      </c>
      <c r="F17" s="65">
        <v>1800</v>
      </c>
      <c r="G17" s="61">
        <v>18</v>
      </c>
      <c r="H17" s="38">
        <f t="shared" ref="H17:H25" si="1">G17*F17</f>
        <v>32400</v>
      </c>
    </row>
    <row r="18" spans="1:8" ht="16.5" thickBot="1" x14ac:dyDescent="0.3">
      <c r="A18" s="61">
        <v>3</v>
      </c>
      <c r="B18" s="62" t="s">
        <v>49</v>
      </c>
      <c r="C18" s="63"/>
      <c r="D18" s="64"/>
      <c r="E18" s="61" t="s">
        <v>38</v>
      </c>
      <c r="F18" s="65">
        <v>4500</v>
      </c>
      <c r="G18" s="61">
        <v>10</v>
      </c>
      <c r="H18" s="38">
        <f t="shared" si="1"/>
        <v>45000</v>
      </c>
    </row>
    <row r="19" spans="1:8" ht="16.5" thickBot="1" x14ac:dyDescent="0.3">
      <c r="A19" s="61">
        <v>4</v>
      </c>
      <c r="B19" s="62" t="s">
        <v>50</v>
      </c>
      <c r="C19" s="63"/>
      <c r="D19" s="64"/>
      <c r="E19" s="61" t="s">
        <v>38</v>
      </c>
      <c r="F19" s="65">
        <v>6000</v>
      </c>
      <c r="G19" s="61">
        <v>4</v>
      </c>
      <c r="H19" s="38">
        <f t="shared" si="1"/>
        <v>24000</v>
      </c>
    </row>
    <row r="20" spans="1:8" ht="16.5" thickBot="1" x14ac:dyDescent="0.3">
      <c r="A20" s="61">
        <v>5</v>
      </c>
      <c r="B20" s="62" t="s">
        <v>51</v>
      </c>
      <c r="C20" s="63"/>
      <c r="D20" s="64"/>
      <c r="E20" s="61" t="s">
        <v>52</v>
      </c>
      <c r="F20" s="65">
        <v>59000</v>
      </c>
      <c r="G20" s="61">
        <v>1</v>
      </c>
      <c r="H20" s="38">
        <f t="shared" si="1"/>
        <v>59000</v>
      </c>
    </row>
    <row r="21" spans="1:8" ht="16.5" thickBot="1" x14ac:dyDescent="0.3">
      <c r="A21" s="61">
        <v>6</v>
      </c>
      <c r="B21" s="62" t="s">
        <v>53</v>
      </c>
      <c r="C21" s="63"/>
      <c r="D21" s="64"/>
      <c r="E21" s="61" t="s">
        <v>52</v>
      </c>
      <c r="F21" s="65">
        <v>33000</v>
      </c>
      <c r="G21" s="61">
        <v>1</v>
      </c>
      <c r="H21" s="38">
        <f t="shared" si="1"/>
        <v>33000</v>
      </c>
    </row>
    <row r="22" spans="1:8" ht="16.5" thickBot="1" x14ac:dyDescent="0.3">
      <c r="A22" s="61">
        <v>7</v>
      </c>
      <c r="B22" s="62" t="s">
        <v>54</v>
      </c>
      <c r="C22" s="63"/>
      <c r="D22" s="64"/>
      <c r="E22" s="61" t="s">
        <v>56</v>
      </c>
      <c r="F22" s="65">
        <v>1550</v>
      </c>
      <c r="G22" s="61">
        <v>20</v>
      </c>
      <c r="H22" s="38">
        <f t="shared" si="1"/>
        <v>31000</v>
      </c>
    </row>
    <row r="23" spans="1:8" ht="16.5" thickBot="1" x14ac:dyDescent="0.3">
      <c r="A23" s="61">
        <v>8</v>
      </c>
      <c r="B23" s="62" t="s">
        <v>55</v>
      </c>
      <c r="C23" s="63"/>
      <c r="D23" s="64"/>
      <c r="E23" s="61" t="s">
        <v>56</v>
      </c>
      <c r="F23" s="65">
        <v>13000</v>
      </c>
      <c r="G23" s="61">
        <v>1</v>
      </c>
      <c r="H23" s="38">
        <f t="shared" si="1"/>
        <v>13000</v>
      </c>
    </row>
    <row r="24" spans="1:8" ht="16.5" thickBot="1" x14ac:dyDescent="0.3">
      <c r="A24" s="61">
        <v>9</v>
      </c>
      <c r="B24" s="62" t="s">
        <v>57</v>
      </c>
      <c r="C24" s="63"/>
      <c r="D24" s="64"/>
      <c r="E24" s="61" t="s">
        <v>38</v>
      </c>
      <c r="F24" s="65">
        <v>800</v>
      </c>
      <c r="G24" s="61">
        <v>60</v>
      </c>
      <c r="H24" s="38">
        <f t="shared" si="1"/>
        <v>48000</v>
      </c>
    </row>
    <row r="25" spans="1:8" ht="16.5" thickBot="1" x14ac:dyDescent="0.3">
      <c r="A25" s="61">
        <v>10</v>
      </c>
      <c r="B25" s="62" t="s">
        <v>58</v>
      </c>
      <c r="C25" s="63"/>
      <c r="D25" s="64"/>
      <c r="E25" s="61" t="s">
        <v>59</v>
      </c>
      <c r="F25" s="65">
        <v>29000</v>
      </c>
      <c r="G25" s="61">
        <v>1</v>
      </c>
      <c r="H25" s="38">
        <f t="shared" si="1"/>
        <v>29000</v>
      </c>
    </row>
    <row r="26" spans="1:8" ht="19.5" customHeight="1" thickBot="1" x14ac:dyDescent="0.3">
      <c r="A26" s="48"/>
      <c r="B26" s="67"/>
      <c r="D26" s="68"/>
      <c r="E26" s="48"/>
      <c r="F26" s="48"/>
      <c r="G26" s="48"/>
    </row>
    <row r="27" spans="1:8" ht="19.5" customHeight="1" thickBot="1" x14ac:dyDescent="0.35">
      <c r="A27" s="66" t="s">
        <v>23</v>
      </c>
      <c r="B27" s="69" t="s">
        <v>63</v>
      </c>
      <c r="C27" s="12"/>
      <c r="D27" s="13"/>
      <c r="E27" s="49"/>
      <c r="F27" s="37" t="s">
        <v>39</v>
      </c>
      <c r="G27" s="6"/>
      <c r="H27" s="7"/>
    </row>
    <row r="28" spans="1:8" ht="19.5" customHeight="1" thickBot="1" x14ac:dyDescent="0.3">
      <c r="A28" s="39"/>
      <c r="B28" s="16" t="s">
        <v>64</v>
      </c>
      <c r="C28" s="4"/>
      <c r="D28" s="17"/>
      <c r="E28" s="52" t="s">
        <v>24</v>
      </c>
      <c r="F28" s="53"/>
      <c r="G28" s="44"/>
      <c r="H28" s="50">
        <f>SUM(H16:H27)</f>
        <v>944400</v>
      </c>
    </row>
    <row r="29" spans="1:8" ht="19.5" customHeight="1" x14ac:dyDescent="0.25">
      <c r="A29" s="24" t="s">
        <v>25</v>
      </c>
      <c r="B29" s="12"/>
      <c r="C29" s="12"/>
      <c r="D29" s="12"/>
      <c r="E29" s="54" t="s">
        <v>29</v>
      </c>
      <c r="F29" s="23"/>
      <c r="G29" s="55">
        <v>0.19</v>
      </c>
      <c r="H29" s="40">
        <f>H28*G29</f>
        <v>179436</v>
      </c>
    </row>
    <row r="30" spans="1:8" ht="19.5" customHeight="1" x14ac:dyDescent="0.25">
      <c r="A30" s="14" t="s">
        <v>60</v>
      </c>
      <c r="E30" s="56" t="s">
        <v>26</v>
      </c>
      <c r="G30" s="59">
        <v>2.5000000000000001E-2</v>
      </c>
      <c r="H30" s="51"/>
    </row>
    <row r="31" spans="1:8" ht="15.75" x14ac:dyDescent="0.25">
      <c r="A31" s="14" t="s">
        <v>61</v>
      </c>
      <c r="E31" s="14"/>
      <c r="F31" s="33"/>
      <c r="G31" s="45"/>
      <c r="H31" s="15"/>
    </row>
    <row r="32" spans="1:8" ht="16.5" thickBot="1" x14ac:dyDescent="0.3">
      <c r="A32" s="14" t="s">
        <v>32</v>
      </c>
      <c r="E32" s="57" t="s">
        <v>27</v>
      </c>
      <c r="F32" s="58"/>
      <c r="G32" s="46"/>
      <c r="H32" s="17"/>
    </row>
    <row r="33" spans="1:8" ht="19.5" thickBot="1" x14ac:dyDescent="0.35">
      <c r="A33" s="16"/>
      <c r="B33" s="4"/>
      <c r="C33" s="4"/>
      <c r="D33" s="17"/>
      <c r="F33" s="3"/>
      <c r="G33" s="34" t="s">
        <v>28</v>
      </c>
      <c r="H33" s="36">
        <f>H28+H29</f>
        <v>1123836</v>
      </c>
    </row>
    <row r="34" spans="1:8" ht="16.5" customHeight="1" x14ac:dyDescent="0.25"/>
    <row r="39" spans="1:8" ht="15.75" thickBot="1" x14ac:dyDescent="0.3"/>
    <row r="40" spans="1:8" ht="19.5" thickBot="1" x14ac:dyDescent="0.35">
      <c r="A40" s="25" t="s">
        <v>40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RUBIEL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2025-04-29T20:28:40Z</dcterms:modified>
</cp:coreProperties>
</file>