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E:\USB PLATEADA\PLANTILLA PARA COTIZACIONES\COTIZACIONES  I M A T E C  COMERCIALIZADORA\"/>
    </mc:Choice>
  </mc:AlternateContent>
  <xr:revisionPtr revIDLastSave="0" documentId="13_ncr:1_{EE3E4C66-DB21-4BF2-82C9-1037BF31B91E}" xr6:coauthVersionLast="47" xr6:coauthVersionMax="47" xr10:uidLastSave="{00000000-0000-0000-0000-000000000000}"/>
  <bookViews>
    <workbookView xWindow="-120" yWindow="-120" windowWidth="15600" windowHeight="11160" xr2:uid="{00000000-000D-0000-FFFF-FFFF00000000}"/>
  </bookViews>
  <sheets>
    <sheet name="ASTILLEROS EL MONO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6" i="1" l="1"/>
  <c r="H19" i="1" s="1"/>
  <c r="H20" i="1" l="1"/>
  <c r="H24" i="1" s="1"/>
</calcChain>
</file>

<file path=xl/sharedStrings.xml><?xml version="1.0" encoding="utf-8"?>
<sst xmlns="http://schemas.openxmlformats.org/spreadsheetml/2006/main" count="54" uniqueCount="54">
  <si>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</si>
  <si>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</si>
  <si>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</si>
  <si>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</si>
  <si>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</si>
  <si>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</si>
  <si>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</si>
  <si>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</si>
  <si>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</si>
  <si>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</si>
  <si>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</si>
  <si>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</si>
  <si>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</si>
  <si>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</si>
  <si>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</si>
  <si>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</si>
  <si>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</si>
  <si>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</si>
  <si>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</si>
  <si>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</si>
  <si>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</si>
  <si>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</si>
  <si>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</si>
  <si>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</si>
  <si>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</si>
  <si>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</si>
  <si>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</si>
  <si>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</si>
  <si>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</si>
  <si>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IVA</t>
  </si>
  <si>
    <t>FORMA DE PAGO : CONTADO</t>
  </si>
  <si>
    <t>10 DIAS</t>
  </si>
  <si>
    <t xml:space="preserve">                                   JAVIER LOZANO TAMAYO C.C. 16´654.252</t>
  </si>
  <si>
    <t>ENTREGA EN LA CIUDAD DE CALI</t>
  </si>
  <si>
    <t xml:space="preserve">  CALLE  33B  No. 17C - 70  2o. PISO               B/  LA FLORESTA             -   CALI    -                                   CEL.     321 7834969</t>
  </si>
  <si>
    <t>CONTACTOS   310 8306118    319 7174165    321 7834969</t>
  </si>
  <si>
    <t>ITEM</t>
  </si>
  <si>
    <t>FERRETERIA INDUSTRIAL</t>
  </si>
  <si>
    <t xml:space="preserve">                       INGENIERIA , MONTAJES  Y  ASISTENCIA  TECNICA  S A S</t>
  </si>
  <si>
    <t xml:space="preserve">           C O T I Z A C I O N</t>
  </si>
  <si>
    <t>ASTILLERO FIBRAS EL MONO</t>
  </si>
  <si>
    <t>1087 1256789</t>
  </si>
  <si>
    <t>BRR EXPORCOL C S 241</t>
  </si>
  <si>
    <t>TUMACO</t>
  </si>
  <si>
    <t>fibraselmono07@hotmail.com</t>
  </si>
  <si>
    <t>310 4169566</t>
  </si>
  <si>
    <t>LUIS A. BENAVIDES</t>
  </si>
  <si>
    <t>No. 2</t>
  </si>
  <si>
    <t xml:space="preserve">VARILLA LISA HR  1 1/4 "  </t>
  </si>
  <si>
    <t>X 6 MTS</t>
  </si>
  <si>
    <t>QUINIENTOS DIECIOCHO MIL OCHOCIENTOS CUARENTA</t>
  </si>
  <si>
    <t>PESOS MDA / CTE</t>
  </si>
  <si>
    <t>ENTREGA INMEDIATA</t>
  </si>
  <si>
    <t>L I Q U I D A C I O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</si>
</sst>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80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4" fillId="0" borderId="13" xfId="0" applyFont="1" applyBorder="1"/>
    <xf numFmtId="0" fontId="5" fillId="0" borderId="16" xfId="0" applyFont="1" applyBorder="1"/>
    <xf numFmtId="0" fontId="12" fillId="0" borderId="0" xfId="0" applyFont="1" applyAlignment="1">
      <alignment horizontal="center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42" fontId="1" fillId="0" borderId="18" xfId="1" applyFont="1" applyBorder="1" applyAlignment="1">
      <alignment horizontal="left"/>
    </xf>
    <xf numFmtId="0" fontId="1" fillId="0" borderId="16" xfId="0" applyFont="1" applyBorder="1" applyAlignment="1">
      <alignment horizontal="left" vertical="top" wrapText="1"/>
    </xf>
    <xf numFmtId="42" fontId="1" fillId="0" borderId="10" xfId="1" applyFont="1" applyBorder="1" applyAlignment="1">
      <alignment horizontal="left"/>
    </xf>
    <xf numFmtId="0" fontId="7" fillId="0" borderId="6" xfId="0" applyFont="1" applyBorder="1"/>
    <xf numFmtId="0" fontId="0" fillId="0" borderId="19" xfId="0" applyBorder="1"/>
    <xf numFmtId="0" fontId="1" fillId="0" borderId="7" xfId="0" applyFont="1" applyBorder="1"/>
    <xf numFmtId="0" fontId="1" fillId="0" borderId="8" xfId="0" applyFont="1" applyBorder="1"/>
    <xf numFmtId="0" fontId="0" fillId="0" borderId="20" xfId="0" applyBorder="1"/>
    <xf numFmtId="0" fontId="0" fillId="0" borderId="23" xfId="0" applyBorder="1"/>
    <xf numFmtId="0" fontId="0" fillId="0" borderId="26" xfId="0" applyBorder="1"/>
    <xf numFmtId="0" fontId="0" fillId="0" borderId="29" xfId="0" applyBorder="1"/>
    <xf numFmtId="0" fontId="1" fillId="0" borderId="15" xfId="0" applyFont="1" applyBorder="1" applyAlignment="1">
      <alignment horizontal="center"/>
    </xf>
    <xf numFmtId="0" fontId="1" fillId="0" borderId="17" xfId="0" applyFont="1" applyBorder="1" applyAlignment="1">
      <alignment horizontal="left" vertical="top" wrapText="1"/>
    </xf>
    <xf numFmtId="0" fontId="0" fillId="0" borderId="31" xfId="0" applyBorder="1"/>
    <xf numFmtId="0" fontId="0" fillId="0" borderId="32" xfId="0" applyBorder="1"/>
    <xf numFmtId="0" fontId="0" fillId="0" borderId="30" xfId="0" applyBorder="1"/>
    <xf numFmtId="0" fontId="0" fillId="0" borderId="3" xfId="0" applyBorder="1"/>
    <xf numFmtId="42" fontId="1" fillId="0" borderId="10" xfId="0" applyNumberFormat="1" applyFont="1" applyBorder="1" applyAlignment="1">
      <alignment horizontal="left"/>
    </xf>
    <xf numFmtId="42" fontId="1" fillId="0" borderId="10" xfId="0" applyNumberFormat="1" applyFont="1" applyBorder="1"/>
    <xf numFmtId="0" fontId="4" fillId="0" borderId="21" xfId="0" applyFont="1" applyBorder="1"/>
    <xf numFmtId="0" fontId="4" fillId="0" borderId="22" xfId="0" applyFont="1" applyBorder="1"/>
    <xf numFmtId="0" fontId="4" fillId="0" borderId="9" xfId="0" applyFont="1" applyBorder="1"/>
    <xf numFmtId="9" fontId="1" fillId="0" borderId="24" xfId="3" applyFont="1" applyBorder="1"/>
    <xf numFmtId="0" fontId="4" fillId="0" borderId="25" xfId="0" applyFont="1" applyBorder="1"/>
    <xf numFmtId="0" fontId="4" fillId="0" borderId="27" xfId="0" applyFont="1" applyBorder="1"/>
    <xf numFmtId="0" fontId="4" fillId="0" borderId="28" xfId="0" applyFont="1" applyBorder="1"/>
    <xf numFmtId="10" fontId="1" fillId="0" borderId="10" xfId="0" applyNumberFormat="1" applyFont="1" applyBorder="1"/>
    <xf numFmtId="0" fontId="4" fillId="0" borderId="6" xfId="0" applyFont="1" applyBorder="1"/>
    <xf numFmtId="0" fontId="0" fillId="0" borderId="13" xfId="0" applyBorder="1"/>
    <xf numFmtId="0" fontId="0" fillId="0" borderId="21" xfId="0" applyBorder="1"/>
    <xf numFmtId="0" fontId="0" fillId="0" borderId="22" xfId="0" applyBorder="1"/>
    <xf numFmtId="0" fontId="0" fillId="0" borderId="33" xfId="0" applyBorder="1"/>
    <xf numFmtId="0" fontId="0" fillId="0" borderId="24" xfId="0" applyBorder="1"/>
    <xf numFmtId="0" fontId="13" fillId="0" borderId="25" xfId="2" applyBorder="1"/>
    <xf numFmtId="0" fontId="0" fillId="0" borderId="25" xfId="0" applyBorder="1"/>
    <xf numFmtId="0" fontId="0" fillId="0" borderId="27" xfId="0" applyBorder="1"/>
    <xf numFmtId="0" fontId="0" fillId="0" borderId="28" xfId="0" applyBorder="1"/>
    <xf numFmtId="0" fontId="1" fillId="0" borderId="14" xfId="0" applyFont="1" applyBorder="1" applyAlignment="1">
      <alignment horizontal="center"/>
    </xf>
    <xf numFmtId="0" fontId="8" fillId="0" borderId="34" xfId="0" applyFont="1" applyBorder="1"/>
    <xf numFmtId="0" fontId="8" fillId="0" borderId="13" xfId="0" applyFont="1" applyBorder="1"/>
    <xf numFmtId="0" fontId="8" fillId="0" borderId="35" xfId="0" applyFont="1" applyBorder="1"/>
    <xf numFmtId="42" fontId="11" fillId="0" borderId="14" xfId="1" applyFont="1" applyBorder="1" applyAlignment="1">
      <alignment horizontal="center"/>
    </xf>
  </cellXfs>
  <cellStyles count="4">
    <cellStyle name="Hipervínculo" xfId="2" builtinId="8"/>
    <cellStyle name="Moneda [0]" xfId="1" builtinId="7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1133476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9525"/>
          <a:ext cx="2171701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fibraselmono07@hot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39"/>
  <sheetViews>
    <sheetView tabSelected="1" topLeftCell="A10" zoomScaleNormal="100" workbookViewId="0">
      <selection activeCell="D27" sqref="D27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35" t="s">
        <v>37</v>
      </c>
    </row>
    <row r="3" spans="1:8" ht="27" thickBot="1" x14ac:dyDescent="0.45">
      <c r="A3" s="11" t="s">
        <v>38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6" t="s">
        <v>7</v>
      </c>
      <c r="B4" s="6"/>
      <c r="C4" s="6"/>
      <c r="D4" s="27" t="s">
        <v>32</v>
      </c>
      <c r="E4" s="18"/>
      <c r="F4" s="19"/>
      <c r="G4" s="6"/>
      <c r="H4" s="7"/>
    </row>
    <row r="5" spans="1:8" ht="19.5" thickBot="1" x14ac:dyDescent="0.35">
      <c r="A5" s="37" t="s">
        <v>35</v>
      </c>
      <c r="B5" s="6"/>
      <c r="C5" s="6"/>
      <c r="D5" s="6"/>
      <c r="E5" s="6"/>
    </row>
    <row r="6" spans="1:8" ht="24.75" customHeight="1" thickBot="1" x14ac:dyDescent="0.45">
      <c r="F6" s="41" t="s">
        <v>39</v>
      </c>
      <c r="G6" s="43"/>
      <c r="H6" s="44"/>
    </row>
    <row r="7" spans="1:8" ht="19.5" thickBot="1" x14ac:dyDescent="0.35">
      <c r="A7" s="20" t="s">
        <v>14</v>
      </c>
      <c r="B7" s="12"/>
      <c r="C7" s="65" t="s">
        <v>40</v>
      </c>
      <c r="D7" s="12"/>
      <c r="E7" s="13"/>
      <c r="F7" s="37"/>
      <c r="G7" s="18"/>
      <c r="H7" s="19" t="s">
        <v>47</v>
      </c>
    </row>
    <row r="8" spans="1:8" ht="18.75" x14ac:dyDescent="0.3">
      <c r="A8" s="21" t="s">
        <v>8</v>
      </c>
      <c r="C8" s="67" t="s">
        <v>41</v>
      </c>
      <c r="D8" s="68"/>
      <c r="E8" s="46"/>
      <c r="H8" s="15"/>
    </row>
    <row r="9" spans="1:8" ht="18.75" customHeight="1" x14ac:dyDescent="0.3">
      <c r="A9" s="21" t="s">
        <v>9</v>
      </c>
      <c r="C9" s="69" t="s">
        <v>42</v>
      </c>
      <c r="D9" s="23"/>
      <c r="E9" s="70" t="s">
        <v>43</v>
      </c>
      <c r="F9" s="30" t="s">
        <v>0</v>
      </c>
      <c r="H9" s="28">
        <v>45666</v>
      </c>
    </row>
    <row r="10" spans="1:8" ht="18.75" x14ac:dyDescent="0.3">
      <c r="A10" s="21" t="s">
        <v>13</v>
      </c>
      <c r="C10" s="71" t="s">
        <v>44</v>
      </c>
      <c r="D10" s="66"/>
      <c r="E10" s="47"/>
      <c r="F10" s="30" t="s">
        <v>15</v>
      </c>
      <c r="H10" s="29" t="s">
        <v>31</v>
      </c>
    </row>
    <row r="11" spans="1:8" ht="18.75" x14ac:dyDescent="0.3">
      <c r="A11" s="21" t="s">
        <v>10</v>
      </c>
      <c r="C11" s="72"/>
      <c r="D11" s="66"/>
      <c r="E11" s="47"/>
      <c r="F11" s="30" t="s">
        <v>16</v>
      </c>
      <c r="G11" s="30"/>
      <c r="H11" s="28">
        <v>45658</v>
      </c>
    </row>
    <row r="12" spans="1:8" ht="18.75" x14ac:dyDescent="0.3">
      <c r="A12" s="21" t="s">
        <v>11</v>
      </c>
      <c r="C12" s="72" t="s">
        <v>45</v>
      </c>
      <c r="D12" s="66"/>
      <c r="E12" s="47"/>
      <c r="F12" s="30" t="s">
        <v>17</v>
      </c>
      <c r="H12" s="31"/>
    </row>
    <row r="13" spans="1:8" ht="18.75" customHeight="1" thickBot="1" x14ac:dyDescent="0.35">
      <c r="A13" s="22" t="s">
        <v>12</v>
      </c>
      <c r="B13" s="4"/>
      <c r="C13" s="73" t="s">
        <v>46</v>
      </c>
      <c r="D13" s="74"/>
      <c r="E13" s="48"/>
      <c r="F13" s="4"/>
      <c r="G13" s="4"/>
      <c r="H13" s="17"/>
    </row>
    <row r="14" spans="1:8" ht="15.75" thickBot="1" x14ac:dyDescent="0.3"/>
    <row r="15" spans="1:8" ht="15.75" thickBot="1" x14ac:dyDescent="0.3">
      <c r="A15" s="49" t="s">
        <v>36</v>
      </c>
      <c r="B15" s="24" t="s">
        <v>22</v>
      </c>
      <c r="C15" s="43"/>
      <c r="D15" s="13"/>
      <c r="E15" s="49" t="s">
        <v>18</v>
      </c>
      <c r="F15" s="49" t="s">
        <v>20</v>
      </c>
      <c r="G15" s="49" t="s">
        <v>19</v>
      </c>
      <c r="H15" s="32" t="s">
        <v>21</v>
      </c>
    </row>
    <row r="16" spans="1:8" ht="16.5" thickBot="1" x14ac:dyDescent="0.3">
      <c r="A16" s="75">
        <v>1</v>
      </c>
      <c r="B16" s="76" t="s">
        <v>48</v>
      </c>
      <c r="C16" s="77"/>
      <c r="D16" s="78"/>
      <c r="E16" s="75" t="s">
        <v>49</v>
      </c>
      <c r="F16" s="79">
        <v>218000</v>
      </c>
      <c r="G16" s="75">
        <v>2</v>
      </c>
      <c r="H16" s="38">
        <f t="shared" ref="H16" si="0">G16*F16</f>
        <v>436000</v>
      </c>
    </row>
    <row r="17" spans="1:8" ht="19.5" customHeight="1" thickBot="1" x14ac:dyDescent="0.3">
      <c r="A17" s="51"/>
      <c r="B17" s="45"/>
      <c r="C17" s="42"/>
      <c r="D17" s="52"/>
      <c r="E17" s="53"/>
      <c r="F17" s="53"/>
      <c r="G17" s="53"/>
    </row>
    <row r="18" spans="1:8" ht="19.5" customHeight="1" thickBot="1" x14ac:dyDescent="0.35">
      <c r="A18" s="50" t="s">
        <v>23</v>
      </c>
      <c r="B18" s="14" t="s">
        <v>50</v>
      </c>
      <c r="D18" s="15"/>
      <c r="E18" s="54"/>
      <c r="F18" s="37" t="s">
        <v>53</v>
      </c>
      <c r="G18" s="6"/>
      <c r="H18" s="7"/>
    </row>
    <row r="19" spans="1:8" ht="19.5" customHeight="1" thickBot="1" x14ac:dyDescent="0.3">
      <c r="A19" s="39"/>
      <c r="B19" s="16" t="s">
        <v>51</v>
      </c>
      <c r="C19" s="4"/>
      <c r="D19" s="4"/>
      <c r="E19" s="57" t="s">
        <v>24</v>
      </c>
      <c r="F19" s="58"/>
      <c r="G19" s="46"/>
      <c r="H19" s="55">
        <f>SUM(H16:H18)</f>
        <v>436000</v>
      </c>
    </row>
    <row r="20" spans="1:8" ht="19.5" customHeight="1" x14ac:dyDescent="0.25">
      <c r="A20" s="24" t="s">
        <v>25</v>
      </c>
      <c r="B20" s="12"/>
      <c r="C20" s="12"/>
      <c r="D20" s="12"/>
      <c r="E20" s="59" t="s">
        <v>29</v>
      </c>
      <c r="F20" s="23"/>
      <c r="G20" s="60">
        <v>0.19</v>
      </c>
      <c r="H20" s="40">
        <f>H19*G20</f>
        <v>82840</v>
      </c>
    </row>
    <row r="21" spans="1:8" ht="19.5" customHeight="1" x14ac:dyDescent="0.25">
      <c r="A21" s="14" t="s">
        <v>30</v>
      </c>
      <c r="E21" s="61" t="s">
        <v>26</v>
      </c>
      <c r="G21" s="64">
        <v>2.5000000000000001E-2</v>
      </c>
      <c r="H21" s="56"/>
    </row>
    <row r="22" spans="1:8" ht="15.75" x14ac:dyDescent="0.25">
      <c r="A22" s="14" t="s">
        <v>52</v>
      </c>
      <c r="E22" s="14"/>
      <c r="F22" s="33"/>
      <c r="G22" s="47"/>
      <c r="H22" s="15"/>
    </row>
    <row r="23" spans="1:8" ht="16.5" thickBot="1" x14ac:dyDescent="0.3">
      <c r="A23" s="14" t="s">
        <v>33</v>
      </c>
      <c r="E23" s="62" t="s">
        <v>27</v>
      </c>
      <c r="F23" s="63"/>
      <c r="G23" s="48"/>
      <c r="H23" s="17"/>
    </row>
    <row r="24" spans="1:8" ht="19.5" thickBot="1" x14ac:dyDescent="0.35">
      <c r="A24" s="16"/>
      <c r="B24" s="4"/>
      <c r="C24" s="4"/>
      <c r="D24" s="17"/>
      <c r="F24" s="3"/>
      <c r="G24" s="34" t="s">
        <v>28</v>
      </c>
      <c r="H24" s="36">
        <f>H19+H20</f>
        <v>518840</v>
      </c>
    </row>
    <row r="25" spans="1:8" ht="16.5" customHeight="1" x14ac:dyDescent="0.25"/>
    <row r="30" spans="1:8" ht="15.75" thickBot="1" x14ac:dyDescent="0.3"/>
    <row r="31" spans="1:8" ht="19.5" thickBot="1" x14ac:dyDescent="0.35">
      <c r="A31" s="25" t="s">
        <v>34</v>
      </c>
      <c r="B31" s="6"/>
      <c r="C31" s="6"/>
      <c r="D31" s="6"/>
      <c r="E31" s="6"/>
      <c r="F31" s="6"/>
      <c r="G31" s="6"/>
      <c r="H31" s="7"/>
    </row>
    <row r="39" spans="1:1" ht="18.75" x14ac:dyDescent="0.3">
      <c r="A39" s="5"/>
    </row>
  </sheetData>
  <hyperlinks>
    <hyperlink ref="C10" r:id="rId1" xr:uid="{FF619751-70BF-49DE-98A3-87351DEE997F}"/>
  </hyperlinks>
  <printOptions horizontalCentered="1"/>
  <pageMargins left="0.47244094488188981" right="0.31496062992125984" top="0.31496062992125984" bottom="0.39370078740157483" header="0.31496062992125984" footer="0.31496062992125984"/>
  <pageSetup scale="79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ASTILLEROS EL MONO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2023-03-16T17:43:01Z</cp:lastPrinted>
  <dcterms:created xsi:type="dcterms:W3CDTF">2018-11-15T17:29:02Z</dcterms:created>
  <dcterms:modified xsi:type="dcterms:W3CDTF">2025-01-09T20:39:38Z</dcterms:modified>
</cp:coreProperties>
</file>