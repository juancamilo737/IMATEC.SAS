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9E928D2-012E-4D76-8E3C-22609CD4F76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 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<sst xmlns="http://schemas.openxmlformats.org/spreadsheetml/2006/main" count="55" uniqueCount="54">
  <si>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</si>
  <si>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</si>
  <si>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</si>
  <si>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</si>
  <si>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</si>
  <si>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</si>
  <si>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</si>
  <si>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</si>
  <si>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</si>
  <si>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</si>
  <si>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</si>
  <si>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</si>
  <si>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</si>
  <si>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</si>
  <si>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</si>
  <si>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</si>
  <si>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</si>
  <si>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</si>
  <si>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</si>
  <si>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</si>
  <si>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</si>
  <si>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</si>
  <si>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</si>
  <si>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</si>
  <si>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</si>
  <si>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</si>
  <si>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</si>
  <si>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</si>
  <si>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</si>
  <si>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</si>
  <si>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</si>
  <si>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</si>
  <si>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</si>
  <si>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</si>
  <si>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</si>
  <si>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</si>
  <si>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</si>
  <si>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</si>
  <si>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</si>
  <si>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</si>
  <si>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FERRETERIA SUPROVEEDOR S.A.S.</t>
  </si>
  <si>
    <t>900 262123</t>
  </si>
  <si>
    <t>CRA 1 Nte  No. 50-224</t>
  </si>
  <si>
    <t>CALI</t>
  </si>
  <si>
    <t>ferresuproveedor@gmail.com</t>
  </si>
  <si>
    <t>602 5247788</t>
  </si>
  <si>
    <t>LUIS BENAVIDES</t>
  </si>
  <si>
    <t>VALVULA MARIPOSA AC/INOX 304 CLAMP 1 1/2 "</t>
  </si>
  <si>
    <t>ACCESORIO</t>
  </si>
  <si>
    <t>VALVULA DE BOLA AC/INOX 304 CLAMP 2 "</t>
  </si>
  <si>
    <t>TRESCIENTOS CINCUENTA Y CUATRO MIL SEISCIENTOS</t>
  </si>
  <si>
    <t>VEINTE PESOS MDA / CTE</t>
  </si>
  <si>
    <t>FORMA DE PAGO : CREDITO A 30 DIAS</t>
  </si>
  <si>
    <t>ENTREGA EN 3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</si>
</sst>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9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E29" sqref="E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76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78" t="s">
        <v>41</v>
      </c>
      <c r="D8" s="79"/>
      <c r="E8" s="46"/>
      <c r="H8" s="15"/>
    </row>
    <row r="9" spans="1:8" ht="18.75" customHeight="1" x14ac:dyDescent="0.3">
      <c r="A9" s="21" t="s">
        <v>9</v>
      </c>
      <c r="C9" s="80" t="s">
        <v>42</v>
      </c>
      <c r="D9" s="23"/>
      <c r="E9" s="81" t="s">
        <v>43</v>
      </c>
      <c r="F9" s="30" t="s">
        <v>0</v>
      </c>
      <c r="H9" s="28">
        <v>45555</v>
      </c>
    </row>
    <row r="10" spans="1:8" ht="18.75" x14ac:dyDescent="0.3">
      <c r="A10" s="21" t="s">
        <v>13</v>
      </c>
      <c r="C10" s="82" t="s">
        <v>44</v>
      </c>
      <c r="D10" s="77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83"/>
      <c r="D11" s="77"/>
      <c r="E11" s="47"/>
      <c r="F11" s="30" t="s">
        <v>16</v>
      </c>
      <c r="G11" s="30"/>
      <c r="H11" s="28">
        <v>45565</v>
      </c>
    </row>
    <row r="12" spans="1:8" ht="18.75" x14ac:dyDescent="0.3">
      <c r="A12" s="21" t="s">
        <v>11</v>
      </c>
      <c r="C12" s="83" t="s">
        <v>45</v>
      </c>
      <c r="D12" s="77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84" t="s">
        <v>46</v>
      </c>
      <c r="D13" s="85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6" t="s">
        <v>47</v>
      </c>
      <c r="C16" s="57"/>
      <c r="D16" s="58"/>
      <c r="E16" s="53" t="s">
        <v>48</v>
      </c>
      <c r="F16" s="62">
        <v>128000</v>
      </c>
      <c r="G16" s="53">
        <v>1</v>
      </c>
      <c r="H16" s="38">
        <f t="shared" ref="H16" si="0">G16*F16</f>
        <v>128000</v>
      </c>
    </row>
    <row r="17" spans="1:8" ht="16.5" thickBot="1" x14ac:dyDescent="0.3">
      <c r="A17" s="54">
        <v>2</v>
      </c>
      <c r="B17" s="59" t="s">
        <v>49</v>
      </c>
      <c r="C17" s="49"/>
      <c r="D17" s="60"/>
      <c r="E17" s="54" t="s">
        <v>48</v>
      </c>
      <c r="F17" s="63">
        <v>170000</v>
      </c>
      <c r="G17" s="54">
        <v>1</v>
      </c>
      <c r="H17" s="38">
        <f t="shared" ref="H17" si="1">G17*F17</f>
        <v>170000</v>
      </c>
    </row>
    <row r="18" spans="1:8" ht="15.75" x14ac:dyDescent="0.25">
      <c r="A18" s="54"/>
      <c r="B18" s="59"/>
      <c r="C18" s="49"/>
      <c r="D18" s="60"/>
      <c r="E18" s="54"/>
      <c r="F18" s="63"/>
      <c r="G18" s="54"/>
      <c r="H18" s="50"/>
    </row>
    <row r="19" spans="1:8" ht="19.5" customHeight="1" thickBot="1" x14ac:dyDescent="0.3">
      <c r="A19" s="55"/>
      <c r="B19" s="45"/>
      <c r="C19" s="42"/>
      <c r="D19" s="61"/>
      <c r="E19" s="64"/>
      <c r="F19" s="64"/>
      <c r="G19" s="64"/>
    </row>
    <row r="20" spans="1:8" ht="19.5" customHeight="1" thickBot="1" x14ac:dyDescent="0.35">
      <c r="A20" s="52" t="s">
        <v>23</v>
      </c>
      <c r="B20" s="14" t="s">
        <v>50</v>
      </c>
      <c r="D20" s="15"/>
      <c r="E20" s="65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51</v>
      </c>
      <c r="C21" s="4"/>
      <c r="D21" s="4"/>
      <c r="E21" s="68" t="s">
        <v>24</v>
      </c>
      <c r="F21" s="69"/>
      <c r="G21" s="46"/>
      <c r="H21" s="66">
        <f>SUM(H16:H20)</f>
        <v>298000</v>
      </c>
    </row>
    <row r="22" spans="1:8" ht="19.5" customHeight="1" x14ac:dyDescent="0.25">
      <c r="A22" s="24" t="s">
        <v>25</v>
      </c>
      <c r="B22" s="12"/>
      <c r="C22" s="12"/>
      <c r="D22" s="12"/>
      <c r="E22" s="70" t="s">
        <v>30</v>
      </c>
      <c r="F22" s="23"/>
      <c r="G22" s="71">
        <v>0.19</v>
      </c>
      <c r="H22" s="40">
        <f>H21*G22</f>
        <v>56620</v>
      </c>
    </row>
    <row r="23" spans="1:8" ht="19.5" customHeight="1" x14ac:dyDescent="0.25">
      <c r="A23" s="14" t="s">
        <v>52</v>
      </c>
      <c r="E23" s="72" t="s">
        <v>26</v>
      </c>
      <c r="G23" s="75">
        <v>2.5000000000000001E-2</v>
      </c>
      <c r="H23" s="67"/>
    </row>
    <row r="24" spans="1:8" ht="15.75" x14ac:dyDescent="0.25">
      <c r="A24" s="14" t="s">
        <v>53</v>
      </c>
      <c r="E24" s="14"/>
      <c r="F24" s="33"/>
      <c r="G24" s="47"/>
      <c r="H24" s="15"/>
    </row>
    <row r="25" spans="1:8" ht="16.5" thickBot="1" x14ac:dyDescent="0.3">
      <c r="A25" s="14" t="s">
        <v>33</v>
      </c>
      <c r="E25" s="73" t="s">
        <v>27</v>
      </c>
      <c r="F25" s="74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354620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34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7D07B273-9D22-41A5-A840-6606ECBAA1E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 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2024-09-20T22:10:09Z</dcterms:modified>
</cp:coreProperties>
</file>