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8AD28F1-D9FC-4464-A77D-452B7FA3AB1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14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19" i="2" s="1"/>
  <c r="H20" i="2" l="1"/>
  <c r="H24" i="2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<sst xmlns="http://schemas.openxmlformats.org/spreadsheetml/2006/main" count="55" uniqueCount="55">
  <si>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</si>
  <si>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</si>
  <si>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</si>
  <si>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</si>
  <si>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</si>
  <si>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</si>
  <si>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</si>
  <si>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</si>
  <si>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</si>
  <si>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</si>
  <si>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</si>
  <si>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</si>
  <si>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</si>
  <si>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</si>
  <si>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</si>
  <si>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</si>
  <si>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</si>
  <si>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</si>
  <si>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</si>
  <si>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</si>
  <si>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</si>
  <si>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</si>
  <si>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</si>
  <si>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</si>
  <si>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</si>
  <si>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</si>
  <si>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</si>
  <si>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</si>
  <si>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</si>
  <si>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</si>
  <si>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</si>
  <si>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</si>
  <si>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</si>
  <si>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</si>
  <si>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</si>
  <si>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</si>
  <si>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</si>
  <si>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</si>
  <si>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</si>
  <si>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</si>
  <si>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</si>
  <si>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</si>
  <si>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</si>
  <si>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</si>
  <si>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</si>
  <si>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</si>
  <si>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</si>
  <si>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 xml:space="preserve">              R E M I S I O N</t>
  </si>
  <si>
    <t>No.  14</t>
  </si>
  <si>
    <t>MANGUERA  S96  X  70 CMTS  CON ACOPLE MACHO</t>
  </si>
  <si>
    <t>X ACOPLE HEMBRA GIRATOTIO</t>
  </si>
  <si>
    <t>FABRICACION</t>
  </si>
  <si>
    <t>UN MILLON TRESCIENTOS OCHENTA MIL CUATROCIEN-</t>
  </si>
  <si>
    <t>TOS PESOS MDA / CTE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</si>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</sst>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42" fontId="11" fillId="0" borderId="26" xfId="1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8" fillId="0" borderId="0" xfId="0" applyFont="1" applyBorder="1"/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39"/>
  <sheetViews>
    <sheetView tabSelected="1" topLeftCell="A4" workbookViewId="0">
      <selection activeCell="F25" sqref="F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8" t="s">
        <v>48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64" t="s">
        <v>42</v>
      </c>
      <c r="F9" s="30" t="s">
        <v>0</v>
      </c>
      <c r="H9" s="28">
        <v>45566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45574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0">
        <v>1</v>
      </c>
      <c r="B16" s="51" t="s">
        <v>49</v>
      </c>
      <c r="C16" s="52"/>
      <c r="D16" s="53"/>
      <c r="E16" s="50" t="s">
        <v>51</v>
      </c>
      <c r="F16" s="54">
        <v>145000</v>
      </c>
      <c r="G16" s="50">
        <v>8</v>
      </c>
      <c r="H16" s="38">
        <f t="shared" ref="H16" si="0">G16*F16</f>
        <v>1160000</v>
      </c>
    </row>
    <row r="17" spans="1:8" ht="16.5" thickBot="1" x14ac:dyDescent="0.3">
      <c r="A17" s="69"/>
      <c r="B17" s="70" t="s">
        <v>50</v>
      </c>
      <c r="C17" s="70"/>
      <c r="D17" s="70"/>
      <c r="E17" s="69"/>
      <c r="F17" s="71"/>
      <c r="G17" s="69"/>
      <c r="H17" s="72"/>
    </row>
    <row r="18" spans="1:8" ht="19.5" customHeight="1" thickBot="1" x14ac:dyDescent="0.35">
      <c r="A18" s="67" t="s">
        <v>23</v>
      </c>
      <c r="B18" s="66" t="s">
        <v>52</v>
      </c>
      <c r="C18" s="12"/>
      <c r="D18" s="13"/>
      <c r="E18" s="6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7" t="s">
        <v>24</v>
      </c>
      <c r="F19" s="57"/>
      <c r="G19" s="45"/>
      <c r="H19" s="55">
        <f>SUM(H16:H16)</f>
        <v>1160000</v>
      </c>
    </row>
    <row r="20" spans="1:8" ht="19.5" customHeight="1" x14ac:dyDescent="0.25">
      <c r="A20" s="24" t="s">
        <v>25</v>
      </c>
      <c r="E20" s="58" t="s">
        <v>30</v>
      </c>
      <c r="F20" s="23"/>
      <c r="G20" s="59">
        <v>0.19</v>
      </c>
      <c r="H20" s="40">
        <f>H19*G20</f>
        <v>220400</v>
      </c>
    </row>
    <row r="21" spans="1:8" ht="19.5" customHeight="1" x14ac:dyDescent="0.25">
      <c r="A21" s="14" t="s">
        <v>54</v>
      </c>
      <c r="E21" s="60" t="s">
        <v>26</v>
      </c>
      <c r="G21" s="63">
        <v>2.5000000000000001E-2</v>
      </c>
      <c r="H21" s="56"/>
    </row>
    <row r="22" spans="1:8" ht="15.75" x14ac:dyDescent="0.25">
      <c r="A22" s="14" t="s">
        <v>46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61" t="s">
        <v>27</v>
      </c>
      <c r="F23" s="62"/>
      <c r="G23" s="47"/>
      <c r="H23" s="17"/>
    </row>
    <row r="24" spans="1:8" ht="19.5" thickBot="1" x14ac:dyDescent="0.35">
      <c r="A24" s="65"/>
      <c r="B24" s="4"/>
      <c r="C24" s="4"/>
      <c r="D24" s="17"/>
      <c r="F24" s="3"/>
      <c r="G24" s="34" t="s">
        <v>28</v>
      </c>
      <c r="H24" s="36">
        <f>H19+H20-H21</f>
        <v>1380400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2024-09-27T22:54:54Z</cp:lastPrinted>
  <dcterms:created xsi:type="dcterms:W3CDTF">2018-11-15T17:29:02Z</dcterms:created>
  <dcterms:modified xsi:type="dcterms:W3CDTF">2024-10-01T14:05:57Z</dcterms:modified>
</cp:coreProperties>
</file>