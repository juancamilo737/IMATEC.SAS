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5B390BE9-85C8-4295-9961-9E63E48DA2F4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WATERCOL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2" i="1"/>
  <c r="H20" i="1"/>
  <c r="H19" i="1"/>
  <c r="H18" i="1"/>
  <c r="H17" i="1"/>
  <c r="H16" i="1"/>
  <c r="H23" i="1" l="1"/>
  <c r="H27" i="1" s="1"/>
</calcChain>
</file>

<file path=xl/sharedStrings.xml><?xml version="1.0" encoding="utf-8"?>
<sst xmlns="http://schemas.openxmlformats.org/spreadsheetml/2006/main" count="62" uniqueCount="59">
  <si>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</si>
  <si>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</si>
  <si>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</si>
  <si>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</si>
  <si>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</si>
  <si>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</si>
  <si>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</si>
  <si>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</si>
  <si>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</si>
  <si>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</si>
  <si>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</si>
  <si>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</si>
  <si>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</si>
  <si>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</si>
  <si>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</si>
  <si>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</si>
  <si>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</si>
  <si>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</si>
  <si>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</si>
  <si>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</si>
  <si>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</si>
  <si>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</si>
  <si>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</si>
  <si>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</si>
  <si>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</si>
  <si>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</si>
  <si>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</si>
  <si>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</si>
  <si>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</si>
  <si>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</si>
  <si>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</si>
  <si>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</si>
  <si>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</si>
  <si>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</si>
  <si>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</si>
  <si>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</si>
  <si>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</si>
  <si>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</si>
  <si>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WATERCOL S A S</t>
  </si>
  <si>
    <t>901 193743</t>
  </si>
  <si>
    <t>CARRERA 36 No. 10-549 ACOPI</t>
  </si>
  <si>
    <t>YUMBO</t>
  </si>
  <si>
    <t>contabilidad@watercol.com.co</t>
  </si>
  <si>
    <t>311 614 8702</t>
  </si>
  <si>
    <t>LUIS A. BENAVIDES</t>
  </si>
  <si>
    <t>ACCESORIO</t>
  </si>
  <si>
    <t xml:space="preserve">  CALLE  33A  No. 17F - 56                           B/  LA FLORESTA             -   CALI    -                                   CEL.     321 7834969</t>
  </si>
  <si>
    <t>No. 18</t>
  </si>
  <si>
    <t xml:space="preserve">           C O T I Z A C I O N</t>
  </si>
  <si>
    <t>TUBERIA  A / C  SCH 40  5 "</t>
  </si>
  <si>
    <t>METRO LINEAL</t>
  </si>
  <si>
    <t>CODO  A / C  5 "  X  90 º</t>
  </si>
  <si>
    <t>BRIDA  A / C SLIPON 5 "  X  150 LBS</t>
  </si>
  <si>
    <t>REDUCCION COPA  A / C 5 "  X  2 1/2 "</t>
  </si>
  <si>
    <t>TEE  A / C SCH 40  5 "</t>
  </si>
  <si>
    <t>ENTREGA EN TRES DIAS A PARTIR DE ORDEN DE COMPRA</t>
  </si>
  <si>
    <t>TRES MILLONES NOVECIENTOS MIL CUATROCIENTOS</t>
  </si>
  <si>
    <t>VEINTE PESOS MDA / CTE</t>
  </si>
  <si>
    <t>L I Q U I D A C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</si>
</sst>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5" fillId="0" borderId="17" xfId="0" applyFont="1" applyBorder="1"/>
    <xf numFmtId="9" fontId="1" fillId="0" borderId="14" xfId="0" applyNumberFormat="1" applyFont="1" applyBorder="1"/>
    <xf numFmtId="42" fontId="1" fillId="0" borderId="18" xfId="0" applyNumberFormat="1" applyFont="1" applyBorder="1"/>
    <xf numFmtId="0" fontId="0" fillId="0" borderId="18" xfId="0" applyBorder="1"/>
    <xf numFmtId="0" fontId="0" fillId="0" borderId="17" xfId="0" applyBorder="1"/>
    <xf numFmtId="0" fontId="12" fillId="0" borderId="0" xfId="0" applyFont="1" applyAlignment="1">
      <alignment horizontal="center"/>
    </xf>
    <xf numFmtId="42" fontId="1" fillId="0" borderId="16" xfId="0" applyNumberFormat="1" applyFont="1" applyBorder="1" applyAlignment="1">
      <alignment horizontal="left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5" fillId="0" borderId="4" xfId="0" applyFont="1" applyBorder="1"/>
    <xf numFmtId="42" fontId="1" fillId="0" borderId="19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10" fontId="1" fillId="0" borderId="0" xfId="0" applyNumberFormat="1" applyFont="1"/>
    <xf numFmtId="0" fontId="1" fillId="0" borderId="4" xfId="0" applyFont="1" applyBorder="1" applyAlignment="1">
      <alignment horizontal="center"/>
    </xf>
    <xf numFmtId="0" fontId="8" fillId="0" borderId="20" xfId="0" applyFont="1" applyBorder="1"/>
    <xf numFmtId="0" fontId="8" fillId="0" borderId="4" xfId="0" applyFont="1" applyBorder="1"/>
    <xf numFmtId="0" fontId="8" fillId="0" borderId="19" xfId="0" applyFont="1" applyBorder="1"/>
    <xf numFmtId="0" fontId="1" fillId="0" borderId="20" xfId="0" applyFont="1" applyBorder="1" applyAlignment="1">
      <alignment horizontal="center"/>
    </xf>
    <xf numFmtId="42" fontId="11" fillId="0" borderId="4" xfId="1" applyFont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3" fillId="0" borderId="27" xfId="2" applyBorder="1"/>
    <xf numFmtId="0" fontId="0" fillId="0" borderId="28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watercol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tabSelected="1" zoomScaleNormal="100" workbookViewId="0">
      <selection activeCell="C8" sqref="C8:E1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5" t="s">
        <v>31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8" t="s">
        <v>7</v>
      </c>
      <c r="B4" s="6"/>
      <c r="C4" s="6"/>
      <c r="D4" s="29" t="s">
        <v>35</v>
      </c>
      <c r="E4" s="19"/>
      <c r="F4" s="20"/>
      <c r="G4" s="6"/>
      <c r="H4" s="7"/>
    </row>
    <row r="5" spans="1:8" ht="19.5" thickBot="1" x14ac:dyDescent="0.35">
      <c r="A5" s="50" t="s">
        <v>37</v>
      </c>
      <c r="B5" s="6"/>
      <c r="C5" s="6"/>
      <c r="D5" s="6"/>
      <c r="E5" s="6"/>
    </row>
    <row r="6" spans="1:8" ht="24.75" customHeight="1" thickBot="1" x14ac:dyDescent="0.45">
      <c r="F6" s="11" t="s">
        <v>48</v>
      </c>
      <c r="G6" s="19"/>
      <c r="H6" s="20"/>
    </row>
    <row r="7" spans="1:8" ht="19.5" thickBot="1" x14ac:dyDescent="0.35">
      <c r="A7" s="21" t="s">
        <v>14</v>
      </c>
      <c r="B7" s="13"/>
      <c r="C7" s="30" t="s">
        <v>38</v>
      </c>
      <c r="D7" s="13"/>
      <c r="E7" s="14"/>
      <c r="F7" s="27"/>
      <c r="G7" s="19"/>
      <c r="H7" s="20" t="s">
        <v>47</v>
      </c>
    </row>
    <row r="8" spans="1:8" ht="18.75" x14ac:dyDescent="0.3">
      <c r="A8" s="22" t="s">
        <v>8</v>
      </c>
      <c r="C8" s="63" t="s">
        <v>39</v>
      </c>
      <c r="D8" s="64"/>
      <c r="E8" s="65"/>
      <c r="F8" s="12"/>
      <c r="G8" s="13"/>
      <c r="H8" s="14"/>
    </row>
    <row r="9" spans="1:8" ht="18.75" customHeight="1" x14ac:dyDescent="0.3">
      <c r="A9" s="22" t="s">
        <v>9</v>
      </c>
      <c r="C9" s="66" t="s">
        <v>40</v>
      </c>
      <c r="D9" s="24"/>
      <c r="E9" s="67" t="s">
        <v>41</v>
      </c>
      <c r="F9" s="31" t="s">
        <v>0</v>
      </c>
      <c r="H9" s="32">
        <v>45705</v>
      </c>
    </row>
    <row r="10" spans="1:8" ht="18.75" x14ac:dyDescent="0.3">
      <c r="A10" s="22" t="s">
        <v>13</v>
      </c>
      <c r="C10" s="68" t="s">
        <v>42</v>
      </c>
      <c r="D10" s="25"/>
      <c r="E10" s="69"/>
      <c r="F10" s="31" t="s">
        <v>15</v>
      </c>
      <c r="H10" s="33" t="s">
        <v>34</v>
      </c>
    </row>
    <row r="11" spans="1:8" ht="18.75" x14ac:dyDescent="0.3">
      <c r="A11" s="22" t="s">
        <v>10</v>
      </c>
      <c r="C11" s="70"/>
      <c r="D11" s="25"/>
      <c r="E11" s="69"/>
      <c r="F11" s="31" t="s">
        <v>16</v>
      </c>
      <c r="G11" s="34"/>
      <c r="H11" s="32">
        <v>45714</v>
      </c>
    </row>
    <row r="12" spans="1:8" ht="18.75" x14ac:dyDescent="0.3">
      <c r="A12" s="22" t="s">
        <v>11</v>
      </c>
      <c r="C12" s="70" t="s">
        <v>43</v>
      </c>
      <c r="D12" s="25"/>
      <c r="E12" s="69"/>
      <c r="F12" s="31" t="s">
        <v>17</v>
      </c>
      <c r="H12" s="35"/>
    </row>
    <row r="13" spans="1:8" ht="18.75" customHeight="1" thickBot="1" x14ac:dyDescent="0.35">
      <c r="A13" s="23" t="s">
        <v>12</v>
      </c>
      <c r="B13" s="4"/>
      <c r="C13" s="71" t="s">
        <v>44</v>
      </c>
      <c r="D13" s="72"/>
      <c r="E13" s="73"/>
      <c r="F13" s="17"/>
      <c r="G13" s="4"/>
      <c r="H13" s="18"/>
    </row>
    <row r="14" spans="1:8" ht="15.75" thickBot="1" x14ac:dyDescent="0.3"/>
    <row r="15" spans="1:8" ht="15.75" thickBot="1" x14ac:dyDescent="0.3">
      <c r="A15" s="54" t="s">
        <v>19</v>
      </c>
      <c r="B15" s="49" t="s">
        <v>24</v>
      </c>
      <c r="C15" s="19"/>
      <c r="D15" s="7"/>
      <c r="E15" s="36" t="s">
        <v>20</v>
      </c>
      <c r="F15" s="36" t="s">
        <v>22</v>
      </c>
      <c r="G15" s="36" t="s">
        <v>21</v>
      </c>
      <c r="H15" s="36" t="s">
        <v>23</v>
      </c>
    </row>
    <row r="16" spans="1:8" ht="16.5" thickBot="1" x14ac:dyDescent="0.3">
      <c r="A16" s="56">
        <v>1</v>
      </c>
      <c r="B16" s="57" t="s">
        <v>49</v>
      </c>
      <c r="C16" s="58"/>
      <c r="D16" s="59"/>
      <c r="E16" s="60" t="s">
        <v>50</v>
      </c>
      <c r="F16" s="61">
        <v>142000</v>
      </c>
      <c r="G16" s="56">
        <v>12</v>
      </c>
      <c r="H16" s="51">
        <f t="shared" ref="H16:H18" si="0">G16*F16</f>
        <v>1704000</v>
      </c>
    </row>
    <row r="17" spans="1:8" ht="16.5" thickBot="1" x14ac:dyDescent="0.3">
      <c r="A17" s="56">
        <v>2</v>
      </c>
      <c r="B17" s="57" t="s">
        <v>51</v>
      </c>
      <c r="C17" s="58"/>
      <c r="D17" s="59"/>
      <c r="E17" s="60" t="s">
        <v>45</v>
      </c>
      <c r="F17" s="61">
        <v>65000</v>
      </c>
      <c r="G17" s="56">
        <v>6</v>
      </c>
      <c r="H17" s="51">
        <f t="shared" ref="H17:H20" si="1">G17*F17</f>
        <v>390000</v>
      </c>
    </row>
    <row r="18" spans="1:8" ht="16.5" thickBot="1" x14ac:dyDescent="0.3">
      <c r="A18" s="56">
        <v>3</v>
      </c>
      <c r="B18" s="57" t="s">
        <v>52</v>
      </c>
      <c r="C18" s="58"/>
      <c r="D18" s="59"/>
      <c r="E18" s="60" t="s">
        <v>45</v>
      </c>
      <c r="F18" s="61">
        <v>68000</v>
      </c>
      <c r="G18" s="56">
        <v>6</v>
      </c>
      <c r="H18" s="51">
        <f t="shared" si="1"/>
        <v>408000</v>
      </c>
    </row>
    <row r="19" spans="1:8" ht="16.5" thickBot="1" x14ac:dyDescent="0.3">
      <c r="A19" s="56">
        <v>4</v>
      </c>
      <c r="B19" s="57" t="s">
        <v>53</v>
      </c>
      <c r="C19" s="58"/>
      <c r="D19" s="59"/>
      <c r="E19" s="60" t="s">
        <v>45</v>
      </c>
      <c r="F19" s="61">
        <v>83000</v>
      </c>
      <c r="G19" s="56">
        <v>2</v>
      </c>
      <c r="H19" s="51">
        <f t="shared" si="1"/>
        <v>166000</v>
      </c>
    </row>
    <row r="20" spans="1:8" ht="16.5" thickBot="1" x14ac:dyDescent="0.3">
      <c r="A20" s="56">
        <v>5</v>
      </c>
      <c r="B20" s="57" t="s">
        <v>54</v>
      </c>
      <c r="C20" s="58"/>
      <c r="D20" s="59"/>
      <c r="E20" s="60" t="s">
        <v>45</v>
      </c>
      <c r="F20" s="61">
        <v>170000</v>
      </c>
      <c r="G20" s="56">
        <v>4</v>
      </c>
      <c r="H20" s="51">
        <f t="shared" si="1"/>
        <v>680000</v>
      </c>
    </row>
    <row r="21" spans="1:8" ht="19.5" customHeight="1" thickBot="1" x14ac:dyDescent="0.35">
      <c r="A21" s="52" t="s">
        <v>25</v>
      </c>
      <c r="B21" s="12" t="s">
        <v>56</v>
      </c>
      <c r="C21" s="13"/>
      <c r="D21" s="14"/>
      <c r="E21" s="13"/>
      <c r="F21" s="37" t="s">
        <v>58</v>
      </c>
      <c r="G21" s="13"/>
      <c r="H21" s="7"/>
    </row>
    <row r="22" spans="1:8" ht="19.5" customHeight="1" thickBot="1" x14ac:dyDescent="0.3">
      <c r="A22" s="53"/>
      <c r="B22" s="17" t="s">
        <v>57</v>
      </c>
      <c r="C22" s="4"/>
      <c r="D22" s="4"/>
      <c r="E22" s="38" t="s">
        <v>26</v>
      </c>
      <c r="F22" s="39"/>
      <c r="G22" s="25"/>
      <c r="H22" s="46">
        <f>SUM(H16:H20)</f>
        <v>3348000</v>
      </c>
    </row>
    <row r="23" spans="1:8" ht="19.5" customHeight="1" x14ac:dyDescent="0.25">
      <c r="A23" s="26" t="s">
        <v>27</v>
      </c>
      <c r="B23" s="13"/>
      <c r="C23" s="13"/>
      <c r="D23" s="14"/>
      <c r="E23" s="3" t="s">
        <v>32</v>
      </c>
      <c r="F23" s="62"/>
      <c r="G23" s="41">
        <v>0.19</v>
      </c>
      <c r="H23" s="47">
        <f>H22*G23</f>
        <v>636120</v>
      </c>
    </row>
    <row r="24" spans="1:8" ht="19.5" customHeight="1" x14ac:dyDescent="0.25">
      <c r="A24" s="15" t="s">
        <v>33</v>
      </c>
      <c r="D24" s="16"/>
      <c r="E24" s="39" t="s">
        <v>28</v>
      </c>
      <c r="G24" s="55">
        <v>2.5000000000000001E-2</v>
      </c>
      <c r="H24" s="42">
        <f>H22*G24</f>
        <v>83700</v>
      </c>
    </row>
    <row r="25" spans="1:8" ht="15.75" x14ac:dyDescent="0.25">
      <c r="A25" s="15" t="s">
        <v>55</v>
      </c>
      <c r="D25" s="16"/>
      <c r="F25" s="39"/>
      <c r="G25" s="25"/>
      <c r="H25" s="43"/>
    </row>
    <row r="26" spans="1:8" ht="16.5" thickBot="1" x14ac:dyDescent="0.3">
      <c r="A26" s="15" t="s">
        <v>36</v>
      </c>
      <c r="D26" s="16"/>
      <c r="E26" s="39" t="s">
        <v>29</v>
      </c>
      <c r="F26" s="39"/>
      <c r="G26" s="25"/>
      <c r="H26" s="44"/>
    </row>
    <row r="27" spans="1:8" ht="19.5" thickBot="1" x14ac:dyDescent="0.35">
      <c r="A27" s="17"/>
      <c r="B27" s="4"/>
      <c r="C27" s="4"/>
      <c r="D27" s="18"/>
      <c r="F27" s="3"/>
      <c r="G27" s="40" t="s">
        <v>30</v>
      </c>
      <c r="H27" s="48">
        <f>H22+H23-H24</f>
        <v>3900420</v>
      </c>
    </row>
    <row r="28" spans="1:8" ht="16.5" customHeight="1" x14ac:dyDescent="0.25"/>
    <row r="33" spans="1:8" ht="15.75" thickBot="1" x14ac:dyDescent="0.3"/>
    <row r="34" spans="1:8" ht="19.5" thickBot="1" x14ac:dyDescent="0.35">
      <c r="A34" s="27" t="s">
        <v>46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WATERCOL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2025-02-17T22:00:46Z</dcterms:modified>
</cp:coreProperties>
</file>