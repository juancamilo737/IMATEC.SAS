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E8B24DB-C5DA-4852-A033-AD4F46F41A8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 l="1"/>
  <c r="H17" i="1"/>
  <c r="H16" i="1" l="1"/>
  <c r="H23" i="1" l="1"/>
  <c r="H27" i="1" s="1"/>
</calcChain>
</file>

<file path=xl/sharedStrings.xml><?xml version="1.0" encoding="utf-8"?>
<sst xmlns="http://schemas.openxmlformats.org/spreadsheetml/2006/main" count="58" uniqueCount="55">
  <si>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</si>
  <si>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</si>
  <si>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</si>
  <si>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</si>
  <si>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</si>
  <si>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</si>
  <si>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</si>
  <si>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</si>
  <si>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</si>
  <si>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</si>
  <si>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</si>
  <si>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</si>
  <si>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</si>
  <si>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</si>
  <si>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</si>
  <si>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</si>
  <si>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</si>
  <si>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</si>
  <si>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</si>
  <si>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</si>
  <si>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</si>
  <si>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</si>
  <si>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</si>
  <si>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</si>
  <si>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</si>
  <si>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</si>
  <si>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</si>
  <si>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</si>
  <si>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</si>
  <si>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</si>
  <si>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</si>
  <si>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</si>
  <si>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</si>
  <si>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</si>
  <si>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</si>
  <si>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</si>
  <si>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</si>
  <si>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</si>
  <si>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</si>
  <si>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</si>
  <si>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INSE INGENIERIA Y SEGURIDAD S.A.S.</t>
  </si>
  <si>
    <t>900 748838</t>
  </si>
  <si>
    <t>CALLE  31 A  No. 15-36</t>
  </si>
  <si>
    <t>conta.inse@gmail.com</t>
  </si>
  <si>
    <t>602 3480998</t>
  </si>
  <si>
    <t>EDINSON CABEZAS</t>
  </si>
  <si>
    <t>ENTREGA INMEDIATA</t>
  </si>
  <si>
    <t>No. 5</t>
  </si>
  <si>
    <t xml:space="preserve">              R E M I S I O N</t>
  </si>
  <si>
    <t>EMPAQUE ESPIROMETALICO 2 "  X  150  LBS</t>
  </si>
  <si>
    <t>UNION A / C  1/4 "  X  300 LBS</t>
  </si>
  <si>
    <t>BRIDA  A / C  SLIP ON  2 "  X  300  LBS</t>
  </si>
  <si>
    <t>REDUCCION COPA A / C  SCH 40  4 " A 2 "</t>
  </si>
  <si>
    <t>TRESCIENTOS CINCO MIL DOSCIENTOS TREINTA Y CINCO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</si>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</sst>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.in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L28" sqref="L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/>
      <c r="F9" s="30" t="s">
        <v>0</v>
      </c>
      <c r="H9" s="28">
        <v>45884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37</v>
      </c>
      <c r="F16" s="79">
        <v>48000</v>
      </c>
      <c r="G16" s="75">
        <v>4</v>
      </c>
      <c r="H16" s="38">
        <f t="shared" ref="H16" si="0">G16*F16</f>
        <v>192000</v>
      </c>
    </row>
    <row r="17" spans="1:8" ht="16.5" thickBot="1" x14ac:dyDescent="0.3">
      <c r="A17" s="75">
        <v>2</v>
      </c>
      <c r="B17" s="76" t="s">
        <v>49</v>
      </c>
      <c r="C17" s="77"/>
      <c r="D17" s="78"/>
      <c r="E17" s="75" t="s">
        <v>37</v>
      </c>
      <c r="F17" s="79">
        <v>6300</v>
      </c>
      <c r="G17" s="75">
        <v>2</v>
      </c>
      <c r="H17" s="38">
        <f t="shared" ref="H17:H19" si="1">G17*F17</f>
        <v>12600</v>
      </c>
    </row>
    <row r="18" spans="1:8" ht="16.5" thickBot="1" x14ac:dyDescent="0.3">
      <c r="A18" s="75">
        <v>3</v>
      </c>
      <c r="B18" s="76" t="s">
        <v>50</v>
      </c>
      <c r="C18" s="77"/>
      <c r="D18" s="78"/>
      <c r="E18" s="75" t="s">
        <v>37</v>
      </c>
      <c r="F18" s="79">
        <v>1800</v>
      </c>
      <c r="G18" s="75">
        <v>2</v>
      </c>
      <c r="H18" s="38">
        <f t="shared" si="1"/>
        <v>3600</v>
      </c>
    </row>
    <row r="19" spans="1:8" ht="16.5" thickBot="1" x14ac:dyDescent="0.3">
      <c r="A19" s="75">
        <v>1</v>
      </c>
      <c r="B19" s="76" t="s">
        <v>52</v>
      </c>
      <c r="C19" s="77"/>
      <c r="D19" s="78"/>
      <c r="E19" s="75" t="s">
        <v>37</v>
      </c>
      <c r="F19" s="79">
        <v>24150</v>
      </c>
      <c r="G19" s="75">
        <v>2</v>
      </c>
      <c r="H19" s="38">
        <f t="shared" si="1"/>
        <v>48300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53</v>
      </c>
      <c r="D21" s="15"/>
      <c r="E21" s="54"/>
      <c r="F21" s="37" t="s">
        <v>38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4"/>
      <c r="E22" s="57" t="s">
        <v>24</v>
      </c>
      <c r="F22" s="58"/>
      <c r="G22" s="46"/>
      <c r="H22" s="55">
        <f>SUM(H16:H19)</f>
        <v>256500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48735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/>
    </row>
    <row r="25" spans="1:8" ht="15.75" x14ac:dyDescent="0.25">
      <c r="A25" s="14" t="s">
        <v>46</v>
      </c>
      <c r="E25" s="14"/>
      <c r="F25" s="33"/>
      <c r="G25" s="47"/>
      <c r="H25" s="15"/>
    </row>
    <row r="26" spans="1:8" ht="16.5" thickBot="1" x14ac:dyDescent="0.3">
      <c r="A26" s="14" t="s">
        <v>32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305235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F7B1ACE9-2238-4894-99AF-B1200B647D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2025-08-15T16:18:28Z</cp:lastPrinted>
  <dcterms:created xsi:type="dcterms:W3CDTF">2018-11-15T17:29:02Z</dcterms:created>
  <dcterms:modified xsi:type="dcterms:W3CDTF">2025-08-15T16:23:13Z</dcterms:modified>
</cp:coreProperties>
</file>