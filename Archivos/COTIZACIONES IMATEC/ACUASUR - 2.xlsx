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D085AC5-D870-441D-9A0A-24AF7B0CF1A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l="1"/>
  <c r="H21" i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<sst xmlns="http://schemas.openxmlformats.org/spreadsheetml/2006/main" count="56" uniqueCount="55">
  <si>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</si>
  <si>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</si>
  <si>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</si>
  <si>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</si>
  <si>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</si>
  <si>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</si>
  <si>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</si>
  <si>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</si>
  <si>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</si>
  <si>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</si>
  <si>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</si>
  <si>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</si>
  <si>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</si>
  <si>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</si>
  <si>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</si>
  <si>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</si>
  <si>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</si>
  <si>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</si>
  <si>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</si>
  <si>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</si>
  <si>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</si>
  <si>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</si>
  <si>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</si>
  <si>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</si>
  <si>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</si>
  <si>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</si>
  <si>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</si>
  <si>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</si>
  <si>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</si>
  <si>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</si>
  <si>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</si>
  <si>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</si>
  <si>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</si>
  <si>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</si>
  <si>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</si>
  <si>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</si>
  <si>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</si>
  <si>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</si>
  <si>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</si>
  <si>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</si>
  <si>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</si>
  <si>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</si>
  <si>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ACCESORIO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</si>
  <si>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</si>
  <si>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</si>
  <si>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</si>
  <si>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</si>
  <si>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>MDA / CTE</t>
  </si>
  <si>
    <t xml:space="preserve">              R E M I S I O N</t>
  </si>
  <si>
    <t>ORDEN DE COMPRA No.</t>
  </si>
  <si>
    <t>CHEQUE CORTINA A / C  4 "  X  150 LBS FLANCHADO</t>
  </si>
  <si>
    <t>REDUCCION BUJE PVC PRESION 3 "  X  2 1/2 "</t>
  </si>
  <si>
    <t>UN MILLON CIENTO TREINTA MIL QUINIENTOS PESOS</t>
  </si>
  <si>
    <t>No. 9</t>
  </si>
  <si>
    <t>0025-25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</si>
</sst>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  <xf numFmtId="0" fontId="10" fillId="0" borderId="1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K28" sqref="K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53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45742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49</v>
      </c>
      <c r="H12" s="31" t="s">
        <v>54</v>
      </c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81"/>
    </row>
    <row r="14" spans="1:8" ht="15.75" thickBot="1" x14ac:dyDescent="0.3"/>
    <row r="15" spans="1:8" ht="15.75" thickBot="1" x14ac:dyDescent="0.3">
      <c r="A15" s="32" t="s">
        <v>32</v>
      </c>
      <c r="B15" s="79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80">
        <v>1</v>
      </c>
      <c r="B16" s="75" t="s">
        <v>50</v>
      </c>
      <c r="C16" s="76"/>
      <c r="D16" s="77"/>
      <c r="E16" s="74" t="s">
        <v>42</v>
      </c>
      <c r="F16" s="78">
        <v>950000</v>
      </c>
      <c r="G16" s="74">
        <v>1</v>
      </c>
      <c r="H16" s="38">
        <f t="shared" ref="H16" si="0">G16*F16</f>
        <v>950000</v>
      </c>
    </row>
    <row r="17" spans="1:8" ht="16.5" thickBot="1" x14ac:dyDescent="0.3">
      <c r="A17" s="80">
        <v>2</v>
      </c>
      <c r="B17" s="75" t="s">
        <v>51</v>
      </c>
      <c r="C17" s="76"/>
      <c r="D17" s="77"/>
      <c r="E17" s="74" t="s">
        <v>42</v>
      </c>
      <c r="F17" s="78">
        <v>16950</v>
      </c>
      <c r="G17" s="74">
        <v>6</v>
      </c>
      <c r="H17" s="38">
        <f t="shared" ref="H17" si="1">G17*F17</f>
        <v>101700</v>
      </c>
    </row>
    <row r="18" spans="1:8" ht="19.5" customHeight="1" thickBot="1" x14ac:dyDescent="0.3">
      <c r="A18" s="47"/>
      <c r="B18" s="71"/>
      <c r="D18" s="72"/>
      <c r="E18" s="47"/>
      <c r="F18" s="47"/>
      <c r="G18" s="47"/>
    </row>
    <row r="19" spans="1:8" ht="19.5" customHeight="1" thickBot="1" x14ac:dyDescent="0.35">
      <c r="A19" s="70" t="s">
        <v>22</v>
      </c>
      <c r="B19" s="73" t="s">
        <v>52</v>
      </c>
      <c r="C19" s="12"/>
      <c r="D19" s="13"/>
      <c r="E19" s="48"/>
      <c r="F19" s="37" t="s">
        <v>45</v>
      </c>
      <c r="G19" s="6"/>
      <c r="H19" s="7"/>
    </row>
    <row r="20" spans="1:8" ht="19.5" customHeight="1" thickBot="1" x14ac:dyDescent="0.3">
      <c r="A20" s="39"/>
      <c r="B20" s="16" t="s">
        <v>47</v>
      </c>
      <c r="C20" s="4"/>
      <c r="D20" s="17"/>
      <c r="E20" s="51" t="s">
        <v>23</v>
      </c>
      <c r="F20" s="52"/>
      <c r="G20" s="44"/>
      <c r="H20" s="49">
        <f>SUM(H16:H16)</f>
        <v>950000</v>
      </c>
    </row>
    <row r="21" spans="1:8" ht="19.5" customHeight="1" x14ac:dyDescent="0.25">
      <c r="A21" s="24" t="s">
        <v>24</v>
      </c>
      <c r="B21" s="12"/>
      <c r="C21" s="12"/>
      <c r="D21" s="12"/>
      <c r="E21" s="53" t="s">
        <v>28</v>
      </c>
      <c r="F21" s="23"/>
      <c r="G21" s="54">
        <v>0.19</v>
      </c>
      <c r="H21" s="40">
        <f>H20*G21</f>
        <v>180500</v>
      </c>
    </row>
    <row r="22" spans="1:8" ht="19.5" customHeight="1" x14ac:dyDescent="0.25">
      <c r="A22" s="14" t="s">
        <v>46</v>
      </c>
      <c r="E22" s="55" t="s">
        <v>25</v>
      </c>
      <c r="G22" s="58">
        <v>2.5000000000000001E-2</v>
      </c>
      <c r="H22" s="50"/>
    </row>
    <row r="23" spans="1:8" ht="15.75" x14ac:dyDescent="0.25">
      <c r="A23" s="14" t="s">
        <v>43</v>
      </c>
      <c r="E23" s="14"/>
      <c r="F23" s="33"/>
      <c r="G23" s="45"/>
      <c r="H23" s="15"/>
    </row>
    <row r="24" spans="1:8" ht="16.5" thickBot="1" x14ac:dyDescent="0.3">
      <c r="A24" s="14" t="s">
        <v>30</v>
      </c>
      <c r="E24" s="56" t="s">
        <v>26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27</v>
      </c>
      <c r="H25" s="36">
        <f>H20+H21-H22</f>
        <v>1130500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2025-03-26T15:29:37Z</cp:lastPrinted>
  <dcterms:created xsi:type="dcterms:W3CDTF">2018-11-15T17:29:02Z</dcterms:created>
  <dcterms:modified xsi:type="dcterms:W3CDTF">2025-03-26T15:30:39Z</dcterms:modified>
</cp:coreProperties>
</file>