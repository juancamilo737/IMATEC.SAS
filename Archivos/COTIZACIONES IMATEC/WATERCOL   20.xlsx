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F7AC512-339D-4E27-AE09-3867C5353A3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WATERCO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22" i="1"/>
  <c r="H21" i="1"/>
  <c r="H20" i="1"/>
  <c r="H19" i="1"/>
  <c r="H18" i="1"/>
  <c r="H17" i="1"/>
  <c r="H16" i="1"/>
  <c r="H27" i="1" l="1"/>
  <c r="H31" i="1" s="1"/>
</calcChain>
</file>

<file path=xl/sharedStrings.xml><?xml version="1.0" encoding="utf-8"?>
<sst xmlns="http://schemas.openxmlformats.org/spreadsheetml/2006/main" count="67" uniqueCount="60">
  <si>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</si>
  <si>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</si>
  <si>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</si>
  <si>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</si>
  <si>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</si>
  <si>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</si>
  <si>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</si>
  <si>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</si>
  <si>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</si>
  <si>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</si>
  <si>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</si>
  <si>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</si>
  <si>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</si>
  <si>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</si>
  <si>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</si>
  <si>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</si>
  <si>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</si>
  <si>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</si>
  <si>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</si>
  <si>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</si>
  <si>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</si>
  <si>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</si>
  <si>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</si>
  <si>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</si>
  <si>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</si>
  <si>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</si>
  <si>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</si>
  <si>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</si>
  <si>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</si>
  <si>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</si>
  <si>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</si>
  <si>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</si>
  <si>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</si>
  <si>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</si>
  <si>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</si>
  <si>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</si>
  <si>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</si>
  <si>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WATERCOL S A S</t>
  </si>
  <si>
    <t>901 193743</t>
  </si>
  <si>
    <t>CARRERA 36 No. 10-549 ACOPI</t>
  </si>
  <si>
    <t>YUMBO</t>
  </si>
  <si>
    <t>contabilidad@watercol.com.co</t>
  </si>
  <si>
    <t>311 614 8702</t>
  </si>
  <si>
    <t>LUIS A. BENAVIDES</t>
  </si>
  <si>
    <t>ACCESORIO</t>
  </si>
  <si>
    <t xml:space="preserve">  CALLE  33A  No. 17F - 56                           B/  LA FLORESTA             -   CALI    -                                   CEL.     321 7834969</t>
  </si>
  <si>
    <t>L I Q U I D A C I O N</t>
  </si>
  <si>
    <t>No. 20</t>
  </si>
  <si>
    <t>BRIDA  PVC SCH 80  SLIP ON  2 "</t>
  </si>
  <si>
    <t>BRIDA  PVC SCH 80  SLIP ON 1 1/2 "</t>
  </si>
  <si>
    <t>BRIDA PVC SCH 40  1 1/4 " BLANCA</t>
  </si>
  <si>
    <t>EMPAQUE PARA BRIDA  1 1/4 "</t>
  </si>
  <si>
    <t>ADAPTADOR HEMBRA PVC  SCH 40  2 "</t>
  </si>
  <si>
    <t>ADAPTADOR HEMBRA PVC  SCH 40 1 1/2 "</t>
  </si>
  <si>
    <t>BUJE PVC  SCH 40  2 "  X  1 1/2 "</t>
  </si>
  <si>
    <t>BUJE PVC  SCH 40  2 "  X  1 1/4 "</t>
  </si>
  <si>
    <t>TRESCIENTOS VEINTITRES MIL SEISCIENTOS OCHENTA</t>
  </si>
  <si>
    <t>PESOS MDA / CTE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</si>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</sst>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3" fillId="0" borderId="27" xfId="2" applyBorder="1"/>
    <xf numFmtId="0" fontId="0" fillId="0" borderId="28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wa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5" t="s">
        <v>31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34</v>
      </c>
      <c r="E4" s="19"/>
      <c r="F4" s="20"/>
      <c r="G4" s="6"/>
      <c r="H4" s="7"/>
    </row>
    <row r="5" spans="1:8" ht="19.5" thickBot="1" x14ac:dyDescent="0.35">
      <c r="A5" s="50" t="s">
        <v>36</v>
      </c>
      <c r="B5" s="6"/>
      <c r="C5" s="6"/>
      <c r="D5" s="6"/>
      <c r="E5" s="6"/>
    </row>
    <row r="6" spans="1:8" ht="24.75" customHeight="1" thickBot="1" x14ac:dyDescent="0.45">
      <c r="F6" s="11" t="s">
        <v>59</v>
      </c>
      <c r="G6" s="19"/>
      <c r="H6" s="20"/>
    </row>
    <row r="7" spans="1:8" ht="19.5" thickBot="1" x14ac:dyDescent="0.35">
      <c r="A7" s="21" t="s">
        <v>14</v>
      </c>
      <c r="B7" s="13"/>
      <c r="C7" s="30" t="s">
        <v>37</v>
      </c>
      <c r="D7" s="13"/>
      <c r="E7" s="14"/>
      <c r="F7" s="27"/>
      <c r="G7" s="19"/>
      <c r="H7" s="20" t="s">
        <v>47</v>
      </c>
    </row>
    <row r="8" spans="1:8" ht="18.75" x14ac:dyDescent="0.3">
      <c r="A8" s="22" t="s">
        <v>8</v>
      </c>
      <c r="C8" s="63" t="s">
        <v>38</v>
      </c>
      <c r="D8" s="64"/>
      <c r="E8" s="65"/>
      <c r="F8" s="12"/>
      <c r="G8" s="13"/>
      <c r="H8" s="14"/>
    </row>
    <row r="9" spans="1:8" ht="18.75" customHeight="1" x14ac:dyDescent="0.3">
      <c r="A9" s="22" t="s">
        <v>9</v>
      </c>
      <c r="C9" s="66" t="s">
        <v>39</v>
      </c>
      <c r="D9" s="24"/>
      <c r="E9" s="67" t="s">
        <v>40</v>
      </c>
      <c r="F9" s="31" t="s">
        <v>0</v>
      </c>
      <c r="H9" s="32">
        <v>45799</v>
      </c>
    </row>
    <row r="10" spans="1:8" ht="18.75" x14ac:dyDescent="0.3">
      <c r="A10" s="22" t="s">
        <v>13</v>
      </c>
      <c r="C10" s="68" t="s">
        <v>41</v>
      </c>
      <c r="D10" s="25"/>
      <c r="E10" s="69"/>
      <c r="F10" s="31" t="s">
        <v>15</v>
      </c>
      <c r="H10" s="33"/>
    </row>
    <row r="11" spans="1:8" ht="18.75" x14ac:dyDescent="0.3">
      <c r="A11" s="22" t="s">
        <v>10</v>
      </c>
      <c r="C11" s="70"/>
      <c r="D11" s="25"/>
      <c r="E11" s="69"/>
      <c r="F11" s="31" t="s">
        <v>16</v>
      </c>
      <c r="G11" s="34"/>
      <c r="H11" s="32"/>
    </row>
    <row r="12" spans="1:8" ht="18.75" x14ac:dyDescent="0.3">
      <c r="A12" s="22" t="s">
        <v>11</v>
      </c>
      <c r="C12" s="70" t="s">
        <v>42</v>
      </c>
      <c r="D12" s="25"/>
      <c r="E12" s="69"/>
      <c r="F12" s="31" t="s">
        <v>17</v>
      </c>
      <c r="H12" s="35"/>
    </row>
    <row r="13" spans="1:8" ht="18.75" customHeight="1" thickBot="1" x14ac:dyDescent="0.35">
      <c r="A13" s="23" t="s">
        <v>12</v>
      </c>
      <c r="B13" s="4"/>
      <c r="C13" s="71" t="s">
        <v>43</v>
      </c>
      <c r="D13" s="72"/>
      <c r="E13" s="73"/>
      <c r="F13" s="17"/>
      <c r="G13" s="4"/>
      <c r="H13" s="18"/>
    </row>
    <row r="14" spans="1:8" ht="15.75" thickBot="1" x14ac:dyDescent="0.3"/>
    <row r="15" spans="1:8" ht="15.75" thickBot="1" x14ac:dyDescent="0.3">
      <c r="A15" s="54" t="s">
        <v>19</v>
      </c>
      <c r="B15" s="49" t="s">
        <v>24</v>
      </c>
      <c r="C15" s="19"/>
      <c r="D15" s="7"/>
      <c r="E15" s="36" t="s">
        <v>20</v>
      </c>
      <c r="F15" s="36" t="s">
        <v>22</v>
      </c>
      <c r="G15" s="36" t="s">
        <v>21</v>
      </c>
      <c r="H15" s="36" t="s">
        <v>23</v>
      </c>
    </row>
    <row r="16" spans="1:8" ht="16.5" thickBot="1" x14ac:dyDescent="0.3">
      <c r="A16" s="56">
        <v>1</v>
      </c>
      <c r="B16" s="57" t="s">
        <v>48</v>
      </c>
      <c r="C16" s="58"/>
      <c r="D16" s="59"/>
      <c r="E16" s="60" t="s">
        <v>44</v>
      </c>
      <c r="F16" s="61">
        <v>30000</v>
      </c>
      <c r="G16" s="56">
        <v>5</v>
      </c>
      <c r="H16" s="51">
        <f t="shared" ref="H16" si="0">G16*F16</f>
        <v>150000</v>
      </c>
    </row>
    <row r="17" spans="1:8" ht="16.5" thickBot="1" x14ac:dyDescent="0.3">
      <c r="A17" s="56">
        <v>2</v>
      </c>
      <c r="B17" s="57" t="s">
        <v>49</v>
      </c>
      <c r="C17" s="58"/>
      <c r="D17" s="59"/>
      <c r="E17" s="60" t="s">
        <v>44</v>
      </c>
      <c r="F17" s="61">
        <v>20000</v>
      </c>
      <c r="G17" s="56">
        <v>1</v>
      </c>
      <c r="H17" s="51">
        <f t="shared" ref="H17:H23" si="1">G17*F17</f>
        <v>20000</v>
      </c>
    </row>
    <row r="18" spans="1:8" ht="16.5" thickBot="1" x14ac:dyDescent="0.3">
      <c r="A18" s="56">
        <v>3</v>
      </c>
      <c r="B18" s="57" t="s">
        <v>50</v>
      </c>
      <c r="C18" s="58"/>
      <c r="D18" s="59"/>
      <c r="E18" s="60" t="s">
        <v>44</v>
      </c>
      <c r="F18" s="61">
        <v>18000</v>
      </c>
      <c r="G18" s="56">
        <v>1</v>
      </c>
      <c r="H18" s="51">
        <f t="shared" si="1"/>
        <v>18000</v>
      </c>
    </row>
    <row r="19" spans="1:8" ht="16.5" thickBot="1" x14ac:dyDescent="0.3">
      <c r="A19" s="56">
        <v>4</v>
      </c>
      <c r="B19" s="57" t="s">
        <v>51</v>
      </c>
      <c r="C19" s="58"/>
      <c r="D19" s="59"/>
      <c r="E19" s="60" t="s">
        <v>44</v>
      </c>
      <c r="F19" s="61">
        <v>8000</v>
      </c>
      <c r="G19" s="56">
        <v>1</v>
      </c>
      <c r="H19" s="51">
        <f t="shared" si="1"/>
        <v>8000</v>
      </c>
    </row>
    <row r="20" spans="1:8" ht="16.5" thickBot="1" x14ac:dyDescent="0.3">
      <c r="A20" s="56">
        <v>5</v>
      </c>
      <c r="B20" s="57" t="s">
        <v>52</v>
      </c>
      <c r="C20" s="58"/>
      <c r="D20" s="59"/>
      <c r="E20" s="60" t="s">
        <v>44</v>
      </c>
      <c r="F20" s="61">
        <v>10400</v>
      </c>
      <c r="G20" s="56">
        <v>5</v>
      </c>
      <c r="H20" s="51">
        <f t="shared" si="1"/>
        <v>52000</v>
      </c>
    </row>
    <row r="21" spans="1:8" ht="16.5" thickBot="1" x14ac:dyDescent="0.3">
      <c r="A21" s="56">
        <v>6</v>
      </c>
      <c r="B21" s="57" t="s">
        <v>53</v>
      </c>
      <c r="C21" s="58"/>
      <c r="D21" s="59"/>
      <c r="E21" s="60" t="s">
        <v>44</v>
      </c>
      <c r="F21" s="61">
        <v>9000</v>
      </c>
      <c r="G21" s="56">
        <v>1</v>
      </c>
      <c r="H21" s="51">
        <f t="shared" si="1"/>
        <v>9000</v>
      </c>
    </row>
    <row r="22" spans="1:8" ht="16.5" thickBot="1" x14ac:dyDescent="0.3">
      <c r="A22" s="56">
        <v>7</v>
      </c>
      <c r="B22" s="57" t="s">
        <v>54</v>
      </c>
      <c r="C22" s="58"/>
      <c r="D22" s="59"/>
      <c r="E22" s="60" t="s">
        <v>44</v>
      </c>
      <c r="F22" s="61">
        <v>5000</v>
      </c>
      <c r="G22" s="56">
        <v>2</v>
      </c>
      <c r="H22" s="51">
        <f t="shared" si="1"/>
        <v>10000</v>
      </c>
    </row>
    <row r="23" spans="1:8" ht="16.5" thickBot="1" x14ac:dyDescent="0.3">
      <c r="A23" s="56">
        <v>8</v>
      </c>
      <c r="B23" s="57" t="s">
        <v>55</v>
      </c>
      <c r="C23" s="58"/>
      <c r="D23" s="59"/>
      <c r="E23" s="60" t="s">
        <v>44</v>
      </c>
      <c r="F23" s="61">
        <v>5000</v>
      </c>
      <c r="G23" s="56">
        <v>1</v>
      </c>
      <c r="H23" s="51">
        <f t="shared" si="1"/>
        <v>5000</v>
      </c>
    </row>
    <row r="24" spans="1:8" ht="16.5" thickBot="1" x14ac:dyDescent="0.3">
      <c r="A24" s="56"/>
      <c r="B24" s="57"/>
      <c r="C24" s="58"/>
      <c r="D24" s="59"/>
      <c r="E24" s="60"/>
      <c r="F24" s="61"/>
      <c r="G24" s="56"/>
      <c r="H24" s="51"/>
    </row>
    <row r="25" spans="1:8" ht="19.5" customHeight="1" thickBot="1" x14ac:dyDescent="0.35">
      <c r="A25" s="52" t="s">
        <v>25</v>
      </c>
      <c r="B25" s="12" t="s">
        <v>56</v>
      </c>
      <c r="C25" s="13"/>
      <c r="D25" s="14"/>
      <c r="E25" s="13"/>
      <c r="F25" s="37" t="s">
        <v>46</v>
      </c>
      <c r="G25" s="13"/>
      <c r="H25" s="7"/>
    </row>
    <row r="26" spans="1:8" ht="19.5" customHeight="1" thickBot="1" x14ac:dyDescent="0.3">
      <c r="A26" s="53"/>
      <c r="B26" s="17" t="s">
        <v>57</v>
      </c>
      <c r="C26" s="4"/>
      <c r="D26" s="4"/>
      <c r="E26" s="38" t="s">
        <v>26</v>
      </c>
      <c r="F26" s="39"/>
      <c r="G26" s="25"/>
      <c r="H26" s="46">
        <f>SUM(H16:H23)</f>
        <v>272000</v>
      </c>
    </row>
    <row r="27" spans="1:8" ht="19.5" customHeight="1" x14ac:dyDescent="0.25">
      <c r="A27" s="26" t="s">
        <v>27</v>
      </c>
      <c r="B27" s="13"/>
      <c r="C27" s="13"/>
      <c r="D27" s="14"/>
      <c r="E27" s="3" t="s">
        <v>32</v>
      </c>
      <c r="F27" s="62"/>
      <c r="G27" s="41">
        <v>0.19</v>
      </c>
      <c r="H27" s="47">
        <f>H26*G27</f>
        <v>51680</v>
      </c>
    </row>
    <row r="28" spans="1:8" ht="19.5" customHeight="1" x14ac:dyDescent="0.25">
      <c r="A28" s="15" t="s">
        <v>33</v>
      </c>
      <c r="D28" s="16"/>
      <c r="E28" s="39" t="s">
        <v>28</v>
      </c>
      <c r="G28" s="55">
        <v>2.5000000000000001E-2</v>
      </c>
      <c r="H28" s="42"/>
    </row>
    <row r="29" spans="1:8" ht="15.75" x14ac:dyDescent="0.25">
      <c r="A29" s="15" t="s">
        <v>58</v>
      </c>
      <c r="D29" s="16"/>
      <c r="F29" s="39"/>
      <c r="G29" s="25"/>
      <c r="H29" s="43"/>
    </row>
    <row r="30" spans="1:8" ht="16.5" thickBot="1" x14ac:dyDescent="0.3">
      <c r="A30" s="15" t="s">
        <v>35</v>
      </c>
      <c r="D30" s="16"/>
      <c r="E30" s="39" t="s">
        <v>29</v>
      </c>
      <c r="F30" s="39"/>
      <c r="G30" s="25"/>
      <c r="H30" s="44"/>
    </row>
    <row r="31" spans="1:8" ht="19.5" thickBot="1" x14ac:dyDescent="0.35">
      <c r="A31" s="17"/>
      <c r="B31" s="4"/>
      <c r="C31" s="4"/>
      <c r="D31" s="18"/>
      <c r="F31" s="3"/>
      <c r="G31" s="40" t="s">
        <v>30</v>
      </c>
      <c r="H31" s="48">
        <f>H26+H27-H28</f>
        <v>323680</v>
      </c>
    </row>
    <row r="32" spans="1:8" ht="16.5" customHeight="1" x14ac:dyDescent="0.25"/>
    <row r="37" spans="1:8" ht="15.75" thickBot="1" x14ac:dyDescent="0.3"/>
    <row r="38" spans="1:8" ht="19.5" thickBot="1" x14ac:dyDescent="0.35">
      <c r="A38" s="27" t="s">
        <v>45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WATERCOL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2025-05-22T14:01:27Z</cp:lastPrinted>
  <dcterms:created xsi:type="dcterms:W3CDTF">2018-11-15T17:29:02Z</dcterms:created>
  <dcterms:modified xsi:type="dcterms:W3CDTF">2025-05-22T22:38:16Z</dcterms:modified>
</cp:coreProperties>
</file>