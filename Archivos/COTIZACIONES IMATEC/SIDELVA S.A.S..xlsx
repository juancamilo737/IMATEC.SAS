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336C4FE-F536-4BB8-B73E-921ACE5FB4C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IDEL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<sst xmlns="http://schemas.openxmlformats.org/spreadsheetml/2006/main" count="59" uniqueCount="58">
  <si>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</si>
  <si>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</si>
  <si>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</si>
  <si>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</si>
  <si>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</si>
  <si>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</si>
  <si>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</si>
  <si>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</si>
  <si>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</si>
  <si>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</si>
  <si>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</si>
  <si>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</si>
  <si>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</si>
  <si>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</si>
  <si>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</si>
  <si>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</si>
  <si>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</si>
  <si>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</si>
  <si>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</si>
  <si>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</si>
  <si>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</si>
  <si>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</si>
  <si>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</si>
  <si>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</si>
  <si>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</si>
  <si>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</si>
  <si>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</si>
  <si>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</si>
  <si>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</si>
  <si>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</si>
  <si>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</si>
  <si>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</si>
  <si>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</si>
  <si>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</si>
  <si>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</si>
  <si>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</si>
  <si>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</si>
  <si>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ENTREGA INMEDIATA</t>
  </si>
  <si>
    <t>O de C  No.</t>
  </si>
  <si>
    <t>SIDELVA S.A.S.</t>
  </si>
  <si>
    <t>800 184953</t>
  </si>
  <si>
    <t xml:space="preserve">           C O T I Z A C I O N</t>
  </si>
  <si>
    <t>No. 1</t>
  </si>
  <si>
    <t>CRA 4  C   No.  36 - 02</t>
  </si>
  <si>
    <t>10 DIAS</t>
  </si>
  <si>
    <t>sidelvaltda@yahoo.com.co</t>
  </si>
  <si>
    <t>602 4445844</t>
  </si>
  <si>
    <t>LUIS A. BENAVIDES</t>
  </si>
  <si>
    <t>TUBERIA  A / C  SCH 10  2 " X  64 CMTS</t>
  </si>
  <si>
    <t>TRAMO</t>
  </si>
  <si>
    <t>LAMINA HR  1,2 MTS X 6 MTS  CAL 3mm</t>
  </si>
  <si>
    <t>PLANCHA</t>
  </si>
  <si>
    <t>TUBERIA HR CUADRADO  30 mm  CAL 2 mm</t>
  </si>
  <si>
    <t>TUBO X 6 MTS</t>
  </si>
  <si>
    <t>TUBERIA HR RECTANGULAR  2 " X  1 " CAL 2 mm</t>
  </si>
  <si>
    <t>UN MILLON CUATROCIENTOS SETENTA MIL TRESCIENTOS</t>
  </si>
  <si>
    <t>DIECISEIS PESOS MDA / CTE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</si>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</sst>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delvaltda@yaho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5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/>
      <c r="F9" s="30" t="s">
        <v>0</v>
      </c>
      <c r="H9" s="28">
        <v>45763</v>
      </c>
    </row>
    <row r="10" spans="1:8" ht="18.75" x14ac:dyDescent="0.3">
      <c r="A10" s="21" t="s">
        <v>13</v>
      </c>
      <c r="C10" s="70" t="s">
        <v>45</v>
      </c>
      <c r="E10" s="15"/>
      <c r="F10" s="30" t="s">
        <v>15</v>
      </c>
      <c r="H10" s="29" t="s">
        <v>44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45772</v>
      </c>
    </row>
    <row r="12" spans="1:8" ht="18.75" x14ac:dyDescent="0.3">
      <c r="A12" s="21" t="s">
        <v>11</v>
      </c>
      <c r="C12" s="14" t="s">
        <v>46</v>
      </c>
      <c r="E12" s="15"/>
      <c r="F12" s="30" t="s">
        <v>38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32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49</v>
      </c>
      <c r="F16" s="65">
        <v>27000</v>
      </c>
      <c r="G16" s="61">
        <v>10</v>
      </c>
      <c r="H16" s="38">
        <f t="shared" ref="H16" si="0">G16*F16</f>
        <v>270000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51</v>
      </c>
      <c r="F17" s="65">
        <v>820760</v>
      </c>
      <c r="G17" s="61">
        <v>1</v>
      </c>
      <c r="H17" s="38">
        <f t="shared" ref="H17:H19" si="1">G17*F17</f>
        <v>820760</v>
      </c>
    </row>
    <row r="18" spans="1:8" ht="16.5" thickBot="1" x14ac:dyDescent="0.3">
      <c r="A18" s="61">
        <v>3</v>
      </c>
      <c r="B18" s="62" t="s">
        <v>52</v>
      </c>
      <c r="C18" s="63"/>
      <c r="D18" s="64"/>
      <c r="E18" s="61" t="s">
        <v>53</v>
      </c>
      <c r="F18" s="65">
        <v>66000</v>
      </c>
      <c r="G18" s="61">
        <v>1</v>
      </c>
      <c r="H18" s="38">
        <f t="shared" si="1"/>
        <v>66000</v>
      </c>
    </row>
    <row r="19" spans="1:8" ht="16.5" thickBot="1" x14ac:dyDescent="0.3">
      <c r="A19" s="61">
        <v>4</v>
      </c>
      <c r="B19" s="62" t="s">
        <v>54</v>
      </c>
      <c r="C19" s="63"/>
      <c r="D19" s="64"/>
      <c r="E19" s="61" t="s">
        <v>53</v>
      </c>
      <c r="F19" s="65">
        <v>78800</v>
      </c>
      <c r="G19" s="61">
        <v>1</v>
      </c>
      <c r="H19" s="38">
        <f t="shared" si="1"/>
        <v>78800</v>
      </c>
    </row>
    <row r="20" spans="1:8" ht="19.5" customHeight="1" thickBot="1" x14ac:dyDescent="0.3">
      <c r="A20" s="48"/>
      <c r="B20" s="67"/>
      <c r="D20" s="68"/>
      <c r="E20" s="48"/>
      <c r="F20" s="48"/>
      <c r="G20" s="48"/>
    </row>
    <row r="21" spans="1:8" ht="19.5" customHeight="1" thickBot="1" x14ac:dyDescent="0.35">
      <c r="A21" s="66" t="s">
        <v>22</v>
      </c>
      <c r="B21" s="69" t="s">
        <v>55</v>
      </c>
      <c r="C21" s="12"/>
      <c r="D21" s="13"/>
      <c r="E21" s="49"/>
      <c r="F21" s="37" t="s">
        <v>35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17"/>
      <c r="E22" s="52" t="s">
        <v>23</v>
      </c>
      <c r="F22" s="53"/>
      <c r="G22" s="44"/>
      <c r="H22" s="50">
        <f>SUM(H16:H19)</f>
        <v>1235560</v>
      </c>
    </row>
    <row r="23" spans="1:8" ht="19.5" customHeight="1" x14ac:dyDescent="0.25">
      <c r="A23" s="24" t="s">
        <v>24</v>
      </c>
      <c r="B23" s="12"/>
      <c r="C23" s="12"/>
      <c r="D23" s="12"/>
      <c r="E23" s="54" t="s">
        <v>28</v>
      </c>
      <c r="F23" s="23"/>
      <c r="G23" s="55">
        <v>0.19</v>
      </c>
      <c r="H23" s="40">
        <f>H22*G23</f>
        <v>234756.4</v>
      </c>
    </row>
    <row r="24" spans="1:8" ht="19.5" customHeight="1" x14ac:dyDescent="0.25">
      <c r="A24" s="14" t="s">
        <v>57</v>
      </c>
      <c r="E24" s="56" t="s">
        <v>25</v>
      </c>
      <c r="G24" s="59">
        <v>2.5000000000000001E-2</v>
      </c>
      <c r="H24" s="51"/>
    </row>
    <row r="25" spans="1:8" ht="15.75" x14ac:dyDescent="0.25">
      <c r="A25" s="14" t="s">
        <v>37</v>
      </c>
      <c r="E25" s="14"/>
      <c r="F25" s="33"/>
      <c r="G25" s="45"/>
      <c r="H25" s="15"/>
    </row>
    <row r="26" spans="1:8" ht="16.5" thickBot="1" x14ac:dyDescent="0.3">
      <c r="A26" s="14" t="s">
        <v>30</v>
      </c>
      <c r="E26" s="57" t="s">
        <v>26</v>
      </c>
      <c r="F26" s="58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27</v>
      </c>
      <c r="H27" s="36">
        <f>H22+H23-H24</f>
        <v>1470316.4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36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FF2153AD-FEE0-4141-9FD8-13E646C9F5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SIDELVA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2025-04-16T16:54:29Z</dcterms:modified>
</cp:coreProperties>
</file>