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Más ficheros perdidos (RAW)\Office2007 Excel Document\4000~4400\"/>
    </mc:Choice>
  </mc:AlternateContent>
  <xr:revisionPtr revIDLastSave="0" documentId="13_ncr:1_{E057C7A6-3503-4B5A-A659-DD182F67D776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PIM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20" i="1"/>
  <c r="H17" i="1"/>
  <c r="H16" i="1"/>
  <c r="H21" i="1" l="1"/>
  <c r="H25" i="1" s="1"/>
</calcChain>
</file>

<file path=xl/sharedStrings.xml><?xml version="1.0" encoding="utf-8"?>
<sst xmlns="http://schemas.openxmlformats.org/spreadsheetml/2006/main" count="57" uniqueCount="56">
  <si>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</si>
  <si>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</si>
  <si>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</si>
  <si>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</si>
  <si>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</si>
  <si>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</si>
  <si>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</si>
  <si>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</si>
  <si>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</si>
  <si>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</si>
  <si>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</si>
  <si>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</si>
  <si>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</si>
  <si>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</si>
  <si>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</si>
  <si>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</si>
  <si>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</si>
  <si>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</si>
  <si>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</si>
  <si>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</si>
  <si>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</si>
  <si>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</si>
  <si>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</si>
  <si>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</si>
  <si>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</si>
  <si>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</si>
  <si>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</si>
  <si>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</si>
  <si>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</si>
  <si>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</si>
  <si>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</si>
  <si>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</si>
  <si>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</si>
  <si>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</si>
  <si>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</si>
  <si>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</si>
  <si>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SUMINISTROS PARA INGENIERIA Y MANTENIMIENTO S.A.S.</t>
  </si>
  <si>
    <t>805 011872</t>
  </si>
  <si>
    <t>CRA 17 F  No.  T30 - 41</t>
  </si>
  <si>
    <t>CALI</t>
  </si>
  <si>
    <t>financiero@spimsas.com</t>
  </si>
  <si>
    <t>602 4480634</t>
  </si>
  <si>
    <t>LUIS A. BENAVIDES</t>
  </si>
  <si>
    <t>SPIM S.A.S.</t>
  </si>
  <si>
    <t xml:space="preserve">  CALLE  33A  No. 17F - 56                              B/  LA FLORESTA             -   CALI    -                                   CEL.     321 7834969</t>
  </si>
  <si>
    <t>L I Q U I D A C I O N</t>
  </si>
  <si>
    <t>ENTREGA INMEDIATA</t>
  </si>
  <si>
    <t>ACCESORIO</t>
  </si>
  <si>
    <t xml:space="preserve">              R E M I S I O N</t>
  </si>
  <si>
    <t>No.  21</t>
  </si>
  <si>
    <t>30 DIAS</t>
  </si>
  <si>
    <t>VALVULA DE BOLA AC/INOX 304 RF 2 " X 150 BRIDA</t>
  </si>
  <si>
    <t>VALVULA CORTINA AC/INOX 304 2 " X 150  BRIDADA</t>
  </si>
  <si>
    <t>CUATRO MILLONES OCHOCIENTOS CINCUENTA Y OCHO</t>
  </si>
  <si>
    <t>MIL CINCUENTA PESOS MDA / CTE</t>
  </si>
  <si>
    <t>FORMA DE PAGO : CREDITO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</si>
</sst>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2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9" xfId="0" applyFont="1" applyBorder="1"/>
    <xf numFmtId="9" fontId="1" fillId="0" borderId="23" xfId="3" applyFont="1" applyBorder="1"/>
    <xf numFmtId="0" fontId="4" fillId="0" borderId="24" xfId="0" applyFont="1" applyBorder="1"/>
    <xf numFmtId="0" fontId="4" fillId="0" borderId="26" xfId="0" applyFont="1" applyBorder="1"/>
    <xf numFmtId="0" fontId="4" fillId="0" borderId="27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0" xfId="0" applyBorder="1"/>
    <xf numFmtId="0" fontId="0" fillId="0" borderId="21" xfId="0" applyBorder="1"/>
    <xf numFmtId="0" fontId="0" fillId="0" borderId="32" xfId="0" applyBorder="1"/>
    <xf numFmtId="0" fontId="0" fillId="0" borderId="23" xfId="0" applyBorder="1"/>
    <xf numFmtId="0" fontId="13" fillId="0" borderId="24" xfId="2" applyBorder="1"/>
    <xf numFmtId="0" fontId="0" fillId="0" borderId="24" xfId="0" applyBorder="1"/>
    <xf numFmtId="0" fontId="0" fillId="0" borderId="26" xfId="0" applyBorder="1"/>
    <xf numFmtId="0" fontId="0" fillId="0" borderId="27" xfId="0" applyBorder="1"/>
    <xf numFmtId="0" fontId="1" fillId="0" borderId="30" xfId="0" applyFont="1" applyBorder="1" applyAlignment="1">
      <alignment horizontal="center"/>
    </xf>
    <xf numFmtId="0" fontId="8" fillId="0" borderId="19" xfId="0" applyFont="1" applyBorder="1"/>
    <xf numFmtId="0" fontId="8" fillId="0" borderId="18" xfId="0" applyFont="1" applyBorder="1"/>
    <xf numFmtId="0" fontId="8" fillId="0" borderId="31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inanciero@spims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4" zoomScaleNormal="100" workbookViewId="0">
      <selection activeCell="J23" sqref="J23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30</v>
      </c>
      <c r="E4" s="18"/>
      <c r="F4" s="19"/>
      <c r="G4" s="6"/>
      <c r="H4" s="7"/>
    </row>
    <row r="5" spans="1:8" ht="19.5" thickBot="1" x14ac:dyDescent="0.35">
      <c r="A5" s="37" t="s">
        <v>32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2"/>
      <c r="H6" s="43"/>
    </row>
    <row r="7" spans="1:8" ht="19.5" thickBot="1" x14ac:dyDescent="0.35">
      <c r="A7" s="20" t="s">
        <v>14</v>
      </c>
      <c r="B7" s="12"/>
      <c r="C7" s="59" t="s">
        <v>36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37</v>
      </c>
      <c r="D8" s="62"/>
      <c r="E8" s="44"/>
      <c r="H8" s="15"/>
    </row>
    <row r="9" spans="1:8" ht="18.75" customHeight="1" x14ac:dyDescent="0.3">
      <c r="A9" s="21" t="s">
        <v>9</v>
      </c>
      <c r="C9" s="63" t="s">
        <v>38</v>
      </c>
      <c r="D9" s="23"/>
      <c r="E9" s="64" t="s">
        <v>39</v>
      </c>
      <c r="F9" s="30" t="s">
        <v>0</v>
      </c>
      <c r="H9" s="28">
        <v>45905</v>
      </c>
    </row>
    <row r="10" spans="1:8" ht="18.75" x14ac:dyDescent="0.3">
      <c r="A10" s="21" t="s">
        <v>13</v>
      </c>
      <c r="C10" s="65" t="s">
        <v>40</v>
      </c>
      <c r="D10" s="60"/>
      <c r="E10" s="45"/>
      <c r="F10" s="30" t="s">
        <v>15</v>
      </c>
      <c r="H10" s="29" t="s">
        <v>50</v>
      </c>
    </row>
    <row r="11" spans="1:8" ht="18.75" x14ac:dyDescent="0.3">
      <c r="A11" s="21" t="s">
        <v>10</v>
      </c>
      <c r="C11" s="66" t="s">
        <v>43</v>
      </c>
      <c r="D11" s="60"/>
      <c r="E11" s="45"/>
      <c r="F11" s="30" t="s">
        <v>16</v>
      </c>
      <c r="G11" s="30"/>
      <c r="H11" s="28">
        <v>45934</v>
      </c>
    </row>
    <row r="12" spans="1:8" ht="18.75" x14ac:dyDescent="0.3">
      <c r="A12" s="21" t="s">
        <v>11</v>
      </c>
      <c r="C12" s="66" t="s">
        <v>41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42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33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51</v>
      </c>
      <c r="C16" s="71"/>
      <c r="D16" s="72"/>
      <c r="E16" s="69" t="s">
        <v>47</v>
      </c>
      <c r="F16" s="73">
        <v>560000</v>
      </c>
      <c r="G16" s="69">
        <v>3</v>
      </c>
      <c r="H16" s="38">
        <f t="shared" ref="H16" si="0">G16*F16</f>
        <v>1680000</v>
      </c>
    </row>
    <row r="17" spans="1:8" ht="16.5" thickBot="1" x14ac:dyDescent="0.3">
      <c r="A17" s="69">
        <v>2</v>
      </c>
      <c r="B17" s="70" t="s">
        <v>52</v>
      </c>
      <c r="C17" s="71"/>
      <c r="D17" s="72"/>
      <c r="E17" s="69" t="s">
        <v>47</v>
      </c>
      <c r="F17" s="73">
        <v>830000</v>
      </c>
      <c r="G17" s="69">
        <v>3</v>
      </c>
      <c r="H17" s="38">
        <f t="shared" ref="H17" si="1">G17*F17</f>
        <v>2490000</v>
      </c>
    </row>
    <row r="18" spans="1:8" ht="19.5" customHeight="1" thickBot="1" x14ac:dyDescent="0.3">
      <c r="A18" s="47"/>
      <c r="B18" s="76"/>
      <c r="D18" s="77"/>
      <c r="E18" s="47"/>
      <c r="F18" s="47"/>
      <c r="G18" s="47"/>
    </row>
    <row r="19" spans="1:8" ht="19.5" customHeight="1" thickBot="1" x14ac:dyDescent="0.35">
      <c r="A19" s="75" t="s">
        <v>23</v>
      </c>
      <c r="B19" s="78" t="s">
        <v>53</v>
      </c>
      <c r="C19" s="12"/>
      <c r="D19" s="13"/>
      <c r="E19" s="48"/>
      <c r="F19" s="37" t="s">
        <v>45</v>
      </c>
      <c r="G19" s="6"/>
      <c r="H19" s="7"/>
    </row>
    <row r="20" spans="1:8" ht="19.5" customHeight="1" thickBot="1" x14ac:dyDescent="0.3">
      <c r="A20" s="39"/>
      <c r="B20" s="16" t="s">
        <v>54</v>
      </c>
      <c r="C20" s="4"/>
      <c r="D20" s="17"/>
      <c r="E20" s="51" t="s">
        <v>24</v>
      </c>
      <c r="F20" s="52"/>
      <c r="G20" s="44"/>
      <c r="H20" s="49">
        <f>SUM(H16:H17)</f>
        <v>4170000</v>
      </c>
    </row>
    <row r="21" spans="1:8" ht="19.5" customHeight="1" x14ac:dyDescent="0.25">
      <c r="A21" s="24" t="s">
        <v>25</v>
      </c>
      <c r="B21" s="12"/>
      <c r="C21" s="12"/>
      <c r="D21" s="12"/>
      <c r="E21" s="53" t="s">
        <v>29</v>
      </c>
      <c r="F21" s="23"/>
      <c r="G21" s="54">
        <v>0.19</v>
      </c>
      <c r="H21" s="40">
        <f>H20*G21</f>
        <v>792300</v>
      </c>
    </row>
    <row r="22" spans="1:8" ht="19.5" customHeight="1" x14ac:dyDescent="0.25">
      <c r="A22" s="14" t="s">
        <v>55</v>
      </c>
      <c r="E22" s="55" t="s">
        <v>26</v>
      </c>
      <c r="G22" s="58">
        <v>2.5000000000000001E-2</v>
      </c>
      <c r="H22" s="50">
        <f>H20*G22</f>
        <v>104250</v>
      </c>
    </row>
    <row r="23" spans="1:8" ht="15.75" x14ac:dyDescent="0.25">
      <c r="A23" s="14" t="s">
        <v>46</v>
      </c>
      <c r="E23" s="14"/>
      <c r="F23" s="33"/>
      <c r="G23" s="45"/>
      <c r="H23" s="15"/>
    </row>
    <row r="24" spans="1:8" ht="16.5" thickBot="1" x14ac:dyDescent="0.3">
      <c r="A24" s="14" t="s">
        <v>31</v>
      </c>
      <c r="E24" s="56" t="s">
        <v>27</v>
      </c>
      <c r="F24" s="57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4858050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44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28A920B3-B176-4F8B-8B89-64C0797F19EA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SPIM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2025-09-05T18:14:56Z</cp:lastPrinted>
  <dcterms:created xsi:type="dcterms:W3CDTF">2018-11-15T17:29:02Z</dcterms:created>
  <dcterms:modified xsi:type="dcterms:W3CDTF">2025-09-05T23:34:30Z</dcterms:modified>
</cp:coreProperties>
</file>