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E0EB4AA-631A-4676-B470-7A3D504A68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G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 l="1"/>
  <c r="H21" i="1" s="1"/>
  <c r="H23" i="1" l="1"/>
  <c r="H22" i="1"/>
  <c r="H26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<sst xmlns="http://schemas.openxmlformats.org/spreadsheetml/2006/main" count="57" uniqueCount="57">
  <si>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</si>
  <si>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</si>
  <si>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</si>
  <si>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</si>
  <si>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</si>
  <si>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</si>
  <si>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</si>
  <si>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</si>
  <si>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</si>
  <si>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</si>
  <si>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</si>
  <si>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</si>
  <si>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</si>
  <si>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</si>
  <si>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</si>
  <si>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</si>
  <si>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</si>
  <si>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</si>
  <si>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</si>
  <si>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</si>
  <si>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</si>
  <si>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</si>
  <si>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</si>
  <si>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</si>
  <si>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</si>
  <si>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</si>
  <si>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</si>
  <si>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</si>
  <si>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</si>
  <si>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</si>
  <si>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</si>
  <si>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</si>
  <si>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</si>
  <si>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</si>
  <si>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</si>
  <si>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</si>
  <si>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</si>
  <si>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</si>
  <si>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</si>
  <si>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</si>
  <si>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JGH PROYECTOS Y SERVICIOS SAS</t>
  </si>
  <si>
    <t>900 510463</t>
  </si>
  <si>
    <t>CALLE 39 No. 4B-19</t>
  </si>
  <si>
    <t>CALI</t>
  </si>
  <si>
    <t>htarazona@jghproyectos.com</t>
  </si>
  <si>
    <t>HENRY TARAZONA</t>
  </si>
  <si>
    <t>317 4756600</t>
  </si>
  <si>
    <t>LUIS BENAVIDEZ</t>
  </si>
  <si>
    <t>JUNTA ANTI VIBRATORIA AC/INOX BRIDA A / C 4 "</t>
  </si>
  <si>
    <t>X  50  CMTS</t>
  </si>
  <si>
    <t>FABRICACION</t>
  </si>
  <si>
    <t>EMPAQUE FLEXITALICO 4 "  X  150 LBS</t>
  </si>
  <si>
    <t xml:space="preserve">SETECIENTOS NOVENTA Y UN MIL TREINTA Y CINCO </t>
  </si>
  <si>
    <t>PESOS MDA / CTE</t>
  </si>
  <si>
    <t>ENTREGA EN DOS DIAS POSTERIOR A ORDEN DE COMPRA</t>
  </si>
  <si>
    <t>No.  3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</si>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</sst>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tarazona@jghproyec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topLeftCell="A7" zoomScaleNormal="100" workbookViewId="0">
      <selection activeCell="G29" sqref="G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56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55</v>
      </c>
    </row>
    <row r="8" spans="1:8" ht="18.75" x14ac:dyDescent="0.3">
      <c r="A8" s="21" t="s">
        <v>8</v>
      </c>
      <c r="C8" s="71" t="s">
        <v>41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42</v>
      </c>
      <c r="D9" s="23"/>
      <c r="E9" s="74" t="s">
        <v>43</v>
      </c>
      <c r="F9" s="30" t="s">
        <v>0</v>
      </c>
      <c r="H9" s="28">
        <v>45847</v>
      </c>
    </row>
    <row r="10" spans="1:8" ht="18.75" x14ac:dyDescent="0.3">
      <c r="A10" s="21" t="s">
        <v>13</v>
      </c>
      <c r="C10" s="75" t="s">
        <v>44</v>
      </c>
      <c r="D10" s="70"/>
      <c r="E10" s="45"/>
      <c r="F10" s="30" t="s">
        <v>15</v>
      </c>
      <c r="H10" s="29"/>
    </row>
    <row r="11" spans="1:8" ht="18.75" x14ac:dyDescent="0.3">
      <c r="A11" s="21" t="s">
        <v>10</v>
      </c>
      <c r="C11" s="76" t="s">
        <v>45</v>
      </c>
      <c r="D11" s="7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 t="s">
        <v>46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47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48</v>
      </c>
      <c r="C16" s="66"/>
      <c r="D16" s="67"/>
      <c r="E16" s="64" t="s">
        <v>50</v>
      </c>
      <c r="F16" s="68">
        <v>650000</v>
      </c>
      <c r="G16" s="64">
        <v>1</v>
      </c>
      <c r="H16" s="38">
        <f t="shared" ref="H16" si="0">G16*F16</f>
        <v>650000</v>
      </c>
    </row>
    <row r="17" spans="1:8" ht="16.5" thickBot="1" x14ac:dyDescent="0.3">
      <c r="A17" s="64"/>
      <c r="B17" s="65" t="s">
        <v>49</v>
      </c>
      <c r="C17" s="66"/>
      <c r="D17" s="67"/>
      <c r="E17" s="64"/>
      <c r="F17" s="68"/>
      <c r="G17" s="64"/>
      <c r="H17" s="38"/>
    </row>
    <row r="18" spans="1:8" ht="16.5" thickBot="1" x14ac:dyDescent="0.3">
      <c r="A18" s="64">
        <v>2</v>
      </c>
      <c r="B18" s="65" t="s">
        <v>51</v>
      </c>
      <c r="C18" s="66"/>
      <c r="D18" s="67"/>
      <c r="E18" s="64" t="s">
        <v>37</v>
      </c>
      <c r="F18" s="68">
        <v>14500</v>
      </c>
      <c r="G18" s="64">
        <v>2</v>
      </c>
      <c r="H18" s="38">
        <f t="shared" ref="H18" si="1">G18*F18</f>
        <v>29000</v>
      </c>
    </row>
    <row r="19" spans="1:8" ht="19.5" customHeight="1" thickBot="1" x14ac:dyDescent="0.3">
      <c r="A19" s="47"/>
      <c r="B19" s="61"/>
      <c r="D19" s="62"/>
      <c r="E19" s="47"/>
      <c r="F19" s="47"/>
      <c r="G19" s="47"/>
    </row>
    <row r="20" spans="1:8" ht="19.5" customHeight="1" thickBot="1" x14ac:dyDescent="0.35">
      <c r="A20" s="60" t="s">
        <v>23</v>
      </c>
      <c r="B20" s="63" t="s">
        <v>52</v>
      </c>
      <c r="C20" s="12"/>
      <c r="D20" s="13"/>
      <c r="E20" s="48"/>
      <c r="F20" s="37" t="s">
        <v>38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17"/>
      <c r="E21" s="51" t="s">
        <v>24</v>
      </c>
      <c r="F21" s="52"/>
      <c r="G21" s="44"/>
      <c r="H21" s="49">
        <f>SUM(H16:H20)</f>
        <v>679000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129010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>
        <f>H21*G23</f>
        <v>16975</v>
      </c>
    </row>
    <row r="24" spans="1:8" ht="15.75" x14ac:dyDescent="0.25">
      <c r="A24" s="14" t="s">
        <v>54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791035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BB2700BA-A2EA-4AF1-A78A-49049E5B85E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2025-07-09T18:56:41Z</dcterms:modified>
</cp:coreProperties>
</file>