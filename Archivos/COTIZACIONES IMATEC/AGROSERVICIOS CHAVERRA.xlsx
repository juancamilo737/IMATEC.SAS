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COTIZACIONES  I M A T E C  COMERCIALIZADORA\"/>
    </mc:Choice>
  </mc:AlternateContent>
  <xr:revisionPtr revIDLastSave="0" documentId="13_ncr:1_{ACE1637B-70E7-4547-A439-E2A1A79C5F8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GROSERVICIOS CHAVERRA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17" i="1" l="1"/>
  <c r="H22" i="1" s="1"/>
  <c r="H23" i="1" l="1"/>
  <c r="H27" i="1" s="1"/>
</calcChain>
</file>

<file path=xl/sharedStrings.xml><?xml version="1.0" encoding="utf-8"?>
<sst xmlns="http://schemas.openxmlformats.org/spreadsheetml/2006/main" count="50" uniqueCount="50">
  <si>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</si>
  <si>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</si>
  <si>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</si>
  <si>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</si>
  <si>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</si>
  <si>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</si>
  <si>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</si>
  <si>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</si>
  <si>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</si>
  <si>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</si>
  <si>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</si>
  <si>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</si>
  <si>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</si>
  <si>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</si>
  <si>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</si>
  <si>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</si>
  <si>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</si>
  <si>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</si>
  <si>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</si>
  <si>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</si>
  <si>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</si>
  <si>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</si>
  <si>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</si>
  <si>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</si>
  <si>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</si>
  <si>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</si>
  <si>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</si>
  <si>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</si>
  <si>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</si>
  <si>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</si>
  <si>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L I Q U I D A C  I O N</t>
  </si>
  <si>
    <t>ITEM</t>
  </si>
  <si>
    <t>SE ENTREGA EN CALI</t>
  </si>
  <si>
    <t>LUIS A. BENAVIDES</t>
  </si>
  <si>
    <t xml:space="preserve">MAS IVA  </t>
  </si>
  <si>
    <t xml:space="preserve">  CALLE  33B  No. 17C - 70  2º  PISO               B/  LA FLORESTA             -   CALI    -                                  CEL.     321 7834969</t>
  </si>
  <si>
    <t xml:space="preserve">                  INGENIERIA , MONTAJES  Y  ASISTENCIA  TECNICA  S A S</t>
  </si>
  <si>
    <t>TUBERIA A / C  SCH 10  10 "</t>
  </si>
  <si>
    <t>METRO LINEAL</t>
  </si>
  <si>
    <t>AGROSERVICIOS CHAVERRA S.A.S.</t>
  </si>
  <si>
    <t>901 642202</t>
  </si>
  <si>
    <t>PALMIRA</t>
  </si>
  <si>
    <t>CALLE 10  No. 14A-557  ROZO</t>
  </si>
  <si>
    <t>agrochaverra55@gmail.com</t>
  </si>
  <si>
    <t>CINCO MILLONES QUINIENTOS QUINCE MIL CIENTO</t>
  </si>
  <si>
    <t>DIEZ MIL PESOS MDA / CTE</t>
  </si>
  <si>
    <t>FORMA DE PAGO : CONTADO</t>
  </si>
  <si>
    <t>ENTREGA EN CUATRO DIAS A PARTIR DE OREDEN DE COMPRA</t>
  </si>
  <si>
    <t xml:space="preserve">            C O T I Z A C I O N</t>
  </si>
  <si>
    <t xml:space="preserve">                              JAVIER LOZANO TAMAYO C.C. 16´654.252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</si>
</sst>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0" fillId="0" borderId="20" xfId="0" applyBorder="1"/>
    <xf numFmtId="0" fontId="1" fillId="0" borderId="7" xfId="0" applyFont="1" applyBorder="1"/>
    <xf numFmtId="0" fontId="8" fillId="0" borderId="14" xfId="0" applyFont="1" applyBorder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42" fontId="11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4" fillId="0" borderId="20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1" xfId="0" applyNumberFormat="1" applyFont="1" applyBorder="1"/>
    <xf numFmtId="42" fontId="1" fillId="0" borderId="23" xfId="0" applyNumberFormat="1" applyFont="1" applyBorder="1"/>
    <xf numFmtId="0" fontId="0" fillId="0" borderId="22" xfId="0" applyBorder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42" fontId="1" fillId="0" borderId="27" xfId="1" applyFont="1" applyBorder="1" applyAlignment="1">
      <alignment horizontal="center"/>
    </xf>
    <xf numFmtId="0" fontId="12" fillId="0" borderId="18" xfId="2" applyBorder="1"/>
    <xf numFmtId="10" fontId="1" fillId="0" borderId="13" xfId="0" applyNumberFormat="1" applyFont="1" applyBorder="1"/>
    <xf numFmtId="0" fontId="0" fillId="0" borderId="28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23" xfId="0" applyBorder="1"/>
    <xf numFmtId="0" fontId="1" fillId="0" borderId="2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grochaverra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"/>
  <sheetViews>
    <sheetView tabSelected="1" topLeftCell="A4" zoomScaleNormal="100" workbookViewId="0">
      <selection activeCell="G19" sqref="G1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49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48</v>
      </c>
      <c r="G6" s="19"/>
      <c r="H6" s="20"/>
    </row>
    <row r="7" spans="1:8" ht="19.5" thickBot="1" x14ac:dyDescent="0.35">
      <c r="A7" s="21" t="s">
        <v>15</v>
      </c>
      <c r="B7" s="13"/>
      <c r="C7" s="31" t="s">
        <v>39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40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42</v>
      </c>
      <c r="D9" s="24"/>
      <c r="E9" s="25" t="s">
        <v>41</v>
      </c>
      <c r="F9" s="32" t="s">
        <v>0</v>
      </c>
      <c r="H9" s="33">
        <v>45516</v>
      </c>
    </row>
    <row r="10" spans="1:8" ht="18.75" x14ac:dyDescent="0.3">
      <c r="A10" s="22" t="s">
        <v>14</v>
      </c>
      <c r="C10" s="59" t="s">
        <v>43</v>
      </c>
      <c r="D10" s="26"/>
      <c r="E10" s="26"/>
      <c r="F10" s="32" t="s">
        <v>16</v>
      </c>
      <c r="H10" s="34" t="s">
        <v>17</v>
      </c>
    </row>
    <row r="11" spans="1:8" ht="18.75" x14ac:dyDescent="0.3">
      <c r="A11" s="22" t="s">
        <v>11</v>
      </c>
      <c r="C11" s="25"/>
      <c r="D11" s="26"/>
      <c r="E11" s="26"/>
      <c r="F11" s="32" t="s">
        <v>18</v>
      </c>
      <c r="G11" s="35"/>
      <c r="H11" s="33">
        <v>45526</v>
      </c>
    </row>
    <row r="12" spans="1:8" ht="18.75" x14ac:dyDescent="0.3">
      <c r="A12" s="22" t="s">
        <v>12</v>
      </c>
      <c r="C12" s="25">
        <v>3104307584</v>
      </c>
      <c r="D12" s="26"/>
      <c r="E12" s="26"/>
      <c r="F12" s="32" t="s">
        <v>19</v>
      </c>
      <c r="H12" s="36">
        <v>1</v>
      </c>
    </row>
    <row r="13" spans="1:8" ht="18.75" customHeight="1" thickBot="1" x14ac:dyDescent="0.35">
      <c r="A13" s="23" t="s">
        <v>13</v>
      </c>
      <c r="B13" s="4"/>
      <c r="C13" s="25" t="s">
        <v>33</v>
      </c>
      <c r="D13" s="26"/>
      <c r="E13" s="26"/>
      <c r="F13" s="17"/>
      <c r="G13" s="4"/>
      <c r="H13" s="18"/>
    </row>
    <row r="15" spans="1:8" ht="15.75" thickBot="1" x14ac:dyDescent="0.3"/>
    <row r="16" spans="1:8" ht="15.75" thickBot="1" x14ac:dyDescent="0.3">
      <c r="A16" s="37" t="s">
        <v>31</v>
      </c>
      <c r="B16" s="12" t="s">
        <v>24</v>
      </c>
      <c r="C16" s="39"/>
      <c r="D16" s="13"/>
      <c r="E16" s="55" t="s">
        <v>20</v>
      </c>
      <c r="F16" s="56" t="s">
        <v>22</v>
      </c>
      <c r="G16" s="56" t="s">
        <v>21</v>
      </c>
      <c r="H16" s="57" t="s">
        <v>23</v>
      </c>
    </row>
    <row r="17" spans="1:8" ht="16.5" thickBot="1" x14ac:dyDescent="0.3">
      <c r="A17" s="65">
        <v>1</v>
      </c>
      <c r="B17" s="66" t="s">
        <v>37</v>
      </c>
      <c r="C17" s="67"/>
      <c r="D17" s="68"/>
      <c r="E17" s="63" t="s">
        <v>38</v>
      </c>
      <c r="F17" s="44">
        <v>263000</v>
      </c>
      <c r="G17" s="37">
        <v>18</v>
      </c>
      <c r="H17" s="58">
        <f>F17*G17</f>
        <v>4734000</v>
      </c>
    </row>
    <row r="18" spans="1:8" ht="19.5" customHeight="1" x14ac:dyDescent="0.25">
      <c r="B18" s="40"/>
      <c r="D18" s="38"/>
      <c r="H18" s="38"/>
    </row>
    <row r="19" spans="1:8" ht="19.5" customHeight="1" x14ac:dyDescent="0.25">
      <c r="A19" s="43"/>
      <c r="B19" s="41"/>
      <c r="C19" s="42"/>
      <c r="D19" s="43"/>
      <c r="E19" s="42"/>
      <c r="F19" s="42"/>
      <c r="G19" s="42"/>
      <c r="H19" s="43"/>
    </row>
    <row r="20" spans="1:8" ht="19.5" customHeight="1" thickBot="1" x14ac:dyDescent="0.3"/>
    <row r="21" spans="1:8" ht="19.5" customHeight="1" thickBot="1" x14ac:dyDescent="0.35">
      <c r="A21" s="69" t="s">
        <v>25</v>
      </c>
      <c r="B21" s="12" t="s">
        <v>44</v>
      </c>
      <c r="C21" s="13"/>
      <c r="D21" s="14"/>
      <c r="E21" s="13"/>
      <c r="F21" s="46" t="s">
        <v>30</v>
      </c>
      <c r="G21" s="13"/>
      <c r="H21" s="7"/>
    </row>
    <row r="22" spans="1:8" ht="19.5" customHeight="1" thickBot="1" x14ac:dyDescent="0.3">
      <c r="A22" s="70"/>
      <c r="B22" s="17" t="s">
        <v>45</v>
      </c>
      <c r="C22" s="4"/>
      <c r="D22" s="4"/>
      <c r="E22" s="47" t="s">
        <v>26</v>
      </c>
      <c r="F22" s="48"/>
      <c r="G22" s="26"/>
      <c r="H22" s="52">
        <f>SUM(H17:H17)</f>
        <v>4734000</v>
      </c>
    </row>
    <row r="23" spans="1:8" ht="19.5" customHeight="1" x14ac:dyDescent="0.25">
      <c r="A23" s="27" t="s">
        <v>27</v>
      </c>
      <c r="B23" s="13"/>
      <c r="C23" s="13"/>
      <c r="D23" s="14"/>
      <c r="E23" s="3" t="s">
        <v>34</v>
      </c>
      <c r="F23" s="49"/>
      <c r="G23" s="51">
        <v>0.19</v>
      </c>
      <c r="H23" s="53">
        <f>H22*0.19</f>
        <v>899460</v>
      </c>
    </row>
    <row r="24" spans="1:8" ht="15.75" x14ac:dyDescent="0.25">
      <c r="A24" s="62" t="s">
        <v>46</v>
      </c>
      <c r="D24" s="16"/>
      <c r="E24" s="48" t="s">
        <v>28</v>
      </c>
      <c r="F24" s="48"/>
      <c r="G24" s="60">
        <v>2.5000000000000001E-2</v>
      </c>
      <c r="H24" s="53">
        <f>H22*G24</f>
        <v>118350</v>
      </c>
    </row>
    <row r="25" spans="1:8" x14ac:dyDescent="0.25">
      <c r="A25" s="62" t="s">
        <v>47</v>
      </c>
      <c r="D25" s="16"/>
      <c r="H25" s="64"/>
    </row>
    <row r="26" spans="1:8" ht="16.5" thickBot="1" x14ac:dyDescent="0.3">
      <c r="A26" s="15" t="s">
        <v>32</v>
      </c>
      <c r="D26" s="16"/>
      <c r="E26" s="61"/>
      <c r="F26" s="48"/>
      <c r="G26" s="26"/>
      <c r="H26" s="54"/>
    </row>
    <row r="27" spans="1:8" ht="16.5" customHeight="1" thickBot="1" x14ac:dyDescent="0.35">
      <c r="A27" s="17"/>
      <c r="B27" s="4"/>
      <c r="C27" s="4"/>
      <c r="D27" s="18"/>
      <c r="F27" s="3"/>
      <c r="G27" s="50" t="s">
        <v>29</v>
      </c>
      <c r="H27" s="45">
        <f>H22+H23-H24</f>
        <v>5515110</v>
      </c>
    </row>
    <row r="29" spans="1:8" x14ac:dyDescent="0.25">
      <c r="A29" t="s">
        <v>1</v>
      </c>
    </row>
    <row r="31" spans="1:8" ht="15.75" thickBot="1" x14ac:dyDescent="0.3"/>
    <row r="32" spans="1:8" ht="19.5" thickBot="1" x14ac:dyDescent="0.35">
      <c r="A32" s="28" t="s">
        <v>35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mergeCells count="1">
    <mergeCell ref="A21:A22"/>
  </mergeCells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AGROSERVICIOS CHAVERRA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2024-08-12T14:03:28Z</cp:lastPrinted>
  <dcterms:created xsi:type="dcterms:W3CDTF">2018-11-15T17:29:02Z</dcterms:created>
  <dcterms:modified xsi:type="dcterms:W3CDTF">2024-08-12T15:00:42Z</dcterms:modified>
</cp:coreProperties>
</file>