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F330767-FF4D-46C6-8820-0E3B39FDF4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19" i="2" l="1"/>
  <c r="H18" i="2"/>
  <c r="H17" i="2"/>
  <c r="H16" i="2"/>
  <c r="H23" i="2" l="1"/>
  <c r="H27" i="2" s="1"/>
</calcChain>
</file>

<file path=xl/sharedStrings.xml><?xml version="1.0" encoding="utf-8"?>
<sst xmlns="http://schemas.openxmlformats.org/spreadsheetml/2006/main" count="63" uniqueCount="61">
  <si>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</si>
  <si>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</si>
  <si>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</si>
  <si>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</si>
  <si>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</si>
  <si>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</si>
  <si>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</si>
  <si>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</si>
  <si>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</si>
  <si>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</si>
  <si>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</si>
  <si>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</si>
  <si>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</si>
  <si>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</si>
  <si>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</si>
  <si>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</si>
  <si>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</si>
  <si>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</si>
  <si>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</si>
  <si>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</si>
  <si>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</si>
  <si>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</si>
  <si>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</si>
  <si>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</si>
  <si>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</si>
  <si>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</si>
  <si>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</si>
  <si>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</si>
  <si>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</si>
  <si>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</si>
  <si>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</si>
  <si>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</si>
  <si>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</si>
  <si>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</si>
  <si>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</si>
  <si>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</si>
  <si>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</si>
  <si>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</si>
  <si>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</si>
  <si>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</si>
  <si>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</si>
  <si>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</si>
  <si>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</si>
  <si>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</si>
  <si>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</si>
  <si>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</si>
  <si>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</si>
  <si>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</si>
  <si>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ENTREGA INMEDIATA</t>
  </si>
  <si>
    <t>30 DIAS</t>
  </si>
  <si>
    <t xml:space="preserve">              R E M I S I O N</t>
  </si>
  <si>
    <t xml:space="preserve">        KAREN</t>
  </si>
  <si>
    <t>LA FLORA</t>
  </si>
  <si>
    <t>METRO LINEAL</t>
  </si>
  <si>
    <t>No.  64</t>
  </si>
  <si>
    <t>RACOR  1/2 *  NPT  X  1/4 * OD FESTO</t>
  </si>
  <si>
    <t>MANGUERA PLASTICA 1/4 " FESTO</t>
  </si>
  <si>
    <t>TORNILLO AC/INOX 304  1/2 "  X  2 " COMPLETO</t>
  </si>
  <si>
    <t>SOPORTE TIPO COLOMBINA 2 1/2 " AC/INOX</t>
  </si>
  <si>
    <t>CIENTO CUARENTA Y TRES MIL CIENTO CINCUENTA</t>
  </si>
  <si>
    <t>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</si>
</sst>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11" xfId="0" applyFont="1" applyBorder="1"/>
    <xf numFmtId="0" fontId="8" fillId="0" borderId="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2"/>
  <sheetViews>
    <sheetView tabSelected="1" topLeftCell="A11" zoomScaleNormal="100" workbookViewId="0">
      <selection activeCell="L27" sqref="L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2" t="s">
        <v>54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45853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45883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0"/>
      <c r="H12" s="31" t="s">
        <v>51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69" t="s">
        <v>52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32" t="s">
        <v>19</v>
      </c>
      <c r="G15" s="32" t="s">
        <v>18</v>
      </c>
      <c r="H15" s="32" t="s">
        <v>20</v>
      </c>
    </row>
    <row r="16" spans="1:8" ht="15.75" thickBot="1" x14ac:dyDescent="0.3">
      <c r="A16" s="65">
        <v>1</v>
      </c>
      <c r="B16" s="66" t="s">
        <v>55</v>
      </c>
      <c r="C16" s="67"/>
      <c r="D16" s="45"/>
      <c r="E16" s="68" t="s">
        <v>47</v>
      </c>
      <c r="F16" s="71">
        <v>16500</v>
      </c>
      <c r="G16" s="72">
        <v>3</v>
      </c>
      <c r="H16" s="38">
        <f>F16*G16</f>
        <v>49500</v>
      </c>
    </row>
    <row r="17" spans="1:8" ht="15.75" thickBot="1" x14ac:dyDescent="0.3">
      <c r="A17" s="65">
        <v>2</v>
      </c>
      <c r="B17" s="66" t="s">
        <v>56</v>
      </c>
      <c r="C17" s="67"/>
      <c r="D17" s="45"/>
      <c r="E17" s="68" t="s">
        <v>53</v>
      </c>
      <c r="F17" s="71">
        <v>4000</v>
      </c>
      <c r="G17" s="72">
        <v>3</v>
      </c>
      <c r="H17" s="38">
        <f t="shared" ref="H17:H19" si="0">F17*G17</f>
        <v>12000</v>
      </c>
    </row>
    <row r="18" spans="1:8" ht="15.75" thickBot="1" x14ac:dyDescent="0.3">
      <c r="A18" s="65">
        <v>3</v>
      </c>
      <c r="B18" s="66" t="s">
        <v>57</v>
      </c>
      <c r="C18" s="67"/>
      <c r="D18" s="45"/>
      <c r="E18" s="68" t="s">
        <v>47</v>
      </c>
      <c r="F18" s="71">
        <v>3500</v>
      </c>
      <c r="G18" s="72">
        <v>10</v>
      </c>
      <c r="H18" s="38">
        <f t="shared" si="0"/>
        <v>35000</v>
      </c>
    </row>
    <row r="19" spans="1:8" ht="15.75" thickBot="1" x14ac:dyDescent="0.3">
      <c r="A19" s="65">
        <v>4</v>
      </c>
      <c r="B19" s="66" t="s">
        <v>58</v>
      </c>
      <c r="C19" s="67"/>
      <c r="D19" s="45"/>
      <c r="E19" s="68" t="s">
        <v>47</v>
      </c>
      <c r="F19" s="71">
        <v>11900</v>
      </c>
      <c r="G19" s="72">
        <v>2</v>
      </c>
      <c r="H19" s="38">
        <f t="shared" si="0"/>
        <v>23800</v>
      </c>
    </row>
    <row r="20" spans="1:8" ht="15.75" thickBot="1" x14ac:dyDescent="0.3">
      <c r="B20" s="16"/>
      <c r="C20" s="4"/>
      <c r="D20" s="17"/>
      <c r="F20" s="64"/>
      <c r="G20" s="64"/>
    </row>
    <row r="21" spans="1:8" ht="19.5" customHeight="1" thickBot="1" x14ac:dyDescent="0.35">
      <c r="A21" s="61" t="s">
        <v>22</v>
      </c>
      <c r="B21" s="74" t="s">
        <v>59</v>
      </c>
      <c r="C21" s="12"/>
      <c r="D21" s="13"/>
      <c r="E21" s="63"/>
      <c r="F21" s="37" t="s">
        <v>43</v>
      </c>
      <c r="G21" s="6"/>
      <c r="H21" s="7"/>
    </row>
    <row r="22" spans="1:8" ht="19.5" customHeight="1" thickBot="1" x14ac:dyDescent="0.3">
      <c r="A22" s="39"/>
      <c r="B22" s="73" t="s">
        <v>60</v>
      </c>
      <c r="C22" s="4"/>
      <c r="D22" s="17"/>
      <c r="E22" s="52" t="s">
        <v>23</v>
      </c>
      <c r="F22" s="52"/>
      <c r="G22" s="45"/>
      <c r="H22" s="50">
        <f>SUM(H16:H19)</f>
        <v>120300</v>
      </c>
    </row>
    <row r="23" spans="1:8" ht="19.5" customHeight="1" x14ac:dyDescent="0.25">
      <c r="A23" s="24" t="s">
        <v>24</v>
      </c>
      <c r="E23" s="53" t="s">
        <v>28</v>
      </c>
      <c r="F23" s="23"/>
      <c r="G23" s="54">
        <v>0.19</v>
      </c>
      <c r="H23" s="40">
        <f>H22*G23</f>
        <v>22857</v>
      </c>
    </row>
    <row r="24" spans="1:8" ht="19.5" customHeight="1" x14ac:dyDescent="0.25">
      <c r="A24" s="14" t="s">
        <v>42</v>
      </c>
      <c r="E24" s="55" t="s">
        <v>25</v>
      </c>
      <c r="G24" s="58">
        <v>2.5000000000000001E-2</v>
      </c>
      <c r="H24" s="51"/>
    </row>
    <row r="25" spans="1:8" ht="15.75" x14ac:dyDescent="0.25">
      <c r="A25" s="14" t="s">
        <v>48</v>
      </c>
      <c r="E25" s="14"/>
      <c r="F25" s="33"/>
      <c r="G25" s="46"/>
      <c r="H25" s="15"/>
    </row>
    <row r="26" spans="1:8" ht="16.5" thickBot="1" x14ac:dyDescent="0.3">
      <c r="A26" s="14" t="s">
        <v>30</v>
      </c>
      <c r="E26" s="56" t="s">
        <v>26</v>
      </c>
      <c r="F26" s="57"/>
      <c r="G26" s="47"/>
      <c r="H26" s="17"/>
    </row>
    <row r="27" spans="1:8" ht="19.5" thickBot="1" x14ac:dyDescent="0.35">
      <c r="A27" s="60"/>
      <c r="B27" s="4"/>
      <c r="C27" s="4"/>
      <c r="D27" s="17"/>
      <c r="F27" s="3"/>
      <c r="G27" s="34" t="s">
        <v>27</v>
      </c>
      <c r="H27" s="36">
        <f>H22+H23-H24</f>
        <v>143157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2025-07-11T17:21:53Z</cp:lastPrinted>
  <dcterms:created xsi:type="dcterms:W3CDTF">2018-11-15T17:29:02Z</dcterms:created>
  <dcterms:modified xsi:type="dcterms:W3CDTF">2025-07-15T15:16:12Z</dcterms:modified>
</cp:coreProperties>
</file>