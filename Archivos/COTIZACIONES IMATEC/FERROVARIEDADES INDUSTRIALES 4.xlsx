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F8DF48F-A2B5-4678-BBFD-DCCDD11F8F6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ERROVARIEDAD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5" i="1" l="1"/>
  <c r="H24" i="1"/>
  <c r="H28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<sst xmlns="http://schemas.openxmlformats.org/spreadsheetml/2006/main" count="62" uniqueCount="59">
  <si>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</si>
  <si>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</si>
  <si>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</si>
  <si>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</si>
  <si>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</si>
  <si>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</si>
  <si>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</si>
  <si>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</si>
  <si>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</si>
  <si>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</si>
  <si>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</si>
  <si>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</si>
  <si>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</si>
  <si>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</si>
  <si>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</si>
  <si>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</si>
  <si>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</si>
  <si>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</si>
  <si>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</si>
  <si>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</si>
  <si>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</si>
  <si>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</si>
  <si>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</si>
  <si>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</si>
  <si>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</si>
  <si>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</si>
  <si>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</si>
  <si>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</si>
  <si>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</si>
  <si>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</si>
  <si>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</si>
  <si>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</si>
  <si>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</si>
  <si>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</si>
  <si>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</si>
  <si>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</si>
  <si>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</si>
  <si>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</si>
  <si>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</si>
  <si>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</si>
  <si>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FERROVARIEDADES INDUSTRIALES SAS</t>
  </si>
  <si>
    <t>900 419243</t>
  </si>
  <si>
    <t>CL 48 No. 81-49</t>
  </si>
  <si>
    <t>CALI</t>
  </si>
  <si>
    <t>ferrovariedades@hotmail.com</t>
  </si>
  <si>
    <t>315 35552730</t>
  </si>
  <si>
    <t>LUIS ANTONIO BENAVIDEZ</t>
  </si>
  <si>
    <t>No. 4</t>
  </si>
  <si>
    <t>L I Q U I D A C I O N</t>
  </si>
  <si>
    <t>TRAMPA FLOTADOR A / C  1 " ADCA PORTUGUESA</t>
  </si>
  <si>
    <t>ENTREGA INMEDIATA</t>
  </si>
  <si>
    <t>TUBERIA  A / C SCH 40  1 "</t>
  </si>
  <si>
    <t>METRO LINEAL</t>
  </si>
  <si>
    <t>CODO  A / C  1  "  X  90 º  X  150 LBS NPT</t>
  </si>
  <si>
    <t xml:space="preserve">BRIDA  A / C SLIP ON  3 "  X  150  LBS </t>
  </si>
  <si>
    <t>EMPAQUE FLEXITALICO  3 "  X  150 LBS</t>
  </si>
  <si>
    <t>TRES MILLONES OCHOCIENTOS CINCUENTA Y UN MIL</t>
  </si>
  <si>
    <t>CUATROCIENTOS NOVENTA PESOS MDA / CTE</t>
  </si>
  <si>
    <t>FORMA DE PAGO : CHEQUE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</si>
</sst>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ovariedade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5" zoomScaleNormal="100" workbookViewId="0">
      <selection activeCell="I14" sqref="I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45653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30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45662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39</v>
      </c>
      <c r="F16" s="79">
        <v>2470000</v>
      </c>
      <c r="G16" s="75">
        <v>1</v>
      </c>
      <c r="H16" s="38">
        <f t="shared" ref="H16" si="0">G16*F16</f>
        <v>2470000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52</v>
      </c>
      <c r="F17" s="79">
        <v>16000</v>
      </c>
      <c r="G17" s="75">
        <v>30</v>
      </c>
      <c r="H17" s="38">
        <f t="shared" ref="H17:H20" si="1">G17*F17</f>
        <v>480000</v>
      </c>
    </row>
    <row r="18" spans="1:8" ht="16.5" thickBot="1" x14ac:dyDescent="0.3">
      <c r="A18" s="75">
        <v>3</v>
      </c>
      <c r="B18" s="76" t="s">
        <v>53</v>
      </c>
      <c r="C18" s="77"/>
      <c r="D18" s="78"/>
      <c r="E18" s="75" t="s">
        <v>39</v>
      </c>
      <c r="F18" s="79">
        <v>4500</v>
      </c>
      <c r="G18" s="75">
        <v>8</v>
      </c>
      <c r="H18" s="38">
        <f t="shared" si="1"/>
        <v>36000</v>
      </c>
    </row>
    <row r="19" spans="1:8" ht="16.5" thickBot="1" x14ac:dyDescent="0.3">
      <c r="A19" s="75">
        <v>4</v>
      </c>
      <c r="B19" s="76" t="s">
        <v>54</v>
      </c>
      <c r="C19" s="77"/>
      <c r="D19" s="78"/>
      <c r="E19" s="75" t="s">
        <v>39</v>
      </c>
      <c r="F19" s="79">
        <v>36000</v>
      </c>
      <c r="G19" s="75">
        <v>5</v>
      </c>
      <c r="H19" s="38">
        <f t="shared" si="1"/>
        <v>180000</v>
      </c>
    </row>
    <row r="20" spans="1:8" ht="16.5" thickBot="1" x14ac:dyDescent="0.3">
      <c r="A20" s="75">
        <v>5</v>
      </c>
      <c r="B20" s="76" t="s">
        <v>55</v>
      </c>
      <c r="C20" s="77"/>
      <c r="D20" s="78"/>
      <c r="E20" s="75" t="s">
        <v>39</v>
      </c>
      <c r="F20" s="79">
        <v>14000</v>
      </c>
      <c r="G20" s="75">
        <v>10</v>
      </c>
      <c r="H20" s="38">
        <f t="shared" si="1"/>
        <v>140000</v>
      </c>
    </row>
    <row r="21" spans="1:8" ht="19.5" customHeight="1" thickBot="1" x14ac:dyDescent="0.3">
      <c r="A21" s="51"/>
      <c r="B21" s="45"/>
      <c r="C21" s="42"/>
      <c r="D21" s="52"/>
      <c r="E21" s="53"/>
      <c r="F21" s="53"/>
      <c r="G21" s="53"/>
    </row>
    <row r="22" spans="1:8" ht="19.5" customHeight="1" thickBot="1" x14ac:dyDescent="0.35">
      <c r="A22" s="50" t="s">
        <v>23</v>
      </c>
      <c r="B22" s="14" t="s">
        <v>56</v>
      </c>
      <c r="D22" s="15"/>
      <c r="E22" s="54"/>
      <c r="F22" s="37" t="s">
        <v>48</v>
      </c>
      <c r="G22" s="6"/>
      <c r="H22" s="7"/>
    </row>
    <row r="23" spans="1:8" ht="19.5" customHeight="1" thickBot="1" x14ac:dyDescent="0.3">
      <c r="A23" s="39"/>
      <c r="B23" s="16" t="s">
        <v>57</v>
      </c>
      <c r="C23" s="4"/>
      <c r="D23" s="4"/>
      <c r="E23" s="57" t="s">
        <v>24</v>
      </c>
      <c r="F23" s="58"/>
      <c r="G23" s="46"/>
      <c r="H23" s="55">
        <f>SUM(H16:H20)</f>
        <v>3306000</v>
      </c>
    </row>
    <row r="24" spans="1:8" ht="19.5" customHeight="1" x14ac:dyDescent="0.25">
      <c r="A24" s="24" t="s">
        <v>25</v>
      </c>
      <c r="B24" s="12"/>
      <c r="C24" s="12"/>
      <c r="D24" s="12"/>
      <c r="E24" s="59" t="s">
        <v>29</v>
      </c>
      <c r="F24" s="23"/>
      <c r="G24" s="60">
        <v>0.19</v>
      </c>
      <c r="H24" s="40">
        <f>H23*G24</f>
        <v>628140</v>
      </c>
    </row>
    <row r="25" spans="1:8" ht="19.5" customHeight="1" x14ac:dyDescent="0.25">
      <c r="A25" s="14" t="s">
        <v>58</v>
      </c>
      <c r="E25" s="61" t="s">
        <v>26</v>
      </c>
      <c r="G25" s="64">
        <v>2.5000000000000001E-2</v>
      </c>
      <c r="H25" s="56">
        <f>H23*G25</f>
        <v>82650</v>
      </c>
    </row>
    <row r="26" spans="1:8" ht="15.75" x14ac:dyDescent="0.25">
      <c r="A26" s="14" t="s">
        <v>50</v>
      </c>
      <c r="E26" s="14"/>
      <c r="F26" s="33"/>
      <c r="G26" s="47"/>
      <c r="H26" s="15"/>
    </row>
    <row r="27" spans="1:8" ht="16.5" thickBot="1" x14ac:dyDescent="0.3">
      <c r="A27" s="14" t="s">
        <v>32</v>
      </c>
      <c r="E27" s="62" t="s">
        <v>27</v>
      </c>
      <c r="F27" s="63"/>
      <c r="G27" s="48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3851490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33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AC6A1F1C-FC04-4910-8F20-2844C5C35F9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FERROVARIEDADES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2024-12-27T18:28:00Z</dcterms:modified>
</cp:coreProperties>
</file>