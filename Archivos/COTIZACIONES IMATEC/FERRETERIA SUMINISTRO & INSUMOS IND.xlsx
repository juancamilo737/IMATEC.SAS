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A43DACF-F10B-45A5-8E72-DCF185915F4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. SUMINSUMOS 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1" i="1" s="1"/>
  <c r="H22" i="1" l="1"/>
  <c r="H26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<sst xmlns="http://schemas.openxmlformats.org/spreadsheetml/2006/main" count="54" uniqueCount="54">
  <si>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</si>
  <si>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</si>
  <si>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</si>
  <si>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</si>
  <si>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</si>
  <si>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</si>
  <si>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</si>
  <si>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</si>
  <si>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</si>
  <si>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</si>
  <si>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</si>
  <si>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</si>
  <si>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</si>
  <si>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</si>
  <si>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</si>
  <si>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</si>
  <si>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</si>
  <si>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</si>
  <si>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</si>
  <si>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</si>
  <si>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</si>
  <si>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</si>
  <si>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</si>
  <si>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</si>
  <si>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</si>
  <si>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</si>
  <si>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</si>
  <si>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</si>
  <si>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</si>
  <si>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</si>
  <si>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</si>
  <si>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</si>
  <si>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</si>
  <si>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</si>
  <si>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</si>
  <si>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</si>
  <si>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</si>
  <si>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</si>
  <si>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</si>
  <si>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</si>
  <si>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</si>
  <si>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SUMINISTROS &amp; INSUMOS INDUSTRIALES S.A.S.</t>
  </si>
  <si>
    <t>901 847967</t>
  </si>
  <si>
    <t>AV 3 Nte.  No. 8N-24</t>
  </si>
  <si>
    <t>CALI</t>
  </si>
  <si>
    <t>comercialferreindustrialessas@gmail.com</t>
  </si>
  <si>
    <t>316 8717302</t>
  </si>
  <si>
    <t>LUIS A. BENAVIDES</t>
  </si>
  <si>
    <t>VALVULA MARIPOSA AC/INOX SANITARIA 1 1/2 "</t>
  </si>
  <si>
    <t>ACCESORIO</t>
  </si>
  <si>
    <t>FERULADA</t>
  </si>
  <si>
    <t>ENTREGA 3 DIAS HABILES A PARTIR DE ORDEN DE COMPRA</t>
  </si>
  <si>
    <t>TRESCIENTOS NUEVE MIL CUATROCIENTOS PESOS MDA/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</si>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</sst>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ferreindustriales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H19" sqref="H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8" t="s">
        <v>44</v>
      </c>
      <c r="F9" s="30" t="s">
        <v>0</v>
      </c>
      <c r="H9" s="28">
        <v>45553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45563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37</v>
      </c>
      <c r="B15" s="24" t="s">
        <v>22</v>
      </c>
      <c r="C15" s="43"/>
      <c r="D15" s="13"/>
      <c r="E15" s="53" t="s">
        <v>18</v>
      </c>
      <c r="F15" s="53" t="s">
        <v>20</v>
      </c>
      <c r="G15" s="53" t="s">
        <v>19</v>
      </c>
      <c r="H15" s="32" t="s">
        <v>21</v>
      </c>
    </row>
    <row r="16" spans="1:8" ht="16.5" thickBot="1" x14ac:dyDescent="0.3">
      <c r="A16" s="55">
        <v>1</v>
      </c>
      <c r="B16" s="58" t="s">
        <v>48</v>
      </c>
      <c r="C16" s="59"/>
      <c r="D16" s="60"/>
      <c r="E16" s="55" t="s">
        <v>49</v>
      </c>
      <c r="F16" s="64">
        <v>130000</v>
      </c>
      <c r="G16" s="55">
        <v>2</v>
      </c>
      <c r="H16" s="38">
        <f t="shared" ref="H16" si="0">G16*F16</f>
        <v>260000</v>
      </c>
    </row>
    <row r="17" spans="1:8" ht="16.5" thickBot="1" x14ac:dyDescent="0.3">
      <c r="A17" s="56"/>
      <c r="B17" s="61" t="s">
        <v>50</v>
      </c>
      <c r="C17" s="79"/>
      <c r="D17" s="62"/>
      <c r="E17" s="56"/>
      <c r="F17" s="65"/>
      <c r="G17" s="56"/>
      <c r="H17" s="38"/>
    </row>
    <row r="18" spans="1:8" ht="15.75" x14ac:dyDescent="0.25">
      <c r="A18" s="56"/>
      <c r="B18" s="61"/>
      <c r="C18" s="51"/>
      <c r="D18" s="62"/>
      <c r="E18" s="56"/>
      <c r="F18" s="65"/>
      <c r="G18" s="56"/>
      <c r="H18" s="52"/>
    </row>
    <row r="19" spans="1:8" ht="19.5" customHeight="1" thickBot="1" x14ac:dyDescent="0.3">
      <c r="A19" s="57"/>
      <c r="B19" s="45"/>
      <c r="C19" s="42"/>
      <c r="D19" s="63"/>
      <c r="E19" s="66"/>
      <c r="F19" s="66"/>
      <c r="G19" s="66"/>
    </row>
    <row r="20" spans="1:8" ht="19.5" customHeight="1" thickBot="1" x14ac:dyDescent="0.35">
      <c r="A20" s="54" t="s">
        <v>23</v>
      </c>
      <c r="B20" s="14" t="s">
        <v>52</v>
      </c>
      <c r="D20" s="15"/>
      <c r="E20" s="67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4"/>
      <c r="E21" s="70" t="s">
        <v>24</v>
      </c>
      <c r="F21" s="71"/>
      <c r="G21" s="47"/>
      <c r="H21" s="68">
        <f>SUM(H16:H20)</f>
        <v>260000</v>
      </c>
    </row>
    <row r="22" spans="1:8" ht="19.5" customHeight="1" x14ac:dyDescent="0.25">
      <c r="A22" s="24" t="s">
        <v>25</v>
      </c>
      <c r="B22" s="12"/>
      <c r="C22" s="12"/>
      <c r="D22" s="12"/>
      <c r="E22" s="72" t="s">
        <v>30</v>
      </c>
      <c r="F22" s="23"/>
      <c r="G22" s="73">
        <v>0.19</v>
      </c>
      <c r="H22" s="40">
        <f>H21*G22</f>
        <v>49400</v>
      </c>
    </row>
    <row r="23" spans="1:8" ht="19.5" customHeight="1" x14ac:dyDescent="0.25">
      <c r="A23" s="14" t="s">
        <v>31</v>
      </c>
      <c r="E23" s="74" t="s">
        <v>26</v>
      </c>
      <c r="G23" s="77">
        <v>2.5000000000000001E-2</v>
      </c>
      <c r="H23" s="69"/>
    </row>
    <row r="24" spans="1:8" ht="15.75" x14ac:dyDescent="0.25">
      <c r="A24" s="14" t="s">
        <v>51</v>
      </c>
      <c r="E24" s="14"/>
      <c r="F24" s="33"/>
      <c r="G24" s="48"/>
      <c r="H24" s="15"/>
    </row>
    <row r="25" spans="1:8" ht="16.5" thickBot="1" x14ac:dyDescent="0.3">
      <c r="A25" s="14" t="s">
        <v>34</v>
      </c>
      <c r="E25" s="75" t="s">
        <v>27</v>
      </c>
      <c r="F25" s="76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309400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3D1669BA-ABC9-446F-90FB-CF67AE23CB3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FERRET. SUMINSUMOS 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2024-09-18T22:15:04Z</dcterms:modified>
</cp:coreProperties>
</file>