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893A29A-90BD-4A18-B651-5B8CBD03CC1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OINSE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1" l="1"/>
  <c r="H26" i="1"/>
  <c r="H23" i="1"/>
  <c r="H22" i="1"/>
  <c r="H21" i="1"/>
  <c r="H20" i="1"/>
  <c r="H19" i="1"/>
  <c r="H18" i="1"/>
  <c r="H17" i="1"/>
  <c r="H16" i="1"/>
  <c r="H27" i="1" l="1"/>
  <c r="H31" i="1" s="1"/>
</calcChain>
</file>

<file path=xl/sharedStrings.xml><?xml version="1.0" encoding="utf-8"?>
<sst xmlns="http://schemas.openxmlformats.org/spreadsheetml/2006/main" count="68" uniqueCount="63">
  <si>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</si>
  <si>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</si>
  <si>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</si>
  <si>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</si>
  <si>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</si>
  <si>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</si>
  <si>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</si>
  <si>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</si>
  <si>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</si>
  <si>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</si>
  <si>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</si>
  <si>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</si>
  <si>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</si>
  <si>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</si>
  <si>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</si>
  <si>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</si>
  <si>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</si>
  <si>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</si>
  <si>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</si>
  <si>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</si>
  <si>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</si>
  <si>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</si>
  <si>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</si>
  <si>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</si>
  <si>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</si>
  <si>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</si>
  <si>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</si>
  <si>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</si>
  <si>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</si>
  <si>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</si>
  <si>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</si>
  <si>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</si>
  <si>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</si>
  <si>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</si>
  <si>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</si>
  <si>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</si>
  <si>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</si>
  <si>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MOINSE INDUSTRIAL S.A.S.</t>
  </si>
  <si>
    <t>900 208717</t>
  </si>
  <si>
    <t>CALLE 30  No. 25A-51</t>
  </si>
  <si>
    <t>CALI</t>
  </si>
  <si>
    <t>moinse.facturae@gmail.com</t>
  </si>
  <si>
    <t>602 3719034</t>
  </si>
  <si>
    <t>LUIS A. BENAVIDES</t>
  </si>
  <si>
    <t>ACCESORIO</t>
  </si>
  <si>
    <t>L I Q U I D A C I O N</t>
  </si>
  <si>
    <t xml:space="preserve">  CALLE  33A  No. 17F - 56                          B/  LA FLORESTA             -   CALI    -                                   CEL.     321 7834969</t>
  </si>
  <si>
    <t>ENTREGA INMEDIATA</t>
  </si>
  <si>
    <t xml:space="preserve">           C O T I Z A C I O N</t>
  </si>
  <si>
    <t>10 DIAS</t>
  </si>
  <si>
    <t>No. 15</t>
  </si>
  <si>
    <t>TUBERIA AC/INOX 304  SCH 10  1 1/4 "</t>
  </si>
  <si>
    <t>METRO LINEAL</t>
  </si>
  <si>
    <t>CODO AC/INOX 304  SCH 10  1 1/4 "  X  90 º</t>
  </si>
  <si>
    <t>VALVULA DE BOLA AC/INOX 304  1 1/4 "</t>
  </si>
  <si>
    <t>UNIVERSAL AC/INOX 304  1 1/4 "  X 150 LBS</t>
  </si>
  <si>
    <t>NIPLE AC/INOX 304  1 1/4 "  X  6 "</t>
  </si>
  <si>
    <t>FABRICACION</t>
  </si>
  <si>
    <t xml:space="preserve">CHEQUE CORTINA AC/INOX 304  1 1/4 " </t>
  </si>
  <si>
    <t>STUB END AC/INOX 304  SCH 10  1 1/4 "</t>
  </si>
  <si>
    <t>BRIDA  A / C L J  1 1/4 "  X  150 LBS</t>
  </si>
  <si>
    <t>DIEZ MILLONES SETECIENTOS SESENTA Y UN MIL CIENTO</t>
  </si>
  <si>
    <t>CINCO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</si>
</sst>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5" xfId="0" applyFont="1" applyBorder="1" applyAlignment="1">
      <alignment horizontal="left" vertical="top" wrapText="1"/>
    </xf>
    <xf numFmtId="0" fontId="0" fillId="0" borderId="29" xfId="0" applyBorder="1"/>
    <xf numFmtId="0" fontId="0" fillId="0" borderId="30" xfId="0" applyBorder="1"/>
    <xf numFmtId="0" fontId="0" fillId="0" borderId="6" xfId="0" applyBorder="1"/>
    <xf numFmtId="0" fontId="1" fillId="0" borderId="31" xfId="0" applyFont="1" applyBorder="1" applyAlignment="1">
      <alignment horizontal="center"/>
    </xf>
    <xf numFmtId="0" fontId="1" fillId="0" borderId="24" xfId="0" applyFont="1" applyBorder="1"/>
    <xf numFmtId="0" fontId="1" fillId="0" borderId="25" xfId="0" applyFont="1" applyBorder="1"/>
    <xf numFmtId="0" fontId="8" fillId="0" borderId="32" xfId="0" applyFont="1" applyBorder="1"/>
    <xf numFmtId="0" fontId="1" fillId="0" borderId="33" xfId="0" applyFont="1" applyBorder="1" applyAlignment="1">
      <alignment horizontal="center"/>
    </xf>
    <xf numFmtId="0" fontId="8" fillId="0" borderId="19" xfId="0" applyFont="1" applyBorder="1"/>
    <xf numFmtId="0" fontId="8" fillId="0" borderId="34" xfId="0" applyFont="1" applyBorder="1"/>
    <xf numFmtId="42" fontId="11" fillId="0" borderId="33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inse.factura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6"/>
  <sheetViews>
    <sheetView tabSelected="1" zoomScaleNormal="100" workbookViewId="0">
      <selection activeCell="J9" sqref="J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59" t="s">
        <v>37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1" t="s">
        <v>38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39</v>
      </c>
      <c r="D9" s="23"/>
      <c r="E9" s="64" t="s">
        <v>40</v>
      </c>
      <c r="F9" s="30" t="s">
        <v>0</v>
      </c>
      <c r="H9" s="28">
        <v>45755</v>
      </c>
    </row>
    <row r="10" spans="1:8" ht="18.75" x14ac:dyDescent="0.3">
      <c r="A10" s="21" t="s">
        <v>13</v>
      </c>
      <c r="C10" s="65" t="s">
        <v>41</v>
      </c>
      <c r="D10" s="60"/>
      <c r="E10" s="45"/>
      <c r="F10" s="30" t="s">
        <v>15</v>
      </c>
      <c r="H10" s="29" t="s">
        <v>49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45764</v>
      </c>
    </row>
    <row r="12" spans="1:8" ht="18.75" x14ac:dyDescent="0.3">
      <c r="A12" s="21" t="s">
        <v>11</v>
      </c>
      <c r="C12" s="66" t="s">
        <v>42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43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73" t="s">
        <v>34</v>
      </c>
      <c r="B15" s="74" t="s">
        <v>22</v>
      </c>
      <c r="C15" s="75"/>
      <c r="D15" s="46"/>
      <c r="E15" s="73" t="s">
        <v>18</v>
      </c>
      <c r="F15" s="73" t="s">
        <v>20</v>
      </c>
      <c r="G15" s="73" t="s">
        <v>19</v>
      </c>
      <c r="H15" s="32" t="s">
        <v>21</v>
      </c>
    </row>
    <row r="16" spans="1:8" ht="16.5" thickBot="1" x14ac:dyDescent="0.3">
      <c r="A16" s="77">
        <v>1</v>
      </c>
      <c r="B16" s="76" t="s">
        <v>51</v>
      </c>
      <c r="C16" s="78"/>
      <c r="D16" s="79"/>
      <c r="E16" s="77" t="s">
        <v>52</v>
      </c>
      <c r="F16" s="80">
        <v>48000</v>
      </c>
      <c r="G16" s="77">
        <v>144</v>
      </c>
      <c r="H16" s="38">
        <f t="shared" ref="H16" si="0">G16*F16</f>
        <v>6912000</v>
      </c>
    </row>
    <row r="17" spans="1:8" ht="16.5" thickBot="1" x14ac:dyDescent="0.3">
      <c r="A17" s="77">
        <v>2</v>
      </c>
      <c r="B17" s="76" t="s">
        <v>53</v>
      </c>
      <c r="C17" s="78"/>
      <c r="D17" s="79"/>
      <c r="E17" s="77" t="s">
        <v>44</v>
      </c>
      <c r="F17" s="80">
        <v>17000</v>
      </c>
      <c r="G17" s="77">
        <v>28</v>
      </c>
      <c r="H17" s="38">
        <f t="shared" ref="H17:H23" si="1">G17*F17</f>
        <v>476000</v>
      </c>
    </row>
    <row r="18" spans="1:8" ht="16.5" thickBot="1" x14ac:dyDescent="0.3">
      <c r="A18" s="77">
        <v>3</v>
      </c>
      <c r="B18" s="76" t="s">
        <v>54</v>
      </c>
      <c r="C18" s="78"/>
      <c r="D18" s="79"/>
      <c r="E18" s="77" t="s">
        <v>44</v>
      </c>
      <c r="F18" s="80">
        <v>78000</v>
      </c>
      <c r="G18" s="77">
        <v>6</v>
      </c>
      <c r="H18" s="38">
        <f t="shared" si="1"/>
        <v>468000</v>
      </c>
    </row>
    <row r="19" spans="1:8" ht="16.5" thickBot="1" x14ac:dyDescent="0.3">
      <c r="A19" s="77">
        <v>4</v>
      </c>
      <c r="B19" s="76" t="s">
        <v>55</v>
      </c>
      <c r="C19" s="78"/>
      <c r="D19" s="79"/>
      <c r="E19" s="77" t="s">
        <v>44</v>
      </c>
      <c r="F19" s="80">
        <v>42000</v>
      </c>
      <c r="G19" s="77">
        <v>6</v>
      </c>
      <c r="H19" s="38">
        <f t="shared" si="1"/>
        <v>252000</v>
      </c>
    </row>
    <row r="20" spans="1:8" ht="16.5" thickBot="1" x14ac:dyDescent="0.3">
      <c r="A20" s="77">
        <v>5</v>
      </c>
      <c r="B20" s="76" t="s">
        <v>56</v>
      </c>
      <c r="C20" s="78"/>
      <c r="D20" s="79"/>
      <c r="E20" s="77" t="s">
        <v>57</v>
      </c>
      <c r="F20" s="80">
        <v>26000</v>
      </c>
      <c r="G20" s="77">
        <v>14</v>
      </c>
      <c r="H20" s="38">
        <f t="shared" si="1"/>
        <v>364000</v>
      </c>
    </row>
    <row r="21" spans="1:8" ht="16.5" thickBot="1" x14ac:dyDescent="0.3">
      <c r="A21" s="77">
        <v>6</v>
      </c>
      <c r="B21" s="76" t="s">
        <v>58</v>
      </c>
      <c r="C21" s="78"/>
      <c r="D21" s="79"/>
      <c r="E21" s="77" t="s">
        <v>44</v>
      </c>
      <c r="F21" s="80">
        <v>145000</v>
      </c>
      <c r="G21" s="77">
        <v>2</v>
      </c>
      <c r="H21" s="38">
        <f t="shared" si="1"/>
        <v>290000</v>
      </c>
    </row>
    <row r="22" spans="1:8" ht="16.5" thickBot="1" x14ac:dyDescent="0.3">
      <c r="A22" s="77">
        <v>7</v>
      </c>
      <c r="B22" s="76" t="s">
        <v>59</v>
      </c>
      <c r="C22" s="78"/>
      <c r="D22" s="79"/>
      <c r="E22" s="77" t="s">
        <v>57</v>
      </c>
      <c r="F22" s="80">
        <v>23500</v>
      </c>
      <c r="G22" s="77">
        <v>10</v>
      </c>
      <c r="H22" s="38">
        <f t="shared" si="1"/>
        <v>235000</v>
      </c>
    </row>
    <row r="23" spans="1:8" ht="16.5" thickBot="1" x14ac:dyDescent="0.3">
      <c r="A23" s="77">
        <v>8</v>
      </c>
      <c r="B23" s="76" t="s">
        <v>60</v>
      </c>
      <c r="C23" s="78"/>
      <c r="D23" s="79"/>
      <c r="E23" s="77" t="s">
        <v>44</v>
      </c>
      <c r="F23" s="80">
        <v>24000</v>
      </c>
      <c r="G23" s="77">
        <v>10</v>
      </c>
      <c r="H23" s="38">
        <f t="shared" si="1"/>
        <v>240000</v>
      </c>
    </row>
    <row r="24" spans="1:8" ht="19.5" customHeight="1" thickBot="1" x14ac:dyDescent="0.3">
      <c r="A24" s="47"/>
      <c r="B24" s="70"/>
      <c r="D24" s="71"/>
      <c r="E24" s="47"/>
      <c r="F24" s="47"/>
      <c r="G24" s="47"/>
    </row>
    <row r="25" spans="1:8" ht="19.5" customHeight="1" thickBot="1" x14ac:dyDescent="0.35">
      <c r="A25" s="69" t="s">
        <v>23</v>
      </c>
      <c r="B25" s="72" t="s">
        <v>61</v>
      </c>
      <c r="C25" s="12"/>
      <c r="D25" s="13"/>
      <c r="E25" s="48"/>
      <c r="F25" s="37" t="s">
        <v>45</v>
      </c>
      <c r="G25" s="6"/>
      <c r="H25" s="7"/>
    </row>
    <row r="26" spans="1:8" ht="19.5" customHeight="1" thickBot="1" x14ac:dyDescent="0.3">
      <c r="A26" s="39"/>
      <c r="B26" s="16" t="s">
        <v>62</v>
      </c>
      <c r="C26" s="4"/>
      <c r="D26" s="17"/>
      <c r="E26" s="51" t="s">
        <v>24</v>
      </c>
      <c r="F26" s="52"/>
      <c r="G26" s="44"/>
      <c r="H26" s="49">
        <f>SUM(H16:H23)</f>
        <v>9237000</v>
      </c>
    </row>
    <row r="27" spans="1:8" ht="19.5" customHeight="1" x14ac:dyDescent="0.25">
      <c r="A27" s="24" t="s">
        <v>25</v>
      </c>
      <c r="B27" s="12"/>
      <c r="C27" s="12"/>
      <c r="D27" s="12"/>
      <c r="E27" s="53" t="s">
        <v>29</v>
      </c>
      <c r="F27" s="23"/>
      <c r="G27" s="54">
        <v>0.19</v>
      </c>
      <c r="H27" s="40">
        <f>H26*G27</f>
        <v>1755030</v>
      </c>
    </row>
    <row r="28" spans="1:8" ht="19.5" customHeight="1" x14ac:dyDescent="0.25">
      <c r="A28" s="14" t="s">
        <v>30</v>
      </c>
      <c r="E28" s="55" t="s">
        <v>26</v>
      </c>
      <c r="G28" s="58">
        <v>2.5000000000000001E-2</v>
      </c>
      <c r="H28" s="50">
        <f>H26*G28</f>
        <v>230925</v>
      </c>
    </row>
    <row r="29" spans="1:8" ht="15.75" x14ac:dyDescent="0.25">
      <c r="A29" s="14" t="s">
        <v>47</v>
      </c>
      <c r="E29" s="14"/>
      <c r="F29" s="33"/>
      <c r="G29" s="45"/>
      <c r="H29" s="15"/>
    </row>
    <row r="30" spans="1:8" ht="16.5" thickBot="1" x14ac:dyDescent="0.3">
      <c r="A30" s="14" t="s">
        <v>32</v>
      </c>
      <c r="E30" s="56" t="s">
        <v>27</v>
      </c>
      <c r="F30" s="57"/>
      <c r="G30" s="46"/>
      <c r="H30" s="17"/>
    </row>
    <row r="31" spans="1:8" ht="19.5" thickBot="1" x14ac:dyDescent="0.35">
      <c r="A31" s="16"/>
      <c r="B31" s="4"/>
      <c r="C31" s="4"/>
      <c r="D31" s="17"/>
      <c r="F31" s="3"/>
      <c r="G31" s="34" t="s">
        <v>28</v>
      </c>
      <c r="H31" s="36">
        <f>H26+H27-H28</f>
        <v>10761105</v>
      </c>
    </row>
    <row r="32" spans="1:8" ht="16.5" customHeight="1" x14ac:dyDescent="0.25"/>
    <row r="37" spans="1:8" ht="15.75" thickBot="1" x14ac:dyDescent="0.3"/>
    <row r="38" spans="1:8" ht="19.5" thickBot="1" x14ac:dyDescent="0.35">
      <c r="A38" s="25" t="s">
        <v>46</v>
      </c>
      <c r="B38" s="6"/>
      <c r="C38" s="6"/>
      <c r="D38" s="6"/>
      <c r="E38" s="6"/>
      <c r="F38" s="6"/>
      <c r="G38" s="6"/>
      <c r="H38" s="7"/>
    </row>
    <row r="46" spans="1:8" ht="18.75" x14ac:dyDescent="0.3">
      <c r="A46" s="5"/>
    </row>
  </sheetData>
  <hyperlinks>
    <hyperlink ref="C10" r:id="rId1" xr:uid="{67FC5BE2-5A66-444A-90CE-8F997439A83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MOINSE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2025-03-08T18:40:07Z</cp:lastPrinted>
  <dcterms:created xsi:type="dcterms:W3CDTF">2018-11-15T17:29:02Z</dcterms:created>
  <dcterms:modified xsi:type="dcterms:W3CDTF">2025-04-08T17:28:16Z</dcterms:modified>
</cp:coreProperties>
</file>