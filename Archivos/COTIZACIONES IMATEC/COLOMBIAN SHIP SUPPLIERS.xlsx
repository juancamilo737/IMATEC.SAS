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7EA1393A-D021-4DE8-BF59-27A4AB2280D9}" xr6:coauthVersionLast="47" xr6:coauthVersionMax="47" xr10:uidLastSave="{00000000-0000-0000-0000-000000000000}"/>
  <bookViews>
    <workbookView xWindow="-120" yWindow="-120" windowWidth="15600" windowHeight="11160" xr2:uid="{00000000-000D-0000-FFFF-FFFF00000000}"/>
  </bookViews>
  <sheets>
    <sheet name="COSS S.A.S.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6" i="1" l="1"/>
  <c r="H23" i="1"/>
  <c r="H18" i="1"/>
  <c r="H17" i="1"/>
  <c r="H16" i="1"/>
  <c r="H21" i="1" s="1"/>
  <c r="H22" i="1" l="1"/>
</calcChain>
</file>

<file path=xl/sharedStrings.xml><?xml version="1.0" encoding="utf-8"?>
<sst xmlns="http://schemas.openxmlformats.org/spreadsheetml/2006/main" count="57" uniqueCount="56">
  <si>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</si>
  <si>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</si>
  <si>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</si>
  <si>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</si>
  <si>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</si>
  <si>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</si>
  <si>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</si>
  <si>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</si>
  <si>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</si>
  <si>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</si>
  <si>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</si>
  <si>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</si>
  <si>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</si>
  <si>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</si>
  <si>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</si>
  <si>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</si>
  <si>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</si>
  <si>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</si>
  <si>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</si>
  <si>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</si>
  <si>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</si>
  <si>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</si>
  <si>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</si>
  <si>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</si>
  <si>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</si>
  <si>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</si>
  <si>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</si>
  <si>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</si>
  <si>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</si>
  <si>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</si>
  <si>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</si>
  <si>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</si>
  <si>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</si>
  <si>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</si>
  <si>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</si>
  <si>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 xml:space="preserve">  CALLE  33B  No. 17C - 70  2o. PISO               B/  LA FLORESTA             -   CALI    -                                   CEL.     321 7834969</t>
  </si>
  <si>
    <t>CONTACTOS   310 8306118    319 7174165    321 7834969</t>
  </si>
  <si>
    <t>ITEM</t>
  </si>
  <si>
    <t>ENTREGA INMEDIATA</t>
  </si>
  <si>
    <t>FERRETERIA INDUSTRIAL</t>
  </si>
  <si>
    <t xml:space="preserve">                       INGENIERIA , MONTAJES  Y  ASISTENCIA  TECNICA  S A S</t>
  </si>
  <si>
    <t xml:space="preserve">           C O T I Z A C I O N</t>
  </si>
  <si>
    <t>COLOMBIAN SHIP SUPPLIER S.A.S.</t>
  </si>
  <si>
    <t>900 873786</t>
  </si>
  <si>
    <t>CRA 11  No. 93-53</t>
  </si>
  <si>
    <t>BOGOTÁ</t>
  </si>
  <si>
    <t>gerencia@coss.com.co</t>
  </si>
  <si>
    <t>601 7431434</t>
  </si>
  <si>
    <t>EDINSON CABEZAS</t>
  </si>
  <si>
    <t>TUBERIA  A /C  SCH 80  4 "  S/C</t>
  </si>
  <si>
    <t>METRO LINEAL</t>
  </si>
  <si>
    <t>BRIDA  SLIP ON A / C  4 "  X  150 LB  SOLDAR</t>
  </si>
  <si>
    <t>ACCESORIO</t>
  </si>
  <si>
    <t>BRIDA  SLIP ON A / C  4 "  X  300 LB  SOLDAR</t>
  </si>
  <si>
    <t>UN MILLON NOVECIENTOS SETENTA Y DOS MIL NOVE-</t>
  </si>
  <si>
    <t>CIENTOS TREINTA Y NUEVE 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</si>
</sst>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8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8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0" fillId="0" borderId="19" xfId="0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4" fillId="0" borderId="3" xfId="0" applyFont="1" applyBorder="1"/>
    <xf numFmtId="0" fontId="0" fillId="0" borderId="23" xfId="0" applyBorder="1"/>
    <xf numFmtId="0" fontId="0" fillId="0" borderId="26" xfId="0" applyBorder="1"/>
    <xf numFmtId="0" fontId="0" fillId="0" borderId="29" xfId="0" applyBorder="1"/>
    <xf numFmtId="0" fontId="13" fillId="0" borderId="9" xfId="2" applyBorder="1"/>
    <xf numFmtId="0" fontId="8" fillId="0" borderId="0" xfId="0" applyFont="1"/>
    <xf numFmtId="0" fontId="1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left" vertical="top" wrapText="1"/>
    </xf>
    <xf numFmtId="0" fontId="1" fillId="0" borderId="30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0" fillId="0" borderId="32" xfId="0" applyBorder="1"/>
    <xf numFmtId="0" fontId="8" fillId="0" borderId="33" xfId="0" applyFont="1" applyBorder="1"/>
    <xf numFmtId="0" fontId="8" fillId="0" borderId="34" xfId="0" applyFont="1" applyBorder="1"/>
    <xf numFmtId="0" fontId="8" fillId="0" borderId="35" xfId="0" applyFont="1" applyBorder="1"/>
    <xf numFmtId="0" fontId="8" fillId="0" borderId="36" xfId="0" applyFont="1" applyBorder="1"/>
    <xf numFmtId="0" fontId="8" fillId="0" borderId="37" xfId="0" applyFont="1" applyBorder="1"/>
    <xf numFmtId="0" fontId="0" fillId="0" borderId="38" xfId="0" applyBorder="1"/>
    <xf numFmtId="42" fontId="11" fillId="0" borderId="30" xfId="1" applyFont="1" applyBorder="1" applyAlignment="1">
      <alignment horizontal="center"/>
    </xf>
    <xf numFmtId="42" fontId="11" fillId="0" borderId="31" xfId="1" applyFont="1" applyBorder="1" applyAlignment="1">
      <alignment horizontal="center"/>
    </xf>
    <xf numFmtId="0" fontId="0" fillId="0" borderId="31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1" xfId="0" applyFont="1" applyBorder="1"/>
    <xf numFmtId="0" fontId="4" fillId="0" borderId="22" xfId="0" applyFont="1" applyBorder="1"/>
    <xf numFmtId="0" fontId="4" fillId="0" borderId="9" xfId="0" applyFont="1" applyBorder="1"/>
    <xf numFmtId="9" fontId="1" fillId="0" borderId="24" xfId="3" applyFont="1" applyBorder="1"/>
    <xf numFmtId="0" fontId="4" fillId="0" borderId="25" xfId="0" applyFont="1" applyBorder="1"/>
    <xf numFmtId="0" fontId="4" fillId="0" borderId="27" xfId="0" applyFont="1" applyBorder="1"/>
    <xf numFmtId="0" fontId="4" fillId="0" borderId="28" xfId="0" applyFont="1" applyBorder="1"/>
    <xf numFmtId="10" fontId="1" fillId="0" borderId="10" xfId="0" applyNumberFormat="1" applyFont="1" applyBorder="1"/>
    <xf numFmtId="0" fontId="0" fillId="0" borderId="1" xfId="0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gerencia@coss.com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1"/>
  <sheetViews>
    <sheetView tabSelected="1" topLeftCell="A7" zoomScaleNormal="100" workbookViewId="0">
      <selection activeCell="C24" sqref="C24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39</v>
      </c>
    </row>
    <row r="3" spans="1:8" ht="27" thickBot="1" x14ac:dyDescent="0.45">
      <c r="A3" s="11" t="s">
        <v>40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33</v>
      </c>
      <c r="E4" s="18"/>
      <c r="F4" s="19"/>
      <c r="G4" s="6"/>
      <c r="H4" s="7"/>
    </row>
    <row r="5" spans="1:8" ht="19.5" thickBot="1" x14ac:dyDescent="0.35">
      <c r="A5" s="37" t="s">
        <v>36</v>
      </c>
      <c r="B5" s="6"/>
      <c r="C5" s="6"/>
      <c r="D5" s="6"/>
      <c r="E5" s="6"/>
    </row>
    <row r="6" spans="1:8" ht="24.75" customHeight="1" thickBot="1" x14ac:dyDescent="0.45">
      <c r="F6" s="41" t="s">
        <v>41</v>
      </c>
      <c r="G6" s="43"/>
      <c r="H6" s="44"/>
    </row>
    <row r="7" spans="1:8" ht="19.5" thickBot="1" x14ac:dyDescent="0.35">
      <c r="A7" s="20" t="s">
        <v>14</v>
      </c>
      <c r="B7" s="12"/>
      <c r="C7" s="46" t="s">
        <v>42</v>
      </c>
      <c r="D7" s="6"/>
      <c r="E7" s="6"/>
      <c r="F7" s="37"/>
      <c r="G7" s="18"/>
      <c r="H7" s="19"/>
    </row>
    <row r="8" spans="1:8" ht="19.5" thickBot="1" x14ac:dyDescent="0.35">
      <c r="A8" s="21" t="s">
        <v>8</v>
      </c>
      <c r="C8" s="14" t="s">
        <v>43</v>
      </c>
      <c r="E8" s="15"/>
      <c r="H8" s="15"/>
    </row>
    <row r="9" spans="1:8" ht="18.75" customHeight="1" thickBot="1" x14ac:dyDescent="0.35">
      <c r="A9" s="21" t="s">
        <v>9</v>
      </c>
      <c r="C9" s="14" t="s">
        <v>44</v>
      </c>
      <c r="E9" s="77" t="s">
        <v>45</v>
      </c>
      <c r="F9" s="30" t="s">
        <v>0</v>
      </c>
      <c r="H9" s="28">
        <v>45589</v>
      </c>
    </row>
    <row r="10" spans="1:8" ht="18.75" x14ac:dyDescent="0.3">
      <c r="A10" s="21" t="s">
        <v>13</v>
      </c>
      <c r="C10" s="50" t="s">
        <v>46</v>
      </c>
      <c r="E10" s="15"/>
      <c r="F10" s="30" t="s">
        <v>15</v>
      </c>
      <c r="H10" s="29" t="s">
        <v>32</v>
      </c>
    </row>
    <row r="11" spans="1:8" ht="18.75" x14ac:dyDescent="0.3">
      <c r="A11" s="21" t="s">
        <v>10</v>
      </c>
      <c r="C11" s="14"/>
      <c r="E11" s="15"/>
      <c r="F11" s="30" t="s">
        <v>16</v>
      </c>
      <c r="G11" s="30"/>
      <c r="H11" s="28">
        <v>45598</v>
      </c>
    </row>
    <row r="12" spans="1:8" ht="18.75" x14ac:dyDescent="0.3">
      <c r="A12" s="21" t="s">
        <v>11</v>
      </c>
      <c r="C12" s="14" t="s">
        <v>47</v>
      </c>
      <c r="E12" s="1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16" t="s">
        <v>48</v>
      </c>
      <c r="D13" s="4"/>
      <c r="E13" s="17"/>
      <c r="F13" s="4"/>
      <c r="G13" s="4"/>
      <c r="H13" s="17"/>
    </row>
    <row r="14" spans="1:8" ht="15.75" thickBot="1" x14ac:dyDescent="0.3"/>
    <row r="15" spans="1:8" ht="15.75" thickBot="1" x14ac:dyDescent="0.3">
      <c r="A15" s="52" t="s">
        <v>37</v>
      </c>
      <c r="B15" s="24" t="s">
        <v>22</v>
      </c>
      <c r="C15" s="43"/>
      <c r="D15" s="13"/>
      <c r="E15" s="52" t="s">
        <v>18</v>
      </c>
      <c r="F15" s="52" t="s">
        <v>20</v>
      </c>
      <c r="G15" s="52" t="s">
        <v>19</v>
      </c>
      <c r="H15" s="32" t="s">
        <v>21</v>
      </c>
    </row>
    <row r="16" spans="1:8" ht="16.5" thickBot="1" x14ac:dyDescent="0.3">
      <c r="A16" s="54">
        <v>1</v>
      </c>
      <c r="B16" s="57" t="s">
        <v>49</v>
      </c>
      <c r="C16" s="58"/>
      <c r="D16" s="59"/>
      <c r="E16" s="54" t="s">
        <v>50</v>
      </c>
      <c r="F16" s="63">
        <v>252135</v>
      </c>
      <c r="G16" s="54">
        <v>6</v>
      </c>
      <c r="H16" s="38">
        <f t="shared" ref="H16" si="0">G16*F16</f>
        <v>1512810</v>
      </c>
    </row>
    <row r="17" spans="1:8" ht="16.5" thickBot="1" x14ac:dyDescent="0.3">
      <c r="A17" s="55">
        <v>2</v>
      </c>
      <c r="B17" s="60" t="s">
        <v>51</v>
      </c>
      <c r="C17" s="51"/>
      <c r="D17" s="61"/>
      <c r="E17" s="55" t="s">
        <v>52</v>
      </c>
      <c r="F17" s="64">
        <v>58800</v>
      </c>
      <c r="G17" s="55">
        <v>1</v>
      </c>
      <c r="H17" s="38">
        <f t="shared" ref="H17:H18" si="1">G17*F17</f>
        <v>58800</v>
      </c>
    </row>
    <row r="18" spans="1:8" ht="16.5" thickBot="1" x14ac:dyDescent="0.3">
      <c r="A18" s="55">
        <v>3</v>
      </c>
      <c r="B18" s="60" t="s">
        <v>53</v>
      </c>
      <c r="C18" s="51"/>
      <c r="D18" s="61"/>
      <c r="E18" s="55" t="s">
        <v>52</v>
      </c>
      <c r="F18" s="64">
        <v>121900</v>
      </c>
      <c r="G18" s="55">
        <v>1</v>
      </c>
      <c r="H18" s="38">
        <f t="shared" si="1"/>
        <v>121900</v>
      </c>
    </row>
    <row r="19" spans="1:8" ht="19.5" customHeight="1" thickBot="1" x14ac:dyDescent="0.3">
      <c r="A19" s="56"/>
      <c r="B19" s="45"/>
      <c r="C19" s="42"/>
      <c r="D19" s="62"/>
      <c r="E19" s="65"/>
      <c r="F19" s="65"/>
      <c r="G19" s="65"/>
    </row>
    <row r="20" spans="1:8" ht="19.5" customHeight="1" thickBot="1" x14ac:dyDescent="0.35">
      <c r="A20" s="53" t="s">
        <v>23</v>
      </c>
      <c r="B20" s="14" t="s">
        <v>54</v>
      </c>
      <c r="D20" s="15"/>
      <c r="E20" s="66"/>
      <c r="F20" s="37" t="s">
        <v>29</v>
      </c>
      <c r="G20" s="6"/>
      <c r="H20" s="7"/>
    </row>
    <row r="21" spans="1:8" ht="19.5" customHeight="1" thickBot="1" x14ac:dyDescent="0.3">
      <c r="A21" s="39"/>
      <c r="B21" s="16" t="s">
        <v>55</v>
      </c>
      <c r="C21" s="4"/>
      <c r="D21" s="4"/>
      <c r="E21" s="69" t="s">
        <v>24</v>
      </c>
      <c r="F21" s="70"/>
      <c r="G21" s="47"/>
      <c r="H21" s="67">
        <f>SUM(H16:H20)</f>
        <v>1693510</v>
      </c>
    </row>
    <row r="22" spans="1:8" ht="19.5" customHeight="1" x14ac:dyDescent="0.25">
      <c r="A22" s="24" t="s">
        <v>25</v>
      </c>
      <c r="B22" s="12"/>
      <c r="C22" s="12"/>
      <c r="D22" s="12"/>
      <c r="E22" s="71" t="s">
        <v>30</v>
      </c>
      <c r="F22" s="23"/>
      <c r="G22" s="72">
        <v>0.19</v>
      </c>
      <c r="H22" s="40">
        <f>H21*G22</f>
        <v>321766.90000000002</v>
      </c>
    </row>
    <row r="23" spans="1:8" ht="19.5" customHeight="1" x14ac:dyDescent="0.25">
      <c r="A23" s="14" t="s">
        <v>31</v>
      </c>
      <c r="E23" s="73" t="s">
        <v>26</v>
      </c>
      <c r="G23" s="76">
        <v>2.5000000000000001E-2</v>
      </c>
      <c r="H23" s="68">
        <f>H21*G23</f>
        <v>42337.75</v>
      </c>
    </row>
    <row r="24" spans="1:8" ht="15.75" x14ac:dyDescent="0.25">
      <c r="A24" s="14" t="s">
        <v>38</v>
      </c>
      <c r="E24" s="14"/>
      <c r="F24" s="33"/>
      <c r="G24" s="48"/>
      <c r="H24" s="15"/>
    </row>
    <row r="25" spans="1:8" ht="16.5" thickBot="1" x14ac:dyDescent="0.3">
      <c r="A25" s="14" t="s">
        <v>34</v>
      </c>
      <c r="E25" s="74" t="s">
        <v>27</v>
      </c>
      <c r="F25" s="75"/>
      <c r="G25" s="49"/>
      <c r="H25" s="17"/>
    </row>
    <row r="26" spans="1:8" ht="19.5" thickBot="1" x14ac:dyDescent="0.35">
      <c r="A26" s="16"/>
      <c r="B26" s="4"/>
      <c r="C26" s="4"/>
      <c r="D26" s="17"/>
      <c r="F26" s="3"/>
      <c r="G26" s="34" t="s">
        <v>28</v>
      </c>
      <c r="H26" s="36">
        <f>H21+H22-H23</f>
        <v>1972939.15</v>
      </c>
    </row>
    <row r="27" spans="1:8" ht="16.5" customHeight="1" x14ac:dyDescent="0.25"/>
    <row r="32" spans="1:8" ht="15.75" thickBot="1" x14ac:dyDescent="0.3"/>
    <row r="33" spans="1:8" ht="19.5" thickBot="1" x14ac:dyDescent="0.35">
      <c r="A33" s="25" t="s">
        <v>35</v>
      </c>
      <c r="B33" s="6"/>
      <c r="C33" s="6"/>
      <c r="D33" s="6"/>
      <c r="E33" s="6"/>
      <c r="F33" s="6"/>
      <c r="G33" s="6"/>
      <c r="H33" s="7"/>
    </row>
    <row r="41" spans="1:8" ht="18.75" x14ac:dyDescent="0.3">
      <c r="A41" s="5"/>
    </row>
  </sheetData>
  <hyperlinks>
    <hyperlink ref="C10" r:id="rId1" xr:uid="{D5C51FF1-C965-4799-835A-35EA0DDF6B12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COSS S.A.S.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2024-10-24T17:22:52Z</dcterms:modified>
</cp:coreProperties>
</file>