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6D7C3ACD-02A2-4152-96FC-1433E3D7891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TFRI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<sst xmlns="http://schemas.openxmlformats.org/spreadsheetml/2006/main" count="57" uniqueCount="56">
  <si>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</si>
  <si>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</si>
  <si>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</si>
  <si>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</si>
  <si>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</si>
  <si>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</si>
  <si>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</si>
  <si>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</si>
  <si>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</si>
  <si>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</si>
  <si>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</si>
  <si>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</si>
  <si>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</si>
  <si>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</si>
  <si>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</si>
  <si>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</si>
  <si>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</si>
  <si>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</si>
  <si>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</si>
  <si>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</si>
  <si>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</si>
  <si>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</si>
  <si>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</si>
  <si>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</si>
  <si>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</si>
  <si>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</si>
  <si>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</si>
  <si>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</si>
  <si>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</si>
  <si>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</si>
  <si>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</si>
  <si>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</si>
  <si>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</si>
  <si>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</si>
  <si>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</si>
  <si>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</si>
  <si>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</si>
  <si>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</si>
  <si>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</si>
  <si>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</si>
  <si>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</si>
  <si>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ACCESORIO</t>
  </si>
  <si>
    <t>PAULA CATALINA LEZAMA RAMIREZ</t>
  </si>
  <si>
    <t>1130 683587</t>
  </si>
  <si>
    <t>CRA 3 Nte.  No. 39N-19</t>
  </si>
  <si>
    <t>CALI</t>
  </si>
  <si>
    <t>artfrigorefrigeracion@gmail.com</t>
  </si>
  <si>
    <t xml:space="preserve">ARTFRIGO </t>
  </si>
  <si>
    <t>313 5709424</t>
  </si>
  <si>
    <t>EDINSON CABEZAS</t>
  </si>
  <si>
    <t>NIPLE AC/INOX  1 "  X  2 "</t>
  </si>
  <si>
    <t>ADAPTADOR HEMBRA PVC  1 "</t>
  </si>
  <si>
    <t>CIENTO TREINTA Y TRES MIL CUATROCIENTOS CUARENTA</t>
  </si>
  <si>
    <t>Y SIETE PESOS MDA / CTE</t>
  </si>
  <si>
    <t>ENTREGA INMEDIATA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</si>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</sst>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tfrigorefrigerac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37</v>
      </c>
      <c r="E4" s="19"/>
      <c r="F4" s="20"/>
      <c r="G4" s="6"/>
      <c r="H4" s="7"/>
    </row>
    <row r="5" spans="1:8" ht="19.5" thickBot="1" x14ac:dyDescent="0.35">
      <c r="A5" s="52" t="s">
        <v>40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 t="s">
        <v>55</v>
      </c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45509</v>
      </c>
    </row>
    <row r="10" spans="1:8" ht="18.75" x14ac:dyDescent="0.3">
      <c r="A10" s="22" t="s">
        <v>13</v>
      </c>
      <c r="C10" s="47" t="s">
        <v>46</v>
      </c>
      <c r="D10" s="26"/>
      <c r="E10" s="26"/>
      <c r="F10" s="32" t="s">
        <v>15</v>
      </c>
      <c r="H10" s="34" t="s">
        <v>36</v>
      </c>
    </row>
    <row r="11" spans="1:8" ht="18.75" x14ac:dyDescent="0.3">
      <c r="A11" s="22" t="s">
        <v>10</v>
      </c>
      <c r="C11" s="47" t="s">
        <v>47</v>
      </c>
      <c r="D11" s="26"/>
      <c r="E11" s="26"/>
      <c r="F11" s="32" t="s">
        <v>16</v>
      </c>
      <c r="G11" s="35"/>
      <c r="H11" s="33">
        <v>45517</v>
      </c>
    </row>
    <row r="12" spans="1:8" ht="18.75" x14ac:dyDescent="0.3">
      <c r="A12" s="22" t="s">
        <v>11</v>
      </c>
      <c r="C12" s="25" t="s">
        <v>48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20</v>
      </c>
      <c r="B15" s="51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6.5" thickBot="1" x14ac:dyDescent="0.3">
      <c r="A16" s="58">
        <v>1</v>
      </c>
      <c r="B16" s="59" t="s">
        <v>50</v>
      </c>
      <c r="C16" s="60"/>
      <c r="D16" s="61"/>
      <c r="E16" s="62" t="s">
        <v>41</v>
      </c>
      <c r="F16" s="63">
        <v>7595</v>
      </c>
      <c r="G16" s="58">
        <v>12</v>
      </c>
      <c r="H16" s="53">
        <f t="shared" ref="H16" si="0">G16*F16</f>
        <v>91140</v>
      </c>
    </row>
    <row r="17" spans="1:8" ht="16.5" thickBot="1" x14ac:dyDescent="0.3">
      <c r="A17" s="58">
        <v>2</v>
      </c>
      <c r="B17" s="59" t="s">
        <v>51</v>
      </c>
      <c r="C17" s="60"/>
      <c r="D17" s="61"/>
      <c r="E17" s="62" t="s">
        <v>41</v>
      </c>
      <c r="F17" s="63">
        <v>1750</v>
      </c>
      <c r="G17" s="58">
        <v>12</v>
      </c>
      <c r="H17" s="53">
        <f t="shared" ref="H17" si="1">G17*F17</f>
        <v>21000</v>
      </c>
    </row>
    <row r="18" spans="1:8" ht="16.5" thickBot="1" x14ac:dyDescent="0.3">
      <c r="A18" s="64"/>
      <c r="B18" s="65"/>
      <c r="C18" s="65"/>
      <c r="D18" s="65"/>
      <c r="E18" s="64"/>
      <c r="F18" s="66"/>
      <c r="G18" s="64"/>
      <c r="H18" s="67"/>
    </row>
    <row r="19" spans="1:8" ht="19.5" customHeight="1" thickBot="1" x14ac:dyDescent="0.35">
      <c r="A19" s="54" t="s">
        <v>26</v>
      </c>
      <c r="B19" s="12" t="s">
        <v>52</v>
      </c>
      <c r="C19" s="13"/>
      <c r="D19" s="14"/>
      <c r="E19" s="13"/>
      <c r="F19" s="38" t="s">
        <v>32</v>
      </c>
      <c r="G19" s="13"/>
      <c r="H19" s="7"/>
    </row>
    <row r="20" spans="1:8" ht="19.5" customHeight="1" thickBot="1" x14ac:dyDescent="0.3">
      <c r="A20" s="55"/>
      <c r="B20" s="17" t="s">
        <v>53</v>
      </c>
      <c r="C20" s="4"/>
      <c r="D20" s="4"/>
      <c r="E20" s="39" t="s">
        <v>27</v>
      </c>
      <c r="F20" s="40"/>
      <c r="G20" s="26"/>
      <c r="H20" s="48">
        <f>SUM(H16:H17)</f>
        <v>112140</v>
      </c>
    </row>
    <row r="21" spans="1:8" ht="19.5" customHeight="1" x14ac:dyDescent="0.25">
      <c r="A21" s="27" t="s">
        <v>28</v>
      </c>
      <c r="B21" s="13"/>
      <c r="C21" s="13"/>
      <c r="D21" s="14"/>
      <c r="E21" s="3" t="s">
        <v>34</v>
      </c>
      <c r="F21" s="68"/>
      <c r="G21" s="42">
        <v>0.19</v>
      </c>
      <c r="H21" s="49">
        <f>H20*G21</f>
        <v>21306.6</v>
      </c>
    </row>
    <row r="22" spans="1:8" ht="19.5" customHeight="1" x14ac:dyDescent="0.25">
      <c r="A22" s="15" t="s">
        <v>35</v>
      </c>
      <c r="D22" s="16"/>
      <c r="E22" s="40" t="s">
        <v>29</v>
      </c>
      <c r="G22" s="57">
        <v>2.5000000000000001E-2</v>
      </c>
      <c r="H22" s="43"/>
    </row>
    <row r="23" spans="1:8" ht="15.75" x14ac:dyDescent="0.25">
      <c r="A23" s="15" t="s">
        <v>54</v>
      </c>
      <c r="D23" s="16"/>
      <c r="F23" s="40"/>
      <c r="G23" s="26"/>
      <c r="H23" s="44"/>
    </row>
    <row r="24" spans="1:8" ht="16.5" thickBot="1" x14ac:dyDescent="0.3">
      <c r="A24" s="15" t="s">
        <v>38</v>
      </c>
      <c r="D24" s="16"/>
      <c r="E24" s="40" t="s">
        <v>30</v>
      </c>
      <c r="F24" s="40"/>
      <c r="G24" s="26"/>
      <c r="H24" s="45"/>
    </row>
    <row r="25" spans="1:8" ht="19.5" thickBot="1" x14ac:dyDescent="0.35">
      <c r="A25" s="17"/>
      <c r="B25" s="4"/>
      <c r="C25" s="4"/>
      <c r="D25" s="18"/>
      <c r="F25" s="3"/>
      <c r="G25" s="41" t="s">
        <v>31</v>
      </c>
      <c r="H25" s="50">
        <f>H20+H21-H22</f>
        <v>133446.6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8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ARTFRIGO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2025-09-08T19:30:22Z</dcterms:modified>
</cp:coreProperties>
</file>