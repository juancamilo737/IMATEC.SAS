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FBB1BDDF-A1AB-4F92-8B2E-B51B03399EF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UTOMECHANI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24" i="1" l="1"/>
  <c r="H26" i="1"/>
  <c r="H25" i="1"/>
  <c r="H29" i="1" s="1"/>
</calcChain>
</file>

<file path=xl/sharedStrings.xml><?xml version="1.0" encoding="utf-8"?>
<sst xmlns="http://schemas.openxmlformats.org/spreadsheetml/2006/main" count="63" uniqueCount="59">
  <si>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</si>
  <si>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</si>
  <si>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</si>
  <si>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</si>
  <si>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</si>
  <si>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</si>
  <si>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</si>
  <si>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</si>
  <si>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</si>
  <si>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</si>
  <si>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</si>
  <si>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</si>
  <si>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</si>
  <si>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</si>
  <si>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</si>
  <si>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</si>
  <si>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</si>
  <si>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</si>
  <si>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</si>
  <si>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</si>
  <si>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</si>
  <si>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</si>
  <si>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</si>
  <si>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</si>
  <si>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</si>
  <si>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</si>
  <si>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</si>
  <si>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</si>
  <si>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</si>
  <si>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</si>
  <si>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</si>
  <si>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</si>
  <si>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</si>
  <si>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</si>
  <si>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</si>
  <si>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</si>
  <si>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</si>
  <si>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</si>
  <si>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</si>
  <si>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</si>
  <si>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</si>
  <si>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AUTOMECHANIC SOLUTION S.A.S.</t>
  </si>
  <si>
    <t>900 198264</t>
  </si>
  <si>
    <t>CRA  97   No. 23H - 40</t>
  </si>
  <si>
    <t>BOGOTA</t>
  </si>
  <si>
    <t>facturacion@automechanics.co</t>
  </si>
  <si>
    <t>601 4614446</t>
  </si>
  <si>
    <t>LUIS A. BENAVIDES</t>
  </si>
  <si>
    <t>TUBERIA  A / C  SCH 40  3 "</t>
  </si>
  <si>
    <t>TUBO X 6 MTS</t>
  </si>
  <si>
    <t>TUBERIA  A / C  SCH 40  4 "</t>
  </si>
  <si>
    <t>CODO A / C  SCH 40  3 "  X  90 º</t>
  </si>
  <si>
    <t>CODO A / C  SCH 40  4 "  X  90 º</t>
  </si>
  <si>
    <t>BRIDA A / C  SLIP ON  3 "  X  150  LBS</t>
  </si>
  <si>
    <t>BRIDA A / C  SLIP ON  4 "  X  150  LBS</t>
  </si>
  <si>
    <t>ENTREGA INMEDIATA</t>
  </si>
  <si>
    <t>TRES MILLONES DOSCIENTOS NOVENTA Y CUATRO MIL</t>
  </si>
  <si>
    <t>TREINTA Y OCHO PESOS MDA / CTE</t>
  </si>
  <si>
    <t>CONTACTOS   310 8306118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</si>
</sst>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automechanic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4" zoomScaleNormal="100" workbookViewId="0">
      <selection activeCell="A6" sqref="A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58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45916</v>
      </c>
    </row>
    <row r="10" spans="1:8" ht="18.75" x14ac:dyDescent="0.3">
      <c r="A10" s="21" t="s">
        <v>13</v>
      </c>
      <c r="C10" s="70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45925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49</v>
      </c>
      <c r="F16" s="65">
        <v>420000</v>
      </c>
      <c r="G16" s="61">
        <v>3</v>
      </c>
      <c r="H16" s="38">
        <f t="shared" ref="H16" si="0">G16*F16</f>
        <v>1260000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49</v>
      </c>
      <c r="F17" s="65">
        <v>594000</v>
      </c>
      <c r="G17" s="61">
        <v>2</v>
      </c>
      <c r="H17" s="38">
        <f t="shared" ref="H17:H21" si="1">G17*F17</f>
        <v>1188000</v>
      </c>
    </row>
    <row r="18" spans="1:8" ht="16.5" thickBot="1" x14ac:dyDescent="0.3">
      <c r="A18" s="61">
        <v>3</v>
      </c>
      <c r="B18" s="62" t="s">
        <v>53</v>
      </c>
      <c r="C18" s="63"/>
      <c r="D18" s="64"/>
      <c r="E18" s="61" t="s">
        <v>38</v>
      </c>
      <c r="F18" s="65">
        <v>32000</v>
      </c>
      <c r="G18" s="61">
        <v>2</v>
      </c>
      <c r="H18" s="38">
        <f t="shared" si="1"/>
        <v>64000</v>
      </c>
    </row>
    <row r="19" spans="1:8" ht="16.5" thickBot="1" x14ac:dyDescent="0.3">
      <c r="A19" s="61">
        <v>4</v>
      </c>
      <c r="B19" s="62" t="s">
        <v>54</v>
      </c>
      <c r="C19" s="63"/>
      <c r="D19" s="64"/>
      <c r="E19" s="61" t="s">
        <v>38</v>
      </c>
      <c r="F19" s="65">
        <v>46000</v>
      </c>
      <c r="G19" s="61">
        <v>2</v>
      </c>
      <c r="H19" s="38">
        <f t="shared" si="1"/>
        <v>92000</v>
      </c>
    </row>
    <row r="20" spans="1:8" ht="16.5" thickBot="1" x14ac:dyDescent="0.3">
      <c r="A20" s="61">
        <v>5</v>
      </c>
      <c r="B20" s="62" t="s">
        <v>51</v>
      </c>
      <c r="C20" s="63"/>
      <c r="D20" s="64"/>
      <c r="E20" s="61" t="s">
        <v>38</v>
      </c>
      <c r="F20" s="65">
        <v>17500</v>
      </c>
      <c r="G20" s="61">
        <v>5</v>
      </c>
      <c r="H20" s="38">
        <f t="shared" si="1"/>
        <v>87500</v>
      </c>
    </row>
    <row r="21" spans="1:8" ht="16.5" thickBot="1" x14ac:dyDescent="0.3">
      <c r="A21" s="61">
        <v>6</v>
      </c>
      <c r="B21" s="62" t="s">
        <v>52</v>
      </c>
      <c r="C21" s="63"/>
      <c r="D21" s="64"/>
      <c r="E21" s="61" t="s">
        <v>38</v>
      </c>
      <c r="F21" s="65">
        <v>34000</v>
      </c>
      <c r="G21" s="61">
        <v>4</v>
      </c>
      <c r="H21" s="38">
        <f t="shared" si="1"/>
        <v>136000</v>
      </c>
    </row>
    <row r="22" spans="1:8" ht="19.5" customHeight="1" thickBot="1" x14ac:dyDescent="0.3">
      <c r="A22" s="48"/>
      <c r="B22" s="67"/>
      <c r="D22" s="68"/>
      <c r="E22" s="48"/>
      <c r="F22" s="48"/>
      <c r="G22" s="48"/>
    </row>
    <row r="23" spans="1:8" ht="19.5" customHeight="1" thickBot="1" x14ac:dyDescent="0.35">
      <c r="A23" s="66" t="s">
        <v>23</v>
      </c>
      <c r="B23" s="69" t="s">
        <v>56</v>
      </c>
      <c r="C23" s="12"/>
      <c r="D23" s="13"/>
      <c r="E23" s="49"/>
      <c r="F23" s="37" t="s">
        <v>39</v>
      </c>
      <c r="G23" s="6"/>
      <c r="H23" s="7"/>
    </row>
    <row r="24" spans="1:8" ht="19.5" customHeight="1" thickBot="1" x14ac:dyDescent="0.3">
      <c r="A24" s="39"/>
      <c r="B24" s="16" t="s">
        <v>57</v>
      </c>
      <c r="C24" s="4"/>
      <c r="D24" s="17"/>
      <c r="E24" s="52" t="s">
        <v>24</v>
      </c>
      <c r="F24" s="53"/>
      <c r="G24" s="44"/>
      <c r="H24" s="50">
        <f>SUM(H16:H21)</f>
        <v>2827500</v>
      </c>
    </row>
    <row r="25" spans="1:8" ht="19.5" customHeight="1" x14ac:dyDescent="0.25">
      <c r="A25" s="24" t="s">
        <v>25</v>
      </c>
      <c r="B25" s="12"/>
      <c r="C25" s="12"/>
      <c r="D25" s="12"/>
      <c r="E25" s="54" t="s">
        <v>29</v>
      </c>
      <c r="F25" s="23"/>
      <c r="G25" s="55">
        <v>0.19</v>
      </c>
      <c r="H25" s="40">
        <f>H24*G25</f>
        <v>537225</v>
      </c>
    </row>
    <row r="26" spans="1:8" ht="19.5" customHeight="1" x14ac:dyDescent="0.25">
      <c r="A26" s="14" t="s">
        <v>30</v>
      </c>
      <c r="E26" s="56" t="s">
        <v>26</v>
      </c>
      <c r="G26" s="59">
        <v>2.5000000000000001E-2</v>
      </c>
      <c r="H26" s="51">
        <f>H24*G26</f>
        <v>70687.5</v>
      </c>
    </row>
    <row r="27" spans="1:8" ht="15.75" x14ac:dyDescent="0.25">
      <c r="A27" s="14" t="s">
        <v>55</v>
      </c>
      <c r="E27" s="14"/>
      <c r="F27" s="33"/>
      <c r="G27" s="45"/>
      <c r="H27" s="15"/>
    </row>
    <row r="28" spans="1:8" ht="16.5" thickBot="1" x14ac:dyDescent="0.3">
      <c r="A28" s="14" t="s">
        <v>33</v>
      </c>
      <c r="E28" s="57" t="s">
        <v>27</v>
      </c>
      <c r="F28" s="58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3294037.5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40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6BDA9E8C-3A64-4F7F-BDDB-EEA3E039C3B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AUTOMECHANIC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2025-09-16T22:32:02Z</dcterms:modified>
</cp:coreProperties>
</file>