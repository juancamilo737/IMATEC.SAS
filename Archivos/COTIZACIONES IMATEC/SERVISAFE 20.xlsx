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DF74B99D-FC83-49EC-BF9F-5DAD206DF34B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SERVISAFE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6" i="1"/>
  <c r="H19" i="1" s="1"/>
  <c r="H20" i="1" l="1"/>
  <c r="H24" i="1" s="1"/>
</calcChain>
</file>

<file path=xl/sharedStrings.xml><?xml version="1.0" encoding="utf-8"?>
<sst xmlns="http://schemas.openxmlformats.org/spreadsheetml/2006/main" count="54" uniqueCount="54">
  <si>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</si>
  <si>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</si>
  <si>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</si>
  <si>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</si>
  <si>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</si>
  <si>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</si>
  <si>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</si>
  <si>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</si>
  <si>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</si>
  <si>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</si>
  <si>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</si>
  <si>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</si>
  <si>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</si>
  <si>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</si>
  <si>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</si>
  <si>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</si>
  <si>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</si>
  <si>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</si>
  <si>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</si>
  <si>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</si>
  <si>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</si>
  <si>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</si>
  <si>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</si>
  <si>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</si>
  <si>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</si>
  <si>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</si>
  <si>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</si>
  <si>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</si>
  <si>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</si>
  <si>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</si>
  <si>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</si>
  <si>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</si>
  <si>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</si>
  <si>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</si>
  <si>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</si>
  <si>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</si>
  <si>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</si>
  <si>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L I Q U I D A C I O N</t>
  </si>
  <si>
    <t xml:space="preserve">  CALLE  33A  No. 17F - 56                           B/  LA FLORESTA             -   CALI    -                                       CEL.     321 7834969</t>
  </si>
  <si>
    <t>SERVISAFE  S.A.S.</t>
  </si>
  <si>
    <t>900 702590</t>
  </si>
  <si>
    <t>CARRERA 1  No. 46 - 45</t>
  </si>
  <si>
    <t>CALI</t>
  </si>
  <si>
    <t>contabilidad@servi-safe.com</t>
  </si>
  <si>
    <t>314 5127322</t>
  </si>
  <si>
    <t>LUIS A. BENAVIDES</t>
  </si>
  <si>
    <t xml:space="preserve">           C O T I Z A C I O N</t>
  </si>
  <si>
    <t>10 DIAS</t>
  </si>
  <si>
    <t>ENTREGA INMEDIATA</t>
  </si>
  <si>
    <t>No.  20</t>
  </si>
  <si>
    <t>TUBERIA  AC/INOX 304  SANITARIO 4 "</t>
  </si>
  <si>
    <t>TUBO X 6 MTS</t>
  </si>
  <si>
    <t>SEISCIENTOS VEINTIDOS MIL CIENTO DIEZ PESOS MDA</t>
  </si>
  <si>
    <t>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</si>
</sst>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21" xfId="0" applyBorder="1"/>
    <xf numFmtId="0" fontId="0" fillId="0" borderId="24" xfId="0" applyBorder="1"/>
    <xf numFmtId="0" fontId="0" fillId="0" borderId="27" xfId="0" applyBorder="1"/>
    <xf numFmtId="0" fontId="0" fillId="0" borderId="28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9" xfId="0" applyFont="1" applyBorder="1"/>
    <xf numFmtId="0" fontId="4" fillId="0" borderId="20" xfId="0" applyFont="1" applyBorder="1"/>
    <xf numFmtId="0" fontId="4" fillId="0" borderId="9" xfId="0" applyFont="1" applyBorder="1"/>
    <xf numFmtId="9" fontId="1" fillId="0" borderId="22" xfId="3" applyFont="1" applyBorder="1"/>
    <xf numFmtId="0" fontId="4" fillId="0" borderId="23" xfId="0" applyFont="1" applyBorder="1"/>
    <xf numFmtId="0" fontId="4" fillId="0" borderId="25" xfId="0" applyFont="1" applyBorder="1"/>
    <xf numFmtId="0" fontId="4" fillId="0" borderId="26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9" xfId="0" applyBorder="1"/>
    <xf numFmtId="0" fontId="0" fillId="0" borderId="20" xfId="0" applyBorder="1"/>
    <xf numFmtId="0" fontId="0" fillId="0" borderId="31" xfId="0" applyBorder="1"/>
    <xf numFmtId="0" fontId="0" fillId="0" borderId="22" xfId="0" applyBorder="1"/>
    <xf numFmtId="0" fontId="13" fillId="0" borderId="23" xfId="2" applyBorder="1"/>
    <xf numFmtId="0" fontId="0" fillId="0" borderId="23" xfId="0" applyBorder="1"/>
    <xf numFmtId="0" fontId="0" fillId="0" borderId="25" xfId="0" applyBorder="1"/>
    <xf numFmtId="0" fontId="0" fillId="0" borderId="26" xfId="0" applyBorder="1"/>
    <xf numFmtId="0" fontId="1" fillId="0" borderId="29" xfId="0" applyFont="1" applyBorder="1" applyAlignment="1">
      <alignment horizontal="center"/>
    </xf>
    <xf numFmtId="0" fontId="8" fillId="0" borderId="18" xfId="0" applyFont="1" applyBorder="1"/>
    <xf numFmtId="0" fontId="8" fillId="0" borderId="17" xfId="0" applyFont="1" applyBorder="1"/>
    <xf numFmtId="0" fontId="8" fillId="0" borderId="30" xfId="0" applyFont="1" applyBorder="1"/>
    <xf numFmtId="42" fontId="11" fillId="0" borderId="29" xfId="1" applyFont="1" applyBorder="1" applyAlignment="1">
      <alignment horizontal="center"/>
    </xf>
    <xf numFmtId="0" fontId="1" fillId="0" borderId="3" xfId="0" applyFont="1" applyBorder="1"/>
    <xf numFmtId="0" fontId="1" fillId="0" borderId="32" xfId="0" applyFont="1" applyBorder="1" applyAlignment="1">
      <alignment horizontal="left" vertical="top" wrapText="1"/>
    </xf>
    <xf numFmtId="0" fontId="0" fillId="0" borderId="33" xfId="0" applyBorder="1"/>
    <xf numFmtId="0" fontId="0" fillId="0" borderId="34" xfId="0" applyBorder="1"/>
    <xf numFmtId="0" fontId="0" fillId="0" borderId="6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contabilidad@servi-saf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9"/>
  <sheetViews>
    <sheetView tabSelected="1" topLeftCell="A7" zoomScaleNormal="100" workbookViewId="0">
      <selection activeCell="J21" sqref="J21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35</v>
      </c>
    </row>
    <row r="3" spans="1:8" ht="27" thickBot="1" x14ac:dyDescent="0.45">
      <c r="A3" s="11" t="s">
        <v>36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46</v>
      </c>
      <c r="G6" s="42"/>
      <c r="H6" s="43"/>
    </row>
    <row r="7" spans="1:8" ht="19.5" thickBot="1" x14ac:dyDescent="0.35">
      <c r="A7" s="20" t="s">
        <v>14</v>
      </c>
      <c r="B7" s="12"/>
      <c r="C7" s="59" t="s">
        <v>39</v>
      </c>
      <c r="D7" s="12"/>
      <c r="E7" s="13"/>
      <c r="F7" s="37"/>
      <c r="G7" s="18"/>
      <c r="H7" s="19" t="s">
        <v>49</v>
      </c>
    </row>
    <row r="8" spans="1:8" ht="18.75" x14ac:dyDescent="0.3">
      <c r="A8" s="21" t="s">
        <v>8</v>
      </c>
      <c r="C8" s="61" t="s">
        <v>40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41</v>
      </c>
      <c r="D9" s="23"/>
      <c r="E9" s="64" t="s">
        <v>42</v>
      </c>
      <c r="F9" s="30" t="s">
        <v>0</v>
      </c>
      <c r="H9" s="28">
        <v>45833</v>
      </c>
    </row>
    <row r="10" spans="1:8" ht="18.75" x14ac:dyDescent="0.3">
      <c r="A10" s="21" t="s">
        <v>13</v>
      </c>
      <c r="C10" s="65" t="s">
        <v>43</v>
      </c>
      <c r="D10" s="60"/>
      <c r="E10" s="45"/>
      <c r="F10" s="30" t="s">
        <v>15</v>
      </c>
      <c r="H10" s="29" t="s">
        <v>47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45843</v>
      </c>
    </row>
    <row r="12" spans="1:8" ht="18.75" x14ac:dyDescent="0.3">
      <c r="A12" s="21" t="s">
        <v>11</v>
      </c>
      <c r="C12" s="66" t="s">
        <v>44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45</v>
      </c>
      <c r="D13" s="68"/>
      <c r="E13" s="46"/>
      <c r="F13" s="4"/>
      <c r="G13" s="4"/>
      <c r="H13" s="17"/>
    </row>
    <row r="14" spans="1:8" ht="15.75" thickBot="1" x14ac:dyDescent="0.3"/>
    <row r="15" spans="1:8" ht="15.75" thickBot="1" x14ac:dyDescent="0.3">
      <c r="A15" s="32" t="s">
        <v>34</v>
      </c>
      <c r="B15" s="74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69">
        <v>1</v>
      </c>
      <c r="B16" s="70" t="s">
        <v>50</v>
      </c>
      <c r="C16" s="71"/>
      <c r="D16" s="72"/>
      <c r="E16" s="69" t="s">
        <v>51</v>
      </c>
      <c r="F16" s="73">
        <v>534000</v>
      </c>
      <c r="G16" s="69">
        <v>1</v>
      </c>
      <c r="H16" s="38">
        <f t="shared" ref="H16" si="0">G16*F16</f>
        <v>534000</v>
      </c>
    </row>
    <row r="17" spans="1:8" ht="19.5" customHeight="1" thickBot="1" x14ac:dyDescent="0.3">
      <c r="A17" s="47"/>
      <c r="B17" s="76"/>
      <c r="D17" s="77"/>
      <c r="E17" s="47"/>
      <c r="F17" s="47"/>
      <c r="G17" s="47"/>
    </row>
    <row r="18" spans="1:8" ht="19.5" customHeight="1" thickBot="1" x14ac:dyDescent="0.35">
      <c r="A18" s="75" t="s">
        <v>23</v>
      </c>
      <c r="B18" s="78" t="s">
        <v>52</v>
      </c>
      <c r="C18" s="12"/>
      <c r="D18" s="13"/>
      <c r="E18" s="48"/>
      <c r="F18" s="37" t="s">
        <v>37</v>
      </c>
      <c r="G18" s="6"/>
      <c r="H18" s="7"/>
    </row>
    <row r="19" spans="1:8" ht="19.5" customHeight="1" thickBot="1" x14ac:dyDescent="0.3">
      <c r="A19" s="39"/>
      <c r="B19" s="16" t="s">
        <v>53</v>
      </c>
      <c r="C19" s="4"/>
      <c r="D19" s="17"/>
      <c r="E19" s="51" t="s">
        <v>24</v>
      </c>
      <c r="F19" s="52"/>
      <c r="G19" s="44"/>
      <c r="H19" s="49">
        <f>SUM(H16:H18)</f>
        <v>534000</v>
      </c>
    </row>
    <row r="20" spans="1:8" ht="19.5" customHeight="1" x14ac:dyDescent="0.25">
      <c r="A20" s="24" t="s">
        <v>25</v>
      </c>
      <c r="B20" s="12"/>
      <c r="C20" s="12"/>
      <c r="D20" s="12"/>
      <c r="E20" s="53" t="s">
        <v>29</v>
      </c>
      <c r="F20" s="23"/>
      <c r="G20" s="54">
        <v>0.19</v>
      </c>
      <c r="H20" s="40">
        <f>H19*G20</f>
        <v>101460</v>
      </c>
    </row>
    <row r="21" spans="1:8" ht="19.5" customHeight="1" x14ac:dyDescent="0.25">
      <c r="A21" s="14" t="s">
        <v>30</v>
      </c>
      <c r="E21" s="55" t="s">
        <v>26</v>
      </c>
      <c r="G21" s="58">
        <v>2.5000000000000001E-2</v>
      </c>
      <c r="H21" s="50">
        <f>H19*G21</f>
        <v>13350</v>
      </c>
    </row>
    <row r="22" spans="1:8" ht="15.75" x14ac:dyDescent="0.25">
      <c r="A22" s="14" t="s">
        <v>48</v>
      </c>
      <c r="E22" s="14"/>
      <c r="F22" s="33"/>
      <c r="G22" s="45"/>
      <c r="H22" s="15"/>
    </row>
    <row r="23" spans="1:8" ht="16.5" thickBot="1" x14ac:dyDescent="0.3">
      <c r="A23" s="14" t="s">
        <v>32</v>
      </c>
      <c r="E23" s="56" t="s">
        <v>27</v>
      </c>
      <c r="F23" s="57"/>
      <c r="G23" s="46"/>
      <c r="H23" s="17"/>
    </row>
    <row r="24" spans="1:8" ht="19.5" thickBot="1" x14ac:dyDescent="0.35">
      <c r="A24" s="16"/>
      <c r="B24" s="4"/>
      <c r="C24" s="4"/>
      <c r="D24" s="17"/>
      <c r="F24" s="3"/>
      <c r="G24" s="34" t="s">
        <v>28</v>
      </c>
      <c r="H24" s="36">
        <f>H19+H20-H21</f>
        <v>622110</v>
      </c>
    </row>
    <row r="25" spans="1:8" ht="16.5" customHeight="1" x14ac:dyDescent="0.25"/>
    <row r="30" spans="1:8" ht="15.75" thickBot="1" x14ac:dyDescent="0.3"/>
    <row r="31" spans="1:8" ht="19.5" thickBot="1" x14ac:dyDescent="0.35">
      <c r="A31" s="25" t="s">
        <v>38</v>
      </c>
      <c r="B31" s="6"/>
      <c r="C31" s="6"/>
      <c r="D31" s="6"/>
      <c r="E31" s="6"/>
      <c r="F31" s="6"/>
      <c r="G31" s="6"/>
      <c r="H31" s="7"/>
    </row>
    <row r="39" spans="1:1" ht="18.75" x14ac:dyDescent="0.3">
      <c r="A39" s="5"/>
    </row>
  </sheetData>
  <hyperlinks>
    <hyperlink ref="C10" r:id="rId1" xr:uid="{00000000-0004-0000-0000-000000000000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SERVISAFE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2025-06-25T14:27:18Z</cp:lastPrinted>
  <dcterms:created xsi:type="dcterms:W3CDTF">2018-11-15T17:29:02Z</dcterms:created>
  <dcterms:modified xsi:type="dcterms:W3CDTF">2025-06-25T19:54:00Z</dcterms:modified>
</cp:coreProperties>
</file>