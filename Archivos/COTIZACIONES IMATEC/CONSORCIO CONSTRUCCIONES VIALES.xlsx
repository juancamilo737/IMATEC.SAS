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04B0928-0993-4587-9DB8-6507FB4ABBB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C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1" l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2" i="1" l="1"/>
  <c r="H41" i="1"/>
  <c r="H45" i="1" s="1"/>
</calcChain>
</file>

<file path=xl/sharedStrings.xml><?xml version="1.0" encoding="utf-8"?>
<sst xmlns="http://schemas.openxmlformats.org/spreadsheetml/2006/main" count="96" uniqueCount="77">
  <si>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</si>
  <si>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</si>
  <si>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</si>
  <si>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</si>
  <si>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</si>
  <si>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</si>
  <si>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</si>
  <si>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</si>
  <si>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</si>
  <si>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</si>
  <si>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</si>
  <si>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</si>
  <si>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</si>
  <si>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</si>
  <si>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</si>
  <si>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</si>
  <si>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</si>
  <si>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</si>
  <si>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</si>
  <si>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</si>
  <si>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</si>
  <si>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</si>
  <si>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</si>
  <si>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</si>
  <si>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</si>
  <si>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</si>
  <si>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</si>
  <si>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</si>
  <si>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</si>
  <si>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</si>
  <si>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</si>
  <si>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</si>
  <si>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</si>
  <si>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</si>
  <si>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</si>
  <si>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</si>
  <si>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</si>
  <si>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</si>
  <si>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</si>
  <si>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</si>
  <si>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</si>
  <si>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</si>
  <si>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CONSORCIO CONSTRUCCIONES VIALES </t>
  </si>
  <si>
    <t>901 551559</t>
  </si>
  <si>
    <t>CALLE 29  No. 27 - 41  INT. 201</t>
  </si>
  <si>
    <t>PASTO</t>
  </si>
  <si>
    <t>consorcioconstruccionesviales@gmail.com</t>
  </si>
  <si>
    <t>315 7712241</t>
  </si>
  <si>
    <t>LUIS A. BENAVIDES</t>
  </si>
  <si>
    <t>TEE PARTIDA AC/INOX  304  8 "  X  4 " FLANCHADA</t>
  </si>
  <si>
    <t>HIDRANTE HD E.L.  4 "</t>
  </si>
  <si>
    <t>ENTREGA EN OCHO DIAS HABILES A PARTIR DE ORDEN DE COMPRA</t>
  </si>
  <si>
    <t>No.  1</t>
  </si>
  <si>
    <t>VALVULA  COMPUERTA ELASTICA BRIDA  4 "</t>
  </si>
  <si>
    <t>VALVULA  COMPUERTA ELASTICA BRIDA  3 "</t>
  </si>
  <si>
    <t>VALVULA  COMPUERTA EXTREMO LISO  4 "</t>
  </si>
  <si>
    <t>REDUCCION COPA  HD JUNTA RAPIDA  4 "  X  3 "</t>
  </si>
  <si>
    <t>BRIDA  A / C ROSCADA   3 "  X  150  LBS</t>
  </si>
  <si>
    <t>ADAPTADOR BRIDA POR ACOPLE UNIVERSAL  4 "</t>
  </si>
  <si>
    <t>ADAPTADOR BRIDA POR ACOPLE UNIVERSAL  3 "</t>
  </si>
  <si>
    <t>FILTRO EXTREMO BRIDA  3 "</t>
  </si>
  <si>
    <t>TEE HD  EXTREMO LISO  4 "  X  4 "</t>
  </si>
  <si>
    <t xml:space="preserve">UNION DRESSER 4 " </t>
  </si>
  <si>
    <t>TEE GALVANIZADA 3 "</t>
  </si>
  <si>
    <t>NIPLE GALVANIZADO  3 "  X  10 "</t>
  </si>
  <si>
    <t>FABRICACION</t>
  </si>
  <si>
    <t>BUSHING GALVANIZADO 3 "  X  1 "</t>
  </si>
  <si>
    <t>BUSHING GALVANIZADO 1 "  X  1 1/4 "</t>
  </si>
  <si>
    <t>MANOMETRO CAJA AC/INOX  2 1/2  " 0-500 PSI GLIC</t>
  </si>
  <si>
    <t>EMPAQUE NEOPRENO  4 "</t>
  </si>
  <si>
    <t>EMPAQUE NEOPRENO  3 "</t>
  </si>
  <si>
    <t>TUBERIA PVC  PRESION SCH 40  3 "</t>
  </si>
  <si>
    <t>TUBERIA PVC  PRESION SCH 40  4 "</t>
  </si>
  <si>
    <t>METRO LINEAL</t>
  </si>
  <si>
    <t>BUJE PVC PRESION 4 "  X  3 "</t>
  </si>
  <si>
    <t xml:space="preserve">VEINTICUATRO MILLONES DOSCIENTOS CUARENTA Y </t>
  </si>
  <si>
    <t>OCHO MIL TRESCIENTOS DIEZ 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</si>
</sst>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construccionesvia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0"/>
  <sheetViews>
    <sheetView tabSelected="1" topLeftCell="A17" zoomScaleNormal="100" workbookViewId="0">
      <selection activeCell="H41" sqref="H4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2" t="s">
        <v>43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44</v>
      </c>
      <c r="D9" s="23"/>
      <c r="E9" s="65" t="s">
        <v>45</v>
      </c>
      <c r="F9" s="30" t="s">
        <v>0</v>
      </c>
      <c r="H9" s="28">
        <v>45691</v>
      </c>
    </row>
    <row r="10" spans="1:8" ht="18.75" x14ac:dyDescent="0.3">
      <c r="A10" s="21" t="s">
        <v>13</v>
      </c>
      <c r="C10" s="66" t="s">
        <v>46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45700</v>
      </c>
    </row>
    <row r="12" spans="1:8" ht="18.75" x14ac:dyDescent="0.3">
      <c r="A12" s="21" t="s">
        <v>11</v>
      </c>
      <c r="C12" s="67" t="s">
        <v>47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48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49</v>
      </c>
      <c r="C16" s="72"/>
      <c r="D16" s="73"/>
      <c r="E16" s="70" t="s">
        <v>39</v>
      </c>
      <c r="F16" s="74">
        <v>3530000</v>
      </c>
      <c r="G16" s="70">
        <v>1</v>
      </c>
      <c r="H16" s="38">
        <f t="shared" ref="H16" si="0">G16*F16</f>
        <v>3530000</v>
      </c>
    </row>
    <row r="17" spans="1:8" ht="16.5" thickBot="1" x14ac:dyDescent="0.3">
      <c r="A17" s="70">
        <v>2</v>
      </c>
      <c r="B17" s="71" t="s">
        <v>50</v>
      </c>
      <c r="C17" s="72"/>
      <c r="D17" s="73"/>
      <c r="E17" s="70" t="s">
        <v>39</v>
      </c>
      <c r="F17" s="74">
        <v>2918000</v>
      </c>
      <c r="G17" s="70">
        <v>3</v>
      </c>
      <c r="H17" s="38">
        <f t="shared" ref="H17" si="1">G17*F17</f>
        <v>8754000</v>
      </c>
    </row>
    <row r="18" spans="1:8" ht="16.5" thickBot="1" x14ac:dyDescent="0.3">
      <c r="A18" s="70">
        <v>3</v>
      </c>
      <c r="B18" s="71" t="s">
        <v>53</v>
      </c>
      <c r="C18" s="72"/>
      <c r="D18" s="73"/>
      <c r="E18" s="70" t="s">
        <v>39</v>
      </c>
      <c r="F18" s="74">
        <v>874000</v>
      </c>
      <c r="G18" s="70">
        <v>2</v>
      </c>
      <c r="H18" s="38">
        <f t="shared" ref="H18:H34" si="2">G18*F18</f>
        <v>1748000</v>
      </c>
    </row>
    <row r="19" spans="1:8" ht="16.5" thickBot="1" x14ac:dyDescent="0.3">
      <c r="A19" s="70">
        <v>4</v>
      </c>
      <c r="B19" s="71" t="s">
        <v>54</v>
      </c>
      <c r="C19" s="72"/>
      <c r="D19" s="73"/>
      <c r="E19" s="70" t="s">
        <v>39</v>
      </c>
      <c r="F19" s="74">
        <v>669000</v>
      </c>
      <c r="G19" s="70">
        <v>2</v>
      </c>
      <c r="H19" s="38">
        <f t="shared" si="2"/>
        <v>1338000</v>
      </c>
    </row>
    <row r="20" spans="1:8" ht="16.5" thickBot="1" x14ac:dyDescent="0.3">
      <c r="A20" s="70">
        <v>5</v>
      </c>
      <c r="B20" s="71" t="s">
        <v>55</v>
      </c>
      <c r="C20" s="72"/>
      <c r="D20" s="73"/>
      <c r="E20" s="70" t="s">
        <v>39</v>
      </c>
      <c r="F20" s="74">
        <v>683000</v>
      </c>
      <c r="G20" s="70">
        <v>3</v>
      </c>
      <c r="H20" s="38">
        <f t="shared" si="2"/>
        <v>2049000</v>
      </c>
    </row>
    <row r="21" spans="1:8" ht="16.5" thickBot="1" x14ac:dyDescent="0.3">
      <c r="A21" s="70">
        <v>6</v>
      </c>
      <c r="B21" s="71" t="s">
        <v>56</v>
      </c>
      <c r="C21" s="72"/>
      <c r="D21" s="73"/>
      <c r="E21" s="70" t="s">
        <v>39</v>
      </c>
      <c r="F21" s="74">
        <v>140000</v>
      </c>
      <c r="G21" s="70">
        <v>1</v>
      </c>
      <c r="H21" s="38">
        <f t="shared" si="2"/>
        <v>140000</v>
      </c>
    </row>
    <row r="22" spans="1:8" ht="16.5" thickBot="1" x14ac:dyDescent="0.3">
      <c r="A22" s="70">
        <v>7</v>
      </c>
      <c r="B22" s="71" t="s">
        <v>57</v>
      </c>
      <c r="C22" s="72"/>
      <c r="D22" s="73"/>
      <c r="E22" s="70" t="s">
        <v>39</v>
      </c>
      <c r="F22" s="74">
        <v>46000</v>
      </c>
      <c r="G22" s="70">
        <v>2</v>
      </c>
      <c r="H22" s="38">
        <f t="shared" si="2"/>
        <v>92000</v>
      </c>
    </row>
    <row r="23" spans="1:8" ht="16.5" thickBot="1" x14ac:dyDescent="0.3">
      <c r="A23" s="70">
        <v>8</v>
      </c>
      <c r="B23" s="71" t="s">
        <v>58</v>
      </c>
      <c r="C23" s="72"/>
      <c r="D23" s="73"/>
      <c r="E23" s="70" t="s">
        <v>39</v>
      </c>
      <c r="F23" s="74">
        <v>144000</v>
      </c>
      <c r="G23" s="70">
        <v>2</v>
      </c>
      <c r="H23" s="38">
        <f t="shared" si="2"/>
        <v>288000</v>
      </c>
    </row>
    <row r="24" spans="1:8" ht="16.5" thickBot="1" x14ac:dyDescent="0.3">
      <c r="A24" s="70">
        <v>9</v>
      </c>
      <c r="B24" s="71" t="s">
        <v>59</v>
      </c>
      <c r="C24" s="72"/>
      <c r="D24" s="73"/>
      <c r="E24" s="70" t="s">
        <v>39</v>
      </c>
      <c r="F24" s="74">
        <v>132000</v>
      </c>
      <c r="G24" s="70">
        <v>2</v>
      </c>
      <c r="H24" s="38">
        <f t="shared" si="2"/>
        <v>264000</v>
      </c>
    </row>
    <row r="25" spans="1:8" ht="16.5" thickBot="1" x14ac:dyDescent="0.3">
      <c r="A25" s="70">
        <v>10</v>
      </c>
      <c r="B25" s="71" t="s">
        <v>60</v>
      </c>
      <c r="C25" s="72"/>
      <c r="D25" s="73"/>
      <c r="E25" s="70" t="s">
        <v>39</v>
      </c>
      <c r="F25" s="74">
        <v>859000</v>
      </c>
      <c r="G25" s="70">
        <v>1</v>
      </c>
      <c r="H25" s="38">
        <f t="shared" si="2"/>
        <v>859000</v>
      </c>
    </row>
    <row r="26" spans="1:8" ht="16.5" thickBot="1" x14ac:dyDescent="0.3">
      <c r="A26" s="70">
        <v>11</v>
      </c>
      <c r="B26" s="71" t="s">
        <v>61</v>
      </c>
      <c r="C26" s="72"/>
      <c r="D26" s="73"/>
      <c r="E26" s="70" t="s">
        <v>39</v>
      </c>
      <c r="F26" s="74">
        <v>324000</v>
      </c>
      <c r="G26" s="70">
        <v>1</v>
      </c>
      <c r="H26" s="38">
        <f t="shared" si="2"/>
        <v>324000</v>
      </c>
    </row>
    <row r="27" spans="1:8" ht="16.5" thickBot="1" x14ac:dyDescent="0.3">
      <c r="A27" s="70">
        <v>12</v>
      </c>
      <c r="B27" s="71" t="s">
        <v>62</v>
      </c>
      <c r="C27" s="72"/>
      <c r="D27" s="73"/>
      <c r="E27" s="70" t="s">
        <v>39</v>
      </c>
      <c r="F27" s="74">
        <v>140000</v>
      </c>
      <c r="G27" s="70">
        <v>6</v>
      </c>
      <c r="H27" s="38">
        <f t="shared" si="2"/>
        <v>840000</v>
      </c>
    </row>
    <row r="28" spans="1:8" ht="16.5" thickBot="1" x14ac:dyDescent="0.3">
      <c r="A28" s="70">
        <v>13</v>
      </c>
      <c r="B28" s="71" t="s">
        <v>63</v>
      </c>
      <c r="C28" s="72"/>
      <c r="D28" s="73"/>
      <c r="E28" s="70" t="s">
        <v>39</v>
      </c>
      <c r="F28" s="74">
        <v>61000</v>
      </c>
      <c r="G28" s="70">
        <v>1</v>
      </c>
      <c r="H28" s="38">
        <f t="shared" si="2"/>
        <v>61000</v>
      </c>
    </row>
    <row r="29" spans="1:8" ht="16.5" thickBot="1" x14ac:dyDescent="0.3">
      <c r="A29" s="70">
        <v>14</v>
      </c>
      <c r="B29" s="71" t="s">
        <v>64</v>
      </c>
      <c r="C29" s="72"/>
      <c r="D29" s="73"/>
      <c r="E29" s="70" t="s">
        <v>65</v>
      </c>
      <c r="F29" s="74">
        <v>42000</v>
      </c>
      <c r="G29" s="70">
        <v>2</v>
      </c>
      <c r="H29" s="38">
        <f t="shared" si="2"/>
        <v>84000</v>
      </c>
    </row>
    <row r="30" spans="1:8" ht="16.5" thickBot="1" x14ac:dyDescent="0.3">
      <c r="A30" s="70">
        <v>15</v>
      </c>
      <c r="B30" s="71" t="s">
        <v>66</v>
      </c>
      <c r="C30" s="72"/>
      <c r="D30" s="73"/>
      <c r="E30" s="70" t="s">
        <v>39</v>
      </c>
      <c r="F30" s="74">
        <v>23000</v>
      </c>
      <c r="G30" s="70">
        <v>1</v>
      </c>
      <c r="H30" s="38">
        <f t="shared" si="2"/>
        <v>23000</v>
      </c>
    </row>
    <row r="31" spans="1:8" ht="16.5" thickBot="1" x14ac:dyDescent="0.3">
      <c r="A31" s="70">
        <v>16</v>
      </c>
      <c r="B31" s="71" t="s">
        <v>67</v>
      </c>
      <c r="C31" s="72"/>
      <c r="D31" s="73"/>
      <c r="E31" s="70" t="s">
        <v>39</v>
      </c>
      <c r="F31" s="74">
        <v>4000</v>
      </c>
      <c r="G31" s="70">
        <v>1</v>
      </c>
      <c r="H31" s="38">
        <f t="shared" si="2"/>
        <v>4000</v>
      </c>
    </row>
    <row r="32" spans="1:8" ht="16.5" thickBot="1" x14ac:dyDescent="0.3">
      <c r="A32" s="70">
        <v>17</v>
      </c>
      <c r="B32" s="71" t="s">
        <v>68</v>
      </c>
      <c r="C32" s="72"/>
      <c r="D32" s="73"/>
      <c r="E32" s="70" t="s">
        <v>39</v>
      </c>
      <c r="F32" s="74">
        <v>48000</v>
      </c>
      <c r="G32" s="70">
        <v>1</v>
      </c>
      <c r="H32" s="38">
        <f t="shared" si="2"/>
        <v>48000</v>
      </c>
    </row>
    <row r="33" spans="1:8" ht="16.5" thickBot="1" x14ac:dyDescent="0.3">
      <c r="A33" s="70">
        <v>18</v>
      </c>
      <c r="B33" s="71" t="s">
        <v>69</v>
      </c>
      <c r="C33" s="72"/>
      <c r="D33" s="73"/>
      <c r="E33" s="70" t="s">
        <v>39</v>
      </c>
      <c r="F33" s="74">
        <v>20000</v>
      </c>
      <c r="G33" s="70">
        <v>2</v>
      </c>
      <c r="H33" s="38">
        <f t="shared" si="2"/>
        <v>40000</v>
      </c>
    </row>
    <row r="34" spans="1:8" ht="16.5" thickBot="1" x14ac:dyDescent="0.3">
      <c r="A34" s="70">
        <v>19</v>
      </c>
      <c r="B34" s="71" t="s">
        <v>70</v>
      </c>
      <c r="C34" s="72"/>
      <c r="D34" s="73"/>
      <c r="E34" s="70" t="s">
        <v>39</v>
      </c>
      <c r="F34" s="74">
        <v>16000</v>
      </c>
      <c r="G34" s="70">
        <v>4</v>
      </c>
      <c r="H34" s="38">
        <f t="shared" si="2"/>
        <v>64000</v>
      </c>
    </row>
    <row r="35" spans="1:8" ht="16.5" thickBot="1" x14ac:dyDescent="0.3">
      <c r="A35" s="70">
        <v>20</v>
      </c>
      <c r="B35" s="71" t="s">
        <v>71</v>
      </c>
      <c r="C35" s="72"/>
      <c r="D35" s="73"/>
      <c r="E35" s="70" t="s">
        <v>73</v>
      </c>
      <c r="F35" s="74">
        <v>43000</v>
      </c>
      <c r="G35" s="70">
        <v>2</v>
      </c>
      <c r="H35" s="38">
        <f t="shared" ref="H35:H36" si="3">G35*F35</f>
        <v>86000</v>
      </c>
    </row>
    <row r="36" spans="1:8" ht="16.5" thickBot="1" x14ac:dyDescent="0.3">
      <c r="A36" s="70">
        <v>21</v>
      </c>
      <c r="B36" s="71" t="s">
        <v>72</v>
      </c>
      <c r="C36" s="72"/>
      <c r="D36" s="73"/>
      <c r="E36" s="70" t="s">
        <v>73</v>
      </c>
      <c r="F36" s="74">
        <v>70000</v>
      </c>
      <c r="G36" s="70">
        <v>2</v>
      </c>
      <c r="H36" s="38">
        <f t="shared" si="3"/>
        <v>140000</v>
      </c>
    </row>
    <row r="37" spans="1:8" ht="16.5" thickBot="1" x14ac:dyDescent="0.3">
      <c r="A37" s="70">
        <v>21</v>
      </c>
      <c r="B37" s="71" t="s">
        <v>74</v>
      </c>
      <c r="C37" s="72"/>
      <c r="D37" s="73"/>
      <c r="E37" s="70" t="s">
        <v>39</v>
      </c>
      <c r="F37" s="74">
        <v>38000</v>
      </c>
      <c r="G37" s="70">
        <v>1</v>
      </c>
      <c r="H37" s="38">
        <f t="shared" ref="H37" si="4">G37*F37</f>
        <v>38000</v>
      </c>
    </row>
    <row r="38" spans="1:8" ht="19.5" customHeight="1" thickBot="1" x14ac:dyDescent="0.3">
      <c r="A38" s="48"/>
      <c r="B38" s="76"/>
      <c r="D38" s="77"/>
      <c r="E38" s="48"/>
      <c r="F38" s="48"/>
      <c r="G38" s="48"/>
    </row>
    <row r="39" spans="1:8" ht="19.5" customHeight="1" thickBot="1" x14ac:dyDescent="0.35">
      <c r="A39" s="75" t="s">
        <v>23</v>
      </c>
      <c r="B39" s="78" t="s">
        <v>75</v>
      </c>
      <c r="C39" s="12"/>
      <c r="D39" s="13"/>
      <c r="E39" s="49"/>
      <c r="F39" s="37" t="s">
        <v>40</v>
      </c>
      <c r="G39" s="6"/>
      <c r="H39" s="7"/>
    </row>
    <row r="40" spans="1:8" ht="19.5" customHeight="1" thickBot="1" x14ac:dyDescent="0.3">
      <c r="A40" s="39"/>
      <c r="B40" s="16" t="s">
        <v>76</v>
      </c>
      <c r="C40" s="4"/>
      <c r="D40" s="17"/>
      <c r="E40" s="52" t="s">
        <v>24</v>
      </c>
      <c r="F40" s="53"/>
      <c r="G40" s="44"/>
      <c r="H40" s="50">
        <f>SUM(H16:H37)</f>
        <v>20814000</v>
      </c>
    </row>
    <row r="41" spans="1:8" ht="19.5" customHeight="1" x14ac:dyDescent="0.25">
      <c r="A41" s="24" t="s">
        <v>25</v>
      </c>
      <c r="B41" s="12"/>
      <c r="C41" s="12"/>
      <c r="D41" s="12"/>
      <c r="E41" s="54" t="s">
        <v>29</v>
      </c>
      <c r="F41" s="23"/>
      <c r="G41" s="55">
        <v>0.19</v>
      </c>
      <c r="H41" s="40">
        <f>H40*G41</f>
        <v>3954660</v>
      </c>
    </row>
    <row r="42" spans="1:8" ht="19.5" customHeight="1" x14ac:dyDescent="0.25">
      <c r="A42" s="14" t="s">
        <v>30</v>
      </c>
      <c r="E42" s="56" t="s">
        <v>26</v>
      </c>
      <c r="G42" s="59">
        <v>2.5000000000000001E-2</v>
      </c>
      <c r="H42" s="51">
        <f>H40*G42</f>
        <v>520350</v>
      </c>
    </row>
    <row r="43" spans="1:8" ht="15.75" x14ac:dyDescent="0.25">
      <c r="A43" s="14" t="s">
        <v>51</v>
      </c>
      <c r="E43" s="14"/>
      <c r="F43" s="33"/>
      <c r="G43" s="45"/>
      <c r="H43" s="15"/>
    </row>
    <row r="44" spans="1:8" ht="16.5" thickBot="1" x14ac:dyDescent="0.3">
      <c r="A44" s="14" t="s">
        <v>33</v>
      </c>
      <c r="E44" s="57" t="s">
        <v>27</v>
      </c>
      <c r="F44" s="58"/>
      <c r="G44" s="46"/>
      <c r="H44" s="17"/>
    </row>
    <row r="45" spans="1:8" ht="19.5" thickBot="1" x14ac:dyDescent="0.35">
      <c r="A45" s="16"/>
      <c r="B45" s="4"/>
      <c r="C45" s="4"/>
      <c r="D45" s="17"/>
      <c r="F45" s="3"/>
      <c r="G45" s="34" t="s">
        <v>28</v>
      </c>
      <c r="H45" s="36">
        <f>H40+H41-H42</f>
        <v>24248310</v>
      </c>
    </row>
    <row r="46" spans="1:8" ht="16.5" customHeight="1" x14ac:dyDescent="0.25"/>
    <row r="51" spans="1:8" ht="15.75" thickBot="1" x14ac:dyDescent="0.3"/>
    <row r="52" spans="1:8" ht="19.5" thickBot="1" x14ac:dyDescent="0.35">
      <c r="A52" s="25" t="s">
        <v>41</v>
      </c>
      <c r="B52" s="6"/>
      <c r="C52" s="6"/>
      <c r="D52" s="6"/>
      <c r="E52" s="6"/>
      <c r="F52" s="6"/>
      <c r="G52" s="6"/>
      <c r="H52" s="7"/>
    </row>
    <row r="60" spans="1:8" ht="18.75" x14ac:dyDescent="0.3">
      <c r="A60" s="5"/>
    </row>
  </sheetData>
  <hyperlinks>
    <hyperlink ref="C10" r:id="rId1" xr:uid="{996EED54-46E3-4480-BD53-AAC682A5CF9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2025-02-26T20:45:22Z</dcterms:modified>
</cp:coreProperties>
</file>