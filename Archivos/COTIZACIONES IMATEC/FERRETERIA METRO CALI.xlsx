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D156FDEC-6F5F-4EF9-9587-C85EB62093C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ERRETERIA METR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0" i="1"/>
  <c r="H19" i="1"/>
  <c r="H18" i="1"/>
  <c r="H17" i="1"/>
  <c r="H16" i="1"/>
  <c r="H25" i="1" l="1"/>
  <c r="H29" i="1" s="1"/>
</calcChain>
</file>

<file path=xl/sharedStrings.xml><?xml version="1.0" encoding="utf-8"?>
<sst xmlns="http://schemas.openxmlformats.org/spreadsheetml/2006/main" count="61" uniqueCount="58">
  <si>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</si>
  <si>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</si>
  <si>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</si>
  <si>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</si>
  <si>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</si>
  <si>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</si>
  <si>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</si>
  <si>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</si>
  <si>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</si>
  <si>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</si>
  <si>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</si>
  <si>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</si>
  <si>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</si>
  <si>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</si>
  <si>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</si>
  <si>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</si>
  <si>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</si>
  <si>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</si>
  <si>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C O T I Z A C I O N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</si>
  <si>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</si>
  <si>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</si>
  <si>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</si>
  <si>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</si>
  <si>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</si>
  <si>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</si>
  <si>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</si>
  <si>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</si>
  <si>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</si>
  <si>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</si>
  <si>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</si>
  <si>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</si>
  <si>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</si>
  <si>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</si>
  <si>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</si>
  <si>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</si>
  <si>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</si>
  <si>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</si>
  <si>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</si>
  <si>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</si>
  <si>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</si>
  <si>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ACCESORIO</t>
  </si>
  <si>
    <t>CALI</t>
  </si>
  <si>
    <t>EDINSON CABEZAS</t>
  </si>
  <si>
    <t>BRIDA DIN AC/INOX  6 " PN 10</t>
  </si>
  <si>
    <t>FABRICACION</t>
  </si>
  <si>
    <t>REDUCCION COPA AC/INOX 304  SCH 10  6" X 4"</t>
  </si>
  <si>
    <t>FERRETERIA METRO CALI S.A.S.</t>
  </si>
  <si>
    <t>800 082408</t>
  </si>
  <si>
    <t>CRA 1  No. 18-38</t>
  </si>
  <si>
    <t>facturaelectronica@ferreteriametro.com.co</t>
  </si>
  <si>
    <t>602 8801181</t>
  </si>
  <si>
    <t>CODO AC/INOX 304 SCH 10 6 "  X  90º</t>
  </si>
  <si>
    <t>UNION AC/INOX 304  1/2 "  X  3000 LB SOLDAR</t>
  </si>
  <si>
    <t>JUNTA ANTIVIBRATORIA 4 "</t>
  </si>
  <si>
    <t xml:space="preserve">UN MILLON CIENTO VEINTIOCHO MIL NOVECIENTOS </t>
  </si>
  <si>
    <t>CINCUENTA Y TRES PESOS MDA / CTE</t>
  </si>
  <si>
    <t>FORMA DE PAGO : CREDITO A 30 DIAS</t>
  </si>
  <si>
    <t>ENTREGA EN 2 DIAS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</si>
</sst>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4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5" fillId="0" borderId="7" xfId="0" applyFont="1" applyBorder="1"/>
    <xf numFmtId="0" fontId="4" fillId="0" borderId="14" xfId="0" applyFont="1" applyBorder="1"/>
    <xf numFmtId="0" fontId="4" fillId="0" borderId="13" xfId="0" applyFont="1" applyBorder="1"/>
    <xf numFmtId="0" fontId="5" fillId="0" borderId="17" xfId="0" applyFont="1" applyBorder="1"/>
    <xf numFmtId="9" fontId="1" fillId="0" borderId="14" xfId="0" applyNumberFormat="1" applyFont="1" applyBorder="1"/>
    <xf numFmtId="42" fontId="1" fillId="0" borderId="18" xfId="0" applyNumberFormat="1" applyFont="1" applyBorder="1"/>
    <xf numFmtId="0" fontId="0" fillId="0" borderId="18" xfId="0" applyBorder="1"/>
    <xf numFmtId="0" fontId="0" fillId="0" borderId="17" xfId="0" applyBorder="1"/>
    <xf numFmtId="0" fontId="12" fillId="0" borderId="0" xfId="0" applyFont="1" applyAlignment="1">
      <alignment horizontal="center"/>
    </xf>
    <xf numFmtId="0" fontId="13" fillId="0" borderId="14" xfId="2" applyBorder="1"/>
    <xf numFmtId="42" fontId="1" fillId="0" borderId="16" xfId="0" applyNumberFormat="1" applyFont="1" applyBorder="1" applyAlignment="1">
      <alignment horizontal="left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5" fillId="0" borderId="4" xfId="0" applyFont="1" applyBorder="1"/>
    <xf numFmtId="42" fontId="1" fillId="0" borderId="19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10" fontId="1" fillId="0" borderId="0" xfId="0" applyNumberFormat="1" applyFont="1"/>
    <xf numFmtId="0" fontId="1" fillId="0" borderId="4" xfId="0" applyFont="1" applyBorder="1" applyAlignment="1">
      <alignment horizontal="center"/>
    </xf>
    <xf numFmtId="0" fontId="8" fillId="0" borderId="20" xfId="0" applyFont="1" applyBorder="1"/>
    <xf numFmtId="0" fontId="8" fillId="0" borderId="4" xfId="0" applyFont="1" applyBorder="1"/>
    <xf numFmtId="0" fontId="8" fillId="0" borderId="19" xfId="0" applyFont="1" applyBorder="1"/>
    <xf numFmtId="0" fontId="1" fillId="0" borderId="20" xfId="0" applyFont="1" applyBorder="1" applyAlignment="1">
      <alignment horizontal="center"/>
    </xf>
    <xf numFmtId="42" fontId="11" fillId="0" borderId="4" xfId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8" fillId="0" borderId="7" xfId="0" applyFont="1" applyBorder="1"/>
    <xf numFmtId="42" fontId="11" fillId="0" borderId="7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0" fillId="0" borderId="21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electronica@ferreteriametro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4"/>
  <sheetViews>
    <sheetView tabSelected="1" topLeftCell="A13" zoomScaleNormal="100" workbookViewId="0">
      <selection activeCell="J32" sqref="J3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6" t="s">
        <v>33</v>
      </c>
    </row>
    <row r="3" spans="1:8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2" t="s">
        <v>39</v>
      </c>
      <c r="B5" s="6"/>
      <c r="C5" s="6"/>
      <c r="D5" s="6"/>
      <c r="E5" s="6"/>
    </row>
    <row r="6" spans="1:8" ht="24.75" customHeight="1" thickBot="1" x14ac:dyDescent="0.45">
      <c r="F6" s="11" t="s">
        <v>18</v>
      </c>
      <c r="G6" s="19"/>
      <c r="H6" s="20"/>
    </row>
    <row r="7" spans="1:8" ht="19.5" thickBot="1" x14ac:dyDescent="0.35">
      <c r="A7" s="21" t="s">
        <v>14</v>
      </c>
      <c r="B7" s="13"/>
      <c r="C7" s="31" t="s">
        <v>46</v>
      </c>
      <c r="D7" s="13"/>
      <c r="E7" s="14"/>
      <c r="F7" s="28"/>
      <c r="G7" s="19"/>
      <c r="H7" s="20"/>
    </row>
    <row r="8" spans="1:8" ht="18.75" x14ac:dyDescent="0.3">
      <c r="A8" s="22" t="s">
        <v>8</v>
      </c>
      <c r="C8" s="25" t="s">
        <v>47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48</v>
      </c>
      <c r="D9" s="24"/>
      <c r="E9" s="25" t="s">
        <v>41</v>
      </c>
      <c r="F9" s="32" t="s">
        <v>0</v>
      </c>
      <c r="H9" s="33">
        <v>45527</v>
      </c>
    </row>
    <row r="10" spans="1:8" ht="18.75" x14ac:dyDescent="0.3">
      <c r="A10" s="22" t="s">
        <v>13</v>
      </c>
      <c r="C10" s="47" t="s">
        <v>49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47"/>
      <c r="D11" s="26"/>
      <c r="E11" s="26"/>
      <c r="F11" s="32" t="s">
        <v>16</v>
      </c>
      <c r="G11" s="35"/>
      <c r="H11" s="33">
        <v>45537</v>
      </c>
    </row>
    <row r="12" spans="1:8" ht="18.75" x14ac:dyDescent="0.3">
      <c r="A12" s="22" t="s">
        <v>11</v>
      </c>
      <c r="C12" s="25" t="s">
        <v>50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42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56" t="s">
        <v>20</v>
      </c>
      <c r="B15" s="51" t="s">
        <v>25</v>
      </c>
      <c r="C15" s="19"/>
      <c r="D15" s="7"/>
      <c r="E15" s="37" t="s">
        <v>21</v>
      </c>
      <c r="F15" s="37" t="s">
        <v>23</v>
      </c>
      <c r="G15" s="37" t="s">
        <v>22</v>
      </c>
      <c r="H15" s="37" t="s">
        <v>24</v>
      </c>
    </row>
    <row r="16" spans="1:8" ht="15" customHeight="1" thickBot="1" x14ac:dyDescent="0.3">
      <c r="A16" s="58">
        <v>1</v>
      </c>
      <c r="B16" s="59" t="s">
        <v>43</v>
      </c>
      <c r="C16" s="60"/>
      <c r="D16" s="61"/>
      <c r="E16" s="62" t="s">
        <v>44</v>
      </c>
      <c r="F16" s="63">
        <v>490500</v>
      </c>
      <c r="G16" s="58">
        <v>1</v>
      </c>
      <c r="H16" s="53">
        <f t="shared" ref="H16" si="0">G16*F16</f>
        <v>490500</v>
      </c>
    </row>
    <row r="17" spans="1:8" ht="15" customHeight="1" thickBot="1" x14ac:dyDescent="0.3">
      <c r="A17" s="58">
        <v>2</v>
      </c>
      <c r="B17" s="59" t="s">
        <v>45</v>
      </c>
      <c r="C17" s="60"/>
      <c r="D17" s="61"/>
      <c r="E17" s="62" t="s">
        <v>40</v>
      </c>
      <c r="F17" s="63">
        <v>97500</v>
      </c>
      <c r="G17" s="58">
        <v>1</v>
      </c>
      <c r="H17" s="53">
        <f t="shared" ref="H17:H18" si="1">G17*F17</f>
        <v>97500</v>
      </c>
    </row>
    <row r="18" spans="1:8" ht="15" customHeight="1" thickBot="1" x14ac:dyDescent="0.3">
      <c r="A18" s="58">
        <v>3</v>
      </c>
      <c r="B18" s="59" t="s">
        <v>51</v>
      </c>
      <c r="C18" s="60"/>
      <c r="D18" s="61"/>
      <c r="E18" s="62" t="s">
        <v>40</v>
      </c>
      <c r="F18" s="63">
        <v>178100</v>
      </c>
      <c r="G18" s="58">
        <v>1</v>
      </c>
      <c r="H18" s="53">
        <f t="shared" si="1"/>
        <v>178100</v>
      </c>
    </row>
    <row r="19" spans="1:8" ht="15" customHeight="1" thickBot="1" x14ac:dyDescent="0.3">
      <c r="A19" s="58">
        <v>4</v>
      </c>
      <c r="B19" s="59" t="s">
        <v>52</v>
      </c>
      <c r="C19" s="60"/>
      <c r="D19" s="61"/>
      <c r="E19" s="62" t="s">
        <v>40</v>
      </c>
      <c r="F19" s="63">
        <v>17600</v>
      </c>
      <c r="G19" s="58">
        <v>1</v>
      </c>
      <c r="H19" s="53">
        <f t="shared" ref="H19" si="2">G19*F19</f>
        <v>17600</v>
      </c>
    </row>
    <row r="20" spans="1:8" ht="15" customHeight="1" thickBot="1" x14ac:dyDescent="0.3">
      <c r="A20" s="58">
        <v>5</v>
      </c>
      <c r="B20" s="59" t="s">
        <v>53</v>
      </c>
      <c r="C20" s="60"/>
      <c r="D20" s="61"/>
      <c r="E20" s="62" t="s">
        <v>40</v>
      </c>
      <c r="F20" s="63">
        <v>165000</v>
      </c>
      <c r="G20" s="58">
        <v>1</v>
      </c>
      <c r="H20" s="53">
        <f t="shared" ref="H20" si="3">G20*F20</f>
        <v>165000</v>
      </c>
    </row>
    <row r="21" spans="1:8" ht="16.5" thickBot="1" x14ac:dyDescent="0.3">
      <c r="A21" s="64"/>
      <c r="B21" s="65"/>
      <c r="C21" s="65"/>
      <c r="D21" s="65"/>
      <c r="E21" s="64"/>
      <c r="F21" s="66"/>
      <c r="G21" s="64"/>
      <c r="H21" s="67"/>
    </row>
    <row r="22" spans="1:8" ht="16.5" thickBot="1" x14ac:dyDescent="0.3">
      <c r="A22" s="64"/>
      <c r="B22" s="65"/>
      <c r="C22" s="65"/>
      <c r="D22" s="65"/>
      <c r="E22" s="64"/>
      <c r="F22" s="66"/>
      <c r="G22" s="64"/>
      <c r="H22" s="67"/>
    </row>
    <row r="23" spans="1:8" ht="19.5" customHeight="1" thickBot="1" x14ac:dyDescent="0.35">
      <c r="A23" s="54" t="s">
        <v>26</v>
      </c>
      <c r="B23" s="12" t="s">
        <v>54</v>
      </c>
      <c r="C23" s="13"/>
      <c r="D23" s="14"/>
      <c r="E23" s="13"/>
      <c r="F23" s="38" t="s">
        <v>32</v>
      </c>
      <c r="G23" s="13"/>
      <c r="H23" s="7"/>
    </row>
    <row r="24" spans="1:8" ht="19.5" customHeight="1" thickBot="1" x14ac:dyDescent="0.3">
      <c r="A24" s="55"/>
      <c r="B24" s="17" t="s">
        <v>55</v>
      </c>
      <c r="C24" s="4"/>
      <c r="D24" s="4"/>
      <c r="E24" s="39" t="s">
        <v>27</v>
      </c>
      <c r="F24" s="40"/>
      <c r="G24" s="26"/>
      <c r="H24" s="48">
        <f>SUM(H16:H20)</f>
        <v>948700</v>
      </c>
    </row>
    <row r="25" spans="1:8" ht="19.5" customHeight="1" x14ac:dyDescent="0.25">
      <c r="A25" s="27" t="s">
        <v>28</v>
      </c>
      <c r="B25" s="13"/>
      <c r="C25" s="13"/>
      <c r="D25" s="14"/>
      <c r="E25" s="3" t="s">
        <v>34</v>
      </c>
      <c r="F25" s="68"/>
      <c r="G25" s="42">
        <v>0.19</v>
      </c>
      <c r="H25" s="49">
        <f>H24*G25</f>
        <v>180253</v>
      </c>
    </row>
    <row r="26" spans="1:8" ht="19.5" customHeight="1" x14ac:dyDescent="0.25">
      <c r="A26" s="15" t="s">
        <v>56</v>
      </c>
      <c r="D26" s="16"/>
      <c r="E26" s="40" t="s">
        <v>29</v>
      </c>
      <c r="G26" s="57">
        <v>2.5000000000000001E-2</v>
      </c>
      <c r="H26" s="43"/>
    </row>
    <row r="27" spans="1:8" ht="15.75" x14ac:dyDescent="0.25">
      <c r="A27" s="15" t="s">
        <v>57</v>
      </c>
      <c r="D27" s="16"/>
      <c r="F27" s="40"/>
      <c r="G27" s="26"/>
      <c r="H27" s="44"/>
    </row>
    <row r="28" spans="1:8" ht="16.5" thickBot="1" x14ac:dyDescent="0.3">
      <c r="A28" s="15" t="s">
        <v>37</v>
      </c>
      <c r="D28" s="16"/>
      <c r="E28" s="40" t="s">
        <v>30</v>
      </c>
      <c r="F28" s="40"/>
      <c r="G28" s="26"/>
      <c r="H28" s="45"/>
    </row>
    <row r="29" spans="1:8" ht="19.5" thickBot="1" x14ac:dyDescent="0.35">
      <c r="A29" s="17"/>
      <c r="B29" s="4"/>
      <c r="C29" s="4"/>
      <c r="D29" s="18"/>
      <c r="F29" s="3"/>
      <c r="G29" s="41" t="s">
        <v>31</v>
      </c>
      <c r="H29" s="50">
        <f>H24+H25-H26</f>
        <v>1128953</v>
      </c>
    </row>
    <row r="30" spans="1:8" ht="16.5" customHeight="1" x14ac:dyDescent="0.25"/>
    <row r="35" spans="1:8" ht="15.75" thickBot="1" x14ac:dyDescent="0.3"/>
    <row r="36" spans="1:8" ht="19.5" thickBot="1" x14ac:dyDescent="0.35">
      <c r="A36" s="28" t="s">
        <v>38</v>
      </c>
      <c r="B36" s="6"/>
      <c r="C36" s="6"/>
      <c r="D36" s="6"/>
      <c r="E36" s="6"/>
      <c r="F36" s="6"/>
      <c r="G36" s="6"/>
      <c r="H36" s="7"/>
    </row>
    <row r="44" spans="1:8" ht="18.75" x14ac:dyDescent="0.3">
      <c r="A44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FERRETERIA METRO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2024-08-23T20:40:11Z</dcterms:modified>
</cp:coreProperties>
</file>