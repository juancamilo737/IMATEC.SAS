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26A8D3B-67B9-4BBE-B6E2-52FA413E4E58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17" i="1"/>
  <c r="H16" i="1"/>
  <c r="H20" i="1" s="1"/>
  <c r="H21" i="1" l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<sst xmlns="http://schemas.openxmlformats.org/spreadsheetml/2006/main" count="56" uniqueCount="55">
  <si>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</si>
  <si>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</si>
  <si>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</si>
  <si>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</si>
  <si>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</si>
  <si>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</si>
  <si>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</si>
  <si>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</si>
  <si>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</si>
  <si>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</si>
  <si>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</si>
  <si>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</si>
  <si>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</si>
  <si>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</si>
  <si>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</si>
  <si>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</si>
  <si>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</si>
  <si>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</si>
  <si>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</si>
  <si>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</si>
  <si>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</si>
  <si>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</si>
  <si>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</si>
  <si>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</si>
  <si>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</si>
  <si>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</si>
  <si>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</si>
  <si>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</si>
  <si>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</si>
  <si>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</si>
  <si>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</si>
  <si>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</si>
  <si>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</si>
  <si>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</si>
  <si>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</si>
  <si>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</si>
  <si>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</si>
  <si>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</si>
  <si>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</si>
  <si>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</si>
  <si>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</si>
  <si>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</si>
  <si>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AQUARRIEGO LTDA</t>
  </si>
  <si>
    <t>891 411489</t>
  </si>
  <si>
    <t>CALLE 14  No. 3-44</t>
  </si>
  <si>
    <t>LA UNION</t>
  </si>
  <si>
    <t>ventas@aquarriego.com</t>
  </si>
  <si>
    <t>606 2296736</t>
  </si>
  <si>
    <t>LUIS A. BENAVIDES</t>
  </si>
  <si>
    <t>No.  4</t>
  </si>
  <si>
    <t>DUO CHECK CUERPO HO CORTINA INOX  10 "</t>
  </si>
  <si>
    <t>DUO CHECK CUERPO HO CORTINA INOX  12 "</t>
  </si>
  <si>
    <t>DOS MILLONES SETECIENTOS VEINTISEIS MIL CIEN PESOS</t>
  </si>
  <si>
    <t>MDA / CTE</t>
  </si>
  <si>
    <t>ENTREGA EN 3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</si>
</sst>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0" fillId="0" borderId="33" xfId="0" applyBorder="1"/>
    <xf numFmtId="0" fontId="13" fillId="0" borderId="33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ntas@aquarrieg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H29" sqref="H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72" t="s">
        <v>43</v>
      </c>
      <c r="D8" s="66"/>
      <c r="E8" s="66"/>
      <c r="H8" s="15"/>
    </row>
    <row r="9" spans="1:8" ht="18.75" customHeight="1" x14ac:dyDescent="0.3">
      <c r="A9" s="21" t="s">
        <v>9</v>
      </c>
      <c r="C9" s="23" t="s">
        <v>44</v>
      </c>
      <c r="D9" s="23"/>
      <c r="E9" s="72" t="s">
        <v>45</v>
      </c>
      <c r="F9" s="30" t="s">
        <v>0</v>
      </c>
      <c r="H9" s="28">
        <v>45741</v>
      </c>
    </row>
    <row r="10" spans="1:8" ht="18.75" x14ac:dyDescent="0.3">
      <c r="A10" s="21" t="s">
        <v>13</v>
      </c>
      <c r="C10" s="73" t="s">
        <v>46</v>
      </c>
      <c r="D10" s="66"/>
      <c r="E10" s="66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66"/>
      <c r="F11" s="30" t="s">
        <v>16</v>
      </c>
      <c r="G11" s="30"/>
      <c r="H11" s="28">
        <v>45751</v>
      </c>
    </row>
    <row r="12" spans="1:8" ht="18.75" x14ac:dyDescent="0.3">
      <c r="A12" s="21" t="s">
        <v>11</v>
      </c>
      <c r="C12" s="72" t="s">
        <v>47</v>
      </c>
      <c r="D12" s="66"/>
      <c r="E12" s="6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48</v>
      </c>
      <c r="D13" s="66"/>
      <c r="E13" s="66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67">
        <v>1</v>
      </c>
      <c r="B16" s="68" t="s">
        <v>50</v>
      </c>
      <c r="C16" s="69"/>
      <c r="D16" s="70"/>
      <c r="E16" s="67" t="s">
        <v>39</v>
      </c>
      <c r="F16" s="71">
        <v>980000</v>
      </c>
      <c r="G16" s="67">
        <v>1</v>
      </c>
      <c r="H16" s="38">
        <f t="shared" ref="H16" si="0">G16*F16</f>
        <v>980000</v>
      </c>
    </row>
    <row r="17" spans="1:8" ht="16.5" thickBot="1" x14ac:dyDescent="0.3">
      <c r="A17" s="67">
        <v>2</v>
      </c>
      <c r="B17" s="68" t="s">
        <v>51</v>
      </c>
      <c r="C17" s="69"/>
      <c r="D17" s="70"/>
      <c r="E17" s="67" t="s">
        <v>39</v>
      </c>
      <c r="F17" s="71">
        <v>1360000</v>
      </c>
      <c r="G17" s="67">
        <v>1</v>
      </c>
      <c r="H17" s="38">
        <f t="shared" ref="H17" si="1">G17*F17</f>
        <v>1360000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52</v>
      </c>
      <c r="D19" s="15"/>
      <c r="E19" s="54"/>
      <c r="F19" s="37" t="s">
        <v>40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57" t="s">
        <v>24</v>
      </c>
      <c r="F20" s="58"/>
      <c r="G20" s="46"/>
      <c r="H20" s="55">
        <f>SUM(H16:H19)</f>
        <v>2340000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444600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>
        <f>H20*G22</f>
        <v>58500</v>
      </c>
    </row>
    <row r="23" spans="1:8" ht="15.75" x14ac:dyDescent="0.25">
      <c r="A23" s="14" t="s">
        <v>54</v>
      </c>
      <c r="E23" s="14"/>
      <c r="F23" s="33"/>
      <c r="G23" s="47"/>
      <c r="H23" s="15"/>
    </row>
    <row r="24" spans="1:8" ht="16.5" thickBot="1" x14ac:dyDescent="0.3">
      <c r="A24" s="14" t="s">
        <v>33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2726100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41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E3D56DE5-DEF3-4607-8E07-073817C262E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2025-03-25T17:06:33Z</dcterms:modified>
</cp:coreProperties>
</file>