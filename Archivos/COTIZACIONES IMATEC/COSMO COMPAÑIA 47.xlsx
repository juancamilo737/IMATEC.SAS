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93D319B7-88EA-41C9-AE7F-0231AA4DF7A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OSMO COMPAÑIA 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2" l="1"/>
  <c r="H19" i="2" l="1"/>
  <c r="H20" i="2"/>
  <c r="H24" i="2" s="1"/>
</calcChain>
</file>

<file path=xl/sharedStrings.xml><?xml version="1.0" encoding="utf-8"?>
<sst xmlns="http://schemas.openxmlformats.org/spreadsheetml/2006/main" count="55" uniqueCount="55">
  <si>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</si>
  <si>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</si>
  <si>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</si>
  <si>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</si>
  <si>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</si>
  <si>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</si>
  <si>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</si>
  <si>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</si>
  <si>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</si>
  <si>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</si>
  <si>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</si>
  <si>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</si>
  <si>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</si>
  <si>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</si>
  <si>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</si>
  <si>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</si>
  <si>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</si>
  <si>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</si>
  <si>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</si>
  <si>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</si>
  <si>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</si>
  <si>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</si>
  <si>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</si>
  <si>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</si>
  <si>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</si>
  <si>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</si>
  <si>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</si>
  <si>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</si>
  <si>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</si>
  <si>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</si>
  <si>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</si>
  <si>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</si>
  <si>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</si>
  <si>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</si>
  <si>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</si>
  <si>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COSMO COMPAÑÍA S.A.S.</t>
  </si>
  <si>
    <t>800 163715</t>
  </si>
  <si>
    <t>CRA 20  No. 125-24 OF 203</t>
  </si>
  <si>
    <t>BOGOTÁ</t>
  </si>
  <si>
    <t>cosmoltda@hotmail.com</t>
  </si>
  <si>
    <t>601 2131834</t>
  </si>
  <si>
    <t>EDINSON CABEZAS</t>
  </si>
  <si>
    <t>FORMA DE PAGO : CREDITO A 30 DIAS</t>
  </si>
  <si>
    <t>L I Q U I D A C I O N</t>
  </si>
  <si>
    <t xml:space="preserve">  CALLE  33 A  No. 17 A - 56                           B/  LA FLORESTA             -   CALI    -                         CEL.     321 7834969</t>
  </si>
  <si>
    <t>ACCESORIO</t>
  </si>
  <si>
    <t>ENTREGA EN UN DIA  A PARTIR DE ORDEN DE COMPRA</t>
  </si>
  <si>
    <t xml:space="preserve">O de C  No. </t>
  </si>
  <si>
    <t>GOODYEAR</t>
  </si>
  <si>
    <t>CTO. DE COSTOS</t>
  </si>
  <si>
    <t xml:space="preserve">              R E M I S I O N</t>
  </si>
  <si>
    <t>No.  47</t>
  </si>
  <si>
    <t>UNION PVC SCH 40  3 "</t>
  </si>
  <si>
    <t>CIENTO OCHENTA Y SEIS MIL OCHOCIENTOS ONCE PESOS</t>
  </si>
  <si>
    <t>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</si>
</sst>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11" xfId="0" applyFont="1" applyBorder="1"/>
    <xf numFmtId="0" fontId="0" fillId="0" borderId="6" xfId="0" applyBorder="1"/>
    <xf numFmtId="0" fontId="1" fillId="0" borderId="1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/>
    </xf>
    <xf numFmtId="0" fontId="0" fillId="0" borderId="3" xfId="0" applyBorder="1"/>
    <xf numFmtId="0" fontId="0" fillId="0" borderId="26" xfId="0" applyBorder="1"/>
    <xf numFmtId="42" fontId="11" fillId="0" borderId="14" xfId="1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0" fillId="0" borderId="27" xfId="0" applyBorder="1"/>
    <xf numFmtId="0" fontId="0" fillId="0" borderId="18" xfId="0" applyBorder="1"/>
    <xf numFmtId="0" fontId="1" fillId="0" borderId="18" xfId="0" applyFont="1" applyBorder="1" applyAlignment="1">
      <alignment horizontal="center"/>
    </xf>
    <xf numFmtId="0" fontId="0" fillId="0" borderId="12" xfId="0" applyBorder="1" applyAlignment="1">
      <alignment horizontal="right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F75B977-B5C6-44A3-8A38-9BD108742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2971B-7A95-4786-B36D-9D7A265A1D5E}">
  <sheetPr>
    <pageSetUpPr fitToPage="1"/>
  </sheetPr>
  <dimension ref="A1:H47"/>
  <sheetViews>
    <sheetView tabSelected="1" topLeftCell="A7" zoomScaleNormal="100" workbookViewId="0">
      <selection activeCell="I24" sqref="I24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33</v>
      </c>
    </row>
    <row r="3" spans="1:8" ht="27" thickBot="1" x14ac:dyDescent="0.45">
      <c r="A3" s="11" t="s">
        <v>34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29</v>
      </c>
      <c r="E4" s="18"/>
      <c r="F4" s="19"/>
      <c r="G4" s="6"/>
      <c r="H4" s="7"/>
    </row>
    <row r="5" spans="1:8" ht="19.5" thickBot="1" x14ac:dyDescent="0.35">
      <c r="A5" s="37" t="s">
        <v>31</v>
      </c>
      <c r="B5" s="6"/>
      <c r="C5" s="6"/>
      <c r="D5" s="6"/>
      <c r="E5" s="6"/>
    </row>
    <row r="6" spans="1:8" ht="24.75" customHeight="1" thickBot="1" x14ac:dyDescent="0.45">
      <c r="F6" s="41" t="s">
        <v>50</v>
      </c>
      <c r="G6" s="42"/>
      <c r="H6" s="43"/>
    </row>
    <row r="7" spans="1:8" ht="19.5" thickBot="1" x14ac:dyDescent="0.35">
      <c r="A7" s="20" t="s">
        <v>14</v>
      </c>
      <c r="B7" s="12"/>
      <c r="C7" s="44" t="s">
        <v>35</v>
      </c>
      <c r="D7" s="6"/>
      <c r="E7" s="6"/>
      <c r="F7" s="37"/>
      <c r="G7" s="18"/>
      <c r="H7" s="63" t="s">
        <v>51</v>
      </c>
    </row>
    <row r="8" spans="1:8" ht="19.5" thickBot="1" x14ac:dyDescent="0.35">
      <c r="A8" s="21" t="s">
        <v>8</v>
      </c>
      <c r="C8" s="14" t="s">
        <v>36</v>
      </c>
      <c r="E8" s="15"/>
      <c r="H8" s="15"/>
    </row>
    <row r="9" spans="1:8" ht="18.75" customHeight="1" thickBot="1" x14ac:dyDescent="0.35">
      <c r="A9" s="21" t="s">
        <v>9</v>
      </c>
      <c r="C9" s="14" t="s">
        <v>37</v>
      </c>
      <c r="E9" s="59" t="s">
        <v>38</v>
      </c>
      <c r="F9" s="30" t="s">
        <v>0</v>
      </c>
      <c r="H9" s="28">
        <v>45748</v>
      </c>
    </row>
    <row r="10" spans="1:8" ht="18.75" x14ac:dyDescent="0.3">
      <c r="A10" s="21" t="s">
        <v>13</v>
      </c>
      <c r="C10" s="48" t="s">
        <v>39</v>
      </c>
      <c r="E10" s="15"/>
      <c r="F10" s="30" t="s">
        <v>15</v>
      </c>
      <c r="H10" s="29"/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/>
    </row>
    <row r="12" spans="1:8" ht="18.75" x14ac:dyDescent="0.3">
      <c r="A12" s="21" t="s">
        <v>11</v>
      </c>
      <c r="C12" s="14" t="s">
        <v>40</v>
      </c>
      <c r="E12" s="15"/>
      <c r="F12" s="30" t="s">
        <v>47</v>
      </c>
      <c r="H12" s="31">
        <v>2415</v>
      </c>
    </row>
    <row r="13" spans="1:8" ht="18.75" customHeight="1" thickBot="1" x14ac:dyDescent="0.35">
      <c r="A13" s="22" t="s">
        <v>12</v>
      </c>
      <c r="B13" s="4"/>
      <c r="C13" s="16" t="s">
        <v>41</v>
      </c>
      <c r="D13" s="4"/>
      <c r="E13" s="17"/>
      <c r="F13" s="4" t="s">
        <v>49</v>
      </c>
      <c r="G13" s="4"/>
      <c r="H13" s="72" t="s">
        <v>48</v>
      </c>
    </row>
    <row r="14" spans="1:8" ht="15.75" thickBot="1" x14ac:dyDescent="0.3"/>
    <row r="15" spans="1:8" ht="15.75" thickBot="1" x14ac:dyDescent="0.3">
      <c r="A15" s="49" t="s">
        <v>32</v>
      </c>
      <c r="B15" s="24" t="s">
        <v>21</v>
      </c>
      <c r="C15" s="42"/>
      <c r="D15" s="13"/>
      <c r="E15" s="49" t="s">
        <v>17</v>
      </c>
      <c r="F15" s="49" t="s">
        <v>19</v>
      </c>
      <c r="G15" s="49" t="s">
        <v>18</v>
      </c>
      <c r="H15" s="32" t="s">
        <v>20</v>
      </c>
    </row>
    <row r="16" spans="1:8" ht="15.75" thickBot="1" x14ac:dyDescent="0.3">
      <c r="A16" s="68">
        <v>1</v>
      </c>
      <c r="B16" s="69" t="s">
        <v>52</v>
      </c>
      <c r="C16" s="70"/>
      <c r="D16" s="45"/>
      <c r="E16" s="71" t="s">
        <v>45</v>
      </c>
      <c r="F16" s="66">
        <v>15698.4</v>
      </c>
      <c r="G16" s="67">
        <v>10</v>
      </c>
      <c r="H16" s="38">
        <f>F16*G16</f>
        <v>156984</v>
      </c>
    </row>
    <row r="17" spans="1:8" customFormat="1" ht="15.75" thickBot="1" x14ac:dyDescent="0.3">
      <c r="B17" s="16"/>
      <c r="C17" s="4"/>
      <c r="D17" s="17"/>
      <c r="F17" s="65"/>
      <c r="G17" s="65"/>
    </row>
    <row r="18" spans="1:8" customFormat="1" ht="19.5" customHeight="1" thickBot="1" x14ac:dyDescent="0.35">
      <c r="A18" s="62" t="s">
        <v>22</v>
      </c>
      <c r="B18" s="61" t="s">
        <v>53</v>
      </c>
      <c r="C18" s="12"/>
      <c r="D18" s="13"/>
      <c r="E18" s="64"/>
      <c r="F18" s="37" t="s">
        <v>43</v>
      </c>
      <c r="G18" s="6"/>
      <c r="H18" s="7"/>
    </row>
    <row r="19" spans="1:8" customFormat="1" ht="19.5" customHeight="1" thickBot="1" x14ac:dyDescent="0.3">
      <c r="A19" s="39"/>
      <c r="B19" s="16" t="s">
        <v>54</v>
      </c>
      <c r="C19" s="4"/>
      <c r="D19" s="17"/>
      <c r="E19" s="52" t="s">
        <v>23</v>
      </c>
      <c r="F19" s="52"/>
      <c r="G19" s="45"/>
      <c r="H19" s="50">
        <f>SUM(H16:H16)</f>
        <v>156984</v>
      </c>
    </row>
    <row r="20" spans="1:8" customFormat="1" ht="19.5" customHeight="1" x14ac:dyDescent="0.25">
      <c r="A20" s="24" t="s">
        <v>24</v>
      </c>
      <c r="E20" s="53" t="s">
        <v>28</v>
      </c>
      <c r="F20" s="23"/>
      <c r="G20" s="54">
        <v>0.19</v>
      </c>
      <c r="H20" s="40">
        <f>H19*G20</f>
        <v>29826.959999999999</v>
      </c>
    </row>
    <row r="21" spans="1:8" customFormat="1" ht="19.5" customHeight="1" x14ac:dyDescent="0.25">
      <c r="A21" s="14" t="s">
        <v>42</v>
      </c>
      <c r="E21" s="55" t="s">
        <v>25</v>
      </c>
      <c r="G21" s="58">
        <v>2.5000000000000001E-2</v>
      </c>
      <c r="H21" s="51"/>
    </row>
    <row r="22" spans="1:8" customFormat="1" ht="15.75" x14ac:dyDescent="0.25">
      <c r="A22" s="14" t="s">
        <v>46</v>
      </c>
      <c r="E22" s="14"/>
      <c r="F22" s="33"/>
      <c r="G22" s="46"/>
      <c r="H22" s="15"/>
    </row>
    <row r="23" spans="1:8" customFormat="1" ht="16.5" thickBot="1" x14ac:dyDescent="0.3">
      <c r="A23" s="14" t="s">
        <v>30</v>
      </c>
      <c r="E23" s="56" t="s">
        <v>26</v>
      </c>
      <c r="F23" s="57"/>
      <c r="G23" s="47"/>
      <c r="H23" s="17"/>
    </row>
    <row r="24" spans="1:8" customFormat="1" ht="19.5" thickBot="1" x14ac:dyDescent="0.35">
      <c r="A24" s="60"/>
      <c r="B24" s="4"/>
      <c r="C24" s="4"/>
      <c r="D24" s="17"/>
      <c r="F24" s="3"/>
      <c r="G24" s="34" t="s">
        <v>27</v>
      </c>
      <c r="H24" s="36">
        <f>H19+H20-H21</f>
        <v>186810.96</v>
      </c>
    </row>
    <row r="25" spans="1:8" customFormat="1" ht="16.5" customHeight="1" x14ac:dyDescent="0.25"/>
    <row r="26" spans="1:8" customFormat="1" x14ac:dyDescent="0.25"/>
    <row r="27" spans="1:8" customFormat="1" x14ac:dyDescent="0.25"/>
    <row r="28" spans="1:8" customFormat="1" x14ac:dyDescent="0.25"/>
    <row r="29" spans="1:8" customFormat="1" x14ac:dyDescent="0.25"/>
    <row r="30" spans="1:8" customFormat="1" ht="15.75" thickBot="1" x14ac:dyDescent="0.3"/>
    <row r="31" spans="1:8" customFormat="1" ht="19.5" thickBot="1" x14ac:dyDescent="0.35">
      <c r="A31" s="25" t="s">
        <v>44</v>
      </c>
      <c r="B31" s="6"/>
      <c r="C31" s="6"/>
      <c r="D31" s="6"/>
      <c r="E31" s="6"/>
      <c r="F31" s="6"/>
      <c r="G31" s="6"/>
      <c r="H31" s="7"/>
    </row>
    <row r="32" spans="1:8" customFormat="1" x14ac:dyDescent="0.25"/>
    <row r="39" spans="1:1" customFormat="1" ht="18.75" x14ac:dyDescent="0.3">
      <c r="A39" s="5"/>
    </row>
    <row r="40" spans="1:1" customFormat="1" x14ac:dyDescent="0.25"/>
    <row r="41" spans="1:1" customFormat="1" x14ac:dyDescent="0.25"/>
    <row r="46" spans="1:1" customFormat="1" x14ac:dyDescent="0.25"/>
    <row r="47" spans="1:1" customFormat="1" x14ac:dyDescent="0.25"/>
  </sheetData>
  <pageMargins left="0.70866141732283472" right="0.70866141732283472" top="0.74803149606299213" bottom="0.74803149606299213" header="0.31496062992125984" footer="0.31496062992125984"/>
  <pageSetup scale="7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COSMO COMPAÑIA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2024-12-27T15:29:35Z</cp:lastPrinted>
  <dcterms:created xsi:type="dcterms:W3CDTF">2018-11-15T17:29:02Z</dcterms:created>
  <dcterms:modified xsi:type="dcterms:W3CDTF">2025-04-01T16:18:15Z</dcterms:modified>
</cp:coreProperties>
</file>