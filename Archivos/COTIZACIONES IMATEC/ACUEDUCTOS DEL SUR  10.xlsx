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CC888D4-B386-4609-8D3B-4EBE16A1FD0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<sst xmlns="http://schemas.openxmlformats.org/spreadsheetml/2006/main" count="58" uniqueCount="57">
  <si>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</si>
  <si>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</si>
  <si>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</si>
  <si>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</si>
  <si>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</si>
  <si>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</si>
  <si>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</si>
  <si>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</si>
  <si>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</si>
  <si>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</si>
  <si>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</si>
  <si>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</si>
  <si>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</si>
  <si>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</si>
  <si>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</si>
  <si>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</si>
  <si>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</si>
  <si>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</si>
  <si>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</si>
  <si>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</si>
  <si>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</si>
  <si>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</si>
  <si>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</si>
  <si>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</si>
  <si>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</si>
  <si>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</si>
  <si>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</si>
  <si>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</si>
  <si>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</si>
  <si>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</si>
  <si>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</si>
  <si>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</si>
  <si>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</si>
  <si>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</si>
  <si>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</si>
  <si>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</si>
  <si>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</si>
  <si>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</si>
  <si>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</si>
  <si>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</si>
  <si>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</si>
  <si>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</si>
  <si>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</si>
  <si>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</si>
  <si>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</si>
  <si>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</si>
  <si>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</si>
  <si>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 xml:space="preserve">              R E M I S I O N</t>
  </si>
  <si>
    <t>ORDEN DE COMPRA No.</t>
  </si>
  <si>
    <t>No. 10</t>
  </si>
  <si>
    <t>0033-25</t>
  </si>
  <si>
    <t>LLAVE DE BOLA AC/INOX 316  1 *</t>
  </si>
  <si>
    <t xml:space="preserve">TUBERIA AC/INOX 304 SCH 10  3/4 * </t>
  </si>
  <si>
    <t>METRO LINEAL</t>
  </si>
  <si>
    <t>TEE AC/INOX 304 ROSCADA 1 *</t>
  </si>
  <si>
    <t>SEISCIENTOS CUARENTA Y NUEVE MIL SEISCIENTOS VEIN</t>
  </si>
  <si>
    <t>TIUN PESOS MDA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</si>
</sst>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  <xf numFmtId="0" fontId="1" fillId="0" borderId="36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8" sqref="J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45770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48</v>
      </c>
      <c r="H12" s="31" t="s">
        <v>50</v>
      </c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1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51</v>
      </c>
      <c r="C16" s="76"/>
      <c r="D16" s="77"/>
      <c r="E16" s="74" t="s">
        <v>42</v>
      </c>
      <c r="F16" s="78">
        <v>42550</v>
      </c>
      <c r="G16" s="74">
        <v>2</v>
      </c>
      <c r="H16" s="38">
        <f t="shared" ref="H16" si="0">G16*F16</f>
        <v>85100</v>
      </c>
    </row>
    <row r="17" spans="1:8" ht="16.5" thickBot="1" x14ac:dyDescent="0.3">
      <c r="A17" s="80">
        <v>2</v>
      </c>
      <c r="B17" s="75" t="s">
        <v>52</v>
      </c>
      <c r="C17" s="76"/>
      <c r="D17" s="77"/>
      <c r="E17" s="74" t="s">
        <v>53</v>
      </c>
      <c r="F17" s="78">
        <v>35650</v>
      </c>
      <c r="G17" s="74">
        <v>12</v>
      </c>
      <c r="H17" s="38">
        <f t="shared" ref="H17:H18" si="1">G17*F17</f>
        <v>427800</v>
      </c>
    </row>
    <row r="18" spans="1:8" ht="16.5" thickBot="1" x14ac:dyDescent="0.3">
      <c r="A18" s="82">
        <v>3</v>
      </c>
      <c r="B18" s="75" t="s">
        <v>54</v>
      </c>
      <c r="C18" s="76"/>
      <c r="D18" s="77"/>
      <c r="E18" s="74" t="s">
        <v>42</v>
      </c>
      <c r="F18" s="78">
        <v>16500</v>
      </c>
      <c r="G18" s="74">
        <v>2</v>
      </c>
      <c r="H18" s="38">
        <f t="shared" si="1"/>
        <v>33000</v>
      </c>
    </row>
    <row r="19" spans="1:8" ht="19.5" customHeight="1" thickBot="1" x14ac:dyDescent="0.3">
      <c r="A19" s="47"/>
      <c r="B19" s="71"/>
      <c r="D19" s="72"/>
      <c r="E19" s="47"/>
      <c r="F19" s="47"/>
      <c r="G19" s="47"/>
    </row>
    <row r="20" spans="1:8" ht="19.5" customHeight="1" thickBot="1" x14ac:dyDescent="0.35">
      <c r="A20" s="70" t="s">
        <v>22</v>
      </c>
      <c r="B20" s="73" t="s">
        <v>55</v>
      </c>
      <c r="C20" s="12"/>
      <c r="D20" s="13"/>
      <c r="E20" s="48"/>
      <c r="F20" s="37" t="s">
        <v>45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1" t="s">
        <v>23</v>
      </c>
      <c r="F21" s="52"/>
      <c r="G21" s="44"/>
      <c r="H21" s="49">
        <f>SUM(H16:H18)</f>
        <v>545900</v>
      </c>
    </row>
    <row r="22" spans="1:8" ht="19.5" customHeight="1" x14ac:dyDescent="0.25">
      <c r="A22" s="24" t="s">
        <v>24</v>
      </c>
      <c r="B22" s="12"/>
      <c r="C22" s="12"/>
      <c r="D22" s="12"/>
      <c r="E22" s="53" t="s">
        <v>28</v>
      </c>
      <c r="F22" s="23"/>
      <c r="G22" s="54">
        <v>0.19</v>
      </c>
      <c r="H22" s="40">
        <f>H21*G22</f>
        <v>103721</v>
      </c>
    </row>
    <row r="23" spans="1:8" ht="19.5" customHeight="1" x14ac:dyDescent="0.25">
      <c r="A23" s="14" t="s">
        <v>46</v>
      </c>
      <c r="E23" s="55" t="s">
        <v>25</v>
      </c>
      <c r="G23" s="58">
        <v>2.5000000000000001E-2</v>
      </c>
      <c r="H23" s="50"/>
    </row>
    <row r="24" spans="1:8" ht="15.75" x14ac:dyDescent="0.25">
      <c r="A24" s="14" t="s">
        <v>43</v>
      </c>
      <c r="E24" s="14"/>
      <c r="F24" s="33"/>
      <c r="G24" s="45"/>
      <c r="H24" s="15"/>
    </row>
    <row r="25" spans="1:8" ht="16.5" thickBot="1" x14ac:dyDescent="0.3">
      <c r="A25" s="14" t="s">
        <v>30</v>
      </c>
      <c r="E25" s="56" t="s">
        <v>26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27</v>
      </c>
      <c r="H26" s="36">
        <f>H21+H22-H23</f>
        <v>649621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2025-04-23T13:52:35Z</dcterms:modified>
</cp:coreProperties>
</file>