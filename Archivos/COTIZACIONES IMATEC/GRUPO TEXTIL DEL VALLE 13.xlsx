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B99927E-EA8F-4F1A-80DB-7C937867744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 l="1"/>
  <c r="H17" i="1"/>
  <c r="H16" i="1"/>
  <c r="H22" i="1" l="1"/>
  <c r="H26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<sst xmlns="http://schemas.openxmlformats.org/spreadsheetml/2006/main" count="58" uniqueCount="56">
  <si>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</si>
  <si>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</si>
  <si>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</si>
  <si>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</si>
  <si>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</si>
  <si>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</si>
  <si>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</si>
  <si>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</si>
  <si>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</si>
  <si>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</si>
  <si>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</si>
  <si>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</si>
  <si>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</si>
  <si>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</si>
  <si>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</si>
  <si>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</si>
  <si>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</si>
  <si>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</si>
  <si>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</si>
  <si>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</si>
  <si>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</si>
  <si>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</si>
  <si>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</si>
  <si>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</si>
  <si>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</si>
  <si>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</si>
  <si>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</si>
  <si>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</si>
  <si>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</si>
  <si>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</si>
  <si>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</si>
  <si>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</si>
  <si>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</si>
  <si>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</si>
  <si>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</si>
  <si>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</si>
  <si>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</si>
  <si>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</si>
  <si>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</si>
  <si>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</si>
  <si>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</si>
  <si>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</si>
  <si>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</si>
  <si>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L I Q U I D A C I O N</t>
  </si>
  <si>
    <t xml:space="preserve">  CALLE  33A  No. 17F - 56                             B/  LA FLORESTA             -   CALI    -                                   CEL.     321 7834969</t>
  </si>
  <si>
    <t>FORMA DE PAGO :  CREDITO A 30 DIAS</t>
  </si>
  <si>
    <t>ENTREGA INMEDIATA</t>
  </si>
  <si>
    <t>ACCESORIO</t>
  </si>
  <si>
    <t>No. 23</t>
  </si>
  <si>
    <t xml:space="preserve">              R E M I S I O N</t>
  </si>
  <si>
    <t>30 DIAS</t>
  </si>
  <si>
    <t>STUB END AC/INOX SCH 10  1 "</t>
  </si>
  <si>
    <t>TORNILLO  AC/INOX 304 12 MM  X  3 " TUERCA/GUAZA</t>
  </si>
  <si>
    <t>TORNILLO  AC/INOX 304 12 MMX 2 1/2 " TUERCA/GUAZA</t>
  </si>
  <si>
    <t>DOSCIENTOS OCHENTA Y TRES MIL DOSCIENTOS VEINTE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</si>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</sst>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8" xfId="0" applyFont="1" applyBorder="1"/>
    <xf numFmtId="0" fontId="1" fillId="0" borderId="29" xfId="0" applyFont="1" applyBorder="1" applyAlignment="1">
      <alignment horizontal="center"/>
    </xf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0" xfId="0" applyFont="1"/>
    <xf numFmtId="0" fontId="1" fillId="0" borderId="32" xfId="0" applyFont="1" applyBorder="1" applyAlignment="1">
      <alignment horizontal="left" vertical="top" wrapText="1"/>
    </xf>
    <xf numFmtId="0" fontId="0" fillId="0" borderId="6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285156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4" t="s">
        <v>37</v>
      </c>
      <c r="D8" s="60"/>
      <c r="E8" s="45"/>
      <c r="H8" s="15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30" t="s">
        <v>0</v>
      </c>
      <c r="H9" s="28">
        <v>45842</v>
      </c>
    </row>
    <row r="10" spans="1:8" ht="18.75" x14ac:dyDescent="0.3">
      <c r="A10" s="21" t="s">
        <v>13</v>
      </c>
      <c r="C10" s="63" t="s">
        <v>40</v>
      </c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4"/>
      <c r="D11" s="60"/>
      <c r="E11" s="45"/>
      <c r="F11" s="30" t="s">
        <v>16</v>
      </c>
      <c r="G11" s="30"/>
      <c r="H11" s="28">
        <v>45872</v>
      </c>
    </row>
    <row r="12" spans="1:8" ht="18.75" x14ac:dyDescent="0.3">
      <c r="A12" s="21" t="s">
        <v>11</v>
      </c>
      <c r="C12" s="64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2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8">
        <v>1</v>
      </c>
      <c r="B16" s="67" t="s">
        <v>52</v>
      </c>
      <c r="C16" s="69"/>
      <c r="D16" s="70"/>
      <c r="E16" s="68" t="s">
        <v>47</v>
      </c>
      <c r="F16" s="71">
        <v>4800</v>
      </c>
      <c r="G16" s="68">
        <v>20</v>
      </c>
      <c r="H16" s="38">
        <f t="shared" ref="H16" si="0">G16*F16</f>
        <v>96000</v>
      </c>
    </row>
    <row r="17" spans="1:8" ht="16.5" thickBot="1" x14ac:dyDescent="0.3">
      <c r="A17" s="68">
        <v>2</v>
      </c>
      <c r="B17" s="67" t="s">
        <v>53</v>
      </c>
      <c r="C17" s="69"/>
      <c r="D17" s="70"/>
      <c r="E17" s="68" t="s">
        <v>47</v>
      </c>
      <c r="F17" s="71">
        <v>3200</v>
      </c>
      <c r="G17" s="68">
        <v>20</v>
      </c>
      <c r="H17" s="38">
        <f t="shared" ref="H17:H18" si="1">G17*F17</f>
        <v>64000</v>
      </c>
    </row>
    <row r="18" spans="1:8" ht="16.5" thickBot="1" x14ac:dyDescent="0.3">
      <c r="A18" s="68">
        <v>3</v>
      </c>
      <c r="B18" s="67" t="s">
        <v>51</v>
      </c>
      <c r="C18" s="69"/>
      <c r="D18" s="70"/>
      <c r="E18" s="68" t="s">
        <v>47</v>
      </c>
      <c r="F18" s="71">
        <v>19500</v>
      </c>
      <c r="G18" s="68">
        <v>4</v>
      </c>
      <c r="H18" s="38">
        <f t="shared" si="1"/>
        <v>78000</v>
      </c>
    </row>
    <row r="19" spans="1:8" ht="19.5" customHeight="1" thickBot="1" x14ac:dyDescent="0.3">
      <c r="A19" s="76"/>
      <c r="B19" s="73"/>
      <c r="E19" s="77"/>
      <c r="F19" s="77"/>
      <c r="G19" s="77"/>
      <c r="H19" s="47"/>
    </row>
    <row r="20" spans="1:8" ht="19.5" customHeight="1" thickBot="1" x14ac:dyDescent="0.35">
      <c r="A20" s="74" t="s">
        <v>23</v>
      </c>
      <c r="B20" s="75" t="s">
        <v>54</v>
      </c>
      <c r="C20" s="12"/>
      <c r="D20" s="13"/>
      <c r="E20" s="48"/>
      <c r="F20" s="37" t="s">
        <v>43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1" t="s">
        <v>24</v>
      </c>
      <c r="F21" s="52"/>
      <c r="G21" s="44"/>
      <c r="H21" s="49">
        <f>SUM(H16:H18)</f>
        <v>238000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45220</v>
      </c>
    </row>
    <row r="23" spans="1:8" ht="19.5" customHeight="1" x14ac:dyDescent="0.25">
      <c r="A23" s="14" t="s">
        <v>45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46</v>
      </c>
      <c r="E24" s="14"/>
      <c r="F24" s="33"/>
      <c r="G24" s="45"/>
      <c r="H24" s="15"/>
    </row>
    <row r="25" spans="1:8" ht="16.5" thickBot="1" x14ac:dyDescent="0.3">
      <c r="A25" s="14" t="s">
        <v>31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283220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2025-07-04T15:34:45Z</cp:lastPrinted>
  <dcterms:created xsi:type="dcterms:W3CDTF">2018-11-15T17:29:02Z</dcterms:created>
  <dcterms:modified xsi:type="dcterms:W3CDTF">2025-07-04T21:21:55Z</dcterms:modified>
</cp:coreProperties>
</file>