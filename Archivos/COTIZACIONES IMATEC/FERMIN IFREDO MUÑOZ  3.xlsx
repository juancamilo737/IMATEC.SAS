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EB4DEF49-5942-4B6A-940E-45ED5AE3B50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ERMIN MUÑOZ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/>
  <c r="H20" i="1" l="1"/>
  <c r="H24" i="1" s="1"/>
</calcChain>
</file>

<file path=xl/sharedStrings.xml><?xml version="1.0" encoding="utf-8"?>
<sst xmlns="http://schemas.openxmlformats.org/spreadsheetml/2006/main" count="52" uniqueCount="52">
  <si>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</si>
  <si>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</si>
  <si>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</si>
  <si>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</si>
  <si>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</si>
  <si>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</si>
  <si>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</si>
  <si>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</si>
  <si>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</si>
  <si>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</si>
  <si>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</si>
  <si>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</si>
  <si>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</si>
  <si>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</si>
  <si>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</si>
  <si>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</si>
  <si>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</si>
  <si>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</si>
  <si>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</si>
  <si>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</si>
  <si>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</si>
  <si>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</si>
  <si>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</si>
  <si>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</si>
  <si>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</si>
  <si>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</si>
  <si>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</si>
  <si>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</si>
  <si>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</si>
  <si>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</si>
  <si>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</si>
  <si>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</si>
  <si>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</si>
  <si>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</si>
  <si>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</si>
  <si>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</si>
  <si>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</si>
  <si>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FERMIN IFREDO MUÑOZ HOYOS</t>
  </si>
  <si>
    <t>CALLE  6  No. 30-36</t>
  </si>
  <si>
    <t>POPAYÁN</t>
  </si>
  <si>
    <t>carrocerias04@gmail.com</t>
  </si>
  <si>
    <t>312 2137524</t>
  </si>
  <si>
    <t>LUIS A. BENAVIDES</t>
  </si>
  <si>
    <t>METRO LINEAL</t>
  </si>
  <si>
    <t>ENTREGA INMEDIATA</t>
  </si>
  <si>
    <t>No. 3</t>
  </si>
  <si>
    <t>TUBERIA  AC/INOX 304 SCH 80  1/2 "</t>
  </si>
  <si>
    <t>DOSCIENTOS CUARENTA Y NUEVE MIL NOVECIENTOS</t>
  </si>
  <si>
    <t>PESOS MDA / CTE</t>
  </si>
  <si>
    <t>L I Q U I D A C I O N</t>
  </si>
  <si>
    <t xml:space="preserve">              R E M I S I O N</t>
  </si>
  <si>
    <t xml:space="preserve">  CALLE  33A  No. 17F - 56                              B/  LA FLORESTA             -   CALI    -                                   CEL.     321 7834969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</si>
</sst>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  <xf numFmtId="0" fontId="0" fillId="0" borderId="21" xfId="0" applyBorder="1" applyAlignment="1">
      <alignment horizontal="left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rrocerias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12" zoomScaleNormal="100" workbookViewId="0">
      <selection activeCell="I28" sqref="I2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50</v>
      </c>
      <c r="G6" s="43"/>
      <c r="H6" s="44"/>
    </row>
    <row r="7" spans="1:8" ht="19.5" thickBot="1" x14ac:dyDescent="0.35">
      <c r="A7" s="20" t="s">
        <v>14</v>
      </c>
      <c r="B7" s="12"/>
      <c r="C7" s="65" t="s">
        <v>37</v>
      </c>
      <c r="D7" s="12"/>
      <c r="E7" s="13"/>
      <c r="F7" s="37"/>
      <c r="G7" s="18"/>
      <c r="H7" s="19" t="s">
        <v>45</v>
      </c>
    </row>
    <row r="8" spans="1:8" ht="18.75" x14ac:dyDescent="0.3">
      <c r="A8" s="21" t="s">
        <v>8</v>
      </c>
      <c r="C8" s="79">
        <v>76318212</v>
      </c>
      <c r="D8" s="67"/>
      <c r="E8" s="46"/>
      <c r="H8" s="15"/>
    </row>
    <row r="9" spans="1:8" ht="18.75" customHeight="1" x14ac:dyDescent="0.3">
      <c r="A9" s="21" t="s">
        <v>9</v>
      </c>
      <c r="C9" s="68" t="s">
        <v>38</v>
      </c>
      <c r="D9" s="23"/>
      <c r="E9" s="69" t="s">
        <v>39</v>
      </c>
      <c r="F9" s="30" t="s">
        <v>0</v>
      </c>
      <c r="H9" s="28">
        <v>45820</v>
      </c>
    </row>
    <row r="10" spans="1:8" ht="18.75" x14ac:dyDescent="0.3">
      <c r="A10" s="21" t="s">
        <v>13</v>
      </c>
      <c r="C10" s="70" t="s">
        <v>40</v>
      </c>
      <c r="D10" s="66"/>
      <c r="E10" s="47"/>
      <c r="F10" s="30" t="s">
        <v>15</v>
      </c>
      <c r="H10" s="29"/>
    </row>
    <row r="11" spans="1:8" ht="18.75" x14ac:dyDescent="0.3">
      <c r="A11" s="21" t="s">
        <v>10</v>
      </c>
      <c r="C11" s="71"/>
      <c r="D11" s="66"/>
      <c r="E11" s="47"/>
      <c r="F11" s="30" t="s">
        <v>16</v>
      </c>
      <c r="G11" s="30"/>
      <c r="H11" s="28"/>
    </row>
    <row r="12" spans="1:8" ht="18.75" x14ac:dyDescent="0.3">
      <c r="A12" s="21" t="s">
        <v>11</v>
      </c>
      <c r="C12" s="71" t="s">
        <v>41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2" t="s">
        <v>42</v>
      </c>
      <c r="D13" s="73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34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4">
        <v>1</v>
      </c>
      <c r="B16" s="75" t="s">
        <v>46</v>
      </c>
      <c r="C16" s="76"/>
      <c r="D16" s="77"/>
      <c r="E16" s="74" t="s">
        <v>43</v>
      </c>
      <c r="F16" s="78">
        <v>70000</v>
      </c>
      <c r="G16" s="74">
        <v>3</v>
      </c>
      <c r="H16" s="38">
        <f t="shared" ref="H16" si="0">G16*F16</f>
        <v>210000</v>
      </c>
    </row>
    <row r="17" spans="1:8" ht="19.5" customHeight="1" thickBot="1" x14ac:dyDescent="0.3">
      <c r="A17" s="51"/>
      <c r="B17" s="45"/>
      <c r="C17" s="42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4" t="s">
        <v>47</v>
      </c>
      <c r="D18" s="15"/>
      <c r="E18" s="54"/>
      <c r="F18" s="37" t="s">
        <v>49</v>
      </c>
      <c r="G18" s="6"/>
      <c r="H18" s="7"/>
    </row>
    <row r="19" spans="1:8" ht="19.5" customHeight="1" thickBot="1" x14ac:dyDescent="0.3">
      <c r="A19" s="39"/>
      <c r="B19" s="16" t="s">
        <v>48</v>
      </c>
      <c r="C19" s="4"/>
      <c r="D19" s="4"/>
      <c r="E19" s="57" t="s">
        <v>24</v>
      </c>
      <c r="F19" s="58"/>
      <c r="G19" s="46"/>
      <c r="H19" s="55">
        <f>SUM(H16:H18)</f>
        <v>210000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29</v>
      </c>
      <c r="F20" s="23"/>
      <c r="G20" s="60">
        <v>0.19</v>
      </c>
      <c r="H20" s="40">
        <f>H19*G20</f>
        <v>39900</v>
      </c>
    </row>
    <row r="21" spans="1:8" ht="19.5" customHeight="1" x14ac:dyDescent="0.25">
      <c r="A21" s="14" t="s">
        <v>30</v>
      </c>
      <c r="E21" s="61" t="s">
        <v>26</v>
      </c>
      <c r="G21" s="64">
        <v>2.5000000000000001E-2</v>
      </c>
      <c r="H21" s="56"/>
    </row>
    <row r="22" spans="1:8" ht="15.75" x14ac:dyDescent="0.25">
      <c r="A22" s="14" t="s">
        <v>44</v>
      </c>
      <c r="E22" s="14"/>
      <c r="F22" s="33"/>
      <c r="G22" s="47"/>
      <c r="H22" s="15"/>
    </row>
    <row r="23" spans="1:8" ht="16.5" thickBot="1" x14ac:dyDescent="0.3">
      <c r="A23" s="14" t="s">
        <v>32</v>
      </c>
      <c r="E23" s="62" t="s">
        <v>27</v>
      </c>
      <c r="F23" s="63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249900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51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F594AB05-D3E6-4195-AF9A-D1E95AA6F5B2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FERMIN MUÑOZ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2024-11-22T17:15:26Z</cp:lastPrinted>
  <dcterms:created xsi:type="dcterms:W3CDTF">2018-11-15T17:29:02Z</dcterms:created>
  <dcterms:modified xsi:type="dcterms:W3CDTF">2025-06-12T22:02:17Z</dcterms:modified>
</cp:coreProperties>
</file>