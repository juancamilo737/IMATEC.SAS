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EC1E9A5C-1CC8-4505-B4F8-623A504F762E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FITTING VALVES S.A.S.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4" i="1" l="1"/>
  <c r="H30" i="1" l="1"/>
  <c r="H29" i="1"/>
  <c r="H28" i="1"/>
  <c r="H27" i="1"/>
  <c r="H26" i="1"/>
  <c r="H25" i="1"/>
  <c r="H23" i="1"/>
  <c r="H24" i="1"/>
  <c r="H22" i="1"/>
  <c r="H21" i="1"/>
  <c r="H20" i="1"/>
  <c r="H19" i="1"/>
  <c r="H18" i="1"/>
  <c r="H36" i="1" l="1"/>
  <c r="H35" i="1"/>
  <c r="H38" i="1" s="1"/>
</calcChain>
</file>

<file path=xl/sharedStrings.xml><?xml version="1.0" encoding="utf-8"?>
<sst xmlns="http://schemas.openxmlformats.org/spreadsheetml/2006/main" count="83" uniqueCount="71">
  <si>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</si>
  <si>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</si>
  <si>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</si>
  <si>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</si>
  <si>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</si>
  <si>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</si>
  <si>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</si>
  <si>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</si>
  <si>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</si>
  <si>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</si>
  <si>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</si>
  <si>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</si>
  <si>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</si>
  <si>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</si>
  <si>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</si>
  <si>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</si>
  <si>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</si>
  <si>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</si>
  <si>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</si>
  <si>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</si>
  <si>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 xml:space="preserve">                   JAVIER LOZANO TAMAYO C.C. 16´654.252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</si>
  <si>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</si>
  <si>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</si>
  <si>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</si>
  <si>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</si>
  <si>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</si>
  <si>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</si>
  <si>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</si>
  <si>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</si>
  <si>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</si>
  <si>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</si>
  <si>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</si>
  <si>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</si>
  <si>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</si>
  <si>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</si>
  <si>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8 DIAS</t>
  </si>
  <si>
    <t>ENTREGA EN CALI</t>
  </si>
  <si>
    <t xml:space="preserve">  CALLE  33B  No. 17C - 70     2º PISO            B/  LA FLORESTA             -   CALI    -                               CEL.     321 7834969</t>
  </si>
  <si>
    <t>ITEM</t>
  </si>
  <si>
    <t>FITTING VALVES S.A.S.</t>
  </si>
  <si>
    <t>804 014709</t>
  </si>
  <si>
    <t>AUTOPISTA GIRON KMT 6</t>
  </si>
  <si>
    <t>rut@fittingvalves.com</t>
  </si>
  <si>
    <t>BUCARAMANGA</t>
  </si>
  <si>
    <t>607 7000350</t>
  </si>
  <si>
    <t xml:space="preserve">           C O T I Z A C I O N</t>
  </si>
  <si>
    <t>CONTACTOS    310 8306118     319  7174165     321 7834969</t>
  </si>
  <si>
    <t>FORMA DE PAGO : CREDITO A 30 DIAS</t>
  </si>
  <si>
    <t>LUIS  A.  BENAVIDES</t>
  </si>
  <si>
    <t>ENTREGA EN 8 DIAS A PARTIR DE ORDEN DE COMPRA</t>
  </si>
  <si>
    <t>No. 7</t>
  </si>
  <si>
    <t>BRIDA  A / C PLANA CON PERFORACIONES ANSI PN 16</t>
  </si>
  <si>
    <t>DIN</t>
  </si>
  <si>
    <t>PULGADAS</t>
  </si>
  <si>
    <t>1/2 "</t>
  </si>
  <si>
    <t>3/4 "</t>
  </si>
  <si>
    <t>1 "</t>
  </si>
  <si>
    <t>1 1/4 "</t>
  </si>
  <si>
    <t>1 1/2 "</t>
  </si>
  <si>
    <t>2 "</t>
  </si>
  <si>
    <t>2 1/2 "</t>
  </si>
  <si>
    <t>3 "</t>
  </si>
  <si>
    <t>4 "</t>
  </si>
  <si>
    <t>5 "</t>
  </si>
  <si>
    <t>6 "</t>
  </si>
  <si>
    <t>10 "</t>
  </si>
  <si>
    <t>FABRICACION</t>
  </si>
  <si>
    <t>VISOR DOBLE VENTANA AC/INOX 304 FLANCHADO</t>
  </si>
  <si>
    <t>5 "  X  150 LB PSI</t>
  </si>
  <si>
    <t>SETENTA Y TRES MILLONES NOVECIENTOS VEINTINUE-</t>
  </si>
  <si>
    <t>VE MIL SETECIENTOS TREINTA Y CINCO PESOS MDA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</si>
</sst>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42" fontId="11" fillId="0" borderId="1" xfId="1" applyFont="1" applyBorder="1" applyAlignment="1">
      <alignment horizontal="center"/>
    </xf>
    <xf numFmtId="42" fontId="1" fillId="0" borderId="1" xfId="0" applyNumberFormat="1" applyFont="1" applyBorder="1"/>
    <xf numFmtId="0" fontId="1" fillId="0" borderId="19" xfId="0" applyFont="1" applyBorder="1" applyAlignment="1">
      <alignment horizontal="center"/>
    </xf>
    <xf numFmtId="42" fontId="1" fillId="0" borderId="20" xfId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5" fillId="0" borderId="11" xfId="0" applyFont="1" applyBorder="1"/>
    <xf numFmtId="0" fontId="4" fillId="0" borderId="14" xfId="0" applyFont="1" applyBorder="1"/>
    <xf numFmtId="0" fontId="7" fillId="0" borderId="11" xfId="0" applyFont="1" applyBorder="1"/>
    <xf numFmtId="0" fontId="1" fillId="0" borderId="2" xfId="0" applyFont="1" applyBorder="1"/>
    <xf numFmtId="0" fontId="1" fillId="0" borderId="12" xfId="0" applyFont="1" applyBorder="1"/>
    <xf numFmtId="0" fontId="3" fillId="0" borderId="3" xfId="0" applyFont="1" applyBorder="1"/>
    <xf numFmtId="0" fontId="1" fillId="0" borderId="2" xfId="0" applyFont="1" applyBorder="1" applyAlignment="1">
      <alignment horizontal="center"/>
    </xf>
    <xf numFmtId="0" fontId="8" fillId="0" borderId="22" xfId="0" applyFont="1" applyBorder="1"/>
    <xf numFmtId="0" fontId="8" fillId="0" borderId="2" xfId="0" applyFont="1" applyBorder="1"/>
    <xf numFmtId="0" fontId="8" fillId="0" borderId="21" xfId="0" applyFont="1" applyBorder="1"/>
    <xf numFmtId="0" fontId="1" fillId="0" borderId="3" xfId="0" applyFont="1" applyBorder="1"/>
    <xf numFmtId="0" fontId="0" fillId="0" borderId="3" xfId="0" applyBorder="1"/>
    <xf numFmtId="0" fontId="5" fillId="0" borderId="4" xfId="0" applyFont="1" applyBorder="1"/>
    <xf numFmtId="42" fontId="1" fillId="0" borderId="16" xfId="0" applyNumberFormat="1" applyFont="1" applyBorder="1"/>
    <xf numFmtId="42" fontId="1" fillId="0" borderId="16" xfId="1" applyFont="1" applyBorder="1"/>
    <xf numFmtId="0" fontId="0" fillId="0" borderId="16" xfId="0" applyBorder="1"/>
    <xf numFmtId="0" fontId="0" fillId="0" borderId="23" xfId="0" applyBorder="1"/>
    <xf numFmtId="0" fontId="0" fillId="0" borderId="24" xfId="0" applyBorder="1"/>
    <xf numFmtId="0" fontId="4" fillId="0" borderId="25" xfId="0" applyFont="1" applyBorder="1"/>
    <xf numFmtId="0" fontId="4" fillId="0" borderId="9" xfId="0" applyFont="1" applyBorder="1"/>
    <xf numFmtId="9" fontId="1" fillId="0" borderId="26" xfId="0" applyNumberFormat="1" applyFont="1" applyBorder="1"/>
    <xf numFmtId="0" fontId="4" fillId="0" borderId="27" xfId="0" applyFont="1" applyBorder="1"/>
    <xf numFmtId="10" fontId="1" fillId="0" borderId="28" xfId="0" applyNumberFormat="1" applyFont="1" applyBorder="1"/>
    <xf numFmtId="0" fontId="4" fillId="0" borderId="29" xfId="0" applyFont="1" applyBorder="1"/>
    <xf numFmtId="0" fontId="4" fillId="0" borderId="30" xfId="0" applyFont="1" applyBorder="1"/>
    <xf numFmtId="0" fontId="0" fillId="0" borderId="31" xfId="0" applyBorder="1"/>
    <xf numFmtId="0" fontId="4" fillId="0" borderId="3" xfId="0" applyFont="1" applyBorder="1"/>
    <xf numFmtId="0" fontId="0" fillId="0" borderId="25" xfId="0" applyBorder="1"/>
    <xf numFmtId="0" fontId="0" fillId="0" borderId="32" xfId="0" applyBorder="1"/>
    <xf numFmtId="0" fontId="0" fillId="0" borderId="28" xfId="0" applyBorder="1"/>
    <xf numFmtId="0" fontId="13" fillId="0" borderId="27" xfId="2" applyBorder="1"/>
    <xf numFmtId="0" fontId="0" fillId="0" borderId="33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34" xfId="0" applyBorder="1"/>
    <xf numFmtId="0" fontId="1" fillId="0" borderId="0" xfId="0" applyFont="1" applyAlignment="1">
      <alignment horizontal="center"/>
    </xf>
    <xf numFmtId="0" fontId="8" fillId="0" borderId="0" xfId="0" applyFont="1"/>
    <xf numFmtId="42" fontId="11" fillId="0" borderId="0" xfId="1" applyFont="1" applyBorder="1" applyAlignment="1">
      <alignment horizontal="center"/>
    </xf>
    <xf numFmtId="42" fontId="1" fillId="0" borderId="0" xfId="1" applyFont="1" applyBorder="1" applyAlignment="1">
      <alignment horizontal="center"/>
    </xf>
    <xf numFmtId="0" fontId="1" fillId="0" borderId="0" xfId="0" applyFont="1"/>
    <xf numFmtId="0" fontId="8" fillId="0" borderId="21" xfId="0" applyFont="1" applyBorder="1" applyAlignment="1">
      <alignment horizontal="right"/>
    </xf>
    <xf numFmtId="0" fontId="8" fillId="0" borderId="2" xfId="0" applyFont="1" applyBorder="1" applyAlignment="1">
      <alignment horizontal="center"/>
    </xf>
    <xf numFmtId="0" fontId="8" fillId="0" borderId="21" xfId="0" applyFont="1" applyBorder="1" applyAlignment="1">
      <alignment horizontal="center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ut@fittingvalv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9"/>
  <sheetViews>
    <sheetView tabSelected="1" topLeftCell="A16" zoomScaleNormal="100" workbookViewId="0">
      <selection activeCell="E32" sqref="E32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0" t="s">
        <v>33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8" t="s">
        <v>8</v>
      </c>
      <c r="B4" s="6"/>
      <c r="C4" s="6"/>
      <c r="D4" s="29" t="s">
        <v>20</v>
      </c>
      <c r="E4" s="19"/>
      <c r="F4" s="20"/>
      <c r="G4" s="6"/>
      <c r="H4" s="7"/>
    </row>
    <row r="5" spans="1:8" ht="21.75" thickBot="1" x14ac:dyDescent="0.4">
      <c r="A5" s="48" t="s">
        <v>46</v>
      </c>
      <c r="B5" s="19"/>
      <c r="C5" s="19"/>
      <c r="D5" s="19"/>
      <c r="E5" s="19"/>
      <c r="F5" s="19"/>
      <c r="G5" s="19"/>
      <c r="H5" s="20"/>
    </row>
    <row r="6" spans="1:8" ht="24.75" customHeight="1" thickBot="1" x14ac:dyDescent="0.45">
      <c r="F6" s="45" t="s">
        <v>45</v>
      </c>
      <c r="G6" s="46"/>
      <c r="H6" s="47"/>
    </row>
    <row r="7" spans="1:8" ht="19.5" thickBot="1" x14ac:dyDescent="0.35">
      <c r="A7" s="21" t="s">
        <v>15</v>
      </c>
      <c r="B7" s="13"/>
      <c r="C7" s="69" t="s">
        <v>39</v>
      </c>
      <c r="D7" s="6"/>
      <c r="E7" s="7"/>
      <c r="F7" s="27"/>
      <c r="G7" s="19"/>
      <c r="H7" s="20" t="s">
        <v>50</v>
      </c>
    </row>
    <row r="8" spans="1:8" ht="18.75" x14ac:dyDescent="0.3">
      <c r="A8" s="22" t="s">
        <v>9</v>
      </c>
      <c r="C8" s="59" t="s">
        <v>40</v>
      </c>
      <c r="D8" s="60"/>
      <c r="E8" s="70"/>
      <c r="F8" s="12"/>
      <c r="G8" s="13"/>
      <c r="H8" s="14"/>
    </row>
    <row r="9" spans="1:8" ht="18.75" customHeight="1" x14ac:dyDescent="0.3">
      <c r="A9" s="22" t="s">
        <v>10</v>
      </c>
      <c r="C9" s="71" t="s">
        <v>41</v>
      </c>
      <c r="D9" s="24"/>
      <c r="E9" s="72" t="s">
        <v>43</v>
      </c>
      <c r="F9" s="30" t="s">
        <v>0</v>
      </c>
      <c r="H9" s="31">
        <v>45596</v>
      </c>
    </row>
    <row r="10" spans="1:8" ht="18.75" x14ac:dyDescent="0.3">
      <c r="A10" s="22" t="s">
        <v>14</v>
      </c>
      <c r="C10" s="73" t="s">
        <v>42</v>
      </c>
      <c r="D10" s="25"/>
      <c r="E10" s="74"/>
      <c r="F10" s="30" t="s">
        <v>16</v>
      </c>
      <c r="H10" s="32" t="s">
        <v>35</v>
      </c>
    </row>
    <row r="11" spans="1:8" ht="18.75" x14ac:dyDescent="0.3">
      <c r="A11" s="22" t="s">
        <v>11</v>
      </c>
      <c r="C11" s="73"/>
      <c r="D11" s="25"/>
      <c r="E11" s="74"/>
      <c r="F11" s="30" t="s">
        <v>17</v>
      </c>
      <c r="G11" s="33"/>
      <c r="H11" s="31">
        <v>45605</v>
      </c>
    </row>
    <row r="12" spans="1:8" ht="18.75" x14ac:dyDescent="0.3">
      <c r="A12" s="22" t="s">
        <v>12</v>
      </c>
      <c r="C12" s="75" t="s">
        <v>44</v>
      </c>
      <c r="D12" s="25"/>
      <c r="E12" s="74"/>
      <c r="F12" s="30" t="s">
        <v>18</v>
      </c>
      <c r="H12" s="34"/>
    </row>
    <row r="13" spans="1:8" ht="18.75" customHeight="1" thickBot="1" x14ac:dyDescent="0.35">
      <c r="A13" s="23" t="s">
        <v>13</v>
      </c>
      <c r="B13" s="4"/>
      <c r="C13" s="76" t="s">
        <v>48</v>
      </c>
      <c r="D13" s="77"/>
      <c r="E13" s="78"/>
      <c r="F13" s="17"/>
      <c r="G13" s="4"/>
      <c r="H13" s="18"/>
    </row>
    <row r="14" spans="1:8" ht="15.75" thickBot="1" x14ac:dyDescent="0.3"/>
    <row r="15" spans="1:8" ht="15.75" thickBot="1" x14ac:dyDescent="0.3">
      <c r="A15" s="35" t="s">
        <v>38</v>
      </c>
      <c r="B15" s="53" t="s">
        <v>25</v>
      </c>
      <c r="C15" s="19"/>
      <c r="D15" s="7"/>
      <c r="E15" s="35" t="s">
        <v>21</v>
      </c>
      <c r="F15" s="35" t="s">
        <v>23</v>
      </c>
      <c r="G15" s="35" t="s">
        <v>22</v>
      </c>
      <c r="H15" s="35" t="s">
        <v>24</v>
      </c>
    </row>
    <row r="16" spans="1:8" ht="15.75" thickBot="1" x14ac:dyDescent="0.3">
      <c r="B16" s="83" t="s">
        <v>51</v>
      </c>
      <c r="C16" s="83"/>
      <c r="D16" s="83"/>
    </row>
    <row r="17" spans="1:8" ht="15.75" thickBot="1" x14ac:dyDescent="0.3">
      <c r="B17" s="18"/>
      <c r="C17" s="35" t="s">
        <v>52</v>
      </c>
      <c r="D17" s="35" t="s">
        <v>53</v>
      </c>
    </row>
    <row r="18" spans="1:8" ht="16.5" thickBot="1" x14ac:dyDescent="0.3">
      <c r="A18" s="35">
        <v>1</v>
      </c>
      <c r="B18" s="17"/>
      <c r="C18" s="85">
        <v>15</v>
      </c>
      <c r="D18" s="86" t="s">
        <v>54</v>
      </c>
      <c r="E18" s="38" t="s">
        <v>66</v>
      </c>
      <c r="F18" s="36">
        <v>40000</v>
      </c>
      <c r="G18" s="35">
        <v>94</v>
      </c>
      <c r="H18" s="39">
        <f t="shared" ref="H18:H31" si="0">G18*F18</f>
        <v>3760000</v>
      </c>
    </row>
    <row r="19" spans="1:8" ht="16.5" thickBot="1" x14ac:dyDescent="0.3">
      <c r="A19" s="49">
        <v>2</v>
      </c>
      <c r="B19" s="50"/>
      <c r="C19" s="85">
        <v>20</v>
      </c>
      <c r="D19" s="86" t="s">
        <v>55</v>
      </c>
      <c r="E19" s="38" t="s">
        <v>66</v>
      </c>
      <c r="F19" s="36">
        <v>48000</v>
      </c>
      <c r="G19" s="35">
        <v>15</v>
      </c>
      <c r="H19" s="39">
        <f t="shared" si="0"/>
        <v>720000</v>
      </c>
    </row>
    <row r="20" spans="1:8" ht="16.5" thickBot="1" x14ac:dyDescent="0.3">
      <c r="A20" s="49">
        <v>3</v>
      </c>
      <c r="B20" s="50"/>
      <c r="C20" s="85">
        <v>25</v>
      </c>
      <c r="D20" s="86" t="s">
        <v>56</v>
      </c>
      <c r="E20" s="38" t="s">
        <v>66</v>
      </c>
      <c r="F20" s="36">
        <v>54000</v>
      </c>
      <c r="G20" s="35">
        <v>33</v>
      </c>
      <c r="H20" s="39">
        <f t="shared" si="0"/>
        <v>1782000</v>
      </c>
    </row>
    <row r="21" spans="1:8" ht="16.5" thickBot="1" x14ac:dyDescent="0.3">
      <c r="A21" s="49">
        <v>4</v>
      </c>
      <c r="B21" s="50"/>
      <c r="C21" s="85">
        <v>32</v>
      </c>
      <c r="D21" s="86" t="s">
        <v>57</v>
      </c>
      <c r="E21" s="38" t="s">
        <v>66</v>
      </c>
      <c r="F21" s="36">
        <v>60000</v>
      </c>
      <c r="G21" s="35">
        <v>10</v>
      </c>
      <c r="H21" s="39">
        <f t="shared" si="0"/>
        <v>600000</v>
      </c>
    </row>
    <row r="22" spans="1:8" ht="16.5" thickBot="1" x14ac:dyDescent="0.3">
      <c r="A22" s="49">
        <v>5</v>
      </c>
      <c r="B22" s="50"/>
      <c r="C22" s="85">
        <v>40</v>
      </c>
      <c r="D22" s="86" t="s">
        <v>58</v>
      </c>
      <c r="E22" s="38" t="s">
        <v>66</v>
      </c>
      <c r="F22" s="36">
        <v>65000</v>
      </c>
      <c r="G22" s="35">
        <v>26</v>
      </c>
      <c r="H22" s="39">
        <f t="shared" si="0"/>
        <v>1690000</v>
      </c>
    </row>
    <row r="23" spans="1:8" ht="16.5" thickBot="1" x14ac:dyDescent="0.3">
      <c r="A23" s="49">
        <v>6</v>
      </c>
      <c r="B23" s="50"/>
      <c r="C23" s="85">
        <v>50</v>
      </c>
      <c r="D23" s="86" t="s">
        <v>59</v>
      </c>
      <c r="E23" s="38" t="s">
        <v>66</v>
      </c>
      <c r="F23" s="36">
        <v>74000</v>
      </c>
      <c r="G23" s="35">
        <v>28</v>
      </c>
      <c r="H23" s="39">
        <f t="shared" si="0"/>
        <v>2072000</v>
      </c>
    </row>
    <row r="24" spans="1:8" ht="16.5" thickBot="1" x14ac:dyDescent="0.3">
      <c r="A24" s="49">
        <v>7</v>
      </c>
      <c r="B24" s="50"/>
      <c r="C24" s="85">
        <v>65</v>
      </c>
      <c r="D24" s="86" t="s">
        <v>60</v>
      </c>
      <c r="E24" s="38" t="s">
        <v>66</v>
      </c>
      <c r="F24" s="36">
        <v>80000</v>
      </c>
      <c r="G24" s="35">
        <v>15</v>
      </c>
      <c r="H24" s="39">
        <f t="shared" si="0"/>
        <v>1200000</v>
      </c>
    </row>
    <row r="25" spans="1:8" ht="16.5" thickBot="1" x14ac:dyDescent="0.3">
      <c r="A25" s="49">
        <v>8</v>
      </c>
      <c r="B25" s="50"/>
      <c r="C25" s="85">
        <v>80</v>
      </c>
      <c r="D25" s="86" t="s">
        <v>61</v>
      </c>
      <c r="E25" s="38" t="s">
        <v>66</v>
      </c>
      <c r="F25" s="36">
        <v>105000</v>
      </c>
      <c r="G25" s="35">
        <v>39</v>
      </c>
      <c r="H25" s="39">
        <f t="shared" si="0"/>
        <v>4095000</v>
      </c>
    </row>
    <row r="26" spans="1:8" ht="16.5" thickBot="1" x14ac:dyDescent="0.3">
      <c r="A26" s="49">
        <v>9</v>
      </c>
      <c r="B26" s="50"/>
      <c r="C26" s="85">
        <v>100</v>
      </c>
      <c r="D26" s="86" t="s">
        <v>62</v>
      </c>
      <c r="E26" s="38" t="s">
        <v>66</v>
      </c>
      <c r="F26" s="36">
        <v>170000</v>
      </c>
      <c r="G26" s="35">
        <v>19</v>
      </c>
      <c r="H26" s="39">
        <f t="shared" si="0"/>
        <v>3230000</v>
      </c>
    </row>
    <row r="27" spans="1:8" ht="16.5" thickBot="1" x14ac:dyDescent="0.3">
      <c r="A27" s="49">
        <v>10</v>
      </c>
      <c r="B27" s="50"/>
      <c r="C27" s="85">
        <v>125</v>
      </c>
      <c r="D27" s="86" t="s">
        <v>63</v>
      </c>
      <c r="E27" s="38" t="s">
        <v>66</v>
      </c>
      <c r="F27" s="36">
        <v>210000</v>
      </c>
      <c r="G27" s="35">
        <v>20</v>
      </c>
      <c r="H27" s="39">
        <f t="shared" si="0"/>
        <v>4200000</v>
      </c>
    </row>
    <row r="28" spans="1:8" ht="16.5" thickBot="1" x14ac:dyDescent="0.3">
      <c r="A28" s="49">
        <v>11</v>
      </c>
      <c r="B28" s="50"/>
      <c r="C28" s="85">
        <v>150</v>
      </c>
      <c r="D28" s="86" t="s">
        <v>64</v>
      </c>
      <c r="E28" s="38" t="s">
        <v>66</v>
      </c>
      <c r="F28" s="36">
        <v>260000</v>
      </c>
      <c r="G28" s="35">
        <v>6</v>
      </c>
      <c r="H28" s="39">
        <f t="shared" si="0"/>
        <v>1560000</v>
      </c>
    </row>
    <row r="29" spans="1:8" ht="16.5" thickBot="1" x14ac:dyDescent="0.3">
      <c r="A29" s="49">
        <v>12</v>
      </c>
      <c r="B29" s="50"/>
      <c r="C29" s="85">
        <v>250</v>
      </c>
      <c r="D29" s="86" t="s">
        <v>65</v>
      </c>
      <c r="E29" s="38" t="s">
        <v>66</v>
      </c>
      <c r="F29" s="36">
        <v>590000</v>
      </c>
      <c r="G29" s="35">
        <v>5</v>
      </c>
      <c r="H29" s="39">
        <f t="shared" si="0"/>
        <v>2950000</v>
      </c>
    </row>
    <row r="30" spans="1:8" ht="16.5" thickBot="1" x14ac:dyDescent="0.3">
      <c r="A30" s="49">
        <v>13</v>
      </c>
      <c r="B30" s="50" t="s">
        <v>67</v>
      </c>
      <c r="C30" s="51"/>
      <c r="D30" s="84"/>
      <c r="E30" s="38" t="s">
        <v>66</v>
      </c>
      <c r="F30" s="36">
        <v>8900000</v>
      </c>
      <c r="G30" s="35">
        <v>4</v>
      </c>
      <c r="H30" s="39">
        <f t="shared" si="0"/>
        <v>35600000</v>
      </c>
    </row>
    <row r="31" spans="1:8" ht="16.5" thickBot="1" x14ac:dyDescent="0.3">
      <c r="A31" s="49"/>
      <c r="B31" s="50" t="s">
        <v>68</v>
      </c>
      <c r="C31" s="51"/>
      <c r="D31" s="52"/>
      <c r="E31" s="38"/>
      <c r="F31" s="36"/>
      <c r="G31" s="35"/>
      <c r="H31" s="39"/>
    </row>
    <row r="32" spans="1:8" ht="16.5" thickBot="1" x14ac:dyDescent="0.3">
      <c r="A32" s="79"/>
      <c r="B32" s="80"/>
      <c r="C32" s="80"/>
      <c r="D32" s="80"/>
      <c r="E32" s="79"/>
      <c r="F32" s="81"/>
      <c r="G32" s="79"/>
      <c r="H32" s="82"/>
    </row>
    <row r="33" spans="1:8" ht="19.5" thickBot="1" x14ac:dyDescent="0.35">
      <c r="A33" s="41" t="s">
        <v>26</v>
      </c>
      <c r="B33" s="12" t="s">
        <v>69</v>
      </c>
      <c r="C33" s="13"/>
      <c r="D33" s="14"/>
      <c r="E33" s="54"/>
      <c r="F33" s="55" t="s">
        <v>32</v>
      </c>
      <c r="G33" s="6"/>
      <c r="H33" s="7"/>
    </row>
    <row r="34" spans="1:8" ht="16.5" thickBot="1" x14ac:dyDescent="0.3">
      <c r="A34" s="42"/>
      <c r="B34" s="17" t="s">
        <v>70</v>
      </c>
      <c r="C34" s="4"/>
      <c r="D34" s="4"/>
      <c r="E34" s="59"/>
      <c r="F34" s="60"/>
      <c r="G34" s="61" t="s">
        <v>27</v>
      </c>
      <c r="H34" s="56">
        <f>SUM(H18:H30)</f>
        <v>63459000</v>
      </c>
    </row>
    <row r="35" spans="1:8" ht="19.5" customHeight="1" x14ac:dyDescent="0.25">
      <c r="A35" s="26" t="s">
        <v>28</v>
      </c>
      <c r="B35" s="13"/>
      <c r="C35" s="13"/>
      <c r="D35" s="13"/>
      <c r="E35" s="62" t="s">
        <v>34</v>
      </c>
      <c r="F35" s="44"/>
      <c r="G35" s="63">
        <v>0.19</v>
      </c>
      <c r="H35" s="57">
        <f>H34*G35</f>
        <v>12057210</v>
      </c>
    </row>
    <row r="36" spans="1:8" ht="19.5" customHeight="1" x14ac:dyDescent="0.25">
      <c r="A36" s="15" t="s">
        <v>47</v>
      </c>
      <c r="E36" s="64" t="s">
        <v>29</v>
      </c>
      <c r="G36" s="65">
        <v>2.5000000000000001E-2</v>
      </c>
      <c r="H36" s="56">
        <f>H34*G36</f>
        <v>1586475</v>
      </c>
    </row>
    <row r="37" spans="1:8" ht="19.5" customHeight="1" thickBot="1" x14ac:dyDescent="0.3">
      <c r="A37" s="15" t="s">
        <v>49</v>
      </c>
      <c r="E37" s="66" t="s">
        <v>30</v>
      </c>
      <c r="F37" s="67"/>
      <c r="G37" s="68"/>
      <c r="H37" s="58"/>
    </row>
    <row r="38" spans="1:8" ht="19.5" customHeight="1" thickBot="1" x14ac:dyDescent="0.35">
      <c r="A38" s="15" t="s">
        <v>36</v>
      </c>
      <c r="D38" s="16"/>
      <c r="F38" s="3"/>
      <c r="G38" s="43" t="s">
        <v>31</v>
      </c>
      <c r="H38" s="37">
        <f>H34+H35-H36</f>
        <v>73929735</v>
      </c>
    </row>
    <row r="39" spans="1:8" ht="19.5" customHeight="1" thickBot="1" x14ac:dyDescent="0.3">
      <c r="A39" s="17"/>
      <c r="B39" s="4"/>
      <c r="C39" s="4"/>
      <c r="D39" s="18"/>
    </row>
    <row r="40" spans="1:8" ht="19.5" customHeight="1" x14ac:dyDescent="0.25"/>
    <row r="41" spans="1:8" ht="19.5" customHeight="1" x14ac:dyDescent="0.25">
      <c r="A41" t="s">
        <v>1</v>
      </c>
    </row>
    <row r="43" spans="1:8" ht="15.75" thickBot="1" x14ac:dyDescent="0.3"/>
    <row r="44" spans="1:8" ht="19.5" thickBot="1" x14ac:dyDescent="0.35">
      <c r="A44" s="27" t="s">
        <v>37</v>
      </c>
      <c r="B44" s="6"/>
      <c r="C44" s="6"/>
      <c r="D44" s="6"/>
      <c r="E44" s="6"/>
      <c r="F44" s="6"/>
      <c r="G44" s="6"/>
      <c r="H44" s="7"/>
    </row>
    <row r="45" spans="1:8" ht="16.5" customHeight="1" x14ac:dyDescent="0.25"/>
    <row r="59" spans="1:1" ht="18.75" x14ac:dyDescent="0.3">
      <c r="A59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FITTING VALVES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2024-10-31T16:18:19Z</dcterms:modified>
</cp:coreProperties>
</file>