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4C3964D-9477-472E-A663-ED12D082E72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ST. FERRETE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18" i="1"/>
  <c r="H17" i="1"/>
  <c r="H16" i="1"/>
  <c r="H21" i="1" s="1"/>
  <c r="H22" i="1" l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<sst xmlns="http://schemas.openxmlformats.org/spreadsheetml/2006/main" count="60" uniqueCount="58">
  <si>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</si>
  <si>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</si>
  <si>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</si>
  <si>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</si>
  <si>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</si>
  <si>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</si>
  <si>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</si>
  <si>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</si>
  <si>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</si>
  <si>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</si>
  <si>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</si>
  <si>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</si>
  <si>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</si>
  <si>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</si>
  <si>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</si>
  <si>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</si>
  <si>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</si>
  <si>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</si>
  <si>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</si>
  <si>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</si>
  <si>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</si>
  <si>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</si>
  <si>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</si>
  <si>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</si>
  <si>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</si>
  <si>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</si>
  <si>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</si>
  <si>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</si>
  <si>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</si>
  <si>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</si>
  <si>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</si>
  <si>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</si>
  <si>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</si>
  <si>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</si>
  <si>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</si>
  <si>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</si>
  <si>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</si>
  <si>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</si>
  <si>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</si>
  <si>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</si>
  <si>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</si>
  <si>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</si>
  <si>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DISTRIBUIDOR FERRETERO FERROGANGAS SAS</t>
  </si>
  <si>
    <t xml:space="preserve">890 312141            </t>
  </si>
  <si>
    <t>CALLE 15 No. 9-35</t>
  </si>
  <si>
    <t>CALI</t>
  </si>
  <si>
    <t>disferreterocontabilidad@hotmail.com</t>
  </si>
  <si>
    <t>DIEGO VERGARA</t>
  </si>
  <si>
    <t>300 1717420</t>
  </si>
  <si>
    <t>LUIS BENAVIDEZ</t>
  </si>
  <si>
    <t>No.  4</t>
  </si>
  <si>
    <t>JUNTA ANTIVIBRATORIA AC/INOX FLANCHADA 2 1/2 "</t>
  </si>
  <si>
    <t>JUNTA ANTIVIBRATORIA AC/INOX FLANCHADA 3 "</t>
  </si>
  <si>
    <t>JUNTA ANTIVIBRATORIA AC/INOX FLANCHADA 4 "</t>
  </si>
  <si>
    <t>SEIS MILLONES TREINTA MIL CUARENTA PESOS MDA /</t>
  </si>
  <si>
    <t>CTE</t>
  </si>
  <si>
    <t>ENTREGA EN TRES DIAS APARTIR DE ORDEN DE COMPRA</t>
  </si>
  <si>
    <t>TODAS LAS JUNTAS VIENEN POR 30 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</si>
</sst>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sferreterocontabilida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2" zoomScaleNormal="100" workbookViewId="0">
      <selection activeCell="D28" sqref="D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70" t="s">
        <v>43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44</v>
      </c>
      <c r="D9" s="23"/>
      <c r="E9" s="73" t="s">
        <v>45</v>
      </c>
      <c r="F9" s="30" t="s">
        <v>0</v>
      </c>
      <c r="H9" s="28">
        <v>45782</v>
      </c>
    </row>
    <row r="10" spans="1:8" ht="18.75" x14ac:dyDescent="0.3">
      <c r="A10" s="21" t="s">
        <v>13</v>
      </c>
      <c r="C10" s="74" t="s">
        <v>46</v>
      </c>
      <c r="D10" s="75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6" t="s">
        <v>47</v>
      </c>
      <c r="D11" s="75"/>
      <c r="E11" s="45"/>
      <c r="F11" s="30" t="s">
        <v>16</v>
      </c>
      <c r="G11" s="30"/>
      <c r="H11" s="28">
        <v>45791</v>
      </c>
    </row>
    <row r="12" spans="1:8" ht="18.75" x14ac:dyDescent="0.3">
      <c r="A12" s="21" t="s">
        <v>11</v>
      </c>
      <c r="C12" s="76" t="s">
        <v>48</v>
      </c>
      <c r="D12" s="75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49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51</v>
      </c>
      <c r="C16" s="63"/>
      <c r="D16" s="64"/>
      <c r="E16" s="61" t="s">
        <v>39</v>
      </c>
      <c r="F16" s="65">
        <v>440000</v>
      </c>
      <c r="G16" s="61">
        <v>3</v>
      </c>
      <c r="H16" s="38">
        <f t="shared" ref="H16" si="0">G16*F16</f>
        <v>1320000</v>
      </c>
    </row>
    <row r="17" spans="1:8" ht="16.5" thickBot="1" x14ac:dyDescent="0.3">
      <c r="A17" s="61">
        <v>2</v>
      </c>
      <c r="B17" s="62" t="s">
        <v>52</v>
      </c>
      <c r="C17" s="63"/>
      <c r="D17" s="64"/>
      <c r="E17" s="61" t="s">
        <v>39</v>
      </c>
      <c r="F17" s="65">
        <v>520000</v>
      </c>
      <c r="G17" s="61">
        <v>5</v>
      </c>
      <c r="H17" s="38">
        <f t="shared" ref="H17:H18" si="1">G17*F17</f>
        <v>2600000</v>
      </c>
    </row>
    <row r="18" spans="1:8" ht="16.5" thickBot="1" x14ac:dyDescent="0.3">
      <c r="A18" s="61">
        <v>3</v>
      </c>
      <c r="B18" s="62" t="s">
        <v>53</v>
      </c>
      <c r="C18" s="63"/>
      <c r="D18" s="64"/>
      <c r="E18" s="61" t="s">
        <v>39</v>
      </c>
      <c r="F18" s="65">
        <v>628000</v>
      </c>
      <c r="G18" s="61">
        <v>2</v>
      </c>
      <c r="H18" s="38">
        <f t="shared" si="1"/>
        <v>1256000</v>
      </c>
    </row>
    <row r="19" spans="1:8" ht="19.5" customHeight="1" thickBot="1" x14ac:dyDescent="0.3">
      <c r="A19" s="48"/>
      <c r="B19" s="67"/>
      <c r="D19" s="68"/>
      <c r="E19" s="48"/>
      <c r="F19" s="48"/>
      <c r="G19" s="48"/>
    </row>
    <row r="20" spans="1:8" ht="19.5" customHeight="1" thickBot="1" x14ac:dyDescent="0.35">
      <c r="A20" s="66" t="s">
        <v>23</v>
      </c>
      <c r="B20" s="69" t="s">
        <v>54</v>
      </c>
      <c r="C20" s="12"/>
      <c r="D20" s="13"/>
      <c r="E20" s="49"/>
      <c r="F20" s="37" t="s">
        <v>40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2" t="s">
        <v>24</v>
      </c>
      <c r="F21" s="53"/>
      <c r="G21" s="44"/>
      <c r="H21" s="50">
        <f>SUM(H16:H20)</f>
        <v>5176000</v>
      </c>
    </row>
    <row r="22" spans="1:8" ht="19.5" customHeight="1" x14ac:dyDescent="0.25">
      <c r="A22" s="24" t="s">
        <v>25</v>
      </c>
      <c r="B22" s="12"/>
      <c r="C22" s="12"/>
      <c r="D22" s="12"/>
      <c r="E22" s="54" t="s">
        <v>29</v>
      </c>
      <c r="F22" s="23"/>
      <c r="G22" s="55">
        <v>0.19</v>
      </c>
      <c r="H22" s="40">
        <f>H21*G22</f>
        <v>983440</v>
      </c>
    </row>
    <row r="23" spans="1:8" ht="19.5" customHeight="1" x14ac:dyDescent="0.25">
      <c r="A23" s="14" t="s">
        <v>30</v>
      </c>
      <c r="E23" s="56" t="s">
        <v>26</v>
      </c>
      <c r="G23" s="59">
        <v>2.5000000000000001E-2</v>
      </c>
      <c r="H23" s="51">
        <f>H21*G23</f>
        <v>129400</v>
      </c>
    </row>
    <row r="24" spans="1:8" ht="15.75" x14ac:dyDescent="0.25">
      <c r="A24" s="14" t="s">
        <v>56</v>
      </c>
      <c r="E24" s="14"/>
      <c r="F24" s="33"/>
      <c r="G24" s="45"/>
      <c r="H24" s="15"/>
    </row>
    <row r="25" spans="1:8" ht="16.5" thickBot="1" x14ac:dyDescent="0.3">
      <c r="A25" s="14" t="s">
        <v>33</v>
      </c>
      <c r="E25" s="57" t="s">
        <v>27</v>
      </c>
      <c r="F25" s="58"/>
      <c r="G25" s="46"/>
      <c r="H25" s="17"/>
    </row>
    <row r="26" spans="1:8" ht="19.5" thickBot="1" x14ac:dyDescent="0.35">
      <c r="A26" s="79" t="s">
        <v>57</v>
      </c>
      <c r="B26" s="4"/>
      <c r="C26" s="4"/>
      <c r="D26" s="17"/>
      <c r="F26" s="3"/>
      <c r="G26" s="34" t="s">
        <v>28</v>
      </c>
      <c r="H26" s="36">
        <f>H21+H22-H23</f>
        <v>6030040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41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91DEF6EF-9EBA-457A-A026-AF8F3D44FE9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DIST. FERRETERO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2025-05-05T22:04:12Z</dcterms:modified>
</cp:coreProperties>
</file>