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9813C30-BB2A-4F78-91F5-6DA0D178F8BB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CH-O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27" i="1"/>
  <c r="H24" i="1"/>
  <c r="H23" i="1"/>
  <c r="H22" i="1"/>
  <c r="H21" i="1"/>
  <c r="H20" i="1"/>
  <c r="H19" i="1"/>
  <c r="H18" i="1"/>
  <c r="H17" i="1"/>
  <c r="H16" i="1"/>
  <c r="H28" i="1" l="1"/>
  <c r="H32" i="1" s="1"/>
</calcChain>
</file>

<file path=xl/sharedStrings.xml><?xml version="1.0" encoding="utf-8"?>
<sst xmlns="http://schemas.openxmlformats.org/spreadsheetml/2006/main" count="70" uniqueCount="63">
  <si>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</si>
  <si>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</si>
  <si>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</si>
  <si>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</si>
  <si>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</si>
  <si>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</si>
  <si>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</si>
  <si>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</si>
  <si>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</si>
  <si>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</si>
  <si>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</si>
  <si>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</si>
  <si>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</si>
  <si>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</si>
  <si>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</si>
  <si>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</si>
  <si>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</si>
  <si>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</si>
  <si>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</si>
  <si>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</si>
  <si>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</si>
  <si>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</si>
  <si>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</si>
  <si>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</si>
  <si>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</si>
  <si>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</si>
  <si>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</si>
  <si>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</si>
  <si>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</si>
  <si>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</si>
  <si>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</si>
  <si>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</si>
  <si>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</si>
  <si>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</si>
  <si>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</si>
  <si>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</si>
  <si>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</si>
  <si>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</si>
  <si>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CH-OB INGENIERIA METALMECANICA SAS</t>
  </si>
  <si>
    <t>900 996438</t>
  </si>
  <si>
    <t>CRA 5  No. 33-06</t>
  </si>
  <si>
    <t>CALI</t>
  </si>
  <si>
    <t>financiero@chobingenieria.com</t>
  </si>
  <si>
    <t>320 6950230</t>
  </si>
  <si>
    <t>EDINSON CABEZAS</t>
  </si>
  <si>
    <t xml:space="preserve">           C O T I Z A C I O N</t>
  </si>
  <si>
    <t>L I Q U I D A C I O N</t>
  </si>
  <si>
    <t xml:space="preserve">  CALLE  33A  No. 17F - 56                            B/  LA FLORESTA             -   CALI    -                                   CEL.     321 7834969</t>
  </si>
  <si>
    <t>No. 13</t>
  </si>
  <si>
    <t>ACCESORIO</t>
  </si>
  <si>
    <t>METRO LINEAL</t>
  </si>
  <si>
    <t>TUBERIA AC/INOX  304  SCH 10  6 "</t>
  </si>
  <si>
    <t>TUBERIA AC/INOX  304  SCH 10  8 "</t>
  </si>
  <si>
    <t>TUBERIA AC/INOX  304  SCH 10  10 "</t>
  </si>
  <si>
    <t>TAPON CAP AC/INOX 304 SCH 10  6 "</t>
  </si>
  <si>
    <t>TAPON CAP AC/INOX 304 SCH 10  8 "</t>
  </si>
  <si>
    <t>TAPON CAP AC/INOX 304 SCH 10  10 "</t>
  </si>
  <si>
    <t>FERULA  AC/INOX 304 SANITARIA  1 "</t>
  </si>
  <si>
    <t>ABRAZADERA AC/INOX 304 SANITARIA 1 "</t>
  </si>
  <si>
    <t>EMPAQUE SILICONA 1 "</t>
  </si>
  <si>
    <t>DOS MILLONES SETENTA Y CUATRO MIL CIENTO OCHO</t>
  </si>
  <si>
    <t>PESOS MDA / CTE</t>
  </si>
  <si>
    <t>ENTREGA EN DOS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</si>
</sst>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6" xfId="0" applyBorder="1"/>
    <xf numFmtId="0" fontId="8" fillId="0" borderId="31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chob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7"/>
  <sheetViews>
    <sheetView tabSelected="1" topLeftCell="A4" zoomScaleNormal="100" workbookViewId="0">
      <selection activeCell="I17" sqref="I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2"/>
      <c r="H6" s="43"/>
    </row>
    <row r="7" spans="1:8" ht="19.5" thickBot="1" x14ac:dyDescent="0.35">
      <c r="A7" s="20" t="s">
        <v>14</v>
      </c>
      <c r="B7" s="12"/>
      <c r="C7" s="60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39</v>
      </c>
      <c r="D8" s="68"/>
      <c r="E8" s="44"/>
      <c r="H8" s="15"/>
    </row>
    <row r="9" spans="1:8" ht="18.75" customHeight="1" x14ac:dyDescent="0.3">
      <c r="A9" s="21" t="s">
        <v>9</v>
      </c>
      <c r="C9" s="69" t="s">
        <v>40</v>
      </c>
      <c r="D9" s="23"/>
      <c r="E9" s="70" t="s">
        <v>41</v>
      </c>
      <c r="F9" s="30" t="s">
        <v>0</v>
      </c>
      <c r="H9" s="28">
        <v>45730</v>
      </c>
    </row>
    <row r="10" spans="1:8" ht="18.75" x14ac:dyDescent="0.3">
      <c r="A10" s="21" t="s">
        <v>13</v>
      </c>
      <c r="C10" s="71" t="s">
        <v>42</v>
      </c>
      <c r="D10" s="61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1"/>
      <c r="E11" s="45"/>
      <c r="F11" s="30" t="s">
        <v>16</v>
      </c>
      <c r="G11" s="30"/>
      <c r="H11" s="28">
        <v>45739</v>
      </c>
    </row>
    <row r="12" spans="1:8" ht="18.75" x14ac:dyDescent="0.3">
      <c r="A12" s="21" t="s">
        <v>11</v>
      </c>
      <c r="C12" s="72" t="s">
        <v>43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44</v>
      </c>
      <c r="D13" s="74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2">
        <v>1</v>
      </c>
      <c r="B16" s="63" t="s">
        <v>51</v>
      </c>
      <c r="C16" s="64"/>
      <c r="D16" s="65"/>
      <c r="E16" s="62" t="s">
        <v>50</v>
      </c>
      <c r="F16" s="66">
        <v>304100</v>
      </c>
      <c r="G16" s="62">
        <v>1</v>
      </c>
      <c r="H16" s="38">
        <f t="shared" ref="H16" si="0">G16*F16</f>
        <v>304100</v>
      </c>
    </row>
    <row r="17" spans="1:8" ht="16.5" thickBot="1" x14ac:dyDescent="0.3">
      <c r="A17" s="62">
        <v>2</v>
      </c>
      <c r="B17" s="63" t="s">
        <v>52</v>
      </c>
      <c r="C17" s="64"/>
      <c r="D17" s="65"/>
      <c r="E17" s="62" t="s">
        <v>50</v>
      </c>
      <c r="F17" s="66">
        <v>433100</v>
      </c>
      <c r="G17" s="62">
        <v>1</v>
      </c>
      <c r="H17" s="38">
        <f t="shared" ref="H17:H24" si="1">G17*F17</f>
        <v>433100</v>
      </c>
    </row>
    <row r="18" spans="1:8" ht="16.5" thickBot="1" x14ac:dyDescent="0.3">
      <c r="A18" s="62">
        <v>3</v>
      </c>
      <c r="B18" s="63" t="s">
        <v>53</v>
      </c>
      <c r="C18" s="64"/>
      <c r="D18" s="65"/>
      <c r="E18" s="62" t="s">
        <v>50</v>
      </c>
      <c r="F18" s="66">
        <v>595350</v>
      </c>
      <c r="G18" s="62">
        <v>1</v>
      </c>
      <c r="H18" s="38">
        <f t="shared" si="1"/>
        <v>595350</v>
      </c>
    </row>
    <row r="19" spans="1:8" ht="16.5" thickBot="1" x14ac:dyDescent="0.3">
      <c r="A19" s="62">
        <v>4</v>
      </c>
      <c r="B19" s="63" t="s">
        <v>54</v>
      </c>
      <c r="C19" s="64"/>
      <c r="D19" s="65"/>
      <c r="E19" s="62" t="s">
        <v>49</v>
      </c>
      <c r="F19" s="66">
        <v>82500</v>
      </c>
      <c r="G19" s="62">
        <v>1</v>
      </c>
      <c r="H19" s="38">
        <f t="shared" si="1"/>
        <v>82500</v>
      </c>
    </row>
    <row r="20" spans="1:8" ht="16.5" thickBot="1" x14ac:dyDescent="0.3">
      <c r="A20" s="62">
        <v>5</v>
      </c>
      <c r="B20" s="63" t="s">
        <v>55</v>
      </c>
      <c r="C20" s="64"/>
      <c r="D20" s="65"/>
      <c r="E20" s="62" t="s">
        <v>49</v>
      </c>
      <c r="F20" s="66">
        <v>134000</v>
      </c>
      <c r="G20" s="62">
        <v>1</v>
      </c>
      <c r="H20" s="38">
        <f t="shared" si="1"/>
        <v>134000</v>
      </c>
    </row>
    <row r="21" spans="1:8" ht="16.5" thickBot="1" x14ac:dyDescent="0.3">
      <c r="A21" s="62">
        <v>6</v>
      </c>
      <c r="B21" s="63" t="s">
        <v>56</v>
      </c>
      <c r="C21" s="64"/>
      <c r="D21" s="65"/>
      <c r="E21" s="62" t="s">
        <v>49</v>
      </c>
      <c r="F21" s="66">
        <v>205200</v>
      </c>
      <c r="G21" s="62">
        <v>1</v>
      </c>
      <c r="H21" s="38">
        <f t="shared" si="1"/>
        <v>205200</v>
      </c>
    </row>
    <row r="22" spans="1:8" ht="16.5" thickBot="1" x14ac:dyDescent="0.3">
      <c r="A22" s="62">
        <v>7</v>
      </c>
      <c r="B22" s="63" t="s">
        <v>57</v>
      </c>
      <c r="C22" s="64"/>
      <c r="D22" s="65"/>
      <c r="E22" s="62" t="s">
        <v>49</v>
      </c>
      <c r="F22" s="66">
        <v>4500</v>
      </c>
      <c r="G22" s="62">
        <v>2</v>
      </c>
      <c r="H22" s="38">
        <f t="shared" si="1"/>
        <v>9000</v>
      </c>
    </row>
    <row r="23" spans="1:8" ht="16.5" thickBot="1" x14ac:dyDescent="0.3">
      <c r="A23" s="62">
        <v>8</v>
      </c>
      <c r="B23" s="63" t="s">
        <v>58</v>
      </c>
      <c r="C23" s="64"/>
      <c r="D23" s="65"/>
      <c r="E23" s="62" t="s">
        <v>49</v>
      </c>
      <c r="F23" s="66">
        <v>15600</v>
      </c>
      <c r="G23" s="62">
        <v>1</v>
      </c>
      <c r="H23" s="38">
        <f t="shared" si="1"/>
        <v>15600</v>
      </c>
    </row>
    <row r="24" spans="1:8" ht="16.5" thickBot="1" x14ac:dyDescent="0.3">
      <c r="A24" s="62">
        <v>9</v>
      </c>
      <c r="B24" s="63" t="s">
        <v>59</v>
      </c>
      <c r="C24" s="64"/>
      <c r="D24" s="65"/>
      <c r="E24" s="62" t="s">
        <v>49</v>
      </c>
      <c r="F24" s="66">
        <v>1500</v>
      </c>
      <c r="G24" s="62">
        <v>1</v>
      </c>
      <c r="H24" s="38">
        <f t="shared" si="1"/>
        <v>1500</v>
      </c>
    </row>
    <row r="25" spans="1:8" ht="19.5" customHeight="1" thickBot="1" x14ac:dyDescent="0.3">
      <c r="A25" s="48"/>
      <c r="B25" s="78"/>
      <c r="D25" s="76"/>
      <c r="E25" s="48"/>
      <c r="F25" s="48"/>
      <c r="G25" s="48"/>
    </row>
    <row r="26" spans="1:8" ht="19.5" customHeight="1" thickBot="1" x14ac:dyDescent="0.35">
      <c r="A26" s="75" t="s">
        <v>23</v>
      </c>
      <c r="B26" s="77" t="s">
        <v>60</v>
      </c>
      <c r="C26" s="12"/>
      <c r="D26" s="13"/>
      <c r="E26" s="49"/>
      <c r="F26" s="37" t="s">
        <v>46</v>
      </c>
      <c r="G26" s="6"/>
      <c r="H26" s="7"/>
    </row>
    <row r="27" spans="1:8" ht="19.5" customHeight="1" thickBot="1" x14ac:dyDescent="0.3">
      <c r="A27" s="39"/>
      <c r="B27" s="16" t="s">
        <v>61</v>
      </c>
      <c r="C27" s="4"/>
      <c r="D27" s="17"/>
      <c r="E27" s="52" t="s">
        <v>24</v>
      </c>
      <c r="F27" s="53"/>
      <c r="G27" s="44"/>
      <c r="H27" s="50">
        <f>SUM(H16:H24)</f>
        <v>1780350</v>
      </c>
    </row>
    <row r="28" spans="1:8" ht="19.5" customHeight="1" x14ac:dyDescent="0.25">
      <c r="A28" s="24" t="s">
        <v>25</v>
      </c>
      <c r="B28" s="12"/>
      <c r="C28" s="12"/>
      <c r="D28" s="12"/>
      <c r="E28" s="54" t="s">
        <v>29</v>
      </c>
      <c r="F28" s="23"/>
      <c r="G28" s="55">
        <v>0.19</v>
      </c>
      <c r="H28" s="40">
        <f>H27*G28</f>
        <v>338266.5</v>
      </c>
    </row>
    <row r="29" spans="1:8" ht="19.5" customHeight="1" x14ac:dyDescent="0.25">
      <c r="A29" s="14" t="s">
        <v>30</v>
      </c>
      <c r="E29" s="56" t="s">
        <v>26</v>
      </c>
      <c r="G29" s="59">
        <v>2.5000000000000001E-2</v>
      </c>
      <c r="H29" s="51">
        <f>H27*G29</f>
        <v>44508.75</v>
      </c>
    </row>
    <row r="30" spans="1:8" ht="15.75" x14ac:dyDescent="0.25">
      <c r="A30" s="14" t="s">
        <v>62</v>
      </c>
      <c r="E30" s="14"/>
      <c r="F30" s="33"/>
      <c r="G30" s="45"/>
      <c r="H30" s="15"/>
    </row>
    <row r="31" spans="1:8" ht="16.5" thickBot="1" x14ac:dyDescent="0.3">
      <c r="A31" s="14" t="s">
        <v>33</v>
      </c>
      <c r="E31" s="57" t="s">
        <v>27</v>
      </c>
      <c r="F31" s="58"/>
      <c r="G31" s="46"/>
      <c r="H31" s="17"/>
    </row>
    <row r="32" spans="1:8" ht="19.5" thickBot="1" x14ac:dyDescent="0.35">
      <c r="A32" s="16"/>
      <c r="B32" s="4"/>
      <c r="C32" s="4"/>
      <c r="D32" s="17"/>
      <c r="F32" s="3"/>
      <c r="G32" s="34" t="s">
        <v>28</v>
      </c>
      <c r="H32" s="36">
        <f>H27+H28-H29</f>
        <v>2074107.75</v>
      </c>
    </row>
    <row r="33" spans="1:8" ht="16.5" customHeight="1" x14ac:dyDescent="0.25"/>
    <row r="38" spans="1:8" ht="15.75" thickBot="1" x14ac:dyDescent="0.3"/>
    <row r="39" spans="1:8" ht="19.5" thickBot="1" x14ac:dyDescent="0.35">
      <c r="A39" s="25" t="s">
        <v>47</v>
      </c>
      <c r="B39" s="6"/>
      <c r="C39" s="6"/>
      <c r="D39" s="6"/>
      <c r="E39" s="6"/>
      <c r="F39" s="6"/>
      <c r="G39" s="6"/>
      <c r="H39" s="7"/>
    </row>
    <row r="47" spans="1:8" ht="18.75" x14ac:dyDescent="0.3">
      <c r="A47" s="5"/>
    </row>
  </sheetData>
  <hyperlinks>
    <hyperlink ref="C10" r:id="rId1" xr:uid="{6E2F2500-31E8-473B-9E47-6286800C39D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CH-OB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2024-12-10T17:13:42Z</cp:lastPrinted>
  <dcterms:created xsi:type="dcterms:W3CDTF">2018-11-15T17:29:02Z</dcterms:created>
  <dcterms:modified xsi:type="dcterms:W3CDTF">2025-03-14T21:52:07Z</dcterms:modified>
</cp:coreProperties>
</file>