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2ED6352B-4B90-47B9-97A5-80577C2D50A2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COSMO COMPAÑIA 20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2" l="1"/>
  <c r="H19" i="2" s="1"/>
  <c r="H20" i="2" l="1"/>
  <c r="H24" i="2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<sst xmlns="http://schemas.openxmlformats.org/spreadsheetml/2006/main" count="54" uniqueCount="54">
  <si>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</si>
  <si>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</si>
  <si>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</si>
  <si>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</si>
  <si>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</si>
  <si>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</si>
  <si>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</si>
  <si>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</si>
  <si>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</si>
  <si>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</si>
  <si>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</si>
  <si>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</si>
  <si>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</si>
  <si>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</si>
  <si>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</si>
  <si>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</si>
  <si>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</si>
  <si>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</si>
  <si>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</si>
  <si>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</si>
  <si>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</si>
  <si>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</si>
  <si>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</si>
  <si>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</si>
  <si>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</si>
  <si>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</si>
  <si>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</si>
  <si>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</si>
  <si>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</si>
  <si>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</si>
  <si>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</si>
  <si>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</si>
  <si>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</si>
  <si>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</si>
  <si>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</si>
  <si>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</si>
  <si>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</si>
  <si>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</si>
  <si>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</si>
  <si>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COSMO COMPAÑÍA S.A.S.</t>
  </si>
  <si>
    <t>800 163715</t>
  </si>
  <si>
    <t>CRA 20  No. 125-24 OF 203</t>
  </si>
  <si>
    <t>BOGOTÁ</t>
  </si>
  <si>
    <t>cosmoltda@hotmail.com</t>
  </si>
  <si>
    <t>601 2131834</t>
  </si>
  <si>
    <t>EDINSON CABEZAS</t>
  </si>
  <si>
    <t>ENTREGA INMEDIATA</t>
  </si>
  <si>
    <t>ACCESORIO</t>
  </si>
  <si>
    <t>FORMA DE PAGO : CREDITO A 30 DIAS</t>
  </si>
  <si>
    <t>No.  24</t>
  </si>
  <si>
    <t xml:space="preserve">               R E M I S I O N </t>
  </si>
  <si>
    <t>BRIDA  AC/INOX  304  1 1/2 "  X  150 LBS</t>
  </si>
  <si>
    <t xml:space="preserve">TRESCIENTOS DOCE MIL DOSCIENTOS CINCUENTA Y </t>
  </si>
  <si>
    <t>SEIS PESOS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</si>
</sst>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1" xfId="0" applyFont="1" applyBorder="1"/>
    <xf numFmtId="0" fontId="0" fillId="0" borderId="6" xfId="0" applyBorder="1"/>
    <xf numFmtId="0" fontId="1" fillId="0" borderId="1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42" fontId="11" fillId="0" borderId="26" xfId="1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0" fillId="0" borderId="3" xfId="0" applyBorder="1"/>
    <xf numFmtId="0" fontId="0" fillId="0" borderId="27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75B977-B5C6-44A3-8A38-9BD108742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971B-7A95-4786-B36D-9D7A265A1D5E}">
  <sheetPr>
    <pageSetUpPr fitToPage="1"/>
  </sheetPr>
  <dimension ref="A1:H39"/>
  <sheetViews>
    <sheetView tabSelected="1" zoomScale="106" zoomScaleNormal="106" workbookViewId="0">
      <selection activeCell="E11" sqref="E1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35</v>
      </c>
      <c r="B5" s="6"/>
      <c r="C5" s="6"/>
      <c r="D5" s="6"/>
      <c r="E5" s="6"/>
    </row>
    <row r="6" spans="1:8" ht="24.75" customHeight="1" thickBot="1" x14ac:dyDescent="0.45">
      <c r="F6" s="41" t="s">
        <v>50</v>
      </c>
      <c r="G6" s="42"/>
      <c r="H6" s="43"/>
    </row>
    <row r="7" spans="1:8" ht="19.5" thickBot="1" x14ac:dyDescent="0.35">
      <c r="A7" s="20" t="s">
        <v>14</v>
      </c>
      <c r="B7" s="12"/>
      <c r="C7" s="44" t="s">
        <v>39</v>
      </c>
      <c r="D7" s="6"/>
      <c r="E7" s="6"/>
      <c r="F7" s="37"/>
      <c r="G7" s="18"/>
      <c r="H7" s="63" t="s">
        <v>49</v>
      </c>
    </row>
    <row r="8" spans="1:8" ht="19.5" thickBot="1" x14ac:dyDescent="0.35">
      <c r="A8" s="21" t="s">
        <v>8</v>
      </c>
      <c r="C8" s="14" t="s">
        <v>40</v>
      </c>
      <c r="E8" s="15"/>
      <c r="H8" s="15"/>
    </row>
    <row r="9" spans="1:8" ht="18.75" customHeight="1" thickBot="1" x14ac:dyDescent="0.35">
      <c r="A9" s="21" t="s">
        <v>9</v>
      </c>
      <c r="C9" s="14" t="s">
        <v>41</v>
      </c>
      <c r="E9" s="59" t="s">
        <v>42</v>
      </c>
      <c r="F9" s="30" t="s">
        <v>0</v>
      </c>
      <c r="H9" s="28">
        <v>45605</v>
      </c>
    </row>
    <row r="10" spans="1:8" ht="18.75" x14ac:dyDescent="0.3">
      <c r="A10" s="21" t="s">
        <v>13</v>
      </c>
      <c r="C10" s="48" t="s">
        <v>43</v>
      </c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45614</v>
      </c>
    </row>
    <row r="12" spans="1:8" ht="18.75" x14ac:dyDescent="0.3">
      <c r="A12" s="21" t="s">
        <v>11</v>
      </c>
      <c r="C12" s="14" t="s">
        <v>44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45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36</v>
      </c>
      <c r="B15" s="24" t="s">
        <v>22</v>
      </c>
      <c r="C15" s="42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5.75" thickBot="1" x14ac:dyDescent="0.3">
      <c r="A16" s="64">
        <v>1</v>
      </c>
      <c r="B16" s="61" t="s">
        <v>51</v>
      </c>
      <c r="C16" s="12"/>
      <c r="D16" s="13"/>
      <c r="E16" s="65" t="s">
        <v>47</v>
      </c>
      <c r="F16" s="66">
        <v>131200</v>
      </c>
      <c r="G16" s="67">
        <v>2</v>
      </c>
      <c r="H16" s="38">
        <f t="shared" ref="H16" si="0">G16*F16</f>
        <v>262400</v>
      </c>
    </row>
    <row r="17" spans="1:8" ht="15.75" thickBot="1" x14ac:dyDescent="0.3">
      <c r="B17" s="16"/>
      <c r="C17" s="4"/>
      <c r="D17" s="17"/>
      <c r="F17" s="69"/>
      <c r="G17" s="69"/>
    </row>
    <row r="18" spans="1:8" ht="19.5" customHeight="1" thickBot="1" x14ac:dyDescent="0.35">
      <c r="A18" s="62" t="s">
        <v>23</v>
      </c>
      <c r="B18" s="61" t="s">
        <v>52</v>
      </c>
      <c r="C18" s="12"/>
      <c r="D18" s="13"/>
      <c r="E18" s="68"/>
      <c r="F18" s="37" t="s">
        <v>29</v>
      </c>
      <c r="G18" s="6"/>
      <c r="H18" s="7"/>
    </row>
    <row r="19" spans="1:8" ht="19.5" customHeight="1" thickBot="1" x14ac:dyDescent="0.3">
      <c r="A19" s="39"/>
      <c r="B19" s="16" t="s">
        <v>53</v>
      </c>
      <c r="C19" s="4"/>
      <c r="D19" s="17"/>
      <c r="E19" s="52" t="s">
        <v>24</v>
      </c>
      <c r="F19" s="52"/>
      <c r="G19" s="45"/>
      <c r="H19" s="50">
        <f>SUM(H16:H16)</f>
        <v>262400</v>
      </c>
    </row>
    <row r="20" spans="1:8" ht="19.5" customHeight="1" x14ac:dyDescent="0.25">
      <c r="A20" s="24" t="s">
        <v>25</v>
      </c>
      <c r="E20" s="53" t="s">
        <v>30</v>
      </c>
      <c r="F20" s="23"/>
      <c r="G20" s="54">
        <v>0.19</v>
      </c>
      <c r="H20" s="40">
        <f>H19*G20</f>
        <v>49856</v>
      </c>
    </row>
    <row r="21" spans="1:8" ht="19.5" customHeight="1" x14ac:dyDescent="0.25">
      <c r="A21" s="14" t="s">
        <v>48</v>
      </c>
      <c r="E21" s="55" t="s">
        <v>26</v>
      </c>
      <c r="G21" s="58">
        <v>2.5000000000000001E-2</v>
      </c>
      <c r="H21" s="51"/>
    </row>
    <row r="22" spans="1:8" ht="15.75" x14ac:dyDescent="0.25">
      <c r="A22" s="14" t="s">
        <v>46</v>
      </c>
      <c r="E22" s="14"/>
      <c r="F22" s="33"/>
      <c r="G22" s="46"/>
      <c r="H22" s="15"/>
    </row>
    <row r="23" spans="1:8" ht="16.5" thickBot="1" x14ac:dyDescent="0.3">
      <c r="A23" s="14" t="s">
        <v>33</v>
      </c>
      <c r="E23" s="56" t="s">
        <v>27</v>
      </c>
      <c r="F23" s="57"/>
      <c r="G23" s="47"/>
      <c r="H23" s="17"/>
    </row>
    <row r="24" spans="1:8" ht="19.5" thickBot="1" x14ac:dyDescent="0.35">
      <c r="A24" s="60"/>
      <c r="B24" s="4"/>
      <c r="C24" s="4"/>
      <c r="D24" s="17"/>
      <c r="F24" s="3"/>
      <c r="G24" s="34" t="s">
        <v>28</v>
      </c>
      <c r="H24" s="36">
        <f>H19+H20-H21</f>
        <v>312256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34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pageMargins left="0.70866141732283472" right="0.70866141732283472" top="0.74803149606299213" bottom="0.74803149606299213" header="0.31496062992125984" footer="0.31496062992125984"/>
  <pageSetup scale="7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COSMO COMPAÑIA 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2024-11-09T13:40:25Z</cp:lastPrinted>
  <dcterms:created xsi:type="dcterms:W3CDTF">2018-11-15T17:29:02Z</dcterms:created>
  <dcterms:modified xsi:type="dcterms:W3CDTF">2024-11-09T13:44:12Z</dcterms:modified>
</cp:coreProperties>
</file>