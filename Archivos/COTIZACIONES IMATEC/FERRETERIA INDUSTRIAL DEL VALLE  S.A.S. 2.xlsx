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A0CD1EB-6F99-4B5E-AFA0-C2389A08FC5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IND. DEL VAL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<sst xmlns="http://schemas.openxmlformats.org/spreadsheetml/2006/main" count="52" uniqueCount="52">
  <si>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</si>
  <si>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</si>
  <si>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</si>
  <si>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</si>
  <si>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</si>
  <si>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</si>
  <si>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</si>
  <si>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</si>
  <si>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</si>
  <si>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</si>
  <si>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</si>
  <si>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</si>
  <si>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</si>
  <si>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</si>
  <si>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</si>
  <si>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</si>
  <si>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</si>
  <si>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</si>
  <si>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</si>
  <si>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</si>
  <si>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</si>
  <si>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</si>
  <si>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</si>
  <si>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</si>
  <si>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</si>
  <si>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</si>
  <si>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</si>
  <si>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</si>
  <si>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</si>
  <si>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</si>
  <si>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</si>
  <si>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</si>
  <si>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</si>
  <si>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</si>
  <si>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</si>
  <si>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</si>
  <si>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</si>
  <si>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</si>
  <si>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</si>
  <si>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</si>
  <si>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</si>
  <si>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</si>
  <si>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VALVULA GLOBO  A / C  3/4 "  X  800 LB</t>
  </si>
  <si>
    <t>ACCESORIO</t>
  </si>
  <si>
    <t>FERRETERIA INDUSTRIAL DEL VALLE SAS</t>
  </si>
  <si>
    <t>901 048853</t>
  </si>
  <si>
    <t>CRA 5  No. 33-37</t>
  </si>
  <si>
    <t>CALI</t>
  </si>
  <si>
    <t>gerencia@ferreindustrialdel valle.com</t>
  </si>
  <si>
    <t>602 3744887</t>
  </si>
  <si>
    <t>EDINSON CABEZAS</t>
  </si>
  <si>
    <t>DOSCIENTOS DOS MIL TRESCIENTOS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</si>
</sst>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4" xfId="0" applyBorder="1"/>
    <xf numFmtId="0" fontId="0" fillId="0" borderId="21" xfId="0" applyBorder="1"/>
    <xf numFmtId="0" fontId="13" fillId="0" borderId="22" xfId="2" applyBorder="1"/>
    <xf numFmtId="0" fontId="14" fillId="0" borderId="22" xfId="2" applyFont="1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32" xfId="0" applyBorder="1"/>
    <xf numFmtId="0" fontId="0" fillId="0" borderId="0" xfId="0" applyBorder="1"/>
    <xf numFmtId="0" fontId="0" fillId="0" borderId="33" xfId="0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ferreindustrialdel%20val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N23" sqref="N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2"/>
      <c r="H6" s="43"/>
    </row>
    <row r="7" spans="1:8" ht="19.5" thickBot="1" x14ac:dyDescent="0.35">
      <c r="A7" s="20" t="s">
        <v>14</v>
      </c>
      <c r="B7" s="12"/>
      <c r="C7" s="65" t="s">
        <v>44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 t="s">
        <v>45</v>
      </c>
      <c r="D8" s="68"/>
      <c r="E8" s="44"/>
      <c r="H8" s="15"/>
    </row>
    <row r="9" spans="1:8" ht="18.75" customHeight="1" x14ac:dyDescent="0.3">
      <c r="A9" s="21" t="s">
        <v>9</v>
      </c>
      <c r="C9" s="69" t="s">
        <v>46</v>
      </c>
      <c r="D9" s="23"/>
      <c r="E9" s="70" t="s">
        <v>47</v>
      </c>
      <c r="F9" s="30" t="s">
        <v>0</v>
      </c>
      <c r="H9" s="28">
        <v>45560</v>
      </c>
    </row>
    <row r="10" spans="1:8" ht="18.75" x14ac:dyDescent="0.3">
      <c r="A10" s="21" t="s">
        <v>13</v>
      </c>
      <c r="C10" s="71" t="s">
        <v>48</v>
      </c>
      <c r="D10" s="66"/>
      <c r="E10" s="45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5"/>
      <c r="F11" s="30" t="s">
        <v>16</v>
      </c>
      <c r="G11" s="30"/>
      <c r="H11" s="28">
        <v>45569</v>
      </c>
    </row>
    <row r="12" spans="1:8" ht="18.75" x14ac:dyDescent="0.3">
      <c r="A12" s="21" t="s">
        <v>11</v>
      </c>
      <c r="C12" s="73" t="s">
        <v>49</v>
      </c>
      <c r="D12" s="66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4" t="s">
        <v>50</v>
      </c>
      <c r="D13" s="75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37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48">
        <v>1</v>
      </c>
      <c r="B16" s="49" t="s">
        <v>42</v>
      </c>
      <c r="C16" s="50"/>
      <c r="D16" s="51"/>
      <c r="E16" s="48" t="s">
        <v>43</v>
      </c>
      <c r="F16" s="52">
        <v>170000</v>
      </c>
      <c r="G16" s="48">
        <v>1</v>
      </c>
      <c r="H16" s="38">
        <f t="shared" ref="H16" si="0">G16*F16</f>
        <v>170000</v>
      </c>
    </row>
    <row r="17" spans="1:8" ht="19.5" customHeight="1" thickBot="1" x14ac:dyDescent="0.3">
      <c r="A17" s="53"/>
      <c r="B17" s="76"/>
      <c r="C17" s="77"/>
      <c r="D17" s="78"/>
      <c r="E17" s="53"/>
      <c r="F17" s="53"/>
      <c r="G17" s="53"/>
    </row>
    <row r="18" spans="1:8" ht="19.5" customHeight="1" thickBot="1" x14ac:dyDescent="0.35">
      <c r="A18" s="79" t="s">
        <v>23</v>
      </c>
      <c r="B18" s="80" t="s">
        <v>51</v>
      </c>
      <c r="C18" s="12"/>
      <c r="D18" s="13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7" t="s">
        <v>24</v>
      </c>
      <c r="F19" s="58"/>
      <c r="G19" s="44"/>
      <c r="H19" s="55">
        <f>SUM(H16:H18)</f>
        <v>170000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32300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38</v>
      </c>
      <c r="E22" s="14"/>
      <c r="F22" s="33"/>
      <c r="G22" s="45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202300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268DF4C-9CD2-4C3F-920D-A6891D86E58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FERREIND. DEL VALLE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2024-09-25T14:51:47Z</dcterms:modified>
</cp:coreProperties>
</file>