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E7916F52-361F-465A-8EDF-5736BFAFEBF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,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1" i="1"/>
  <c r="H20" i="1"/>
  <c r="H19" i="1"/>
  <c r="H18" i="1"/>
  <c r="H17" i="1"/>
  <c r="H16" i="1"/>
  <c r="H25" i="1" l="1"/>
  <c r="H29" i="1" s="1"/>
</calcChain>
</file>

<file path=xl/sharedStrings.xml><?xml version="1.0" encoding="utf-8"?>
<sst xmlns="http://schemas.openxmlformats.org/spreadsheetml/2006/main" count="63" uniqueCount="60">
  <si>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</si>
  <si>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</si>
  <si>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</si>
  <si>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</si>
  <si>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</si>
  <si>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</si>
  <si>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</si>
  <si>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</si>
  <si>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</si>
  <si>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</si>
  <si>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</si>
  <si>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</si>
  <si>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</si>
  <si>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</si>
  <si>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</si>
  <si>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</si>
  <si>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</si>
  <si>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</si>
  <si>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</si>
  <si>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</si>
  <si>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</si>
  <si>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</si>
  <si>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</si>
  <si>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</si>
  <si>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</si>
  <si>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</si>
  <si>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</si>
  <si>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</si>
  <si>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</si>
  <si>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</si>
  <si>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</si>
  <si>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</si>
  <si>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</si>
  <si>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</si>
  <si>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</si>
  <si>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</si>
  <si>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</si>
  <si>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</si>
  <si>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</si>
  <si>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</si>
  <si>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MOSAICO SERVICIOS Y SOLUCIONES INDUSTRIALES S.A.S.</t>
  </si>
  <si>
    <t xml:space="preserve">              R E M I S I O N</t>
  </si>
  <si>
    <t>No. 1</t>
  </si>
  <si>
    <t>900 401207</t>
  </si>
  <si>
    <t>CALLE  33 B  No. 17F2 - 19</t>
  </si>
  <si>
    <t>CALI</t>
  </si>
  <si>
    <t>gerencia@mosaico.com.co</t>
  </si>
  <si>
    <t>311 3083347</t>
  </si>
  <si>
    <t>EDINSON CABEZAS</t>
  </si>
  <si>
    <t>TUBERIA  PVC PRESION 1 1/2 "  X  50  CMTS</t>
  </si>
  <si>
    <t>TRAMO</t>
  </si>
  <si>
    <t>VALVULA DE PIE CANASTILLA PLASTICA  1 1/2 "</t>
  </si>
  <si>
    <t>CODO PVC PRESION 1 1/2 "  X  90 º</t>
  </si>
  <si>
    <t>ADAPTADOR MACHO PVC PRESION 1 1/2  "</t>
  </si>
  <si>
    <t>ADAPTADOR MACHO PVC PRESION 1 1/4  "</t>
  </si>
  <si>
    <t>TEFLON INDUSTRIAL 3/4 "</t>
  </si>
  <si>
    <t>ROLLO</t>
  </si>
  <si>
    <t>CIENTO TREINTA Y SEIS MIL OCHOCIENTOS CINCUENTA</t>
  </si>
  <si>
    <t>PESOS 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</si>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</sst>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rencia@mosaico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4"/>
  <sheetViews>
    <sheetView tabSelected="1" topLeftCell="A10" zoomScaleNormal="100" workbookViewId="0">
      <selection activeCell="I28" sqref="I2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41</v>
      </c>
      <c r="G6" s="42"/>
      <c r="H6" s="43"/>
    </row>
    <row r="7" spans="1:8" ht="19.5" thickBot="1" x14ac:dyDescent="0.35">
      <c r="A7" s="20" t="s">
        <v>14</v>
      </c>
      <c r="B7" s="12"/>
      <c r="C7" s="60" t="s">
        <v>40</v>
      </c>
      <c r="D7" s="12"/>
      <c r="E7" s="13"/>
      <c r="F7" s="37"/>
      <c r="G7" s="18"/>
      <c r="H7" s="19" t="s">
        <v>42</v>
      </c>
    </row>
    <row r="8" spans="1:8" ht="18.75" x14ac:dyDescent="0.3">
      <c r="A8" s="21" t="s">
        <v>8</v>
      </c>
      <c r="C8" s="69" t="s">
        <v>43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44</v>
      </c>
      <c r="E9" s="15" t="s">
        <v>45</v>
      </c>
      <c r="F9" s="30" t="s">
        <v>0</v>
      </c>
      <c r="H9" s="28">
        <v>45848</v>
      </c>
    </row>
    <row r="10" spans="1:8" ht="18.75" x14ac:dyDescent="0.3">
      <c r="A10" s="21" t="s">
        <v>13</v>
      </c>
      <c r="C10" s="70" t="s">
        <v>46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47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48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1">
        <v>1</v>
      </c>
      <c r="B16" s="62" t="s">
        <v>51</v>
      </c>
      <c r="C16" s="63"/>
      <c r="D16" s="64"/>
      <c r="E16" s="61" t="s">
        <v>37</v>
      </c>
      <c r="F16" s="65">
        <v>81000</v>
      </c>
      <c r="G16" s="61">
        <v>1</v>
      </c>
      <c r="H16" s="38">
        <f t="shared" ref="H16" si="0">G16*F16</f>
        <v>81000</v>
      </c>
    </row>
    <row r="17" spans="1:8" ht="16.5" thickBot="1" x14ac:dyDescent="0.3">
      <c r="A17" s="61">
        <v>2</v>
      </c>
      <c r="B17" s="62" t="s">
        <v>52</v>
      </c>
      <c r="C17" s="63"/>
      <c r="D17" s="64"/>
      <c r="E17" s="61" t="s">
        <v>37</v>
      </c>
      <c r="F17" s="65">
        <v>8000</v>
      </c>
      <c r="G17" s="61">
        <v>1</v>
      </c>
      <c r="H17" s="38">
        <f t="shared" ref="H17:H19" si="1">G17*F17</f>
        <v>8000</v>
      </c>
    </row>
    <row r="18" spans="1:8" ht="16.5" thickBot="1" x14ac:dyDescent="0.3">
      <c r="A18" s="61">
        <v>3</v>
      </c>
      <c r="B18" s="62" t="s">
        <v>53</v>
      </c>
      <c r="C18" s="63"/>
      <c r="D18" s="64"/>
      <c r="E18" s="61" t="s">
        <v>37</v>
      </c>
      <c r="F18" s="65">
        <v>5100</v>
      </c>
      <c r="G18" s="61">
        <v>2</v>
      </c>
      <c r="H18" s="38">
        <f t="shared" si="1"/>
        <v>10200</v>
      </c>
    </row>
    <row r="19" spans="1:8" ht="16.5" thickBot="1" x14ac:dyDescent="0.3">
      <c r="A19" s="61">
        <v>4</v>
      </c>
      <c r="B19" s="62" t="s">
        <v>49</v>
      </c>
      <c r="C19" s="63"/>
      <c r="D19" s="64"/>
      <c r="E19" s="61" t="s">
        <v>50</v>
      </c>
      <c r="F19" s="65">
        <v>7000</v>
      </c>
      <c r="G19" s="61">
        <v>1</v>
      </c>
      <c r="H19" s="38">
        <f t="shared" si="1"/>
        <v>7000</v>
      </c>
    </row>
    <row r="20" spans="1:8" ht="16.5" thickBot="1" x14ac:dyDescent="0.3">
      <c r="A20" s="61">
        <v>5</v>
      </c>
      <c r="B20" s="62" t="s">
        <v>54</v>
      </c>
      <c r="C20" s="63"/>
      <c r="D20" s="64"/>
      <c r="E20" s="61" t="s">
        <v>37</v>
      </c>
      <c r="F20" s="65">
        <v>4300</v>
      </c>
      <c r="G20" s="61">
        <v>1</v>
      </c>
      <c r="H20" s="38">
        <f t="shared" ref="H20" si="2">G20*F20</f>
        <v>4300</v>
      </c>
    </row>
    <row r="21" spans="1:8" ht="16.5" thickBot="1" x14ac:dyDescent="0.3">
      <c r="A21" s="61">
        <v>6</v>
      </c>
      <c r="B21" s="62" t="s">
        <v>55</v>
      </c>
      <c r="C21" s="63"/>
      <c r="D21" s="64"/>
      <c r="E21" s="61" t="s">
        <v>56</v>
      </c>
      <c r="F21" s="65">
        <v>4500</v>
      </c>
      <c r="G21" s="61">
        <v>1</v>
      </c>
      <c r="H21" s="38">
        <f t="shared" ref="H21" si="3">G21*F21</f>
        <v>4500</v>
      </c>
    </row>
    <row r="22" spans="1:8" ht="19.5" customHeight="1" thickBot="1" x14ac:dyDescent="0.3">
      <c r="A22" s="48"/>
      <c r="B22" s="67"/>
      <c r="D22" s="68"/>
      <c r="E22" s="48"/>
      <c r="F22" s="48"/>
      <c r="G22" s="48"/>
    </row>
    <row r="23" spans="1:8" ht="19.5" customHeight="1" thickBot="1" x14ac:dyDescent="0.35">
      <c r="A23" s="66" t="s">
        <v>23</v>
      </c>
      <c r="B23" s="69" t="s">
        <v>57</v>
      </c>
      <c r="C23" s="12"/>
      <c r="D23" s="13"/>
      <c r="E23" s="49"/>
      <c r="F23" s="37" t="s">
        <v>38</v>
      </c>
      <c r="G23" s="6"/>
      <c r="H23" s="7"/>
    </row>
    <row r="24" spans="1:8" ht="19.5" customHeight="1" thickBot="1" x14ac:dyDescent="0.3">
      <c r="A24" s="39"/>
      <c r="B24" s="16" t="s">
        <v>58</v>
      </c>
      <c r="C24" s="4"/>
      <c r="D24" s="17"/>
      <c r="E24" s="52" t="s">
        <v>24</v>
      </c>
      <c r="F24" s="53"/>
      <c r="G24" s="44"/>
      <c r="H24" s="50">
        <f>SUM(H16:H21)</f>
        <v>115000</v>
      </c>
    </row>
    <row r="25" spans="1:8" ht="19.5" customHeight="1" x14ac:dyDescent="0.25">
      <c r="A25" s="24" t="s">
        <v>25</v>
      </c>
      <c r="B25" s="12"/>
      <c r="C25" s="12"/>
      <c r="D25" s="12"/>
      <c r="E25" s="54" t="s">
        <v>29</v>
      </c>
      <c r="F25" s="23"/>
      <c r="G25" s="55">
        <v>0.19</v>
      </c>
      <c r="H25" s="40">
        <f>H24*G25</f>
        <v>21850</v>
      </c>
    </row>
    <row r="26" spans="1:8" ht="19.5" customHeight="1" x14ac:dyDescent="0.25">
      <c r="A26" s="14" t="s">
        <v>30</v>
      </c>
      <c r="E26" s="56" t="s">
        <v>26</v>
      </c>
      <c r="G26" s="59">
        <v>2.5000000000000001E-2</v>
      </c>
      <c r="H26" s="51"/>
    </row>
    <row r="27" spans="1:8" ht="15.75" x14ac:dyDescent="0.25">
      <c r="A27" s="14" t="s">
        <v>59</v>
      </c>
      <c r="E27" s="14"/>
      <c r="F27" s="33"/>
      <c r="G27" s="45"/>
      <c r="H27" s="15"/>
    </row>
    <row r="28" spans="1:8" ht="16.5" thickBot="1" x14ac:dyDescent="0.3">
      <c r="A28" s="14" t="s">
        <v>32</v>
      </c>
      <c r="E28" s="57" t="s">
        <v>27</v>
      </c>
      <c r="F28" s="58"/>
      <c r="G28" s="46"/>
      <c r="H28" s="17"/>
    </row>
    <row r="29" spans="1:8" ht="19.5" thickBot="1" x14ac:dyDescent="0.35">
      <c r="A29" s="16"/>
      <c r="B29" s="4"/>
      <c r="C29" s="4"/>
      <c r="D29" s="17"/>
      <c r="F29" s="3"/>
      <c r="G29" s="34" t="s">
        <v>28</v>
      </c>
      <c r="H29" s="36">
        <f>H24+H25</f>
        <v>136850</v>
      </c>
    </row>
    <row r="30" spans="1:8" ht="16.5" customHeight="1" x14ac:dyDescent="0.25"/>
    <row r="35" spans="1:8" ht="15.75" thickBot="1" x14ac:dyDescent="0.3"/>
    <row r="36" spans="1:8" ht="19.5" thickBot="1" x14ac:dyDescent="0.35">
      <c r="A36" s="25" t="s">
        <v>39</v>
      </c>
      <c r="B36" s="6"/>
      <c r="C36" s="6"/>
      <c r="D36" s="6"/>
      <c r="E36" s="6"/>
      <c r="F36" s="6"/>
      <c r="G36" s="6"/>
      <c r="H36" s="7"/>
    </row>
    <row r="44" spans="1:8" ht="18.75" x14ac:dyDescent="0.3">
      <c r="A44" s="5"/>
    </row>
  </sheetData>
  <hyperlinks>
    <hyperlink ref="C10" r:id="rId1" xr:uid="{5E0A2703-37B3-4DCE-BC08-864D5574A0EC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,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2025-07-10T17:06:08Z</dcterms:modified>
</cp:coreProperties>
</file>