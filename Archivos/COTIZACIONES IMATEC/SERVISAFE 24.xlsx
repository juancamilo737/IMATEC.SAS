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000~4400\"/>
    </mc:Choice>
  </mc:AlternateContent>
  <xr:revisionPtr revIDLastSave="0" documentId="13_ncr:1_{914746DA-4980-48B9-AEF0-465BF8643F3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VISA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2" i="1" s="1"/>
  <c r="H23" i="1" l="1"/>
  <c r="H27" i="1" s="1"/>
</calcChain>
</file>

<file path=xl/sharedStrings.xml><?xml version="1.0" encoding="utf-8"?>
<sst xmlns="http://schemas.openxmlformats.org/spreadsheetml/2006/main" count="58" uniqueCount="56">
  <si>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</si>
  <si>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</si>
  <si>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</si>
  <si>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</si>
  <si>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</si>
  <si>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</si>
  <si>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</si>
  <si>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</si>
  <si>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</si>
  <si>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</si>
  <si>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</si>
  <si>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</si>
  <si>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</si>
  <si>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</si>
  <si>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</si>
  <si>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</si>
  <si>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</si>
  <si>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</si>
  <si>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</si>
  <si>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</si>
  <si>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</si>
  <si>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</si>
  <si>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</si>
  <si>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</si>
  <si>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</si>
  <si>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</si>
  <si>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</si>
  <si>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</si>
  <si>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</si>
  <si>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</si>
  <si>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</si>
  <si>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</si>
  <si>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</si>
  <si>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</si>
  <si>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</si>
  <si>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</si>
  <si>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</si>
  <si>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</si>
  <si>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</si>
  <si>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SERVISAFE  S.A.S.</t>
  </si>
  <si>
    <t>900 702590</t>
  </si>
  <si>
    <t>CARRERA 1  No. 46 - 45</t>
  </si>
  <si>
    <t>CALI</t>
  </si>
  <si>
    <t>contabilidad@servi-safe.com</t>
  </si>
  <si>
    <t>314 5127322</t>
  </si>
  <si>
    <t>LUIS A. BENAVIDES</t>
  </si>
  <si>
    <t>ENTREGA INMEDIATA</t>
  </si>
  <si>
    <t>ACCESORIO</t>
  </si>
  <si>
    <t>DESCUENTO</t>
  </si>
  <si>
    <t xml:space="preserve">           C O T I Z A C I O N</t>
  </si>
  <si>
    <t>10 DIAS</t>
  </si>
  <si>
    <t>No. 24</t>
  </si>
  <si>
    <t>REDUCCION COPA AC/INOX 304 SCH 10  3 " X 1 1/2 "</t>
  </si>
  <si>
    <t>FERULA AC/INOX 304  3 "</t>
  </si>
  <si>
    <t>OCHENTA Y SEIS MIL OCHOCIENTOS SETENTA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</si>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</sst>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2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  <xf numFmtId="0" fontId="4" fillId="0" borderId="17" xfId="0" applyFont="1" applyBorder="1"/>
    <xf numFmtId="9" fontId="1" fillId="0" borderId="35" xfId="0" applyNumberFormat="1" applyFont="1" applyBorder="1"/>
    <xf numFmtId="42" fontId="1" fillId="0" borderId="36" xfId="0" applyNumberFormat="1" applyFont="1" applyBorder="1" applyAlignment="1">
      <alignment horizontal="left"/>
    </xf>
    <xf numFmtId="16" fontId="10" fillId="0" borderId="10" xfId="0" applyNumberFormat="1" applyFont="1" applyBorder="1" applyAlignment="1">
      <alignment horizontal="righ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ervi-s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topLeftCell="A7" zoomScaleNormal="100" workbookViewId="0">
      <selection activeCell="J19" sqref="J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6" t="s">
        <v>33</v>
      </c>
      <c r="B5" s="6"/>
      <c r="C5" s="6"/>
      <c r="D5" s="6"/>
      <c r="E5" s="6"/>
    </row>
    <row r="6" spans="1:8" ht="24.75" customHeight="1" thickBot="1" x14ac:dyDescent="0.45">
      <c r="F6" s="40" t="s">
        <v>49</v>
      </c>
      <c r="G6" s="41"/>
      <c r="H6" s="42"/>
    </row>
    <row r="7" spans="1:8" ht="19.5" thickBot="1" x14ac:dyDescent="0.35">
      <c r="A7" s="20" t="s">
        <v>14</v>
      </c>
      <c r="B7" s="12"/>
      <c r="C7" s="58" t="s">
        <v>39</v>
      </c>
      <c r="D7" s="12"/>
      <c r="E7" s="13"/>
      <c r="F7" s="36"/>
      <c r="G7" s="18"/>
      <c r="H7" s="19" t="s">
        <v>51</v>
      </c>
    </row>
    <row r="8" spans="1:8" ht="18.75" x14ac:dyDescent="0.3">
      <c r="A8" s="21" t="s">
        <v>8</v>
      </c>
      <c r="C8" s="60" t="s">
        <v>40</v>
      </c>
      <c r="D8" s="61"/>
      <c r="E8" s="43"/>
      <c r="H8" s="15"/>
    </row>
    <row r="9" spans="1:8" ht="18.75" customHeight="1" x14ac:dyDescent="0.3">
      <c r="A9" s="21" t="s">
        <v>9</v>
      </c>
      <c r="C9" s="62" t="s">
        <v>41</v>
      </c>
      <c r="D9" s="23"/>
      <c r="E9" s="63" t="s">
        <v>42</v>
      </c>
      <c r="F9" s="29" t="s">
        <v>0</v>
      </c>
      <c r="H9" s="28">
        <v>45904</v>
      </c>
    </row>
    <row r="10" spans="1:8" ht="18.75" x14ac:dyDescent="0.3">
      <c r="A10" s="21" t="s">
        <v>13</v>
      </c>
      <c r="C10" s="64" t="s">
        <v>43</v>
      </c>
      <c r="D10" s="59"/>
      <c r="E10" s="44"/>
      <c r="F10" s="29" t="s">
        <v>15</v>
      </c>
      <c r="H10" s="81" t="s">
        <v>50</v>
      </c>
    </row>
    <row r="11" spans="1:8" ht="18.75" x14ac:dyDescent="0.3">
      <c r="A11" s="21" t="s">
        <v>10</v>
      </c>
      <c r="C11" s="65"/>
      <c r="D11" s="59"/>
      <c r="E11" s="44"/>
      <c r="F11" s="29" t="s">
        <v>16</v>
      </c>
      <c r="G11" s="29"/>
      <c r="H11" s="28">
        <v>45913</v>
      </c>
    </row>
    <row r="12" spans="1:8" ht="18.75" x14ac:dyDescent="0.3">
      <c r="A12" s="21" t="s">
        <v>11</v>
      </c>
      <c r="C12" s="65" t="s">
        <v>44</v>
      </c>
      <c r="D12" s="59"/>
      <c r="E12" s="44"/>
      <c r="F12" s="29" t="s">
        <v>17</v>
      </c>
      <c r="H12" s="30"/>
    </row>
    <row r="13" spans="1:8" ht="18.75" customHeight="1" thickBot="1" x14ac:dyDescent="0.35">
      <c r="A13" s="22" t="s">
        <v>12</v>
      </c>
      <c r="B13" s="4"/>
      <c r="C13" s="66" t="s">
        <v>45</v>
      </c>
      <c r="D13" s="67"/>
      <c r="E13" s="45"/>
      <c r="F13" s="4"/>
      <c r="G13" s="4"/>
      <c r="H13" s="17"/>
    </row>
    <row r="14" spans="1:8" ht="15.75" thickBot="1" x14ac:dyDescent="0.3"/>
    <row r="15" spans="1:8" ht="15.75" thickBot="1" x14ac:dyDescent="0.3">
      <c r="A15" s="31" t="s">
        <v>34</v>
      </c>
      <c r="B15" s="73" t="s">
        <v>22</v>
      </c>
      <c r="C15" s="18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8">
        <v>1</v>
      </c>
      <c r="B16" s="69" t="s">
        <v>52</v>
      </c>
      <c r="C16" s="70"/>
      <c r="D16" s="71"/>
      <c r="E16" s="68" t="s">
        <v>47</v>
      </c>
      <c r="F16" s="72">
        <v>45000</v>
      </c>
      <c r="G16" s="68">
        <v>1</v>
      </c>
      <c r="H16" s="37">
        <f t="shared" ref="H16" si="0">G16*F16</f>
        <v>45000</v>
      </c>
    </row>
    <row r="17" spans="1:8" ht="16.5" thickBot="1" x14ac:dyDescent="0.3">
      <c r="A17" s="68">
        <v>2</v>
      </c>
      <c r="B17" s="69" t="s">
        <v>53</v>
      </c>
      <c r="C17" s="70"/>
      <c r="D17" s="71"/>
      <c r="E17" s="68" t="s">
        <v>47</v>
      </c>
      <c r="F17" s="72">
        <v>14000</v>
      </c>
      <c r="G17" s="68">
        <v>2</v>
      </c>
      <c r="H17" s="37">
        <f t="shared" ref="H17" si="1">G17*F17</f>
        <v>28000</v>
      </c>
    </row>
    <row r="18" spans="1:8" ht="19.5" customHeight="1" thickBot="1" x14ac:dyDescent="0.3">
      <c r="A18" s="46"/>
      <c r="B18" s="75"/>
      <c r="D18" s="76"/>
      <c r="E18" s="46"/>
      <c r="F18" s="46"/>
      <c r="G18" s="46"/>
    </row>
    <row r="19" spans="1:8" ht="19.5" customHeight="1" thickBot="1" x14ac:dyDescent="0.35">
      <c r="A19" s="74" t="s">
        <v>23</v>
      </c>
      <c r="B19" s="77" t="s">
        <v>54</v>
      </c>
      <c r="C19" s="12"/>
      <c r="D19" s="13"/>
      <c r="E19" s="47"/>
      <c r="F19" s="36" t="s">
        <v>37</v>
      </c>
      <c r="G19" s="6"/>
      <c r="H19" s="7"/>
    </row>
    <row r="20" spans="1:8" ht="19.5" customHeight="1" thickBot="1" x14ac:dyDescent="0.3">
      <c r="A20" s="38"/>
      <c r="B20" s="16" t="s">
        <v>55</v>
      </c>
      <c r="C20" s="4"/>
      <c r="D20" s="17"/>
      <c r="E20" s="50" t="s">
        <v>24</v>
      </c>
      <c r="F20" s="51"/>
      <c r="G20" s="43"/>
      <c r="H20" s="48">
        <f>SUM(H16:H19)</f>
        <v>73000</v>
      </c>
    </row>
    <row r="21" spans="1:8" ht="19.5" customHeight="1" thickBot="1" x14ac:dyDescent="0.3">
      <c r="A21" s="24" t="s">
        <v>25</v>
      </c>
      <c r="B21" s="12"/>
      <c r="C21" s="12"/>
      <c r="D21" s="12"/>
      <c r="E21" s="54" t="s">
        <v>48</v>
      </c>
      <c r="F21" s="78"/>
      <c r="G21" s="79">
        <v>0</v>
      </c>
      <c r="H21" s="80">
        <f>H20*G21</f>
        <v>0</v>
      </c>
    </row>
    <row r="22" spans="1:8" ht="19.5" customHeight="1" thickTop="1" x14ac:dyDescent="0.25">
      <c r="A22" s="14" t="s">
        <v>30</v>
      </c>
      <c r="E22" s="52" t="s">
        <v>24</v>
      </c>
      <c r="F22" s="78"/>
      <c r="G22" s="79"/>
      <c r="H22" s="48">
        <f>H20-H21</f>
        <v>73000</v>
      </c>
    </row>
    <row r="23" spans="1:8" ht="15.75" x14ac:dyDescent="0.25">
      <c r="A23" s="14" t="s">
        <v>46</v>
      </c>
      <c r="E23" s="52" t="s">
        <v>29</v>
      </c>
      <c r="F23" s="23"/>
      <c r="G23" s="53">
        <v>0.19</v>
      </c>
      <c r="H23" s="39">
        <f>(H20-H21)*0.19</f>
        <v>13870</v>
      </c>
    </row>
    <row r="24" spans="1:8" ht="15.75" x14ac:dyDescent="0.25">
      <c r="A24" s="14" t="s">
        <v>32</v>
      </c>
      <c r="E24" s="54" t="s">
        <v>26</v>
      </c>
      <c r="G24" s="57">
        <v>2.5000000000000001E-2</v>
      </c>
      <c r="H24" s="49"/>
    </row>
    <row r="25" spans="1:8" ht="16.5" thickBot="1" x14ac:dyDescent="0.3">
      <c r="A25" s="16"/>
      <c r="B25" s="4"/>
      <c r="C25" s="4"/>
      <c r="D25" s="17"/>
      <c r="E25" s="14"/>
      <c r="F25" s="32"/>
      <c r="G25" s="44"/>
      <c r="H25" s="15"/>
    </row>
    <row r="26" spans="1:8" ht="16.5" customHeight="1" thickBot="1" x14ac:dyDescent="0.3">
      <c r="E26" s="55" t="s">
        <v>27</v>
      </c>
      <c r="F26" s="56"/>
      <c r="G26" s="45"/>
      <c r="H26" s="17"/>
    </row>
    <row r="27" spans="1:8" ht="19.5" thickBot="1" x14ac:dyDescent="0.35">
      <c r="F27" s="3"/>
      <c r="G27" s="33" t="s">
        <v>28</v>
      </c>
      <c r="H27" s="35">
        <f>H20-H21+H23-H24</f>
        <v>86870</v>
      </c>
    </row>
    <row r="31" spans="1:8" ht="15.75" thickBot="1" x14ac:dyDescent="0.3"/>
    <row r="32" spans="1:8" ht="19.5" thickBot="1" x14ac:dyDescent="0.35">
      <c r="A32" s="25" t="s">
        <v>38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2025-07-12T14:03:56Z</cp:lastPrinted>
  <dcterms:created xsi:type="dcterms:W3CDTF">2018-11-15T17:29:02Z</dcterms:created>
  <dcterms:modified xsi:type="dcterms:W3CDTF">2025-09-04T22:14:21Z</dcterms:modified>
</cp:coreProperties>
</file>