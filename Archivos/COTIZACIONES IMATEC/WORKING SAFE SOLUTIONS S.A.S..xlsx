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74D34435-62DB-49A4-913E-BF1296413BE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WORKING 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5" i="1" l="1"/>
  <c r="H22" i="1"/>
  <c r="H17" i="1"/>
  <c r="H16" i="1"/>
  <c r="H20" i="1" s="1"/>
  <c r="H21" i="1" l="1"/>
</calcChain>
</file>

<file path=xl/sharedStrings.xml><?xml version="1.0" encoding="utf-8"?>
<sst xmlns="http://schemas.openxmlformats.org/spreadsheetml/2006/main" count="56" uniqueCount="55">
  <si>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</si>
  <si>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</si>
  <si>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</si>
  <si>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</si>
  <si>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</si>
  <si>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</si>
  <si>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</si>
  <si>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</si>
  <si>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</si>
  <si>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</si>
  <si>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</si>
  <si>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</si>
  <si>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</si>
  <si>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</si>
  <si>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</si>
  <si>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</si>
  <si>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</si>
  <si>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</si>
  <si>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</si>
  <si>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</si>
  <si>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</si>
  <si>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</si>
  <si>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</si>
  <si>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</si>
  <si>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</si>
  <si>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</si>
  <si>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</si>
  <si>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</si>
  <si>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</si>
  <si>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</si>
  <si>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</si>
  <si>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</si>
  <si>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</si>
  <si>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</si>
  <si>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</si>
  <si>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</si>
  <si>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</si>
  <si>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</si>
  <si>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 xml:space="preserve">           C O T I Z A C I O N</t>
  </si>
  <si>
    <t>L I Q U I D A C I O N</t>
  </si>
  <si>
    <t xml:space="preserve">  CALLE  33A  No. 17F - 56                           B/  LA FLORESTA             -   CALI    -                                       CEL.     321 7834969</t>
  </si>
  <si>
    <t>WORKING SAFE SOLUTIONS S.A.S.</t>
  </si>
  <si>
    <t>900 766115</t>
  </si>
  <si>
    <t>CRA 12  No. 46-48</t>
  </si>
  <si>
    <t>CALI</t>
  </si>
  <si>
    <t>contabilidad@workingsafe.com.co</t>
  </si>
  <si>
    <t>313 6452111</t>
  </si>
  <si>
    <t>EDINSON CABEZAS</t>
  </si>
  <si>
    <t>No. 1</t>
  </si>
  <si>
    <t xml:space="preserve">TUBERIA  A / C  SCH 40 4 " </t>
  </si>
  <si>
    <t>METRO LINEAL</t>
  </si>
  <si>
    <t xml:space="preserve">TUBERIA A / C  ESTANDAR  20 " </t>
  </si>
  <si>
    <t xml:space="preserve">DOS MILLONES DOS MIL CINCUENTA Y TRES PESOS MDA </t>
  </si>
  <si>
    <t>CTE</t>
  </si>
  <si>
    <t xml:space="preserve">ENTREGA INMEDIATA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</si>
</sst>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1" fillId="0" borderId="15" xfId="0" applyFont="1" applyBorder="1" applyAlignment="1">
      <alignment horizontal="center"/>
    </xf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8" xfId="0" applyBorder="1"/>
    <xf numFmtId="0" fontId="0" fillId="0" borderId="19" xfId="0" applyBorder="1"/>
    <xf numFmtId="0" fontId="0" fillId="0" borderId="28" xfId="0" applyBorder="1"/>
    <xf numFmtId="0" fontId="0" fillId="0" borderId="21" xfId="0" applyBorder="1"/>
    <xf numFmtId="0" fontId="13" fillId="0" borderId="22" xfId="2" applyBorder="1"/>
    <xf numFmtId="0" fontId="0" fillId="0" borderId="22" xfId="0" applyBorder="1"/>
    <xf numFmtId="0" fontId="0" fillId="0" borderId="24" xfId="0" applyBorder="1"/>
    <xf numFmtId="0" fontId="0" fillId="0" borderId="25" xfId="0" applyBorder="1"/>
    <xf numFmtId="0" fontId="1" fillId="0" borderId="14" xfId="0" applyFont="1" applyBorder="1" applyAlignment="1">
      <alignment horizontal="center"/>
    </xf>
    <xf numFmtId="0" fontId="8" fillId="0" borderId="29" xfId="0" applyFont="1" applyBorder="1"/>
    <xf numFmtId="0" fontId="8" fillId="0" borderId="13" xfId="0" applyFont="1" applyBorder="1"/>
    <xf numFmtId="0" fontId="8" fillId="0" borderId="30" xfId="0" applyFont="1" applyBorder="1"/>
    <xf numFmtId="42" fontId="11" fillId="0" borderId="14" xfId="1" applyFont="1" applyBorder="1" applyAlignment="1">
      <alignment horizontal="center"/>
    </xf>
    <xf numFmtId="0" fontId="1" fillId="0" borderId="15" xfId="0" applyFont="1" applyBorder="1" applyAlignment="1">
      <alignment horizontal="left" vertical="top" wrapText="1"/>
    </xf>
    <xf numFmtId="0" fontId="0" fillId="0" borderId="31" xfId="0" applyBorder="1"/>
    <xf numFmtId="0" fontId="0" fillId="0" borderId="0" xfId="0" applyBorder="1"/>
    <xf numFmtId="0" fontId="0" fillId="0" borderId="32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workingsafe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0"/>
  <sheetViews>
    <sheetView tabSelected="1" topLeftCell="A16" zoomScaleNormal="100" workbookViewId="0">
      <selection activeCell="F26" sqref="F2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38</v>
      </c>
      <c r="G6" s="42"/>
      <c r="H6" s="43"/>
    </row>
    <row r="7" spans="1:8" ht="19.5" thickBot="1" x14ac:dyDescent="0.35">
      <c r="A7" s="20" t="s">
        <v>14</v>
      </c>
      <c r="B7" s="12"/>
      <c r="C7" s="60" t="s">
        <v>41</v>
      </c>
      <c r="D7" s="12"/>
      <c r="E7" s="13"/>
      <c r="F7" s="37"/>
      <c r="G7" s="18"/>
      <c r="H7" s="19" t="s">
        <v>48</v>
      </c>
    </row>
    <row r="8" spans="1:8" ht="18.75" x14ac:dyDescent="0.3">
      <c r="A8" s="21" t="s">
        <v>8</v>
      </c>
      <c r="C8" s="62" t="s">
        <v>42</v>
      </c>
      <c r="D8" s="63"/>
      <c r="E8" s="44"/>
      <c r="H8" s="15"/>
    </row>
    <row r="9" spans="1:8" ht="18.75" customHeight="1" x14ac:dyDescent="0.3">
      <c r="A9" s="21" t="s">
        <v>9</v>
      </c>
      <c r="C9" s="64" t="s">
        <v>43</v>
      </c>
      <c r="D9" s="23"/>
      <c r="E9" s="65" t="s">
        <v>44</v>
      </c>
      <c r="F9" s="30" t="s">
        <v>0</v>
      </c>
      <c r="H9" s="28">
        <v>45701</v>
      </c>
    </row>
    <row r="10" spans="1:8" ht="18.75" x14ac:dyDescent="0.3">
      <c r="A10" s="21" t="s">
        <v>13</v>
      </c>
      <c r="C10" s="66" t="s">
        <v>45</v>
      </c>
      <c r="D10" s="61"/>
      <c r="E10" s="45"/>
      <c r="F10" s="30" t="s">
        <v>15</v>
      </c>
      <c r="H10" s="29" t="s">
        <v>31</v>
      </c>
    </row>
    <row r="11" spans="1:8" ht="18.75" x14ac:dyDescent="0.3">
      <c r="A11" s="21" t="s">
        <v>10</v>
      </c>
      <c r="C11" s="67"/>
      <c r="D11" s="61"/>
      <c r="E11" s="45"/>
      <c r="F11" s="30" t="s">
        <v>16</v>
      </c>
      <c r="G11" s="30"/>
      <c r="H11" s="28">
        <v>45710</v>
      </c>
    </row>
    <row r="12" spans="1:8" ht="18.75" x14ac:dyDescent="0.3">
      <c r="A12" s="21" t="s">
        <v>11</v>
      </c>
      <c r="C12" s="67" t="s">
        <v>46</v>
      </c>
      <c r="D12" s="61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8" t="s">
        <v>47</v>
      </c>
      <c r="D13" s="69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47" t="s">
        <v>35</v>
      </c>
      <c r="B15" s="24" t="s">
        <v>22</v>
      </c>
      <c r="C15" s="42"/>
      <c r="D15" s="13"/>
      <c r="E15" s="47" t="s">
        <v>18</v>
      </c>
      <c r="F15" s="47" t="s">
        <v>20</v>
      </c>
      <c r="G15" s="47" t="s">
        <v>19</v>
      </c>
      <c r="H15" s="32" t="s">
        <v>21</v>
      </c>
    </row>
    <row r="16" spans="1:8" ht="16.5" thickBot="1" x14ac:dyDescent="0.3">
      <c r="A16" s="70">
        <v>1</v>
      </c>
      <c r="B16" s="71" t="s">
        <v>49</v>
      </c>
      <c r="C16" s="72"/>
      <c r="D16" s="73"/>
      <c r="E16" s="70" t="s">
        <v>50</v>
      </c>
      <c r="F16" s="74">
        <v>118500</v>
      </c>
      <c r="G16" s="70">
        <v>1</v>
      </c>
      <c r="H16" s="38">
        <f t="shared" ref="H16" si="0">G16*F16</f>
        <v>118500</v>
      </c>
    </row>
    <row r="17" spans="1:8" ht="16.5" thickBot="1" x14ac:dyDescent="0.3">
      <c r="A17" s="70">
        <v>2</v>
      </c>
      <c r="B17" s="71" t="s">
        <v>51</v>
      </c>
      <c r="C17" s="72"/>
      <c r="D17" s="73"/>
      <c r="E17" s="70" t="s">
        <v>50</v>
      </c>
      <c r="F17" s="74">
        <v>1600000</v>
      </c>
      <c r="G17" s="70">
        <v>1</v>
      </c>
      <c r="H17" s="38">
        <f t="shared" ref="H17" si="1">G17*F17</f>
        <v>1600000</v>
      </c>
    </row>
    <row r="18" spans="1:8" ht="19.5" customHeight="1" thickBot="1" x14ac:dyDescent="0.3">
      <c r="A18" s="48"/>
      <c r="B18" s="76"/>
      <c r="C18" s="77"/>
      <c r="D18" s="78"/>
      <c r="E18" s="48"/>
      <c r="F18" s="48"/>
      <c r="G18" s="48"/>
    </row>
    <row r="19" spans="1:8" ht="19.5" customHeight="1" thickBot="1" x14ac:dyDescent="0.35">
      <c r="A19" s="75" t="s">
        <v>23</v>
      </c>
      <c r="B19" s="79" t="s">
        <v>52</v>
      </c>
      <c r="C19" s="12"/>
      <c r="D19" s="13"/>
      <c r="E19" s="49"/>
      <c r="F19" s="37" t="s">
        <v>39</v>
      </c>
      <c r="G19" s="6"/>
      <c r="H19" s="7"/>
    </row>
    <row r="20" spans="1:8" ht="19.5" customHeight="1" thickBot="1" x14ac:dyDescent="0.3">
      <c r="A20" s="39"/>
      <c r="B20" s="16" t="s">
        <v>53</v>
      </c>
      <c r="C20" s="4"/>
      <c r="D20" s="17"/>
      <c r="E20" s="52" t="s">
        <v>24</v>
      </c>
      <c r="F20" s="53"/>
      <c r="G20" s="44"/>
      <c r="H20" s="50">
        <f>SUM(H16:H19)</f>
        <v>1718500</v>
      </c>
    </row>
    <row r="21" spans="1:8" ht="19.5" customHeight="1" x14ac:dyDescent="0.25">
      <c r="A21" s="24" t="s">
        <v>25</v>
      </c>
      <c r="B21" s="12"/>
      <c r="C21" s="12"/>
      <c r="D21" s="12"/>
      <c r="E21" s="54" t="s">
        <v>29</v>
      </c>
      <c r="F21" s="23"/>
      <c r="G21" s="55">
        <v>0.19</v>
      </c>
      <c r="H21" s="40">
        <f>H20*G21</f>
        <v>326515</v>
      </c>
    </row>
    <row r="22" spans="1:8" ht="19.5" customHeight="1" x14ac:dyDescent="0.25">
      <c r="A22" s="14" t="s">
        <v>30</v>
      </c>
      <c r="E22" s="56" t="s">
        <v>26</v>
      </c>
      <c r="G22" s="59">
        <v>2.5000000000000001E-2</v>
      </c>
      <c r="H22" s="51">
        <f>H20*G22</f>
        <v>42962.5</v>
      </c>
    </row>
    <row r="23" spans="1:8" ht="15.75" x14ac:dyDescent="0.25">
      <c r="A23" s="14" t="s">
        <v>54</v>
      </c>
      <c r="E23" s="14"/>
      <c r="F23" s="33"/>
      <c r="G23" s="45"/>
      <c r="H23" s="15"/>
    </row>
    <row r="24" spans="1:8" ht="16.5" thickBot="1" x14ac:dyDescent="0.3">
      <c r="A24" s="14" t="s">
        <v>33</v>
      </c>
      <c r="E24" s="57" t="s">
        <v>27</v>
      </c>
      <c r="F24" s="58"/>
      <c r="G24" s="46"/>
      <c r="H24" s="17"/>
    </row>
    <row r="25" spans="1:8" ht="19.5" thickBot="1" x14ac:dyDescent="0.35">
      <c r="A25" s="16"/>
      <c r="B25" s="4"/>
      <c r="C25" s="4"/>
      <c r="D25" s="17"/>
      <c r="F25" s="3"/>
      <c r="G25" s="34" t="s">
        <v>28</v>
      </c>
      <c r="H25" s="36">
        <f>H20+H21-H22</f>
        <v>2002052.5</v>
      </c>
    </row>
    <row r="26" spans="1:8" ht="16.5" customHeight="1" x14ac:dyDescent="0.25"/>
    <row r="31" spans="1:8" ht="15.75" thickBot="1" x14ac:dyDescent="0.3"/>
    <row r="32" spans="1:8" ht="19.5" thickBot="1" x14ac:dyDescent="0.35">
      <c r="A32" s="25" t="s">
        <v>40</v>
      </c>
      <c r="B32" s="6"/>
      <c r="C32" s="6"/>
      <c r="D32" s="6"/>
      <c r="E32" s="6"/>
      <c r="F32" s="6"/>
      <c r="G32" s="6"/>
      <c r="H32" s="7"/>
    </row>
    <row r="40" spans="1:1" ht="18.75" x14ac:dyDescent="0.3">
      <c r="A40" s="5"/>
    </row>
  </sheetData>
  <hyperlinks>
    <hyperlink ref="C10" r:id="rId1" xr:uid="{3CFB4F70-95A0-4BCF-8EB7-D1823A2193A4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WORKING 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2025-02-13T14:28:59Z</dcterms:modified>
</cp:coreProperties>
</file>