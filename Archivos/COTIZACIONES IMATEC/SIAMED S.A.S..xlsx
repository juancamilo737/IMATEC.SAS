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09AE5B97-5C99-43C1-8844-0CF5661DD52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IAMED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1" l="1"/>
  <c r="H27" i="1"/>
  <c r="H26" i="1"/>
  <c r="H21" i="1"/>
  <c r="H20" i="1"/>
  <c r="H19" i="1"/>
  <c r="H18" i="1"/>
  <c r="H17" i="1"/>
  <c r="H16" i="1"/>
  <c r="H24" i="1" s="1"/>
  <c r="H25" i="1" l="1"/>
</calcChain>
</file>

<file path=xl/sharedStrings.xml><?xml version="1.0" encoding="utf-8"?>
<sst xmlns="http://schemas.openxmlformats.org/spreadsheetml/2006/main" count="66" uniqueCount="61">
  <si>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</si>
  <si>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</si>
  <si>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</si>
  <si>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</si>
  <si>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</si>
  <si>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</si>
  <si>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</si>
  <si>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</si>
  <si>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</si>
  <si>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</si>
  <si>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</si>
  <si>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</si>
  <si>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</si>
  <si>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</si>
  <si>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</si>
  <si>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</si>
  <si>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</si>
  <si>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</si>
  <si>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</si>
  <si>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</si>
  <si>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</si>
  <si>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</si>
  <si>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</si>
  <si>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</si>
  <si>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</si>
  <si>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</si>
  <si>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</si>
  <si>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</si>
  <si>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</si>
  <si>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</si>
  <si>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</si>
  <si>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</si>
  <si>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</si>
  <si>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</si>
  <si>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</si>
  <si>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</si>
  <si>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</si>
  <si>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</si>
  <si>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</si>
  <si>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</si>
  <si>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SOLUCIONES INTEGRALES A LA MEDIDA DE SU EMPRESA S.A.S.</t>
  </si>
  <si>
    <t>901 751503</t>
  </si>
  <si>
    <t>CARRERA  47 A  No.  14C - 43</t>
  </si>
  <si>
    <t>CALI</t>
  </si>
  <si>
    <t>gerenciatecnica@amedasesorias.com</t>
  </si>
  <si>
    <t>SIAMED S.A.S.</t>
  </si>
  <si>
    <t>320 6931797</t>
  </si>
  <si>
    <t>LUIS A. BENAVIDES</t>
  </si>
  <si>
    <t xml:space="preserve">No. 2 </t>
  </si>
  <si>
    <t xml:space="preserve">              R E M I S I O N</t>
  </si>
  <si>
    <t>ACOPLE CLAMP AC/INOX 304 1 1/2 "  X 1/2 " HEMB</t>
  </si>
  <si>
    <t>ACOPLE CLAMP AC/INOX 304 1 1/2 "  X 3/4 " HEMB</t>
  </si>
  <si>
    <t>ACOPLE CLAMP AC/INOX 304 1 1/2 "  X 1 " HEMBRA</t>
  </si>
  <si>
    <t>ACOPLE CLAMP AC/INOX 304 1 1/2 "  X 1/2 " MACH</t>
  </si>
  <si>
    <t>ACOPLE CLAMP AC/INOX 304 1 1/2 "  X 1 " MACHO</t>
  </si>
  <si>
    <t>ACOPLE CLAMP AC/INOX 304 1 1/2 "  X 3/4 " MACH</t>
  </si>
  <si>
    <t xml:space="preserve">  RETEICA</t>
  </si>
  <si>
    <t>UN MILLON NOVENTA MIL SEISCIENTOS CUARENTA PE-</t>
  </si>
  <si>
    <t>SOS MDA / CTE</t>
  </si>
  <si>
    <t>ENTREGA EN 5 DIAS A PARTIR DE ORDEN DE COMPRA</t>
  </si>
  <si>
    <t xml:space="preserve">OC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</si>
</sst>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  <xf numFmtId="0" fontId="1" fillId="0" borderId="23" xfId="0" applyFont="1" applyBorder="1"/>
    <xf numFmtId="0" fontId="0" fillId="0" borderId="0" xfId="0" applyAlignment="1">
      <alignment horizontal="righ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tecnica@amedasesori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tabSelected="1" topLeftCell="A7" zoomScaleNormal="100" workbookViewId="0">
      <selection activeCell="K20" sqref="K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8" t="s">
        <v>41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42</v>
      </c>
      <c r="E9" s="15" t="s">
        <v>43</v>
      </c>
      <c r="F9" s="30" t="s">
        <v>0</v>
      </c>
      <c r="H9" s="28">
        <v>45907</v>
      </c>
    </row>
    <row r="10" spans="1:8" ht="18.75" x14ac:dyDescent="0.3">
      <c r="A10" s="21" t="s">
        <v>13</v>
      </c>
      <c r="C10" s="69" t="s">
        <v>44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 t="s">
        <v>45</v>
      </c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G12" s="71" t="s">
        <v>60</v>
      </c>
      <c r="H12" s="31">
        <v>25090201</v>
      </c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6" t="s">
        <v>34</v>
      </c>
      <c r="B15" s="24" t="s">
        <v>22</v>
      </c>
      <c r="C15" s="42"/>
      <c r="D15" s="13"/>
      <c r="E15" s="46" t="s">
        <v>18</v>
      </c>
      <c r="F15" s="46" t="s">
        <v>20</v>
      </c>
      <c r="G15" s="46" t="s">
        <v>19</v>
      </c>
      <c r="H15" s="32" t="s">
        <v>21</v>
      </c>
    </row>
    <row r="16" spans="1:8" ht="16.5" thickBot="1" x14ac:dyDescent="0.3">
      <c r="A16" s="60">
        <v>1</v>
      </c>
      <c r="B16" s="61" t="s">
        <v>50</v>
      </c>
      <c r="C16" s="62"/>
      <c r="D16" s="63"/>
      <c r="E16" s="60" t="s">
        <v>37</v>
      </c>
      <c r="F16" s="64">
        <v>55100</v>
      </c>
      <c r="G16" s="60">
        <v>2</v>
      </c>
      <c r="H16" s="38">
        <f t="shared" ref="H16" si="0">G16*F16</f>
        <v>110200</v>
      </c>
    </row>
    <row r="17" spans="1:8" ht="16.5" thickBot="1" x14ac:dyDescent="0.3">
      <c r="A17" s="60">
        <v>2</v>
      </c>
      <c r="B17" s="61" t="s">
        <v>51</v>
      </c>
      <c r="C17" s="62"/>
      <c r="D17" s="63"/>
      <c r="E17" s="60" t="s">
        <v>37</v>
      </c>
      <c r="F17" s="64">
        <v>57000</v>
      </c>
      <c r="G17" s="60">
        <v>2</v>
      </c>
      <c r="H17" s="38">
        <f t="shared" ref="H17:H21" si="1">G17*F17</f>
        <v>114000</v>
      </c>
    </row>
    <row r="18" spans="1:8" ht="16.5" thickBot="1" x14ac:dyDescent="0.3">
      <c r="A18" s="60">
        <v>3</v>
      </c>
      <c r="B18" s="61" t="s">
        <v>52</v>
      </c>
      <c r="C18" s="62"/>
      <c r="D18" s="63"/>
      <c r="E18" s="60" t="s">
        <v>37</v>
      </c>
      <c r="F18" s="64">
        <v>61750</v>
      </c>
      <c r="G18" s="60">
        <v>4</v>
      </c>
      <c r="H18" s="38">
        <f t="shared" si="1"/>
        <v>247000</v>
      </c>
    </row>
    <row r="19" spans="1:8" ht="16.5" thickBot="1" x14ac:dyDescent="0.3">
      <c r="A19" s="60">
        <v>4</v>
      </c>
      <c r="B19" s="61" t="s">
        <v>53</v>
      </c>
      <c r="C19" s="62"/>
      <c r="D19" s="63"/>
      <c r="E19" s="60" t="s">
        <v>37</v>
      </c>
      <c r="F19" s="64">
        <v>55100</v>
      </c>
      <c r="G19" s="60">
        <v>2</v>
      </c>
      <c r="H19" s="38">
        <f t="shared" si="1"/>
        <v>110200</v>
      </c>
    </row>
    <row r="20" spans="1:8" ht="16.5" thickBot="1" x14ac:dyDescent="0.3">
      <c r="A20" s="60">
        <v>5</v>
      </c>
      <c r="B20" s="61" t="s">
        <v>55</v>
      </c>
      <c r="C20" s="62"/>
      <c r="D20" s="63"/>
      <c r="E20" s="60" t="s">
        <v>37</v>
      </c>
      <c r="F20" s="64">
        <v>57000</v>
      </c>
      <c r="G20" s="60">
        <v>2</v>
      </c>
      <c r="H20" s="38">
        <f t="shared" si="1"/>
        <v>114000</v>
      </c>
    </row>
    <row r="21" spans="1:8" ht="16.5" thickBot="1" x14ac:dyDescent="0.3">
      <c r="A21" s="60">
        <v>6</v>
      </c>
      <c r="B21" s="61" t="s">
        <v>54</v>
      </c>
      <c r="C21" s="62"/>
      <c r="D21" s="63"/>
      <c r="E21" s="60" t="s">
        <v>37</v>
      </c>
      <c r="F21" s="64">
        <v>61750</v>
      </c>
      <c r="G21" s="60">
        <v>4</v>
      </c>
      <c r="H21" s="38">
        <f t="shared" si="1"/>
        <v>247000</v>
      </c>
    </row>
    <row r="22" spans="1:8" ht="19.5" customHeight="1" thickBot="1" x14ac:dyDescent="0.3">
      <c r="A22" s="47"/>
      <c r="B22" s="66"/>
      <c r="D22" s="67"/>
      <c r="E22" s="47"/>
      <c r="F22" s="47"/>
      <c r="G22" s="47"/>
    </row>
    <row r="23" spans="1:8" ht="19.5" customHeight="1" thickBot="1" x14ac:dyDescent="0.35">
      <c r="A23" s="65" t="s">
        <v>23</v>
      </c>
      <c r="B23" s="68" t="s">
        <v>57</v>
      </c>
      <c r="C23" s="12"/>
      <c r="D23" s="13"/>
      <c r="E23" s="48"/>
      <c r="F23" s="37" t="s">
        <v>38</v>
      </c>
      <c r="G23" s="6"/>
      <c r="H23" s="7"/>
    </row>
    <row r="24" spans="1:8" ht="19.5" customHeight="1" thickBot="1" x14ac:dyDescent="0.3">
      <c r="A24" s="39"/>
      <c r="B24" s="16" t="s">
        <v>58</v>
      </c>
      <c r="C24" s="4"/>
      <c r="D24" s="17"/>
      <c r="E24" s="51" t="s">
        <v>24</v>
      </c>
      <c r="F24" s="52"/>
      <c r="G24" s="44"/>
      <c r="H24" s="49">
        <f>SUM(H16:H23)</f>
        <v>942400</v>
      </c>
    </row>
    <row r="25" spans="1:8" ht="19.5" customHeight="1" x14ac:dyDescent="0.25">
      <c r="A25" s="24" t="s">
        <v>25</v>
      </c>
      <c r="B25" s="12"/>
      <c r="C25" s="12"/>
      <c r="D25" s="12"/>
      <c r="E25" s="53" t="s">
        <v>29</v>
      </c>
      <c r="F25" s="23"/>
      <c r="G25" s="54">
        <v>0.19</v>
      </c>
      <c r="H25" s="40">
        <f>H24*G25</f>
        <v>179056</v>
      </c>
    </row>
    <row r="26" spans="1:8" ht="19.5" customHeight="1" x14ac:dyDescent="0.25">
      <c r="A26" s="14" t="s">
        <v>30</v>
      </c>
      <c r="E26" s="55" t="s">
        <v>26</v>
      </c>
      <c r="G26" s="58">
        <v>2.5000000000000001E-2</v>
      </c>
      <c r="H26" s="50">
        <f>H24*G26</f>
        <v>23560</v>
      </c>
    </row>
    <row r="27" spans="1:8" ht="15.75" x14ac:dyDescent="0.25">
      <c r="A27" s="14" t="s">
        <v>59</v>
      </c>
      <c r="E27" s="53" t="s">
        <v>56</v>
      </c>
      <c r="F27" s="33"/>
      <c r="G27" s="70">
        <v>7.7000000000000002E-3</v>
      </c>
      <c r="H27" s="50">
        <f>H24*G27</f>
        <v>7256.4800000000005</v>
      </c>
    </row>
    <row r="28" spans="1:8" ht="16.5" thickBot="1" x14ac:dyDescent="0.3">
      <c r="A28" s="14" t="s">
        <v>32</v>
      </c>
      <c r="E28" s="56" t="s">
        <v>27</v>
      </c>
      <c r="F28" s="57"/>
      <c r="G28" s="45"/>
      <c r="H28" s="17"/>
    </row>
    <row r="29" spans="1:8" ht="19.5" thickBot="1" x14ac:dyDescent="0.35">
      <c r="A29" s="16"/>
      <c r="B29" s="4"/>
      <c r="C29" s="4"/>
      <c r="D29" s="17"/>
      <c r="F29" s="3"/>
      <c r="G29" s="34" t="s">
        <v>28</v>
      </c>
      <c r="H29" s="36">
        <f>H24+H25-H26-H27</f>
        <v>1090639.52</v>
      </c>
    </row>
    <row r="30" spans="1:8" ht="16.5" customHeight="1" x14ac:dyDescent="0.25"/>
    <row r="35" spans="1:8" ht="15.75" thickBot="1" x14ac:dyDescent="0.3"/>
    <row r="36" spans="1:8" ht="19.5" thickBot="1" x14ac:dyDescent="0.35">
      <c r="A36" s="25" t="s">
        <v>39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hyperlinks>
    <hyperlink ref="C10" r:id="rId1" xr:uid="{D89517CD-0B72-4DCD-8B72-E00D009F5D42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SIAMED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2025-09-03T14:00:41Z</dcterms:modified>
</cp:coreProperties>
</file>