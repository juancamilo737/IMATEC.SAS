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BE3E00A-B128-4447-9C59-38A50871851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18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8" i="2" l="1"/>
  <c r="H70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69" i="2" l="1"/>
  <c r="H73" i="2" s="1"/>
</calcChain>
</file>

<file path=xl/sharedStrings.xml><?xml version="1.0" encoding="utf-8"?>
<sst xmlns="http://schemas.openxmlformats.org/spreadsheetml/2006/main" count="152" uniqueCount="104">
  <si>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</si>
  <si>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</si>
  <si>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</si>
  <si>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</si>
  <si>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</si>
  <si>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</si>
  <si>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</si>
  <si>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</si>
  <si>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</si>
  <si>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</si>
  <si>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</si>
  <si>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</si>
  <si>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</si>
  <si>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</si>
  <si>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</si>
  <si>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</si>
  <si>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</si>
  <si>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</si>
  <si>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</si>
  <si>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</si>
  <si>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</si>
  <si>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</si>
  <si>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</si>
  <si>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</si>
  <si>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</si>
  <si>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</si>
  <si>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</si>
  <si>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</si>
  <si>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</si>
  <si>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</si>
  <si>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</si>
  <si>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</si>
  <si>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</si>
  <si>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</si>
  <si>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</si>
  <si>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</si>
  <si>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</si>
  <si>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</si>
  <si>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</si>
  <si>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</si>
  <si>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</si>
  <si>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</si>
  <si>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</si>
  <si>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</si>
  <si>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</si>
  <si>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</si>
  <si>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</si>
  <si>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>ACCESORIO</t>
  </si>
  <si>
    <t>FORMA DE PAGO : CREDITO A 30 DIAS</t>
  </si>
  <si>
    <t xml:space="preserve">           C O T I Z A C I O N</t>
  </si>
  <si>
    <t>No.  18</t>
  </si>
  <si>
    <t>TUBERIA  A / C SCH 80   1/2 "</t>
  </si>
  <si>
    <t>METRO LINEAL</t>
  </si>
  <si>
    <t>TUBERIA  A / C SCH 80   1 "</t>
  </si>
  <si>
    <t>TUBERIA  A / C SCH 80   1 1/2 "</t>
  </si>
  <si>
    <t>TUBERIA  A / C SCH 40   2 "</t>
  </si>
  <si>
    <t>TUBERIA  A / C SCH 40    2 1/2 "</t>
  </si>
  <si>
    <t>TUBERIA  A / C SCH 40   3 "</t>
  </si>
  <si>
    <t>TUBERIA  A / C SCH 40    4 "</t>
  </si>
  <si>
    <t>TUBERIA  A / C SCH 40    6 "</t>
  </si>
  <si>
    <t>CODO  A / C   SCH 40   4 "  X  45º</t>
  </si>
  <si>
    <t>CODO  A / C   SCH 40  2 "  X  90º</t>
  </si>
  <si>
    <t xml:space="preserve">CODO  A / C   SCH 40   3 "  X  90º </t>
  </si>
  <si>
    <t>CODO  A / C   SCH 40   4 "  X  90º</t>
  </si>
  <si>
    <t>CODO  A / C   SCH 40   6 "  X  90º</t>
  </si>
  <si>
    <t>CODO  A / C   1/2 "  X  300O LB ROSCADO</t>
  </si>
  <si>
    <t>CODO  A / C   1 "  X  300O LB ROSCADO</t>
  </si>
  <si>
    <t>CODO  A / C  1 1/2 "  X  300O LB ROSCADO</t>
  </si>
  <si>
    <t>BRIDA  A / C SLIP ON  X  150  LB  2 "</t>
  </si>
  <si>
    <t>BRIDA  A / C  SLIP ON X  150  LB  3  "</t>
  </si>
  <si>
    <t>BRIDA  A / C  SLIP ON X  150  LB  4 "</t>
  </si>
  <si>
    <t>BRIDA  A / C  WN  X  150  LB  4 "</t>
  </si>
  <si>
    <t>BRIDA  A / C  WN  X  150  LB  2 "</t>
  </si>
  <si>
    <t>BRIDA  A / C  WN X  150  LB  2 1/2  "</t>
  </si>
  <si>
    <t>BRIDA  A / C  WN  X  150  LB  6 "</t>
  </si>
  <si>
    <t>BRIDA  A / C  BLIND  X  150  LB  6 "</t>
  </si>
  <si>
    <t>CAP  A / C   SCH 40  2 "</t>
  </si>
  <si>
    <t>CAP  A / C   SCH 40  4 "</t>
  </si>
  <si>
    <t>CAP  A / C   SCH 40  6 "</t>
  </si>
  <si>
    <t xml:space="preserve">TEE  A / C  SCH 40  2 " </t>
  </si>
  <si>
    <t>TEE  A / C  SCH 40  4 "</t>
  </si>
  <si>
    <t>TEE  A / C  SCH 40  6 "</t>
  </si>
  <si>
    <t>REDUCCION CONCENTRICA  A / C  4 "  X  2 "  SCH 40</t>
  </si>
  <si>
    <t xml:space="preserve">REDUCCION CONCENTRICA  A / C  4 "  X  3 "  SCH 40 </t>
  </si>
  <si>
    <t>REDUCCION CONCENTRICA  A / C  6 "  X  4 "  SCH 40</t>
  </si>
  <si>
    <t>EMPAQUE FLEXITALICO  X  150 LB  2 "</t>
  </si>
  <si>
    <t>EMPAQUE FLEXITALICO  X  150 LB  2 1/2 "</t>
  </si>
  <si>
    <t xml:space="preserve">EMPAQUE FLEXITALICO  X  150 LB 3 " </t>
  </si>
  <si>
    <t>EMPAQUE FLEXITALICO  X  150 LB  4 "</t>
  </si>
  <si>
    <t>EMPAQUE FLEXITALICO  X  150 LB 6 "</t>
  </si>
  <si>
    <t>COUPLING  A / C  1/2 "</t>
  </si>
  <si>
    <t>COUPLING  A / C  1 "</t>
  </si>
  <si>
    <t>BUSHING  A / C   1 "  X  1/2 "  X 3000 LB</t>
  </si>
  <si>
    <t>UNION  A / C  X 3000 LB  1/2 "</t>
  </si>
  <si>
    <t>UNION  A / C  X 3000 LB 1 "</t>
  </si>
  <si>
    <t>UNION  A / C  X 3000 LB  1 1/2 "</t>
  </si>
  <si>
    <t>ESPARRAGO  CON TUERCAS  5/8 "  X  5 "</t>
  </si>
  <si>
    <t>ESPARRAGO  CON TUERCAS 5/8 "  X  5 1/2 "</t>
  </si>
  <si>
    <t>ESPARRAGO  CON TUERCAS  5/8  X  7 "</t>
  </si>
  <si>
    <t>TORNILLO CABEZA HEXAGONAL  5/8 "  X  3 "</t>
  </si>
  <si>
    <t>TORNILLO CABEZA HEXAGONAL  5/8 "  X  3 1/2  "</t>
  </si>
  <si>
    <t>TORNILLO CABEZA HEXAGONAL  3/4 "  X  3 1/2 "</t>
  </si>
  <si>
    <t>MIL TREINTA Y NUEVE PESOS MDA / CTE</t>
  </si>
  <si>
    <t>TREINTA MILLONES NOVECIENTOS TREINTA Y NUEVE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</si>
</sst>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2" fontId="11" fillId="0" borderId="26" xfId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/>
    <xf numFmtId="0" fontId="1" fillId="0" borderId="17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27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88"/>
  <sheetViews>
    <sheetView tabSelected="1" topLeftCell="A51" zoomScale="106" zoomScaleNormal="106" workbookViewId="0">
      <selection activeCell="F73" sqref="F7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44" t="s">
        <v>39</v>
      </c>
      <c r="D7" s="6"/>
      <c r="E7" s="6"/>
      <c r="F7" s="37"/>
      <c r="G7" s="18"/>
      <c r="H7" s="63" t="s">
        <v>50</v>
      </c>
    </row>
    <row r="8" spans="1:8" ht="19.5" thickBot="1" x14ac:dyDescent="0.35">
      <c r="A8" s="21" t="s">
        <v>8</v>
      </c>
      <c r="C8" s="14" t="s">
        <v>40</v>
      </c>
      <c r="E8" s="15"/>
      <c r="H8" s="15"/>
    </row>
    <row r="9" spans="1:8" ht="18.75" customHeight="1" thickBot="1" x14ac:dyDescent="0.35">
      <c r="A9" s="21" t="s">
        <v>9</v>
      </c>
      <c r="C9" s="14" t="s">
        <v>41</v>
      </c>
      <c r="E9" s="59" t="s">
        <v>42</v>
      </c>
      <c r="F9" s="30" t="s">
        <v>0</v>
      </c>
      <c r="H9" s="28">
        <v>45567</v>
      </c>
    </row>
    <row r="10" spans="1:8" ht="18.75" x14ac:dyDescent="0.3">
      <c r="A10" s="21" t="s">
        <v>13</v>
      </c>
      <c r="C10" s="48" t="s">
        <v>43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45576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4">
        <v>1</v>
      </c>
      <c r="B16" s="61" t="s">
        <v>51</v>
      </c>
      <c r="C16" s="12"/>
      <c r="D16" s="13"/>
      <c r="E16" s="65" t="s">
        <v>52</v>
      </c>
      <c r="F16" s="66">
        <v>18500</v>
      </c>
      <c r="G16" s="67">
        <v>64</v>
      </c>
      <c r="H16" s="38">
        <f t="shared" ref="H16" si="0">G16*F16</f>
        <v>1184000</v>
      </c>
    </row>
    <row r="17" spans="1:8" ht="15.75" thickBot="1" x14ac:dyDescent="0.3">
      <c r="A17" s="64">
        <v>2</v>
      </c>
      <c r="B17" s="61" t="s">
        <v>53</v>
      </c>
      <c r="C17" s="12"/>
      <c r="D17" s="13"/>
      <c r="E17" s="65" t="s">
        <v>52</v>
      </c>
      <c r="F17" s="66">
        <v>23500</v>
      </c>
      <c r="G17" s="67">
        <v>24</v>
      </c>
      <c r="H17" s="38">
        <f t="shared" ref="H17:H18" si="1">G17*F17</f>
        <v>564000</v>
      </c>
    </row>
    <row r="18" spans="1:8" ht="15.75" thickBot="1" x14ac:dyDescent="0.3">
      <c r="A18" s="64">
        <v>3</v>
      </c>
      <c r="B18" s="61" t="s">
        <v>54</v>
      </c>
      <c r="C18" s="12"/>
      <c r="D18" s="13"/>
      <c r="E18" s="65" t="s">
        <v>52</v>
      </c>
      <c r="F18" s="66">
        <v>33500</v>
      </c>
      <c r="G18" s="67">
        <v>14</v>
      </c>
      <c r="H18" s="38">
        <f t="shared" si="1"/>
        <v>469000</v>
      </c>
    </row>
    <row r="19" spans="1:8" ht="15.75" thickBot="1" x14ac:dyDescent="0.3">
      <c r="A19" s="64">
        <v>4</v>
      </c>
      <c r="B19" s="61" t="s">
        <v>55</v>
      </c>
      <c r="C19" s="12"/>
      <c r="D19" s="13"/>
      <c r="E19" s="65" t="s">
        <v>52</v>
      </c>
      <c r="F19" s="66">
        <v>54500</v>
      </c>
      <c r="G19" s="67">
        <v>118</v>
      </c>
      <c r="H19" s="38">
        <f t="shared" ref="H19:H21" si="2">G19*F19</f>
        <v>6431000</v>
      </c>
    </row>
    <row r="20" spans="1:8" ht="15.75" thickBot="1" x14ac:dyDescent="0.3">
      <c r="A20" s="64">
        <v>5</v>
      </c>
      <c r="B20" s="61" t="s">
        <v>56</v>
      </c>
      <c r="C20" s="12"/>
      <c r="D20" s="13"/>
      <c r="E20" s="65" t="s">
        <v>52</v>
      </c>
      <c r="F20" s="66">
        <v>52500</v>
      </c>
      <c r="G20" s="67">
        <v>6</v>
      </c>
      <c r="H20" s="38">
        <f t="shared" si="2"/>
        <v>315000</v>
      </c>
    </row>
    <row r="21" spans="1:8" ht="15.75" thickBot="1" x14ac:dyDescent="0.3">
      <c r="A21" s="64">
        <v>6</v>
      </c>
      <c r="B21" s="61" t="s">
        <v>57</v>
      </c>
      <c r="C21" s="12"/>
      <c r="D21" s="13"/>
      <c r="E21" s="65" t="s">
        <v>52</v>
      </c>
      <c r="F21" s="66">
        <v>68500</v>
      </c>
      <c r="G21" s="67">
        <v>6</v>
      </c>
      <c r="H21" s="38">
        <f t="shared" si="2"/>
        <v>411000</v>
      </c>
    </row>
    <row r="22" spans="1:8" ht="15.75" thickBot="1" x14ac:dyDescent="0.3">
      <c r="A22" s="68">
        <v>7</v>
      </c>
      <c r="B22" s="61" t="s">
        <v>58</v>
      </c>
      <c r="C22" s="6"/>
      <c r="D22" s="7"/>
      <c r="E22" s="70" t="s">
        <v>52</v>
      </c>
      <c r="F22" s="71">
        <v>96000</v>
      </c>
      <c r="G22" s="72">
        <v>68</v>
      </c>
      <c r="H22" s="38">
        <f t="shared" ref="H22:H28" si="3">G22*F22</f>
        <v>6528000</v>
      </c>
    </row>
    <row r="23" spans="1:8" ht="15.75" thickBot="1" x14ac:dyDescent="0.3">
      <c r="A23" s="64">
        <v>8</v>
      </c>
      <c r="B23" s="61" t="s">
        <v>59</v>
      </c>
      <c r="C23" s="12"/>
      <c r="D23" s="13"/>
      <c r="E23" s="65" t="s">
        <v>52</v>
      </c>
      <c r="F23" s="66">
        <v>169500</v>
      </c>
      <c r="G23" s="67">
        <v>8</v>
      </c>
      <c r="H23" s="38">
        <f t="shared" si="3"/>
        <v>1356000</v>
      </c>
    </row>
    <row r="24" spans="1:8" ht="15.75" thickBot="1" x14ac:dyDescent="0.3">
      <c r="A24" s="64">
        <v>9</v>
      </c>
      <c r="B24" s="61" t="s">
        <v>60</v>
      </c>
      <c r="C24" s="12"/>
      <c r="D24" s="13"/>
      <c r="E24" s="65" t="s">
        <v>47</v>
      </c>
      <c r="F24" s="66">
        <v>20700</v>
      </c>
      <c r="G24" s="67">
        <v>1</v>
      </c>
      <c r="H24" s="38">
        <f t="shared" si="3"/>
        <v>20700</v>
      </c>
    </row>
    <row r="25" spans="1:8" ht="15.75" thickBot="1" x14ac:dyDescent="0.3">
      <c r="A25" s="64">
        <v>10</v>
      </c>
      <c r="B25" s="61" t="s">
        <v>61</v>
      </c>
      <c r="C25" s="12"/>
      <c r="D25" s="13"/>
      <c r="E25" s="65" t="s">
        <v>47</v>
      </c>
      <c r="F25" s="66">
        <v>5350</v>
      </c>
      <c r="G25" s="67">
        <v>50</v>
      </c>
      <c r="H25" s="38">
        <f t="shared" si="3"/>
        <v>267500</v>
      </c>
    </row>
    <row r="26" spans="1:8" ht="15.75" thickBot="1" x14ac:dyDescent="0.3">
      <c r="A26" s="64">
        <v>11</v>
      </c>
      <c r="B26" s="61" t="s">
        <v>62</v>
      </c>
      <c r="C26" s="12"/>
      <c r="D26" s="13"/>
      <c r="E26" s="65" t="s">
        <v>47</v>
      </c>
      <c r="F26" s="66">
        <v>18750</v>
      </c>
      <c r="G26" s="67">
        <v>3</v>
      </c>
      <c r="H26" s="38">
        <f t="shared" si="3"/>
        <v>56250</v>
      </c>
    </row>
    <row r="27" spans="1:8" ht="15.75" thickBot="1" x14ac:dyDescent="0.3">
      <c r="A27" s="64">
        <v>12</v>
      </c>
      <c r="B27" s="61" t="s">
        <v>63</v>
      </c>
      <c r="C27" s="12"/>
      <c r="D27" s="13"/>
      <c r="E27" s="65" t="s">
        <v>47</v>
      </c>
      <c r="F27" s="66">
        <v>34750</v>
      </c>
      <c r="G27" s="67">
        <v>23</v>
      </c>
      <c r="H27" s="38">
        <f t="shared" si="3"/>
        <v>799250</v>
      </c>
    </row>
    <row r="28" spans="1:8" ht="15.75" thickBot="1" x14ac:dyDescent="0.3">
      <c r="A28" s="64">
        <v>13</v>
      </c>
      <c r="B28" s="61" t="s">
        <v>64</v>
      </c>
      <c r="C28" s="12"/>
      <c r="D28" s="13"/>
      <c r="E28" s="65" t="s">
        <v>47</v>
      </c>
      <c r="F28" s="66">
        <v>83450</v>
      </c>
      <c r="G28" s="67">
        <v>1</v>
      </c>
      <c r="H28" s="38">
        <f t="shared" si="3"/>
        <v>83450</v>
      </c>
    </row>
    <row r="29" spans="1:8" ht="15.75" thickBot="1" x14ac:dyDescent="0.3">
      <c r="A29" s="68">
        <v>14</v>
      </c>
      <c r="B29" s="69" t="s">
        <v>65</v>
      </c>
      <c r="C29" s="6"/>
      <c r="D29" s="7"/>
      <c r="E29" s="70" t="s">
        <v>47</v>
      </c>
      <c r="F29" s="71">
        <v>12200</v>
      </c>
      <c r="G29" s="72">
        <v>23</v>
      </c>
      <c r="H29" s="38">
        <f t="shared" ref="H29:H42" si="4">G29*F29</f>
        <v>280600</v>
      </c>
    </row>
    <row r="30" spans="1:8" ht="15.75" thickBot="1" x14ac:dyDescent="0.3">
      <c r="A30" s="64">
        <v>15</v>
      </c>
      <c r="B30" s="69" t="s">
        <v>66</v>
      </c>
      <c r="C30" s="12"/>
      <c r="D30" s="13"/>
      <c r="E30" s="65" t="s">
        <v>47</v>
      </c>
      <c r="F30" s="66">
        <v>27100</v>
      </c>
      <c r="G30" s="67">
        <v>8</v>
      </c>
      <c r="H30" s="38">
        <f t="shared" si="4"/>
        <v>216800</v>
      </c>
    </row>
    <row r="31" spans="1:8" ht="15.75" thickBot="1" x14ac:dyDescent="0.3">
      <c r="A31" s="64">
        <v>16</v>
      </c>
      <c r="B31" s="69" t="s">
        <v>67</v>
      </c>
      <c r="C31" s="12"/>
      <c r="D31" s="13"/>
      <c r="E31" s="65" t="s">
        <v>47</v>
      </c>
      <c r="F31" s="66">
        <v>65100</v>
      </c>
      <c r="G31" s="67">
        <v>8</v>
      </c>
      <c r="H31" s="38">
        <f t="shared" si="4"/>
        <v>520800</v>
      </c>
    </row>
    <row r="32" spans="1:8" ht="15.75" thickBot="1" x14ac:dyDescent="0.3">
      <c r="A32" s="64">
        <v>17</v>
      </c>
      <c r="B32" s="61" t="s">
        <v>68</v>
      </c>
      <c r="C32" s="12"/>
      <c r="D32" s="13"/>
      <c r="E32" s="65" t="s">
        <v>47</v>
      </c>
      <c r="F32" s="66">
        <v>23500</v>
      </c>
      <c r="G32" s="67">
        <v>13</v>
      </c>
      <c r="H32" s="38">
        <f t="shared" si="4"/>
        <v>305500</v>
      </c>
    </row>
    <row r="33" spans="1:8" ht="15.75" thickBot="1" x14ac:dyDescent="0.3">
      <c r="A33" s="64">
        <v>18</v>
      </c>
      <c r="B33" s="61" t="s">
        <v>69</v>
      </c>
      <c r="C33" s="12"/>
      <c r="D33" s="13"/>
      <c r="E33" s="65" t="s">
        <v>47</v>
      </c>
      <c r="F33" s="66">
        <v>35350</v>
      </c>
      <c r="G33" s="67">
        <v>1</v>
      </c>
      <c r="H33" s="38">
        <f t="shared" si="4"/>
        <v>35350</v>
      </c>
    </row>
    <row r="34" spans="1:8" ht="15.75" thickBot="1" x14ac:dyDescent="0.3">
      <c r="A34" s="64">
        <v>19</v>
      </c>
      <c r="B34" s="61" t="s">
        <v>70</v>
      </c>
      <c r="C34" s="12"/>
      <c r="D34" s="13"/>
      <c r="E34" s="65" t="s">
        <v>47</v>
      </c>
      <c r="F34" s="66">
        <v>51200</v>
      </c>
      <c r="G34" s="67">
        <v>2</v>
      </c>
      <c r="H34" s="38">
        <f t="shared" si="4"/>
        <v>102400</v>
      </c>
    </row>
    <row r="35" spans="1:8" ht="15.75" thickBot="1" x14ac:dyDescent="0.3">
      <c r="A35" s="64">
        <v>20</v>
      </c>
      <c r="B35" s="61" t="s">
        <v>72</v>
      </c>
      <c r="C35" s="12"/>
      <c r="D35" s="13"/>
      <c r="E35" s="65" t="s">
        <v>47</v>
      </c>
      <c r="F35" s="66">
        <v>30450</v>
      </c>
      <c r="G35" s="67">
        <v>28</v>
      </c>
      <c r="H35" s="38">
        <f t="shared" si="4"/>
        <v>852600</v>
      </c>
    </row>
    <row r="36" spans="1:8" ht="15.75" thickBot="1" x14ac:dyDescent="0.3">
      <c r="A36" s="68">
        <v>21</v>
      </c>
      <c r="B36" s="61" t="s">
        <v>73</v>
      </c>
      <c r="C36" s="6"/>
      <c r="D36" s="7"/>
      <c r="E36" s="70" t="s">
        <v>47</v>
      </c>
      <c r="F36" s="71">
        <v>46650</v>
      </c>
      <c r="G36" s="72">
        <v>4</v>
      </c>
      <c r="H36" s="38">
        <f t="shared" si="4"/>
        <v>186600</v>
      </c>
    </row>
    <row r="37" spans="1:8" ht="15.75" thickBot="1" x14ac:dyDescent="0.3">
      <c r="A37" s="64">
        <v>22</v>
      </c>
      <c r="B37" s="61" t="s">
        <v>71</v>
      </c>
      <c r="C37" s="12"/>
      <c r="D37" s="13"/>
      <c r="E37" s="65" t="s">
        <v>47</v>
      </c>
      <c r="F37" s="66">
        <v>78000</v>
      </c>
      <c r="G37" s="67">
        <v>22</v>
      </c>
      <c r="H37" s="38">
        <f t="shared" si="4"/>
        <v>1716000</v>
      </c>
    </row>
    <row r="38" spans="1:8" ht="15.75" thickBot="1" x14ac:dyDescent="0.3">
      <c r="A38" s="64">
        <v>23</v>
      </c>
      <c r="B38" s="61" t="s">
        <v>74</v>
      </c>
      <c r="C38" s="12"/>
      <c r="D38" s="13"/>
      <c r="E38" s="65" t="s">
        <v>47</v>
      </c>
      <c r="F38" s="66">
        <v>120350</v>
      </c>
      <c r="G38" s="67">
        <v>1</v>
      </c>
      <c r="H38" s="38">
        <f t="shared" si="4"/>
        <v>120350</v>
      </c>
    </row>
    <row r="39" spans="1:8" ht="15.75" thickBot="1" x14ac:dyDescent="0.3">
      <c r="A39" s="64">
        <v>24</v>
      </c>
      <c r="B39" s="61" t="s">
        <v>75</v>
      </c>
      <c r="C39" s="12"/>
      <c r="D39" s="13"/>
      <c r="E39" s="65" t="s">
        <v>47</v>
      </c>
      <c r="F39" s="66">
        <v>108000</v>
      </c>
      <c r="G39" s="67">
        <v>1</v>
      </c>
      <c r="H39" s="38">
        <f t="shared" si="4"/>
        <v>108000</v>
      </c>
    </row>
    <row r="40" spans="1:8" ht="15.75" thickBot="1" x14ac:dyDescent="0.3">
      <c r="A40" s="64">
        <v>25</v>
      </c>
      <c r="B40" s="61" t="s">
        <v>76</v>
      </c>
      <c r="C40" s="12"/>
      <c r="D40" s="13"/>
      <c r="E40" s="65" t="s">
        <v>47</v>
      </c>
      <c r="F40" s="66">
        <v>3450</v>
      </c>
      <c r="G40" s="67">
        <v>1</v>
      </c>
      <c r="H40" s="38">
        <f t="shared" si="4"/>
        <v>3450</v>
      </c>
    </row>
    <row r="41" spans="1:8" ht="15.75" thickBot="1" x14ac:dyDescent="0.3">
      <c r="A41" s="64">
        <v>26</v>
      </c>
      <c r="B41" s="61" t="s">
        <v>77</v>
      </c>
      <c r="C41" s="12"/>
      <c r="D41" s="13"/>
      <c r="E41" s="65" t="s">
        <v>47</v>
      </c>
      <c r="F41" s="66">
        <v>19500</v>
      </c>
      <c r="G41" s="67">
        <v>1</v>
      </c>
      <c r="H41" s="38">
        <f t="shared" si="4"/>
        <v>19500</v>
      </c>
    </row>
    <row r="42" spans="1:8" ht="15.75" thickBot="1" x14ac:dyDescent="0.3">
      <c r="A42" s="64">
        <v>27</v>
      </c>
      <c r="B42" s="61" t="s">
        <v>78</v>
      </c>
      <c r="C42" s="12"/>
      <c r="D42" s="13"/>
      <c r="E42" s="65" t="s">
        <v>47</v>
      </c>
      <c r="F42" s="66">
        <v>22900</v>
      </c>
      <c r="G42" s="67">
        <v>1</v>
      </c>
      <c r="H42" s="38">
        <f t="shared" si="4"/>
        <v>22900</v>
      </c>
    </row>
    <row r="43" spans="1:8" ht="15.75" thickBot="1" x14ac:dyDescent="0.3">
      <c r="A43" s="68">
        <v>28</v>
      </c>
      <c r="B43" s="69" t="s">
        <v>79</v>
      </c>
      <c r="C43" s="6"/>
      <c r="D43" s="7"/>
      <c r="E43" s="70" t="s">
        <v>47</v>
      </c>
      <c r="F43" s="71">
        <v>15700</v>
      </c>
      <c r="G43" s="72">
        <v>4</v>
      </c>
      <c r="H43" s="38">
        <f t="shared" ref="H43:H65" si="5">G43*F43</f>
        <v>62800</v>
      </c>
    </row>
    <row r="44" spans="1:8" ht="15.75" thickBot="1" x14ac:dyDescent="0.3">
      <c r="A44" s="64">
        <v>29</v>
      </c>
      <c r="B44" s="69" t="s">
        <v>80</v>
      </c>
      <c r="C44" s="12"/>
      <c r="D44" s="13"/>
      <c r="E44" s="65" t="s">
        <v>47</v>
      </c>
      <c r="F44" s="66">
        <v>59500</v>
      </c>
      <c r="G44" s="67">
        <v>5</v>
      </c>
      <c r="H44" s="38">
        <f t="shared" si="5"/>
        <v>297500</v>
      </c>
    </row>
    <row r="45" spans="1:8" ht="15.75" thickBot="1" x14ac:dyDescent="0.3">
      <c r="A45" s="64">
        <v>30</v>
      </c>
      <c r="B45" s="69" t="s">
        <v>81</v>
      </c>
      <c r="C45" s="12"/>
      <c r="D45" s="13"/>
      <c r="E45" s="65" t="s">
        <v>47</v>
      </c>
      <c r="F45" s="66">
        <v>127500</v>
      </c>
      <c r="G45" s="67">
        <v>1</v>
      </c>
      <c r="H45" s="38">
        <f t="shared" si="5"/>
        <v>127500</v>
      </c>
    </row>
    <row r="46" spans="1:8" ht="15.75" thickBot="1" x14ac:dyDescent="0.3">
      <c r="A46" s="64">
        <v>31</v>
      </c>
      <c r="B46" s="61" t="s">
        <v>82</v>
      </c>
      <c r="C46" s="12"/>
      <c r="D46" s="13"/>
      <c r="E46" s="65" t="s">
        <v>47</v>
      </c>
      <c r="F46" s="66">
        <v>219580</v>
      </c>
      <c r="G46" s="67">
        <v>2</v>
      </c>
      <c r="H46" s="38">
        <f t="shared" si="5"/>
        <v>439160</v>
      </c>
    </row>
    <row r="47" spans="1:8" ht="15.75" thickBot="1" x14ac:dyDescent="0.3">
      <c r="A47" s="64">
        <v>32</v>
      </c>
      <c r="B47" s="61" t="s">
        <v>83</v>
      </c>
      <c r="C47" s="12"/>
      <c r="D47" s="13"/>
      <c r="E47" s="65" t="s">
        <v>47</v>
      </c>
      <c r="F47" s="66">
        <v>17750</v>
      </c>
      <c r="G47" s="67">
        <v>1</v>
      </c>
      <c r="H47" s="38">
        <f t="shared" si="5"/>
        <v>17750</v>
      </c>
    </row>
    <row r="48" spans="1:8" ht="15.75" thickBot="1" x14ac:dyDescent="0.3">
      <c r="A48" s="64">
        <v>33</v>
      </c>
      <c r="B48" s="61" t="s">
        <v>84</v>
      </c>
      <c r="C48" s="12"/>
      <c r="D48" s="13"/>
      <c r="E48" s="65" t="s">
        <v>47</v>
      </c>
      <c r="F48" s="66">
        <v>43000</v>
      </c>
      <c r="G48" s="67">
        <v>2</v>
      </c>
      <c r="H48" s="38">
        <f t="shared" si="5"/>
        <v>86000</v>
      </c>
    </row>
    <row r="49" spans="1:8" ht="15.75" thickBot="1" x14ac:dyDescent="0.3">
      <c r="A49" s="64">
        <v>34</v>
      </c>
      <c r="B49" s="61" t="s">
        <v>85</v>
      </c>
      <c r="C49" s="12"/>
      <c r="D49" s="13"/>
      <c r="E49" s="65" t="s">
        <v>47</v>
      </c>
      <c r="F49" s="66">
        <v>4800</v>
      </c>
      <c r="G49" s="67">
        <v>41</v>
      </c>
      <c r="H49" s="38">
        <f t="shared" si="5"/>
        <v>196800</v>
      </c>
    </row>
    <row r="50" spans="1:8" ht="15.75" thickBot="1" x14ac:dyDescent="0.3">
      <c r="A50" s="68">
        <v>35</v>
      </c>
      <c r="B50" s="61" t="s">
        <v>86</v>
      </c>
      <c r="C50" s="6"/>
      <c r="D50" s="7"/>
      <c r="E50" s="70" t="s">
        <v>47</v>
      </c>
      <c r="F50" s="71">
        <v>6600</v>
      </c>
      <c r="G50" s="72">
        <v>2</v>
      </c>
      <c r="H50" s="38">
        <f t="shared" si="5"/>
        <v>13200</v>
      </c>
    </row>
    <row r="51" spans="1:8" ht="15.75" thickBot="1" x14ac:dyDescent="0.3">
      <c r="A51" s="64">
        <v>36</v>
      </c>
      <c r="B51" s="61" t="s">
        <v>87</v>
      </c>
      <c r="C51" s="12"/>
      <c r="D51" s="13"/>
      <c r="E51" s="65" t="s">
        <v>47</v>
      </c>
      <c r="F51" s="66">
        <v>7400</v>
      </c>
      <c r="G51" s="67">
        <v>1</v>
      </c>
      <c r="H51" s="38">
        <f t="shared" si="5"/>
        <v>7400</v>
      </c>
    </row>
    <row r="52" spans="1:8" ht="15.75" thickBot="1" x14ac:dyDescent="0.3">
      <c r="A52" s="64">
        <v>37</v>
      </c>
      <c r="B52" s="61" t="s">
        <v>88</v>
      </c>
      <c r="C52" s="12"/>
      <c r="D52" s="13"/>
      <c r="E52" s="65" t="s">
        <v>47</v>
      </c>
      <c r="F52" s="66">
        <v>11600</v>
      </c>
      <c r="G52" s="67">
        <v>24</v>
      </c>
      <c r="H52" s="38">
        <f t="shared" si="5"/>
        <v>278400</v>
      </c>
    </row>
    <row r="53" spans="1:8" ht="15.75" thickBot="1" x14ac:dyDescent="0.3">
      <c r="A53" s="64">
        <v>38</v>
      </c>
      <c r="B53" s="61" t="s">
        <v>89</v>
      </c>
      <c r="C53" s="12"/>
      <c r="D53" s="13"/>
      <c r="E53" s="65" t="s">
        <v>47</v>
      </c>
      <c r="F53" s="66">
        <v>15000</v>
      </c>
      <c r="G53" s="67">
        <v>3</v>
      </c>
      <c r="H53" s="38">
        <f t="shared" si="5"/>
        <v>45000</v>
      </c>
    </row>
    <row r="54" spans="1:8" ht="15.75" thickBot="1" x14ac:dyDescent="0.3">
      <c r="A54" s="64">
        <v>39</v>
      </c>
      <c r="B54" s="61" t="s">
        <v>90</v>
      </c>
      <c r="C54" s="12"/>
      <c r="D54" s="13"/>
      <c r="E54" s="65" t="s">
        <v>47</v>
      </c>
      <c r="F54" s="66">
        <v>5915</v>
      </c>
      <c r="G54" s="67">
        <v>7</v>
      </c>
      <c r="H54" s="38">
        <f t="shared" si="5"/>
        <v>41405</v>
      </c>
    </row>
    <row r="55" spans="1:8" ht="15.75" thickBot="1" x14ac:dyDescent="0.3">
      <c r="A55" s="64">
        <v>40</v>
      </c>
      <c r="B55" s="61" t="s">
        <v>91</v>
      </c>
      <c r="C55" s="12"/>
      <c r="D55" s="13"/>
      <c r="E55" s="65" t="s">
        <v>47</v>
      </c>
      <c r="F55" s="66">
        <v>19500</v>
      </c>
      <c r="G55" s="67">
        <v>2</v>
      </c>
      <c r="H55" s="38">
        <f t="shared" si="5"/>
        <v>39000</v>
      </c>
    </row>
    <row r="56" spans="1:8" ht="15.75" thickBot="1" x14ac:dyDescent="0.3">
      <c r="A56" s="64">
        <v>41</v>
      </c>
      <c r="B56" s="61" t="s">
        <v>92</v>
      </c>
      <c r="C56" s="12"/>
      <c r="D56" s="13"/>
      <c r="E56" s="65" t="s">
        <v>47</v>
      </c>
      <c r="F56" s="66">
        <v>10300</v>
      </c>
      <c r="G56" s="67">
        <v>2</v>
      </c>
      <c r="H56" s="38">
        <f t="shared" si="5"/>
        <v>20600</v>
      </c>
    </row>
    <row r="57" spans="1:8" ht="15.75" thickBot="1" x14ac:dyDescent="0.3">
      <c r="A57" s="68">
        <v>42</v>
      </c>
      <c r="B57" s="69" t="s">
        <v>93</v>
      </c>
      <c r="C57" s="6"/>
      <c r="D57" s="7"/>
      <c r="E57" s="70" t="s">
        <v>47</v>
      </c>
      <c r="F57" s="71">
        <v>27000</v>
      </c>
      <c r="G57" s="72">
        <v>9</v>
      </c>
      <c r="H57" s="38">
        <f t="shared" si="5"/>
        <v>243000</v>
      </c>
    </row>
    <row r="58" spans="1:8" ht="15.75" thickBot="1" x14ac:dyDescent="0.3">
      <c r="A58" s="64">
        <v>43</v>
      </c>
      <c r="B58" s="69" t="s">
        <v>94</v>
      </c>
      <c r="C58" s="12"/>
      <c r="D58" s="13"/>
      <c r="E58" s="65" t="s">
        <v>47</v>
      </c>
      <c r="F58" s="66">
        <v>36400</v>
      </c>
      <c r="G58" s="67">
        <v>4</v>
      </c>
      <c r="H58" s="38">
        <f t="shared" si="5"/>
        <v>145600</v>
      </c>
    </row>
    <row r="59" spans="1:8" ht="15.75" thickBot="1" x14ac:dyDescent="0.3">
      <c r="A59" s="64">
        <v>44</v>
      </c>
      <c r="B59" s="69" t="s">
        <v>95</v>
      </c>
      <c r="C59" s="12"/>
      <c r="D59" s="13"/>
      <c r="E59" s="65" t="s">
        <v>47</v>
      </c>
      <c r="F59" s="66">
        <v>110000</v>
      </c>
      <c r="G59" s="67">
        <v>4</v>
      </c>
      <c r="H59" s="38">
        <f t="shared" si="5"/>
        <v>440000</v>
      </c>
    </row>
    <row r="60" spans="1:8" ht="15.75" thickBot="1" x14ac:dyDescent="0.3">
      <c r="A60" s="64">
        <v>45</v>
      </c>
      <c r="B60" s="61" t="s">
        <v>96</v>
      </c>
      <c r="C60" s="12"/>
      <c r="D60" s="13"/>
      <c r="E60" s="65" t="s">
        <v>47</v>
      </c>
      <c r="F60" s="66">
        <v>3000</v>
      </c>
      <c r="G60" s="67">
        <v>28</v>
      </c>
      <c r="H60" s="38">
        <f t="shared" si="5"/>
        <v>84000</v>
      </c>
    </row>
    <row r="61" spans="1:8" ht="15.75" thickBot="1" x14ac:dyDescent="0.3">
      <c r="A61" s="64">
        <v>46</v>
      </c>
      <c r="B61" s="61" t="s">
        <v>97</v>
      </c>
      <c r="C61" s="12"/>
      <c r="D61" s="13"/>
      <c r="E61" s="65" t="s">
        <v>47</v>
      </c>
      <c r="F61" s="66">
        <v>3000</v>
      </c>
      <c r="G61" s="67">
        <v>16</v>
      </c>
      <c r="H61" s="38">
        <f t="shared" si="5"/>
        <v>48000</v>
      </c>
    </row>
    <row r="62" spans="1:8" ht="15.75" thickBot="1" x14ac:dyDescent="0.3">
      <c r="A62" s="64">
        <v>47</v>
      </c>
      <c r="B62" s="61" t="s">
        <v>98</v>
      </c>
      <c r="C62" s="12"/>
      <c r="D62" s="13"/>
      <c r="E62" s="65" t="s">
        <v>47</v>
      </c>
      <c r="F62" s="66">
        <v>3500</v>
      </c>
      <c r="G62" s="67">
        <v>16</v>
      </c>
      <c r="H62" s="38">
        <f t="shared" si="5"/>
        <v>56000</v>
      </c>
    </row>
    <row r="63" spans="1:8" ht="15.75" thickBot="1" x14ac:dyDescent="0.3">
      <c r="A63" s="64">
        <v>48</v>
      </c>
      <c r="B63" s="61" t="s">
        <v>99</v>
      </c>
      <c r="C63" s="12"/>
      <c r="D63" s="13"/>
      <c r="E63" s="65" t="s">
        <v>47</v>
      </c>
      <c r="F63" s="66">
        <v>3500</v>
      </c>
      <c r="G63" s="67">
        <v>104</v>
      </c>
      <c r="H63" s="38">
        <f t="shared" si="5"/>
        <v>364000</v>
      </c>
    </row>
    <row r="64" spans="1:8" ht="15.75" thickBot="1" x14ac:dyDescent="0.3">
      <c r="A64" s="68">
        <v>49</v>
      </c>
      <c r="B64" s="61" t="s">
        <v>100</v>
      </c>
      <c r="C64" s="6"/>
      <c r="D64" s="7"/>
      <c r="E64" s="70" t="s">
        <v>47</v>
      </c>
      <c r="F64" s="71">
        <v>3000</v>
      </c>
      <c r="G64" s="72">
        <v>152</v>
      </c>
      <c r="H64" s="38">
        <f t="shared" si="5"/>
        <v>456000</v>
      </c>
    </row>
    <row r="65" spans="1:8" ht="15.75" thickBot="1" x14ac:dyDescent="0.3">
      <c r="A65" s="68">
        <v>50</v>
      </c>
      <c r="B65" s="69" t="s">
        <v>101</v>
      </c>
      <c r="C65" s="6"/>
      <c r="D65" s="7"/>
      <c r="E65" s="70" t="s">
        <v>47</v>
      </c>
      <c r="F65" s="66">
        <v>3000</v>
      </c>
      <c r="G65" s="67">
        <v>24</v>
      </c>
      <c r="H65" s="38">
        <f t="shared" si="5"/>
        <v>72000</v>
      </c>
    </row>
    <row r="66" spans="1:8" ht="15.75" thickBot="1" x14ac:dyDescent="0.3">
      <c r="B66" s="16"/>
      <c r="C66" s="4"/>
      <c r="D66" s="17"/>
      <c r="F66" s="73"/>
      <c r="G66" s="73"/>
    </row>
    <row r="67" spans="1:8" ht="19.5" customHeight="1" thickBot="1" x14ac:dyDescent="0.35">
      <c r="A67" s="62" t="s">
        <v>23</v>
      </c>
      <c r="B67" s="61" t="s">
        <v>103</v>
      </c>
      <c r="C67" s="12"/>
      <c r="D67" s="13"/>
      <c r="E67" s="69"/>
      <c r="F67" s="37" t="s">
        <v>29</v>
      </c>
      <c r="G67" s="6"/>
      <c r="H67" s="7"/>
    </row>
    <row r="68" spans="1:8" ht="19.5" customHeight="1" thickBot="1" x14ac:dyDescent="0.3">
      <c r="A68" s="39"/>
      <c r="B68" s="16" t="s">
        <v>102</v>
      </c>
      <c r="C68" s="4"/>
      <c r="D68" s="17"/>
      <c r="E68" s="52" t="s">
        <v>24</v>
      </c>
      <c r="F68" s="52"/>
      <c r="G68" s="45"/>
      <c r="H68" s="50">
        <f>SUM(H16:H65)</f>
        <v>26557115</v>
      </c>
    </row>
    <row r="69" spans="1:8" ht="19.5" customHeight="1" x14ac:dyDescent="0.25">
      <c r="A69" s="24" t="s">
        <v>25</v>
      </c>
      <c r="E69" s="53" t="s">
        <v>30</v>
      </c>
      <c r="F69" s="23"/>
      <c r="G69" s="54">
        <v>0.19</v>
      </c>
      <c r="H69" s="40">
        <f>H68*G69</f>
        <v>5045851.8499999996</v>
      </c>
    </row>
    <row r="70" spans="1:8" ht="19.5" customHeight="1" x14ac:dyDescent="0.25">
      <c r="A70" s="14" t="s">
        <v>48</v>
      </c>
      <c r="E70" s="55" t="s">
        <v>26</v>
      </c>
      <c r="G70" s="58">
        <v>2.5000000000000001E-2</v>
      </c>
      <c r="H70" s="51">
        <f>H68*G70</f>
        <v>663927.875</v>
      </c>
    </row>
    <row r="71" spans="1:8" ht="15.75" x14ac:dyDescent="0.25">
      <c r="A71" s="14" t="s">
        <v>46</v>
      </c>
      <c r="E71" s="14"/>
      <c r="F71" s="33"/>
      <c r="G71" s="46"/>
      <c r="H71" s="15"/>
    </row>
    <row r="72" spans="1:8" ht="16.5" thickBot="1" x14ac:dyDescent="0.3">
      <c r="A72" s="14" t="s">
        <v>33</v>
      </c>
      <c r="E72" s="56" t="s">
        <v>27</v>
      </c>
      <c r="F72" s="57"/>
      <c r="G72" s="47"/>
      <c r="H72" s="17"/>
    </row>
    <row r="73" spans="1:8" ht="19.5" thickBot="1" x14ac:dyDescent="0.35">
      <c r="A73" s="60"/>
      <c r="B73" s="4"/>
      <c r="C73" s="4"/>
      <c r="D73" s="17"/>
      <c r="F73" s="3"/>
      <c r="G73" s="34" t="s">
        <v>28</v>
      </c>
      <c r="H73" s="36">
        <f>H68+H69-H70</f>
        <v>30939038.975000001</v>
      </c>
    </row>
    <row r="74" spans="1:8" ht="16.5" customHeight="1" x14ac:dyDescent="0.25"/>
    <row r="79" spans="1:8" ht="15.75" thickBot="1" x14ac:dyDescent="0.3"/>
    <row r="80" spans="1:8" ht="19.5" thickBot="1" x14ac:dyDescent="0.35">
      <c r="A80" s="25" t="s">
        <v>34</v>
      </c>
      <c r="B80" s="6"/>
      <c r="C80" s="6"/>
      <c r="D80" s="6"/>
      <c r="E80" s="6"/>
      <c r="F80" s="6"/>
      <c r="G80" s="6"/>
      <c r="H80" s="7"/>
    </row>
    <row r="88" spans="1:1" ht="18.75" x14ac:dyDescent="0.3">
      <c r="A88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2024-10-01T14:17:55Z</cp:lastPrinted>
  <dcterms:created xsi:type="dcterms:W3CDTF">2018-11-15T17:29:02Z</dcterms:created>
  <dcterms:modified xsi:type="dcterms:W3CDTF">2024-10-15T19:48:03Z</dcterms:modified>
</cp:coreProperties>
</file>