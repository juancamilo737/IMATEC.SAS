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B19A4CF-5C04-45A6-ADCC-9CDD3E32A379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2" l="1"/>
  <c r="H20" i="2"/>
  <c r="H19" i="2"/>
  <c r="H18" i="2"/>
  <c r="H17" i="2"/>
  <c r="H16" i="2"/>
  <c r="H25" i="2" l="1"/>
  <c r="H24" i="2"/>
  <c r="H28" i="2" s="1"/>
</calcChain>
</file>

<file path=xl/sharedStrings.xml><?xml version="1.0" encoding="utf-8"?>
<sst xmlns="http://schemas.openxmlformats.org/spreadsheetml/2006/main" count="64" uniqueCount="62">
  <si>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</si>
  <si>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</si>
  <si>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</si>
  <si>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</si>
  <si>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</si>
  <si>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</si>
  <si>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</si>
  <si>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</si>
  <si>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</si>
  <si>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</si>
  <si>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</si>
  <si>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</si>
  <si>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</si>
  <si>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</si>
  <si>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</si>
  <si>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</si>
  <si>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</si>
  <si>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</si>
  <si>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</si>
  <si>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</si>
  <si>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</si>
  <si>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</si>
  <si>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</si>
  <si>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</si>
  <si>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</si>
  <si>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</si>
  <si>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</si>
  <si>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</si>
  <si>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</si>
  <si>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</si>
  <si>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</si>
  <si>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</si>
  <si>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</si>
  <si>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</si>
  <si>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</si>
  <si>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</si>
  <si>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</si>
  <si>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</si>
  <si>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</si>
  <si>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</si>
  <si>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</si>
  <si>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</si>
  <si>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</si>
  <si>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</si>
  <si>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</si>
  <si>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>ENTREGA EN UN DIA  A PARTIR DE ORDEN DE COMPRA</t>
  </si>
  <si>
    <t xml:space="preserve">O de C  No. </t>
  </si>
  <si>
    <t>CTO. DE COSTOS</t>
  </si>
  <si>
    <t xml:space="preserve">           C O T I Z A C I O N</t>
  </si>
  <si>
    <t>10 DIAS</t>
  </si>
  <si>
    <t>TUBO</t>
  </si>
  <si>
    <t>FABRICACION</t>
  </si>
  <si>
    <t>No.  52</t>
  </si>
  <si>
    <t>NIPLE AC/INOX 304  2 "  X  8  CMTS</t>
  </si>
  <si>
    <t>NIPLE AC/INOX 304  1 "  X  5  CMTS</t>
  </si>
  <si>
    <t>TUBERIA  AC/INOX 304  SCH 10  2 "  X  6 MTS</t>
  </si>
  <si>
    <t>TUBERIA  AC/INOX 304  SCH 10  1 "  X  6 MTS</t>
  </si>
  <si>
    <t xml:space="preserve">ANGULO HR  2 "  X  1/8 "  X 6 MTS </t>
  </si>
  <si>
    <t>PIEZA</t>
  </si>
  <si>
    <t>SIETE MILLONES CUATROCIENTOS NOVENTA Y SEIS MIL</t>
  </si>
  <si>
    <t>CUATROCIENTOS OCHENTA Y CUATRO PESOS MDA / CTE</t>
  </si>
  <si>
    <t>LA ENTREGA DE LOS NIPLES SE HARA EN LOTES.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</si>
</sst>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1" fillId="0" borderId="0" xfId="0" applyFont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3"/>
  <sheetViews>
    <sheetView tabSelected="1" zoomScaleNormal="100" workbookViewId="0">
      <selection activeCell="E31" sqref="E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44" t="s">
        <v>35</v>
      </c>
      <c r="D7" s="6"/>
      <c r="E7" s="6"/>
      <c r="F7" s="37"/>
      <c r="G7" s="18"/>
      <c r="H7" s="63" t="s">
        <v>52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9" t="s">
        <v>38</v>
      </c>
      <c r="F9" s="30" t="s">
        <v>0</v>
      </c>
      <c r="H9" s="28">
        <v>45792</v>
      </c>
    </row>
    <row r="10" spans="1:8" ht="18.75" x14ac:dyDescent="0.3">
      <c r="A10" s="21" t="s">
        <v>13</v>
      </c>
      <c r="C10" s="48" t="s">
        <v>39</v>
      </c>
      <c r="E10" s="15"/>
      <c r="F10" s="30" t="s">
        <v>15</v>
      </c>
      <c r="H10" s="29" t="s">
        <v>49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45801</v>
      </c>
    </row>
    <row r="12" spans="1:8" ht="18.75" x14ac:dyDescent="0.3">
      <c r="A12" s="21" t="s">
        <v>11</v>
      </c>
      <c r="C12" s="14" t="s">
        <v>40</v>
      </c>
      <c r="E12" s="15"/>
      <c r="F12" s="30" t="s">
        <v>46</v>
      </c>
      <c r="G12" s="73"/>
      <c r="H12" s="31"/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47</v>
      </c>
      <c r="G13" s="4"/>
      <c r="H13" s="72"/>
    </row>
    <row r="14" spans="1:8" ht="15.75" thickBot="1" x14ac:dyDescent="0.3"/>
    <row r="15" spans="1:8" ht="15.75" thickBot="1" x14ac:dyDescent="0.3">
      <c r="A15" s="49" t="s">
        <v>32</v>
      </c>
      <c r="B15" s="24" t="s">
        <v>21</v>
      </c>
      <c r="C15" s="42"/>
      <c r="D15" s="13"/>
      <c r="E15" s="49" t="s">
        <v>17</v>
      </c>
      <c r="F15" s="49" t="s">
        <v>19</v>
      </c>
      <c r="G15" s="49" t="s">
        <v>18</v>
      </c>
      <c r="H15" s="32" t="s">
        <v>20</v>
      </c>
    </row>
    <row r="16" spans="1:8" ht="15.75" thickBot="1" x14ac:dyDescent="0.3">
      <c r="A16" s="68">
        <v>1</v>
      </c>
      <c r="B16" s="69" t="s">
        <v>53</v>
      </c>
      <c r="C16" s="70"/>
      <c r="D16" s="45"/>
      <c r="E16" s="71" t="s">
        <v>51</v>
      </c>
      <c r="F16" s="66">
        <v>18500</v>
      </c>
      <c r="G16" s="67">
        <v>150</v>
      </c>
      <c r="H16" s="38">
        <f>F16*G16</f>
        <v>2775000</v>
      </c>
    </row>
    <row r="17" spans="1:8" ht="15.75" thickBot="1" x14ac:dyDescent="0.3">
      <c r="A17" s="68">
        <v>2</v>
      </c>
      <c r="B17" s="69" t="s">
        <v>54</v>
      </c>
      <c r="C17" s="70"/>
      <c r="D17" s="45"/>
      <c r="E17" s="71" t="s">
        <v>51</v>
      </c>
      <c r="F17" s="66">
        <v>6700</v>
      </c>
      <c r="G17" s="67">
        <v>10</v>
      </c>
      <c r="H17" s="38">
        <f t="shared" ref="H17:H18" si="0">F17*G17</f>
        <v>67000</v>
      </c>
    </row>
    <row r="18" spans="1:8" ht="15.75" thickBot="1" x14ac:dyDescent="0.3">
      <c r="A18" s="68">
        <v>3</v>
      </c>
      <c r="B18" s="69" t="s">
        <v>55</v>
      </c>
      <c r="C18" s="70"/>
      <c r="D18" s="45"/>
      <c r="E18" s="71" t="s">
        <v>50</v>
      </c>
      <c r="F18" s="66">
        <v>421200</v>
      </c>
      <c r="G18" s="67">
        <v>5</v>
      </c>
      <c r="H18" s="38">
        <f t="shared" si="0"/>
        <v>2106000</v>
      </c>
    </row>
    <row r="19" spans="1:8" ht="15.75" thickBot="1" x14ac:dyDescent="0.3">
      <c r="A19" s="68">
        <v>4</v>
      </c>
      <c r="B19" s="69" t="s">
        <v>56</v>
      </c>
      <c r="C19" s="70"/>
      <c r="D19" s="45"/>
      <c r="E19" s="71" t="s">
        <v>50</v>
      </c>
      <c r="F19" s="66">
        <v>224900</v>
      </c>
      <c r="G19" s="67">
        <v>5</v>
      </c>
      <c r="H19" s="38">
        <f t="shared" ref="H19:H20" si="1">F19*G19</f>
        <v>1124500</v>
      </c>
    </row>
    <row r="20" spans="1:8" ht="15.75" thickBot="1" x14ac:dyDescent="0.3">
      <c r="A20" s="68">
        <v>5</v>
      </c>
      <c r="B20" s="69" t="s">
        <v>57</v>
      </c>
      <c r="C20" s="70"/>
      <c r="D20" s="45"/>
      <c r="E20" s="71" t="s">
        <v>58</v>
      </c>
      <c r="F20" s="66">
        <v>72450</v>
      </c>
      <c r="G20" s="67">
        <v>5</v>
      </c>
      <c r="H20" s="38">
        <f t="shared" si="1"/>
        <v>362250</v>
      </c>
    </row>
    <row r="21" spans="1:8" ht="15.75" thickBot="1" x14ac:dyDescent="0.3">
      <c r="B21" s="16"/>
      <c r="C21" s="4"/>
      <c r="D21" s="17"/>
      <c r="F21" s="65"/>
      <c r="G21" s="65"/>
    </row>
    <row r="22" spans="1:8" ht="19.5" customHeight="1" thickBot="1" x14ac:dyDescent="0.35">
      <c r="A22" s="62" t="s">
        <v>22</v>
      </c>
      <c r="B22" s="61" t="s">
        <v>59</v>
      </c>
      <c r="C22" s="12"/>
      <c r="D22" s="13"/>
      <c r="E22" s="64"/>
      <c r="F22" s="37" t="s">
        <v>43</v>
      </c>
      <c r="G22" s="6"/>
      <c r="H22" s="7"/>
    </row>
    <row r="23" spans="1:8" ht="19.5" customHeight="1" thickBot="1" x14ac:dyDescent="0.3">
      <c r="A23" s="39"/>
      <c r="B23" s="16" t="s">
        <v>60</v>
      </c>
      <c r="C23" s="4"/>
      <c r="D23" s="17"/>
      <c r="E23" s="52" t="s">
        <v>23</v>
      </c>
      <c r="F23" s="52"/>
      <c r="G23" s="45"/>
      <c r="H23" s="50">
        <f>SUM(H16:H20)</f>
        <v>6434750</v>
      </c>
    </row>
    <row r="24" spans="1:8" ht="19.5" customHeight="1" x14ac:dyDescent="0.25">
      <c r="A24" s="24" t="s">
        <v>24</v>
      </c>
      <c r="E24" s="53" t="s">
        <v>28</v>
      </c>
      <c r="F24" s="23"/>
      <c r="G24" s="54">
        <v>0.19</v>
      </c>
      <c r="H24" s="40">
        <f>H23*G24</f>
        <v>1222602.5</v>
      </c>
    </row>
    <row r="25" spans="1:8" ht="19.5" customHeight="1" x14ac:dyDescent="0.25">
      <c r="A25" s="14" t="s">
        <v>42</v>
      </c>
      <c r="E25" s="55" t="s">
        <v>25</v>
      </c>
      <c r="G25" s="58">
        <v>2.5000000000000001E-2</v>
      </c>
      <c r="H25" s="51">
        <f>H23*G25</f>
        <v>160868.75</v>
      </c>
    </row>
    <row r="26" spans="1:8" ht="15.75" x14ac:dyDescent="0.25">
      <c r="A26" s="14" t="s">
        <v>45</v>
      </c>
      <c r="E26" s="14"/>
      <c r="F26" s="33"/>
      <c r="G26" s="46"/>
      <c r="H26" s="15"/>
    </row>
    <row r="27" spans="1:8" ht="16.5" thickBot="1" x14ac:dyDescent="0.3">
      <c r="A27" s="14" t="s">
        <v>30</v>
      </c>
      <c r="E27" s="56" t="s">
        <v>26</v>
      </c>
      <c r="F27" s="57"/>
      <c r="G27" s="47"/>
      <c r="H27" s="17"/>
    </row>
    <row r="28" spans="1:8" ht="19.5" thickBot="1" x14ac:dyDescent="0.35">
      <c r="A28" s="60" t="s">
        <v>61</v>
      </c>
      <c r="B28" s="4"/>
      <c r="C28" s="4"/>
      <c r="D28" s="17"/>
      <c r="F28" s="3"/>
      <c r="G28" s="34" t="s">
        <v>27</v>
      </c>
      <c r="H28" s="36">
        <f>H23+H24-H25</f>
        <v>7496483.75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44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2025-05-15T15:52:28Z</dcterms:modified>
</cp:coreProperties>
</file>