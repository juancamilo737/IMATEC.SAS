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F6FE0C95-ACE5-412A-977D-C691E38ED122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OFORM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24" i="1"/>
  <c r="H22" i="1"/>
  <c r="H20" i="1"/>
  <c r="H18" i="1"/>
  <c r="H16" i="1"/>
  <c r="H40" i="1" l="1"/>
  <c r="H44" i="1" s="1"/>
</calcChain>
</file>

<file path=xl/sharedStrings.xml><?xml version="1.0" encoding="utf-8"?>
<sst xmlns="http://schemas.openxmlformats.org/spreadsheetml/2006/main" count="62" uniqueCount="58">
  <si>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</si>
  <si>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</si>
  <si>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</si>
  <si>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</si>
  <si>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</si>
  <si>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</si>
  <si>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</si>
  <si>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</si>
  <si>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</si>
  <si>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</si>
  <si>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</si>
  <si>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</si>
  <si>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</si>
  <si>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</si>
  <si>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</si>
  <si>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</si>
  <si>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</si>
  <si>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</si>
  <si>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</si>
  <si>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</si>
  <si>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</si>
  <si>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</si>
  <si>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</si>
  <si>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</si>
  <si>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</si>
  <si>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</si>
  <si>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</si>
  <si>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</si>
  <si>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</si>
  <si>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</si>
  <si>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</si>
  <si>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</si>
  <si>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</si>
  <si>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</si>
  <si>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</si>
  <si>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</si>
  <si>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</si>
  <si>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</si>
  <si>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</si>
  <si>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</si>
  <si>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</si>
  <si>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602 3989041</t>
  </si>
  <si>
    <t>EDINSON CABEZAS</t>
  </si>
  <si>
    <t xml:space="preserve">  CALLE  33B  No. 17C - 70  2º  PISO               B/  LA FLORESTA             -   CALI    -                                  CEL.     321 7834969</t>
  </si>
  <si>
    <t xml:space="preserve">DOFORMAS S.A.S. </t>
  </si>
  <si>
    <t>800 195637</t>
  </si>
  <si>
    <t xml:space="preserve">KMT 2 VIA CAVASA  </t>
  </si>
  <si>
    <t>CANDELARIA</t>
  </si>
  <si>
    <t>gerencia@doformas.com</t>
  </si>
  <si>
    <t>NIPLE  AC/INOX 304  1/2 "  X  15  CMTS</t>
  </si>
  <si>
    <t>NIPLE  AC/INOX 304  1/2 "  X  2,5  CMTS</t>
  </si>
  <si>
    <t>CODO AC/INOX 304  1/2 "  X  90º ROSCADO</t>
  </si>
  <si>
    <t>VALVULA DE BOLA AC/INOX  1/2 "  X  1000LB ROSC</t>
  </si>
  <si>
    <t>NIPLE  AC/INOX 304  1/2 "  X  10  CMTS</t>
  </si>
  <si>
    <t xml:space="preserve">CIENTO CUARENTA Y NUEVE MIL NOVECIENTOS </t>
  </si>
  <si>
    <t>OCHENTA Y OCHO PESOS MDA / CTE</t>
  </si>
  <si>
    <t>FORMA DE PAGO : CONTADO</t>
  </si>
  <si>
    <t>ENTREGA INMEDIATA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</si>
</sst>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10" fontId="1" fillId="0" borderId="0" xfId="0" applyNumberFormat="1" applyFont="1"/>
    <xf numFmtId="0" fontId="0" fillId="0" borderId="26" xfId="0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1" fillId="0" borderId="25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doform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8"/>
  <sheetViews>
    <sheetView tabSelected="1" topLeftCell="A21" zoomScaleNormal="100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44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45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46</v>
      </c>
      <c r="D9" s="25"/>
      <c r="E9" s="26" t="s">
        <v>47</v>
      </c>
      <c r="F9" s="33" t="s">
        <v>0</v>
      </c>
      <c r="H9" s="34">
        <v>45497</v>
      </c>
    </row>
    <row r="10" spans="1:8" ht="18.75" x14ac:dyDescent="0.3">
      <c r="A10" s="22" t="s">
        <v>14</v>
      </c>
      <c r="C10" s="57" t="s">
        <v>48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45505</v>
      </c>
    </row>
    <row r="12" spans="1:8" ht="18.75" x14ac:dyDescent="0.3">
      <c r="A12" s="22" t="s">
        <v>12</v>
      </c>
      <c r="C12" s="26" t="s">
        <v>41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42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53</v>
      </c>
      <c r="C16" s="42"/>
      <c r="D16" s="63"/>
      <c r="E16" s="62" t="s">
        <v>39</v>
      </c>
      <c r="F16" s="66">
        <v>7600</v>
      </c>
      <c r="G16" s="62">
        <v>4</v>
      </c>
      <c r="H16" s="64">
        <f>G16*F16</f>
        <v>30400</v>
      </c>
    </row>
    <row r="17" spans="1:10" ht="15.75" thickBot="1" x14ac:dyDescent="0.3">
      <c r="A17" s="40"/>
      <c r="E17" s="46"/>
      <c r="F17" s="39"/>
      <c r="G17" s="62"/>
      <c r="H17" s="55"/>
      <c r="I17" s="39"/>
      <c r="J17" s="39"/>
    </row>
    <row r="18" spans="1:10" ht="15.75" x14ac:dyDescent="0.25">
      <c r="A18" s="62">
        <v>2</v>
      </c>
      <c r="B18" s="41" t="s">
        <v>49</v>
      </c>
      <c r="C18" s="42"/>
      <c r="D18" s="42"/>
      <c r="E18" s="71" t="s">
        <v>39</v>
      </c>
      <c r="F18" s="65">
        <v>10800</v>
      </c>
      <c r="G18" s="62">
        <v>2</v>
      </c>
      <c r="H18" s="64">
        <f>G18*F18</f>
        <v>21600</v>
      </c>
      <c r="I18" s="39"/>
      <c r="J18" s="39"/>
    </row>
    <row r="19" spans="1:10" ht="15" customHeight="1" thickBot="1" x14ac:dyDescent="0.3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>
        <v>3</v>
      </c>
      <c r="B20" s="41" t="s">
        <v>50</v>
      </c>
      <c r="C20" s="42"/>
      <c r="D20" s="40"/>
      <c r="E20" s="62" t="s">
        <v>39</v>
      </c>
      <c r="F20" s="66">
        <v>5500</v>
      </c>
      <c r="G20" s="62">
        <v>2</v>
      </c>
      <c r="H20" s="64">
        <f>G20*F20</f>
        <v>11000</v>
      </c>
    </row>
    <row r="21" spans="1:10" ht="15.75" thickBot="1" x14ac:dyDescent="0.3">
      <c r="A21" s="40"/>
      <c r="E21" s="46"/>
      <c r="F21" s="39"/>
      <c r="G21" s="62"/>
      <c r="H21" s="55"/>
      <c r="I21" s="39"/>
      <c r="J21" s="39"/>
    </row>
    <row r="22" spans="1:10" ht="15.75" x14ac:dyDescent="0.25">
      <c r="A22" s="62">
        <v>4</v>
      </c>
      <c r="B22" s="41" t="s">
        <v>51</v>
      </c>
      <c r="C22" s="42"/>
      <c r="D22" s="42"/>
      <c r="E22" s="71" t="s">
        <v>39</v>
      </c>
      <c r="F22" s="65">
        <v>4960</v>
      </c>
      <c r="G22" s="62">
        <v>4</v>
      </c>
      <c r="H22" s="64">
        <f>G22*F22</f>
        <v>19840</v>
      </c>
      <c r="I22" s="39"/>
      <c r="J22" s="39"/>
    </row>
    <row r="23" spans="1:10" ht="16.5" thickBot="1" x14ac:dyDescent="0.3">
      <c r="B23" s="41"/>
      <c r="C23" s="42"/>
      <c r="D23" s="42"/>
      <c r="E23" s="46"/>
      <c r="F23" s="65"/>
      <c r="G23" s="62"/>
      <c r="H23" s="69"/>
      <c r="I23" s="39"/>
      <c r="J23" s="39"/>
    </row>
    <row r="24" spans="1:10" ht="15.75" x14ac:dyDescent="0.25">
      <c r="A24" s="62">
        <v>5</v>
      </c>
      <c r="B24" s="41" t="s">
        <v>52</v>
      </c>
      <c r="C24" s="42"/>
      <c r="D24" s="42"/>
      <c r="E24" s="71" t="s">
        <v>39</v>
      </c>
      <c r="F24" s="65">
        <v>21600</v>
      </c>
      <c r="G24" s="62">
        <v>2</v>
      </c>
      <c r="H24" s="64">
        <f>G24*F24</f>
        <v>43200</v>
      </c>
      <c r="I24" s="39"/>
      <c r="J24" s="39"/>
    </row>
    <row r="25" spans="1:10" ht="19.5" customHeight="1" thickBot="1" x14ac:dyDescent="0.3">
      <c r="B25" s="41"/>
      <c r="C25" s="42"/>
      <c r="D25" s="42"/>
      <c r="E25" s="46"/>
      <c r="F25" s="65"/>
      <c r="G25" s="62"/>
      <c r="H25" s="76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5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  <c r="I30" s="39"/>
      <c r="J30" s="39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C32" s="42"/>
      <c r="D32" s="42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1"/>
      <c r="E35" s="46"/>
      <c r="F35" s="67"/>
      <c r="H35" s="40"/>
    </row>
    <row r="36" spans="1:8" ht="19.5" customHeight="1" x14ac:dyDescent="0.25">
      <c r="B36" s="43"/>
      <c r="C36" s="44"/>
      <c r="D36" s="44"/>
      <c r="E36" s="24"/>
      <c r="F36" s="68"/>
      <c r="G36" s="44"/>
      <c r="H36" s="45"/>
    </row>
    <row r="37" spans="1:8" ht="19.5" customHeight="1" thickBot="1" x14ac:dyDescent="0.3">
      <c r="H37" s="69"/>
    </row>
    <row r="38" spans="1:8" ht="19.5" customHeight="1" thickBot="1" x14ac:dyDescent="0.35">
      <c r="A38" s="74" t="s">
        <v>26</v>
      </c>
      <c r="B38" s="12" t="s">
        <v>54</v>
      </c>
      <c r="C38" s="13"/>
      <c r="D38" s="14"/>
      <c r="E38" s="13"/>
      <c r="F38" s="47" t="s">
        <v>32</v>
      </c>
      <c r="G38" s="13"/>
      <c r="H38" s="7"/>
    </row>
    <row r="39" spans="1:8" ht="19.5" customHeight="1" thickBot="1" x14ac:dyDescent="0.3">
      <c r="A39" s="75"/>
      <c r="B39" s="17" t="s">
        <v>55</v>
      </c>
      <c r="C39" s="4"/>
      <c r="D39" s="4"/>
      <c r="E39" s="48" t="s">
        <v>27</v>
      </c>
      <c r="F39" s="49"/>
      <c r="G39" s="27"/>
      <c r="H39" s="58">
        <f>SUM(H16:H25)</f>
        <v>126040</v>
      </c>
    </row>
    <row r="40" spans="1:8" ht="19.5" customHeight="1" x14ac:dyDescent="0.25">
      <c r="A40" s="28" t="s">
        <v>28</v>
      </c>
      <c r="B40" s="13"/>
      <c r="C40" s="13"/>
      <c r="D40" s="14"/>
      <c r="E40" s="3" t="s">
        <v>34</v>
      </c>
      <c r="F40" s="73"/>
      <c r="G40" s="51">
        <v>0.19</v>
      </c>
      <c r="H40" s="59">
        <f>H39*G40</f>
        <v>23947.599999999999</v>
      </c>
    </row>
    <row r="41" spans="1:8" ht="15.75" x14ac:dyDescent="0.25">
      <c r="A41" s="15" t="s">
        <v>56</v>
      </c>
      <c r="D41" s="16"/>
      <c r="E41" s="49" t="s">
        <v>29</v>
      </c>
      <c r="G41" s="72">
        <v>2.5000000000000001E-2</v>
      </c>
      <c r="H41" s="52">
        <v>0</v>
      </c>
    </row>
    <row r="42" spans="1:8" ht="15.75" x14ac:dyDescent="0.25">
      <c r="A42" s="15" t="s">
        <v>57</v>
      </c>
      <c r="D42" s="16"/>
      <c r="F42" s="49"/>
      <c r="G42" s="27"/>
      <c r="H42" s="53"/>
    </row>
    <row r="43" spans="1:8" ht="16.5" thickBot="1" x14ac:dyDescent="0.3">
      <c r="A43" s="15" t="s">
        <v>36</v>
      </c>
      <c r="D43" s="16"/>
      <c r="E43" s="49" t="s">
        <v>30</v>
      </c>
      <c r="F43" s="49"/>
      <c r="G43" s="27"/>
      <c r="H43" s="54"/>
    </row>
    <row r="44" spans="1:8" ht="16.5" customHeight="1" thickBot="1" x14ac:dyDescent="0.35">
      <c r="A44" s="17"/>
      <c r="B44" s="4"/>
      <c r="C44" s="4"/>
      <c r="D44" s="18"/>
      <c r="F44" s="3"/>
      <c r="G44" s="50" t="s">
        <v>31</v>
      </c>
      <c r="H44" s="60">
        <f>H39+H40</f>
        <v>149987.6</v>
      </c>
    </row>
    <row r="46" spans="1:8" x14ac:dyDescent="0.25">
      <c r="A46" t="s">
        <v>1</v>
      </c>
    </row>
    <row r="48" spans="1:8" ht="15.75" thickBot="1" x14ac:dyDescent="0.3"/>
    <row r="49" spans="1:8" ht="19.5" thickBot="1" x14ac:dyDescent="0.35">
      <c r="A49" s="29" t="s">
        <v>43</v>
      </c>
      <c r="B49" s="6"/>
      <c r="C49" s="6"/>
      <c r="D49" s="6"/>
      <c r="E49" s="6"/>
      <c r="F49" s="6"/>
      <c r="G49" s="6"/>
      <c r="H49" s="7"/>
    </row>
    <row r="58" spans="1:8" ht="18.75" x14ac:dyDescent="0.3">
      <c r="A58" s="5"/>
    </row>
  </sheetData>
  <mergeCells count="1">
    <mergeCell ref="A38:A3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DOFORMAS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2024-07-24T17:37:40Z</dcterms:modified>
</cp:coreProperties>
</file>