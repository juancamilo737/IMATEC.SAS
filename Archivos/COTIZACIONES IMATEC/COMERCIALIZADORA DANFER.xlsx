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Más ficheros perdidos (RAW)\Office2007 Excel Document\4400~4800\"/>
    </mc:Choice>
  </mc:AlternateContent>
  <xr:revisionPtr revIDLastSave="0" documentId="13_ncr:1_{F6E4C4D9-7A80-46C6-9772-24C6A5AF1D1B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DANFE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/>
  <c r="H20" i="1" s="1"/>
  <c r="H21" i="1" l="1"/>
  <c r="H25" i="1" s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<sst xmlns="http://schemas.openxmlformats.org/spreadsheetml/2006/main" count="54" uniqueCount="54">
  <si>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</si>
  <si>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</si>
  <si>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</si>
  <si>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</si>
  <si>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</si>
  <si>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</si>
  <si>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</si>
  <si>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</si>
  <si>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</si>
  <si>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</si>
  <si>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</si>
  <si>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</si>
  <si>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</si>
  <si>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</si>
  <si>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</si>
  <si>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</si>
  <si>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</si>
  <si>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</si>
  <si>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</si>
  <si>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</si>
  <si>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</si>
  <si>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</si>
  <si>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</si>
  <si>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</si>
  <si>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</si>
  <si>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</si>
  <si>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</si>
  <si>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</si>
  <si>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</si>
  <si>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</si>
  <si>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</si>
  <si>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</si>
  <si>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</si>
  <si>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</si>
  <si>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</si>
  <si>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</si>
  <si>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</si>
  <si>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L I Q U I D A C I O N</t>
  </si>
  <si>
    <t xml:space="preserve">  CALLE  33A  No.   17F - 56                           B/  LA FLORESTA             -   CALI    -                                       CEL.     321 7834969</t>
  </si>
  <si>
    <t>901 714301</t>
  </si>
  <si>
    <t>COMERCIALIZADORA DANFER S.A.S.</t>
  </si>
  <si>
    <t xml:space="preserve">              R E M I S I O N</t>
  </si>
  <si>
    <t>CRA 17 F1  33 B  17</t>
  </si>
  <si>
    <t>CALI</t>
  </si>
  <si>
    <t>danferc1802@hotmail.com</t>
  </si>
  <si>
    <t>317 5233331</t>
  </si>
  <si>
    <t>LUIS A. BENAVIDES</t>
  </si>
  <si>
    <t>FABRICACION</t>
  </si>
  <si>
    <t>NIPLE  AC/INOX  2 "  X  2 "</t>
  </si>
  <si>
    <t xml:space="preserve">TEFLON INDUSTRIAL 3/4 " X 15 MTS </t>
  </si>
  <si>
    <t>INSUMI</t>
  </si>
  <si>
    <t>TREINTA MIL PESOS MDA / CTE</t>
  </si>
  <si>
    <t>ENTREGA INMEDIATA</t>
  </si>
  <si>
    <t>No.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</si>
</sst>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" fillId="0" borderId="15" xfId="0" applyFont="1" applyBorder="1" applyAlignment="1">
      <alignment horizontal="center"/>
    </xf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4" xfId="0" applyFont="1" applyBorder="1" applyAlignment="1">
      <alignment horizontal="center"/>
    </xf>
    <xf numFmtId="0" fontId="8" fillId="0" borderId="28" xfId="0" applyFont="1" applyBorder="1"/>
    <xf numFmtId="0" fontId="8" fillId="0" borderId="13" xfId="0" applyFont="1" applyBorder="1"/>
    <xf numFmtId="0" fontId="8" fillId="0" borderId="29" xfId="0" applyFont="1" applyBorder="1"/>
    <xf numFmtId="42" fontId="11" fillId="0" borderId="14" xfId="1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0" fillId="0" borderId="30" xfId="0" applyBorder="1"/>
    <xf numFmtId="0" fontId="0" fillId="0" borderId="31" xfId="0" applyBorder="1"/>
    <xf numFmtId="0" fontId="0" fillId="0" borderId="6" xfId="0" applyBorder="1"/>
    <xf numFmtId="0" fontId="13" fillId="0" borderId="9" xfId="2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anferc1802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topLeftCell="A7" zoomScaleNormal="100" workbookViewId="0">
      <selection activeCell="J25" sqref="J25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41</v>
      </c>
      <c r="G6" s="42"/>
      <c r="H6" s="43"/>
    </row>
    <row r="7" spans="1:8" ht="19.5" thickBot="1" x14ac:dyDescent="0.35">
      <c r="A7" s="20" t="s">
        <v>14</v>
      </c>
      <c r="B7" s="12"/>
      <c r="C7" s="60" t="s">
        <v>40</v>
      </c>
      <c r="D7" s="12"/>
      <c r="E7" s="13"/>
      <c r="F7" s="37"/>
      <c r="G7" s="18"/>
      <c r="H7" s="19" t="s">
        <v>53</v>
      </c>
    </row>
    <row r="8" spans="1:8" ht="18.75" x14ac:dyDescent="0.3">
      <c r="A8" s="21" t="s">
        <v>8</v>
      </c>
      <c r="C8" s="69" t="s">
        <v>39</v>
      </c>
      <c r="D8" s="12"/>
      <c r="E8" s="13"/>
      <c r="H8" s="15"/>
    </row>
    <row r="9" spans="1:8" ht="18.75" customHeight="1" x14ac:dyDescent="0.3">
      <c r="A9" s="21" t="s">
        <v>9</v>
      </c>
      <c r="C9" s="14" t="s">
        <v>42</v>
      </c>
      <c r="E9" s="15" t="s">
        <v>43</v>
      </c>
      <c r="F9" s="30" t="s">
        <v>0</v>
      </c>
      <c r="H9" s="28">
        <v>45901</v>
      </c>
    </row>
    <row r="10" spans="1:8" ht="18.75" x14ac:dyDescent="0.3">
      <c r="A10" s="21" t="s">
        <v>13</v>
      </c>
      <c r="C10" s="70" t="s">
        <v>44</v>
      </c>
      <c r="E10" s="15"/>
      <c r="F10" s="30" t="s">
        <v>15</v>
      </c>
      <c r="H10" s="29"/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/>
    </row>
    <row r="12" spans="1:8" ht="18.75" x14ac:dyDescent="0.3">
      <c r="A12" s="21" t="s">
        <v>11</v>
      </c>
      <c r="C12" s="14" t="s">
        <v>45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46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47" t="s">
        <v>34</v>
      </c>
      <c r="B15" s="24" t="s">
        <v>22</v>
      </c>
      <c r="C15" s="42"/>
      <c r="D15" s="13"/>
      <c r="E15" s="47" t="s">
        <v>18</v>
      </c>
      <c r="F15" s="47" t="s">
        <v>20</v>
      </c>
      <c r="G15" s="47" t="s">
        <v>19</v>
      </c>
      <c r="H15" s="32" t="s">
        <v>21</v>
      </c>
    </row>
    <row r="16" spans="1:8" ht="16.5" thickBot="1" x14ac:dyDescent="0.3">
      <c r="A16" s="61">
        <v>1</v>
      </c>
      <c r="B16" s="62" t="s">
        <v>48</v>
      </c>
      <c r="C16" s="63"/>
      <c r="D16" s="64"/>
      <c r="E16" s="61" t="s">
        <v>47</v>
      </c>
      <c r="F16" s="65">
        <v>21008</v>
      </c>
      <c r="G16" s="61">
        <v>1</v>
      </c>
      <c r="H16" s="38">
        <f t="shared" ref="H16" si="0">G16*F16</f>
        <v>21008</v>
      </c>
    </row>
    <row r="17" spans="1:8" ht="16.5" thickBot="1" x14ac:dyDescent="0.3">
      <c r="A17" s="61">
        <v>2</v>
      </c>
      <c r="B17" s="62" t="s">
        <v>49</v>
      </c>
      <c r="C17" s="63"/>
      <c r="D17" s="64"/>
      <c r="E17" s="61" t="s">
        <v>50</v>
      </c>
      <c r="F17" s="65">
        <v>4202</v>
      </c>
      <c r="G17" s="61">
        <v>1</v>
      </c>
      <c r="H17" s="38">
        <f t="shared" ref="H17" si="1">G17*F17</f>
        <v>4202</v>
      </c>
    </row>
    <row r="18" spans="1:8" ht="19.5" customHeight="1" thickBot="1" x14ac:dyDescent="0.3">
      <c r="A18" s="48"/>
      <c r="B18" s="67"/>
      <c r="D18" s="68"/>
      <c r="E18" s="48"/>
      <c r="F18" s="48"/>
      <c r="G18" s="48"/>
    </row>
    <row r="19" spans="1:8" ht="19.5" customHeight="1" thickBot="1" x14ac:dyDescent="0.35">
      <c r="A19" s="66" t="s">
        <v>23</v>
      </c>
      <c r="B19" s="69" t="s">
        <v>51</v>
      </c>
      <c r="C19" s="12"/>
      <c r="D19" s="13"/>
      <c r="E19" s="49"/>
      <c r="F19" s="37" t="s">
        <v>37</v>
      </c>
      <c r="G19" s="6"/>
      <c r="H19" s="7"/>
    </row>
    <row r="20" spans="1:8" ht="19.5" customHeight="1" thickBot="1" x14ac:dyDescent="0.3">
      <c r="A20" s="39"/>
      <c r="B20" s="16"/>
      <c r="C20" s="4"/>
      <c r="D20" s="17"/>
      <c r="E20" s="52" t="s">
        <v>24</v>
      </c>
      <c r="F20" s="53"/>
      <c r="G20" s="44"/>
      <c r="H20" s="50">
        <f>SUM(H16:H19)</f>
        <v>25210</v>
      </c>
    </row>
    <row r="21" spans="1:8" ht="19.5" customHeight="1" x14ac:dyDescent="0.25">
      <c r="A21" s="24" t="s">
        <v>25</v>
      </c>
      <c r="B21" s="12"/>
      <c r="C21" s="12"/>
      <c r="D21" s="12"/>
      <c r="E21" s="54" t="s">
        <v>29</v>
      </c>
      <c r="F21" s="23"/>
      <c r="G21" s="55">
        <v>0.19</v>
      </c>
      <c r="H21" s="40">
        <f>H20*G21</f>
        <v>4789.8999999999996</v>
      </c>
    </row>
    <row r="22" spans="1:8" ht="19.5" customHeight="1" x14ac:dyDescent="0.25">
      <c r="A22" s="14" t="s">
        <v>30</v>
      </c>
      <c r="E22" s="56" t="s">
        <v>26</v>
      </c>
      <c r="G22" s="59">
        <v>2.5000000000000001E-2</v>
      </c>
      <c r="H22" s="51"/>
    </row>
    <row r="23" spans="1:8" ht="15.75" x14ac:dyDescent="0.25">
      <c r="A23" s="14" t="s">
        <v>52</v>
      </c>
      <c r="E23" s="14"/>
      <c r="F23" s="33"/>
      <c r="G23" s="45"/>
      <c r="H23" s="15"/>
    </row>
    <row r="24" spans="1:8" ht="16.5" thickBot="1" x14ac:dyDescent="0.3">
      <c r="A24" s="14" t="s">
        <v>32</v>
      </c>
      <c r="E24" s="57" t="s">
        <v>27</v>
      </c>
      <c r="F24" s="58"/>
      <c r="G24" s="46"/>
      <c r="H24" s="17"/>
    </row>
    <row r="25" spans="1:8" ht="19.5" thickBot="1" x14ac:dyDescent="0.35">
      <c r="A25" s="16"/>
      <c r="B25" s="4"/>
      <c r="C25" s="4"/>
      <c r="D25" s="17"/>
      <c r="F25" s="3"/>
      <c r="G25" s="34" t="s">
        <v>28</v>
      </c>
      <c r="H25" s="36">
        <f>H20+H21</f>
        <v>29999.9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38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5D23EA41-7D10-4E58-8C9D-8A9DFD576D16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DANFER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2025-09-01T15:03:29Z</cp:lastPrinted>
  <dcterms:created xsi:type="dcterms:W3CDTF">2018-11-15T17:29:02Z</dcterms:created>
  <dcterms:modified xsi:type="dcterms:W3CDTF">2025-09-01T22:25:00Z</dcterms:modified>
</cp:coreProperties>
</file>