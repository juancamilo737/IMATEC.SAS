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663D70C-475E-4614-8EB4-D54548FD13A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TM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/>
  <c r="H22" i="1" l="1"/>
  <c r="H26" i="1" s="1"/>
</calcChain>
</file>

<file path=xl/sharedStrings.xml><?xml version="1.0" encoding="utf-8"?>
<sst xmlns="http://schemas.openxmlformats.org/spreadsheetml/2006/main" count="59" uniqueCount="59">
  <si>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</si>
  <si>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</si>
  <si>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</si>
  <si>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</si>
  <si>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</si>
  <si>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</si>
  <si>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</si>
  <si>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</si>
  <si>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</si>
  <si>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</si>
  <si>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</si>
  <si>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</si>
  <si>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</si>
  <si>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</si>
  <si>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</si>
  <si>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</si>
  <si>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</si>
  <si>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</si>
  <si>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</si>
  <si>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</si>
  <si>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</si>
  <si>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</si>
  <si>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</si>
  <si>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</si>
  <si>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</si>
  <si>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</si>
  <si>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</si>
  <si>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</si>
  <si>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</si>
  <si>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</si>
  <si>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</si>
  <si>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</si>
  <si>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</si>
  <si>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</si>
  <si>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</si>
  <si>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</si>
  <si>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</si>
  <si>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</si>
  <si>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</si>
  <si>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BTM INGENIERIA S.A.S.</t>
  </si>
  <si>
    <t>900 586735</t>
  </si>
  <si>
    <t>CALLE 59 Nte.  No. 3B BIS -107</t>
  </si>
  <si>
    <t>CALI</t>
  </si>
  <si>
    <t>btmingenieriasas@gmail.com</t>
  </si>
  <si>
    <t>310 8814313</t>
  </si>
  <si>
    <t>EDINSON CABEZAS</t>
  </si>
  <si>
    <t>RETEICA</t>
  </si>
  <si>
    <t xml:space="preserve">              R E M I S I O N</t>
  </si>
  <si>
    <t>L I Q U I D A C I O N</t>
  </si>
  <si>
    <t>ENTREGA INMEDIATA</t>
  </si>
  <si>
    <t>CODO A / C  SCH 40  4 "  X  90 º</t>
  </si>
  <si>
    <t xml:space="preserve">PINTURA EPOXICA NEGRA </t>
  </si>
  <si>
    <t>1/4 GALON</t>
  </si>
  <si>
    <t xml:space="preserve">DISOLVENTE </t>
  </si>
  <si>
    <t>CANECA</t>
  </si>
  <si>
    <t>CIENTO CUARENTA Y UN MIL OCHOCIENTOS CUARENTA</t>
  </si>
  <si>
    <t>Y OCHO PESOS MDA / CTE</t>
  </si>
  <si>
    <t xml:space="preserve">  CALLE  33A  No. 17F - 56                         B/  LA FLORESTA             -   CALI    -                                   CEL.     321 7834969</t>
  </si>
  <si>
    <t>No.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</si>
</sst>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9" fontId="1" fillId="0" borderId="22" xfId="3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1" fillId="0" borderId="24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tmingenieria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zoomScaleNormal="100" workbookViewId="0">
      <selection activeCell="H8" sqref="H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8" t="s">
        <v>39</v>
      </c>
      <c r="D7" s="12"/>
      <c r="E7" s="13"/>
      <c r="F7" s="37"/>
      <c r="G7" s="18"/>
      <c r="H7" s="19" t="s">
        <v>58</v>
      </c>
    </row>
    <row r="8" spans="1:8" ht="18.75" x14ac:dyDescent="0.3">
      <c r="A8" s="21" t="s">
        <v>8</v>
      </c>
      <c r="C8" s="60" t="s">
        <v>40</v>
      </c>
      <c r="D8" s="61"/>
      <c r="E8" s="44"/>
      <c r="H8" s="15"/>
    </row>
    <row r="9" spans="1:8" ht="18.75" customHeight="1" x14ac:dyDescent="0.3">
      <c r="A9" s="21" t="s">
        <v>9</v>
      </c>
      <c r="C9" s="62" t="s">
        <v>41</v>
      </c>
      <c r="D9" s="23"/>
      <c r="E9" s="63" t="s">
        <v>42</v>
      </c>
      <c r="F9" s="30" t="s">
        <v>0</v>
      </c>
      <c r="H9" s="28">
        <v>45699</v>
      </c>
    </row>
    <row r="10" spans="1:8" ht="18.75" x14ac:dyDescent="0.3">
      <c r="A10" s="21" t="s">
        <v>13</v>
      </c>
      <c r="C10" s="64" t="s">
        <v>43</v>
      </c>
      <c r="D10" s="59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5"/>
      <c r="D11" s="59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5" t="s">
        <v>44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45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8">
        <v>1</v>
      </c>
      <c r="B16" s="69" t="s">
        <v>50</v>
      </c>
      <c r="C16" s="70"/>
      <c r="D16" s="71"/>
      <c r="E16" s="68" t="s">
        <v>38</v>
      </c>
      <c r="F16" s="72">
        <v>36000</v>
      </c>
      <c r="G16" s="68">
        <v>1</v>
      </c>
      <c r="H16" s="38">
        <f t="shared" ref="H16:H17" si="0">G16*F16</f>
        <v>36000</v>
      </c>
    </row>
    <row r="17" spans="1:8" ht="16.5" thickBot="1" x14ac:dyDescent="0.3">
      <c r="A17" s="68">
        <v>2</v>
      </c>
      <c r="B17" s="69" t="s">
        <v>51</v>
      </c>
      <c r="C17" s="70"/>
      <c r="D17" s="71"/>
      <c r="E17" s="68" t="s">
        <v>52</v>
      </c>
      <c r="F17" s="72">
        <v>71500</v>
      </c>
      <c r="G17" s="68">
        <v>1</v>
      </c>
      <c r="H17" s="38">
        <f t="shared" si="0"/>
        <v>71500</v>
      </c>
    </row>
    <row r="18" spans="1:8" ht="16.5" thickBot="1" x14ac:dyDescent="0.3">
      <c r="A18" s="68">
        <v>3</v>
      </c>
      <c r="B18" s="69" t="s">
        <v>53</v>
      </c>
      <c r="C18" s="70"/>
      <c r="D18" s="71"/>
      <c r="E18" s="68" t="s">
        <v>54</v>
      </c>
      <c r="F18" s="72">
        <v>11700</v>
      </c>
      <c r="G18" s="68">
        <v>1</v>
      </c>
      <c r="H18" s="38">
        <f t="shared" ref="H18" si="1">G18*F18</f>
        <v>11700</v>
      </c>
    </row>
    <row r="19" spans="1:8" ht="19.5" customHeight="1" thickBot="1" x14ac:dyDescent="0.3">
      <c r="A19" s="74"/>
      <c r="B19" s="75"/>
      <c r="C19" s="67"/>
      <c r="D19" s="76"/>
      <c r="E19" s="49"/>
      <c r="F19" s="49"/>
      <c r="G19" s="49"/>
    </row>
    <row r="20" spans="1:8" ht="19.5" customHeight="1" thickBot="1" x14ac:dyDescent="0.35">
      <c r="A20" s="48" t="s">
        <v>23</v>
      </c>
      <c r="B20" s="14" t="s">
        <v>55</v>
      </c>
      <c r="D20" s="15"/>
      <c r="E20" s="50"/>
      <c r="F20" s="37" t="s">
        <v>48</v>
      </c>
      <c r="G20" s="6"/>
      <c r="H20" s="7"/>
    </row>
    <row r="21" spans="1:8" ht="19.5" customHeight="1" thickBot="1" x14ac:dyDescent="0.3">
      <c r="A21" s="39"/>
      <c r="B21" s="16" t="s">
        <v>56</v>
      </c>
      <c r="C21" s="4"/>
      <c r="D21" s="4"/>
      <c r="E21" s="53" t="s">
        <v>24</v>
      </c>
      <c r="F21" s="54"/>
      <c r="G21" s="44"/>
      <c r="H21" s="51">
        <f>SUM(H16:H20)</f>
        <v>119200</v>
      </c>
    </row>
    <row r="22" spans="1:8" ht="19.5" customHeight="1" x14ac:dyDescent="0.25">
      <c r="A22" s="24" t="s">
        <v>25</v>
      </c>
      <c r="B22" s="12"/>
      <c r="C22" s="12"/>
      <c r="D22" s="13"/>
      <c r="E22" s="3" t="s">
        <v>29</v>
      </c>
      <c r="F22" s="23"/>
      <c r="G22" s="55">
        <v>0.19</v>
      </c>
      <c r="H22" s="40">
        <f>H21*G22</f>
        <v>22648</v>
      </c>
    </row>
    <row r="23" spans="1:8" ht="19.5" customHeight="1" x14ac:dyDescent="0.25">
      <c r="A23" s="14" t="s">
        <v>30</v>
      </c>
      <c r="D23" s="15"/>
      <c r="E23" s="33" t="s">
        <v>26</v>
      </c>
      <c r="G23" s="57">
        <v>2.5000000000000001E-2</v>
      </c>
      <c r="H23" s="52"/>
    </row>
    <row r="24" spans="1:8" ht="15.75" x14ac:dyDescent="0.25">
      <c r="A24" s="14" t="s">
        <v>49</v>
      </c>
      <c r="D24" s="15"/>
      <c r="E24" s="3" t="s">
        <v>46</v>
      </c>
      <c r="F24" s="33"/>
      <c r="G24" s="73">
        <v>7.7000000000000002E-3</v>
      </c>
      <c r="H24" s="52"/>
    </row>
    <row r="25" spans="1:8" ht="16.5" thickBot="1" x14ac:dyDescent="0.3">
      <c r="A25" s="16" t="s">
        <v>33</v>
      </c>
      <c r="B25" s="4"/>
      <c r="C25" s="4"/>
      <c r="D25" s="17"/>
      <c r="E25" s="56" t="s">
        <v>27</v>
      </c>
      <c r="F25" s="56"/>
      <c r="G25" s="46"/>
      <c r="H25" s="17"/>
    </row>
    <row r="26" spans="1:8" ht="19.5" thickBot="1" x14ac:dyDescent="0.35">
      <c r="F26" s="3"/>
      <c r="G26" s="34" t="s">
        <v>28</v>
      </c>
      <c r="H26" s="36">
        <f>H21+H22-H23-H24</f>
        <v>141848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57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C12B73BC-3D3E-4831-A898-0D430427991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BTM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2024-12-27T15:03:55Z</cp:lastPrinted>
  <dcterms:created xsi:type="dcterms:W3CDTF">2018-11-15T17:29:02Z</dcterms:created>
  <dcterms:modified xsi:type="dcterms:W3CDTF">2025-04-16T14:44:23Z</dcterms:modified>
</cp:coreProperties>
</file>