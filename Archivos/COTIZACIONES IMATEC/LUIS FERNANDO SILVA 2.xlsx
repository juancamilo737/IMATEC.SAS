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FE4CE79-4E10-4CCF-B734-4A52F02C1B2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UIS FDO. SILV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<sst xmlns="http://schemas.openxmlformats.org/spreadsheetml/2006/main" count="55" uniqueCount="55">
  <si>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</si>
  <si>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</si>
  <si>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</si>
  <si>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</si>
  <si>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</si>
  <si>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</si>
  <si>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</si>
  <si>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</si>
  <si>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</si>
  <si>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</si>
  <si>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</si>
  <si>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</si>
  <si>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</si>
  <si>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</si>
  <si>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</si>
  <si>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</si>
  <si>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</si>
  <si>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</si>
  <si>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</si>
  <si>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</si>
  <si>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</si>
  <si>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</si>
  <si>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</si>
  <si>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</si>
  <si>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</si>
  <si>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</si>
  <si>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</si>
  <si>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</si>
  <si>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</si>
  <si>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</si>
  <si>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</si>
  <si>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</si>
  <si>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</si>
  <si>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</si>
  <si>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</si>
  <si>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</si>
  <si>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321 7834969</t>
  </si>
  <si>
    <t>ENTREGA INMEDIATA</t>
  </si>
  <si>
    <t>CALI</t>
  </si>
  <si>
    <t xml:space="preserve">              R E M I S I O N</t>
  </si>
  <si>
    <t>LUIS FERNANDO SILVA RIAÑOS</t>
  </si>
  <si>
    <t>CRA 1  Nte. 17-37</t>
  </si>
  <si>
    <t>fernando.servitornosilva@gmail.com</t>
  </si>
  <si>
    <t>602 8963243</t>
  </si>
  <si>
    <t>LUIS A. BENAVIDES</t>
  </si>
  <si>
    <t>FORMA DE PAGO : CONTADO</t>
  </si>
  <si>
    <t>No. 2</t>
  </si>
  <si>
    <t>BRIDA  AC/INOX 304  4 "</t>
  </si>
  <si>
    <t>ACCESORIO</t>
  </si>
  <si>
    <t>STUB END AC/INOX 304  SCH 10  4 "</t>
  </si>
  <si>
    <t>FABRICACION</t>
  </si>
  <si>
    <t>L I Q U I D A C I O N</t>
  </si>
  <si>
    <t>TRESCIENTOS CINCUENTA Y NUEVE MIL TRESCIENTOS</t>
  </si>
  <si>
    <t>OCHENTA PESOS MDA / CTE</t>
  </si>
  <si>
    <t xml:space="preserve"> CALLE  33A  No. 17F - 56                           B/  LA FLORESTA             -   CALI    -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</si>
</sst>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42" fontId="1" fillId="0" borderId="19" xfId="1" applyFont="1" applyBorder="1" applyAlignment="1">
      <alignment horizontal="left"/>
    </xf>
    <xf numFmtId="0" fontId="0" fillId="0" borderId="20" xfId="0" applyBorder="1"/>
    <xf numFmtId="0" fontId="5" fillId="0" borderId="4" xfId="0" applyFont="1" applyBorder="1"/>
    <xf numFmtId="10" fontId="1" fillId="0" borderId="0" xfId="0" applyNumberFormat="1" applyFont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/>
    </xf>
    <xf numFmtId="0" fontId="8" fillId="0" borderId="21" xfId="0" applyFont="1" applyBorder="1"/>
    <xf numFmtId="0" fontId="8" fillId="0" borderId="4" xfId="0" applyFont="1" applyBorder="1"/>
    <xf numFmtId="0" fontId="8" fillId="0" borderId="22" xfId="0" applyFont="1" applyBorder="1"/>
    <xf numFmtId="42" fontId="11" fillId="0" borderId="4" xfId="1" applyFont="1" applyBorder="1" applyAlignment="1">
      <alignment horizontal="center"/>
    </xf>
    <xf numFmtId="42" fontId="1" fillId="0" borderId="22" xfId="1" applyFont="1" applyBorder="1" applyAlignment="1">
      <alignment horizontal="left"/>
    </xf>
    <xf numFmtId="9" fontId="1" fillId="0" borderId="13" xfId="0" applyNumberFormat="1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nando.servitornosil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K6" sqref="K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5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33</v>
      </c>
      <c r="E4" s="19"/>
      <c r="F4" s="20"/>
      <c r="G4" s="6"/>
      <c r="H4" s="7"/>
    </row>
    <row r="5" spans="1:8" ht="19.5" thickBot="1" x14ac:dyDescent="0.35">
      <c r="A5" s="53" t="s">
        <v>36</v>
      </c>
      <c r="B5" s="6"/>
      <c r="C5" s="6"/>
      <c r="D5" s="6"/>
      <c r="E5" s="6"/>
    </row>
    <row r="6" spans="1:8" ht="24.75" customHeight="1" thickBot="1" x14ac:dyDescent="0.45">
      <c r="F6" s="11" t="s">
        <v>39</v>
      </c>
      <c r="G6" s="19"/>
      <c r="H6" s="20"/>
    </row>
    <row r="7" spans="1:8" ht="19.5" thickBot="1" x14ac:dyDescent="0.35">
      <c r="A7" s="21" t="s">
        <v>15</v>
      </c>
      <c r="B7" s="13"/>
      <c r="C7" s="31" t="s">
        <v>40</v>
      </c>
      <c r="D7" s="13"/>
      <c r="E7" s="14"/>
      <c r="F7" s="28"/>
      <c r="G7" s="19"/>
      <c r="H7" s="20" t="s">
        <v>46</v>
      </c>
    </row>
    <row r="8" spans="1:8" ht="18.75" x14ac:dyDescent="0.3">
      <c r="A8" s="22" t="s">
        <v>9</v>
      </c>
      <c r="C8" s="25">
        <v>16706546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41</v>
      </c>
      <c r="D9" s="24"/>
      <c r="E9" s="25" t="s">
        <v>38</v>
      </c>
      <c r="F9" s="32" t="s">
        <v>0</v>
      </c>
      <c r="H9" s="33">
        <v>45828</v>
      </c>
    </row>
    <row r="10" spans="1:8" ht="18.75" x14ac:dyDescent="0.3">
      <c r="A10" s="22" t="s">
        <v>14</v>
      </c>
      <c r="C10" s="46" t="s">
        <v>42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43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44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35</v>
      </c>
      <c r="B15" s="50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7">
        <v>1</v>
      </c>
      <c r="B16" s="58" t="s">
        <v>47</v>
      </c>
      <c r="C16" s="59"/>
      <c r="D16" s="60"/>
      <c r="E16" s="57" t="s">
        <v>48</v>
      </c>
      <c r="F16" s="61">
        <v>130000</v>
      </c>
      <c r="G16" s="57">
        <v>2</v>
      </c>
      <c r="H16" s="51">
        <f>G16*F16</f>
        <v>260000</v>
      </c>
    </row>
    <row r="17" spans="1:8" ht="16.5" thickBot="1" x14ac:dyDescent="0.3">
      <c r="A17" s="57">
        <v>2</v>
      </c>
      <c r="B17" s="58" t="s">
        <v>49</v>
      </c>
      <c r="C17" s="59"/>
      <c r="D17" s="60"/>
      <c r="E17" s="57" t="s">
        <v>50</v>
      </c>
      <c r="F17" s="61">
        <v>42000</v>
      </c>
      <c r="G17" s="57">
        <v>1</v>
      </c>
      <c r="H17" s="62">
        <f>G17*F17</f>
        <v>42000</v>
      </c>
    </row>
    <row r="18" spans="1:8" ht="19.5" customHeight="1" thickBot="1" x14ac:dyDescent="0.3">
      <c r="H18" s="52"/>
    </row>
    <row r="19" spans="1:8" ht="19.5" customHeight="1" thickBot="1" x14ac:dyDescent="0.35">
      <c r="A19" s="55" t="s">
        <v>25</v>
      </c>
      <c r="B19" s="12" t="s">
        <v>52</v>
      </c>
      <c r="C19" s="13"/>
      <c r="D19" s="14"/>
      <c r="E19" s="13"/>
      <c r="F19" s="38" t="s">
        <v>51</v>
      </c>
      <c r="G19" s="13"/>
      <c r="H19" s="7"/>
    </row>
    <row r="20" spans="1:8" ht="19.5" customHeight="1" thickBot="1" x14ac:dyDescent="0.3">
      <c r="A20" s="56"/>
      <c r="B20" s="17" t="s">
        <v>53</v>
      </c>
      <c r="C20" s="4"/>
      <c r="D20" s="4"/>
      <c r="E20" s="39" t="s">
        <v>26</v>
      </c>
      <c r="F20" s="40"/>
      <c r="G20" s="26"/>
      <c r="H20" s="47">
        <f>SUM(H16:H17)</f>
        <v>302000</v>
      </c>
    </row>
    <row r="21" spans="1:8" ht="19.5" customHeight="1" x14ac:dyDescent="0.25">
      <c r="A21" s="27" t="s">
        <v>27</v>
      </c>
      <c r="B21" s="13"/>
      <c r="C21" s="13"/>
      <c r="D21" s="14"/>
      <c r="E21" s="3" t="s">
        <v>32</v>
      </c>
      <c r="F21" s="40"/>
      <c r="G21" s="63">
        <v>0.19</v>
      </c>
      <c r="H21" s="48">
        <f>H20*G21</f>
        <v>57380</v>
      </c>
    </row>
    <row r="22" spans="1:8" ht="15.75" x14ac:dyDescent="0.25">
      <c r="A22" s="15" t="s">
        <v>45</v>
      </c>
      <c r="D22" s="16"/>
      <c r="E22" s="40" t="s">
        <v>28</v>
      </c>
      <c r="G22" s="54">
        <v>2.5000000000000001E-2</v>
      </c>
      <c r="H22" s="42">
        <v>0</v>
      </c>
    </row>
    <row r="23" spans="1:8" ht="15.75" x14ac:dyDescent="0.25">
      <c r="A23" s="15" t="s">
        <v>37</v>
      </c>
      <c r="D23" s="16"/>
      <c r="F23" s="40"/>
      <c r="G23" s="26"/>
      <c r="H23" s="43"/>
    </row>
    <row r="24" spans="1:8" ht="16.5" thickBot="1" x14ac:dyDescent="0.3">
      <c r="A24" s="15" t="s">
        <v>34</v>
      </c>
      <c r="D24" s="16"/>
      <c r="E24" s="40" t="s">
        <v>29</v>
      </c>
      <c r="F24" s="40"/>
      <c r="G24" s="26"/>
      <c r="H24" s="44"/>
    </row>
    <row r="25" spans="1:8" ht="16.5" customHeight="1" thickBot="1" x14ac:dyDescent="0.35">
      <c r="A25" s="17"/>
      <c r="B25" s="4"/>
      <c r="C25" s="4"/>
      <c r="D25" s="18"/>
      <c r="F25" s="3"/>
      <c r="G25" s="41" t="s">
        <v>30</v>
      </c>
      <c r="H25" s="49">
        <f>H20+H21-H22</f>
        <v>359380</v>
      </c>
    </row>
    <row r="27" spans="1:8" x14ac:dyDescent="0.25">
      <c r="A27" t="s">
        <v>1</v>
      </c>
    </row>
    <row r="29" spans="1:8" ht="15.75" thickBot="1" x14ac:dyDescent="0.3"/>
    <row r="30" spans="1:8" ht="19.5" thickBot="1" x14ac:dyDescent="0.35">
      <c r="A30" s="28" t="s">
        <v>54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LUIS FDO. SILVA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2025-06-20T22:44:21Z</cp:lastPrinted>
  <dcterms:created xsi:type="dcterms:W3CDTF">2018-11-15T17:29:02Z</dcterms:created>
  <dcterms:modified xsi:type="dcterms:W3CDTF">2025-06-20T22:45:02Z</dcterms:modified>
</cp:coreProperties>
</file>