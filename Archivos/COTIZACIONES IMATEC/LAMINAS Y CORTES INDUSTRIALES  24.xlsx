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D3419C6-2E37-4D9A-BFEB-0BF7A9C9244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1" i="1"/>
  <c r="H19" i="1"/>
  <c r="H16" i="1"/>
  <c r="H15" i="1"/>
  <c r="H20" i="1" l="1"/>
  <c r="H24" i="1" l="1"/>
</calcChain>
</file>

<file path=xl/sharedStrings.xml><?xml version="1.0" encoding="utf-8"?>
<sst xmlns="http://schemas.openxmlformats.org/spreadsheetml/2006/main" count="59" uniqueCount="58">
  <si>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</si>
  <si>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</si>
  <si>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</si>
  <si>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</si>
  <si>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</si>
  <si>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</si>
  <si>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</si>
  <si>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</si>
  <si>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</si>
  <si>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</si>
  <si>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</si>
  <si>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</si>
  <si>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</si>
  <si>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</si>
  <si>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</si>
  <si>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</si>
  <si>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</si>
  <si>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</si>
  <si>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</si>
  <si>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</si>
  <si>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</si>
  <si>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</si>
  <si>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</si>
  <si>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</si>
  <si>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</si>
  <si>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</si>
  <si>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</si>
  <si>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</si>
  <si>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</si>
  <si>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</si>
  <si>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</si>
  <si>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</si>
  <si>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</si>
  <si>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</si>
  <si>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</si>
  <si>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</si>
  <si>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</si>
  <si>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</si>
  <si>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</si>
  <si>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</si>
  <si>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</si>
  <si>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</si>
  <si>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</si>
  <si>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</si>
  <si>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</si>
  <si>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</si>
  <si>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</si>
  <si>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</si>
  <si>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</si>
  <si>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>ACCESORIO</t>
  </si>
  <si>
    <t xml:space="preserve">           C O T I Z A C I O N</t>
  </si>
  <si>
    <t>No. 24</t>
  </si>
  <si>
    <t>10 DIAS</t>
  </si>
  <si>
    <t>TUBERIA  AC/INOX 316 SCH 40  6 " X 6 MTS</t>
  </si>
  <si>
    <t>TUBO</t>
  </si>
  <si>
    <t>CODO AC/INOX 316  SCH 40  6 "  X  90 º</t>
  </si>
  <si>
    <t>OCHO MILLONES CIENTO CUARENTA Y CINCO  MIL SETEN</t>
  </si>
  <si>
    <t>TA Y 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</si>
</sst>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/>
    <xf numFmtId="0" fontId="1" fillId="0" borderId="22" xfId="0" applyFont="1" applyBorder="1" applyAlignment="1">
      <alignment horizontal="center"/>
    </xf>
    <xf numFmtId="42" fontId="1" fillId="0" borderId="23" xfId="1" applyFont="1" applyBorder="1" applyAlignment="1">
      <alignment horizontal="center"/>
    </xf>
    <xf numFmtId="0" fontId="5" fillId="0" borderId="4" xfId="0" applyFont="1" applyBorder="1"/>
    <xf numFmtId="0" fontId="4" fillId="0" borderId="24" xfId="0" applyFont="1" applyBorder="1"/>
    <xf numFmtId="0" fontId="4" fillId="0" borderId="22" xfId="0" applyFont="1" applyBorder="1"/>
    <xf numFmtId="0" fontId="0" fillId="0" borderId="25" xfId="0" applyBorder="1"/>
    <xf numFmtId="0" fontId="4" fillId="0" borderId="9" xfId="0" applyFont="1" applyBorder="1"/>
    <xf numFmtId="9" fontId="1" fillId="0" borderId="26" xfId="0" applyNumberFormat="1" applyFont="1" applyBorder="1"/>
    <xf numFmtId="0" fontId="4" fillId="0" borderId="19" xfId="0" applyFont="1" applyBorder="1"/>
    <xf numFmtId="10" fontId="1" fillId="0" borderId="27" xfId="0" applyNumberFormat="1" applyFont="1" applyBorder="1"/>
    <xf numFmtId="0" fontId="0" fillId="0" borderId="27" xfId="0" applyBorder="1"/>
    <xf numFmtId="0" fontId="0" fillId="0" borderId="28" xfId="0" applyBorder="1"/>
    <xf numFmtId="0" fontId="4" fillId="0" borderId="29" xfId="0" applyFont="1" applyBorder="1"/>
    <xf numFmtId="0" fontId="0" fillId="0" borderId="30" xfId="0" applyBorder="1"/>
    <xf numFmtId="0" fontId="0" fillId="0" borderId="24" xfId="0" applyBorder="1"/>
    <xf numFmtId="0" fontId="0" fillId="0" borderId="22" xfId="0" applyBorder="1"/>
    <xf numFmtId="0" fontId="0" fillId="0" borderId="31" xfId="0" applyBorder="1"/>
    <xf numFmtId="0" fontId="0" fillId="0" borderId="26" xfId="0" applyBorder="1"/>
    <xf numFmtId="0" fontId="13" fillId="0" borderId="19" xfId="2" applyBorder="1"/>
    <xf numFmtId="0" fontId="0" fillId="0" borderId="29" xfId="0" applyBorder="1"/>
    <xf numFmtId="0" fontId="1" fillId="0" borderId="27" xfId="0" applyFont="1" applyBorder="1"/>
    <xf numFmtId="42" fontId="12" fillId="0" borderId="32" xfId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2" fillId="0" borderId="2" xfId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2" fontId="1" fillId="0" borderId="7" xfId="1" applyFont="1" applyBorder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8"/>
  <sheetViews>
    <sheetView tabSelected="1" topLeftCell="A4" zoomScaleNormal="100" workbookViewId="0">
      <selection activeCell="I19" sqref="I1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50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51</v>
      </c>
    </row>
    <row r="7" spans="1:10" ht="18.75" x14ac:dyDescent="0.3">
      <c r="A7" s="22" t="s">
        <v>9</v>
      </c>
      <c r="C7" s="67" t="s">
        <v>35</v>
      </c>
      <c r="D7" s="68"/>
      <c r="E7" s="58"/>
      <c r="F7" s="12"/>
      <c r="G7" s="13"/>
      <c r="H7" s="14"/>
    </row>
    <row r="8" spans="1:10" ht="18.75" customHeight="1" x14ac:dyDescent="0.3">
      <c r="A8" s="22" t="s">
        <v>10</v>
      </c>
      <c r="C8" s="69" t="s">
        <v>36</v>
      </c>
      <c r="D8" s="24" t="s">
        <v>42</v>
      </c>
      <c r="E8" s="70" t="s">
        <v>37</v>
      </c>
      <c r="F8" s="31" t="s">
        <v>0</v>
      </c>
      <c r="H8" s="32">
        <v>45757</v>
      </c>
    </row>
    <row r="9" spans="1:10" ht="18.75" x14ac:dyDescent="0.3">
      <c r="A9" s="22" t="s">
        <v>14</v>
      </c>
      <c r="C9" s="71" t="s">
        <v>38</v>
      </c>
      <c r="D9" s="25"/>
      <c r="E9" s="63"/>
      <c r="F9" s="31" t="s">
        <v>16</v>
      </c>
      <c r="H9" s="33" t="s">
        <v>52</v>
      </c>
    </row>
    <row r="10" spans="1:10" ht="18.75" x14ac:dyDescent="0.3">
      <c r="A10" s="22" t="s">
        <v>11</v>
      </c>
      <c r="C10" s="44"/>
      <c r="D10" s="25"/>
      <c r="E10" s="63"/>
      <c r="F10" s="31" t="s">
        <v>17</v>
      </c>
      <c r="G10" s="34"/>
      <c r="H10" s="32">
        <v>45766</v>
      </c>
    </row>
    <row r="11" spans="1:10" ht="18.75" x14ac:dyDescent="0.3">
      <c r="A11" s="22" t="s">
        <v>12</v>
      </c>
      <c r="C11" s="44" t="s">
        <v>39</v>
      </c>
      <c r="D11" s="25"/>
      <c r="E11" s="63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4" t="s">
        <v>40</v>
      </c>
      <c r="D12" s="72"/>
      <c r="E12" s="66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7" t="s">
        <v>24</v>
      </c>
      <c r="C14" s="19"/>
      <c r="D14" s="48"/>
      <c r="E14" s="46" t="s">
        <v>20</v>
      </c>
      <c r="F14" s="49" t="s">
        <v>22</v>
      </c>
      <c r="G14" s="49" t="s">
        <v>21</v>
      </c>
      <c r="H14" s="36" t="s">
        <v>23</v>
      </c>
    </row>
    <row r="15" spans="1:10" ht="19.5" customHeight="1" thickBot="1" x14ac:dyDescent="0.3">
      <c r="A15" s="50">
        <v>1</v>
      </c>
      <c r="B15" s="51" t="s">
        <v>53</v>
      </c>
      <c r="C15" s="51"/>
      <c r="D15" s="52"/>
      <c r="E15" s="53" t="s">
        <v>54</v>
      </c>
      <c r="F15" s="74">
        <v>5760000</v>
      </c>
      <c r="G15" s="75">
        <v>1</v>
      </c>
      <c r="H15" s="54">
        <f t="shared" ref="H15" si="0">F15*G15</f>
        <v>5760000</v>
      </c>
      <c r="I15" s="37"/>
      <c r="J15" s="37"/>
    </row>
    <row r="16" spans="1:10" ht="19.5" customHeight="1" thickBot="1" x14ac:dyDescent="0.3">
      <c r="A16" s="50">
        <v>2</v>
      </c>
      <c r="B16" s="51" t="s">
        <v>55</v>
      </c>
      <c r="C16" s="51"/>
      <c r="D16" s="52"/>
      <c r="E16" s="53" t="s">
        <v>49</v>
      </c>
      <c r="F16" s="74">
        <v>639000</v>
      </c>
      <c r="G16" s="75">
        <v>2</v>
      </c>
      <c r="H16" s="54">
        <f t="shared" ref="H16" si="1">F16*G16</f>
        <v>1278000</v>
      </c>
      <c r="I16" s="37"/>
      <c r="J16" s="37"/>
    </row>
    <row r="17" spans="1:13" ht="19.5" customHeight="1" thickBot="1" x14ac:dyDescent="0.3">
      <c r="A17" s="78"/>
      <c r="B17" s="79"/>
      <c r="C17" s="79"/>
      <c r="D17" s="79"/>
      <c r="E17" s="78"/>
      <c r="F17" s="80"/>
      <c r="G17" s="81"/>
      <c r="H17" s="82"/>
      <c r="I17" s="37"/>
      <c r="J17" s="37"/>
    </row>
    <row r="18" spans="1:13" ht="19.5" customHeight="1" thickBot="1" x14ac:dyDescent="0.35">
      <c r="A18" s="76" t="s">
        <v>25</v>
      </c>
      <c r="B18" s="12" t="s">
        <v>56</v>
      </c>
      <c r="C18" s="13"/>
      <c r="D18" s="14"/>
      <c r="E18" s="47"/>
      <c r="F18" s="55" t="s">
        <v>44</v>
      </c>
      <c r="G18" s="6"/>
      <c r="H18" s="7"/>
    </row>
    <row r="19" spans="1:13" ht="19.5" customHeight="1" thickBot="1" x14ac:dyDescent="0.3">
      <c r="A19" s="77"/>
      <c r="B19" s="17" t="s">
        <v>57</v>
      </c>
      <c r="C19" s="4"/>
      <c r="D19" s="18"/>
      <c r="E19" s="56" t="s">
        <v>26</v>
      </c>
      <c r="F19" s="57"/>
      <c r="G19" s="58"/>
      <c r="H19" s="42">
        <f>SUM(H15:H16)</f>
        <v>7038000</v>
      </c>
    </row>
    <row r="20" spans="1:13" ht="19.5" customHeight="1" x14ac:dyDescent="0.25">
      <c r="A20" s="26" t="s">
        <v>27</v>
      </c>
      <c r="B20" s="13"/>
      <c r="C20" s="13"/>
      <c r="D20" s="14"/>
      <c r="E20" s="59" t="s">
        <v>41</v>
      </c>
      <c r="F20" s="40"/>
      <c r="G20" s="60">
        <v>0.19</v>
      </c>
      <c r="H20" s="42">
        <f>H19*0.19</f>
        <v>1337220</v>
      </c>
      <c r="M20" t="s">
        <v>1</v>
      </c>
    </row>
    <row r="21" spans="1:13" ht="15.75" x14ac:dyDescent="0.25">
      <c r="A21" s="45" t="s">
        <v>47</v>
      </c>
      <c r="D21" s="16"/>
      <c r="E21" s="61" t="s">
        <v>28</v>
      </c>
      <c r="F21" s="39"/>
      <c r="G21" s="62">
        <v>2.5000000000000001E-2</v>
      </c>
      <c r="H21" s="42">
        <f>H19*G21</f>
        <v>175950</v>
      </c>
    </row>
    <row r="22" spans="1:13" ht="15.75" x14ac:dyDescent="0.25">
      <c r="A22" s="45" t="s">
        <v>48</v>
      </c>
      <c r="D22" s="16"/>
      <c r="E22" s="59" t="s">
        <v>45</v>
      </c>
      <c r="G22" s="73">
        <v>7.7000000000000002E-3</v>
      </c>
      <c r="H22" s="42">
        <f>H19*G22</f>
        <v>54192.6</v>
      </c>
    </row>
    <row r="23" spans="1:13" ht="16.5" thickBot="1" x14ac:dyDescent="0.3">
      <c r="A23" s="15" t="s">
        <v>31</v>
      </c>
      <c r="D23" s="16"/>
      <c r="E23" s="64"/>
      <c r="F23" s="65"/>
      <c r="G23" s="66"/>
      <c r="H23" s="43"/>
    </row>
    <row r="24" spans="1:13" ht="16.5" customHeight="1" thickBot="1" x14ac:dyDescent="0.35">
      <c r="A24" s="17"/>
      <c r="B24" s="4"/>
      <c r="C24" s="4"/>
      <c r="D24" s="18"/>
      <c r="F24" s="3"/>
      <c r="G24" s="41" t="s">
        <v>29</v>
      </c>
      <c r="H24" s="38">
        <f>H19+H20-H21-H22</f>
        <v>8145077.4000000004</v>
      </c>
    </row>
    <row r="26" spans="1:13" x14ac:dyDescent="0.25">
      <c r="A26" t="s">
        <v>1</v>
      </c>
    </row>
    <row r="28" spans="1:13" ht="15.75" thickBot="1" x14ac:dyDescent="0.3"/>
    <row r="29" spans="1:13" ht="19.5" thickBot="1" x14ac:dyDescent="0.35">
      <c r="A29" s="27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2025-04-10T21:46:29Z</dcterms:modified>
</cp:coreProperties>
</file>