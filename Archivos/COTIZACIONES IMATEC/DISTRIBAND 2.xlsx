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D737A46-45B0-491D-8145-323A6054B8E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<sst xmlns="http://schemas.openxmlformats.org/spreadsheetml/2006/main" count="57" uniqueCount="56">
  <si>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</si>
  <si>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</si>
  <si>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</si>
  <si>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</si>
  <si>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</si>
  <si>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</si>
  <si>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</si>
  <si>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</si>
  <si>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</si>
  <si>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</si>
  <si>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</si>
  <si>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</si>
  <si>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</si>
  <si>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</si>
  <si>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</si>
  <si>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</si>
  <si>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</si>
  <si>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</si>
  <si>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</si>
  <si>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</si>
  <si>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</si>
  <si>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</si>
  <si>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</si>
  <si>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</si>
  <si>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</si>
  <si>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</si>
  <si>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</si>
  <si>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</si>
  <si>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</si>
  <si>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</si>
  <si>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</si>
  <si>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</si>
  <si>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</si>
  <si>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</si>
  <si>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</si>
  <si>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</si>
  <si>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</si>
  <si>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</si>
  <si>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</si>
  <si>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</si>
  <si>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</si>
  <si>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</si>
  <si>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DISTRIBAND SAS</t>
  </si>
  <si>
    <t>900 038188</t>
  </si>
  <si>
    <t>CRA 1 No. 17-90</t>
  </si>
  <si>
    <t>CALI</t>
  </si>
  <si>
    <t>servicioalcliente@distriband.com</t>
  </si>
  <si>
    <t>ARLEY</t>
  </si>
  <si>
    <t>602 8801132</t>
  </si>
  <si>
    <t>LUIS BENAVIDEZ</t>
  </si>
  <si>
    <t>No. 2</t>
  </si>
  <si>
    <t>CODO  A / C  SCH 40  3 "  X  90 º</t>
  </si>
  <si>
    <t>SEMICODO  A / C  SCH 40  3 "</t>
  </si>
  <si>
    <t>NOVENTA Y SIETE MIL QUINIENTOS OCHENTA PESOS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</si>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</sst>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cioalcliente@distriba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C28" sqref="C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70" t="s">
        <v>43</v>
      </c>
      <c r="D8" s="71"/>
      <c r="E8" s="44"/>
      <c r="H8" s="15"/>
    </row>
    <row r="9" spans="1:8" ht="18.75" customHeight="1" x14ac:dyDescent="0.3">
      <c r="A9" s="21" t="s">
        <v>9</v>
      </c>
      <c r="C9" s="72" t="s">
        <v>44</v>
      </c>
      <c r="D9" s="23"/>
      <c r="E9" s="73" t="s">
        <v>45</v>
      </c>
      <c r="F9" s="30" t="s">
        <v>0</v>
      </c>
      <c r="H9" s="28">
        <v>45849</v>
      </c>
    </row>
    <row r="10" spans="1:8" ht="18.75" x14ac:dyDescent="0.3">
      <c r="A10" s="21" t="s">
        <v>13</v>
      </c>
      <c r="C10" s="74" t="s">
        <v>46</v>
      </c>
      <c r="D10" s="69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5" t="s">
        <v>47</v>
      </c>
      <c r="D11" s="69"/>
      <c r="E11" s="45"/>
      <c r="F11" s="30" t="s">
        <v>16</v>
      </c>
      <c r="G11" s="30"/>
      <c r="H11" s="28">
        <v>45858</v>
      </c>
    </row>
    <row r="12" spans="1:8" ht="18.75" x14ac:dyDescent="0.3">
      <c r="A12" s="21" t="s">
        <v>11</v>
      </c>
      <c r="C12" s="75" t="s">
        <v>48</v>
      </c>
      <c r="D12" s="6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6" t="s">
        <v>49</v>
      </c>
      <c r="D13" s="7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8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8">
        <v>1</v>
      </c>
      <c r="B16" s="79" t="s">
        <v>51</v>
      </c>
      <c r="C16" s="80"/>
      <c r="D16" s="81"/>
      <c r="E16" s="78" t="s">
        <v>39</v>
      </c>
      <c r="F16" s="82">
        <v>19000</v>
      </c>
      <c r="G16" s="78">
        <v>2</v>
      </c>
      <c r="H16" s="38">
        <f t="shared" ref="H16" si="0">G16*F16</f>
        <v>38000</v>
      </c>
    </row>
    <row r="17" spans="1:8" ht="16.5" thickBot="1" x14ac:dyDescent="0.3">
      <c r="A17" s="60">
        <v>2</v>
      </c>
      <c r="B17" s="61" t="s">
        <v>52</v>
      </c>
      <c r="C17" s="62"/>
      <c r="D17" s="63"/>
      <c r="E17" s="60" t="s">
        <v>39</v>
      </c>
      <c r="F17" s="64">
        <v>22000</v>
      </c>
      <c r="G17" s="60">
        <v>2</v>
      </c>
      <c r="H17" s="38">
        <f t="shared" ref="H17" si="1">G17*F17</f>
        <v>44000</v>
      </c>
    </row>
    <row r="18" spans="1:8" ht="19.5" customHeight="1" thickBot="1" x14ac:dyDescent="0.3">
      <c r="A18" s="47"/>
      <c r="B18" s="66"/>
      <c r="D18" s="67"/>
      <c r="E18" s="47"/>
      <c r="F18" s="47"/>
      <c r="G18" s="47"/>
    </row>
    <row r="19" spans="1:8" ht="19.5" customHeight="1" thickBot="1" x14ac:dyDescent="0.35">
      <c r="A19" s="65" t="s">
        <v>23</v>
      </c>
      <c r="B19" s="68" t="s">
        <v>53</v>
      </c>
      <c r="C19" s="12"/>
      <c r="D19" s="13"/>
      <c r="E19" s="48"/>
      <c r="F19" s="37" t="s">
        <v>40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17"/>
      <c r="E20" s="51" t="s">
        <v>24</v>
      </c>
      <c r="F20" s="52"/>
      <c r="G20" s="44"/>
      <c r="H20" s="49">
        <f>SUM(H16:H19)</f>
        <v>82000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15580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55</v>
      </c>
      <c r="E23" s="14"/>
      <c r="F23" s="33"/>
      <c r="G23" s="45"/>
      <c r="H23" s="15"/>
    </row>
    <row r="24" spans="1:8" ht="16.5" thickBot="1" x14ac:dyDescent="0.3">
      <c r="A24" s="14" t="s">
        <v>33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97580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41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0C5485A-335E-408C-A4D0-EA46D28D013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2025-07-11T17:07:37Z</dcterms:modified>
</cp:coreProperties>
</file>