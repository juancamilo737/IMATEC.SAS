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16B4C5BD-5920-4E7D-94B6-25CC4DD7503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SC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4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<sst xmlns="http://schemas.openxmlformats.org/spreadsheetml/2006/main" count="55" uniqueCount="54">
  <si>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</si>
  <si>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</si>
  <si>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</si>
  <si>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</si>
  <si>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</si>
  <si>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</si>
  <si>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</si>
  <si>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</si>
  <si>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</si>
  <si>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</si>
  <si>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</si>
  <si>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</si>
  <si>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</si>
  <si>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</si>
  <si>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</si>
  <si>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</si>
  <si>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</si>
  <si>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</si>
  <si>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</si>
  <si>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</si>
  <si>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</si>
  <si>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</si>
  <si>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</si>
  <si>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</si>
  <si>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</si>
  <si>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</si>
  <si>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</si>
  <si>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</si>
  <si>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</si>
  <si>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</si>
  <si>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</si>
  <si>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</si>
  <si>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</si>
  <si>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</si>
  <si>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</si>
  <si>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</si>
  <si>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</si>
  <si>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HSC INGENIERIA DE SISTEMAS HIDRAULICOS S.A.S.</t>
  </si>
  <si>
    <t>800 215634</t>
  </si>
  <si>
    <t>CRA 38  No. 15-223</t>
  </si>
  <si>
    <t>YUMBO</t>
  </si>
  <si>
    <t>martha.paredes@hscingenieria.co</t>
  </si>
  <si>
    <t>602 6658464</t>
  </si>
  <si>
    <t>LUIS A. BENAVIDES</t>
  </si>
  <si>
    <t xml:space="preserve">  CALLE  33A  No. 17F - 56                         B/  LA FLORESTA             -   CALI    -                                   CEL.     321 7834969</t>
  </si>
  <si>
    <t>L I Q U I D A C I O N</t>
  </si>
  <si>
    <t>ENTREGA INMEDIATA</t>
  </si>
  <si>
    <t>No. 16</t>
  </si>
  <si>
    <t>TUBERIA  A / C  SCH 80  8 " X  275 mm</t>
  </si>
  <si>
    <t>TRAMO</t>
  </si>
  <si>
    <t xml:space="preserve">              R E M I S I O N</t>
  </si>
  <si>
    <t>TUBERIA  A / C  SCH 80  10 " X  275  mm</t>
  </si>
  <si>
    <t>CUATROCIENTOS OCHENTA Y CINCO MIL QUINIENTOS</t>
  </si>
  <si>
    <t>VEINTE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</si>
</sst>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0" fontId="4" fillId="0" borderId="18" xfId="0" applyFont="1" applyBorder="1"/>
    <xf numFmtId="0" fontId="4" fillId="0" borderId="19" xfId="0" applyFont="1" applyBorder="1"/>
    <xf numFmtId="9" fontId="1" fillId="0" borderId="21" xfId="3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29" xfId="0" applyFont="1" applyBorder="1" applyAlignment="1">
      <alignment horizontal="center"/>
    </xf>
    <xf numFmtId="0" fontId="8" fillId="0" borderId="30" xfId="0" applyFont="1" applyBorder="1"/>
    <xf numFmtId="0" fontId="8" fillId="0" borderId="2" xfId="0" applyFont="1" applyBorder="1"/>
    <xf numFmtId="0" fontId="8" fillId="0" borderId="31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33" xfId="0" applyBorder="1"/>
    <xf numFmtId="0" fontId="0" fillId="0" borderId="6" xfId="0" applyBorder="1"/>
    <xf numFmtId="42" fontId="1" fillId="0" borderId="34" xfId="1" applyFont="1" applyBorder="1" applyAlignment="1">
      <alignment horizontal="left"/>
    </xf>
    <xf numFmtId="42" fontId="1" fillId="0" borderId="34" xfId="0" applyNumberFormat="1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tha.paredes@hscingenieria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topLeftCell="A7" zoomScaleNormal="100" workbookViewId="0">
      <selection activeCell="K28" sqref="K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0" t="s">
        <v>50</v>
      </c>
      <c r="G6" s="41"/>
      <c r="H6" s="42"/>
    </row>
    <row r="7" spans="1:8" ht="19.5" thickBot="1" x14ac:dyDescent="0.35">
      <c r="A7" s="20" t="s">
        <v>14</v>
      </c>
      <c r="B7" s="12"/>
      <c r="C7" s="54" t="s">
        <v>37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56" t="s">
        <v>38</v>
      </c>
      <c r="D8" s="57"/>
      <c r="E8" s="43"/>
      <c r="H8" s="15"/>
    </row>
    <row r="9" spans="1:8" ht="18.75" customHeight="1" x14ac:dyDescent="0.3">
      <c r="A9" s="21" t="s">
        <v>9</v>
      </c>
      <c r="C9" s="58" t="s">
        <v>39</v>
      </c>
      <c r="D9" s="23"/>
      <c r="E9" s="59" t="s">
        <v>40</v>
      </c>
      <c r="F9" s="30" t="s">
        <v>0</v>
      </c>
      <c r="H9" s="28">
        <v>45917</v>
      </c>
    </row>
    <row r="10" spans="1:8" ht="18.75" x14ac:dyDescent="0.3">
      <c r="A10" s="21" t="s">
        <v>13</v>
      </c>
      <c r="C10" s="60" t="s">
        <v>41</v>
      </c>
      <c r="D10" s="55"/>
      <c r="E10" s="44"/>
      <c r="F10" s="30" t="s">
        <v>15</v>
      </c>
      <c r="H10" s="29"/>
    </row>
    <row r="11" spans="1:8" ht="18.75" x14ac:dyDescent="0.3">
      <c r="A11" s="21" t="s">
        <v>10</v>
      </c>
      <c r="C11" s="61"/>
      <c r="D11" s="55"/>
      <c r="E11" s="44"/>
      <c r="F11" s="30" t="s">
        <v>16</v>
      </c>
      <c r="G11" s="30"/>
      <c r="H11" s="28"/>
    </row>
    <row r="12" spans="1:8" ht="18.75" x14ac:dyDescent="0.3">
      <c r="A12" s="21" t="s">
        <v>11</v>
      </c>
      <c r="C12" s="61" t="s">
        <v>42</v>
      </c>
      <c r="D12" s="55"/>
      <c r="E12" s="44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2" t="s">
        <v>43</v>
      </c>
      <c r="D13" s="63"/>
      <c r="E13" s="45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48</v>
      </c>
      <c r="C16" s="66"/>
      <c r="D16" s="67"/>
      <c r="E16" s="64" t="s">
        <v>49</v>
      </c>
      <c r="F16" s="68">
        <v>153000</v>
      </c>
      <c r="G16" s="64">
        <v>1</v>
      </c>
      <c r="H16" s="38">
        <f t="shared" ref="H16" si="0">G16*F16</f>
        <v>153000</v>
      </c>
    </row>
    <row r="17" spans="1:8" ht="16.5" thickBot="1" x14ac:dyDescent="0.3">
      <c r="A17" s="64">
        <v>2</v>
      </c>
      <c r="B17" s="65" t="s">
        <v>51</v>
      </c>
      <c r="C17" s="66"/>
      <c r="D17" s="67"/>
      <c r="E17" s="64" t="s">
        <v>49</v>
      </c>
      <c r="F17" s="68">
        <v>255000</v>
      </c>
      <c r="G17" s="64">
        <v>1</v>
      </c>
      <c r="H17" s="38">
        <f t="shared" ref="H17" si="1">G17*F17</f>
        <v>255000</v>
      </c>
    </row>
    <row r="18" spans="1:8" ht="19.5" customHeight="1" thickBot="1" x14ac:dyDescent="0.3">
      <c r="A18" s="46"/>
      <c r="B18" s="71"/>
      <c r="D18" s="72"/>
      <c r="E18" s="46"/>
      <c r="F18" s="46"/>
      <c r="G18" s="46"/>
    </row>
    <row r="19" spans="1:8" ht="19.5" customHeight="1" thickBot="1" x14ac:dyDescent="0.35">
      <c r="A19" s="70" t="s">
        <v>23</v>
      </c>
      <c r="B19" s="73" t="s">
        <v>52</v>
      </c>
      <c r="C19" s="12"/>
      <c r="D19" s="13"/>
      <c r="E19" s="47"/>
      <c r="F19" s="37" t="s">
        <v>45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49" t="s">
        <v>24</v>
      </c>
      <c r="F20" s="50"/>
      <c r="G20" s="43"/>
      <c r="H20" s="48">
        <f>SUM(H16:H19)</f>
        <v>408000</v>
      </c>
    </row>
    <row r="21" spans="1:8" ht="19.5" customHeight="1" x14ac:dyDescent="0.25">
      <c r="A21" s="24" t="s">
        <v>25</v>
      </c>
      <c r="B21" s="12"/>
      <c r="C21" s="12"/>
      <c r="D21" s="13"/>
      <c r="E21" s="3" t="s">
        <v>29</v>
      </c>
      <c r="F21" s="23"/>
      <c r="G21" s="51">
        <v>0.19</v>
      </c>
      <c r="H21" s="74">
        <f>H20*G21</f>
        <v>77520</v>
      </c>
    </row>
    <row r="22" spans="1:8" ht="19.5" customHeight="1" x14ac:dyDescent="0.25">
      <c r="A22" s="14" t="s">
        <v>30</v>
      </c>
      <c r="D22" s="15"/>
      <c r="E22" s="33" t="s">
        <v>26</v>
      </c>
      <c r="G22" s="53">
        <v>2.5000000000000001E-2</v>
      </c>
      <c r="H22" s="75"/>
    </row>
    <row r="23" spans="1:8" ht="16.5" thickBot="1" x14ac:dyDescent="0.3">
      <c r="A23" s="14" t="s">
        <v>46</v>
      </c>
      <c r="D23" s="15"/>
      <c r="E23" s="52" t="s">
        <v>27</v>
      </c>
      <c r="F23" s="52"/>
      <c r="G23" s="45"/>
      <c r="H23" s="17"/>
    </row>
    <row r="24" spans="1:8" ht="19.5" thickBot="1" x14ac:dyDescent="0.35">
      <c r="A24" s="14" t="s">
        <v>32</v>
      </c>
      <c r="D24" s="15"/>
      <c r="F24" s="3"/>
      <c r="G24" s="34" t="s">
        <v>28</v>
      </c>
      <c r="H24" s="36">
        <f>H20+H21-H22</f>
        <v>485520</v>
      </c>
    </row>
    <row r="25" spans="1:8" ht="15.75" thickBot="1" x14ac:dyDescent="0.3">
      <c r="A25" s="16"/>
      <c r="B25" s="4"/>
      <c r="C25" s="4"/>
      <c r="D25" s="17"/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HSC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2025-09-17T20:36:22Z</cp:lastPrinted>
  <dcterms:created xsi:type="dcterms:W3CDTF">2018-11-15T17:29:02Z</dcterms:created>
  <dcterms:modified xsi:type="dcterms:W3CDTF">2025-09-17T20:37:26Z</dcterms:modified>
</cp:coreProperties>
</file>