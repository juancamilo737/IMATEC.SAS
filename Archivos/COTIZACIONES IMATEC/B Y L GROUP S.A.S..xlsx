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6635417-1FF2-4398-9C85-9F6E1FB26923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BYL GROUP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<sst xmlns="http://schemas.openxmlformats.org/spreadsheetml/2006/main" count="55" uniqueCount="54">
  <si>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</si>
  <si>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</si>
  <si>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</si>
  <si>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</si>
  <si>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</si>
  <si>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</si>
  <si>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</si>
  <si>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</si>
  <si>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</si>
  <si>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</si>
  <si>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</si>
  <si>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</si>
  <si>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</si>
  <si>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</si>
  <si>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</si>
  <si>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</si>
  <si>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</si>
  <si>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</si>
  <si>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</si>
  <si>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</si>
  <si>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</si>
  <si>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</si>
  <si>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</si>
  <si>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</si>
  <si>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</si>
  <si>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</si>
  <si>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</si>
  <si>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</si>
  <si>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</si>
  <si>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</si>
  <si>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</si>
  <si>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</si>
  <si>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</si>
  <si>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</si>
  <si>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</si>
  <si>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</si>
  <si>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</si>
  <si>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</si>
  <si>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</si>
  <si>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</si>
  <si>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</si>
  <si>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</si>
  <si>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 xml:space="preserve">ENTREGA </t>
  </si>
  <si>
    <t>BYL GROUP S.A.S.</t>
  </si>
  <si>
    <t>901 590095</t>
  </si>
  <si>
    <t>CRA 121 A   No.  47A-46</t>
  </si>
  <si>
    <t>CALI</t>
  </si>
  <si>
    <t xml:space="preserve">TUBERIA  A / C SCH 80  1 1/4 "  </t>
  </si>
  <si>
    <t>METRO LINEAL</t>
  </si>
  <si>
    <t xml:space="preserve">TRESCIENTOS QUINCE MIL QUINIENTOS OCHENTA Y </t>
  </si>
  <si>
    <t>OCHO PESOS MDA / CTE</t>
  </si>
  <si>
    <t>contactocolombia@grupobyl.com</t>
  </si>
  <si>
    <t>300 6323416</t>
  </si>
  <si>
    <t>EDINSON CABEZAS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</si>
</sst>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ctocolombia@grupoby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6" zoomScaleNormal="100" workbookViewId="0">
      <selection activeCell="D29" sqref="D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43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7" t="s">
        <v>44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45</v>
      </c>
      <c r="D9" s="23"/>
      <c r="E9" s="70" t="s">
        <v>46</v>
      </c>
      <c r="F9" s="30" t="s">
        <v>0</v>
      </c>
      <c r="H9" s="28">
        <v>45611</v>
      </c>
    </row>
    <row r="10" spans="1:8" ht="18.75" x14ac:dyDescent="0.3">
      <c r="A10" s="21" t="s">
        <v>13</v>
      </c>
      <c r="C10" s="71" t="s">
        <v>51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45620</v>
      </c>
    </row>
    <row r="12" spans="1:8" ht="18.75" x14ac:dyDescent="0.3">
      <c r="A12" s="21" t="s">
        <v>11</v>
      </c>
      <c r="C12" s="72" t="s">
        <v>52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53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47</v>
      </c>
      <c r="C16" s="77"/>
      <c r="D16" s="78"/>
      <c r="E16" s="75" t="s">
        <v>48</v>
      </c>
      <c r="F16" s="79">
        <v>31200</v>
      </c>
      <c r="G16" s="75">
        <v>6</v>
      </c>
      <c r="H16" s="38">
        <f t="shared" ref="H16" si="0">G16*F16</f>
        <v>187200</v>
      </c>
    </row>
    <row r="17" spans="1:8" ht="16.5" thickBot="1" x14ac:dyDescent="0.3">
      <c r="A17" s="75">
        <v>2</v>
      </c>
      <c r="B17" s="76" t="s">
        <v>47</v>
      </c>
      <c r="C17" s="77"/>
      <c r="D17" s="78"/>
      <c r="E17" s="75" t="s">
        <v>41</v>
      </c>
      <c r="F17" s="79">
        <v>39000</v>
      </c>
      <c r="G17" s="75">
        <v>2</v>
      </c>
      <c r="H17" s="38">
        <f t="shared" ref="H17" si="1">G17*F17</f>
        <v>78000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49</v>
      </c>
      <c r="D19" s="15"/>
      <c r="E19" s="54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50</v>
      </c>
      <c r="C20" s="4"/>
      <c r="D20" s="4"/>
      <c r="E20" s="57" t="s">
        <v>24</v>
      </c>
      <c r="F20" s="58"/>
      <c r="G20" s="46"/>
      <c r="H20" s="55">
        <f>SUM(H16:H19)</f>
        <v>265200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30</v>
      </c>
      <c r="F21" s="23"/>
      <c r="G21" s="60">
        <v>0.19</v>
      </c>
      <c r="H21" s="40">
        <f>H20*G21</f>
        <v>50388</v>
      </c>
    </row>
    <row r="22" spans="1:8" ht="19.5" customHeight="1" x14ac:dyDescent="0.25">
      <c r="A22" s="14" t="s">
        <v>31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42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315588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2A02BF3-D44C-4D5C-A57C-4439BF50C29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BYL GROUP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2024-11-15T21:55:02Z</dcterms:modified>
</cp:coreProperties>
</file>