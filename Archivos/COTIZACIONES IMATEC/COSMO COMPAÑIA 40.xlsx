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A2DCF2C-559F-45FE-81B3-D154CCCF8DD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2" i="2"/>
  <c r="H17" i="2"/>
  <c r="H18" i="2"/>
  <c r="H19" i="2"/>
  <c r="H16" i="2"/>
  <c r="H23" i="2" l="1"/>
  <c r="H27" i="2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<sst xmlns="http://schemas.openxmlformats.org/spreadsheetml/2006/main" count="60" uniqueCount="58">
  <si>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</si>
  <si>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</si>
  <si>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</si>
  <si>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</si>
  <si>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</si>
  <si>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</si>
  <si>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</si>
  <si>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</si>
  <si>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</si>
  <si>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</si>
  <si>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</si>
  <si>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</si>
  <si>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</si>
  <si>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</si>
  <si>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</si>
  <si>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</si>
  <si>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</si>
  <si>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</si>
  <si>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</si>
  <si>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</si>
  <si>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</si>
  <si>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</si>
  <si>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</si>
  <si>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</si>
  <si>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</si>
  <si>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</si>
  <si>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</si>
  <si>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</si>
  <si>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</si>
  <si>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</si>
  <si>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</si>
  <si>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</si>
  <si>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</si>
  <si>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</si>
  <si>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</si>
  <si>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</si>
  <si>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</si>
  <si>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</si>
  <si>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</si>
  <si>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</si>
  <si>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</si>
  <si>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</si>
  <si>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</si>
  <si>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</si>
  <si>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</si>
  <si>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</si>
  <si>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>ACCESORIO</t>
  </si>
  <si>
    <t xml:space="preserve">            C O T I Z A C I O N</t>
  </si>
  <si>
    <t>No.  40</t>
  </si>
  <si>
    <t>L I Q U I D A C I O N</t>
  </si>
  <si>
    <t xml:space="preserve">  CALLE  33 A  No. 17 A - 56                           B/  LA FLORESTA             -   CALI    -                         CEL.     321 7834969</t>
  </si>
  <si>
    <t>TUBERIA  PVC  PRESION SCH 40  3 "  X 6 MTS</t>
  </si>
  <si>
    <t>TUBO</t>
  </si>
  <si>
    <t>CODO PVC PRESION SCH 40  3 "  X  90 º</t>
  </si>
  <si>
    <t>BRIDA PVC  SCH 40   3 "</t>
  </si>
  <si>
    <t>EMPAQUE EN CAUCHO  3 "</t>
  </si>
  <si>
    <t xml:space="preserve">TRES MILLONES NOVECIENTOS OCHENTA Y TRES MIL </t>
  </si>
  <si>
    <t>SETECIENTOS VEINTIDOS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</si>
</sst>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2"/>
  <sheetViews>
    <sheetView tabSelected="1" topLeftCell="A10" zoomScaleNormal="100" workbookViewId="0">
      <selection activeCell="I19" sqref="I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48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45687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45697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51</v>
      </c>
      <c r="C16" s="70"/>
      <c r="D16" s="45"/>
      <c r="E16" s="71" t="s">
        <v>52</v>
      </c>
      <c r="F16" s="66">
        <v>196020</v>
      </c>
      <c r="G16" s="67">
        <v>13</v>
      </c>
      <c r="H16" s="38">
        <f>F16*G16</f>
        <v>2548260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46</v>
      </c>
      <c r="F17" s="66">
        <v>36905</v>
      </c>
      <c r="G17" s="67">
        <v>12</v>
      </c>
      <c r="H17" s="38">
        <f t="shared" ref="H17:H19" si="0">F17*G17</f>
        <v>442860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46</v>
      </c>
      <c r="F18" s="66">
        <v>47498</v>
      </c>
      <c r="G18" s="67">
        <v>8</v>
      </c>
      <c r="H18" s="38">
        <f t="shared" si="0"/>
        <v>379984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46</v>
      </c>
      <c r="F19" s="66">
        <v>12100</v>
      </c>
      <c r="G19" s="67">
        <v>4</v>
      </c>
      <c r="H19" s="38">
        <f t="shared" si="0"/>
        <v>48400</v>
      </c>
    </row>
    <row r="20" spans="1:8" ht="15.75" thickBot="1" x14ac:dyDescent="0.3">
      <c r="B20" s="16"/>
      <c r="C20" s="4"/>
      <c r="D20" s="17"/>
      <c r="F20" s="65"/>
      <c r="G20" s="65"/>
    </row>
    <row r="21" spans="1:8" ht="19.5" customHeight="1" thickBot="1" x14ac:dyDescent="0.35">
      <c r="A21" s="62" t="s">
        <v>23</v>
      </c>
      <c r="B21" s="61" t="s">
        <v>56</v>
      </c>
      <c r="C21" s="12"/>
      <c r="D21" s="13"/>
      <c r="E21" s="64"/>
      <c r="F21" s="37" t="s">
        <v>49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17"/>
      <c r="E22" s="52" t="s">
        <v>24</v>
      </c>
      <c r="F22" s="52"/>
      <c r="G22" s="45"/>
      <c r="H22" s="50">
        <f>SUM(H16:H19)</f>
        <v>3419504</v>
      </c>
    </row>
    <row r="23" spans="1:8" ht="19.5" customHeight="1" x14ac:dyDescent="0.25">
      <c r="A23" s="24" t="s">
        <v>25</v>
      </c>
      <c r="E23" s="53" t="s">
        <v>29</v>
      </c>
      <c r="F23" s="23"/>
      <c r="G23" s="54">
        <v>0.19</v>
      </c>
      <c r="H23" s="40">
        <f>H22*G23</f>
        <v>649705.76</v>
      </c>
    </row>
    <row r="24" spans="1:8" ht="19.5" customHeight="1" x14ac:dyDescent="0.25">
      <c r="A24" s="14" t="s">
        <v>45</v>
      </c>
      <c r="E24" s="55" t="s">
        <v>26</v>
      </c>
      <c r="G24" s="58">
        <v>2.5000000000000001E-2</v>
      </c>
      <c r="H24" s="51">
        <f>H22*G24</f>
        <v>85487.6</v>
      </c>
    </row>
    <row r="25" spans="1:8" ht="15.75" x14ac:dyDescent="0.25">
      <c r="A25" s="14" t="s">
        <v>44</v>
      </c>
      <c r="E25" s="14"/>
      <c r="F25" s="33"/>
      <c r="G25" s="46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7"/>
      <c r="H26" s="17"/>
    </row>
    <row r="27" spans="1:8" ht="19.5" thickBot="1" x14ac:dyDescent="0.35">
      <c r="A27" s="60"/>
      <c r="B27" s="4"/>
      <c r="C27" s="4"/>
      <c r="D27" s="17"/>
      <c r="F27" s="3"/>
      <c r="G27" s="34" t="s">
        <v>28</v>
      </c>
      <c r="H27" s="36">
        <f>H22+H23-H24</f>
        <v>3983722.1599999997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50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2025-01-30T19:06:14Z</dcterms:modified>
</cp:coreProperties>
</file>