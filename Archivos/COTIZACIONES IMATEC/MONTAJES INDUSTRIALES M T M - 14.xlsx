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50003AAE-4A3B-4782-BF1C-40F86C9C3B42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.T.M. LTDA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7" i="1" l="1"/>
  <c r="H24" i="1"/>
  <c r="H23" i="1"/>
  <c r="H22" i="1"/>
  <c r="H21" i="1"/>
  <c r="H20" i="1"/>
  <c r="H19" i="1"/>
  <c r="H18" i="1"/>
  <c r="H17" i="1"/>
  <c r="H16" i="1"/>
  <c r="H28" i="1" l="1"/>
  <c r="H32" i="1" s="1"/>
</calcChain>
</file>

<file path=xl/sharedStrings.xml><?xml version="1.0" encoding="utf-8"?>
<sst xmlns="http://schemas.openxmlformats.org/spreadsheetml/2006/main" count="70" uniqueCount="62">
  <si>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</si>
  <si>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</si>
  <si>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</si>
  <si>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</si>
  <si>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</si>
  <si>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</si>
  <si>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</si>
  <si>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</si>
  <si>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</si>
  <si>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</si>
  <si>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</si>
  <si>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</si>
  <si>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</si>
  <si>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</si>
  <si>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</si>
  <si>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</si>
  <si>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</si>
  <si>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</si>
  <si>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</si>
  <si>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</si>
  <si>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</si>
  <si>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</si>
  <si>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</si>
  <si>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</si>
  <si>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</si>
  <si>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</si>
  <si>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</si>
  <si>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</si>
  <si>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</si>
  <si>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</si>
  <si>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</si>
  <si>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</si>
  <si>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</si>
  <si>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</si>
  <si>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</si>
  <si>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</si>
  <si>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MONTAJES INDUSTRIALES M.T.M. LTDA</t>
  </si>
  <si>
    <t>900 510720</t>
  </si>
  <si>
    <t>CALLE 33 E  No. 27-13</t>
  </si>
  <si>
    <t>CALI</t>
  </si>
  <si>
    <t>mtmltda@yahoo.es</t>
  </si>
  <si>
    <t>602 3737300</t>
  </si>
  <si>
    <t>EDINSON CABEZAS</t>
  </si>
  <si>
    <t xml:space="preserve">              R E M I S I O N</t>
  </si>
  <si>
    <t>ENTREGA INMEDIATA</t>
  </si>
  <si>
    <t>ACCESORIO</t>
  </si>
  <si>
    <t>FORMA DE PAGO : CREDITO A 15 DIAS</t>
  </si>
  <si>
    <t>15 DIAS</t>
  </si>
  <si>
    <t xml:space="preserve">  CALLE  33A  No. 17F - 56                       B/  LA FLORESTA             -   CALI    -                                       CEL.     321 7834969</t>
  </si>
  <si>
    <t>L I Q U I D A C I O N</t>
  </si>
  <si>
    <t xml:space="preserve">  RETEICA</t>
  </si>
  <si>
    <t>No. 14</t>
  </si>
  <si>
    <t>TEE AC/INOX 304  1 1/2 "  X  150 LBS ROSCADA</t>
  </si>
  <si>
    <t>BUSHING AC/INOX 304 1 1/2 " X 1/2 " X 150 LBS</t>
  </si>
  <si>
    <t>BUSHING AC/INOX 304 1 1/2 " X 1 1/4 " X 150 LBS</t>
  </si>
  <si>
    <t>BUSHING AC/INOX 304 1 1/2 " X  1/4 " X 150 LBS</t>
  </si>
  <si>
    <t>CODO AC/INOX 304 1 1/4 " X 90 º</t>
  </si>
  <si>
    <t>UNION AC/INOX 304 2  "</t>
  </si>
  <si>
    <t>CODO AC/INOX 304   1/4 " X 90 º</t>
  </si>
  <si>
    <t xml:space="preserve">TEE AC/INOX  1/4 " </t>
  </si>
  <si>
    <t>TEE HD MECANICA  3 "  X  1/2 "</t>
  </si>
  <si>
    <t>CIENTO TREINTA MIL OCHENTA Y CINCO PESOS MDA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</si>
</sst>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8" xfId="0" applyBorder="1"/>
    <xf numFmtId="0" fontId="0" fillId="0" borderId="24" xfId="0" applyBorder="1"/>
    <xf numFmtId="0" fontId="13" fillId="0" borderId="9" xfId="2" applyBorder="1"/>
    <xf numFmtId="0" fontId="0" fillId="0" borderId="25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9" xfId="0" applyFont="1" applyBorder="1"/>
    <xf numFmtId="9" fontId="1" fillId="0" borderId="19" xfId="3" applyFont="1" applyBorder="1"/>
    <xf numFmtId="0" fontId="4" fillId="0" borderId="20" xfId="0" applyFont="1" applyBorder="1"/>
    <xf numFmtId="0" fontId="4" fillId="0" borderId="22" xfId="0" applyFont="1" applyBorder="1"/>
    <xf numFmtId="0" fontId="4" fillId="0" borderId="23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3" xfId="0" applyFont="1" applyBorder="1"/>
    <xf numFmtId="0" fontId="0" fillId="0" borderId="26" xfId="0" applyBorder="1"/>
    <xf numFmtId="0" fontId="0" fillId="0" borderId="27" xfId="0" applyBorder="1"/>
    <xf numFmtId="0" fontId="0" fillId="0" borderId="6" xfId="0" applyBorder="1"/>
    <xf numFmtId="0" fontId="0" fillId="0" borderId="8" xfId="0" applyBorder="1"/>
    <xf numFmtId="0" fontId="1" fillId="0" borderId="28" xfId="0" applyFont="1" applyBorder="1" applyAlignment="1">
      <alignment horizontal="left" vertical="top" wrapText="1"/>
    </xf>
    <xf numFmtId="14" fontId="10" fillId="0" borderId="10" xfId="0" applyNumberFormat="1" applyFont="1" applyBorder="1"/>
    <xf numFmtId="0" fontId="1" fillId="0" borderId="17" xfId="0" applyFont="1" applyBorder="1" applyAlignment="1">
      <alignment horizontal="center"/>
    </xf>
    <xf numFmtId="0" fontId="8" fillId="0" borderId="30" xfId="0" applyFont="1" applyBorder="1"/>
    <xf numFmtId="0" fontId="8" fillId="0" borderId="17" xfId="0" applyFont="1" applyBorder="1"/>
    <xf numFmtId="0" fontId="8" fillId="0" borderId="29" xfId="0" applyFont="1" applyBorder="1"/>
    <xf numFmtId="0" fontId="1" fillId="0" borderId="31" xfId="0" applyFont="1" applyBorder="1" applyAlignment="1">
      <alignment horizontal="center"/>
    </xf>
    <xf numFmtId="42" fontId="11" fillId="0" borderId="31" xfId="1" applyFont="1" applyBorder="1" applyAlignment="1">
      <alignment horizontal="center"/>
    </xf>
    <xf numFmtId="42" fontId="1" fillId="0" borderId="29" xfId="1" applyFont="1" applyBorder="1" applyAlignment="1">
      <alignment horizontal="left"/>
    </xf>
    <xf numFmtId="0" fontId="1" fillId="0" borderId="21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tmltda@yahoo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7"/>
  <sheetViews>
    <sheetView tabSelected="1" topLeftCell="A7" zoomScaleNormal="100" workbookViewId="0">
      <selection activeCell="L30" sqref="L30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3" t="s">
        <v>34</v>
      </c>
    </row>
    <row r="3" spans="1:8" ht="27" thickBot="1" x14ac:dyDescent="0.45">
      <c r="A3" s="11" t="s">
        <v>35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30</v>
      </c>
      <c r="E4" s="17"/>
      <c r="F4" s="18"/>
      <c r="G4" s="6"/>
      <c r="H4" s="7"/>
    </row>
    <row r="5" spans="1:8" ht="19.5" thickBot="1" x14ac:dyDescent="0.35">
      <c r="A5" s="35" t="s">
        <v>32</v>
      </c>
      <c r="B5" s="6"/>
      <c r="C5" s="6"/>
      <c r="D5" s="6"/>
      <c r="E5" s="6"/>
    </row>
    <row r="6" spans="1:8" ht="24.75" customHeight="1" thickBot="1" x14ac:dyDescent="0.45">
      <c r="F6" s="38" t="s">
        <v>43</v>
      </c>
      <c r="G6" s="39"/>
      <c r="H6" s="40"/>
    </row>
    <row r="7" spans="1:8" ht="19.5" thickBot="1" x14ac:dyDescent="0.35">
      <c r="A7" s="19" t="s">
        <v>14</v>
      </c>
      <c r="B7" s="12"/>
      <c r="C7" s="41" t="s">
        <v>36</v>
      </c>
      <c r="D7" s="6"/>
      <c r="E7" s="6"/>
      <c r="F7" s="35"/>
      <c r="G7" s="17"/>
      <c r="H7" s="18" t="s">
        <v>51</v>
      </c>
    </row>
    <row r="8" spans="1:8" ht="19.5" thickBot="1" x14ac:dyDescent="0.35">
      <c r="A8" s="20" t="s">
        <v>8</v>
      </c>
      <c r="C8" s="13" t="s">
        <v>37</v>
      </c>
      <c r="E8" s="14"/>
      <c r="H8" s="14"/>
    </row>
    <row r="9" spans="1:8" ht="18.75" customHeight="1" thickBot="1" x14ac:dyDescent="0.35">
      <c r="A9" s="20" t="s">
        <v>9</v>
      </c>
      <c r="C9" s="13" t="s">
        <v>38</v>
      </c>
      <c r="E9" s="57" t="s">
        <v>39</v>
      </c>
      <c r="F9" s="29" t="s">
        <v>0</v>
      </c>
      <c r="H9" s="27">
        <v>45890</v>
      </c>
    </row>
    <row r="10" spans="1:8" ht="18.75" x14ac:dyDescent="0.3">
      <c r="A10" s="20" t="s">
        <v>13</v>
      </c>
      <c r="C10" s="44" t="s">
        <v>40</v>
      </c>
      <c r="E10" s="14"/>
      <c r="F10" s="29" t="s">
        <v>15</v>
      </c>
      <c r="H10" s="28" t="s">
        <v>47</v>
      </c>
    </row>
    <row r="11" spans="1:8" ht="18.75" x14ac:dyDescent="0.3">
      <c r="A11" s="20" t="s">
        <v>10</v>
      </c>
      <c r="C11" s="13"/>
      <c r="E11" s="14"/>
      <c r="F11" s="29" t="s">
        <v>16</v>
      </c>
      <c r="G11" s="29"/>
      <c r="H11" s="27">
        <v>45904</v>
      </c>
    </row>
    <row r="12" spans="1:8" ht="18.75" x14ac:dyDescent="0.3">
      <c r="A12" s="20" t="s">
        <v>11</v>
      </c>
      <c r="C12" s="13" t="s">
        <v>41</v>
      </c>
      <c r="E12" s="14"/>
      <c r="F12" s="29" t="s">
        <v>17</v>
      </c>
      <c r="H12" s="64"/>
    </row>
    <row r="13" spans="1:8" ht="18.75" customHeight="1" thickBot="1" x14ac:dyDescent="0.35">
      <c r="A13" s="21" t="s">
        <v>12</v>
      </c>
      <c r="B13" s="4"/>
      <c r="C13" s="15" t="s">
        <v>42</v>
      </c>
      <c r="D13" s="4"/>
      <c r="E13" s="16"/>
      <c r="F13" s="4"/>
      <c r="G13" s="4"/>
      <c r="H13" s="16"/>
    </row>
    <row r="14" spans="1:8" ht="15.75" thickBot="1" x14ac:dyDescent="0.3"/>
    <row r="15" spans="1:8" ht="15.75" thickBot="1" x14ac:dyDescent="0.3">
      <c r="A15" s="30" t="s">
        <v>33</v>
      </c>
      <c r="B15" s="58" t="s">
        <v>22</v>
      </c>
      <c r="C15" s="17"/>
      <c r="D15" s="7"/>
      <c r="E15" s="30" t="s">
        <v>18</v>
      </c>
      <c r="F15" s="30" t="s">
        <v>20</v>
      </c>
      <c r="G15" s="30" t="s">
        <v>19</v>
      </c>
      <c r="H15" s="30" t="s">
        <v>21</v>
      </c>
    </row>
    <row r="16" spans="1:8" ht="16.5" thickBot="1" x14ac:dyDescent="0.3">
      <c r="A16" s="65">
        <v>1</v>
      </c>
      <c r="B16" s="66" t="s">
        <v>52</v>
      </c>
      <c r="C16" s="67"/>
      <c r="D16" s="68"/>
      <c r="E16" s="69" t="s">
        <v>45</v>
      </c>
      <c r="F16" s="70">
        <v>18100</v>
      </c>
      <c r="G16" s="69">
        <v>1</v>
      </c>
      <c r="H16" s="71">
        <f t="shared" ref="H16" si="0">G16*F16</f>
        <v>18100</v>
      </c>
    </row>
    <row r="17" spans="1:8" ht="16.5" thickBot="1" x14ac:dyDescent="0.3">
      <c r="A17" s="65">
        <v>2</v>
      </c>
      <c r="B17" s="66" t="s">
        <v>53</v>
      </c>
      <c r="C17" s="67"/>
      <c r="D17" s="68"/>
      <c r="E17" s="69" t="s">
        <v>45</v>
      </c>
      <c r="F17" s="70">
        <v>10875</v>
      </c>
      <c r="G17" s="69">
        <v>1</v>
      </c>
      <c r="H17" s="71">
        <f t="shared" ref="H17:H24" si="1">G17*F17</f>
        <v>10875</v>
      </c>
    </row>
    <row r="18" spans="1:8" ht="16.5" thickBot="1" x14ac:dyDescent="0.3">
      <c r="A18" s="65">
        <v>3</v>
      </c>
      <c r="B18" s="66" t="s">
        <v>54</v>
      </c>
      <c r="C18" s="67"/>
      <c r="D18" s="68"/>
      <c r="E18" s="69" t="s">
        <v>45</v>
      </c>
      <c r="F18" s="70">
        <v>8970</v>
      </c>
      <c r="G18" s="69">
        <v>1</v>
      </c>
      <c r="H18" s="71">
        <f t="shared" si="1"/>
        <v>8970</v>
      </c>
    </row>
    <row r="19" spans="1:8" ht="16.5" thickBot="1" x14ac:dyDescent="0.3">
      <c r="A19" s="65">
        <v>4</v>
      </c>
      <c r="B19" s="66" t="s">
        <v>55</v>
      </c>
      <c r="C19" s="67"/>
      <c r="D19" s="68"/>
      <c r="E19" s="69" t="s">
        <v>45</v>
      </c>
      <c r="F19" s="70">
        <v>2600</v>
      </c>
      <c r="G19" s="69">
        <v>1</v>
      </c>
      <c r="H19" s="71">
        <f t="shared" si="1"/>
        <v>2600</v>
      </c>
    </row>
    <row r="20" spans="1:8" ht="16.5" thickBot="1" x14ac:dyDescent="0.3">
      <c r="A20" s="65">
        <v>5</v>
      </c>
      <c r="B20" s="66" t="s">
        <v>56</v>
      </c>
      <c r="C20" s="67"/>
      <c r="D20" s="68"/>
      <c r="E20" s="69" t="s">
        <v>45</v>
      </c>
      <c r="F20" s="70">
        <v>10670</v>
      </c>
      <c r="G20" s="69">
        <v>1</v>
      </c>
      <c r="H20" s="71">
        <f t="shared" si="1"/>
        <v>10670</v>
      </c>
    </row>
    <row r="21" spans="1:8" ht="16.5" thickBot="1" x14ac:dyDescent="0.3">
      <c r="A21" s="65">
        <v>6</v>
      </c>
      <c r="B21" s="66" t="s">
        <v>57</v>
      </c>
      <c r="C21" s="67"/>
      <c r="D21" s="68"/>
      <c r="E21" s="69" t="s">
        <v>45</v>
      </c>
      <c r="F21" s="70">
        <v>16450</v>
      </c>
      <c r="G21" s="69">
        <v>1</v>
      </c>
      <c r="H21" s="71">
        <f t="shared" si="1"/>
        <v>16450</v>
      </c>
    </row>
    <row r="22" spans="1:8" ht="16.5" thickBot="1" x14ac:dyDescent="0.3">
      <c r="A22" s="65">
        <v>7</v>
      </c>
      <c r="B22" s="66" t="s">
        <v>58</v>
      </c>
      <c r="C22" s="67"/>
      <c r="D22" s="68"/>
      <c r="E22" s="69" t="s">
        <v>45</v>
      </c>
      <c r="F22" s="70">
        <v>2150</v>
      </c>
      <c r="G22" s="69">
        <v>3</v>
      </c>
      <c r="H22" s="71">
        <f t="shared" si="1"/>
        <v>6450</v>
      </c>
    </row>
    <row r="23" spans="1:8" ht="16.5" thickBot="1" x14ac:dyDescent="0.3">
      <c r="A23" s="65">
        <v>8</v>
      </c>
      <c r="B23" s="66" t="s">
        <v>59</v>
      </c>
      <c r="C23" s="67"/>
      <c r="D23" s="68"/>
      <c r="E23" s="69" t="s">
        <v>45</v>
      </c>
      <c r="F23" s="70">
        <v>3450</v>
      </c>
      <c r="G23" s="69">
        <v>3</v>
      </c>
      <c r="H23" s="71">
        <f t="shared" si="1"/>
        <v>10350</v>
      </c>
    </row>
    <row r="24" spans="1:8" ht="15.75" x14ac:dyDescent="0.25">
      <c r="A24" s="65">
        <v>9</v>
      </c>
      <c r="B24" s="66" t="s">
        <v>60</v>
      </c>
      <c r="C24" s="67"/>
      <c r="D24" s="68"/>
      <c r="E24" s="69" t="s">
        <v>45</v>
      </c>
      <c r="F24" s="70">
        <v>24850</v>
      </c>
      <c r="G24" s="69">
        <v>1</v>
      </c>
      <c r="H24" s="71">
        <f t="shared" si="1"/>
        <v>24850</v>
      </c>
    </row>
    <row r="25" spans="1:8" ht="19.5" customHeight="1" thickBot="1" x14ac:dyDescent="0.3">
      <c r="A25" s="45"/>
      <c r="B25" s="59"/>
      <c r="D25" s="60"/>
      <c r="E25" s="45"/>
      <c r="F25" s="45"/>
      <c r="G25" s="45"/>
    </row>
    <row r="26" spans="1:8" ht="19.5" customHeight="1" thickBot="1" x14ac:dyDescent="0.35">
      <c r="A26" s="63" t="s">
        <v>23</v>
      </c>
      <c r="B26" s="61" t="s">
        <v>61</v>
      </c>
      <c r="C26" s="12"/>
      <c r="D26" s="62"/>
      <c r="E26" s="46"/>
      <c r="F26" s="35" t="s">
        <v>49</v>
      </c>
      <c r="G26" s="6"/>
      <c r="H26" s="7"/>
    </row>
    <row r="27" spans="1:8" ht="19.5" customHeight="1" thickBot="1" x14ac:dyDescent="0.3">
      <c r="A27" s="36"/>
      <c r="B27" s="15"/>
      <c r="C27" s="4"/>
      <c r="D27" s="16"/>
      <c r="E27" s="49" t="s">
        <v>24</v>
      </c>
      <c r="F27" s="50"/>
      <c r="G27" s="42"/>
      <c r="H27" s="47">
        <f>SUM(H16:H24)</f>
        <v>109315</v>
      </c>
    </row>
    <row r="28" spans="1:8" ht="19.5" customHeight="1" x14ac:dyDescent="0.25">
      <c r="A28" s="23" t="s">
        <v>25</v>
      </c>
      <c r="B28" s="12"/>
      <c r="C28" s="12"/>
      <c r="D28" s="12"/>
      <c r="E28" s="51" t="s">
        <v>29</v>
      </c>
      <c r="F28" s="22"/>
      <c r="G28" s="52">
        <v>0.19</v>
      </c>
      <c r="H28" s="37">
        <f>H27*G28</f>
        <v>20769.849999999999</v>
      </c>
    </row>
    <row r="29" spans="1:8" ht="19.5" customHeight="1" x14ac:dyDescent="0.25">
      <c r="A29" s="13" t="s">
        <v>46</v>
      </c>
      <c r="E29" s="53" t="s">
        <v>26</v>
      </c>
      <c r="G29" s="56">
        <v>2.5000000000000001E-2</v>
      </c>
      <c r="H29" s="48"/>
    </row>
    <row r="30" spans="1:8" ht="15.75" x14ac:dyDescent="0.25">
      <c r="A30" s="13" t="s">
        <v>44</v>
      </c>
      <c r="E30" s="51" t="s">
        <v>50</v>
      </c>
      <c r="F30" s="31"/>
      <c r="G30" s="72">
        <v>7.7000000000000002E-3</v>
      </c>
      <c r="H30" s="48"/>
    </row>
    <row r="31" spans="1:8" ht="16.5" thickBot="1" x14ac:dyDescent="0.3">
      <c r="A31" s="13" t="s">
        <v>31</v>
      </c>
      <c r="E31" s="54" t="s">
        <v>27</v>
      </c>
      <c r="F31" s="55"/>
      <c r="G31" s="43"/>
      <c r="H31" s="16"/>
    </row>
    <row r="32" spans="1:8" ht="19.5" thickBot="1" x14ac:dyDescent="0.35">
      <c r="A32" s="15"/>
      <c r="B32" s="4"/>
      <c r="C32" s="4"/>
      <c r="D32" s="16"/>
      <c r="F32" s="3"/>
      <c r="G32" s="32" t="s">
        <v>28</v>
      </c>
      <c r="H32" s="34">
        <f>H27+H28-H29-H30</f>
        <v>130084.85</v>
      </c>
    </row>
    <row r="33" spans="1:8" ht="16.5" customHeight="1" x14ac:dyDescent="0.25"/>
    <row r="38" spans="1:8" ht="15.75" thickBot="1" x14ac:dyDescent="0.3"/>
    <row r="39" spans="1:8" ht="19.5" thickBot="1" x14ac:dyDescent="0.35">
      <c r="A39" s="24" t="s">
        <v>48</v>
      </c>
      <c r="B39" s="6"/>
      <c r="C39" s="6"/>
      <c r="D39" s="6"/>
      <c r="E39" s="6"/>
      <c r="F39" s="6"/>
      <c r="G39" s="6"/>
      <c r="H39" s="7"/>
    </row>
    <row r="47" spans="1:8" ht="18.75" x14ac:dyDescent="0.3">
      <c r="A47" s="5"/>
    </row>
  </sheetData>
  <hyperlinks>
    <hyperlink ref="C10" r:id="rId1" xr:uid="{42BCFC76-B764-4524-8643-5DB124DC57C2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M.T.M. LTDA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2025-07-23T14:53:22Z</cp:lastPrinted>
  <dcterms:created xsi:type="dcterms:W3CDTF">2018-11-15T17:29:02Z</dcterms:created>
  <dcterms:modified xsi:type="dcterms:W3CDTF">2025-08-21T16:48:46Z</dcterms:modified>
</cp:coreProperties>
</file>