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3D7F1A60-2E8F-4EFB-9A92-A0FD9B6C69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FA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H40" i="1"/>
  <c r="H36" i="1"/>
  <c r="H24" i="1"/>
  <c r="H16" i="1"/>
  <c r="H51" i="1" s="1"/>
  <c r="H53" i="1" l="1"/>
  <c r="H57" i="1"/>
  <c r="H59" i="1" s="1"/>
  <c r="H56" i="1"/>
  <c r="H55" i="1"/>
  <c r="H52" i="1"/>
  <c r="H54" i="1" s="1"/>
  <c r="H58" i="1" s="1"/>
  <c r="H60" i="1" s="1"/>
</calcChain>
</file>

<file path=xl/sharedStrings.xml><?xml version="1.0" encoding="utf-8"?>
<sst xmlns="http://schemas.openxmlformats.org/spreadsheetml/2006/main" count="96" uniqueCount="95">
  <si>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</si>
  <si>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</si>
  <si>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</si>
  <si>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</si>
  <si>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</si>
  <si>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</si>
  <si>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</si>
  <si>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</si>
  <si>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</si>
  <si>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</si>
  <si>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</si>
  <si>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</si>
  <si>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</si>
  <si>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</si>
  <si>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</si>
  <si>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</si>
  <si>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</si>
  <si>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</si>
  <si>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</si>
  <si>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</si>
  <si>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</si>
  <si>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</si>
  <si>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</si>
  <si>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</si>
  <si>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</si>
  <si>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</si>
  <si>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</si>
  <si>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</si>
  <si>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IVA</t>
  </si>
  <si>
    <t xml:space="preserve">                                   JAVIER LOZANO TAMAYO C.C. 16´654.252</t>
  </si>
  <si>
    <t>CONTACTOS   310 8306118    319 7174165    321 7834969</t>
  </si>
  <si>
    <t>ITEM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</si>
  <si>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</si>
  <si>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</si>
  <si>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</si>
  <si>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</si>
  <si>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COMFACAUCA</t>
  </si>
  <si>
    <t>891 500182</t>
  </si>
  <si>
    <t>CL 2 Nte.  6A - 54</t>
  </si>
  <si>
    <t>POPAYAN</t>
  </si>
  <si>
    <t>fraelectronicarecibibda@comfacauca.com</t>
  </si>
  <si>
    <t>20 DIAS</t>
  </si>
  <si>
    <t>FORMA DE PAGO : CONTRA ENTREGA DE LA OBRA</t>
  </si>
  <si>
    <t>SUB TOTAL</t>
  </si>
  <si>
    <t xml:space="preserve">ADMINISTRACION </t>
  </si>
  <si>
    <t xml:space="preserve">IMPREVISTOS </t>
  </si>
  <si>
    <t xml:space="preserve">UTILIDAD  </t>
  </si>
  <si>
    <t>IVA SOBRE UTILIDAD</t>
  </si>
  <si>
    <t xml:space="preserve">No. </t>
  </si>
  <si>
    <t>PISOJE</t>
  </si>
  <si>
    <t>602 8231868</t>
  </si>
  <si>
    <t>CAMILO ALBERTO PEÑA PINZON</t>
  </si>
  <si>
    <t>MANTENIMIENTO DE PARQUE JUEGOS INFANTILES</t>
  </si>
  <si>
    <t>MANTENIMIENTO DE 5 MODULOS DE JUEGOS INFANTILES</t>
  </si>
  <si>
    <t>ADECUACION DE LOS MODULOS PARA EL PROCESO DE</t>
  </si>
  <si>
    <t xml:space="preserve">PINTURA, AJUSTE DE MODULOS. PINTURA GENERAL DE </t>
  </si>
  <si>
    <t>LOS JUEGOS EN ESMALTE SINTETICO . DESMONTE DE DES</t>
  </si>
  <si>
    <t>LIZADORES EN FIBRA , MANTENIMIENTO Y PINTURA ELEC</t>
  </si>
  <si>
    <t>TROSTATICA DE LOS 5. APLICACIÓN DE BARNIZ PARA LOS</t>
  </si>
  <si>
    <t>JUEGOS EN MADERA.</t>
  </si>
  <si>
    <t>GLOBAL</t>
  </si>
  <si>
    <t xml:space="preserve">MANTENIMIENTO DE 4 KIOSKOS EN ESTRUCTURA </t>
  </si>
  <si>
    <t>MANTENIMIENTO GENERAL DE 4 KIOSKOS CON PINTURA</t>
  </si>
  <si>
    <t>INTERNA Y EXTERNA DE TECHOS Y ESTRUCTURA , DES -</t>
  </si>
  <si>
    <t xml:space="preserve">MONTE Y REPOSICION DE TEJAS ETERNIT AVERIADAS ( 6 ) </t>
  </si>
  <si>
    <t>REPOSICION DE TRAMO EN PERLIN EMPACHADO DE 4 " X</t>
  </si>
  <si>
    <t>2 " DE 220 CMTS EN SOSTEN DE VIGA METALICA. TRAMO</t>
  </si>
  <si>
    <t xml:space="preserve">DE COLUMNA DE 60 CMTS . </t>
  </si>
  <si>
    <t xml:space="preserve">DEMOLICION DE 4 MESONES CIRCULARES EN CONCRETO </t>
  </si>
  <si>
    <t>SUMINISTRO E INSTALACION DE 4 MESAS EN ACERO INOX</t>
  </si>
  <si>
    <t>304 DE 1,20 MTS X 1,20 MTS. CON 8 BUTACOS METALICOS</t>
  </si>
  <si>
    <t>PARA CADA MESA. FIJOS AL PISO.</t>
  </si>
  <si>
    <t>SUMINISTRO E INSTALACION DE GRAMA SINTETICA</t>
  </si>
  <si>
    <t>SUMINISTRO E INSTALACION DE GRAMA SINTETICA DE 20</t>
  </si>
  <si>
    <t>mm IMPORTADA TIPO AMERICANA DE PAISAJISMO PARA</t>
  </si>
  <si>
    <t>LAS AREAS DE 4 KIOSCOS EN UN AREA TOTAL DE 100 M2</t>
  </si>
  <si>
    <t>MANTENIMIENTO  Y PINTURA DE MOBILIARIO DE PISCINA</t>
  </si>
  <si>
    <t>MANTENIMIENTO Y PINTURA DE 7 PARASOLES EN FIBRA</t>
  </si>
  <si>
    <t>DE VIDRIO CON ACABADO EN POLIURETANO EN COLORES</t>
  </si>
  <si>
    <t>A ELEGIR</t>
  </si>
  <si>
    <t>MANTENIMIENTO Y PINTURA DE MOBILIARIO DE PARQUE</t>
  </si>
  <si>
    <t>MANTENIMIENTO Y PINTURA DE 24 BANCAS EN CONCRETO</t>
  </si>
  <si>
    <t>UBICADAS EN SENDEROS DEL PARQUE Y EN LA PARTE IN-</t>
  </si>
  <si>
    <t xml:space="preserve">TERNA DEL PERIMETRO DE LA PISCINA EN COLORES A </t>
  </si>
  <si>
    <t>ELEGIR .</t>
  </si>
  <si>
    <t>CON DISPOSICION FINAL DE ESCOMBROS.</t>
  </si>
  <si>
    <t>METRO CUADRADO</t>
  </si>
  <si>
    <t>SILLA</t>
  </si>
  <si>
    <t>PARASOL</t>
  </si>
  <si>
    <t>SETENTA Y OCHO MILLONES SETECIENTOS OCHENTA Y SEIS MIL</t>
  </si>
  <si>
    <t>SETECIENTOS OCHO PESOS MDA / CTE</t>
  </si>
  <si>
    <t>TIEMPO DE ENTREGA : 45 DIAS HABILES</t>
  </si>
  <si>
    <t>GARANTIA : UN AÑO EN AJUSTE DE ELEMENTOS FABRICADOS</t>
  </si>
  <si>
    <t>SEIS MESES EN CALIDAD DE MATERIALES</t>
  </si>
  <si>
    <t>NOTA : GARANTIA NO APLICABLE EN CASOS DE VANDALISMO O CATASTROFICOS.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</si>
</sst>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3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0" xfId="0" applyFont="1"/>
    <xf numFmtId="0" fontId="8" fillId="0" borderId="25" xfId="0" applyFont="1" applyBorder="1"/>
    <xf numFmtId="42" fontId="11" fillId="0" borderId="23" xfId="1" applyFont="1" applyBorder="1" applyAlignment="1">
      <alignment horizontal="center"/>
    </xf>
    <xf numFmtId="42" fontId="1" fillId="0" borderId="26" xfId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0" fontId="0" fillId="0" borderId="27" xfId="0" applyBorder="1"/>
    <xf numFmtId="0" fontId="1" fillId="0" borderId="28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14" fillId="0" borderId="0" xfId="0" applyFont="1"/>
    <xf numFmtId="9" fontId="1" fillId="0" borderId="0" xfId="0" applyNumberFormat="1" applyFont="1"/>
    <xf numFmtId="42" fontId="1" fillId="0" borderId="0" xfId="0" applyNumberFormat="1" applyFont="1"/>
    <xf numFmtId="42" fontId="1" fillId="0" borderId="32" xfId="0" applyNumberFormat="1" applyFont="1" applyBorder="1"/>
    <xf numFmtId="42" fontId="1" fillId="0" borderId="0" xfId="1" applyFont="1"/>
    <xf numFmtId="0" fontId="15" fillId="0" borderId="0" xfId="0" applyFont="1"/>
    <xf numFmtId="42" fontId="1" fillId="0" borderId="2" xfId="0" applyNumberFormat="1" applyFont="1" applyBorder="1"/>
    <xf numFmtId="0" fontId="5" fillId="0" borderId="1" xfId="0" applyFont="1" applyBorder="1" applyAlignment="1">
      <alignment horizontal="center"/>
    </xf>
    <xf numFmtId="42" fontId="4" fillId="0" borderId="1" xfId="0" applyNumberFormat="1" applyFont="1" applyBorder="1"/>
    <xf numFmtId="0" fontId="0" fillId="0" borderId="21" xfId="0" applyBorder="1"/>
    <xf numFmtId="10" fontId="1" fillId="0" borderId="22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8" fillId="0" borderId="33" xfId="0" applyFont="1" applyBorder="1"/>
    <xf numFmtId="0" fontId="8" fillId="0" borderId="2" xfId="0" applyFont="1" applyBorder="1"/>
    <xf numFmtId="0" fontId="8" fillId="0" borderId="34" xfId="0" applyFont="1" applyBorder="1"/>
    <xf numFmtId="42" fontId="11" fillId="0" borderId="27" xfId="1" applyFont="1" applyBorder="1" applyAlignment="1">
      <alignment horizontal="center"/>
    </xf>
    <xf numFmtId="42" fontId="1" fillId="0" borderId="27" xfId="1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8" fillId="0" borderId="18" xfId="0" applyFont="1" applyBorder="1"/>
    <xf numFmtId="0" fontId="8" fillId="0" borderId="37" xfId="0" applyFont="1" applyBorder="1"/>
    <xf numFmtId="42" fontId="11" fillId="0" borderId="35" xfId="1" applyFont="1" applyBorder="1" applyAlignment="1">
      <alignment horizontal="center"/>
    </xf>
    <xf numFmtId="42" fontId="1" fillId="0" borderId="35" xfId="1" applyFont="1" applyBorder="1" applyAlignment="1">
      <alignment horizontal="left"/>
    </xf>
    <xf numFmtId="0" fontId="4" fillId="0" borderId="36" xfId="0" applyFont="1" applyBorder="1"/>
    <xf numFmtId="0" fontId="8" fillId="0" borderId="30" xfId="0" applyFont="1" applyBorder="1"/>
    <xf numFmtId="0" fontId="8" fillId="0" borderId="31" xfId="0" applyFont="1" applyBorder="1"/>
    <xf numFmtId="42" fontId="1" fillId="0" borderId="28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electronicarecibibda@comfacau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3"/>
  <sheetViews>
    <sheetView tabSelected="1" zoomScaleNormal="100" workbookViewId="0">
      <selection activeCell="K14" sqref="K14"/>
    </sheetView>
  </sheetViews>
  <sheetFormatPr baseColWidth="10" defaultRowHeight="15" x14ac:dyDescent="0.25"/>
  <cols>
    <col min="1" max="1" width="16.42578125" customWidth="1"/>
    <col min="2" max="2" width="16" customWidth="1"/>
    <col min="3" max="3" width="20.7109375" customWidth="1"/>
    <col min="4" max="4" width="20.5703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/>
    </row>
    <row r="3" spans="1:8" ht="27" thickBot="1" x14ac:dyDescent="0.45">
      <c r="A3" s="11" t="s">
        <v>32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30</v>
      </c>
      <c r="B5" s="6"/>
      <c r="C5" s="6"/>
      <c r="D5" s="6"/>
      <c r="E5" s="6"/>
    </row>
    <row r="6" spans="1:8" ht="24.75" customHeight="1" thickBot="1" x14ac:dyDescent="0.45">
      <c r="F6" s="40" t="s">
        <v>33</v>
      </c>
      <c r="G6" s="41"/>
      <c r="H6" s="42"/>
    </row>
    <row r="7" spans="1:8" ht="19.5" thickBot="1" x14ac:dyDescent="0.35">
      <c r="A7" s="20" t="s">
        <v>14</v>
      </c>
      <c r="B7" s="12"/>
      <c r="C7" s="52" t="s">
        <v>36</v>
      </c>
      <c r="D7" s="12"/>
      <c r="E7" s="13"/>
      <c r="F7" s="36"/>
      <c r="G7" s="83" t="s">
        <v>48</v>
      </c>
      <c r="H7" s="84">
        <v>110825003</v>
      </c>
    </row>
    <row r="8" spans="1:8" ht="18.75" x14ac:dyDescent="0.3">
      <c r="A8" s="21" t="s">
        <v>8</v>
      </c>
      <c r="C8" s="56" t="s">
        <v>37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38</v>
      </c>
      <c r="E9" s="15" t="s">
        <v>39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57" t="s">
        <v>40</v>
      </c>
      <c r="E10" s="15"/>
      <c r="F10" s="30" t="s">
        <v>15</v>
      </c>
      <c r="H10" s="29" t="s">
        <v>41</v>
      </c>
    </row>
    <row r="11" spans="1:8" ht="18.75" x14ac:dyDescent="0.3">
      <c r="A11" s="21" t="s">
        <v>10</v>
      </c>
      <c r="C11" s="14" t="s">
        <v>49</v>
      </c>
      <c r="E11" s="15"/>
      <c r="F11" s="30" t="s">
        <v>16</v>
      </c>
      <c r="G11" s="30"/>
      <c r="H11" s="28">
        <v>45899</v>
      </c>
    </row>
    <row r="12" spans="1:8" ht="18.75" x14ac:dyDescent="0.3">
      <c r="A12" s="21" t="s">
        <v>11</v>
      </c>
      <c r="C12" s="14" t="s">
        <v>50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51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31</v>
      </c>
      <c r="B15" s="6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6">
        <v>1</v>
      </c>
      <c r="B16" s="69" t="s">
        <v>52</v>
      </c>
      <c r="C16" s="70"/>
      <c r="D16" s="71"/>
      <c r="E16" s="66" t="s">
        <v>60</v>
      </c>
      <c r="F16" s="67">
        <v>3600000</v>
      </c>
      <c r="G16" s="66">
        <v>5</v>
      </c>
      <c r="H16" s="37">
        <f t="shared" ref="H16" si="0">G16*F16</f>
        <v>18000000</v>
      </c>
    </row>
    <row r="17" spans="1:8" ht="15.75" x14ac:dyDescent="0.25">
      <c r="A17" s="58"/>
      <c r="B17" s="59" t="s">
        <v>53</v>
      </c>
      <c r="C17" s="60"/>
      <c r="D17" s="61"/>
      <c r="E17" s="58"/>
      <c r="F17" s="62"/>
      <c r="G17" s="58"/>
      <c r="H17" s="63"/>
    </row>
    <row r="18" spans="1:8" ht="15.75" x14ac:dyDescent="0.25">
      <c r="A18" s="58"/>
      <c r="B18" s="59" t="s">
        <v>54</v>
      </c>
      <c r="C18" s="60"/>
      <c r="D18" s="61"/>
      <c r="E18" s="58"/>
      <c r="F18" s="62"/>
      <c r="G18" s="58"/>
      <c r="H18" s="64"/>
    </row>
    <row r="19" spans="1:8" ht="15.75" x14ac:dyDescent="0.25">
      <c r="A19" s="58"/>
      <c r="B19" s="59" t="s">
        <v>55</v>
      </c>
      <c r="C19" s="60"/>
      <c r="D19" s="61"/>
      <c r="E19" s="58"/>
      <c r="F19" s="62"/>
      <c r="G19" s="58"/>
      <c r="H19" s="64"/>
    </row>
    <row r="20" spans="1:8" ht="15.75" x14ac:dyDescent="0.25">
      <c r="A20" s="58"/>
      <c r="B20" s="59" t="s">
        <v>56</v>
      </c>
      <c r="C20" s="60"/>
      <c r="D20" s="61"/>
      <c r="E20" s="58"/>
      <c r="F20" s="62"/>
      <c r="G20" s="58"/>
      <c r="H20" s="64"/>
    </row>
    <row r="21" spans="1:8" ht="15.75" x14ac:dyDescent="0.25">
      <c r="A21" s="58"/>
      <c r="B21" s="59" t="s">
        <v>57</v>
      </c>
      <c r="C21" s="60"/>
      <c r="D21" s="61"/>
      <c r="E21" s="58"/>
      <c r="F21" s="62"/>
      <c r="G21" s="58"/>
      <c r="H21" s="64"/>
    </row>
    <row r="22" spans="1:8" ht="15.75" x14ac:dyDescent="0.25">
      <c r="A22" s="58"/>
      <c r="B22" s="59" t="s">
        <v>58</v>
      </c>
      <c r="C22" s="60"/>
      <c r="D22" s="61"/>
      <c r="E22" s="58"/>
      <c r="F22" s="62"/>
      <c r="G22" s="58"/>
      <c r="H22" s="64"/>
    </row>
    <row r="23" spans="1:8" ht="16.5" thickBot="1" x14ac:dyDescent="0.3">
      <c r="A23" s="85"/>
      <c r="B23" s="86" t="s">
        <v>59</v>
      </c>
      <c r="C23" s="87"/>
      <c r="D23" s="88"/>
      <c r="E23" s="85"/>
      <c r="F23" s="89"/>
      <c r="G23" s="85"/>
      <c r="H23" s="90"/>
    </row>
    <row r="24" spans="1:8" ht="15.75" x14ac:dyDescent="0.25">
      <c r="A24" s="91">
        <v>2</v>
      </c>
      <c r="B24" s="96" t="s">
        <v>61</v>
      </c>
      <c r="C24" s="92"/>
      <c r="D24" s="93"/>
      <c r="E24" s="91" t="s">
        <v>60</v>
      </c>
      <c r="F24" s="94">
        <v>6200000</v>
      </c>
      <c r="G24" s="91">
        <v>4</v>
      </c>
      <c r="H24" s="95">
        <f>F24*G24</f>
        <v>24800000</v>
      </c>
    </row>
    <row r="25" spans="1:8" ht="15.75" x14ac:dyDescent="0.25">
      <c r="A25" s="58"/>
      <c r="B25" s="59" t="s">
        <v>62</v>
      </c>
      <c r="C25" s="60"/>
      <c r="D25" s="61"/>
      <c r="E25" s="58"/>
      <c r="F25" s="62"/>
      <c r="G25" s="58"/>
      <c r="H25" s="64"/>
    </row>
    <row r="26" spans="1:8" ht="15.75" x14ac:dyDescent="0.25">
      <c r="A26" s="58"/>
      <c r="B26" s="59" t="s">
        <v>63</v>
      </c>
      <c r="C26" s="60"/>
      <c r="D26" s="61"/>
      <c r="E26" s="58"/>
      <c r="F26" s="62"/>
      <c r="G26" s="58"/>
      <c r="H26" s="64"/>
    </row>
    <row r="27" spans="1:8" ht="15.75" x14ac:dyDescent="0.25">
      <c r="A27" s="58"/>
      <c r="B27" s="59" t="s">
        <v>64</v>
      </c>
      <c r="C27" s="60"/>
      <c r="D27" s="61"/>
      <c r="E27" s="58"/>
      <c r="F27" s="62"/>
      <c r="G27" s="58"/>
      <c r="H27" s="64"/>
    </row>
    <row r="28" spans="1:8" ht="15.75" x14ac:dyDescent="0.25">
      <c r="A28" s="58"/>
      <c r="B28" s="59" t="s">
        <v>65</v>
      </c>
      <c r="C28" s="60"/>
      <c r="D28" s="61"/>
      <c r="E28" s="58"/>
      <c r="F28" s="62"/>
      <c r="G28" s="58"/>
      <c r="H28" s="64"/>
    </row>
    <row r="29" spans="1:8" ht="15.75" x14ac:dyDescent="0.25">
      <c r="A29" s="58"/>
      <c r="B29" s="59" t="s">
        <v>66</v>
      </c>
      <c r="C29" s="60"/>
      <c r="D29" s="61"/>
      <c r="E29" s="58"/>
      <c r="F29" s="62"/>
      <c r="G29" s="58"/>
      <c r="H29" s="64"/>
    </row>
    <row r="30" spans="1:8" ht="15.75" x14ac:dyDescent="0.25">
      <c r="A30" s="58"/>
      <c r="B30" s="59" t="s">
        <v>67</v>
      </c>
      <c r="C30" s="60"/>
      <c r="D30" s="61"/>
      <c r="E30" s="58"/>
      <c r="F30" s="62"/>
      <c r="G30" s="58"/>
      <c r="H30" s="64"/>
    </row>
    <row r="31" spans="1:8" ht="15.75" x14ac:dyDescent="0.25">
      <c r="A31" s="58"/>
      <c r="B31" s="59" t="s">
        <v>68</v>
      </c>
      <c r="C31" s="60"/>
      <c r="D31" s="61"/>
      <c r="E31" s="58"/>
      <c r="F31" s="62"/>
      <c r="G31" s="58"/>
      <c r="H31" s="64"/>
    </row>
    <row r="32" spans="1:8" ht="15.75" x14ac:dyDescent="0.25">
      <c r="A32" s="58"/>
      <c r="B32" s="59" t="s">
        <v>85</v>
      </c>
      <c r="C32" s="60"/>
      <c r="D32" s="61"/>
      <c r="E32" s="58"/>
      <c r="F32" s="62"/>
      <c r="G32" s="58"/>
      <c r="H32" s="64"/>
    </row>
    <row r="33" spans="1:8" ht="15.75" x14ac:dyDescent="0.25">
      <c r="A33" s="58"/>
      <c r="B33" s="59" t="s">
        <v>69</v>
      </c>
      <c r="C33" s="60"/>
      <c r="D33" s="61"/>
      <c r="E33" s="58"/>
      <c r="F33" s="62"/>
      <c r="G33" s="58"/>
      <c r="H33" s="64"/>
    </row>
    <row r="34" spans="1:8" ht="15.75" x14ac:dyDescent="0.25">
      <c r="A34" s="58"/>
      <c r="B34" s="59" t="s">
        <v>70</v>
      </c>
      <c r="C34" s="60"/>
      <c r="D34" s="61"/>
      <c r="E34" s="58"/>
      <c r="F34" s="62"/>
      <c r="G34" s="58"/>
      <c r="H34" s="64"/>
    </row>
    <row r="35" spans="1:8" ht="16.5" thickBot="1" x14ac:dyDescent="0.3">
      <c r="A35" s="85"/>
      <c r="B35" s="86" t="s">
        <v>71</v>
      </c>
      <c r="C35" s="87"/>
      <c r="D35" s="88"/>
      <c r="E35" s="85"/>
      <c r="F35" s="89"/>
      <c r="G35" s="85"/>
      <c r="H35" s="90"/>
    </row>
    <row r="36" spans="1:8" ht="15.75" x14ac:dyDescent="0.25">
      <c r="A36" s="91">
        <v>3</v>
      </c>
      <c r="B36" s="96" t="s">
        <v>72</v>
      </c>
      <c r="C36" s="92"/>
      <c r="D36" s="93"/>
      <c r="E36" s="91" t="s">
        <v>86</v>
      </c>
      <c r="F36" s="94">
        <v>70000</v>
      </c>
      <c r="G36" s="91">
        <v>100</v>
      </c>
      <c r="H36" s="95">
        <f>G36*F36</f>
        <v>7000000</v>
      </c>
    </row>
    <row r="37" spans="1:8" ht="15.75" x14ac:dyDescent="0.25">
      <c r="A37" s="58"/>
      <c r="B37" s="59" t="s">
        <v>73</v>
      </c>
      <c r="C37" s="60"/>
      <c r="D37" s="61"/>
      <c r="E37" s="58"/>
      <c r="F37" s="62"/>
      <c r="G37" s="58"/>
      <c r="H37" s="64"/>
    </row>
    <row r="38" spans="1:8" ht="15.75" x14ac:dyDescent="0.25">
      <c r="A38" s="58"/>
      <c r="B38" s="59" t="s">
        <v>74</v>
      </c>
      <c r="C38" s="60"/>
      <c r="D38" s="61"/>
      <c r="E38" s="58"/>
      <c r="F38" s="62"/>
      <c r="G38" s="58"/>
      <c r="H38" s="64"/>
    </row>
    <row r="39" spans="1:8" ht="16.5" thickBot="1" x14ac:dyDescent="0.3">
      <c r="A39" s="85"/>
      <c r="B39" s="86" t="s">
        <v>75</v>
      </c>
      <c r="C39" s="87"/>
      <c r="D39" s="88"/>
      <c r="E39" s="85"/>
      <c r="F39" s="89"/>
      <c r="G39" s="85"/>
      <c r="H39" s="90"/>
    </row>
    <row r="40" spans="1:8" ht="15.75" x14ac:dyDescent="0.25">
      <c r="A40" s="66">
        <v>4</v>
      </c>
      <c r="B40" s="69" t="s">
        <v>76</v>
      </c>
      <c r="C40" s="97"/>
      <c r="D40" s="98"/>
      <c r="E40" s="66" t="s">
        <v>88</v>
      </c>
      <c r="F40" s="67">
        <v>300000</v>
      </c>
      <c r="G40" s="66">
        <v>7</v>
      </c>
      <c r="H40" s="99">
        <f>F40*G40</f>
        <v>2100000</v>
      </c>
    </row>
    <row r="41" spans="1:8" ht="15.75" x14ac:dyDescent="0.25">
      <c r="A41" s="58"/>
      <c r="B41" s="59" t="s">
        <v>77</v>
      </c>
      <c r="C41" s="60"/>
      <c r="D41" s="61"/>
      <c r="E41" s="58"/>
      <c r="F41" s="62"/>
      <c r="G41" s="58"/>
      <c r="H41" s="64"/>
    </row>
    <row r="42" spans="1:8" ht="15.75" x14ac:dyDescent="0.25">
      <c r="A42" s="58"/>
      <c r="B42" s="59" t="s">
        <v>78</v>
      </c>
      <c r="C42" s="60"/>
      <c r="D42" s="61"/>
      <c r="E42" s="58"/>
      <c r="F42" s="62"/>
      <c r="G42" s="58"/>
      <c r="H42" s="64"/>
    </row>
    <row r="43" spans="1:8" ht="16.5" thickBot="1" x14ac:dyDescent="0.3">
      <c r="A43" s="85"/>
      <c r="B43" s="86" t="s">
        <v>79</v>
      </c>
      <c r="C43" s="87"/>
      <c r="D43" s="88"/>
      <c r="E43" s="85"/>
      <c r="F43" s="89"/>
      <c r="G43" s="85"/>
      <c r="H43" s="90"/>
    </row>
    <row r="44" spans="1:8" ht="15.75" x14ac:dyDescent="0.25">
      <c r="A44" s="91">
        <v>5</v>
      </c>
      <c r="B44" s="96" t="s">
        <v>80</v>
      </c>
      <c r="C44" s="92"/>
      <c r="D44" s="93"/>
      <c r="E44" s="91" t="s">
        <v>87</v>
      </c>
      <c r="F44" s="94">
        <v>180000</v>
      </c>
      <c r="G44" s="91">
        <v>24</v>
      </c>
      <c r="H44" s="95">
        <f>F44*G44</f>
        <v>4320000</v>
      </c>
    </row>
    <row r="45" spans="1:8" ht="15.75" x14ac:dyDescent="0.25">
      <c r="A45" s="58"/>
      <c r="B45" s="59" t="s">
        <v>81</v>
      </c>
      <c r="C45" s="60"/>
      <c r="D45" s="61"/>
      <c r="E45" s="58"/>
      <c r="F45" s="62"/>
      <c r="G45" s="58"/>
      <c r="H45" s="64"/>
    </row>
    <row r="46" spans="1:8" ht="15.75" x14ac:dyDescent="0.25">
      <c r="A46" s="58"/>
      <c r="B46" s="59" t="s">
        <v>82</v>
      </c>
      <c r="C46" s="60"/>
      <c r="D46" s="61"/>
      <c r="E46" s="58"/>
      <c r="F46" s="62"/>
      <c r="G46" s="58"/>
      <c r="H46" s="64"/>
    </row>
    <row r="47" spans="1:8" ht="15.75" x14ac:dyDescent="0.25">
      <c r="A47" s="58"/>
      <c r="B47" s="59" t="s">
        <v>83</v>
      </c>
      <c r="C47" s="60"/>
      <c r="D47" s="61"/>
      <c r="E47" s="58"/>
      <c r="F47" s="62"/>
      <c r="G47" s="58"/>
      <c r="H47" s="64"/>
    </row>
    <row r="48" spans="1:8" ht="15.75" x14ac:dyDescent="0.25">
      <c r="A48" s="58"/>
      <c r="B48" s="59" t="s">
        <v>84</v>
      </c>
      <c r="C48" s="60"/>
      <c r="D48" s="61"/>
      <c r="E48" s="58"/>
      <c r="F48" s="62"/>
      <c r="G48" s="58"/>
      <c r="H48" s="64"/>
    </row>
    <row r="49" spans="1:8" ht="19.5" customHeight="1" thickBot="1" x14ac:dyDescent="0.3">
      <c r="A49" s="44"/>
      <c r="B49" s="54"/>
      <c r="D49" s="55"/>
      <c r="E49" s="44"/>
      <c r="F49" s="44"/>
      <c r="G49" s="44"/>
      <c r="H49" s="65"/>
    </row>
    <row r="50" spans="1:8" ht="19.5" customHeight="1" thickBot="1" x14ac:dyDescent="0.35">
      <c r="A50" s="53" t="s">
        <v>23</v>
      </c>
      <c r="B50" s="56" t="s">
        <v>89</v>
      </c>
      <c r="C50" s="12"/>
      <c r="D50" s="13"/>
      <c r="E50" s="45"/>
      <c r="F50" s="36" t="s">
        <v>34</v>
      </c>
      <c r="G50" s="6"/>
      <c r="H50" s="7"/>
    </row>
    <row r="51" spans="1:8" ht="19.5" customHeight="1" thickBot="1" x14ac:dyDescent="0.3">
      <c r="A51" s="38"/>
      <c r="B51" s="16" t="s">
        <v>90</v>
      </c>
      <c r="C51" s="4"/>
      <c r="D51" s="17"/>
      <c r="E51" s="48" t="s">
        <v>24</v>
      </c>
      <c r="F51" s="49"/>
      <c r="G51" s="43"/>
      <c r="H51" s="46">
        <f>SUM(H16:H50)</f>
        <v>56220000</v>
      </c>
    </row>
    <row r="52" spans="1:8" ht="19.5" customHeight="1" x14ac:dyDescent="0.25">
      <c r="A52" s="24" t="s">
        <v>25</v>
      </c>
      <c r="B52" s="12"/>
      <c r="C52" s="12"/>
      <c r="D52" s="13"/>
      <c r="E52" s="3" t="s">
        <v>28</v>
      </c>
      <c r="F52" s="23"/>
      <c r="G52" s="50">
        <v>0.19</v>
      </c>
      <c r="H52" s="39">
        <f>H51*G52</f>
        <v>10681800</v>
      </c>
    </row>
    <row r="53" spans="1:8" ht="19.5" customHeight="1" thickBot="1" x14ac:dyDescent="0.3">
      <c r="A53" s="14" t="s">
        <v>42</v>
      </c>
      <c r="D53" s="15"/>
      <c r="E53" s="51" t="s">
        <v>26</v>
      </c>
      <c r="F53" s="81"/>
      <c r="G53" s="82">
        <v>2.5000000000000001E-2</v>
      </c>
      <c r="H53" s="47">
        <f>H51*G53</f>
        <v>1405500</v>
      </c>
    </row>
    <row r="54" spans="1:8" ht="17.25" customHeight="1" thickBot="1" x14ac:dyDescent="0.35">
      <c r="A54" t="s">
        <v>91</v>
      </c>
      <c r="D54" s="15"/>
      <c r="F54" s="3"/>
      <c r="G54" s="33" t="s">
        <v>43</v>
      </c>
      <c r="H54" s="35">
        <f>H51+H52</f>
        <v>66901800</v>
      </c>
    </row>
    <row r="55" spans="1:8" x14ac:dyDescent="0.25">
      <c r="A55" t="s">
        <v>92</v>
      </c>
      <c r="D55" s="15"/>
      <c r="F55" s="72" t="s">
        <v>44</v>
      </c>
      <c r="G55" s="73">
        <v>0.09</v>
      </c>
      <c r="H55" s="74">
        <f>H51*G55</f>
        <v>5059800</v>
      </c>
    </row>
    <row r="56" spans="1:8" x14ac:dyDescent="0.25">
      <c r="A56" s="14" t="s">
        <v>93</v>
      </c>
      <c r="D56" s="15"/>
      <c r="F56" s="72" t="s">
        <v>45</v>
      </c>
      <c r="G56" s="73">
        <v>0.05</v>
      </c>
      <c r="H56" s="74">
        <f>H51*G56</f>
        <v>2811000</v>
      </c>
    </row>
    <row r="57" spans="1:8" ht="15.75" thickBot="1" x14ac:dyDescent="0.3">
      <c r="A57" s="16" t="s">
        <v>94</v>
      </c>
      <c r="B57" s="4"/>
      <c r="C57" s="4"/>
      <c r="D57" s="17"/>
      <c r="F57" s="72" t="s">
        <v>46</v>
      </c>
      <c r="G57" s="73">
        <v>0.06</v>
      </c>
      <c r="H57" s="75">
        <f>H51*G57</f>
        <v>3373200</v>
      </c>
    </row>
    <row r="58" spans="1:8" ht="16.5" customHeight="1" x14ac:dyDescent="0.25">
      <c r="H58" s="76">
        <f>H54+H55+H56+H57</f>
        <v>78145800</v>
      </c>
    </row>
    <row r="59" spans="1:8" ht="15.75" thickBot="1" x14ac:dyDescent="0.3">
      <c r="F59" s="77" t="s">
        <v>47</v>
      </c>
      <c r="G59" s="73">
        <v>0.19</v>
      </c>
      <c r="H59" s="78">
        <f>H57*G59</f>
        <v>640908</v>
      </c>
    </row>
    <row r="60" spans="1:8" ht="19.5" thickBot="1" x14ac:dyDescent="0.35">
      <c r="G60" s="79" t="s">
        <v>27</v>
      </c>
      <c r="H60" s="80">
        <f>H58+H59</f>
        <v>78786708</v>
      </c>
    </row>
    <row r="64" spans="1:8" ht="15.75" thickBot="1" x14ac:dyDescent="0.3"/>
    <row r="65" spans="1:8" ht="19.5" thickBot="1" x14ac:dyDescent="0.35">
      <c r="A65" s="25" t="s">
        <v>35</v>
      </c>
      <c r="B65" s="6"/>
      <c r="C65" s="6"/>
      <c r="D65" s="6"/>
      <c r="E65" s="6"/>
      <c r="F65" s="6"/>
      <c r="G65" s="6"/>
      <c r="H65" s="7"/>
    </row>
    <row r="73" spans="1:8" ht="18.75" x14ac:dyDescent="0.3">
      <c r="A73" s="5"/>
    </row>
  </sheetData>
  <hyperlinks>
    <hyperlink ref="C10" r:id="rId1" xr:uid="{50CC588E-B838-4A90-BD11-8FB3CE2E62C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COMFACAUCA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2025-08-23T19:30:37Z</dcterms:modified>
</cp:coreProperties>
</file>