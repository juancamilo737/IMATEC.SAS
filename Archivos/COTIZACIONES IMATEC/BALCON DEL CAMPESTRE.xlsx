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3600~4000\"/>
    </mc:Choice>
  </mc:AlternateContent>
  <xr:revisionPtr revIDLastSave="0" documentId="13_ncr:1_{50BD4D1A-0C86-4C66-B619-4A15FB7375C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ALCON DEL CAMPESTR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3" i="1"/>
  <c r="H24" i="1"/>
  <c r="H22" i="1"/>
  <c r="H20" i="1"/>
  <c r="H21" i="1"/>
  <c r="H19" i="1"/>
  <c r="H18" i="1"/>
  <c r="H17" i="1"/>
  <c r="H16" i="1"/>
  <c r="H28" i="1" l="1"/>
  <c r="H32" i="1" s="1"/>
</calcChain>
</file>

<file path=xl/sharedStrings.xml><?xml version="1.0" encoding="utf-8"?>
<sst xmlns="http://schemas.openxmlformats.org/spreadsheetml/2006/main" count="67" uniqueCount="61">
  <si>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</si>
  <si>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</si>
  <si>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</si>
  <si>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</si>
  <si>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</si>
  <si>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</si>
  <si>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</si>
  <si>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</si>
  <si>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</si>
  <si>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</si>
  <si>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</si>
  <si>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</si>
  <si>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</si>
  <si>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</si>
  <si>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</si>
  <si>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</si>
  <si>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</si>
  <si>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</si>
  <si>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</si>
  <si>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</si>
  <si>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</si>
  <si>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</si>
  <si>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</si>
  <si>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</si>
  <si>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</si>
  <si>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</si>
  <si>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</si>
  <si>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</si>
  <si>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</si>
  <si>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</si>
  <si>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</si>
  <si>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</si>
  <si>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</si>
  <si>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</si>
  <si>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</si>
  <si>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</si>
  <si>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</si>
  <si>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</si>
  <si>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ACCESORIO</t>
  </si>
  <si>
    <t>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</si>
  <si>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</si>
  <si>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</si>
  <si>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ENTREGA EN 3 DIAS A PARTIR DE ORDEN DE COMPRA</t>
  </si>
  <si>
    <t>VALVULA P/D BRONCE RW  2 "  X  125 LB</t>
  </si>
  <si>
    <t>ITEM</t>
  </si>
  <si>
    <t>VALVULA P/D BRONCE RW  1/2 "  X  125 LB</t>
  </si>
  <si>
    <t>ADAPTADOR MACHO PVC  1 /2 "</t>
  </si>
  <si>
    <t>ADAPTADOR MACHO PVC  2 "</t>
  </si>
  <si>
    <t>UNION PVC  2 "</t>
  </si>
  <si>
    <t>INSUMO</t>
  </si>
  <si>
    <t>SHELLAC  2 OZ.</t>
  </si>
  <si>
    <t>ROLLO TEFLON INDUSTRIAL 3/4 "</t>
  </si>
  <si>
    <t>SOLDADURA PVC</t>
  </si>
  <si>
    <t>1/8 GALON</t>
  </si>
  <si>
    <t xml:space="preserve">LIMPIADOR PVC </t>
  </si>
  <si>
    <t>SETECIENTOS DIECISEIS MIL VEINTITRES PESOS MDA/CTE</t>
  </si>
  <si>
    <t>CRA 101 No. 11-50</t>
  </si>
  <si>
    <t>balcon.del.campestre@hotmail.com</t>
  </si>
  <si>
    <t>602 3155685</t>
  </si>
  <si>
    <t>LUIS A. BENAVIDES</t>
  </si>
  <si>
    <t>CONJUNTO RESIDENCIAL BALCON DEL CAMPESTRE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</si>
</sst>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0" fillId="0" borderId="17" xfId="0" applyBorder="1"/>
    <xf numFmtId="0" fontId="8" fillId="0" borderId="14" xfId="0" applyFont="1" applyBorder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42" fontId="1" fillId="0" borderId="21" xfId="1" applyFont="1" applyBorder="1" applyAlignment="1">
      <alignment horizontal="left"/>
    </xf>
    <xf numFmtId="0" fontId="8" fillId="0" borderId="17" xfId="0" applyFont="1" applyBorder="1"/>
    <xf numFmtId="0" fontId="1" fillId="0" borderId="19" xfId="0" applyFont="1" applyBorder="1" applyAlignment="1">
      <alignment horizontal="left" vertical="top" wrapText="1"/>
    </xf>
    <xf numFmtId="0" fontId="0" fillId="0" borderId="22" xfId="0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20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42" fontId="1" fillId="0" borderId="4" xfId="1" applyFont="1" applyBorder="1" applyAlignment="1">
      <alignment horizontal="left"/>
    </xf>
    <xf numFmtId="10" fontId="1" fillId="0" borderId="0" xfId="0" applyNumberFormat="1" applyFont="1"/>
    <xf numFmtId="42" fontId="0" fillId="0" borderId="0" xfId="1" applyFont="1"/>
    <xf numFmtId="0" fontId="1" fillId="0" borderId="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/>
    <xf numFmtId="0" fontId="1" fillId="0" borderId="13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lcon.del.campestr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zoomScaleNormal="100" workbookViewId="0">
      <selection activeCell="C7" sqref="C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8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6" t="s">
        <v>41</v>
      </c>
      <c r="B5" s="6"/>
      <c r="C5" s="6"/>
      <c r="D5" s="6"/>
      <c r="E5" s="6"/>
    </row>
    <row r="6" spans="1:8" ht="24.75" customHeight="1" thickBot="1" x14ac:dyDescent="0.45">
      <c r="F6" s="11" t="s">
        <v>18</v>
      </c>
      <c r="G6" s="19"/>
      <c r="H6" s="20"/>
    </row>
    <row r="7" spans="1:8" ht="19.5" thickBot="1" x14ac:dyDescent="0.35">
      <c r="A7" s="21" t="s">
        <v>14</v>
      </c>
      <c r="B7" s="13"/>
      <c r="C7" s="31" t="s">
        <v>60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>
        <v>805013650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56</v>
      </c>
      <c r="D9" s="24"/>
      <c r="E9" s="25" t="s">
        <v>39</v>
      </c>
      <c r="F9" s="32" t="s">
        <v>0</v>
      </c>
      <c r="H9" s="33">
        <v>45500</v>
      </c>
    </row>
    <row r="10" spans="1:8" ht="18.75" x14ac:dyDescent="0.3">
      <c r="A10" s="22" t="s">
        <v>13</v>
      </c>
      <c r="C10" s="49" t="s">
        <v>57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45509</v>
      </c>
    </row>
    <row r="12" spans="1:8" ht="18.75" x14ac:dyDescent="0.3">
      <c r="A12" s="22" t="s">
        <v>11</v>
      </c>
      <c r="C12" s="25" t="s">
        <v>58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59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73" t="s">
        <v>44</v>
      </c>
      <c r="B15" s="74" t="s">
        <v>24</v>
      </c>
      <c r="C15" s="75"/>
      <c r="D15" s="60"/>
      <c r="E15" s="72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64">
        <v>1</v>
      </c>
      <c r="B16" t="s">
        <v>43</v>
      </c>
      <c r="C16" s="61"/>
      <c r="D16" s="58"/>
      <c r="E16" s="53" t="s">
        <v>38</v>
      </c>
      <c r="F16" s="55">
        <v>365000</v>
      </c>
      <c r="G16" s="53">
        <v>1</v>
      </c>
      <c r="H16" s="57">
        <f t="shared" ref="H16:H24" si="0">G16*F16</f>
        <v>365000</v>
      </c>
    </row>
    <row r="17" spans="1:8" ht="16.5" thickBot="1" x14ac:dyDescent="0.3">
      <c r="A17" s="64">
        <v>2</v>
      </c>
      <c r="B17" s="39" t="s">
        <v>45</v>
      </c>
      <c r="D17" s="38"/>
      <c r="E17" s="53" t="s">
        <v>38</v>
      </c>
      <c r="F17" s="54">
        <v>62500</v>
      </c>
      <c r="G17" s="53">
        <v>2</v>
      </c>
      <c r="H17" s="57">
        <f t="shared" si="0"/>
        <v>125000</v>
      </c>
    </row>
    <row r="18" spans="1:8" ht="16.5" thickBot="1" x14ac:dyDescent="0.3">
      <c r="A18" s="64">
        <v>3</v>
      </c>
      <c r="B18" s="39" t="s">
        <v>46</v>
      </c>
      <c r="C18" s="61"/>
      <c r="D18" s="58"/>
      <c r="E18" s="53" t="s">
        <v>38</v>
      </c>
      <c r="F18" s="54">
        <v>500</v>
      </c>
      <c r="G18" s="53">
        <v>4</v>
      </c>
      <c r="H18" s="57">
        <f t="shared" si="0"/>
        <v>2000</v>
      </c>
    </row>
    <row r="19" spans="1:8" ht="19.5" customHeight="1" thickBot="1" x14ac:dyDescent="0.3">
      <c r="A19" s="64">
        <v>4</v>
      </c>
      <c r="B19" s="39" t="s">
        <v>47</v>
      </c>
      <c r="D19" s="38"/>
      <c r="E19" s="53" t="s">
        <v>38</v>
      </c>
      <c r="F19" s="71">
        <v>6800</v>
      </c>
      <c r="G19" s="53">
        <v>1</v>
      </c>
      <c r="H19" s="57">
        <f t="shared" si="0"/>
        <v>6800</v>
      </c>
    </row>
    <row r="20" spans="1:8" ht="16.5" thickBot="1" x14ac:dyDescent="0.3">
      <c r="A20" s="64">
        <v>5</v>
      </c>
      <c r="B20" s="39" t="s">
        <v>48</v>
      </c>
      <c r="C20" s="61"/>
      <c r="D20" s="58"/>
      <c r="E20" s="53" t="s">
        <v>38</v>
      </c>
      <c r="F20" s="54">
        <v>4900</v>
      </c>
      <c r="G20" s="53">
        <v>1</v>
      </c>
      <c r="H20" s="57">
        <f t="shared" si="0"/>
        <v>4900</v>
      </c>
    </row>
    <row r="21" spans="1:8" ht="16.5" thickBot="1" x14ac:dyDescent="0.3">
      <c r="A21" s="64">
        <v>6</v>
      </c>
      <c r="B21" s="39" t="s">
        <v>50</v>
      </c>
      <c r="C21" s="61"/>
      <c r="D21" s="58"/>
      <c r="E21" s="53" t="s">
        <v>49</v>
      </c>
      <c r="F21" s="54">
        <v>19500</v>
      </c>
      <c r="G21" s="53">
        <v>1</v>
      </c>
      <c r="H21" s="57">
        <f t="shared" si="0"/>
        <v>19500</v>
      </c>
    </row>
    <row r="22" spans="1:8" ht="16.5" thickBot="1" x14ac:dyDescent="0.3">
      <c r="A22" s="64">
        <v>7</v>
      </c>
      <c r="B22" s="39" t="s">
        <v>51</v>
      </c>
      <c r="C22" s="61"/>
      <c r="D22" s="58"/>
      <c r="E22" s="53" t="s">
        <v>49</v>
      </c>
      <c r="F22" s="54">
        <v>4500</v>
      </c>
      <c r="G22" s="53">
        <v>1</v>
      </c>
      <c r="H22" s="69">
        <f t="shared" si="0"/>
        <v>4500</v>
      </c>
    </row>
    <row r="23" spans="1:8" ht="16.5" thickBot="1" x14ac:dyDescent="0.3">
      <c r="A23" s="64">
        <v>8</v>
      </c>
      <c r="B23" s="39" t="s">
        <v>52</v>
      </c>
      <c r="C23" s="61"/>
      <c r="D23" s="58"/>
      <c r="E23" s="53" t="s">
        <v>53</v>
      </c>
      <c r="F23" s="54">
        <v>50000</v>
      </c>
      <c r="G23" s="53">
        <v>1</v>
      </c>
      <c r="H23" s="69">
        <f t="shared" si="0"/>
        <v>50000</v>
      </c>
    </row>
    <row r="24" spans="1:8" ht="16.5" thickBot="1" x14ac:dyDescent="0.3">
      <c r="A24" s="64">
        <v>9</v>
      </c>
      <c r="B24" s="39" t="s">
        <v>54</v>
      </c>
      <c r="C24" s="61"/>
      <c r="D24" s="58"/>
      <c r="E24" s="53" t="s">
        <v>53</v>
      </c>
      <c r="F24" s="54">
        <v>24000</v>
      </c>
      <c r="G24" s="53">
        <v>1</v>
      </c>
      <c r="H24" s="69">
        <f t="shared" si="0"/>
        <v>24000</v>
      </c>
    </row>
    <row r="25" spans="1:8" ht="16.5" thickBot="1" x14ac:dyDescent="0.3">
      <c r="A25" s="65"/>
      <c r="B25" s="66"/>
      <c r="C25" s="67"/>
      <c r="D25" s="68"/>
      <c r="E25" s="53"/>
      <c r="F25" s="54"/>
      <c r="G25" s="53"/>
      <c r="H25" s="62"/>
    </row>
    <row r="26" spans="1:8" ht="19.5" customHeight="1" thickBot="1" x14ac:dyDescent="0.35">
      <c r="A26" s="63" t="s">
        <v>25</v>
      </c>
      <c r="B26" s="15" t="s">
        <v>55</v>
      </c>
      <c r="D26" s="16"/>
      <c r="E26" s="13"/>
      <c r="F26" s="40" t="s">
        <v>31</v>
      </c>
      <c r="G26" s="13"/>
      <c r="H26" s="7"/>
    </row>
    <row r="27" spans="1:8" ht="19.5" customHeight="1" thickBot="1" x14ac:dyDescent="0.3">
      <c r="A27" s="59"/>
      <c r="B27" s="17"/>
      <c r="C27" s="4"/>
      <c r="D27" s="4"/>
      <c r="E27" s="41" t="s">
        <v>26</v>
      </c>
      <c r="F27" s="42"/>
      <c r="G27" s="26"/>
      <c r="H27" s="50">
        <f>SUM(H16:H24)</f>
        <v>601700</v>
      </c>
    </row>
    <row r="28" spans="1:8" ht="19.5" customHeight="1" x14ac:dyDescent="0.25">
      <c r="A28" s="27" t="s">
        <v>27</v>
      </c>
      <c r="B28" s="13"/>
      <c r="C28" s="13"/>
      <c r="D28" s="14"/>
      <c r="E28" s="3" t="s">
        <v>33</v>
      </c>
      <c r="F28" s="60"/>
      <c r="G28" s="44">
        <v>0.19</v>
      </c>
      <c r="H28" s="51">
        <f>H27*G28</f>
        <v>114323</v>
      </c>
    </row>
    <row r="29" spans="1:8" ht="19.5" customHeight="1" x14ac:dyDescent="0.25">
      <c r="A29" s="15" t="s">
        <v>34</v>
      </c>
      <c r="D29" s="16"/>
      <c r="E29" s="42" t="s">
        <v>28</v>
      </c>
      <c r="G29" s="70">
        <v>2.5000000000000001E-2</v>
      </c>
      <c r="H29" s="45"/>
    </row>
    <row r="30" spans="1:8" ht="15.75" x14ac:dyDescent="0.25">
      <c r="A30" s="15" t="s">
        <v>42</v>
      </c>
      <c r="D30" s="16"/>
      <c r="F30" s="42"/>
      <c r="G30" s="26"/>
      <c r="H30" s="46"/>
    </row>
    <row r="31" spans="1:8" ht="16.5" thickBot="1" x14ac:dyDescent="0.3">
      <c r="A31" s="15" t="s">
        <v>37</v>
      </c>
      <c r="D31" s="16"/>
      <c r="E31" s="42" t="s">
        <v>29</v>
      </c>
      <c r="F31" s="42"/>
      <c r="G31" s="26"/>
      <c r="H31" s="47"/>
    </row>
    <row r="32" spans="1:8" ht="19.5" thickBot="1" x14ac:dyDescent="0.35">
      <c r="A32" s="17"/>
      <c r="B32" s="4"/>
      <c r="C32" s="4"/>
      <c r="D32" s="18"/>
      <c r="F32" s="3"/>
      <c r="G32" s="43" t="s">
        <v>30</v>
      </c>
      <c r="H32" s="52">
        <f>H27+H28-H29</f>
        <v>716023</v>
      </c>
    </row>
    <row r="33" spans="1:8" ht="16.5" customHeight="1" x14ac:dyDescent="0.25"/>
    <row r="38" spans="1:8" ht="15.75" thickBot="1" x14ac:dyDescent="0.3"/>
    <row r="39" spans="1:8" ht="19.5" thickBot="1" x14ac:dyDescent="0.35">
      <c r="A39" s="28" t="s">
        <v>40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BALCON DEL CAMPESTRE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2025-09-08T19:39:40Z</dcterms:modified>
</cp:coreProperties>
</file>