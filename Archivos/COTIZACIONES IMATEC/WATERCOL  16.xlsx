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DE1A9FE-CDBB-4C6A-B575-DB50475D694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WATERCO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4" i="1"/>
  <c r="H23" i="1"/>
  <c r="H22" i="1"/>
  <c r="H21" i="1"/>
  <c r="H20" i="1"/>
  <c r="H19" i="1"/>
  <c r="H18" i="1"/>
  <c r="H17" i="1"/>
  <c r="H16" i="1"/>
  <c r="H28" i="1" l="1"/>
  <c r="H32" i="1" s="1"/>
</calcChain>
</file>

<file path=xl/sharedStrings.xml><?xml version="1.0" encoding="utf-8"?>
<sst xmlns="http://schemas.openxmlformats.org/spreadsheetml/2006/main" count="70" uniqueCount="64">
  <si>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</si>
  <si>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</si>
  <si>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</si>
  <si>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</si>
  <si>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</si>
  <si>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</si>
  <si>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</si>
  <si>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</si>
  <si>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</si>
  <si>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</si>
  <si>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</si>
  <si>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</si>
  <si>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</si>
  <si>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</si>
  <si>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</si>
  <si>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</si>
  <si>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</si>
  <si>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</si>
  <si>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</si>
  <si>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</si>
  <si>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</si>
  <si>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</si>
  <si>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</si>
  <si>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</si>
  <si>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</si>
  <si>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</si>
  <si>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</si>
  <si>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</si>
  <si>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</si>
  <si>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</si>
  <si>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</si>
  <si>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</si>
  <si>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</si>
  <si>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</si>
  <si>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</si>
  <si>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</si>
  <si>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</si>
  <si>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</si>
  <si>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</si>
  <si>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WATERCOL S A S</t>
  </si>
  <si>
    <t>901 193743</t>
  </si>
  <si>
    <t>CARRERA 36 No. 10-549 ACOPI</t>
  </si>
  <si>
    <t>YUMBO</t>
  </si>
  <si>
    <t>contabilidad@watercol.com.co</t>
  </si>
  <si>
    <t>311 614 8702</t>
  </si>
  <si>
    <t>LUIS A. BENAVIDES</t>
  </si>
  <si>
    <t>ENTREGA INMEDIATA A PARTIR DE ORDEN DE COMPRA</t>
  </si>
  <si>
    <t>ACCESORIO</t>
  </si>
  <si>
    <t>TUBO X 5,8 MTS</t>
  </si>
  <si>
    <t xml:space="preserve">           C O T I Z A C I O N</t>
  </si>
  <si>
    <t>No. 16</t>
  </si>
  <si>
    <t>TUBERIA PVC  SCH 40 2 "  X  6 MTS</t>
  </si>
  <si>
    <t>CODO PVC  SCH 40  2 "  X  90 º</t>
  </si>
  <si>
    <t>TEE PVC  SCH 40  2 "</t>
  </si>
  <si>
    <t>UNION PVC  SCH 40  2 "</t>
  </si>
  <si>
    <t>BUJE PVC  SCH 40  2 "  X  1/2 "  NPT</t>
  </si>
  <si>
    <t xml:space="preserve">SOLDADURA PVC  AMERICANA </t>
  </si>
  <si>
    <t>1/4 GALON</t>
  </si>
  <si>
    <t xml:space="preserve">LIMPIADOR PRIMER PVC </t>
  </si>
  <si>
    <t>LIMPIADOR PVC PAVCO</t>
  </si>
  <si>
    <t xml:space="preserve">REDUCCION BUSHING AC/INOX 304  1/2 "  X  1/4 " </t>
  </si>
  <si>
    <t>SEIS PESOS MDA / CTE</t>
  </si>
  <si>
    <t>UN MILLON VEINTITRES MIL OCHOCIENTOS SETENTA Y</t>
  </si>
  <si>
    <t xml:space="preserve">  CALLE  33A  No. 17F - 56 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</si>
</sst>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2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wa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25" zoomScaleNormal="100" workbookViewId="0">
      <selection activeCell="G36" sqref="G3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6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2" t="s">
        <v>38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14</v>
      </c>
      <c r="B7" s="13"/>
      <c r="C7" s="31" t="s">
        <v>39</v>
      </c>
      <c r="D7" s="13"/>
      <c r="E7" s="14"/>
      <c r="F7" s="28"/>
      <c r="G7" s="19"/>
      <c r="H7" s="20" t="s">
        <v>50</v>
      </c>
    </row>
    <row r="8" spans="1:8" ht="18.75" x14ac:dyDescent="0.3">
      <c r="A8" s="22" t="s">
        <v>8</v>
      </c>
      <c r="C8" s="25" t="s">
        <v>40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41</v>
      </c>
      <c r="D9" s="24"/>
      <c r="E9" s="25" t="s">
        <v>42</v>
      </c>
      <c r="F9" s="32" t="s">
        <v>0</v>
      </c>
      <c r="H9" s="33">
        <v>45678</v>
      </c>
    </row>
    <row r="10" spans="1:8" ht="18.75" x14ac:dyDescent="0.3">
      <c r="A10" s="22" t="s">
        <v>13</v>
      </c>
      <c r="C10" s="47" t="s">
        <v>43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45687</v>
      </c>
    </row>
    <row r="12" spans="1:8" ht="18.75" x14ac:dyDescent="0.3">
      <c r="A12" s="22" t="s">
        <v>11</v>
      </c>
      <c r="C12" s="25" t="s">
        <v>44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45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56" t="s">
        <v>19</v>
      </c>
      <c r="B15" s="51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8">
        <v>1</v>
      </c>
      <c r="B16" s="59" t="s">
        <v>51</v>
      </c>
      <c r="C16" s="60"/>
      <c r="D16" s="61"/>
      <c r="E16" s="62" t="s">
        <v>48</v>
      </c>
      <c r="F16" s="63">
        <v>90000</v>
      </c>
      <c r="G16" s="58">
        <v>2</v>
      </c>
      <c r="H16" s="53">
        <f>G16*F16</f>
        <v>180000</v>
      </c>
    </row>
    <row r="17" spans="1:8" ht="15" customHeight="1" thickBot="1" x14ac:dyDescent="0.3">
      <c r="A17" s="58">
        <v>2</v>
      </c>
      <c r="B17" s="59" t="s">
        <v>52</v>
      </c>
      <c r="C17" s="60"/>
      <c r="D17" s="61"/>
      <c r="E17" s="62" t="s">
        <v>47</v>
      </c>
      <c r="F17" s="63">
        <v>8700</v>
      </c>
      <c r="G17" s="58">
        <v>15</v>
      </c>
      <c r="H17" s="53">
        <f>G17*F17</f>
        <v>130500</v>
      </c>
    </row>
    <row r="18" spans="1:8" ht="16.5" thickBot="1" x14ac:dyDescent="0.3">
      <c r="A18" s="58">
        <v>3</v>
      </c>
      <c r="B18" s="59" t="s">
        <v>53</v>
      </c>
      <c r="C18" s="60"/>
      <c r="D18" s="61"/>
      <c r="E18" s="62" t="s">
        <v>47</v>
      </c>
      <c r="F18" s="63">
        <v>11100</v>
      </c>
      <c r="G18" s="58">
        <v>6</v>
      </c>
      <c r="H18" s="53">
        <f>G18*F18</f>
        <v>66600</v>
      </c>
    </row>
    <row r="19" spans="1:8" ht="16.5" thickBot="1" x14ac:dyDescent="0.3">
      <c r="A19" s="58">
        <v>4</v>
      </c>
      <c r="B19" s="59" t="s">
        <v>54</v>
      </c>
      <c r="C19" s="60"/>
      <c r="D19" s="61"/>
      <c r="E19" s="62" t="s">
        <v>47</v>
      </c>
      <c r="F19" s="63">
        <v>3200</v>
      </c>
      <c r="G19" s="58">
        <v>2</v>
      </c>
      <c r="H19" s="53">
        <f>G19*F19</f>
        <v>6400</v>
      </c>
    </row>
    <row r="20" spans="1:8" ht="16.5" thickBot="1" x14ac:dyDescent="0.3">
      <c r="A20" s="58">
        <v>5</v>
      </c>
      <c r="B20" s="59" t="s">
        <v>55</v>
      </c>
      <c r="C20" s="60"/>
      <c r="D20" s="61"/>
      <c r="E20" s="62" t="s">
        <v>47</v>
      </c>
      <c r="F20" s="63">
        <v>10000</v>
      </c>
      <c r="G20" s="58">
        <v>3</v>
      </c>
      <c r="H20" s="53">
        <f>G20*F20</f>
        <v>30000</v>
      </c>
    </row>
    <row r="21" spans="1:8" ht="15" customHeight="1" thickBot="1" x14ac:dyDescent="0.3">
      <c r="A21" s="58">
        <v>6</v>
      </c>
      <c r="B21" s="59" t="s">
        <v>56</v>
      </c>
      <c r="C21" s="60"/>
      <c r="D21" s="61"/>
      <c r="E21" s="62" t="s">
        <v>57</v>
      </c>
      <c r="F21" s="63">
        <v>90000</v>
      </c>
      <c r="G21" s="58">
        <v>2</v>
      </c>
      <c r="H21" s="53">
        <f>G21*F21</f>
        <v>180000</v>
      </c>
    </row>
    <row r="22" spans="1:8" ht="16.5" thickBot="1" x14ac:dyDescent="0.3">
      <c r="A22" s="58">
        <v>7</v>
      </c>
      <c r="B22" s="59" t="s">
        <v>58</v>
      </c>
      <c r="C22" s="60"/>
      <c r="D22" s="61"/>
      <c r="E22" s="62" t="s">
        <v>57</v>
      </c>
      <c r="F22" s="63">
        <v>83200</v>
      </c>
      <c r="G22" s="58">
        <v>2</v>
      </c>
      <c r="H22" s="53">
        <f>G22*F22</f>
        <v>166400</v>
      </c>
    </row>
    <row r="23" spans="1:8" ht="16.5" thickBot="1" x14ac:dyDescent="0.3">
      <c r="A23" s="58">
        <v>8</v>
      </c>
      <c r="B23" s="59" t="s">
        <v>59</v>
      </c>
      <c r="C23" s="60"/>
      <c r="D23" s="61"/>
      <c r="E23" s="62" t="s">
        <v>57</v>
      </c>
      <c r="F23" s="63">
        <v>48000</v>
      </c>
      <c r="G23" s="58">
        <v>2</v>
      </c>
      <c r="H23" s="53">
        <f>G23*F23</f>
        <v>96000</v>
      </c>
    </row>
    <row r="24" spans="1:8" ht="16.5" thickBot="1" x14ac:dyDescent="0.3">
      <c r="A24" s="58">
        <v>9</v>
      </c>
      <c r="B24" s="59" t="s">
        <v>60</v>
      </c>
      <c r="C24" s="60"/>
      <c r="D24" s="61"/>
      <c r="E24" s="62" t="s">
        <v>57</v>
      </c>
      <c r="F24" s="63">
        <v>4500</v>
      </c>
      <c r="G24" s="58">
        <v>1</v>
      </c>
      <c r="H24" s="53">
        <f>G24*F24</f>
        <v>4500</v>
      </c>
    </row>
    <row r="25" spans="1:8" ht="16.5" thickBot="1" x14ac:dyDescent="0.3">
      <c r="A25" s="58"/>
      <c r="B25" s="59"/>
      <c r="C25" s="60"/>
      <c r="D25" s="61"/>
      <c r="E25" s="62"/>
      <c r="F25" s="63"/>
      <c r="G25" s="58"/>
      <c r="H25" s="53"/>
    </row>
    <row r="26" spans="1:8" ht="19.5" customHeight="1" thickBot="1" x14ac:dyDescent="0.35">
      <c r="A26" s="54" t="s">
        <v>25</v>
      </c>
      <c r="B26" s="12" t="s">
        <v>62</v>
      </c>
      <c r="C26" s="13"/>
      <c r="D26" s="14"/>
      <c r="E26" s="13"/>
      <c r="F26" s="38" t="s">
        <v>31</v>
      </c>
      <c r="G26" s="13"/>
      <c r="H26" s="7"/>
    </row>
    <row r="27" spans="1:8" ht="19.5" customHeight="1" thickBot="1" x14ac:dyDescent="0.3">
      <c r="A27" s="55"/>
      <c r="B27" s="17" t="s">
        <v>61</v>
      </c>
      <c r="C27" s="4"/>
      <c r="D27" s="4"/>
      <c r="E27" s="39" t="s">
        <v>26</v>
      </c>
      <c r="F27" s="40"/>
      <c r="G27" s="26"/>
      <c r="H27" s="48">
        <f>SUM(H16:H24)</f>
        <v>860400</v>
      </c>
    </row>
    <row r="28" spans="1:8" ht="19.5" customHeight="1" x14ac:dyDescent="0.25">
      <c r="A28" s="27" t="s">
        <v>27</v>
      </c>
      <c r="B28" s="13"/>
      <c r="C28" s="13"/>
      <c r="D28" s="14"/>
      <c r="E28" s="3" t="s">
        <v>33</v>
      </c>
      <c r="F28" s="64"/>
      <c r="G28" s="42">
        <v>0.19</v>
      </c>
      <c r="H28" s="49">
        <f>H27*G28</f>
        <v>163476</v>
      </c>
    </row>
    <row r="29" spans="1:8" ht="19.5" customHeight="1" x14ac:dyDescent="0.25">
      <c r="A29" s="15" t="s">
        <v>34</v>
      </c>
      <c r="D29" s="16"/>
      <c r="E29" s="40" t="s">
        <v>28</v>
      </c>
      <c r="G29" s="57">
        <v>2.5000000000000001E-2</v>
      </c>
      <c r="H29" s="43"/>
    </row>
    <row r="30" spans="1:8" ht="15.75" x14ac:dyDescent="0.25">
      <c r="A30" s="15" t="s">
        <v>46</v>
      </c>
      <c r="D30" s="16"/>
      <c r="F30" s="40"/>
      <c r="G30" s="26"/>
      <c r="H30" s="44"/>
    </row>
    <row r="31" spans="1:8" ht="16.5" thickBot="1" x14ac:dyDescent="0.3">
      <c r="A31" s="15" t="s">
        <v>37</v>
      </c>
      <c r="D31" s="16"/>
      <c r="E31" s="40" t="s">
        <v>29</v>
      </c>
      <c r="F31" s="40"/>
      <c r="G31" s="26"/>
      <c r="H31" s="45"/>
    </row>
    <row r="32" spans="1:8" ht="19.5" thickBot="1" x14ac:dyDescent="0.35">
      <c r="A32" s="17"/>
      <c r="B32" s="4"/>
      <c r="C32" s="4"/>
      <c r="D32" s="18"/>
      <c r="F32" s="3"/>
      <c r="G32" s="41" t="s">
        <v>30</v>
      </c>
      <c r="H32" s="50">
        <f>H27+H28-H29</f>
        <v>1023876</v>
      </c>
    </row>
    <row r="33" spans="1:8" ht="16.5" customHeight="1" x14ac:dyDescent="0.25"/>
    <row r="38" spans="1:8" ht="15.75" thickBot="1" x14ac:dyDescent="0.3"/>
    <row r="39" spans="1:8" ht="19.5" thickBot="1" x14ac:dyDescent="0.35">
      <c r="A39" s="28" t="s">
        <v>63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WATERCOL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2025-01-21T20:35:56Z</dcterms:modified>
</cp:coreProperties>
</file>