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5E6C331-10F1-414E-AD29-BC4986F1A41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5" i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<sst xmlns="http://schemas.openxmlformats.org/spreadsheetml/2006/main" count="73" uniqueCount="61">
  <si>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</si>
  <si>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</si>
  <si>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</si>
  <si>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</si>
  <si>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</si>
  <si>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</si>
  <si>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</si>
  <si>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</si>
  <si>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</si>
  <si>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</si>
  <si>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</si>
  <si>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</si>
  <si>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</si>
  <si>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</si>
  <si>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</si>
  <si>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</si>
  <si>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</si>
  <si>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</si>
  <si>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</si>
  <si>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</si>
  <si>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</si>
  <si>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</si>
  <si>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</si>
  <si>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</si>
  <si>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</si>
  <si>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</si>
  <si>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</si>
  <si>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</si>
  <si>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</si>
  <si>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</si>
  <si>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</si>
  <si>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</si>
  <si>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</si>
  <si>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</si>
  <si>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</si>
  <si>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</si>
  <si>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</si>
  <si>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</si>
  <si>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</si>
  <si>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</si>
  <si>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</si>
  <si>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</si>
  <si>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</si>
  <si>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</si>
  <si>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CALLE  33A  No. 17F - 56                                  B/  LA FLORESTA             -   CALI    -                                   CEL.     321 7834969</t>
  </si>
  <si>
    <t>L I Q U I D A C I O N</t>
  </si>
  <si>
    <t>No.  16</t>
  </si>
  <si>
    <t>STUB END  AC/INOX  304 SCH 40</t>
  </si>
  <si>
    <t>1/2 "</t>
  </si>
  <si>
    <t>3/4 "</t>
  </si>
  <si>
    <t>1 "</t>
  </si>
  <si>
    <t>1 1/4 "</t>
  </si>
  <si>
    <t>1 1/2 "</t>
  </si>
  <si>
    <t xml:space="preserve">2 " </t>
  </si>
  <si>
    <t>3 "</t>
  </si>
  <si>
    <t>FABRICACION</t>
  </si>
  <si>
    <t>OCHO MILLONES NOVECIENTOS NOVENTA Y OCHO MIL</t>
  </si>
  <si>
    <t>CIENTO ONCE PESOS MDA / CTE</t>
  </si>
  <si>
    <t xml:space="preserve">           C O T I Z A C I O N</t>
  </si>
  <si>
    <t>10 DIAS</t>
  </si>
  <si>
    <t>ENTREGA EN 8 DIAS HABILES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</si>
</sst>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4" fillId="0" borderId="3" xfId="0" applyFont="1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7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7" width="15.7109375" customWidth="1"/>
    <col min="8" max="8" width="16.2851562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58</v>
      </c>
      <c r="G6" s="41"/>
      <c r="H6" s="42"/>
    </row>
    <row r="7" spans="1:8" ht="19.5" thickBot="1" x14ac:dyDescent="0.35">
      <c r="A7" s="19" t="s">
        <v>14</v>
      </c>
      <c r="B7" s="12"/>
      <c r="C7" s="67" t="s">
        <v>36</v>
      </c>
      <c r="D7" s="6"/>
      <c r="E7" s="7"/>
      <c r="F7" s="36"/>
      <c r="G7" s="17"/>
      <c r="H7" s="18" t="s">
        <v>46</v>
      </c>
    </row>
    <row r="8" spans="1:8" ht="18.75" x14ac:dyDescent="0.3">
      <c r="A8" s="20" t="s">
        <v>8</v>
      </c>
      <c r="C8" s="59" t="s">
        <v>37</v>
      </c>
      <c r="D8" s="60"/>
      <c r="E8" s="43"/>
      <c r="H8" s="14"/>
    </row>
    <row r="9" spans="1:8" ht="18.75" customHeight="1" x14ac:dyDescent="0.3">
      <c r="A9" s="20" t="s">
        <v>9</v>
      </c>
      <c r="C9" s="61" t="s">
        <v>38</v>
      </c>
      <c r="D9" s="22"/>
      <c r="E9" s="62" t="s">
        <v>39</v>
      </c>
      <c r="F9" s="29" t="s">
        <v>0</v>
      </c>
      <c r="H9" s="27">
        <v>45839</v>
      </c>
    </row>
    <row r="10" spans="1:8" ht="18.75" x14ac:dyDescent="0.3">
      <c r="A10" s="20" t="s">
        <v>13</v>
      </c>
      <c r="C10" s="63" t="s">
        <v>40</v>
      </c>
      <c r="D10" s="58"/>
      <c r="E10" s="44"/>
      <c r="F10" s="29" t="s">
        <v>15</v>
      </c>
      <c r="H10" s="28" t="s">
        <v>59</v>
      </c>
    </row>
    <row r="11" spans="1:8" ht="18.75" x14ac:dyDescent="0.3">
      <c r="A11" s="20" t="s">
        <v>10</v>
      </c>
      <c r="C11" s="63"/>
      <c r="D11" s="58"/>
      <c r="E11" s="44"/>
      <c r="F11" s="29" t="s">
        <v>16</v>
      </c>
      <c r="G11" s="29"/>
      <c r="H11" s="27">
        <v>45847</v>
      </c>
    </row>
    <row r="12" spans="1:8" ht="18.75" x14ac:dyDescent="0.3">
      <c r="A12" s="20" t="s">
        <v>11</v>
      </c>
      <c r="C12" s="64" t="s">
        <v>41</v>
      </c>
      <c r="D12" s="58"/>
      <c r="E12" s="4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5" t="s">
        <v>42</v>
      </c>
      <c r="D13" s="66"/>
      <c r="E13" s="45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3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68">
        <v>1</v>
      </c>
      <c r="B16" s="69" t="s">
        <v>47</v>
      </c>
      <c r="C16" s="70"/>
      <c r="D16" s="71" t="s">
        <v>48</v>
      </c>
      <c r="E16" s="68" t="s">
        <v>55</v>
      </c>
      <c r="F16" s="72">
        <v>14000</v>
      </c>
      <c r="G16" s="68">
        <v>72</v>
      </c>
      <c r="H16" s="37">
        <f t="shared" ref="H16" si="0">G16*F16</f>
        <v>1008000</v>
      </c>
    </row>
    <row r="17" spans="1:8" ht="15" customHeight="1" thickBot="1" x14ac:dyDescent="0.3">
      <c r="A17" s="68">
        <v>2</v>
      </c>
      <c r="B17" s="69" t="s">
        <v>47</v>
      </c>
      <c r="C17" s="70"/>
      <c r="D17" s="71" t="s">
        <v>49</v>
      </c>
      <c r="E17" s="68" t="s">
        <v>55</v>
      </c>
      <c r="F17" s="72">
        <v>14800</v>
      </c>
      <c r="G17" s="68">
        <v>67</v>
      </c>
      <c r="H17" s="37">
        <f t="shared" ref="H17:H22" si="1">G17*F17</f>
        <v>991600</v>
      </c>
    </row>
    <row r="18" spans="1:8" ht="15" customHeight="1" thickBot="1" x14ac:dyDescent="0.3">
      <c r="A18" s="68">
        <v>3</v>
      </c>
      <c r="B18" s="69" t="s">
        <v>47</v>
      </c>
      <c r="C18" s="70"/>
      <c r="D18" s="71" t="s">
        <v>50</v>
      </c>
      <c r="E18" s="68" t="s">
        <v>55</v>
      </c>
      <c r="F18" s="72">
        <v>16500</v>
      </c>
      <c r="G18" s="68">
        <v>89</v>
      </c>
      <c r="H18" s="37">
        <f t="shared" si="1"/>
        <v>1468500</v>
      </c>
    </row>
    <row r="19" spans="1:8" ht="15" customHeight="1" thickBot="1" x14ac:dyDescent="0.3">
      <c r="A19" s="68">
        <v>4</v>
      </c>
      <c r="B19" s="69" t="s">
        <v>47</v>
      </c>
      <c r="C19" s="70"/>
      <c r="D19" s="71" t="s">
        <v>51</v>
      </c>
      <c r="E19" s="68" t="s">
        <v>55</v>
      </c>
      <c r="F19" s="72">
        <v>18600</v>
      </c>
      <c r="G19" s="68">
        <v>1</v>
      </c>
      <c r="H19" s="37">
        <f t="shared" si="1"/>
        <v>18600</v>
      </c>
    </row>
    <row r="20" spans="1:8" ht="15" customHeight="1" thickBot="1" x14ac:dyDescent="0.3">
      <c r="A20" s="68">
        <v>5</v>
      </c>
      <c r="B20" s="69" t="s">
        <v>47</v>
      </c>
      <c r="C20" s="70"/>
      <c r="D20" s="71" t="s">
        <v>52</v>
      </c>
      <c r="E20" s="68" t="s">
        <v>55</v>
      </c>
      <c r="F20" s="72">
        <v>21000</v>
      </c>
      <c r="G20" s="68">
        <v>36</v>
      </c>
      <c r="H20" s="37">
        <f t="shared" si="1"/>
        <v>756000</v>
      </c>
    </row>
    <row r="21" spans="1:8" ht="15" customHeight="1" thickBot="1" x14ac:dyDescent="0.3">
      <c r="A21" s="68">
        <v>6</v>
      </c>
      <c r="B21" s="69" t="s">
        <v>47</v>
      </c>
      <c r="C21" s="70"/>
      <c r="D21" s="71" t="s">
        <v>53</v>
      </c>
      <c r="E21" s="68" t="s">
        <v>55</v>
      </c>
      <c r="F21" s="72">
        <v>35000</v>
      </c>
      <c r="G21" s="68">
        <v>62</v>
      </c>
      <c r="H21" s="37">
        <f t="shared" si="1"/>
        <v>2170000</v>
      </c>
    </row>
    <row r="22" spans="1:8" ht="15" customHeight="1" thickBot="1" x14ac:dyDescent="0.3">
      <c r="A22" s="68">
        <v>7</v>
      </c>
      <c r="B22" s="69" t="s">
        <v>47</v>
      </c>
      <c r="C22" s="70"/>
      <c r="D22" s="71" t="s">
        <v>54</v>
      </c>
      <c r="E22" s="68" t="s">
        <v>55</v>
      </c>
      <c r="F22" s="72">
        <v>57000</v>
      </c>
      <c r="G22" s="68">
        <v>23</v>
      </c>
      <c r="H22" s="37">
        <f t="shared" si="1"/>
        <v>1311000</v>
      </c>
    </row>
    <row r="23" spans="1:8" ht="19.5" customHeight="1" thickBot="1" x14ac:dyDescent="0.3">
      <c r="A23" s="46"/>
      <c r="B23" s="75"/>
      <c r="C23" s="76"/>
      <c r="D23" s="77"/>
      <c r="E23" s="46"/>
      <c r="F23" s="46"/>
      <c r="G23" s="46"/>
    </row>
    <row r="24" spans="1:8" ht="19.5" customHeight="1" thickBot="1" x14ac:dyDescent="0.35">
      <c r="A24" s="74" t="s">
        <v>23</v>
      </c>
      <c r="B24" s="78" t="s">
        <v>56</v>
      </c>
      <c r="C24" s="12"/>
      <c r="D24" s="79"/>
      <c r="E24" s="47"/>
      <c r="F24" s="36" t="s">
        <v>45</v>
      </c>
      <c r="G24" s="6"/>
      <c r="H24" s="7"/>
    </row>
    <row r="25" spans="1:8" ht="19.5" customHeight="1" thickBot="1" x14ac:dyDescent="0.3">
      <c r="A25" s="38"/>
      <c r="B25" s="15" t="s">
        <v>57</v>
      </c>
      <c r="C25" s="4"/>
      <c r="D25" s="16"/>
      <c r="E25" s="50" t="s">
        <v>24</v>
      </c>
      <c r="F25" s="51"/>
      <c r="G25" s="43"/>
      <c r="H25" s="48">
        <f>SUM(H16:H22)</f>
        <v>7723700</v>
      </c>
    </row>
    <row r="26" spans="1:8" ht="19.5" customHeight="1" x14ac:dyDescent="0.25">
      <c r="A26" s="23" t="s">
        <v>25</v>
      </c>
      <c r="B26" s="12"/>
      <c r="C26" s="12"/>
      <c r="D26" s="12"/>
      <c r="E26" s="52" t="s">
        <v>29</v>
      </c>
      <c r="F26" s="22"/>
      <c r="G26" s="53">
        <v>0.19</v>
      </c>
      <c r="H26" s="39">
        <f>H25*G26</f>
        <v>1467503</v>
      </c>
    </row>
    <row r="27" spans="1:8" ht="19.5" customHeight="1" x14ac:dyDescent="0.25">
      <c r="A27" s="13" t="s">
        <v>43</v>
      </c>
      <c r="E27" s="54" t="s">
        <v>26</v>
      </c>
      <c r="G27" s="57">
        <v>2.5000000000000001E-2</v>
      </c>
      <c r="H27" s="49">
        <f>H25*G27</f>
        <v>193092.5</v>
      </c>
    </row>
    <row r="28" spans="1:8" ht="15.75" x14ac:dyDescent="0.25">
      <c r="A28" s="13" t="s">
        <v>60</v>
      </c>
      <c r="E28" s="13"/>
      <c r="F28" s="32"/>
      <c r="G28" s="44"/>
      <c r="H28" s="14"/>
    </row>
    <row r="29" spans="1:8" ht="16.5" thickBot="1" x14ac:dyDescent="0.3">
      <c r="A29" t="s">
        <v>31</v>
      </c>
      <c r="E29" s="55" t="s">
        <v>27</v>
      </c>
      <c r="F29" s="56"/>
      <c r="G29" s="45"/>
      <c r="H29" s="16"/>
    </row>
    <row r="30" spans="1:8" ht="19.5" thickBot="1" x14ac:dyDescent="0.35">
      <c r="A30" s="15"/>
      <c r="B30" s="4"/>
      <c r="C30" s="4"/>
      <c r="D30" s="16"/>
      <c r="F30" s="3"/>
      <c r="G30" s="33" t="s">
        <v>28</v>
      </c>
      <c r="H30" s="35">
        <f>H25+H26-H27</f>
        <v>8998110.5</v>
      </c>
    </row>
    <row r="31" spans="1:8" ht="16.5" customHeight="1" x14ac:dyDescent="0.25"/>
    <row r="36" spans="1:8" ht="15.75" thickBot="1" x14ac:dyDescent="0.3"/>
    <row r="37" spans="1:8" ht="19.5" thickBot="1" x14ac:dyDescent="0.35">
      <c r="A37" s="24" t="s">
        <v>44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2025-06-11T22:42:11Z</cp:lastPrinted>
  <dcterms:created xsi:type="dcterms:W3CDTF">2018-11-15T17:29:02Z</dcterms:created>
  <dcterms:modified xsi:type="dcterms:W3CDTF">2025-07-01T21:03:46Z</dcterms:modified>
</cp:coreProperties>
</file>