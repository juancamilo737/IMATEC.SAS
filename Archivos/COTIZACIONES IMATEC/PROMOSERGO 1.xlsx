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79019876-45C8-4111-B17C-74195803A2C2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PROMOSERGO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98" i="1" l="1"/>
  <c r="H96" i="1"/>
  <c r="H95" i="1"/>
  <c r="H93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16" i="1"/>
  <c r="H94" i="1" l="1"/>
</calcChain>
</file>

<file path=xl/sharedStrings.xml><?xml version="1.0" encoding="utf-8"?>
<sst xmlns="http://schemas.openxmlformats.org/spreadsheetml/2006/main" count="205" uniqueCount="134">
  <si>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</si>
  <si>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</si>
  <si>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</si>
  <si>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</si>
  <si>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</si>
  <si>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</si>
  <si>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</si>
  <si>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</si>
  <si>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</si>
  <si>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</si>
  <si>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</si>
  <si>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</si>
  <si>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</si>
  <si>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</si>
  <si>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</si>
  <si>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</si>
  <si>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</si>
  <si>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</si>
  <si>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</si>
  <si>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</si>
  <si>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</si>
  <si>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</si>
  <si>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</si>
  <si>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</si>
  <si>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</si>
  <si>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</si>
  <si>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</si>
  <si>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</si>
  <si>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</si>
  <si>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</si>
  <si>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10 DIAS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</si>
  <si>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</si>
  <si>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</si>
  <si>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</si>
  <si>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</si>
  <si>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</si>
  <si>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</si>
  <si>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 xml:space="preserve">           C O T I Z A C I O N</t>
  </si>
  <si>
    <t>ACCESORIO</t>
  </si>
  <si>
    <t>L I Q U I D A C I O N</t>
  </si>
  <si>
    <t xml:space="preserve">  CALLE  33A  No.   17F - 56                           B/  LA FLORESTA             -   CALI    -                                       CEL.     321 7834969</t>
  </si>
  <si>
    <t>No. 1</t>
  </si>
  <si>
    <t>PROMOSERGO S.A.S.</t>
  </si>
  <si>
    <t>900 970276</t>
  </si>
  <si>
    <t>AV 6 Nte. No. 29AN - 49  OF 1004</t>
  </si>
  <si>
    <t>CALI</t>
  </si>
  <si>
    <t>900970276@recepciondefacturas.co</t>
  </si>
  <si>
    <t>602 4882204</t>
  </si>
  <si>
    <t>EDINSON CABEZAS</t>
  </si>
  <si>
    <t>Gabinete Metalico para Extintor 0,70x0,40x0,23 mts</t>
  </si>
  <si>
    <t>Siamesa Inyeccion columna 4" * 2,1/2"</t>
  </si>
  <si>
    <t>Siamesa Llenado Tanque 4" * 2,1/2"</t>
  </si>
  <si>
    <t>Valvula de doble compuerta OS&amp;Y ranurada firelock de 4"</t>
  </si>
  <si>
    <t>Valvula checke de 4" ranurada</t>
  </si>
  <si>
    <t>Valvula checke de 21/2" ranurada</t>
  </si>
  <si>
    <t>Valvula desaireadora de 1" Prueba de Drenaje NPT K=5,6 UL-FM</t>
  </si>
  <si>
    <t>Valvula de prueba drenaje de 4" Tipo Mariposa</t>
  </si>
  <si>
    <t>Valvula de prueba drenaje de 21/2" Tipo Mariposa</t>
  </si>
  <si>
    <t>Valvula de Globo Angular Napoli UL-FM de 21/2" Bronce Tapa Bronce</t>
  </si>
  <si>
    <t>Shellac para sello de roscas</t>
  </si>
  <si>
    <t>Cinta de rollo teflon grande</t>
  </si>
  <si>
    <t>Sensor de flujo de 21/2"</t>
  </si>
  <si>
    <t>Universal Acero al Carbon SCH 10 de 21/2"</t>
  </si>
  <si>
    <t>Soporte Tipo Tecna 4"</t>
  </si>
  <si>
    <t>Soporte Tipo Tecna 21/2"</t>
  </si>
  <si>
    <t>Soportes Tipo Cuelga y/o Pera de 4"</t>
  </si>
  <si>
    <t>Soportes Tipo Cuelga y/o pera de 21/2"</t>
  </si>
  <si>
    <t>Soportes Tipo Cuelga y/o pera de 11/2"</t>
  </si>
  <si>
    <t>Soportes Tipo Cuelga y/o pera de 11/4"</t>
  </si>
  <si>
    <t>Soportes Tipo Cuelga y/o pera de 1"</t>
  </si>
  <si>
    <t>Soportes sismoresistente de 4" - 2 vias Longitudinal</t>
  </si>
  <si>
    <t>Soportes sismoresistente de 4" - 2 vias transversal</t>
  </si>
  <si>
    <t>Soportes sismoresistente de 3" - 2 vias longitudinal</t>
  </si>
  <si>
    <t>Soportes sismoresistente de 3" - 2 vias transversal</t>
  </si>
  <si>
    <t>Soportes sismo resistente 4 vias de 4"</t>
  </si>
  <si>
    <t>Soportes sismo resistente 4 vias de 21/2"</t>
  </si>
  <si>
    <t>Codo Hierro Ductil ranurado 4" * 90°</t>
  </si>
  <si>
    <t>Codo Hierro Ductil ranurado 3" * 90</t>
  </si>
  <si>
    <t>Codo Hierro Ductil ranurado 2,1/2" * 90°</t>
  </si>
  <si>
    <t>Codo Hierro Ductil ranurado 4" * 45°</t>
  </si>
  <si>
    <t>Codo Hierro Ductil ranurado 3" * 45</t>
  </si>
  <si>
    <t>Codo Hierro Ductil ranurado 2,1/2" * 45°</t>
  </si>
  <si>
    <t>Codo acero al carbon roscado de 1" x 90</t>
  </si>
  <si>
    <t xml:space="preserve">Tee Hierro Ductil ranurado 4" </t>
  </si>
  <si>
    <t>Tee Hierro Ductil ranurado 3"</t>
  </si>
  <si>
    <t xml:space="preserve">Tee Hierro Ductil ranurado 21/2" </t>
  </si>
  <si>
    <t>Tee acero al carbon roscada de 1"</t>
  </si>
  <si>
    <t>Tee Mecanica / strap de 4"x21/2" roscada</t>
  </si>
  <si>
    <t>Tee Mecanica / strap de 21/2"x11/2" roscada</t>
  </si>
  <si>
    <t>Tee Mecanica / strap de 21/2"x1" roscada</t>
  </si>
  <si>
    <t>Tee Mecanica / strap de 11/4" x 1" roscada</t>
  </si>
  <si>
    <t>Coupling y/o union ranurado rigido y/o flexible 4"</t>
  </si>
  <si>
    <t>Coupling y/o union ranurado rigido y/o flexible 3"</t>
  </si>
  <si>
    <t>Coupling y/o union ranurado rigido y/o flexible 2,1/2"</t>
  </si>
  <si>
    <t>Coupling y/o union ranurado rigido y/o flexible 1,1/2"</t>
  </si>
  <si>
    <t>Copa Reducida ranurada 4" * 21/2"</t>
  </si>
  <si>
    <t>Reduccion ac copa roscada de 21/2" x 11/2"</t>
  </si>
  <si>
    <t>Reduccion ac copa roscada de 1" x 1/2"</t>
  </si>
  <si>
    <t>Union ac roscada de 1"</t>
  </si>
  <si>
    <t>Niple  Acero carbon  ranurado y roscado 1" * 10cmts</t>
  </si>
  <si>
    <t>Niple Acero carbon ranurado y roscado 21/2"*0,25 mts</t>
  </si>
  <si>
    <t>Niple Acero carbon ranurado y roscado 11/2"*0,25 mts</t>
  </si>
  <si>
    <t>Niple Acero carbon ranurado de 21/2"*0,40 mts</t>
  </si>
  <si>
    <t>Niple Acero carbon ranurado de 21/2"*0,45 mts</t>
  </si>
  <si>
    <t>Niple Acero carbon ranurado y ranurado 4"*0,25 mts</t>
  </si>
  <si>
    <t>Niple  Acero carbon  ranurado y roscado 4" * 15cmts</t>
  </si>
  <si>
    <t>Cortes de tuberia acero al carbon</t>
  </si>
  <si>
    <t>Tapón ranurado de 21/2"</t>
  </si>
  <si>
    <t>Manometros de glicerina de 0 - 300 psi</t>
  </si>
  <si>
    <t>FABRICACION</t>
  </si>
  <si>
    <t>Ranura de tuberia A / C a maquina por pulgada (4")</t>
  </si>
  <si>
    <t>Ranura de tuberia A / C a maquina por pulgada (3")</t>
  </si>
  <si>
    <t>Ranura de tuberia A / C a maquina por pulgada (21/2")</t>
  </si>
  <si>
    <t>Ranura de tuberia A / C a maquina por pulgada (11/2")</t>
  </si>
  <si>
    <t>Ranura de tuberia a / c a maquina por pulgada (11/4")</t>
  </si>
  <si>
    <t>SERVICIO</t>
  </si>
  <si>
    <t>Rociadores Montante Factor K 5,6 de 1/2" REF 5501</t>
  </si>
  <si>
    <t>Valvula Mariposa ind-sup de 21/2" ranurada</t>
  </si>
  <si>
    <t>Gabinetes Incendio completo Clase II manguera 100 pies</t>
  </si>
  <si>
    <t xml:space="preserve">Extintor ABC 10 Lb </t>
  </si>
  <si>
    <t>Extintor CO2  25libras</t>
  </si>
  <si>
    <t>INSUMO</t>
  </si>
  <si>
    <t>Tubería Acero al carbon 4" C/C ranurada SCH 10</t>
  </si>
  <si>
    <t>Tuberia Acero al carbon 3" C/C ranurada SCH 10</t>
  </si>
  <si>
    <t>Tubería Acero al carbon 2,1/2" C/C ranurada SCH 10</t>
  </si>
  <si>
    <t>Tuberia Acero al Carbon 11/2" C/C ranurada SCH 10</t>
  </si>
  <si>
    <t>Tuberia Acero al Carbon 11/4" C/C ranurada SCH 10</t>
  </si>
  <si>
    <t>Tuberia Acero al Carbon 1 "  C/C ranurada SCH 40</t>
  </si>
  <si>
    <t>METRO LINEAL</t>
  </si>
  <si>
    <t xml:space="preserve">  RETEFUENTE</t>
  </si>
  <si>
    <t>VEINTINUEVE MILLONES SEISCIENTOS OCHENTA Y CIN-</t>
  </si>
  <si>
    <t>CO MIL SEISCIENTOS SESENTA PESOS MDA / CTE</t>
  </si>
  <si>
    <t>FORMA DE PAGO : ANTICIPO 50 % SALDO 50 % A TREINTA DIAS</t>
  </si>
  <si>
    <t>ENTREGA EN TRES DIAS A PARTIR DE ORDEN DE COMPRA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</si>
</sst>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charset val="134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  <xf numFmtId="0" fontId="14" fillId="0" borderId="0"/>
  </cellStyleXfs>
  <cellXfs count="7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19" xfId="0" applyBorder="1"/>
    <xf numFmtId="0" fontId="0" fillId="0" borderId="25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7" xfId="0" applyFont="1" applyBorder="1"/>
    <xf numFmtId="0" fontId="4" fillId="0" borderId="18" xfId="0" applyFont="1" applyBorder="1"/>
    <xf numFmtId="0" fontId="4" fillId="0" borderId="9" xfId="0" applyFont="1" applyBorder="1"/>
    <xf numFmtId="9" fontId="1" fillId="0" borderId="20" xfId="3" applyFont="1" applyBorder="1"/>
    <xf numFmtId="0" fontId="4" fillId="0" borderId="21" xfId="0" applyFont="1" applyBorder="1"/>
    <xf numFmtId="0" fontId="4" fillId="0" borderId="23" xfId="0" applyFont="1" applyBorder="1"/>
    <xf numFmtId="0" fontId="4" fillId="0" borderId="24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left" vertical="top" wrapText="1"/>
    </xf>
    <xf numFmtId="0" fontId="0" fillId="0" borderId="6" xfId="0" applyBorder="1"/>
    <xf numFmtId="0" fontId="13" fillId="0" borderId="9" xfId="2" applyBorder="1"/>
    <xf numFmtId="0" fontId="1" fillId="0" borderId="26" xfId="0" applyFont="1" applyBorder="1" applyAlignment="1">
      <alignment horizontal="center"/>
    </xf>
    <xf numFmtId="42" fontId="11" fillId="0" borderId="26" xfId="1" applyFont="1" applyBorder="1" applyAlignment="1">
      <alignment horizontal="center"/>
    </xf>
    <xf numFmtId="42" fontId="1" fillId="0" borderId="0" xfId="1" applyFont="1" applyBorder="1" applyAlignment="1">
      <alignment horizontal="left"/>
    </xf>
    <xf numFmtId="0" fontId="15" fillId="0" borderId="14" xfId="4" applyFont="1" applyBorder="1" applyAlignment="1">
      <alignment horizontal="left"/>
    </xf>
    <xf numFmtId="0" fontId="0" fillId="0" borderId="13" xfId="0" applyBorder="1"/>
    <xf numFmtId="0" fontId="0" fillId="0" borderId="27" xfId="0" applyBorder="1"/>
    <xf numFmtId="0" fontId="1" fillId="0" borderId="26" xfId="0" applyFont="1" applyFill="1" applyBorder="1" applyAlignment="1">
      <alignment horizontal="center"/>
    </xf>
    <xf numFmtId="42" fontId="0" fillId="0" borderId="26" xfId="1" applyFont="1" applyBorder="1"/>
    <xf numFmtId="42" fontId="0" fillId="0" borderId="0" xfId="1" applyFont="1"/>
    <xf numFmtId="0" fontId="1" fillId="0" borderId="0" xfId="0" applyFont="1" applyAlignment="1">
      <alignment horizontal="center"/>
    </xf>
    <xf numFmtId="0" fontId="1" fillId="0" borderId="22" xfId="0" applyFont="1" applyBorder="1"/>
    <xf numFmtId="0" fontId="15" fillId="0" borderId="28" xfId="4" applyFont="1" applyBorder="1" applyAlignment="1">
      <alignment horizontal="left"/>
    </xf>
    <xf numFmtId="0" fontId="0" fillId="0" borderId="29" xfId="0" applyBorder="1"/>
    <xf numFmtId="0" fontId="0" fillId="0" borderId="30" xfId="0" applyBorder="1"/>
    <xf numFmtId="0" fontId="1" fillId="0" borderId="3" xfId="0" applyFont="1" applyBorder="1"/>
  </cellXfs>
  <cellStyles count="5">
    <cellStyle name="Hipervínculo" xfId="2" builtinId="8"/>
    <cellStyle name="Moneda [0]" xfId="1" builtinId="7"/>
    <cellStyle name="Normal" xfId="0" builtinId="0"/>
    <cellStyle name="Normal 2" xfId="4" xr:uid="{676E2EB4-B3FA-4AB3-90CE-0DFF926091C4}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900970276@recepciondefacturas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105"/>
  <sheetViews>
    <sheetView tabSelected="1" topLeftCell="A78" zoomScaleNormal="100" workbookViewId="0">
      <selection activeCell="L82" sqref="L82"/>
    </sheetView>
  </sheetViews>
  <sheetFormatPr baseColWidth="10" defaultRowHeight="1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>
      <c r="A1" s="1"/>
      <c r="C1" s="7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9" t="s">
        <v>6</v>
      </c>
    </row>
    <row r="2" spans="1:8" ht="20.25" customHeight="1" thickBot="1">
      <c r="D2" s="2"/>
      <c r="E2" s="34" t="s">
        <v>35</v>
      </c>
    </row>
    <row r="3" spans="1:8" ht="27" thickBot="1">
      <c r="A3" s="10" t="s">
        <v>36</v>
      </c>
      <c r="B3" s="5"/>
      <c r="C3" s="5"/>
      <c r="D3" s="5"/>
      <c r="E3" s="5"/>
      <c r="F3" s="5"/>
      <c r="G3" s="5"/>
      <c r="H3" s="6"/>
    </row>
    <row r="4" spans="1:8" ht="21.75" thickBot="1">
      <c r="A4" s="25" t="s">
        <v>7</v>
      </c>
      <c r="B4" s="5"/>
      <c r="C4" s="5"/>
      <c r="D4" s="26" t="s">
        <v>31</v>
      </c>
      <c r="E4" s="17"/>
      <c r="F4" s="18"/>
      <c r="G4" s="5"/>
      <c r="H4" s="6"/>
    </row>
    <row r="5" spans="1:8" ht="19.5" thickBot="1">
      <c r="A5" s="36" t="s">
        <v>33</v>
      </c>
      <c r="B5" s="5"/>
      <c r="C5" s="5"/>
      <c r="D5" s="5"/>
      <c r="E5" s="5"/>
    </row>
    <row r="6" spans="1:8" ht="24.75" customHeight="1" thickBot="1">
      <c r="F6" s="39" t="s">
        <v>37</v>
      </c>
      <c r="G6" s="40"/>
      <c r="H6" s="41"/>
    </row>
    <row r="7" spans="1:8" ht="19.5" thickBot="1">
      <c r="A7" s="19" t="s">
        <v>14</v>
      </c>
      <c r="B7" s="11"/>
      <c r="C7" s="55" t="s">
        <v>42</v>
      </c>
      <c r="D7" s="11"/>
      <c r="E7" s="12"/>
      <c r="F7" s="36"/>
      <c r="G7" s="17"/>
      <c r="H7" s="18" t="s">
        <v>41</v>
      </c>
    </row>
    <row r="8" spans="1:8" ht="18.75">
      <c r="A8" s="20" t="s">
        <v>8</v>
      </c>
      <c r="C8" s="58" t="s">
        <v>43</v>
      </c>
      <c r="D8" s="11"/>
      <c r="E8" s="12"/>
      <c r="H8" s="14"/>
    </row>
    <row r="9" spans="1:8" ht="18.75" customHeight="1">
      <c r="A9" s="20" t="s">
        <v>9</v>
      </c>
      <c r="C9" s="13" t="s">
        <v>44</v>
      </c>
      <c r="E9" s="14" t="s">
        <v>45</v>
      </c>
      <c r="F9" s="29" t="s">
        <v>0</v>
      </c>
      <c r="H9" s="27">
        <v>45852</v>
      </c>
    </row>
    <row r="10" spans="1:8" ht="18.75">
      <c r="A10" s="20" t="s">
        <v>13</v>
      </c>
      <c r="C10" s="59" t="s">
        <v>46</v>
      </c>
      <c r="E10" s="14"/>
      <c r="F10" s="29" t="s">
        <v>15</v>
      </c>
      <c r="H10" s="28" t="s">
        <v>30</v>
      </c>
    </row>
    <row r="11" spans="1:8" ht="18.75">
      <c r="A11" s="20" t="s">
        <v>10</v>
      </c>
      <c r="C11" s="13"/>
      <c r="E11" s="14"/>
      <c r="F11" s="29" t="s">
        <v>16</v>
      </c>
      <c r="G11" s="29"/>
      <c r="H11" s="27">
        <v>45861</v>
      </c>
    </row>
    <row r="12" spans="1:8" ht="18.75">
      <c r="A12" s="20" t="s">
        <v>11</v>
      </c>
      <c r="C12" s="13" t="s">
        <v>47</v>
      </c>
      <c r="E12" s="14"/>
      <c r="F12" s="29" t="s">
        <v>17</v>
      </c>
      <c r="H12" s="30"/>
    </row>
    <row r="13" spans="1:8" ht="18.75" customHeight="1" thickBot="1">
      <c r="A13" s="21" t="s">
        <v>12</v>
      </c>
      <c r="B13" s="4"/>
      <c r="C13" s="15" t="s">
        <v>48</v>
      </c>
      <c r="D13" s="4"/>
      <c r="E13" s="16"/>
      <c r="F13" s="4"/>
      <c r="G13" s="4"/>
      <c r="H13" s="16"/>
    </row>
    <row r="14" spans="1:8" ht="15.75" thickBot="1"/>
    <row r="15" spans="1:8" ht="15.75" thickBot="1">
      <c r="A15" s="31" t="s">
        <v>34</v>
      </c>
      <c r="B15" s="74" t="s">
        <v>22</v>
      </c>
      <c r="C15" s="17"/>
      <c r="D15" s="6"/>
      <c r="E15" s="31" t="s">
        <v>18</v>
      </c>
      <c r="F15" s="31" t="s">
        <v>20</v>
      </c>
      <c r="G15" s="31" t="s">
        <v>19</v>
      </c>
      <c r="H15" s="31" t="s">
        <v>21</v>
      </c>
    </row>
    <row r="16" spans="1:8">
      <c r="A16" s="60">
        <v>1</v>
      </c>
      <c r="B16" s="71" t="s">
        <v>116</v>
      </c>
      <c r="C16" s="72"/>
      <c r="D16" s="73"/>
      <c r="E16" s="60" t="s">
        <v>38</v>
      </c>
      <c r="F16" s="61">
        <v>15600</v>
      </c>
      <c r="G16" s="60">
        <v>24</v>
      </c>
      <c r="H16" s="62">
        <f>F16*G16</f>
        <v>374400</v>
      </c>
    </row>
    <row r="17" spans="1:8">
      <c r="A17" s="56">
        <v>2</v>
      </c>
      <c r="B17" s="63" t="s">
        <v>117</v>
      </c>
      <c r="C17" s="64"/>
      <c r="D17" s="65"/>
      <c r="E17" s="60" t="s">
        <v>38</v>
      </c>
      <c r="F17" s="61">
        <v>23400</v>
      </c>
      <c r="G17" s="60">
        <v>2</v>
      </c>
      <c r="H17" s="62">
        <f t="shared" ref="H17:H80" si="0">F17*G17</f>
        <v>46800</v>
      </c>
    </row>
    <row r="18" spans="1:8">
      <c r="A18" s="60">
        <v>3</v>
      </c>
      <c r="B18" s="63" t="s">
        <v>122</v>
      </c>
      <c r="C18" s="64"/>
      <c r="D18" s="65"/>
      <c r="E18" s="60" t="s">
        <v>128</v>
      </c>
      <c r="F18" s="61">
        <v>70448</v>
      </c>
      <c r="G18" s="60">
        <v>58</v>
      </c>
      <c r="H18" s="62">
        <f t="shared" si="0"/>
        <v>4085984</v>
      </c>
    </row>
    <row r="19" spans="1:8">
      <c r="A19" s="56">
        <v>4</v>
      </c>
      <c r="B19" s="63" t="s">
        <v>123</v>
      </c>
      <c r="C19" s="64"/>
      <c r="D19" s="65"/>
      <c r="E19" s="60" t="s">
        <v>128</v>
      </c>
      <c r="F19" s="61">
        <v>56750</v>
      </c>
      <c r="G19" s="60">
        <v>6</v>
      </c>
      <c r="H19" s="62">
        <f t="shared" si="0"/>
        <v>340500</v>
      </c>
    </row>
    <row r="20" spans="1:8">
      <c r="A20" s="60">
        <v>5</v>
      </c>
      <c r="B20" s="63" t="s">
        <v>124</v>
      </c>
      <c r="C20" s="64"/>
      <c r="D20" s="65"/>
      <c r="E20" s="60" t="s">
        <v>128</v>
      </c>
      <c r="F20" s="61">
        <v>42650</v>
      </c>
      <c r="G20" s="60">
        <v>36</v>
      </c>
      <c r="H20" s="62">
        <f t="shared" si="0"/>
        <v>1535400</v>
      </c>
    </row>
    <row r="21" spans="1:8">
      <c r="A21" s="56">
        <v>6</v>
      </c>
      <c r="B21" s="63" t="s">
        <v>125</v>
      </c>
      <c r="C21" s="64"/>
      <c r="D21" s="65"/>
      <c r="E21" s="60" t="s">
        <v>128</v>
      </c>
      <c r="F21" s="61">
        <v>23706</v>
      </c>
      <c r="G21" s="60">
        <v>12</v>
      </c>
      <c r="H21" s="62">
        <f t="shared" si="0"/>
        <v>284472</v>
      </c>
    </row>
    <row r="22" spans="1:8">
      <c r="A22" s="60">
        <v>7</v>
      </c>
      <c r="B22" s="63" t="s">
        <v>126</v>
      </c>
      <c r="C22" s="64"/>
      <c r="D22" s="65"/>
      <c r="E22" s="60" t="s">
        <v>128</v>
      </c>
      <c r="F22" s="61">
        <v>22446</v>
      </c>
      <c r="G22" s="60">
        <v>30</v>
      </c>
      <c r="H22" s="62">
        <f t="shared" si="0"/>
        <v>673380</v>
      </c>
    </row>
    <row r="23" spans="1:8">
      <c r="A23" s="56">
        <v>8</v>
      </c>
      <c r="B23" s="63" t="s">
        <v>127</v>
      </c>
      <c r="C23" s="64"/>
      <c r="D23" s="65"/>
      <c r="E23" s="60" t="s">
        <v>128</v>
      </c>
      <c r="F23" s="61">
        <v>17180</v>
      </c>
      <c r="G23" s="60">
        <v>42</v>
      </c>
      <c r="H23" s="62">
        <f t="shared" si="0"/>
        <v>721560</v>
      </c>
    </row>
    <row r="24" spans="1:8">
      <c r="A24" s="60">
        <v>9</v>
      </c>
      <c r="B24" s="63" t="s">
        <v>118</v>
      </c>
      <c r="C24" s="64"/>
      <c r="D24" s="65"/>
      <c r="E24" s="60" t="s">
        <v>38</v>
      </c>
      <c r="F24" s="61">
        <v>1037400</v>
      </c>
      <c r="G24" s="60">
        <v>1</v>
      </c>
      <c r="H24" s="62">
        <f t="shared" si="0"/>
        <v>1037400</v>
      </c>
    </row>
    <row r="25" spans="1:8">
      <c r="A25" s="56">
        <v>10</v>
      </c>
      <c r="B25" s="63" t="s">
        <v>119</v>
      </c>
      <c r="C25" s="64"/>
      <c r="D25" s="65"/>
      <c r="E25" s="60" t="s">
        <v>38</v>
      </c>
      <c r="F25" s="61">
        <v>54600</v>
      </c>
      <c r="G25" s="60">
        <v>4</v>
      </c>
      <c r="H25" s="62">
        <f t="shared" si="0"/>
        <v>218400</v>
      </c>
    </row>
    <row r="26" spans="1:8">
      <c r="A26" s="60">
        <v>11</v>
      </c>
      <c r="B26" s="63" t="s">
        <v>120</v>
      </c>
      <c r="C26" s="64"/>
      <c r="D26" s="65"/>
      <c r="E26" s="60" t="s">
        <v>38</v>
      </c>
      <c r="F26" s="61">
        <v>227500</v>
      </c>
      <c r="G26" s="60">
        <v>1</v>
      </c>
      <c r="H26" s="62">
        <f t="shared" si="0"/>
        <v>227500</v>
      </c>
    </row>
    <row r="27" spans="1:8">
      <c r="A27" s="56">
        <v>12</v>
      </c>
      <c r="B27" s="63" t="s">
        <v>49</v>
      </c>
      <c r="C27" s="64"/>
      <c r="D27" s="65"/>
      <c r="E27" s="60" t="s">
        <v>38</v>
      </c>
      <c r="F27" s="61">
        <v>161200</v>
      </c>
      <c r="G27" s="60">
        <v>5</v>
      </c>
      <c r="H27" s="62">
        <f t="shared" si="0"/>
        <v>806000</v>
      </c>
    </row>
    <row r="28" spans="1:8">
      <c r="A28" s="60">
        <v>13</v>
      </c>
      <c r="B28" s="63" t="s">
        <v>50</v>
      </c>
      <c r="C28" s="64"/>
      <c r="D28" s="65"/>
      <c r="E28" s="60" t="s">
        <v>38</v>
      </c>
      <c r="F28" s="61">
        <v>663000</v>
      </c>
      <c r="G28" s="60">
        <v>1</v>
      </c>
      <c r="H28" s="62">
        <f t="shared" si="0"/>
        <v>663000</v>
      </c>
    </row>
    <row r="29" spans="1:8">
      <c r="A29" s="56">
        <v>14</v>
      </c>
      <c r="B29" s="63" t="s">
        <v>51</v>
      </c>
      <c r="C29" s="64"/>
      <c r="D29" s="65"/>
      <c r="E29" s="60" t="s">
        <v>38</v>
      </c>
      <c r="F29" s="61">
        <v>663000</v>
      </c>
      <c r="G29" s="60">
        <v>1</v>
      </c>
      <c r="H29" s="62">
        <f t="shared" si="0"/>
        <v>663000</v>
      </c>
    </row>
    <row r="30" spans="1:8">
      <c r="A30" s="60">
        <v>15</v>
      </c>
      <c r="B30" s="63" t="s">
        <v>52</v>
      </c>
      <c r="C30" s="64"/>
      <c r="D30" s="65"/>
      <c r="E30" s="60" t="s">
        <v>38</v>
      </c>
      <c r="F30" s="61">
        <v>716600</v>
      </c>
      <c r="G30" s="60">
        <v>2</v>
      </c>
      <c r="H30" s="62">
        <f t="shared" si="0"/>
        <v>1433200</v>
      </c>
    </row>
    <row r="31" spans="1:8">
      <c r="A31" s="56">
        <v>16</v>
      </c>
      <c r="B31" s="63" t="s">
        <v>53</v>
      </c>
      <c r="C31" s="64"/>
      <c r="D31" s="65"/>
      <c r="E31" s="60" t="s">
        <v>38</v>
      </c>
      <c r="F31" s="61">
        <v>359125</v>
      </c>
      <c r="G31" s="60">
        <v>2</v>
      </c>
      <c r="H31" s="62">
        <f t="shared" si="0"/>
        <v>718250</v>
      </c>
    </row>
    <row r="32" spans="1:8">
      <c r="A32" s="60">
        <v>17</v>
      </c>
      <c r="B32" s="63" t="s">
        <v>54</v>
      </c>
      <c r="C32" s="64"/>
      <c r="D32" s="65"/>
      <c r="E32" s="60" t="s">
        <v>38</v>
      </c>
      <c r="F32" s="61">
        <v>275500</v>
      </c>
      <c r="G32" s="60">
        <v>2</v>
      </c>
      <c r="H32" s="62">
        <f t="shared" si="0"/>
        <v>551000</v>
      </c>
    </row>
    <row r="33" spans="1:8">
      <c r="A33" s="56">
        <v>18</v>
      </c>
      <c r="B33" s="63" t="s">
        <v>55</v>
      </c>
      <c r="C33" s="64"/>
      <c r="D33" s="65"/>
      <c r="E33" s="60" t="s">
        <v>38</v>
      </c>
      <c r="F33" s="61">
        <v>310500</v>
      </c>
      <c r="G33" s="60">
        <v>2</v>
      </c>
      <c r="H33" s="62">
        <f t="shared" si="0"/>
        <v>621000</v>
      </c>
    </row>
    <row r="34" spans="1:8">
      <c r="A34" s="60">
        <v>19</v>
      </c>
      <c r="B34" s="63" t="s">
        <v>56</v>
      </c>
      <c r="C34" s="64"/>
      <c r="D34" s="65"/>
      <c r="E34" s="60" t="s">
        <v>38</v>
      </c>
      <c r="F34" s="61">
        <v>598000</v>
      </c>
      <c r="G34" s="60">
        <v>1</v>
      </c>
      <c r="H34" s="62">
        <f t="shared" si="0"/>
        <v>598000</v>
      </c>
    </row>
    <row r="35" spans="1:8">
      <c r="A35" s="56">
        <v>20</v>
      </c>
      <c r="B35" s="63" t="s">
        <v>57</v>
      </c>
      <c r="C35" s="64"/>
      <c r="D35" s="65"/>
      <c r="E35" s="60" t="s">
        <v>38</v>
      </c>
      <c r="F35" s="61">
        <v>514800</v>
      </c>
      <c r="G35" s="60">
        <v>2</v>
      </c>
      <c r="H35" s="62">
        <f t="shared" si="0"/>
        <v>1029600</v>
      </c>
    </row>
    <row r="36" spans="1:8">
      <c r="A36" s="60">
        <v>21</v>
      </c>
      <c r="B36" s="63" t="s">
        <v>58</v>
      </c>
      <c r="C36" s="64"/>
      <c r="D36" s="65"/>
      <c r="E36" s="60" t="s">
        <v>38</v>
      </c>
      <c r="F36" s="61">
        <v>596700</v>
      </c>
      <c r="G36" s="60">
        <v>1</v>
      </c>
      <c r="H36" s="62">
        <f t="shared" si="0"/>
        <v>596700</v>
      </c>
    </row>
    <row r="37" spans="1:8">
      <c r="A37" s="56">
        <v>22</v>
      </c>
      <c r="B37" s="63" t="s">
        <v>59</v>
      </c>
      <c r="C37" s="64"/>
      <c r="D37" s="65"/>
      <c r="E37" s="60" t="s">
        <v>121</v>
      </c>
      <c r="F37" s="61">
        <v>17000</v>
      </c>
      <c r="G37" s="60">
        <v>15</v>
      </c>
      <c r="H37" s="62">
        <f t="shared" si="0"/>
        <v>255000</v>
      </c>
    </row>
    <row r="38" spans="1:8">
      <c r="A38" s="60">
        <v>23</v>
      </c>
      <c r="B38" s="63" t="s">
        <v>60</v>
      </c>
      <c r="C38" s="64"/>
      <c r="D38" s="65"/>
      <c r="E38" s="60" t="s">
        <v>121</v>
      </c>
      <c r="F38" s="61">
        <v>4500</v>
      </c>
      <c r="G38" s="60">
        <v>19</v>
      </c>
      <c r="H38" s="62">
        <f t="shared" si="0"/>
        <v>85500</v>
      </c>
    </row>
    <row r="39" spans="1:8">
      <c r="A39" s="56">
        <v>24</v>
      </c>
      <c r="B39" s="63" t="s">
        <v>61</v>
      </c>
      <c r="C39" s="64"/>
      <c r="D39" s="65"/>
      <c r="E39" s="60" t="s">
        <v>38</v>
      </c>
      <c r="F39" s="61">
        <v>340000</v>
      </c>
      <c r="G39" s="60">
        <v>1</v>
      </c>
      <c r="H39" s="62">
        <f t="shared" si="0"/>
        <v>340000</v>
      </c>
    </row>
    <row r="40" spans="1:8">
      <c r="A40" s="60">
        <v>25</v>
      </c>
      <c r="B40" s="63" t="s">
        <v>62</v>
      </c>
      <c r="C40" s="64"/>
      <c r="D40" s="65"/>
      <c r="E40" s="60" t="s">
        <v>38</v>
      </c>
      <c r="F40" s="61">
        <v>66200</v>
      </c>
      <c r="G40" s="60">
        <v>2</v>
      </c>
      <c r="H40" s="62">
        <f t="shared" si="0"/>
        <v>132400</v>
      </c>
    </row>
    <row r="41" spans="1:8">
      <c r="A41" s="56">
        <v>26</v>
      </c>
      <c r="B41" s="63" t="s">
        <v>63</v>
      </c>
      <c r="C41" s="64"/>
      <c r="D41" s="65"/>
      <c r="E41" s="60" t="s">
        <v>38</v>
      </c>
      <c r="F41" s="61">
        <v>4400</v>
      </c>
      <c r="G41" s="60">
        <v>27</v>
      </c>
      <c r="H41" s="62">
        <f t="shared" si="0"/>
        <v>118800</v>
      </c>
    </row>
    <row r="42" spans="1:8">
      <c r="A42" s="60">
        <v>27</v>
      </c>
      <c r="B42" s="63" t="s">
        <v>64</v>
      </c>
      <c r="C42" s="64"/>
      <c r="D42" s="65"/>
      <c r="E42" s="60" t="s">
        <v>38</v>
      </c>
      <c r="F42" s="61">
        <v>2750</v>
      </c>
      <c r="G42" s="60">
        <v>18</v>
      </c>
      <c r="H42" s="62">
        <f t="shared" si="0"/>
        <v>49500</v>
      </c>
    </row>
    <row r="43" spans="1:8" ht="15" customHeight="1">
      <c r="A43" s="56">
        <v>28</v>
      </c>
      <c r="B43" s="63" t="s">
        <v>65</v>
      </c>
      <c r="C43" s="64"/>
      <c r="D43" s="65"/>
      <c r="E43" s="60" t="s">
        <v>38</v>
      </c>
      <c r="F43" s="67">
        <v>4500</v>
      </c>
      <c r="G43" s="60">
        <v>25</v>
      </c>
      <c r="H43" s="62">
        <f t="shared" si="0"/>
        <v>112500</v>
      </c>
    </row>
    <row r="44" spans="1:8">
      <c r="A44" s="60">
        <v>29</v>
      </c>
      <c r="B44" s="63" t="s">
        <v>66</v>
      </c>
      <c r="C44" s="64"/>
      <c r="D44" s="65"/>
      <c r="E44" s="60" t="s">
        <v>38</v>
      </c>
      <c r="F44" s="61">
        <v>2500</v>
      </c>
      <c r="G44" s="60">
        <v>12</v>
      </c>
      <c r="H44" s="62">
        <f t="shared" si="0"/>
        <v>30000</v>
      </c>
    </row>
    <row r="45" spans="1:8">
      <c r="A45" s="56">
        <v>30</v>
      </c>
      <c r="B45" s="63" t="s">
        <v>67</v>
      </c>
      <c r="C45" s="64"/>
      <c r="D45" s="65"/>
      <c r="E45" s="60" t="s">
        <v>38</v>
      </c>
      <c r="F45" s="61">
        <v>1400</v>
      </c>
      <c r="G45" s="60">
        <v>12</v>
      </c>
      <c r="H45" s="62">
        <f t="shared" si="0"/>
        <v>16800</v>
      </c>
    </row>
    <row r="46" spans="1:8">
      <c r="A46" s="60">
        <v>31</v>
      </c>
      <c r="B46" s="63" t="s">
        <v>68</v>
      </c>
      <c r="C46" s="64"/>
      <c r="D46" s="65"/>
      <c r="E46" s="60" t="s">
        <v>38</v>
      </c>
      <c r="F46" s="61">
        <v>1400</v>
      </c>
      <c r="G46" s="60">
        <v>13</v>
      </c>
      <c r="H46" s="62">
        <f t="shared" si="0"/>
        <v>18200</v>
      </c>
    </row>
    <row r="47" spans="1:8">
      <c r="A47" s="56">
        <v>32</v>
      </c>
      <c r="B47" s="63" t="s">
        <v>69</v>
      </c>
      <c r="C47" s="64"/>
      <c r="D47" s="65"/>
      <c r="E47" s="60" t="s">
        <v>38</v>
      </c>
      <c r="F47" s="61">
        <v>1200</v>
      </c>
      <c r="G47" s="60">
        <v>25</v>
      </c>
      <c r="H47" s="62">
        <f t="shared" si="0"/>
        <v>30000</v>
      </c>
    </row>
    <row r="48" spans="1:8">
      <c r="A48" s="60">
        <v>33</v>
      </c>
      <c r="B48" s="63" t="s">
        <v>70</v>
      </c>
      <c r="C48" s="64"/>
      <c r="D48" s="65"/>
      <c r="E48" s="60" t="s">
        <v>38</v>
      </c>
      <c r="F48" s="61">
        <v>56600</v>
      </c>
      <c r="G48" s="60">
        <v>7</v>
      </c>
      <c r="H48" s="62">
        <f t="shared" si="0"/>
        <v>396200</v>
      </c>
    </row>
    <row r="49" spans="1:8">
      <c r="A49" s="56">
        <v>34</v>
      </c>
      <c r="B49" s="63" t="s">
        <v>71</v>
      </c>
      <c r="C49" s="64"/>
      <c r="D49" s="65"/>
      <c r="E49" s="60" t="s">
        <v>38</v>
      </c>
      <c r="F49" s="61">
        <v>56600</v>
      </c>
      <c r="G49" s="60">
        <v>2</v>
      </c>
      <c r="H49" s="62">
        <f t="shared" si="0"/>
        <v>113200</v>
      </c>
    </row>
    <row r="50" spans="1:8">
      <c r="A50" s="60">
        <v>35</v>
      </c>
      <c r="B50" s="63" t="s">
        <v>72</v>
      </c>
      <c r="C50" s="64"/>
      <c r="D50" s="65"/>
      <c r="E50" s="60" t="s">
        <v>38</v>
      </c>
      <c r="F50" s="61">
        <v>65600</v>
      </c>
      <c r="G50" s="60">
        <v>3</v>
      </c>
      <c r="H50" s="62">
        <f t="shared" si="0"/>
        <v>196800</v>
      </c>
    </row>
    <row r="51" spans="1:8">
      <c r="A51" s="56">
        <v>36</v>
      </c>
      <c r="B51" s="63" t="s">
        <v>73</v>
      </c>
      <c r="C51" s="64"/>
      <c r="D51" s="65"/>
      <c r="E51" s="60" t="s">
        <v>38</v>
      </c>
      <c r="F51" s="61">
        <v>65600</v>
      </c>
      <c r="G51" s="60">
        <v>2</v>
      </c>
      <c r="H51" s="62">
        <f t="shared" si="0"/>
        <v>131200</v>
      </c>
    </row>
    <row r="52" spans="1:8">
      <c r="A52" s="60">
        <v>37</v>
      </c>
      <c r="B52" s="63" t="s">
        <v>74</v>
      </c>
      <c r="C52" s="64"/>
      <c r="D52" s="65"/>
      <c r="E52" s="60" t="s">
        <v>38</v>
      </c>
      <c r="F52" s="61">
        <v>56600</v>
      </c>
      <c r="G52" s="60">
        <v>2</v>
      </c>
      <c r="H52" s="62">
        <f t="shared" si="0"/>
        <v>113200</v>
      </c>
    </row>
    <row r="53" spans="1:8">
      <c r="A53" s="56">
        <v>38</v>
      </c>
      <c r="B53" s="63" t="s">
        <v>75</v>
      </c>
      <c r="C53" s="64"/>
      <c r="D53" s="65"/>
      <c r="E53" s="60" t="s">
        <v>38</v>
      </c>
      <c r="F53" s="61">
        <v>41600</v>
      </c>
      <c r="G53" s="60">
        <v>2</v>
      </c>
      <c r="H53" s="62">
        <f t="shared" si="0"/>
        <v>83200</v>
      </c>
    </row>
    <row r="54" spans="1:8">
      <c r="A54" s="60">
        <v>39</v>
      </c>
      <c r="B54" s="63" t="s">
        <v>76</v>
      </c>
      <c r="C54" s="64"/>
      <c r="D54" s="65"/>
      <c r="E54" s="60" t="s">
        <v>38</v>
      </c>
      <c r="F54" s="61">
        <v>34000</v>
      </c>
      <c r="G54" s="60">
        <v>16</v>
      </c>
      <c r="H54" s="62">
        <f t="shared" si="0"/>
        <v>544000</v>
      </c>
    </row>
    <row r="55" spans="1:8">
      <c r="A55" s="56">
        <v>40</v>
      </c>
      <c r="B55" s="63" t="s">
        <v>77</v>
      </c>
      <c r="C55" s="64"/>
      <c r="D55" s="65"/>
      <c r="E55" s="60" t="s">
        <v>38</v>
      </c>
      <c r="F55" s="61">
        <v>23300</v>
      </c>
      <c r="G55" s="60">
        <v>3</v>
      </c>
      <c r="H55" s="62">
        <f t="shared" si="0"/>
        <v>69900</v>
      </c>
    </row>
    <row r="56" spans="1:8">
      <c r="A56" s="60">
        <v>41</v>
      </c>
      <c r="B56" s="63" t="s">
        <v>78</v>
      </c>
      <c r="C56" s="64"/>
      <c r="D56" s="65"/>
      <c r="E56" s="60" t="s">
        <v>38</v>
      </c>
      <c r="F56" s="61">
        <v>19850</v>
      </c>
      <c r="G56" s="60">
        <v>9</v>
      </c>
      <c r="H56" s="62">
        <f t="shared" si="0"/>
        <v>178650</v>
      </c>
    </row>
    <row r="57" spans="1:8">
      <c r="A57" s="56">
        <v>42</v>
      </c>
      <c r="B57" s="63" t="s">
        <v>79</v>
      </c>
      <c r="C57" s="64"/>
      <c r="D57" s="65"/>
      <c r="E57" s="60" t="s">
        <v>38</v>
      </c>
      <c r="F57" s="61">
        <v>38650</v>
      </c>
      <c r="G57" s="60">
        <v>6</v>
      </c>
      <c r="H57" s="62">
        <f t="shared" si="0"/>
        <v>231900</v>
      </c>
    </row>
    <row r="58" spans="1:8">
      <c r="A58" s="60">
        <v>43</v>
      </c>
      <c r="B58" s="63" t="s">
        <v>80</v>
      </c>
      <c r="C58" s="64"/>
      <c r="D58" s="65"/>
      <c r="E58" s="60" t="s">
        <v>38</v>
      </c>
      <c r="F58" s="61">
        <v>20800</v>
      </c>
      <c r="G58" s="60">
        <v>2</v>
      </c>
      <c r="H58" s="62">
        <f t="shared" si="0"/>
        <v>41600</v>
      </c>
    </row>
    <row r="59" spans="1:8">
      <c r="A59" s="56">
        <v>44</v>
      </c>
      <c r="B59" s="63" t="s">
        <v>81</v>
      </c>
      <c r="C59" s="64"/>
      <c r="D59" s="65"/>
      <c r="E59" s="60" t="s">
        <v>38</v>
      </c>
      <c r="F59" s="61">
        <v>34100</v>
      </c>
      <c r="G59" s="60">
        <v>7</v>
      </c>
      <c r="H59" s="62">
        <f t="shared" si="0"/>
        <v>238700</v>
      </c>
    </row>
    <row r="60" spans="1:8">
      <c r="A60" s="60">
        <v>45</v>
      </c>
      <c r="B60" s="63" t="s">
        <v>82</v>
      </c>
      <c r="C60" s="64"/>
      <c r="D60" s="65"/>
      <c r="E60" s="60" t="s">
        <v>38</v>
      </c>
      <c r="F60" s="61">
        <v>33850</v>
      </c>
      <c r="G60" s="60">
        <v>10</v>
      </c>
      <c r="H60" s="62">
        <f t="shared" si="0"/>
        <v>338500</v>
      </c>
    </row>
    <row r="61" spans="1:8">
      <c r="A61" s="56">
        <v>46</v>
      </c>
      <c r="B61" s="63" t="s">
        <v>83</v>
      </c>
      <c r="C61" s="64"/>
      <c r="D61" s="65"/>
      <c r="E61" s="60" t="s">
        <v>38</v>
      </c>
      <c r="F61" s="61">
        <v>60150</v>
      </c>
      <c r="G61" s="60">
        <v>6</v>
      </c>
      <c r="H61" s="62">
        <f t="shared" si="0"/>
        <v>360900</v>
      </c>
    </row>
    <row r="62" spans="1:8">
      <c r="A62" s="60">
        <v>47</v>
      </c>
      <c r="B62" s="63" t="s">
        <v>84</v>
      </c>
      <c r="C62" s="64"/>
      <c r="D62" s="65"/>
      <c r="E62" s="60" t="s">
        <v>38</v>
      </c>
      <c r="F62" s="61">
        <v>38650</v>
      </c>
      <c r="G62" s="60">
        <v>1</v>
      </c>
      <c r="H62" s="62">
        <f t="shared" si="0"/>
        <v>38650</v>
      </c>
    </row>
    <row r="63" spans="1:8">
      <c r="A63" s="56">
        <v>48</v>
      </c>
      <c r="B63" s="63" t="s">
        <v>85</v>
      </c>
      <c r="C63" s="64"/>
      <c r="D63" s="65"/>
      <c r="E63" s="60" t="s">
        <v>38</v>
      </c>
      <c r="F63" s="61">
        <v>25300</v>
      </c>
      <c r="G63" s="60">
        <v>2</v>
      </c>
      <c r="H63" s="62">
        <f t="shared" si="0"/>
        <v>50600</v>
      </c>
    </row>
    <row r="64" spans="1:8">
      <c r="A64" s="60">
        <v>49</v>
      </c>
      <c r="B64" s="63" t="s">
        <v>86</v>
      </c>
      <c r="C64" s="64"/>
      <c r="D64" s="65"/>
      <c r="E64" s="60" t="s">
        <v>38</v>
      </c>
      <c r="F64" s="61">
        <v>5605</v>
      </c>
      <c r="G64" s="60">
        <v>9</v>
      </c>
      <c r="H64" s="62">
        <f t="shared" si="0"/>
        <v>50445</v>
      </c>
    </row>
    <row r="65" spans="1:8">
      <c r="A65" s="56">
        <v>50</v>
      </c>
      <c r="B65" s="63" t="s">
        <v>87</v>
      </c>
      <c r="C65" s="64"/>
      <c r="D65" s="65"/>
      <c r="E65" s="60" t="s">
        <v>38</v>
      </c>
      <c r="F65" s="61">
        <v>31600</v>
      </c>
      <c r="G65" s="60">
        <v>1</v>
      </c>
      <c r="H65" s="62">
        <f t="shared" si="0"/>
        <v>31600</v>
      </c>
    </row>
    <row r="66" spans="1:8">
      <c r="A66" s="60">
        <v>51</v>
      </c>
      <c r="B66" s="63" t="s">
        <v>88</v>
      </c>
      <c r="C66" s="64"/>
      <c r="D66" s="65"/>
      <c r="E66" s="60" t="s">
        <v>38</v>
      </c>
      <c r="F66" s="61">
        <v>18700</v>
      </c>
      <c r="G66" s="60">
        <v>2</v>
      </c>
      <c r="H66" s="62">
        <f t="shared" si="0"/>
        <v>37400</v>
      </c>
    </row>
    <row r="67" spans="1:8">
      <c r="A67" s="56">
        <v>52</v>
      </c>
      <c r="B67" s="63" t="s">
        <v>89</v>
      </c>
      <c r="C67" s="64"/>
      <c r="D67" s="65"/>
      <c r="E67" s="60" t="s">
        <v>38</v>
      </c>
      <c r="F67" s="61">
        <v>18700</v>
      </c>
      <c r="G67" s="60">
        <v>2</v>
      </c>
      <c r="H67" s="62">
        <f t="shared" si="0"/>
        <v>37400</v>
      </c>
    </row>
    <row r="68" spans="1:8">
      <c r="A68" s="60">
        <v>53</v>
      </c>
      <c r="B68" s="63" t="s">
        <v>90</v>
      </c>
      <c r="C68" s="64"/>
      <c r="D68" s="65"/>
      <c r="E68" s="60" t="s">
        <v>38</v>
      </c>
      <c r="F68" s="61">
        <v>9400</v>
      </c>
      <c r="G68" s="60">
        <v>9</v>
      </c>
      <c r="H68" s="62">
        <f t="shared" si="0"/>
        <v>84600</v>
      </c>
    </row>
    <row r="69" spans="1:8">
      <c r="A69" s="56">
        <v>54</v>
      </c>
      <c r="B69" s="63" t="s">
        <v>91</v>
      </c>
      <c r="C69" s="64"/>
      <c r="D69" s="65"/>
      <c r="E69" s="60" t="s">
        <v>38</v>
      </c>
      <c r="F69" s="61">
        <v>20600</v>
      </c>
      <c r="G69" s="60">
        <v>24</v>
      </c>
      <c r="H69" s="62">
        <f t="shared" si="0"/>
        <v>494400</v>
      </c>
    </row>
    <row r="70" spans="1:8">
      <c r="A70" s="60">
        <v>55</v>
      </c>
      <c r="B70" s="63" t="s">
        <v>92</v>
      </c>
      <c r="C70" s="64"/>
      <c r="D70" s="65"/>
      <c r="E70" s="60" t="s">
        <v>38</v>
      </c>
      <c r="F70" s="61">
        <v>15350</v>
      </c>
      <c r="G70" s="60">
        <v>6</v>
      </c>
      <c r="H70" s="62">
        <f t="shared" si="0"/>
        <v>92100</v>
      </c>
    </row>
    <row r="71" spans="1:8">
      <c r="A71" s="56">
        <v>56</v>
      </c>
      <c r="B71" s="63" t="s">
        <v>93</v>
      </c>
      <c r="C71" s="64"/>
      <c r="D71" s="65"/>
      <c r="E71" s="60" t="s">
        <v>38</v>
      </c>
      <c r="F71" s="61">
        <v>15000</v>
      </c>
      <c r="G71" s="60">
        <v>16</v>
      </c>
      <c r="H71" s="62">
        <f t="shared" si="0"/>
        <v>240000</v>
      </c>
    </row>
    <row r="72" spans="1:8">
      <c r="A72" s="60">
        <v>57</v>
      </c>
      <c r="B72" s="63" t="s">
        <v>94</v>
      </c>
      <c r="C72" s="64"/>
      <c r="D72" s="65"/>
      <c r="E72" s="60" t="s">
        <v>38</v>
      </c>
      <c r="F72" s="61">
        <v>106650</v>
      </c>
      <c r="G72" s="60">
        <v>14</v>
      </c>
      <c r="H72" s="62">
        <f t="shared" si="0"/>
        <v>1493100</v>
      </c>
    </row>
    <row r="73" spans="1:8">
      <c r="A73" s="56">
        <v>58</v>
      </c>
      <c r="B73" s="63" t="s">
        <v>95</v>
      </c>
      <c r="C73" s="64"/>
      <c r="D73" s="65"/>
      <c r="E73" s="60" t="s">
        <v>38</v>
      </c>
      <c r="F73" s="61">
        <v>18650</v>
      </c>
      <c r="G73" s="60">
        <v>3</v>
      </c>
      <c r="H73" s="62">
        <f t="shared" si="0"/>
        <v>55950</v>
      </c>
    </row>
    <row r="74" spans="1:8">
      <c r="A74" s="60">
        <v>59</v>
      </c>
      <c r="B74" s="63" t="s">
        <v>96</v>
      </c>
      <c r="C74" s="64"/>
      <c r="D74" s="65"/>
      <c r="E74" s="60" t="s">
        <v>38</v>
      </c>
      <c r="F74" s="61">
        <v>3800</v>
      </c>
      <c r="G74" s="60">
        <v>2</v>
      </c>
      <c r="H74" s="62">
        <f t="shared" si="0"/>
        <v>7600</v>
      </c>
    </row>
    <row r="75" spans="1:8">
      <c r="A75" s="56">
        <v>60</v>
      </c>
      <c r="B75" s="63" t="s">
        <v>97</v>
      </c>
      <c r="C75" s="64"/>
      <c r="D75" s="65"/>
      <c r="E75" s="60" t="s">
        <v>38</v>
      </c>
      <c r="F75" s="61">
        <v>4500</v>
      </c>
      <c r="G75" s="60">
        <v>12</v>
      </c>
      <c r="H75" s="62">
        <f t="shared" si="0"/>
        <v>54000</v>
      </c>
    </row>
    <row r="76" spans="1:8">
      <c r="A76" s="60">
        <v>61</v>
      </c>
      <c r="B76" s="63" t="s">
        <v>98</v>
      </c>
      <c r="C76" s="64"/>
      <c r="D76" s="65"/>
      <c r="E76" s="60" t="s">
        <v>38</v>
      </c>
      <c r="F76" s="61">
        <v>4500</v>
      </c>
      <c r="G76" s="60">
        <v>7</v>
      </c>
      <c r="H76" s="62">
        <f t="shared" si="0"/>
        <v>31500</v>
      </c>
    </row>
    <row r="77" spans="1:8">
      <c r="A77" s="56">
        <v>62</v>
      </c>
      <c r="B77" s="63" t="s">
        <v>99</v>
      </c>
      <c r="C77" s="64"/>
      <c r="D77" s="65"/>
      <c r="E77" s="60" t="s">
        <v>109</v>
      </c>
      <c r="F77" s="61">
        <v>6500</v>
      </c>
      <c r="G77" s="60">
        <v>14</v>
      </c>
      <c r="H77" s="62">
        <f t="shared" si="0"/>
        <v>91000</v>
      </c>
    </row>
    <row r="78" spans="1:8">
      <c r="A78" s="60">
        <v>63</v>
      </c>
      <c r="B78" s="63" t="s">
        <v>100</v>
      </c>
      <c r="C78" s="64"/>
      <c r="D78" s="65"/>
      <c r="E78" s="60" t="s">
        <v>109</v>
      </c>
      <c r="F78" s="61">
        <v>34000</v>
      </c>
      <c r="G78" s="60">
        <v>2</v>
      </c>
      <c r="H78" s="62">
        <f t="shared" si="0"/>
        <v>68000</v>
      </c>
    </row>
    <row r="79" spans="1:8">
      <c r="A79" s="56">
        <v>64</v>
      </c>
      <c r="B79" s="63" t="s">
        <v>101</v>
      </c>
      <c r="C79" s="64"/>
      <c r="D79" s="65"/>
      <c r="E79" s="60" t="s">
        <v>109</v>
      </c>
      <c r="F79" s="61">
        <v>17500</v>
      </c>
      <c r="G79" s="60">
        <v>2</v>
      </c>
      <c r="H79" s="62">
        <f t="shared" si="0"/>
        <v>35000</v>
      </c>
    </row>
    <row r="80" spans="1:8">
      <c r="A80" s="60">
        <v>65</v>
      </c>
      <c r="B80" s="63" t="s">
        <v>102</v>
      </c>
      <c r="C80" s="64"/>
      <c r="D80" s="65"/>
      <c r="E80" s="60" t="s">
        <v>109</v>
      </c>
      <c r="F80" s="61">
        <v>58900</v>
      </c>
      <c r="G80" s="60">
        <v>1</v>
      </c>
      <c r="H80" s="62">
        <f t="shared" si="0"/>
        <v>58900</v>
      </c>
    </row>
    <row r="81" spans="1:8">
      <c r="A81" s="56">
        <v>66</v>
      </c>
      <c r="B81" s="63" t="s">
        <v>103</v>
      </c>
      <c r="C81" s="64"/>
      <c r="D81" s="65"/>
      <c r="E81" s="60" t="s">
        <v>109</v>
      </c>
      <c r="F81" s="61">
        <v>66300</v>
      </c>
      <c r="G81" s="60">
        <v>1</v>
      </c>
      <c r="H81" s="62">
        <f t="shared" ref="H81:H91" si="1">F81*G81</f>
        <v>66300</v>
      </c>
    </row>
    <row r="82" spans="1:8">
      <c r="A82" s="60">
        <v>67</v>
      </c>
      <c r="B82" s="63" t="s">
        <v>104</v>
      </c>
      <c r="C82" s="64"/>
      <c r="D82" s="65"/>
      <c r="E82" s="60" t="s">
        <v>109</v>
      </c>
      <c r="F82" s="61">
        <v>48700</v>
      </c>
      <c r="G82" s="60">
        <v>1</v>
      </c>
      <c r="H82" s="62">
        <f t="shared" si="1"/>
        <v>48700</v>
      </c>
    </row>
    <row r="83" spans="1:8">
      <c r="A83" s="56">
        <v>68</v>
      </c>
      <c r="B83" s="63" t="s">
        <v>105</v>
      </c>
      <c r="C83" s="64"/>
      <c r="D83" s="65"/>
      <c r="E83" s="60" t="s">
        <v>109</v>
      </c>
      <c r="F83" s="61">
        <v>39800</v>
      </c>
      <c r="G83" s="60">
        <v>1</v>
      </c>
      <c r="H83" s="62">
        <f t="shared" si="1"/>
        <v>39800</v>
      </c>
    </row>
    <row r="84" spans="1:8">
      <c r="A84" s="60">
        <v>69</v>
      </c>
      <c r="B84" s="63" t="s">
        <v>106</v>
      </c>
      <c r="C84" s="64"/>
      <c r="D84" s="65"/>
      <c r="E84" s="60" t="s">
        <v>115</v>
      </c>
      <c r="F84" s="61">
        <v>9100</v>
      </c>
      <c r="G84" s="60">
        <v>35</v>
      </c>
      <c r="H84" s="62">
        <f t="shared" si="1"/>
        <v>318500</v>
      </c>
    </row>
    <row r="85" spans="1:8">
      <c r="A85" s="56">
        <v>70</v>
      </c>
      <c r="B85" s="63" t="s">
        <v>110</v>
      </c>
      <c r="C85" s="64"/>
      <c r="D85" s="65"/>
      <c r="E85" s="60" t="s">
        <v>115</v>
      </c>
      <c r="F85" s="61">
        <v>10400</v>
      </c>
      <c r="G85" s="60">
        <v>15</v>
      </c>
      <c r="H85" s="62">
        <f t="shared" si="1"/>
        <v>156000</v>
      </c>
    </row>
    <row r="86" spans="1:8">
      <c r="A86" s="60">
        <v>71</v>
      </c>
      <c r="B86" s="63" t="s">
        <v>111</v>
      </c>
      <c r="C86" s="64"/>
      <c r="D86" s="65"/>
      <c r="E86" s="60" t="s">
        <v>115</v>
      </c>
      <c r="F86" s="61">
        <v>10400</v>
      </c>
      <c r="G86" s="60">
        <v>7</v>
      </c>
      <c r="H86" s="62">
        <f t="shared" si="1"/>
        <v>72800</v>
      </c>
    </row>
    <row r="87" spans="1:8">
      <c r="A87" s="56">
        <v>72</v>
      </c>
      <c r="B87" s="63" t="s">
        <v>112</v>
      </c>
      <c r="C87" s="64"/>
      <c r="D87" s="65"/>
      <c r="E87" s="60" t="s">
        <v>115</v>
      </c>
      <c r="F87" s="61">
        <v>7500</v>
      </c>
      <c r="G87" s="60">
        <v>19</v>
      </c>
      <c r="H87" s="62">
        <f t="shared" si="1"/>
        <v>142500</v>
      </c>
    </row>
    <row r="88" spans="1:8">
      <c r="A88" s="60">
        <v>73</v>
      </c>
      <c r="B88" s="63" t="s">
        <v>113</v>
      </c>
      <c r="C88" s="64"/>
      <c r="D88" s="65"/>
      <c r="E88" s="60" t="s">
        <v>115</v>
      </c>
      <c r="F88" s="61">
        <v>4550</v>
      </c>
      <c r="G88" s="60">
        <v>18</v>
      </c>
      <c r="H88" s="62">
        <f t="shared" si="1"/>
        <v>81900</v>
      </c>
    </row>
    <row r="89" spans="1:8">
      <c r="A89" s="56">
        <v>74</v>
      </c>
      <c r="B89" s="63" t="s">
        <v>114</v>
      </c>
      <c r="C89" s="64"/>
      <c r="D89" s="65"/>
      <c r="E89" s="60" t="s">
        <v>115</v>
      </c>
      <c r="F89" s="61">
        <v>4550</v>
      </c>
      <c r="G89" s="60">
        <v>15</v>
      </c>
      <c r="H89" s="62">
        <f t="shared" si="1"/>
        <v>68250</v>
      </c>
    </row>
    <row r="90" spans="1:8">
      <c r="A90" s="60">
        <v>75</v>
      </c>
      <c r="B90" s="63" t="s">
        <v>107</v>
      </c>
      <c r="C90" s="64"/>
      <c r="D90" s="65"/>
      <c r="E90" s="60" t="s">
        <v>38</v>
      </c>
      <c r="F90" s="61">
        <v>8300</v>
      </c>
      <c r="G90" s="60">
        <v>2</v>
      </c>
      <c r="H90" s="62">
        <f t="shared" si="1"/>
        <v>16600</v>
      </c>
    </row>
    <row r="91" spans="1:8" ht="15.75" thickBot="1">
      <c r="A91" s="56">
        <v>76</v>
      </c>
      <c r="B91" s="63" t="s">
        <v>108</v>
      </c>
      <c r="C91" s="64"/>
      <c r="D91" s="65"/>
      <c r="E91" s="66" t="s">
        <v>38</v>
      </c>
      <c r="F91" s="68">
        <v>45000</v>
      </c>
      <c r="G91" s="69">
        <v>3</v>
      </c>
      <c r="H91" s="62">
        <f t="shared" si="1"/>
        <v>135000</v>
      </c>
    </row>
    <row r="92" spans="1:8" ht="19.5" thickBot="1">
      <c r="A92" s="57" t="s">
        <v>23</v>
      </c>
      <c r="B92" s="58" t="s">
        <v>130</v>
      </c>
      <c r="C92" s="11"/>
      <c r="D92" s="12"/>
      <c r="E92" s="44"/>
      <c r="F92" s="36" t="s">
        <v>39</v>
      </c>
      <c r="G92" s="5"/>
      <c r="H92" s="6"/>
    </row>
    <row r="93" spans="1:8" ht="16.5" thickBot="1">
      <c r="A93" s="37"/>
      <c r="B93" s="15" t="s">
        <v>131</v>
      </c>
      <c r="C93" s="4"/>
      <c r="D93" s="16"/>
      <c r="E93" s="47" t="s">
        <v>24</v>
      </c>
      <c r="F93" s="48"/>
      <c r="G93" s="42"/>
      <c r="H93" s="45">
        <f>SUM(H16:H91)</f>
        <v>25650791</v>
      </c>
    </row>
    <row r="94" spans="1:8" ht="15.75">
      <c r="A94" s="23" t="s">
        <v>25</v>
      </c>
      <c r="B94" s="11"/>
      <c r="C94" s="11"/>
      <c r="D94" s="11"/>
      <c r="E94" s="49" t="s">
        <v>29</v>
      </c>
      <c r="F94" s="22"/>
      <c r="G94" s="50">
        <v>0.19</v>
      </c>
      <c r="H94" s="38">
        <f>H93*G94</f>
        <v>4873650.29</v>
      </c>
    </row>
    <row r="95" spans="1:8" ht="15.75">
      <c r="A95" s="13" t="s">
        <v>132</v>
      </c>
      <c r="E95" s="51" t="s">
        <v>26</v>
      </c>
      <c r="G95" s="54">
        <v>2.5000000000000001E-2</v>
      </c>
      <c r="H95" s="46">
        <f>H93*G95</f>
        <v>641269.77500000002</v>
      </c>
    </row>
    <row r="96" spans="1:8" ht="15.75">
      <c r="A96" s="13" t="s">
        <v>133</v>
      </c>
      <c r="E96" s="49" t="s">
        <v>129</v>
      </c>
      <c r="F96" s="32"/>
      <c r="G96" s="70">
        <v>7.7000000000000002E-3</v>
      </c>
      <c r="H96" s="46">
        <f>H93*G96</f>
        <v>197511.0907</v>
      </c>
    </row>
    <row r="97" spans="1:8" ht="16.5" thickBot="1">
      <c r="A97" s="13" t="s">
        <v>32</v>
      </c>
      <c r="E97" s="52" t="s">
        <v>27</v>
      </c>
      <c r="F97" s="53"/>
      <c r="G97" s="43"/>
      <c r="H97" s="16"/>
    </row>
    <row r="98" spans="1:8" ht="19.5" thickBot="1">
      <c r="A98" s="15"/>
      <c r="B98" s="4"/>
      <c r="C98" s="4"/>
      <c r="D98" s="16"/>
      <c r="F98" s="3"/>
      <c r="G98" s="33" t="s">
        <v>28</v>
      </c>
      <c r="H98" s="35">
        <f>H93+H94-H95-H96</f>
        <v>29685660.4243</v>
      </c>
    </row>
    <row r="104" spans="1:8" ht="15.75" thickBot="1"/>
    <row r="105" spans="1:8" ht="19.5" thickBot="1">
      <c r="A105" s="24" t="s">
        <v>40</v>
      </c>
      <c r="B105" s="5"/>
      <c r="C105" s="5"/>
      <c r="D105" s="5"/>
      <c r="E105" s="5"/>
      <c r="F105" s="5"/>
      <c r="G105" s="5"/>
      <c r="H105" s="6"/>
    </row>
  </sheetData>
  <hyperlinks>
    <hyperlink ref="C10" r:id="rId1" xr:uid="{A869633D-BC32-4AB5-92B5-3D18AB58AD00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PROMOSERGO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2025-07-14T15:42:31Z</dcterms:modified>
</cp:coreProperties>
</file>