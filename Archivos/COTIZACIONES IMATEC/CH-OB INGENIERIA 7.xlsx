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FC15756-3669-4A8C-B95E-DAB07D86CE3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8" i="1"/>
  <c r="H26" i="1"/>
  <c r="H23" i="1"/>
  <c r="H22" i="1"/>
  <c r="H21" i="1"/>
  <c r="H20" i="1"/>
  <c r="H19" i="1"/>
  <c r="H18" i="1"/>
  <c r="H17" i="1"/>
  <c r="H16" i="1"/>
  <c r="H27" i="1" l="1"/>
</calcChain>
</file>

<file path=xl/sharedStrings.xml><?xml version="1.0" encoding="utf-8"?>
<sst xmlns="http://schemas.openxmlformats.org/spreadsheetml/2006/main" count="68" uniqueCount="63">
  <si>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</si>
  <si>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</si>
  <si>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</si>
  <si>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</si>
  <si>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</si>
  <si>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</si>
  <si>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</si>
  <si>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</si>
  <si>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</si>
  <si>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</si>
  <si>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</si>
  <si>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</si>
  <si>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</si>
  <si>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</si>
  <si>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</si>
  <si>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</si>
  <si>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</si>
  <si>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</si>
  <si>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</si>
  <si>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</si>
  <si>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</si>
  <si>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</si>
  <si>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</si>
  <si>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</si>
  <si>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</si>
  <si>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</si>
  <si>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</si>
  <si>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</si>
  <si>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</si>
  <si>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</si>
  <si>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</si>
  <si>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</si>
  <si>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</si>
  <si>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</si>
  <si>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</si>
  <si>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</si>
  <si>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</si>
  <si>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</si>
  <si>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</si>
  <si>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</si>
  <si>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</si>
  <si>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</si>
  <si>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ENTREGA 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</si>
  <si>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</si>
  <si>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</si>
  <si>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</si>
  <si>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</si>
  <si>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</si>
  <si>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</si>
  <si>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</si>
  <si>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>No. 7</t>
  </si>
  <si>
    <t>TUBERIA  AC/INOX  304  SCH 40  3 "</t>
  </si>
  <si>
    <t>METRO LINEAL</t>
  </si>
  <si>
    <t>TUBERIA  AC/INOX  304  SCH 40  2 1/2 " X 1,2 MTS</t>
  </si>
  <si>
    <t>TRAMO</t>
  </si>
  <si>
    <t>TUBERIA  AC/INOX  304  SCH 40  3 "  X  3 MTS</t>
  </si>
  <si>
    <t>CODO AC/INOX 304  SCH 10  3 "  X  90 º</t>
  </si>
  <si>
    <t>CODO AC/INOX 304  SCH 10  2 "  X  90 º</t>
  </si>
  <si>
    <t>BRIDA A / C LJ  3 "  X  150  LBS</t>
  </si>
  <si>
    <t>BRIDA A / C LJ  2 1/2  "  X  150  LBS</t>
  </si>
  <si>
    <t>BRIDA A / C LJ  2 "  X  150  LBS</t>
  </si>
  <si>
    <t>DOS MILLONES DOSCIENTOS VEINTIOCHO MIL SETECIEN</t>
  </si>
  <si>
    <t>TOS SESENTA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</si>
</sst>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0" fillId="0" borderId="33" xfId="0" applyBorder="1"/>
    <xf numFmtId="0" fontId="13" fillId="0" borderId="33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20" zoomScaleNormal="100" workbookViewId="0">
      <selection activeCell="E33" sqref="E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43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72" t="s">
        <v>44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45</v>
      </c>
      <c r="D9" s="23"/>
      <c r="E9" s="72" t="s">
        <v>46</v>
      </c>
      <c r="F9" s="30" t="s">
        <v>0</v>
      </c>
      <c r="H9" s="28">
        <v>45626</v>
      </c>
    </row>
    <row r="10" spans="1:8" ht="18.75" x14ac:dyDescent="0.3">
      <c r="A10" s="21" t="s">
        <v>13</v>
      </c>
      <c r="C10" s="73" t="s">
        <v>47</v>
      </c>
      <c r="D10" s="66"/>
      <c r="E10" s="66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66"/>
      <c r="F11" s="30" t="s">
        <v>16</v>
      </c>
      <c r="G11" s="30"/>
      <c r="H11" s="28">
        <v>45635</v>
      </c>
    </row>
    <row r="12" spans="1:8" ht="18.75" x14ac:dyDescent="0.3">
      <c r="A12" s="21" t="s">
        <v>11</v>
      </c>
      <c r="C12" s="72" t="s">
        <v>48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49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7">
        <v>1</v>
      </c>
      <c r="B16" s="68" t="s">
        <v>51</v>
      </c>
      <c r="C16" s="69"/>
      <c r="D16" s="70"/>
      <c r="E16" s="67" t="s">
        <v>52</v>
      </c>
      <c r="F16" s="71">
        <v>290000</v>
      </c>
      <c r="G16" s="67">
        <v>1</v>
      </c>
      <c r="H16" s="38">
        <f t="shared" ref="H16" si="0">G16*F16</f>
        <v>290000</v>
      </c>
    </row>
    <row r="17" spans="1:8" ht="16.5" thickBot="1" x14ac:dyDescent="0.3">
      <c r="A17" s="67">
        <v>2</v>
      </c>
      <c r="B17" s="68" t="s">
        <v>53</v>
      </c>
      <c r="C17" s="69"/>
      <c r="D17" s="70"/>
      <c r="E17" s="67" t="s">
        <v>54</v>
      </c>
      <c r="F17" s="71">
        <v>278000</v>
      </c>
      <c r="G17" s="67">
        <v>1</v>
      </c>
      <c r="H17" s="38">
        <f t="shared" ref="H17:H23" si="1">G17*F17</f>
        <v>278000</v>
      </c>
    </row>
    <row r="18" spans="1:8" ht="16.5" thickBot="1" x14ac:dyDescent="0.3">
      <c r="A18" s="67">
        <v>3</v>
      </c>
      <c r="B18" s="68" t="s">
        <v>55</v>
      </c>
      <c r="C18" s="69"/>
      <c r="D18" s="70"/>
      <c r="E18" s="67" t="s">
        <v>54</v>
      </c>
      <c r="F18" s="71">
        <v>870000</v>
      </c>
      <c r="G18" s="67">
        <v>1</v>
      </c>
      <c r="H18" s="38">
        <f t="shared" si="1"/>
        <v>870000</v>
      </c>
    </row>
    <row r="19" spans="1:8" ht="16.5" thickBot="1" x14ac:dyDescent="0.3">
      <c r="A19" s="67">
        <v>4</v>
      </c>
      <c r="B19" s="68" t="s">
        <v>56</v>
      </c>
      <c r="C19" s="69"/>
      <c r="D19" s="70"/>
      <c r="E19" s="67" t="s">
        <v>41</v>
      </c>
      <c r="F19" s="71">
        <v>49400</v>
      </c>
      <c r="G19" s="67">
        <v>2</v>
      </c>
      <c r="H19" s="38">
        <f t="shared" si="1"/>
        <v>98800</v>
      </c>
    </row>
    <row r="20" spans="1:8" ht="16.5" thickBot="1" x14ac:dyDescent="0.3">
      <c r="A20" s="67">
        <v>5</v>
      </c>
      <c r="B20" s="68" t="s">
        <v>57</v>
      </c>
      <c r="C20" s="69"/>
      <c r="D20" s="70"/>
      <c r="E20" s="67" t="s">
        <v>41</v>
      </c>
      <c r="F20" s="71">
        <v>36550</v>
      </c>
      <c r="G20" s="67">
        <v>2</v>
      </c>
      <c r="H20" s="38">
        <f t="shared" si="1"/>
        <v>73100</v>
      </c>
    </row>
    <row r="21" spans="1:8" ht="16.5" thickBot="1" x14ac:dyDescent="0.3">
      <c r="A21" s="67">
        <v>6</v>
      </c>
      <c r="B21" s="68" t="s">
        <v>58</v>
      </c>
      <c r="C21" s="69"/>
      <c r="D21" s="70"/>
      <c r="E21" s="67" t="s">
        <v>41</v>
      </c>
      <c r="F21" s="71">
        <v>57100</v>
      </c>
      <c r="G21" s="67">
        <v>2</v>
      </c>
      <c r="H21" s="38">
        <f t="shared" si="1"/>
        <v>114200</v>
      </c>
    </row>
    <row r="22" spans="1:8" ht="16.5" thickBot="1" x14ac:dyDescent="0.3">
      <c r="A22" s="67">
        <v>7</v>
      </c>
      <c r="B22" s="68" t="s">
        <v>59</v>
      </c>
      <c r="C22" s="69"/>
      <c r="D22" s="70"/>
      <c r="E22" s="67" t="s">
        <v>41</v>
      </c>
      <c r="F22" s="71">
        <v>51100</v>
      </c>
      <c r="G22" s="67">
        <v>2</v>
      </c>
      <c r="H22" s="38">
        <f t="shared" si="1"/>
        <v>102200</v>
      </c>
    </row>
    <row r="23" spans="1:8" ht="16.5" thickBot="1" x14ac:dyDescent="0.3">
      <c r="A23" s="67">
        <v>8</v>
      </c>
      <c r="B23" s="68" t="s">
        <v>60</v>
      </c>
      <c r="C23" s="69"/>
      <c r="D23" s="70"/>
      <c r="E23" s="67" t="s">
        <v>41</v>
      </c>
      <c r="F23" s="71">
        <v>43400</v>
      </c>
      <c r="G23" s="67">
        <v>2</v>
      </c>
      <c r="H23" s="38">
        <f t="shared" si="1"/>
        <v>86800</v>
      </c>
    </row>
    <row r="24" spans="1:8" ht="19.5" customHeight="1" thickBot="1" x14ac:dyDescent="0.3">
      <c r="A24" s="51"/>
      <c r="B24" s="45"/>
      <c r="C24" s="42"/>
      <c r="D24" s="52"/>
      <c r="E24" s="53"/>
      <c r="F24" s="53"/>
      <c r="G24" s="53"/>
    </row>
    <row r="25" spans="1:8" ht="19.5" customHeight="1" thickBot="1" x14ac:dyDescent="0.35">
      <c r="A25" s="50" t="s">
        <v>23</v>
      </c>
      <c r="B25" s="14" t="s">
        <v>61</v>
      </c>
      <c r="D25" s="15"/>
      <c r="E25" s="54"/>
      <c r="F25" s="37" t="s">
        <v>29</v>
      </c>
      <c r="G25" s="6"/>
      <c r="H25" s="7"/>
    </row>
    <row r="26" spans="1:8" ht="19.5" customHeight="1" thickBot="1" x14ac:dyDescent="0.3">
      <c r="A26" s="39"/>
      <c r="B26" s="16" t="s">
        <v>62</v>
      </c>
      <c r="C26" s="4"/>
      <c r="D26" s="4"/>
      <c r="E26" s="57" t="s">
        <v>24</v>
      </c>
      <c r="F26" s="58"/>
      <c r="G26" s="46"/>
      <c r="H26" s="55">
        <f>SUM(H16:H23)</f>
        <v>1913100</v>
      </c>
    </row>
    <row r="27" spans="1:8" ht="19.5" customHeight="1" x14ac:dyDescent="0.25">
      <c r="A27" s="24" t="s">
        <v>25</v>
      </c>
      <c r="B27" s="12"/>
      <c r="C27" s="12"/>
      <c r="D27" s="12"/>
      <c r="E27" s="59" t="s">
        <v>30</v>
      </c>
      <c r="F27" s="23"/>
      <c r="G27" s="60">
        <v>0.19</v>
      </c>
      <c r="H27" s="40">
        <f>H26*G27</f>
        <v>363489</v>
      </c>
    </row>
    <row r="28" spans="1:8" ht="19.5" customHeight="1" x14ac:dyDescent="0.25">
      <c r="A28" s="14" t="s">
        <v>31</v>
      </c>
      <c r="E28" s="61" t="s">
        <v>26</v>
      </c>
      <c r="G28" s="64">
        <v>2.5000000000000001E-2</v>
      </c>
      <c r="H28" s="56">
        <f>H26*G28</f>
        <v>47827.5</v>
      </c>
    </row>
    <row r="29" spans="1:8" ht="15.75" x14ac:dyDescent="0.25">
      <c r="A29" s="14" t="s">
        <v>42</v>
      </c>
      <c r="E29" s="14"/>
      <c r="F29" s="33"/>
      <c r="G29" s="47"/>
      <c r="H29" s="15"/>
    </row>
    <row r="30" spans="1:8" ht="16.5" thickBot="1" x14ac:dyDescent="0.3">
      <c r="A30" s="14" t="s">
        <v>34</v>
      </c>
      <c r="E30" s="62" t="s">
        <v>27</v>
      </c>
      <c r="F30" s="63"/>
      <c r="G30" s="48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H26+H27-H28</f>
        <v>2228761.5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35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2024-11-30T14:42:21Z</dcterms:modified>
</cp:coreProperties>
</file>