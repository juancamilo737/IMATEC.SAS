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D2D216A-69FC-4931-887B-222D910392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INDUSTRIA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6" i="1"/>
  <c r="H20" i="1" s="1"/>
  <c r="H21" i="1" l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<sst xmlns="http://schemas.openxmlformats.org/spreadsheetml/2006/main" count="54" uniqueCount="54">
  <si>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</si>
  <si>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</si>
  <si>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</si>
  <si>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</si>
  <si>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</si>
  <si>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</si>
  <si>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</si>
  <si>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</si>
  <si>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</si>
  <si>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</si>
  <si>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</si>
  <si>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</si>
  <si>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</si>
  <si>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</si>
  <si>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</si>
  <si>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</si>
  <si>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</si>
  <si>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</si>
  <si>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</si>
  <si>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</si>
  <si>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</si>
  <si>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</si>
  <si>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</si>
  <si>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</si>
  <si>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</si>
  <si>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</si>
  <si>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</si>
  <si>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</si>
  <si>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</si>
  <si>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</si>
  <si>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</si>
  <si>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</si>
  <si>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</si>
  <si>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</si>
  <si>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</si>
  <si>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</si>
  <si>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</si>
  <si>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FORMA DE PAGO : CONTADO</t>
  </si>
  <si>
    <t>ENTREGA INMEDIATA</t>
  </si>
  <si>
    <t>ENTREGA EN CALI</t>
  </si>
  <si>
    <t>CALI</t>
  </si>
  <si>
    <t>ACCESORIO</t>
  </si>
  <si>
    <t>FERRETERIA INDUSTRIAL DEL VALLE SAS</t>
  </si>
  <si>
    <t xml:space="preserve">          C O T I Z A C I O N</t>
  </si>
  <si>
    <t>901 048853</t>
  </si>
  <si>
    <t>CRA 5  No. 33-37</t>
  </si>
  <si>
    <t>gerencia@ferreindustrialdel valle.com</t>
  </si>
  <si>
    <t>602 3744887</t>
  </si>
  <si>
    <t>EDINSON CABEZAS</t>
  </si>
  <si>
    <t>PESOS MDA / CTE</t>
  </si>
  <si>
    <t>No. 33</t>
  </si>
  <si>
    <t>VALVULA P/D  A / C  3 "  X  150 LBS FLANCHADA</t>
  </si>
  <si>
    <t>TRES MILLONES CUATROCIENTOS NOVENTA Y CINCO MIL</t>
  </si>
  <si>
    <t xml:space="preserve">  CALLE  33A  No. 17F - 56                         B/  LA FLORESTA             -   CALI    -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</si>
</sst>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8" fillId="0" borderId="14" xfId="0" applyFont="1" applyBorder="1"/>
    <xf numFmtId="0" fontId="8" fillId="0" borderId="0" xfId="0" applyFont="1"/>
    <xf numFmtId="42" fontId="12" fillId="0" borderId="1" xfId="1" applyFont="1" applyBorder="1" applyAlignment="1">
      <alignment horizontal="center"/>
    </xf>
    <xf numFmtId="0" fontId="0" fillId="0" borderId="14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18" xfId="0" applyNumberFormat="1" applyFont="1" applyBorder="1"/>
    <xf numFmtId="42" fontId="1" fillId="0" borderId="20" xfId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11" fillId="0" borderId="17" xfId="0" applyFont="1" applyBorder="1"/>
    <xf numFmtId="0" fontId="13" fillId="0" borderId="0" xfId="0" applyFont="1" applyAlignment="1">
      <alignment horizontal="center"/>
    </xf>
    <xf numFmtId="0" fontId="14" fillId="0" borderId="15" xfId="2" applyBorder="1"/>
    <xf numFmtId="0" fontId="15" fillId="0" borderId="15" xfId="2" applyFont="1" applyBorder="1"/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10" fontId="0" fillId="0" borderId="0" xfId="0" applyNumberFormat="1"/>
    <xf numFmtId="0" fontId="4" fillId="0" borderId="24" xfId="0" applyFont="1" applyBorder="1"/>
    <xf numFmtId="0" fontId="1" fillId="0" borderId="25" xfId="0" applyFont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ferreindustrialdel%20val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2"/>
  <sheetViews>
    <sheetView tabSelected="1" topLeftCell="A10" zoomScale="85" zoomScaleNormal="85" workbookViewId="0">
      <selection activeCell="L23" sqref="L2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8" t="s">
        <v>34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20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15</v>
      </c>
      <c r="B7" s="13"/>
      <c r="C7" s="31" t="s">
        <v>42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45</v>
      </c>
      <c r="D9" s="24"/>
      <c r="E9" s="25" t="s">
        <v>40</v>
      </c>
      <c r="F9" s="32" t="s">
        <v>0</v>
      </c>
      <c r="H9" s="33">
        <v>45846</v>
      </c>
    </row>
    <row r="10" spans="1:8" ht="18.75" x14ac:dyDescent="0.3">
      <c r="A10" s="22" t="s">
        <v>14</v>
      </c>
      <c r="C10" s="59" t="s">
        <v>46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60"/>
      <c r="D11" s="26"/>
      <c r="E11" s="26"/>
      <c r="F11" s="32" t="s">
        <v>17</v>
      </c>
      <c r="G11" s="35"/>
      <c r="H11" s="33">
        <v>45855</v>
      </c>
    </row>
    <row r="12" spans="1:8" ht="18.75" x14ac:dyDescent="0.3">
      <c r="A12" s="22" t="s">
        <v>12</v>
      </c>
      <c r="C12" s="25" t="s">
        <v>47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21</v>
      </c>
      <c r="B15" s="67" t="s">
        <v>26</v>
      </c>
      <c r="C15" s="19"/>
      <c r="D15" s="7"/>
      <c r="E15" s="66" t="s">
        <v>22</v>
      </c>
      <c r="F15" s="54" t="s">
        <v>24</v>
      </c>
      <c r="G15" s="54" t="s">
        <v>23</v>
      </c>
      <c r="H15" s="55" t="s">
        <v>25</v>
      </c>
    </row>
    <row r="16" spans="1:8" ht="16.5" thickBot="1" x14ac:dyDescent="0.3">
      <c r="A16" s="37">
        <v>1</v>
      </c>
      <c r="B16" s="69" t="s">
        <v>51</v>
      </c>
      <c r="C16" s="70"/>
      <c r="D16" s="71"/>
      <c r="E16" s="68" t="s">
        <v>41</v>
      </c>
      <c r="F16" s="41">
        <v>750000</v>
      </c>
      <c r="G16" s="37">
        <v>4</v>
      </c>
      <c r="H16" s="56">
        <f>G16*F16</f>
        <v>3000000</v>
      </c>
    </row>
    <row r="17" spans="1:10" ht="15.75" x14ac:dyDescent="0.25">
      <c r="A17" s="61"/>
      <c r="B17" s="39"/>
      <c r="C17" s="40"/>
      <c r="D17" s="40"/>
      <c r="E17" s="42"/>
      <c r="F17" s="38"/>
      <c r="H17" s="57"/>
    </row>
    <row r="18" spans="1:10" ht="19.5" customHeight="1" thickBot="1" x14ac:dyDescent="0.3">
      <c r="A18" s="61"/>
      <c r="B18" s="39"/>
      <c r="C18" s="40"/>
      <c r="D18" s="40"/>
      <c r="E18" s="42"/>
      <c r="F18" s="38"/>
      <c r="H18" s="57"/>
      <c r="I18" s="38"/>
      <c r="J18" s="38"/>
    </row>
    <row r="19" spans="1:10" ht="19.5" customHeight="1" thickBot="1" x14ac:dyDescent="0.35">
      <c r="A19" s="62" t="s">
        <v>27</v>
      </c>
      <c r="B19" s="12" t="s">
        <v>52</v>
      </c>
      <c r="C19" s="13"/>
      <c r="D19" s="14"/>
      <c r="E19" s="13"/>
      <c r="F19" s="44" t="s">
        <v>33</v>
      </c>
      <c r="G19" s="13"/>
      <c r="H19" s="7"/>
      <c r="I19" s="38"/>
      <c r="J19" s="38"/>
    </row>
    <row r="20" spans="1:10" ht="19.5" customHeight="1" thickBot="1" x14ac:dyDescent="0.3">
      <c r="A20" s="63"/>
      <c r="B20" s="17" t="s">
        <v>49</v>
      </c>
      <c r="C20" s="4"/>
      <c r="D20" s="4"/>
      <c r="E20" s="45" t="s">
        <v>28</v>
      </c>
      <c r="F20" s="46"/>
      <c r="G20" s="26"/>
      <c r="H20" s="49">
        <f>SUM(H16:H17)</f>
        <v>3000000</v>
      </c>
      <c r="I20" s="38"/>
      <c r="J20" s="38"/>
    </row>
    <row r="21" spans="1:10" ht="19.5" customHeight="1" x14ac:dyDescent="0.25">
      <c r="A21" s="27" t="s">
        <v>29</v>
      </c>
      <c r="B21" s="13"/>
      <c r="C21" s="13"/>
      <c r="D21" s="14"/>
      <c r="E21" s="3" t="s">
        <v>35</v>
      </c>
      <c r="F21" s="65"/>
      <c r="G21" s="48">
        <v>0.19</v>
      </c>
      <c r="H21" s="50">
        <f>H20*G21</f>
        <v>570000</v>
      </c>
      <c r="I21" s="38"/>
      <c r="J21" s="38"/>
    </row>
    <row r="22" spans="1:10" ht="19.5" customHeight="1" x14ac:dyDescent="0.25">
      <c r="A22" s="15" t="s">
        <v>37</v>
      </c>
      <c r="D22" s="16"/>
      <c r="E22" s="46" t="s">
        <v>30</v>
      </c>
      <c r="G22" s="64">
        <v>2.5000000000000001E-2</v>
      </c>
      <c r="H22" s="51">
        <f>H20*G22</f>
        <v>75000</v>
      </c>
      <c r="I22" s="38"/>
      <c r="J22" s="38"/>
    </row>
    <row r="23" spans="1:10" ht="19.5" customHeight="1" x14ac:dyDescent="0.25">
      <c r="A23" s="15" t="s">
        <v>38</v>
      </c>
      <c r="D23" s="16"/>
      <c r="F23" s="46"/>
      <c r="G23" s="26"/>
      <c r="H23" s="52"/>
      <c r="I23" s="38"/>
      <c r="J23" s="38"/>
    </row>
    <row r="24" spans="1:10" ht="19.5" customHeight="1" thickBot="1" x14ac:dyDescent="0.3">
      <c r="A24" s="15" t="s">
        <v>39</v>
      </c>
      <c r="D24" s="16"/>
      <c r="E24" s="46" t="s">
        <v>31</v>
      </c>
      <c r="F24" s="46"/>
      <c r="G24" s="26"/>
      <c r="H24" s="53"/>
      <c r="I24" s="38"/>
      <c r="J24" s="38"/>
    </row>
    <row r="25" spans="1:10" ht="19.5" customHeight="1" thickBot="1" x14ac:dyDescent="0.35">
      <c r="A25" s="17"/>
      <c r="B25" s="4"/>
      <c r="C25" s="4"/>
      <c r="D25" s="18"/>
      <c r="F25" s="3"/>
      <c r="G25" s="47" t="s">
        <v>32</v>
      </c>
      <c r="H25" s="43">
        <f>H20+H21-H22</f>
        <v>3495000</v>
      </c>
    </row>
    <row r="26" spans="1:10" ht="19.5" customHeight="1" x14ac:dyDescent="0.25"/>
    <row r="27" spans="1:10" ht="19.5" customHeight="1" x14ac:dyDescent="0.25">
      <c r="A27" t="s">
        <v>1</v>
      </c>
    </row>
    <row r="28" spans="1:10" ht="19.5" customHeight="1" x14ac:dyDescent="0.25"/>
    <row r="29" spans="1:10" ht="19.5" customHeight="1" thickBot="1" x14ac:dyDescent="0.3"/>
    <row r="30" spans="1:10" ht="19.5" customHeight="1" thickBot="1" x14ac:dyDescent="0.35">
      <c r="A30" s="28" t="s">
        <v>53</v>
      </c>
      <c r="B30" s="6"/>
      <c r="C30" s="6"/>
      <c r="D30" s="6"/>
      <c r="E30" s="6"/>
      <c r="F30" s="6"/>
      <c r="G30" s="6"/>
      <c r="H30" s="7"/>
    </row>
    <row r="31" spans="1:10" ht="19.5" customHeight="1" x14ac:dyDescent="0.25"/>
    <row r="32" spans="1:10" ht="19.5" customHeight="1" x14ac:dyDescent="0.25"/>
    <row r="33" ht="19.5" customHeight="1" x14ac:dyDescent="0.25"/>
    <row r="34" ht="19.5" customHeight="1" x14ac:dyDescent="0.25"/>
    <row r="38" ht="16.5" customHeight="1" x14ac:dyDescent="0.25"/>
    <row r="52" spans="1:1" ht="18.75" x14ac:dyDescent="0.3">
      <c r="A52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INDUSTRIAL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2025-07-08T17:38:57Z</dcterms:modified>
</cp:coreProperties>
</file>