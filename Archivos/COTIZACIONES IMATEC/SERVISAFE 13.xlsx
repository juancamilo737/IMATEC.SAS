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438E0BB-84B3-423B-A9DA-9CBC1CF2889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RVISAF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l="1"/>
  <c r="H20" i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<sst xmlns="http://schemas.openxmlformats.org/spreadsheetml/2006/main" count="54" uniqueCount="54">
  <si>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</si>
  <si>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</si>
  <si>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</si>
  <si>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</si>
  <si>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</si>
  <si>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</si>
  <si>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</si>
  <si>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</si>
  <si>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</si>
  <si>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</si>
  <si>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</si>
  <si>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</si>
  <si>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</si>
  <si>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</si>
  <si>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</si>
  <si>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</si>
  <si>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</si>
  <si>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</si>
  <si>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</si>
  <si>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</si>
  <si>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</si>
  <si>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</si>
  <si>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</si>
  <si>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</si>
  <si>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</si>
  <si>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</si>
  <si>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</si>
  <si>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</si>
  <si>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</si>
  <si>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</si>
  <si>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</si>
  <si>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</si>
  <si>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</si>
  <si>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</si>
  <si>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</si>
  <si>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</si>
  <si>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</si>
  <si>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</si>
  <si>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</si>
  <si>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</si>
  <si>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SERVISAFE  S.A.S.</t>
  </si>
  <si>
    <t>900 702590</t>
  </si>
  <si>
    <t>CARRERA 1  No. 46 - 45</t>
  </si>
  <si>
    <t>CALI</t>
  </si>
  <si>
    <t>contabilidad@servi-safe.com</t>
  </si>
  <si>
    <t>314 5127322</t>
  </si>
  <si>
    <t>LUIS A. BENAVIDES</t>
  </si>
  <si>
    <t>No.  13</t>
  </si>
  <si>
    <t>BRIDA  AC/INOX 316 L  SLIP ON 2 1/2 " X  150 LBS</t>
  </si>
  <si>
    <t>QUINIENTOS CINCUENTA Y DOS MIL CUATROCIENTOS</t>
  </si>
  <si>
    <t>PESOS MDA / CTE</t>
  </si>
  <si>
    <t>ENTREGA INMEDIATA</t>
  </si>
  <si>
    <t>OC 4551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</si>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</sst>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2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servi-sa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F7" sqref="F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53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1" t="s">
        <v>41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42</v>
      </c>
      <c r="D9" s="23"/>
      <c r="E9" s="64" t="s">
        <v>43</v>
      </c>
      <c r="F9" s="30" t="s">
        <v>0</v>
      </c>
      <c r="H9" s="28">
        <v>45814</v>
      </c>
    </row>
    <row r="10" spans="1:8" ht="18.75" x14ac:dyDescent="0.3">
      <c r="A10" s="21" t="s">
        <v>13</v>
      </c>
      <c r="C10" s="65" t="s">
        <v>44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45</v>
      </c>
      <c r="D12" s="60"/>
      <c r="E12" s="45"/>
      <c r="F12" s="30" t="s">
        <v>17</v>
      </c>
      <c r="H12" s="31" t="s">
        <v>52</v>
      </c>
    </row>
    <row r="13" spans="1:8" ht="18.75" customHeight="1" thickBot="1" x14ac:dyDescent="0.35">
      <c r="A13" s="22" t="s">
        <v>12</v>
      </c>
      <c r="B13" s="4"/>
      <c r="C13" s="67" t="s">
        <v>46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48</v>
      </c>
      <c r="C16" s="71"/>
      <c r="D16" s="72"/>
      <c r="E16" s="69" t="s">
        <v>37</v>
      </c>
      <c r="F16" s="73">
        <v>140000</v>
      </c>
      <c r="G16" s="69">
        <v>4</v>
      </c>
      <c r="H16" s="38">
        <f t="shared" ref="H16" si="0">G16*F16</f>
        <v>560000</v>
      </c>
    </row>
    <row r="17" spans="1:8" ht="19.5" customHeight="1" thickBot="1" x14ac:dyDescent="0.3">
      <c r="A17" s="47"/>
      <c r="B17" s="76"/>
      <c r="D17" s="77"/>
      <c r="E17" s="47"/>
      <c r="F17" s="47"/>
      <c r="G17" s="47"/>
    </row>
    <row r="18" spans="1:8" ht="19.5" customHeight="1" thickBot="1" x14ac:dyDescent="0.35">
      <c r="A18" s="75" t="s">
        <v>23</v>
      </c>
      <c r="B18" s="78" t="s">
        <v>49</v>
      </c>
      <c r="C18" s="12"/>
      <c r="D18" s="13"/>
      <c r="E18" s="48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17"/>
      <c r="E19" s="51" t="s">
        <v>24</v>
      </c>
      <c r="F19" s="52"/>
      <c r="G19" s="44"/>
      <c r="H19" s="49">
        <f>SUM(H16:H18)</f>
        <v>560000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106400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14000</v>
      </c>
    </row>
    <row r="22" spans="1:8" ht="15.75" x14ac:dyDescent="0.25">
      <c r="A22" s="14" t="s">
        <v>51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652400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74907528-4DF9-45E0-899E-03ED0D7EC3B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SERVISAFE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2025-06-06T18:46:39Z</cp:lastPrinted>
  <dcterms:created xsi:type="dcterms:W3CDTF">2018-11-15T17:29:02Z</dcterms:created>
  <dcterms:modified xsi:type="dcterms:W3CDTF">2025-06-06T18:50:19Z</dcterms:modified>
</cp:coreProperties>
</file>