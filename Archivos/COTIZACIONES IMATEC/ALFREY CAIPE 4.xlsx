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D038786-DE5D-42B1-9AEA-C93AE5593D6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LFREY CAIP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17" i="1"/>
  <c r="H16" i="1" l="1"/>
  <c r="H20" i="1" s="1"/>
  <c r="H21" i="1" l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<sst xmlns="http://schemas.openxmlformats.org/spreadsheetml/2006/main" count="55" uniqueCount="54">
  <si>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</si>
  <si>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</si>
  <si>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</si>
  <si>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</si>
  <si>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</si>
  <si>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</si>
  <si>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</si>
  <si>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</si>
  <si>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</si>
  <si>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</si>
  <si>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</si>
  <si>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</si>
  <si>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</si>
  <si>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</si>
  <si>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</si>
  <si>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</si>
  <si>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</si>
  <si>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</si>
  <si>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</si>
  <si>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</si>
  <si>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</si>
  <si>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</si>
  <si>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</si>
  <si>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</si>
  <si>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</si>
  <si>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</si>
  <si>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</si>
  <si>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</si>
  <si>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</si>
  <si>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</si>
  <si>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</si>
  <si>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</si>
  <si>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</si>
  <si>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</si>
  <si>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</si>
  <si>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</si>
  <si>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</si>
  <si>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</si>
  <si>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</si>
  <si>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</si>
  <si>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</si>
  <si>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ALFREY ALTIMER CAIPE QUIROZ</t>
  </si>
  <si>
    <t>VEREDA GUAN SECTOR CANTERIA</t>
  </si>
  <si>
    <t>CUMBAL</t>
  </si>
  <si>
    <t>alfrey05@gmail.com</t>
  </si>
  <si>
    <t>320 7639891</t>
  </si>
  <si>
    <t>LUIS ANTONIO BENAVIDEZ</t>
  </si>
  <si>
    <t>ENTREGA INMEDIATA</t>
  </si>
  <si>
    <t xml:space="preserve">              R E M I S I O N </t>
  </si>
  <si>
    <t>No. 4</t>
  </si>
  <si>
    <t xml:space="preserve">VALVULA REGULADORA DE VAPOR 3/4 " </t>
  </si>
  <si>
    <t>MANOMETRO CAJA AC/INOX 304  2 1/2 " 0-60 PSI</t>
  </si>
  <si>
    <t>UN MILLON CINCUENTA Y CUATRO MIL TRESCIENTOS</t>
  </si>
  <si>
    <t>VEINTICINCO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</si>
</sst>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32" xfId="0" applyFont="1" applyBorder="1"/>
    <xf numFmtId="0" fontId="8" fillId="0" borderId="13" xfId="0" applyFont="1" applyBorder="1"/>
    <xf numFmtId="0" fontId="8" fillId="0" borderId="33" xfId="0" applyFont="1" applyBorder="1"/>
    <xf numFmtId="42" fontId="11" fillId="0" borderId="14" xfId="1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34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frey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K24" sqref="K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41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71">
        <v>98388908</v>
      </c>
      <c r="D8" s="72"/>
      <c r="E8" s="46"/>
      <c r="H8" s="15"/>
    </row>
    <row r="9" spans="1:8" ht="18.75" customHeight="1" x14ac:dyDescent="0.3">
      <c r="A9" s="21" t="s">
        <v>9</v>
      </c>
      <c r="C9" s="73" t="s">
        <v>42</v>
      </c>
      <c r="D9" s="23"/>
      <c r="E9" s="74" t="s">
        <v>43</v>
      </c>
      <c r="F9" s="30" t="s">
        <v>0</v>
      </c>
      <c r="H9" s="28">
        <v>45867</v>
      </c>
    </row>
    <row r="10" spans="1:8" ht="18.75" x14ac:dyDescent="0.3">
      <c r="A10" s="21" t="s">
        <v>13</v>
      </c>
      <c r="C10" s="75" t="s">
        <v>44</v>
      </c>
      <c r="D10" s="65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6"/>
      <c r="D11" s="65"/>
      <c r="E11" s="47"/>
      <c r="F11" s="30" t="s">
        <v>16</v>
      </c>
      <c r="G11" s="30"/>
      <c r="H11" s="28">
        <v>45876</v>
      </c>
    </row>
    <row r="12" spans="1:8" ht="18.75" x14ac:dyDescent="0.3">
      <c r="A12" s="21" t="s">
        <v>11</v>
      </c>
      <c r="C12" s="76" t="s">
        <v>45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46</v>
      </c>
      <c r="D13" s="78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8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9">
        <v>1</v>
      </c>
      <c r="B16" s="80" t="s">
        <v>50</v>
      </c>
      <c r="C16" s="81"/>
      <c r="D16" s="82"/>
      <c r="E16" s="79" t="s">
        <v>40</v>
      </c>
      <c r="F16" s="83">
        <v>725000</v>
      </c>
      <c r="G16" s="79">
        <v>1</v>
      </c>
      <c r="H16" s="38">
        <f t="shared" ref="H16" si="0">G16*F16</f>
        <v>725000</v>
      </c>
    </row>
    <row r="17" spans="1:8" ht="16.5" thickBot="1" x14ac:dyDescent="0.3">
      <c r="A17" s="66">
        <v>2</v>
      </c>
      <c r="B17" s="67" t="s">
        <v>51</v>
      </c>
      <c r="C17" s="68"/>
      <c r="D17" s="69"/>
      <c r="E17" s="66" t="s">
        <v>40</v>
      </c>
      <c r="F17" s="70">
        <v>45000</v>
      </c>
      <c r="G17" s="66">
        <v>4</v>
      </c>
      <c r="H17" s="38">
        <f t="shared" ref="H17" si="1">G17*F17</f>
        <v>180000</v>
      </c>
    </row>
    <row r="18" spans="1:8" ht="19.5" customHeight="1" thickBot="1" x14ac:dyDescent="0.3">
      <c r="A18" s="50"/>
      <c r="B18" s="45"/>
      <c r="C18" s="42"/>
      <c r="D18" s="51"/>
      <c r="E18" s="52"/>
      <c r="F18" s="52"/>
      <c r="G18" s="52"/>
    </row>
    <row r="19" spans="1:8" ht="19.5" customHeight="1" thickBot="1" x14ac:dyDescent="0.35">
      <c r="A19" s="49" t="s">
        <v>23</v>
      </c>
      <c r="B19" s="14" t="s">
        <v>52</v>
      </c>
      <c r="D19" s="15"/>
      <c r="E19" s="53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6" t="s">
        <v>24</v>
      </c>
      <c r="F20" s="57"/>
      <c r="G20" s="46"/>
      <c r="H20" s="54">
        <f>SUM(H16:H19)</f>
        <v>905000</v>
      </c>
    </row>
    <row r="21" spans="1:8" ht="19.5" customHeight="1" x14ac:dyDescent="0.25">
      <c r="A21" s="24" t="s">
        <v>25</v>
      </c>
      <c r="B21" s="12"/>
      <c r="C21" s="12"/>
      <c r="D21" s="12"/>
      <c r="E21" s="58" t="s">
        <v>30</v>
      </c>
      <c r="F21" s="23"/>
      <c r="G21" s="59">
        <v>0.19</v>
      </c>
      <c r="H21" s="40">
        <f>H20*G21</f>
        <v>171950</v>
      </c>
    </row>
    <row r="22" spans="1:8" ht="19.5" customHeight="1" x14ac:dyDescent="0.25">
      <c r="A22" s="14" t="s">
        <v>31</v>
      </c>
      <c r="E22" s="60" t="s">
        <v>26</v>
      </c>
      <c r="G22" s="63">
        <v>2.5000000000000001E-2</v>
      </c>
      <c r="H22" s="55">
        <f>H20*G22</f>
        <v>22625</v>
      </c>
    </row>
    <row r="23" spans="1:8" ht="15.75" x14ac:dyDescent="0.25">
      <c r="A23" s="14" t="s">
        <v>47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1" t="s">
        <v>27</v>
      </c>
      <c r="F24" s="62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1054325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B117BFBC-9A58-471C-BD6A-EE3FC522ABF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ALFREY CAIPE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2025-01-14T16:54:54Z</cp:lastPrinted>
  <dcterms:created xsi:type="dcterms:W3CDTF">2018-11-15T17:29:02Z</dcterms:created>
  <dcterms:modified xsi:type="dcterms:W3CDTF">2025-07-29T16:32:50Z</dcterms:modified>
</cp:coreProperties>
</file>