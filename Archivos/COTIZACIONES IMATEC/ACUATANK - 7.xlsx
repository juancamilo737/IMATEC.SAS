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7687184-CD44-4A11-A783-B9E2F76B2D2B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UATANK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6" i="1" l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 l="1"/>
  <c r="H24" i="1"/>
  <c r="H23" i="1"/>
  <c r="H22" i="1"/>
  <c r="H21" i="1"/>
  <c r="H20" i="1"/>
  <c r="H19" i="1"/>
  <c r="H18" i="1"/>
  <c r="H17" i="1"/>
  <c r="H16" i="1"/>
  <c r="H48" i="1" l="1"/>
  <c r="H47" i="1"/>
  <c r="H51" i="1" s="1"/>
</calcChain>
</file>

<file path=xl/sharedStrings.xml><?xml version="1.0" encoding="utf-8"?>
<sst xmlns="http://schemas.openxmlformats.org/spreadsheetml/2006/main" count="107" uniqueCount="83">
  <si>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</si>
  <si>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</si>
  <si>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</si>
  <si>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</si>
  <si>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</si>
  <si>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</si>
  <si>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</si>
  <si>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</si>
  <si>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</si>
  <si>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</si>
  <si>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</si>
  <si>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</si>
  <si>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</si>
  <si>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</si>
  <si>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</si>
  <si>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</si>
  <si>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</si>
  <si>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</si>
  <si>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</si>
  <si>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</si>
  <si>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</si>
  <si>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</si>
  <si>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</si>
  <si>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</si>
  <si>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</si>
  <si>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</si>
  <si>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</si>
  <si>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</si>
  <si>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</si>
  <si>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</si>
  <si>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</si>
  <si>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</si>
  <si>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</si>
  <si>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</si>
  <si>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</si>
  <si>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</si>
  <si>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</si>
  <si>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ACUATANK </t>
  </si>
  <si>
    <t>900 639330</t>
  </si>
  <si>
    <t>CARRERA 37 No. 12A-22</t>
  </si>
  <si>
    <t>CALI</t>
  </si>
  <si>
    <t>info@acuatank.com</t>
  </si>
  <si>
    <t>313 7502559</t>
  </si>
  <si>
    <t>ACCESORIO</t>
  </si>
  <si>
    <t>L I Q U I D A C I O N</t>
  </si>
  <si>
    <t>LUIS A. BENAVIDES</t>
  </si>
  <si>
    <t>No. 7</t>
  </si>
  <si>
    <t>ADAPTADOR HEMBRA PVC PRESION  1 1/2 "</t>
  </si>
  <si>
    <t>FABRICACION</t>
  </si>
  <si>
    <t>VALVULA FLOTADOR EN BRONCE COMPLETA  1 1/2"</t>
  </si>
  <si>
    <t>NIPLE AC/INOX 304 ROSCA X ROSCA 1 1/2 " X 4 "</t>
  </si>
  <si>
    <t>ENTREGA EN UN DIA</t>
  </si>
  <si>
    <t xml:space="preserve">              R E M I S I O N</t>
  </si>
  <si>
    <t>NIPLE AC/INOX 304  ROSCA X RANURA  1 1/2 " X 3 "</t>
  </si>
  <si>
    <t>NIPLE AC/INOX 304 RANURA X RANURA 1 1/2"X 10 "</t>
  </si>
  <si>
    <t>NIPLE AC/INOX 304 ROSCA X RANURA 1 1/2 " X 4 "</t>
  </si>
  <si>
    <t>NIPLE AC/INOX 304 ROSCA X RANURA  1 1/2 " X 10,5 "</t>
  </si>
  <si>
    <t>NIPLE AC/INOX 304 RANURA X RANURA  1 1/2 " X 8 "</t>
  </si>
  <si>
    <t>TORNILLO AC/INOX 304 HEXAGONAL 3/8 "  X  2 " CT</t>
  </si>
  <si>
    <t>REDUCCION BUSHING AC/INOX 304  1 1/2 " X 1 1/4"</t>
  </si>
  <si>
    <t>TEFLON INDUSTRIAL 3/4 "  X  15 MTS</t>
  </si>
  <si>
    <t>ROLLO</t>
  </si>
  <si>
    <t>SELLANTE SHELLAC X  2 0Z</t>
  </si>
  <si>
    <t>FRASCO</t>
  </si>
  <si>
    <t>CODO HD RANURADO 1  1/4 "  X  90 º</t>
  </si>
  <si>
    <t>TEE HD RANURADA  1 1/4 "</t>
  </si>
  <si>
    <t>VALVULA P/D BRONCE  1 1/4  " MARCA R W</t>
  </si>
  <si>
    <t>CHEQUE VERTICAL BRONCE 1 1/4 "</t>
  </si>
  <si>
    <t>UNION RANURADA HD  1 1/4 "</t>
  </si>
  <si>
    <t>BUJE PVC PRESION  1 1/4  "  X  1 "</t>
  </si>
  <si>
    <t>CODO AC/INOX 304  1 1/4  "  X 90º  X 150 LBS</t>
  </si>
  <si>
    <t>ADAPTADOR MACHO PVC PRESION  1 1/4 "</t>
  </si>
  <si>
    <t>NIPLE AC/INOX 304  1 1/4 " X  9 "</t>
  </si>
  <si>
    <t>NIPLE AC/INOX 304  1 1/4  "  X  12,5 "</t>
  </si>
  <si>
    <t>NIPLE AC/INOX 304  1 1/4 " X  3 "</t>
  </si>
  <si>
    <t>NIPLE AC/INOX 304  1 1/4 " X   2 1/2 "</t>
  </si>
  <si>
    <t>NIPLE AC/INOX 304  1 1/4 " X    3 1/2 "</t>
  </si>
  <si>
    <t>NIPLE AC/INOX 304  1 1/4 " X   9,5 "</t>
  </si>
  <si>
    <t>NIPLE AC/INOX 304  1 1/4 " X   12 "</t>
  </si>
  <si>
    <t>NIPLE AC/INOX 304  1 1/4 " X   149 CMTS</t>
  </si>
  <si>
    <t>DOS MILLONES CIENTO DIECINUEVE MIL NOVECIENTOS</t>
  </si>
  <si>
    <t>NOVENTA Y SIETE PESOS MDA / CTE</t>
  </si>
  <si>
    <t xml:space="preserve">  CALLE  33A  No. 17F - 56   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</si>
</sst>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42" fontId="11" fillId="0" borderId="27" xfId="1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8" fillId="0" borderId="31" xfId="0" applyFont="1" applyBorder="1"/>
    <xf numFmtId="0" fontId="8" fillId="0" borderId="13" xfId="0" applyFont="1" applyBorder="1"/>
    <xf numFmtId="0" fontId="8" fillId="0" borderId="32" xfId="0" applyFont="1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33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0" xfId="0" applyFont="1" applyAlignment="1">
      <alignment horizontal="center"/>
    </xf>
    <xf numFmtId="0" fontId="8" fillId="0" borderId="0" xfId="0" applyFont="1"/>
    <xf numFmtId="42" fontId="11" fillId="0" borderId="0" xfId="1" applyFont="1" applyBorder="1" applyAlignment="1">
      <alignment horizontal="center"/>
    </xf>
    <xf numFmtId="42" fontId="1" fillId="0" borderId="4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cua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6"/>
  <sheetViews>
    <sheetView tabSelected="1" topLeftCell="A29" zoomScaleNormal="100" workbookViewId="0">
      <selection activeCell="J44" sqref="J4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285156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64" t="s">
        <v>37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73" t="s">
        <v>38</v>
      </c>
      <c r="D8" s="74"/>
      <c r="E8" s="44"/>
      <c r="H8" s="15"/>
    </row>
    <row r="9" spans="1:8" ht="18.75" customHeight="1" x14ac:dyDescent="0.3">
      <c r="A9" s="21" t="s">
        <v>9</v>
      </c>
      <c r="C9" s="75" t="s">
        <v>39</v>
      </c>
      <c r="D9" s="23"/>
      <c r="E9" s="76" t="s">
        <v>40</v>
      </c>
      <c r="F9" s="30" t="s">
        <v>0</v>
      </c>
      <c r="H9" s="28">
        <v>45736</v>
      </c>
    </row>
    <row r="10" spans="1:8" ht="18.75" x14ac:dyDescent="0.3">
      <c r="A10" s="21" t="s">
        <v>13</v>
      </c>
      <c r="C10" s="77" t="s">
        <v>41</v>
      </c>
      <c r="D10" s="65"/>
      <c r="E10" s="45"/>
      <c r="F10" s="30" t="s">
        <v>15</v>
      </c>
      <c r="H10" s="29"/>
    </row>
    <row r="11" spans="1:8" ht="18.75" x14ac:dyDescent="0.3">
      <c r="A11" s="21" t="s">
        <v>10</v>
      </c>
      <c r="C11" s="78"/>
      <c r="D11" s="65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8" t="s">
        <v>42</v>
      </c>
      <c r="D12" s="65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9" t="s">
        <v>45</v>
      </c>
      <c r="D13" s="8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47</v>
      </c>
      <c r="C16" s="50"/>
      <c r="D16" s="51"/>
      <c r="E16" s="48" t="s">
        <v>43</v>
      </c>
      <c r="F16" s="52">
        <v>8130</v>
      </c>
      <c r="G16" s="48">
        <v>2</v>
      </c>
      <c r="H16" s="38">
        <f t="shared" ref="H16:H25" si="0">G16*F16</f>
        <v>16260</v>
      </c>
    </row>
    <row r="17" spans="1:8" ht="16.5" thickBot="1" x14ac:dyDescent="0.3">
      <c r="A17" s="48">
        <v>2</v>
      </c>
      <c r="B17" s="49" t="s">
        <v>53</v>
      </c>
      <c r="C17" s="50"/>
      <c r="D17" s="51"/>
      <c r="E17" s="48" t="s">
        <v>48</v>
      </c>
      <c r="F17" s="52">
        <v>17200</v>
      </c>
      <c r="G17" s="48">
        <v>2</v>
      </c>
      <c r="H17" s="38">
        <f t="shared" si="0"/>
        <v>34400</v>
      </c>
    </row>
    <row r="18" spans="1:8" ht="16.5" thickBot="1" x14ac:dyDescent="0.3">
      <c r="A18" s="48">
        <v>3</v>
      </c>
      <c r="B18" s="68" t="s">
        <v>64</v>
      </c>
      <c r="C18" s="69"/>
      <c r="D18" s="70"/>
      <c r="E18" s="71" t="s">
        <v>43</v>
      </c>
      <c r="F18" s="72">
        <v>11000</v>
      </c>
      <c r="G18" s="71">
        <v>3</v>
      </c>
      <c r="H18" s="38">
        <f t="shared" si="0"/>
        <v>33000</v>
      </c>
    </row>
    <row r="19" spans="1:8" ht="16.5" thickBot="1" x14ac:dyDescent="0.3">
      <c r="A19" s="48">
        <v>4</v>
      </c>
      <c r="B19" s="49" t="s">
        <v>54</v>
      </c>
      <c r="C19" s="50"/>
      <c r="D19" s="51"/>
      <c r="E19" s="48" t="s">
        <v>48</v>
      </c>
      <c r="F19" s="52">
        <v>41000</v>
      </c>
      <c r="G19" s="71">
        <v>1</v>
      </c>
      <c r="H19" s="38">
        <f t="shared" si="0"/>
        <v>41000</v>
      </c>
    </row>
    <row r="20" spans="1:8" ht="16.5" thickBot="1" x14ac:dyDescent="0.3">
      <c r="A20" s="48">
        <v>5</v>
      </c>
      <c r="B20" s="49" t="s">
        <v>65</v>
      </c>
      <c r="C20" s="50"/>
      <c r="D20" s="51"/>
      <c r="E20" s="48" t="s">
        <v>43</v>
      </c>
      <c r="F20" s="52">
        <v>17000</v>
      </c>
      <c r="G20" s="71">
        <v>1</v>
      </c>
      <c r="H20" s="38">
        <f t="shared" si="0"/>
        <v>17000</v>
      </c>
    </row>
    <row r="21" spans="1:8" ht="16.5" thickBot="1" x14ac:dyDescent="0.3">
      <c r="A21" s="48">
        <v>6</v>
      </c>
      <c r="B21" s="49" t="s">
        <v>66</v>
      </c>
      <c r="C21" s="50"/>
      <c r="D21" s="51"/>
      <c r="E21" s="48" t="s">
        <v>43</v>
      </c>
      <c r="F21" s="52">
        <v>130000</v>
      </c>
      <c r="G21" s="71">
        <v>2</v>
      </c>
      <c r="H21" s="38">
        <f t="shared" si="0"/>
        <v>260000</v>
      </c>
    </row>
    <row r="22" spans="1:8" ht="16.5" thickBot="1" x14ac:dyDescent="0.3">
      <c r="A22" s="48">
        <v>7</v>
      </c>
      <c r="B22" s="49" t="s">
        <v>49</v>
      </c>
      <c r="C22" s="50"/>
      <c r="D22" s="51"/>
      <c r="E22" s="48" t="s">
        <v>43</v>
      </c>
      <c r="F22" s="52">
        <v>295000</v>
      </c>
      <c r="G22" s="71">
        <v>1</v>
      </c>
      <c r="H22" s="38">
        <f t="shared" si="0"/>
        <v>295000</v>
      </c>
    </row>
    <row r="23" spans="1:8" ht="16.5" thickBot="1" x14ac:dyDescent="0.3">
      <c r="A23" s="48">
        <v>8</v>
      </c>
      <c r="B23" s="49" t="s">
        <v>57</v>
      </c>
      <c r="C23" s="50"/>
      <c r="D23" s="51"/>
      <c r="E23" s="48" t="s">
        <v>48</v>
      </c>
      <c r="F23" s="52">
        <v>29000</v>
      </c>
      <c r="G23" s="71">
        <v>1</v>
      </c>
      <c r="H23" s="38">
        <f t="shared" si="0"/>
        <v>29000</v>
      </c>
    </row>
    <row r="24" spans="1:8" ht="16.5" thickBot="1" x14ac:dyDescent="0.3">
      <c r="A24" s="48">
        <v>9</v>
      </c>
      <c r="B24" s="68" t="s">
        <v>50</v>
      </c>
      <c r="C24" s="69"/>
      <c r="D24" s="70"/>
      <c r="E24" s="71" t="s">
        <v>48</v>
      </c>
      <c r="F24" s="72">
        <v>17500</v>
      </c>
      <c r="G24" s="71">
        <v>2</v>
      </c>
      <c r="H24" s="38">
        <f t="shared" si="0"/>
        <v>35000</v>
      </c>
    </row>
    <row r="25" spans="1:8" ht="16.5" customHeight="1" thickBot="1" x14ac:dyDescent="0.3">
      <c r="A25" s="48">
        <v>10</v>
      </c>
      <c r="B25" s="68" t="s">
        <v>67</v>
      </c>
      <c r="C25" s="69"/>
      <c r="D25" s="70"/>
      <c r="E25" s="71" t="s">
        <v>43</v>
      </c>
      <c r="F25" s="72">
        <v>160000</v>
      </c>
      <c r="G25" s="71">
        <v>2</v>
      </c>
      <c r="H25" s="38">
        <f t="shared" si="0"/>
        <v>320000</v>
      </c>
    </row>
    <row r="26" spans="1:8" ht="16.5" thickBot="1" x14ac:dyDescent="0.3">
      <c r="A26" s="48">
        <v>11</v>
      </c>
      <c r="B26" s="68" t="s">
        <v>55</v>
      </c>
      <c r="C26" s="69"/>
      <c r="D26" s="70"/>
      <c r="E26" s="71" t="s">
        <v>48</v>
      </c>
      <c r="F26" s="72">
        <v>17500</v>
      </c>
      <c r="G26" s="71">
        <v>2</v>
      </c>
      <c r="H26" s="38">
        <f t="shared" ref="H26:H27" si="1">G26*F26</f>
        <v>35000</v>
      </c>
    </row>
    <row r="27" spans="1:8" ht="16.5" thickBot="1" x14ac:dyDescent="0.3">
      <c r="A27" s="48">
        <v>12</v>
      </c>
      <c r="B27" s="68" t="s">
        <v>56</v>
      </c>
      <c r="C27" s="69"/>
      <c r="D27" s="70"/>
      <c r="E27" s="71" t="s">
        <v>48</v>
      </c>
      <c r="F27" s="72">
        <v>34500</v>
      </c>
      <c r="G27" s="71">
        <v>1</v>
      </c>
      <c r="H27" s="38">
        <f t="shared" si="1"/>
        <v>34500</v>
      </c>
    </row>
    <row r="28" spans="1:8" ht="16.5" thickBot="1" x14ac:dyDescent="0.3">
      <c r="A28" s="48">
        <v>13</v>
      </c>
      <c r="B28" s="68" t="s">
        <v>68</v>
      </c>
      <c r="C28" s="69"/>
      <c r="D28" s="70"/>
      <c r="E28" s="71" t="s">
        <v>43</v>
      </c>
      <c r="F28" s="72">
        <v>11500</v>
      </c>
      <c r="G28" s="71">
        <v>8</v>
      </c>
      <c r="H28" s="38">
        <f t="shared" ref="H28:H29" si="2">G28*F28</f>
        <v>92000</v>
      </c>
    </row>
    <row r="29" spans="1:8" ht="16.5" thickBot="1" x14ac:dyDescent="0.3">
      <c r="A29" s="48">
        <v>14</v>
      </c>
      <c r="B29" s="68" t="s">
        <v>58</v>
      </c>
      <c r="C29" s="69"/>
      <c r="D29" s="70"/>
      <c r="E29" s="71" t="s">
        <v>43</v>
      </c>
      <c r="F29" s="72">
        <v>2235</v>
      </c>
      <c r="G29" s="71">
        <v>28</v>
      </c>
      <c r="H29" s="38">
        <f t="shared" si="2"/>
        <v>62580</v>
      </c>
    </row>
    <row r="30" spans="1:8" ht="16.5" thickBot="1" x14ac:dyDescent="0.3">
      <c r="A30" s="48">
        <v>15</v>
      </c>
      <c r="B30" s="68" t="s">
        <v>59</v>
      </c>
      <c r="C30" s="69"/>
      <c r="D30" s="70"/>
      <c r="E30" s="71" t="s">
        <v>43</v>
      </c>
      <c r="F30" s="72">
        <v>18000</v>
      </c>
      <c r="G30" s="71">
        <v>1</v>
      </c>
      <c r="H30" s="38">
        <f t="shared" ref="H30" si="3">G30*F30</f>
        <v>18000</v>
      </c>
    </row>
    <row r="31" spans="1:8" ht="16.5" thickBot="1" x14ac:dyDescent="0.3">
      <c r="A31" s="48">
        <v>16</v>
      </c>
      <c r="B31" s="68" t="s">
        <v>69</v>
      </c>
      <c r="C31" s="69"/>
      <c r="D31" s="70"/>
      <c r="E31" s="71" t="s">
        <v>43</v>
      </c>
      <c r="F31" s="72">
        <v>2500</v>
      </c>
      <c r="G31" s="71">
        <v>1</v>
      </c>
      <c r="H31" s="38">
        <f t="shared" ref="H31" si="4">G31*F31</f>
        <v>2500</v>
      </c>
    </row>
    <row r="32" spans="1:8" ht="16.5" thickBot="1" x14ac:dyDescent="0.3">
      <c r="A32" s="48">
        <v>17</v>
      </c>
      <c r="B32" s="68" t="s">
        <v>60</v>
      </c>
      <c r="C32" s="69"/>
      <c r="D32" s="70"/>
      <c r="E32" s="71" t="s">
        <v>61</v>
      </c>
      <c r="F32" s="72">
        <v>5000</v>
      </c>
      <c r="G32" s="71">
        <v>2</v>
      </c>
      <c r="H32" s="38">
        <f t="shared" ref="H32:H33" si="5">G32*F32</f>
        <v>10000</v>
      </c>
    </row>
    <row r="33" spans="1:8" ht="16.5" thickBot="1" x14ac:dyDescent="0.3">
      <c r="A33" s="48">
        <v>18</v>
      </c>
      <c r="B33" s="68" t="s">
        <v>62</v>
      </c>
      <c r="C33" s="69"/>
      <c r="D33" s="70"/>
      <c r="E33" s="71" t="s">
        <v>63</v>
      </c>
      <c r="F33" s="72">
        <v>14000</v>
      </c>
      <c r="G33" s="71">
        <v>1</v>
      </c>
      <c r="H33" s="38">
        <f t="shared" si="5"/>
        <v>14000</v>
      </c>
    </row>
    <row r="34" spans="1:8" ht="16.5" thickBot="1" x14ac:dyDescent="0.3">
      <c r="A34" s="48">
        <v>19</v>
      </c>
      <c r="B34" s="68" t="s">
        <v>70</v>
      </c>
      <c r="C34" s="69"/>
      <c r="D34" s="70"/>
      <c r="E34" s="71" t="s">
        <v>43</v>
      </c>
      <c r="F34" s="72">
        <v>22000</v>
      </c>
      <c r="G34" s="71">
        <v>1</v>
      </c>
      <c r="H34" s="38">
        <f t="shared" ref="H34:H43" si="6">G34*F34</f>
        <v>22000</v>
      </c>
    </row>
    <row r="35" spans="1:8" ht="16.5" thickBot="1" x14ac:dyDescent="0.3">
      <c r="A35" s="48">
        <v>20</v>
      </c>
      <c r="B35" s="68" t="s">
        <v>71</v>
      </c>
      <c r="C35" s="69"/>
      <c r="D35" s="70"/>
      <c r="E35" s="71" t="s">
        <v>43</v>
      </c>
      <c r="F35" s="72">
        <v>4000</v>
      </c>
      <c r="G35" s="71">
        <v>1</v>
      </c>
      <c r="H35" s="38">
        <f t="shared" si="6"/>
        <v>4000</v>
      </c>
    </row>
    <row r="36" spans="1:8" ht="16.5" thickBot="1" x14ac:dyDescent="0.3">
      <c r="A36" s="48">
        <v>21</v>
      </c>
      <c r="B36" s="68" t="s">
        <v>72</v>
      </c>
      <c r="C36" s="69"/>
      <c r="D36" s="70"/>
      <c r="E36" s="71" t="s">
        <v>48</v>
      </c>
      <c r="F36" s="72">
        <v>26000</v>
      </c>
      <c r="G36" s="71">
        <v>1</v>
      </c>
      <c r="H36" s="38">
        <f t="shared" si="6"/>
        <v>26000</v>
      </c>
    </row>
    <row r="37" spans="1:8" ht="16.5" thickBot="1" x14ac:dyDescent="0.3">
      <c r="A37" s="48">
        <v>22</v>
      </c>
      <c r="B37" s="68" t="s">
        <v>73</v>
      </c>
      <c r="C37" s="69"/>
      <c r="D37" s="70"/>
      <c r="E37" s="71" t="s">
        <v>48</v>
      </c>
      <c r="F37" s="72">
        <v>39000</v>
      </c>
      <c r="G37" s="71">
        <v>1</v>
      </c>
      <c r="H37" s="38">
        <f t="shared" si="6"/>
        <v>39000</v>
      </c>
    </row>
    <row r="38" spans="1:8" ht="16.5" thickBot="1" x14ac:dyDescent="0.3">
      <c r="A38" s="48">
        <v>23</v>
      </c>
      <c r="B38" s="68" t="s">
        <v>74</v>
      </c>
      <c r="C38" s="69"/>
      <c r="D38" s="70"/>
      <c r="E38" s="71" t="s">
        <v>48</v>
      </c>
      <c r="F38" s="72">
        <v>13000</v>
      </c>
      <c r="G38" s="71">
        <v>3</v>
      </c>
      <c r="H38" s="38">
        <f t="shared" si="6"/>
        <v>39000</v>
      </c>
    </row>
    <row r="39" spans="1:8" ht="16.5" thickBot="1" x14ac:dyDescent="0.3">
      <c r="A39" s="48">
        <v>24</v>
      </c>
      <c r="B39" s="68" t="s">
        <v>75</v>
      </c>
      <c r="C39" s="69"/>
      <c r="D39" s="70"/>
      <c r="E39" s="71" t="s">
        <v>48</v>
      </c>
      <c r="F39" s="72">
        <v>12000</v>
      </c>
      <c r="G39" s="71">
        <v>1</v>
      </c>
      <c r="H39" s="38">
        <f t="shared" si="6"/>
        <v>12000</v>
      </c>
    </row>
    <row r="40" spans="1:8" ht="16.5" thickBot="1" x14ac:dyDescent="0.3">
      <c r="A40" s="48">
        <v>25</v>
      </c>
      <c r="B40" s="68" t="s">
        <v>76</v>
      </c>
      <c r="C40" s="69"/>
      <c r="D40" s="70"/>
      <c r="E40" s="71" t="s">
        <v>48</v>
      </c>
      <c r="F40" s="72">
        <v>13500</v>
      </c>
      <c r="G40" s="71">
        <v>1</v>
      </c>
      <c r="H40" s="38">
        <f t="shared" si="6"/>
        <v>13500</v>
      </c>
    </row>
    <row r="41" spans="1:8" ht="16.5" thickBot="1" x14ac:dyDescent="0.3">
      <c r="A41" s="48">
        <v>26</v>
      </c>
      <c r="B41" s="68" t="s">
        <v>77</v>
      </c>
      <c r="C41" s="69"/>
      <c r="D41" s="70"/>
      <c r="E41" s="71" t="s">
        <v>48</v>
      </c>
      <c r="F41" s="72">
        <v>32000</v>
      </c>
      <c r="G41" s="71">
        <v>1</v>
      </c>
      <c r="H41" s="38">
        <f t="shared" si="6"/>
        <v>32000</v>
      </c>
    </row>
    <row r="42" spans="1:8" ht="16.5" thickBot="1" x14ac:dyDescent="0.3">
      <c r="A42" s="48">
        <v>27</v>
      </c>
      <c r="B42" s="68" t="s">
        <v>78</v>
      </c>
      <c r="C42" s="69"/>
      <c r="D42" s="70"/>
      <c r="E42" s="71" t="s">
        <v>48</v>
      </c>
      <c r="F42" s="72">
        <v>40000</v>
      </c>
      <c r="G42" s="71">
        <v>1</v>
      </c>
      <c r="H42" s="38">
        <f t="shared" si="6"/>
        <v>40000</v>
      </c>
    </row>
    <row r="43" spans="1:8" ht="16.5" thickBot="1" x14ac:dyDescent="0.3">
      <c r="A43" s="48">
        <v>28</v>
      </c>
      <c r="B43" s="68" t="s">
        <v>79</v>
      </c>
      <c r="C43" s="69"/>
      <c r="D43" s="70"/>
      <c r="E43" s="71" t="s">
        <v>48</v>
      </c>
      <c r="F43" s="72">
        <v>138000</v>
      </c>
      <c r="G43" s="71">
        <v>1</v>
      </c>
      <c r="H43" s="38">
        <f t="shared" si="6"/>
        <v>138000</v>
      </c>
    </row>
    <row r="44" spans="1:8" ht="19.5" customHeight="1" thickBot="1" x14ac:dyDescent="0.3">
      <c r="A44" s="81"/>
      <c r="B44" s="82"/>
      <c r="C44" s="82"/>
      <c r="D44" s="82"/>
      <c r="E44" s="81"/>
      <c r="F44" s="83"/>
      <c r="G44" s="81"/>
      <c r="H44" s="84"/>
    </row>
    <row r="45" spans="1:8" ht="19.5" customHeight="1" thickBot="1" x14ac:dyDescent="0.35">
      <c r="A45" s="66" t="s">
        <v>23</v>
      </c>
      <c r="B45" s="67" t="s">
        <v>80</v>
      </c>
      <c r="C45" s="12"/>
      <c r="D45" s="13"/>
      <c r="E45" s="53"/>
      <c r="F45" s="37" t="s">
        <v>44</v>
      </c>
      <c r="G45" s="6"/>
      <c r="H45" s="7"/>
    </row>
    <row r="46" spans="1:8" ht="19.5" customHeight="1" thickBot="1" x14ac:dyDescent="0.3">
      <c r="A46" s="39"/>
      <c r="B46" s="16" t="s">
        <v>81</v>
      </c>
      <c r="C46" s="4"/>
      <c r="D46" s="17"/>
      <c r="E46" s="56" t="s">
        <v>24</v>
      </c>
      <c r="F46" s="57"/>
      <c r="G46" s="44"/>
      <c r="H46" s="54">
        <f>SUM(H16:H43)</f>
        <v>1714740</v>
      </c>
    </row>
    <row r="47" spans="1:8" ht="19.5" customHeight="1" x14ac:dyDescent="0.25">
      <c r="A47" s="24" t="s">
        <v>25</v>
      </c>
      <c r="B47" s="12"/>
      <c r="C47" s="12"/>
      <c r="D47" s="12"/>
      <c r="E47" s="58" t="s">
        <v>29</v>
      </c>
      <c r="F47" s="23"/>
      <c r="G47" s="59">
        <v>0.19</v>
      </c>
      <c r="H47" s="40">
        <f>H46*G47</f>
        <v>325800.59999999998</v>
      </c>
    </row>
    <row r="48" spans="1:8" ht="19.5" customHeight="1" x14ac:dyDescent="0.25">
      <c r="A48" s="14" t="s">
        <v>30</v>
      </c>
      <c r="E48" s="60" t="s">
        <v>26</v>
      </c>
      <c r="G48" s="63">
        <v>2.5000000000000001E-2</v>
      </c>
      <c r="H48" s="55">
        <f>H46*G48</f>
        <v>42868.5</v>
      </c>
    </row>
    <row r="49" spans="1:8" ht="15.75" x14ac:dyDescent="0.25">
      <c r="A49" s="14" t="s">
        <v>51</v>
      </c>
      <c r="E49" s="14"/>
      <c r="F49" s="33"/>
      <c r="G49" s="45"/>
      <c r="H49" s="15"/>
    </row>
    <row r="50" spans="1:8" ht="16.5" thickBot="1" x14ac:dyDescent="0.3">
      <c r="A50" s="14" t="s">
        <v>32</v>
      </c>
      <c r="E50" s="61" t="s">
        <v>27</v>
      </c>
      <c r="F50" s="62"/>
      <c r="G50" s="46"/>
      <c r="H50" s="17"/>
    </row>
    <row r="51" spans="1:8" ht="19.5" thickBot="1" x14ac:dyDescent="0.35">
      <c r="A51" s="16"/>
      <c r="B51" s="4"/>
      <c r="C51" s="4"/>
      <c r="D51" s="17"/>
      <c r="F51" s="3"/>
      <c r="G51" s="34" t="s">
        <v>28</v>
      </c>
      <c r="H51" s="36">
        <f>H46+H47-H48</f>
        <v>1997672.1</v>
      </c>
    </row>
    <row r="52" spans="1:8" ht="16.5" customHeight="1" x14ac:dyDescent="0.25"/>
    <row r="57" spans="1:8" ht="15.75" thickBot="1" x14ac:dyDescent="0.3"/>
    <row r="58" spans="1:8" ht="19.5" thickBot="1" x14ac:dyDescent="0.35">
      <c r="A58" s="25" t="s">
        <v>82</v>
      </c>
      <c r="B58" s="6"/>
      <c r="C58" s="6"/>
      <c r="D58" s="6"/>
      <c r="E58" s="6"/>
      <c r="F58" s="6"/>
      <c r="G58" s="6"/>
      <c r="H58" s="7"/>
    </row>
    <row r="66" spans="1:1" ht="18.75" x14ac:dyDescent="0.3">
      <c r="A66" s="5"/>
    </row>
  </sheetData>
  <hyperlinks>
    <hyperlink ref="C10" r:id="rId1" xr:uid="{7AD1AAA6-738A-47C2-B43A-1E02FDED8111}"/>
  </hyperlinks>
  <printOptions horizontalCentered="1"/>
  <pageMargins left="0.47244094488188981" right="0.31496062992125984" top="0.31496062992125984" bottom="0.39370078740157483" header="0.31496062992125984" footer="0.31496062992125984"/>
  <pageSetup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ACUATANK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2025-03-21T20:41:56Z</cp:lastPrinted>
  <dcterms:created xsi:type="dcterms:W3CDTF">2018-11-15T17:29:02Z</dcterms:created>
  <dcterms:modified xsi:type="dcterms:W3CDTF">2025-03-21T21:54:04Z</dcterms:modified>
</cp:coreProperties>
</file>