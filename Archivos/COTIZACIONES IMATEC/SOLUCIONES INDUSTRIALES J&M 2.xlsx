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8B6FCE6-84FC-43ED-96B8-27F26151D76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OIND Y MTM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<sst xmlns="http://schemas.openxmlformats.org/spreadsheetml/2006/main" count="66" uniqueCount="61">
  <si>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</si>
  <si>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</si>
  <si>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</si>
  <si>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</si>
  <si>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</si>
  <si>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</si>
  <si>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</si>
  <si>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</si>
  <si>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</si>
  <si>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</si>
  <si>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</si>
  <si>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</si>
  <si>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</si>
  <si>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</si>
  <si>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</si>
  <si>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</si>
  <si>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</si>
  <si>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</si>
  <si>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</si>
  <si>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</si>
  <si>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</si>
  <si>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</si>
  <si>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</si>
  <si>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</si>
  <si>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</si>
  <si>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</si>
  <si>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</si>
  <si>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</si>
  <si>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</si>
  <si>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</si>
  <si>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</si>
  <si>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</si>
  <si>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</si>
  <si>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</si>
  <si>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</si>
  <si>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</si>
  <si>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</si>
  <si>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</si>
  <si>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</si>
  <si>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</si>
  <si>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SOLUCIONES INDUSTRIALES Y DE MANTENIMIENTO J&amp;M S.A.S.</t>
  </si>
  <si>
    <t>901 546958</t>
  </si>
  <si>
    <t>CALLE 26 B  No. 32A-28</t>
  </si>
  <si>
    <t>CALI</t>
  </si>
  <si>
    <t>solmtoind@hotmail.com</t>
  </si>
  <si>
    <t>312 6068350</t>
  </si>
  <si>
    <t>LUIS A. BENAVIDES</t>
  </si>
  <si>
    <t>ENTREGA INMEDIATA</t>
  </si>
  <si>
    <t xml:space="preserve">           C O T I Z A C I O N</t>
  </si>
  <si>
    <t>No.  2</t>
  </si>
  <si>
    <t>ACCESORIO</t>
  </si>
  <si>
    <t>VALVULA DE BOLA AC/INOX 316  1 "</t>
  </si>
  <si>
    <t>FILTRO AC/INOX 304 1 "</t>
  </si>
  <si>
    <t>UNIVERSAL AC/INOX 304 1 "</t>
  </si>
  <si>
    <t>BUSHING AC/INOX 304  2 "  X  1 "</t>
  </si>
  <si>
    <t>BUSHING AC/INOX 304  1 1/2 "  X  1 "</t>
  </si>
  <si>
    <t>NIPLE AC/INOX  1 "  X  2 "</t>
  </si>
  <si>
    <t>FABRICACION</t>
  </si>
  <si>
    <t>NIPLE AC/INOX  1 "  X  4 "</t>
  </si>
  <si>
    <t>DOSCIENTOS NOVENTA Y TRES MIL NOVECIENTOS TREIN</t>
  </si>
  <si>
    <t>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</si>
</sst>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lmtoin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4" zoomScaleNormal="100" workbookViewId="0">
      <selection activeCell="L25" sqref="L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41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42</v>
      </c>
      <c r="D9" s="23"/>
      <c r="E9" s="65" t="s">
        <v>43</v>
      </c>
      <c r="F9" s="30" t="s">
        <v>0</v>
      </c>
      <c r="H9" s="28">
        <v>45762</v>
      </c>
    </row>
    <row r="10" spans="1:8" ht="18.75" x14ac:dyDescent="0.3">
      <c r="A10" s="21" t="s">
        <v>13</v>
      </c>
      <c r="C10" s="66" t="s">
        <v>44</v>
      </c>
      <c r="D10" s="61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45771</v>
      </c>
    </row>
    <row r="12" spans="1:8" ht="18.75" x14ac:dyDescent="0.3">
      <c r="A12" s="21" t="s">
        <v>11</v>
      </c>
      <c r="C12" s="67" t="s">
        <v>45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46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51</v>
      </c>
      <c r="C16" s="72"/>
      <c r="D16" s="73"/>
      <c r="E16" s="70" t="s">
        <v>50</v>
      </c>
      <c r="F16" s="74">
        <v>58000</v>
      </c>
      <c r="G16" s="70">
        <v>1</v>
      </c>
      <c r="H16" s="38">
        <f t="shared" ref="H16" si="0">G16*F16</f>
        <v>58000</v>
      </c>
    </row>
    <row r="17" spans="1:8" ht="16.5" thickBot="1" x14ac:dyDescent="0.3">
      <c r="A17" s="70">
        <v>2</v>
      </c>
      <c r="B17" s="71" t="s">
        <v>52</v>
      </c>
      <c r="C17" s="72"/>
      <c r="D17" s="73"/>
      <c r="E17" s="70" t="s">
        <v>50</v>
      </c>
      <c r="F17" s="74">
        <v>60000</v>
      </c>
      <c r="G17" s="70">
        <v>1</v>
      </c>
      <c r="H17" s="38">
        <f t="shared" ref="H17:H22" si="1">G17*F17</f>
        <v>60000</v>
      </c>
    </row>
    <row r="18" spans="1:8" ht="16.5" thickBot="1" x14ac:dyDescent="0.3">
      <c r="A18" s="70">
        <v>3</v>
      </c>
      <c r="B18" s="71" t="s">
        <v>53</v>
      </c>
      <c r="C18" s="72"/>
      <c r="D18" s="73"/>
      <c r="E18" s="70" t="s">
        <v>50</v>
      </c>
      <c r="F18" s="74">
        <v>24000</v>
      </c>
      <c r="G18" s="70">
        <v>1</v>
      </c>
      <c r="H18" s="38">
        <f t="shared" si="1"/>
        <v>24000</v>
      </c>
    </row>
    <row r="19" spans="1:8" ht="16.5" thickBot="1" x14ac:dyDescent="0.3">
      <c r="A19" s="70">
        <v>4</v>
      </c>
      <c r="B19" s="71" t="s">
        <v>54</v>
      </c>
      <c r="C19" s="72"/>
      <c r="D19" s="73"/>
      <c r="E19" s="70" t="s">
        <v>50</v>
      </c>
      <c r="F19" s="74">
        <v>19000</v>
      </c>
      <c r="G19" s="70">
        <v>1</v>
      </c>
      <c r="H19" s="38">
        <f t="shared" si="1"/>
        <v>19000</v>
      </c>
    </row>
    <row r="20" spans="1:8" ht="16.5" thickBot="1" x14ac:dyDescent="0.3">
      <c r="A20" s="70">
        <v>5</v>
      </c>
      <c r="B20" s="71" t="s">
        <v>55</v>
      </c>
      <c r="C20" s="72"/>
      <c r="D20" s="73"/>
      <c r="E20" s="70" t="s">
        <v>50</v>
      </c>
      <c r="F20" s="74">
        <v>14000</v>
      </c>
      <c r="G20" s="70">
        <v>1</v>
      </c>
      <c r="H20" s="38">
        <f t="shared" si="1"/>
        <v>14000</v>
      </c>
    </row>
    <row r="21" spans="1:8" ht="16.5" thickBot="1" x14ac:dyDescent="0.3">
      <c r="A21" s="70">
        <v>6</v>
      </c>
      <c r="B21" s="71" t="s">
        <v>56</v>
      </c>
      <c r="C21" s="72"/>
      <c r="D21" s="73"/>
      <c r="E21" s="70" t="s">
        <v>57</v>
      </c>
      <c r="F21" s="74">
        <v>7000</v>
      </c>
      <c r="G21" s="70">
        <v>4</v>
      </c>
      <c r="H21" s="38">
        <f t="shared" si="1"/>
        <v>28000</v>
      </c>
    </row>
    <row r="22" spans="1:8" ht="16.5" thickBot="1" x14ac:dyDescent="0.3">
      <c r="A22" s="70">
        <v>7</v>
      </c>
      <c r="B22" s="71" t="s">
        <v>58</v>
      </c>
      <c r="C22" s="72"/>
      <c r="D22" s="73"/>
      <c r="E22" s="70" t="s">
        <v>57</v>
      </c>
      <c r="F22" s="74">
        <v>11000</v>
      </c>
      <c r="G22" s="70">
        <v>4</v>
      </c>
      <c r="H22" s="38">
        <f t="shared" si="1"/>
        <v>44000</v>
      </c>
    </row>
    <row r="23" spans="1:8" ht="19.5" customHeight="1" thickBot="1" x14ac:dyDescent="0.3">
      <c r="A23" s="48"/>
      <c r="B23" s="76"/>
      <c r="C23" s="77"/>
      <c r="D23" s="78"/>
      <c r="E23" s="48"/>
      <c r="F23" s="48"/>
      <c r="G23" s="48"/>
    </row>
    <row r="24" spans="1:8" ht="19.5" customHeight="1" thickBot="1" x14ac:dyDescent="0.35">
      <c r="A24" s="75" t="s">
        <v>23</v>
      </c>
      <c r="B24" s="79" t="s">
        <v>59</v>
      </c>
      <c r="C24" s="12"/>
      <c r="D24" s="13"/>
      <c r="E24" s="49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2" t="s">
        <v>24</v>
      </c>
      <c r="F25" s="53"/>
      <c r="G25" s="44"/>
      <c r="H25" s="50">
        <f>SUM(H16:H22)</f>
        <v>247000</v>
      </c>
    </row>
    <row r="26" spans="1:8" ht="19.5" customHeight="1" x14ac:dyDescent="0.25">
      <c r="A26" s="24" t="s">
        <v>25</v>
      </c>
      <c r="B26" s="12"/>
      <c r="C26" s="12"/>
      <c r="D26" s="12"/>
      <c r="E26" s="54" t="s">
        <v>30</v>
      </c>
      <c r="F26" s="23"/>
      <c r="G26" s="55">
        <v>0.19</v>
      </c>
      <c r="H26" s="40">
        <f>H25*G26</f>
        <v>46930</v>
      </c>
    </row>
    <row r="27" spans="1:8" ht="19.5" customHeight="1" x14ac:dyDescent="0.25">
      <c r="A27" s="14" t="s">
        <v>31</v>
      </c>
      <c r="E27" s="56" t="s">
        <v>26</v>
      </c>
      <c r="G27" s="59">
        <v>2.5000000000000001E-2</v>
      </c>
      <c r="H27" s="51"/>
    </row>
    <row r="28" spans="1:8" ht="15.75" x14ac:dyDescent="0.25">
      <c r="A28" s="14" t="s">
        <v>47</v>
      </c>
      <c r="E28" s="14"/>
      <c r="F28" s="33"/>
      <c r="G28" s="45"/>
      <c r="H28" s="15"/>
    </row>
    <row r="29" spans="1:8" ht="16.5" thickBot="1" x14ac:dyDescent="0.3">
      <c r="A29" s="14" t="s">
        <v>34</v>
      </c>
      <c r="E29" s="57" t="s">
        <v>27</v>
      </c>
      <c r="F29" s="58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293930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35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11BF187F-F638-4458-B8E2-E9EB0D8470B5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SOLOIND Y MTMTO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2024-11-19T18:38:00Z</cp:lastPrinted>
  <dcterms:created xsi:type="dcterms:W3CDTF">2018-11-15T17:29:02Z</dcterms:created>
  <dcterms:modified xsi:type="dcterms:W3CDTF">2025-04-15T14:58:01Z</dcterms:modified>
</cp:coreProperties>
</file>