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08F2B822-86D7-4E67-9187-9690FC172C44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COSMO COMPAÑIA 20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2" l="1"/>
  <c r="H19" i="2"/>
  <c r="H18" i="2"/>
  <c r="H17" i="2"/>
  <c r="H16" i="2"/>
  <c r="H23" i="2" l="1"/>
  <c r="H27" i="2" s="1"/>
</calcChain>
</file>

<file path=xl/sharedStrings.xml><?xml version="1.0" encoding="utf-8"?>
<sst xmlns="http://schemas.openxmlformats.org/spreadsheetml/2006/main" count="60" uniqueCount="57">
  <si>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</si>
  <si>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</si>
  <si>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</si>
  <si>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</si>
  <si>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</si>
  <si>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</si>
  <si>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</si>
  <si>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</si>
  <si>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</si>
  <si>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</si>
  <si>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</si>
  <si>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</si>
  <si>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</si>
  <si>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</si>
  <si>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</si>
  <si>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</si>
  <si>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</si>
  <si>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</si>
  <si>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</si>
  <si>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</si>
  <si>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</si>
  <si>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</si>
  <si>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</si>
  <si>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</si>
  <si>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</si>
  <si>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</si>
  <si>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</si>
  <si>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</si>
  <si>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</si>
  <si>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</si>
  <si>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</si>
  <si>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</si>
  <si>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</si>
  <si>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</si>
  <si>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</si>
  <si>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</si>
  <si>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</si>
  <si>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</si>
  <si>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</si>
  <si>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COSMO COMPAÑÍA S.A.S.</t>
  </si>
  <si>
    <t>800 163715</t>
  </si>
  <si>
    <t>CRA 20  No. 125-24 OF 203</t>
  </si>
  <si>
    <t>BOGOTÁ</t>
  </si>
  <si>
    <t>cosmoltda@hotmail.com</t>
  </si>
  <si>
    <t>601 2131834</t>
  </si>
  <si>
    <t>EDINSON CABEZAS</t>
  </si>
  <si>
    <t>ENTREGA INMEDIATA</t>
  </si>
  <si>
    <t>ACCESORIO</t>
  </si>
  <si>
    <t>FORMA DE PAGO : CREDITO A 30 DIAS</t>
  </si>
  <si>
    <t xml:space="preserve">            C O T I Z A C I O N</t>
  </si>
  <si>
    <t>No.  23</t>
  </si>
  <si>
    <t>REDUCCION COPA  A / C  SCH 40  2 1/2 " X 2 " SOLDAR</t>
  </si>
  <si>
    <t>EMPAQUE FLEXITALICO  2 1/2 "  X  150 LB</t>
  </si>
  <si>
    <t>CODO  A / C  SCH 40  3 "  X  90º  SOLDAR</t>
  </si>
  <si>
    <t>BRIDA  A / C SLIP ON  2 1/2 2  X  150 LB</t>
  </si>
  <si>
    <t>DOSCIENTOS VEINTITRES MIL SEISCIENTOS SETENTA Y</t>
  </si>
  <si>
    <t>DOS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</si>
</sst>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1" xfId="0" applyFont="1" applyBorder="1"/>
    <xf numFmtId="0" fontId="0" fillId="0" borderId="6" xfId="0" applyBorder="1"/>
    <xf numFmtId="0" fontId="1" fillId="0" borderId="1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42" fontId="11" fillId="0" borderId="26" xfId="1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0" fillId="0" borderId="3" xfId="0" applyBorder="1"/>
    <xf numFmtId="0" fontId="0" fillId="0" borderId="27" xfId="0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42" fontId="11" fillId="0" borderId="28" xfId="1" applyFont="1" applyBorder="1" applyAlignment="1">
      <alignment horizontal="center"/>
    </xf>
    <xf numFmtId="0" fontId="1" fillId="0" borderId="28" xfId="0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75B977-B5C6-44A3-8A38-9BD108742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971B-7A95-4786-B36D-9D7A265A1D5E}">
  <sheetPr>
    <pageSetUpPr fitToPage="1"/>
  </sheetPr>
  <dimension ref="A1:H42"/>
  <sheetViews>
    <sheetView tabSelected="1" topLeftCell="A14" zoomScale="106" zoomScaleNormal="106" workbookViewId="0">
      <selection activeCell="C30" sqref="C3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35</v>
      </c>
      <c r="B5" s="6"/>
      <c r="C5" s="6"/>
      <c r="D5" s="6"/>
      <c r="E5" s="6"/>
    </row>
    <row r="6" spans="1:8" ht="24.75" customHeight="1" thickBot="1" x14ac:dyDescent="0.45">
      <c r="F6" s="41" t="s">
        <v>49</v>
      </c>
      <c r="G6" s="42"/>
      <c r="H6" s="43"/>
    </row>
    <row r="7" spans="1:8" ht="19.5" thickBot="1" x14ac:dyDescent="0.35">
      <c r="A7" s="20" t="s">
        <v>14</v>
      </c>
      <c r="B7" s="12"/>
      <c r="C7" s="44" t="s">
        <v>39</v>
      </c>
      <c r="D7" s="6"/>
      <c r="E7" s="6"/>
      <c r="F7" s="37"/>
      <c r="G7" s="18"/>
      <c r="H7" s="63" t="s">
        <v>50</v>
      </c>
    </row>
    <row r="8" spans="1:8" ht="19.5" thickBot="1" x14ac:dyDescent="0.35">
      <c r="A8" s="21" t="s">
        <v>8</v>
      </c>
      <c r="C8" s="14" t="s">
        <v>40</v>
      </c>
      <c r="E8" s="15"/>
      <c r="H8" s="15"/>
    </row>
    <row r="9" spans="1:8" ht="18.75" customHeight="1" thickBot="1" x14ac:dyDescent="0.35">
      <c r="A9" s="21" t="s">
        <v>9</v>
      </c>
      <c r="C9" s="14" t="s">
        <v>41</v>
      </c>
      <c r="E9" s="59" t="s">
        <v>42</v>
      </c>
      <c r="F9" s="30" t="s">
        <v>0</v>
      </c>
      <c r="H9" s="28">
        <v>45589</v>
      </c>
    </row>
    <row r="10" spans="1:8" ht="18.75" x14ac:dyDescent="0.3">
      <c r="A10" s="21" t="s">
        <v>13</v>
      </c>
      <c r="C10" s="48" t="s">
        <v>43</v>
      </c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45598</v>
      </c>
    </row>
    <row r="12" spans="1:8" ht="18.75" x14ac:dyDescent="0.3">
      <c r="A12" s="21" t="s">
        <v>11</v>
      </c>
      <c r="C12" s="14" t="s">
        <v>44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45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36</v>
      </c>
      <c r="B15" s="24" t="s">
        <v>22</v>
      </c>
      <c r="C15" s="42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5.75" thickBot="1" x14ac:dyDescent="0.3">
      <c r="A16" s="64">
        <v>1</v>
      </c>
      <c r="B16" s="61" t="s">
        <v>51</v>
      </c>
      <c r="C16" s="12"/>
      <c r="D16" s="13"/>
      <c r="E16" s="65" t="s">
        <v>47</v>
      </c>
      <c r="F16" s="66">
        <v>9000</v>
      </c>
      <c r="G16" s="67">
        <v>2</v>
      </c>
      <c r="H16" s="38">
        <f t="shared" ref="H16" si="0">G16*F16</f>
        <v>18000</v>
      </c>
    </row>
    <row r="17" spans="1:8" ht="15.75" thickBot="1" x14ac:dyDescent="0.3">
      <c r="A17" s="70">
        <v>2</v>
      </c>
      <c r="B17" s="68" t="s">
        <v>52</v>
      </c>
      <c r="C17" s="6"/>
      <c r="D17" s="7"/>
      <c r="E17" s="71" t="s">
        <v>47</v>
      </c>
      <c r="F17" s="72">
        <v>6980</v>
      </c>
      <c r="G17" s="73">
        <v>2</v>
      </c>
      <c r="H17" s="38">
        <f t="shared" ref="H17:H18" si="1">G17*F17</f>
        <v>13960</v>
      </c>
    </row>
    <row r="18" spans="1:8" ht="15.75" thickBot="1" x14ac:dyDescent="0.3">
      <c r="A18" s="64">
        <v>3</v>
      </c>
      <c r="B18" s="61" t="s">
        <v>53</v>
      </c>
      <c r="C18" s="12"/>
      <c r="D18" s="13"/>
      <c r="E18" s="65" t="s">
        <v>47</v>
      </c>
      <c r="F18" s="66">
        <v>19500</v>
      </c>
      <c r="G18" s="67">
        <v>3</v>
      </c>
      <c r="H18" s="38">
        <f t="shared" si="1"/>
        <v>58500</v>
      </c>
    </row>
    <row r="19" spans="1:8" ht="15.75" thickBot="1" x14ac:dyDescent="0.3">
      <c r="A19" s="70">
        <v>4</v>
      </c>
      <c r="B19" s="68" t="s">
        <v>54</v>
      </c>
      <c r="C19" s="6"/>
      <c r="D19" s="7"/>
      <c r="E19" s="71" t="s">
        <v>47</v>
      </c>
      <c r="F19" s="72">
        <v>48750</v>
      </c>
      <c r="G19" s="73">
        <v>2</v>
      </c>
      <c r="H19" s="38">
        <f t="shared" ref="H19" si="2">G19*F19</f>
        <v>97500</v>
      </c>
    </row>
    <row r="20" spans="1:8" ht="15.75" thickBot="1" x14ac:dyDescent="0.3">
      <c r="B20" s="16"/>
      <c r="C20" s="4"/>
      <c r="D20" s="17"/>
      <c r="F20" s="69"/>
      <c r="G20" s="69"/>
    </row>
    <row r="21" spans="1:8" ht="19.5" customHeight="1" thickBot="1" x14ac:dyDescent="0.35">
      <c r="A21" s="62" t="s">
        <v>23</v>
      </c>
      <c r="B21" s="61" t="s">
        <v>55</v>
      </c>
      <c r="C21" s="12"/>
      <c r="D21" s="13"/>
      <c r="E21" s="68"/>
      <c r="F21" s="37" t="s">
        <v>29</v>
      </c>
      <c r="G21" s="6"/>
      <c r="H21" s="7"/>
    </row>
    <row r="22" spans="1:8" ht="19.5" customHeight="1" thickBot="1" x14ac:dyDescent="0.3">
      <c r="A22" s="39"/>
      <c r="B22" s="16" t="s">
        <v>56</v>
      </c>
      <c r="C22" s="4"/>
      <c r="D22" s="17"/>
      <c r="E22" s="52" t="s">
        <v>24</v>
      </c>
      <c r="F22" s="52"/>
      <c r="G22" s="45"/>
      <c r="H22" s="50">
        <f>SUM(H16:H19)</f>
        <v>187960</v>
      </c>
    </row>
    <row r="23" spans="1:8" ht="19.5" customHeight="1" x14ac:dyDescent="0.25">
      <c r="A23" s="24" t="s">
        <v>25</v>
      </c>
      <c r="E23" s="53" t="s">
        <v>30</v>
      </c>
      <c r="F23" s="23"/>
      <c r="G23" s="54">
        <v>0.19</v>
      </c>
      <c r="H23" s="40">
        <f>H22*G23</f>
        <v>35712.400000000001</v>
      </c>
    </row>
    <row r="24" spans="1:8" ht="19.5" customHeight="1" x14ac:dyDescent="0.25">
      <c r="A24" s="14" t="s">
        <v>48</v>
      </c>
      <c r="E24" s="55" t="s">
        <v>26</v>
      </c>
      <c r="G24" s="58">
        <v>2.5000000000000001E-2</v>
      </c>
      <c r="H24" s="51"/>
    </row>
    <row r="25" spans="1:8" ht="15.75" x14ac:dyDescent="0.25">
      <c r="A25" s="14" t="s">
        <v>46</v>
      </c>
      <c r="E25" s="14"/>
      <c r="F25" s="33"/>
      <c r="G25" s="46"/>
      <c r="H25" s="15"/>
    </row>
    <row r="26" spans="1:8" ht="16.5" thickBot="1" x14ac:dyDescent="0.3">
      <c r="A26" s="14" t="s">
        <v>33</v>
      </c>
      <c r="E26" s="56" t="s">
        <v>27</v>
      </c>
      <c r="F26" s="57"/>
      <c r="G26" s="47"/>
      <c r="H26" s="17"/>
    </row>
    <row r="27" spans="1:8" ht="19.5" thickBot="1" x14ac:dyDescent="0.35">
      <c r="A27" s="60"/>
      <c r="B27" s="4"/>
      <c r="C27" s="4"/>
      <c r="D27" s="17"/>
      <c r="F27" s="3"/>
      <c r="G27" s="34" t="s">
        <v>28</v>
      </c>
      <c r="H27" s="36">
        <f>H22+H23-H24</f>
        <v>223672.4</v>
      </c>
    </row>
    <row r="28" spans="1:8" ht="16.5" customHeight="1" x14ac:dyDescent="0.25"/>
    <row r="33" spans="1:8" ht="15.75" thickBot="1" x14ac:dyDescent="0.3"/>
    <row r="34" spans="1:8" ht="19.5" thickBot="1" x14ac:dyDescent="0.35">
      <c r="A34" s="25" t="s">
        <v>34</v>
      </c>
      <c r="B34" s="6"/>
      <c r="C34" s="6"/>
      <c r="D34" s="6"/>
      <c r="E34" s="6"/>
      <c r="F34" s="6"/>
      <c r="G34" s="6"/>
      <c r="H34" s="7"/>
    </row>
    <row r="42" spans="1:8" ht="18.75" x14ac:dyDescent="0.3">
      <c r="A42" s="5"/>
    </row>
  </sheetData>
  <pageMargins left="0.70866141732283472" right="0.70866141732283472" top="0.74803149606299213" bottom="0.74803149606299213" header="0.31496062992125984" footer="0.31496062992125984"/>
  <pageSetup scale="7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COSMO COMPAÑIA 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2024-10-01T14:17:55Z</cp:lastPrinted>
  <dcterms:created xsi:type="dcterms:W3CDTF">2018-11-15T17:29:02Z</dcterms:created>
  <dcterms:modified xsi:type="dcterms:W3CDTF">2024-10-24T21:25:32Z</dcterms:modified>
</cp:coreProperties>
</file>