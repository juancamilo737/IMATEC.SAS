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5B2417F-6B96-4F10-A174-D7794F04611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M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<sst xmlns="http://schemas.openxmlformats.org/spreadsheetml/2006/main" count="53" uniqueCount="53">
  <si>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</si>
  <si>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</si>
  <si>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</si>
  <si>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</si>
  <si>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</si>
  <si>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</si>
  <si>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</si>
  <si>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</si>
  <si>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</si>
  <si>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</si>
  <si>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</si>
  <si>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</si>
  <si>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</si>
  <si>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</si>
  <si>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</si>
  <si>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</si>
  <si>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</si>
  <si>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</si>
  <si>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</si>
  <si>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</si>
  <si>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</si>
  <si>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</si>
  <si>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</si>
  <si>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</si>
  <si>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</si>
  <si>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</si>
  <si>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</si>
  <si>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</si>
  <si>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</si>
  <si>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</si>
  <si>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</si>
  <si>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</si>
  <si>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</si>
  <si>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</si>
  <si>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</si>
  <si>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</si>
  <si>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</si>
  <si>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IMAD S.A.S.</t>
  </si>
  <si>
    <t>805 018755</t>
  </si>
  <si>
    <t>CRA 15  No. 31-33</t>
  </si>
  <si>
    <t>CALI</t>
  </si>
  <si>
    <t>contabilidad2@imad.com.co</t>
  </si>
  <si>
    <t>602 4027773</t>
  </si>
  <si>
    <t>EDINSON CABEZAS</t>
  </si>
  <si>
    <t>L I Q U I D A C I O N</t>
  </si>
  <si>
    <t>No. 13</t>
  </si>
  <si>
    <t>TUBERIA  A / C  SCH 80  3 "  X  6 MTS</t>
  </si>
  <si>
    <t>TUBO</t>
  </si>
  <si>
    <t xml:space="preserve">CINCO MILLONES SEISCIENTOS SETENTA Y SIETE MIL </t>
  </si>
  <si>
    <t>SEISCIENTOS VEINTIOCHO PESOS MDA / CTE</t>
  </si>
  <si>
    <t>ENTREGA INMEDIATA DE 1 TUBO. RESTANTE  A TRES DIAS</t>
  </si>
  <si>
    <t xml:space="preserve">  CALLE  33A  No. 17F - 56                          B/  LA FLORESTA             -   CALI    -                                   CEL.     321 7834969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</si>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</sst>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2@imad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3" sqref="K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65" t="s">
        <v>37</v>
      </c>
      <c r="D7" s="12"/>
      <c r="E7" s="13"/>
      <c r="F7" s="37"/>
      <c r="G7" s="18"/>
      <c r="H7" s="19" t="s">
        <v>45</v>
      </c>
    </row>
    <row r="8" spans="1:8" ht="18.75" x14ac:dyDescent="0.3">
      <c r="A8" s="21" t="s">
        <v>8</v>
      </c>
      <c r="C8" s="67" t="s">
        <v>38</v>
      </c>
      <c r="D8" s="68"/>
      <c r="E8" s="46"/>
      <c r="H8" s="15"/>
    </row>
    <row r="9" spans="1:8" ht="18.75" customHeight="1" x14ac:dyDescent="0.3">
      <c r="A9" s="21" t="s">
        <v>9</v>
      </c>
      <c r="C9" s="69" t="s">
        <v>39</v>
      </c>
      <c r="D9" s="23"/>
      <c r="E9" s="70" t="s">
        <v>40</v>
      </c>
      <c r="F9" s="30" t="s">
        <v>0</v>
      </c>
      <c r="H9" s="28">
        <v>45815</v>
      </c>
    </row>
    <row r="10" spans="1:8" ht="18.75" x14ac:dyDescent="0.3">
      <c r="A10" s="21" t="s">
        <v>13</v>
      </c>
      <c r="C10" s="71" t="s">
        <v>41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42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43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46</v>
      </c>
      <c r="C16" s="77"/>
      <c r="D16" s="78"/>
      <c r="E16" s="75" t="s">
        <v>47</v>
      </c>
      <c r="F16" s="79">
        <v>541500</v>
      </c>
      <c r="G16" s="75">
        <v>9</v>
      </c>
      <c r="H16" s="38">
        <f t="shared" ref="H16" si="0">G16*F16</f>
        <v>4873500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48</v>
      </c>
      <c r="D18" s="15"/>
      <c r="E18" s="54"/>
      <c r="F18" s="37" t="s">
        <v>44</v>
      </c>
      <c r="G18" s="6"/>
      <c r="H18" s="7"/>
    </row>
    <row r="19" spans="1:8" ht="19.5" customHeight="1" thickBot="1" x14ac:dyDescent="0.3">
      <c r="A19" s="39"/>
      <c r="B19" s="16" t="s">
        <v>49</v>
      </c>
      <c r="C19" s="4"/>
      <c r="D19" s="4"/>
      <c r="E19" s="57" t="s">
        <v>24</v>
      </c>
      <c r="F19" s="58"/>
      <c r="G19" s="46"/>
      <c r="H19" s="55">
        <f>SUM(H16:H16)</f>
        <v>4873500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925965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>
        <f>H19*G21</f>
        <v>121837.5</v>
      </c>
    </row>
    <row r="22" spans="1:8" ht="15.75" x14ac:dyDescent="0.25">
      <c r="A22" s="14" t="s">
        <v>50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5677627.5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476046D-6B2D-43C3-8278-9FB3483352E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2025-06-04T22:05:57Z</cp:lastPrinted>
  <dcterms:created xsi:type="dcterms:W3CDTF">2018-11-15T17:29:02Z</dcterms:created>
  <dcterms:modified xsi:type="dcterms:W3CDTF">2025-06-04T22:24:15Z</dcterms:modified>
</cp:coreProperties>
</file>