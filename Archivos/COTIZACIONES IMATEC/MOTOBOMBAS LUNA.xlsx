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A2388B39-FD18-43A9-914E-111F1511587C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,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/>
  <c r="H19" i="1" s="1"/>
  <c r="H20" i="1" l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<sst xmlns="http://schemas.openxmlformats.org/spreadsheetml/2006/main" count="53" uniqueCount="53">
  <si>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</si>
  <si>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</si>
  <si>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</si>
  <si>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</si>
  <si>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</si>
  <si>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</si>
  <si>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</si>
  <si>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</si>
  <si>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</si>
  <si>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</si>
  <si>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</si>
  <si>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</si>
  <si>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</si>
  <si>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</si>
  <si>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</si>
  <si>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</si>
  <si>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</si>
  <si>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</si>
  <si>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</si>
  <si>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</si>
  <si>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</si>
  <si>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</si>
  <si>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</si>
  <si>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</si>
  <si>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</si>
  <si>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</si>
  <si>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</si>
  <si>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</si>
  <si>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</si>
  <si>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</si>
  <si>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</si>
  <si>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</si>
  <si>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</si>
  <si>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</si>
  <si>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</si>
  <si>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</si>
  <si>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</si>
  <si>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</si>
  <si>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</si>
  <si>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</si>
  <si>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</si>
  <si>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MOTOBOMBAS LUNA S.A.S.</t>
  </si>
  <si>
    <t>900 422295</t>
  </si>
  <si>
    <t>CRA 23  No. 51-09</t>
  </si>
  <si>
    <t>CALI</t>
  </si>
  <si>
    <t>LUIS A. BENAVIDES</t>
  </si>
  <si>
    <t>No. 1</t>
  </si>
  <si>
    <t>318 7117153   318 711 7152</t>
  </si>
  <si>
    <t>TUBERIA  PVC  SCH 80  10 "</t>
  </si>
  <si>
    <t>METRO LINEAL</t>
  </si>
  <si>
    <t>ENTREGA EN TRES DIAS A PARTIR DE ORDEN DE COMPRA</t>
  </si>
  <si>
    <t>TRES MILLONES OCHOCIENTOS DIECISEIS MIL QUINIENTOS</t>
  </si>
  <si>
    <t>CUARENTA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</si>
</sst>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16" zoomScaleNormal="100" workbookViewId="0">
      <selection activeCell="E30" sqref="E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38</v>
      </c>
    </row>
    <row r="3" spans="1:8" ht="27" thickBot="1" x14ac:dyDescent="0.45">
      <c r="A3" s="11" t="s">
        <v>39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33</v>
      </c>
      <c r="E4" s="18"/>
      <c r="F4" s="19"/>
      <c r="G4" s="6"/>
      <c r="H4" s="7"/>
    </row>
    <row r="5" spans="1:8" ht="19.5" thickBot="1" x14ac:dyDescent="0.35">
      <c r="A5" s="37" t="s">
        <v>36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3"/>
      <c r="H6" s="44"/>
    </row>
    <row r="7" spans="1:8" ht="19.5" thickBot="1" x14ac:dyDescent="0.35">
      <c r="A7" s="20" t="s">
        <v>14</v>
      </c>
      <c r="B7" s="12"/>
      <c r="C7" s="65" t="s">
        <v>41</v>
      </c>
      <c r="D7" s="12"/>
      <c r="E7" s="13"/>
      <c r="F7" s="37"/>
      <c r="G7" s="18"/>
      <c r="H7" s="19" t="s">
        <v>46</v>
      </c>
    </row>
    <row r="8" spans="1:8" ht="18.75" x14ac:dyDescent="0.3">
      <c r="A8" s="21" t="s">
        <v>8</v>
      </c>
      <c r="C8" s="67" t="s">
        <v>42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43</v>
      </c>
      <c r="D9" s="23"/>
      <c r="E9" s="70" t="s">
        <v>44</v>
      </c>
      <c r="F9" s="30" t="s">
        <v>0</v>
      </c>
      <c r="H9" s="28">
        <v>45630</v>
      </c>
    </row>
    <row r="10" spans="1:8" ht="18.75" x14ac:dyDescent="0.3">
      <c r="A10" s="21" t="s">
        <v>13</v>
      </c>
      <c r="C10" s="71"/>
      <c r="D10" s="66"/>
      <c r="E10" s="47"/>
      <c r="F10" s="30" t="s">
        <v>15</v>
      </c>
      <c r="H10" s="29" t="s">
        <v>32</v>
      </c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>
        <v>45639</v>
      </c>
    </row>
    <row r="12" spans="1:8" ht="18.75" x14ac:dyDescent="0.3">
      <c r="A12" s="21" t="s">
        <v>11</v>
      </c>
      <c r="C12" s="72" t="s">
        <v>47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37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48</v>
      </c>
      <c r="C16" s="77"/>
      <c r="D16" s="78"/>
      <c r="E16" s="75" t="s">
        <v>49</v>
      </c>
      <c r="F16" s="79">
        <v>546000</v>
      </c>
      <c r="G16" s="75">
        <v>6</v>
      </c>
      <c r="H16" s="38">
        <f t="shared" ref="H16" si="0">G16*F16</f>
        <v>3276000</v>
      </c>
    </row>
    <row r="17" spans="1:8" ht="19.5" customHeight="1" thickBot="1" x14ac:dyDescent="0.3">
      <c r="A17" s="51"/>
      <c r="B17" s="45"/>
      <c r="C17" s="42"/>
      <c r="D17" s="52"/>
      <c r="E17" s="53"/>
      <c r="F17" s="53"/>
      <c r="G17" s="53"/>
    </row>
    <row r="18" spans="1:8" ht="19.5" customHeight="1" thickBot="1" x14ac:dyDescent="0.35">
      <c r="A18" s="50" t="s">
        <v>23</v>
      </c>
      <c r="B18" s="14" t="s">
        <v>51</v>
      </c>
      <c r="D18" s="15"/>
      <c r="E18" s="54"/>
      <c r="F18" s="37" t="s">
        <v>29</v>
      </c>
      <c r="G18" s="6"/>
      <c r="H18" s="7"/>
    </row>
    <row r="19" spans="1:8" ht="19.5" customHeight="1" thickBot="1" x14ac:dyDescent="0.3">
      <c r="A19" s="39"/>
      <c r="B19" s="16" t="s">
        <v>52</v>
      </c>
      <c r="C19" s="4"/>
      <c r="D19" s="4"/>
      <c r="E19" s="57" t="s">
        <v>24</v>
      </c>
      <c r="F19" s="58"/>
      <c r="G19" s="46"/>
      <c r="H19" s="55">
        <f>SUM(H16:H18)</f>
        <v>3276000</v>
      </c>
    </row>
    <row r="20" spans="1:8" ht="19.5" customHeight="1" x14ac:dyDescent="0.25">
      <c r="A20" s="24" t="s">
        <v>25</v>
      </c>
      <c r="B20" s="12"/>
      <c r="C20" s="12"/>
      <c r="D20" s="12"/>
      <c r="E20" s="59" t="s">
        <v>30</v>
      </c>
      <c r="F20" s="23"/>
      <c r="G20" s="60">
        <v>0.19</v>
      </c>
      <c r="H20" s="40">
        <f>H19*G20</f>
        <v>622440</v>
      </c>
    </row>
    <row r="21" spans="1:8" ht="19.5" customHeight="1" x14ac:dyDescent="0.25">
      <c r="A21" s="14" t="s">
        <v>31</v>
      </c>
      <c r="E21" s="61" t="s">
        <v>26</v>
      </c>
      <c r="G21" s="64">
        <v>2.5000000000000001E-2</v>
      </c>
      <c r="H21" s="56">
        <f>H19*G21</f>
        <v>81900</v>
      </c>
    </row>
    <row r="22" spans="1:8" ht="15.75" x14ac:dyDescent="0.25">
      <c r="A22" s="14" t="s">
        <v>50</v>
      </c>
      <c r="E22" s="14"/>
      <c r="F22" s="33"/>
      <c r="G22" s="47"/>
      <c r="H22" s="15"/>
    </row>
    <row r="23" spans="1:8" ht="16.5" thickBot="1" x14ac:dyDescent="0.3">
      <c r="A23" s="14" t="s">
        <v>34</v>
      </c>
      <c r="E23" s="62" t="s">
        <v>27</v>
      </c>
      <c r="F23" s="63"/>
      <c r="G23" s="48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3816540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35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,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2024-12-04T22:02:47Z</dcterms:modified>
</cp:coreProperties>
</file>