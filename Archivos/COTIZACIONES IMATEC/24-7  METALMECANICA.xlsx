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0597CFFC-0880-497E-B402-C7A98890131F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24-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<sst xmlns="http://schemas.openxmlformats.org/spreadsheetml/2006/main" count="53" uniqueCount="53">
  <si>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</si>
  <si>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</si>
  <si>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</si>
  <si>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</si>
  <si>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</si>
  <si>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</si>
  <si>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</si>
  <si>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</si>
  <si>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</si>
  <si>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</si>
  <si>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</si>
  <si>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</si>
  <si>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</si>
  <si>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</si>
  <si>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</si>
  <si>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</si>
  <si>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</si>
  <si>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</si>
  <si>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</si>
  <si>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</si>
  <si>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</si>
  <si>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</si>
  <si>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</si>
  <si>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</si>
  <si>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</si>
  <si>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</si>
  <si>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</si>
  <si>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</si>
  <si>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</si>
  <si>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</si>
  <si>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</si>
  <si>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</si>
  <si>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</si>
  <si>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</si>
  <si>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</si>
  <si>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</si>
  <si>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</si>
  <si>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</si>
  <si>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METRO LINEAL</t>
  </si>
  <si>
    <t>EDINSON CABEZAS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</si>
  <si>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</si>
  <si>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</si>
  <si>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24/7 METALMECANICAS SAS</t>
  </si>
  <si>
    <t>901 685224</t>
  </si>
  <si>
    <t>CRA 40 13-45</t>
  </si>
  <si>
    <t>YUMBO</t>
  </si>
  <si>
    <t>247metalmecanicasas@gmail.com</t>
  </si>
  <si>
    <t>301 2332435</t>
  </si>
  <si>
    <t xml:space="preserve">TUBERIA  A/C  SCH 80   2  1/2 " </t>
  </si>
  <si>
    <t>ITEM</t>
  </si>
  <si>
    <t>QUINIENTOS TRES MIL TRESCIENTOS SETENTA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</si>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</sst>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1" xfId="0" applyFont="1" applyBorder="1" applyAlignment="1">
      <alignment horizontal="center"/>
    </xf>
    <xf numFmtId="42" fontId="11" fillId="0" borderId="21" xfId="1" applyFont="1" applyBorder="1" applyAlignment="1">
      <alignment horizontal="center"/>
    </xf>
    <xf numFmtId="42" fontId="1" fillId="0" borderId="10" xfId="1" applyFont="1" applyBorder="1" applyAlignment="1">
      <alignment horizontal="left"/>
    </xf>
    <xf numFmtId="9" fontId="1" fillId="0" borderId="15" xfId="3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47metalmecanic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14" sqref="I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0" t="s">
        <v>41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45456</v>
      </c>
    </row>
    <row r="10" spans="1:8" ht="18.75" x14ac:dyDescent="0.3">
      <c r="A10" s="22" t="s">
        <v>13</v>
      </c>
      <c r="C10" s="46" t="s">
        <v>46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45466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49</v>
      </c>
      <c r="B15" s="49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4">
        <v>1</v>
      </c>
      <c r="B16" s="55" t="s">
        <v>48</v>
      </c>
      <c r="C16" s="56"/>
      <c r="D16" s="57"/>
      <c r="E16" s="58" t="s">
        <v>38</v>
      </c>
      <c r="F16" s="59">
        <v>141000</v>
      </c>
      <c r="G16" s="58">
        <v>3</v>
      </c>
      <c r="H16" s="51">
        <f t="shared" ref="H16" si="0">G16*F16</f>
        <v>423000</v>
      </c>
    </row>
    <row r="17" spans="1:8" ht="19.5" customHeight="1" thickBot="1" x14ac:dyDescent="0.3"/>
    <row r="18" spans="1:8" ht="19.5" customHeight="1" thickBot="1" x14ac:dyDescent="0.35">
      <c r="A18" s="52" t="s">
        <v>25</v>
      </c>
      <c r="B18" s="12" t="s">
        <v>50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53"/>
      <c r="B19" s="17" t="s">
        <v>51</v>
      </c>
      <c r="C19" s="4"/>
      <c r="D19" s="4"/>
      <c r="E19" s="39" t="s">
        <v>26</v>
      </c>
      <c r="F19" s="40"/>
      <c r="G19" s="26"/>
      <c r="H19" s="47">
        <f>SUM(H16:H18)</f>
        <v>423000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24"/>
      <c r="G20" s="61">
        <v>0.19</v>
      </c>
      <c r="H20" s="60">
        <f>H19*G20</f>
        <v>80370</v>
      </c>
    </row>
    <row r="21" spans="1:8" ht="19.5" customHeight="1" x14ac:dyDescent="0.25">
      <c r="A21" s="15" t="s">
        <v>34</v>
      </c>
      <c r="D21" s="16"/>
      <c r="E21" s="40" t="s">
        <v>28</v>
      </c>
      <c r="G21">
        <v>0</v>
      </c>
      <c r="H21" s="42"/>
    </row>
    <row r="22" spans="1:8" ht="15.75" x14ac:dyDescent="0.25">
      <c r="A22" s="15" t="s">
        <v>52</v>
      </c>
      <c r="D22" s="16"/>
      <c r="F22" s="40"/>
      <c r="G22" s="26"/>
      <c r="H22" s="43"/>
    </row>
    <row r="23" spans="1:8" ht="16.5" thickBot="1" x14ac:dyDescent="0.3">
      <c r="A23" s="15" t="s">
        <v>37</v>
      </c>
      <c r="D23" s="16"/>
      <c r="E23" s="40" t="s">
        <v>29</v>
      </c>
      <c r="F23" s="40"/>
      <c r="G23" s="26"/>
      <c r="H23" s="44"/>
    </row>
    <row r="24" spans="1:8" ht="19.5" thickBot="1" x14ac:dyDescent="0.35">
      <c r="A24" s="17"/>
      <c r="B24" s="4"/>
      <c r="C24" s="4"/>
      <c r="D24" s="18"/>
      <c r="F24" s="3"/>
      <c r="G24" s="41" t="s">
        <v>30</v>
      </c>
      <c r="H24" s="48">
        <f>H19+H20</f>
        <v>503370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2024-06-13T18:38:41Z</dcterms:modified>
</cp:coreProperties>
</file>