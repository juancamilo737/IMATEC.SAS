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2136CB0-B27D-43AF-B32C-FBC7C3BA9F6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CUATANK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<sst xmlns="http://schemas.openxmlformats.org/spreadsheetml/2006/main" count="53" uniqueCount="53">
  <si>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</si>
  <si>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</si>
  <si>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</si>
  <si>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</si>
  <si>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</si>
  <si>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</si>
  <si>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</si>
  <si>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</si>
  <si>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</si>
  <si>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</si>
  <si>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</si>
  <si>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</si>
  <si>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</si>
  <si>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</si>
  <si>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</si>
  <si>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</si>
  <si>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</si>
  <si>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</si>
  <si>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</si>
  <si>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</si>
  <si>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</si>
  <si>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</si>
  <si>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</si>
  <si>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</si>
  <si>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</si>
  <si>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</si>
  <si>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</si>
  <si>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</si>
  <si>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</si>
  <si>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</si>
  <si>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</si>
  <si>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</si>
  <si>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</si>
  <si>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</si>
  <si>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</si>
  <si>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</si>
  <si>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</si>
  <si>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</si>
  <si>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</si>
  <si>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</si>
  <si>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</si>
  <si>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ACUATANK </t>
  </si>
  <si>
    <t>900 639330</t>
  </si>
  <si>
    <t>CARRERA 37 No. 12A-22</t>
  </si>
  <si>
    <t>CALI</t>
  </si>
  <si>
    <t>info@acuatank.com</t>
  </si>
  <si>
    <t>313 7502559</t>
  </si>
  <si>
    <t>EDINSON CABEZAS</t>
  </si>
  <si>
    <t xml:space="preserve">              R E M I S I O N </t>
  </si>
  <si>
    <t>VALVULA FLOTADOR EN BRONCE COMPLETA 1 1/2 "</t>
  </si>
  <si>
    <t>ACCESORIO</t>
  </si>
  <si>
    <t xml:space="preserve">TRESCIENTOS UN MIL SEISCIENTOS SESENTA Y CINCO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</si>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</sst>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7" xfId="0" applyBorder="1"/>
    <xf numFmtId="0" fontId="13" fillId="0" borderId="37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H13" sqref="H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70" t="s">
        <v>41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72" t="s">
        <v>42</v>
      </c>
      <c r="D8" s="71"/>
      <c r="E8" s="71"/>
      <c r="H8" s="15"/>
    </row>
    <row r="9" spans="1:8" ht="18.75" customHeight="1" x14ac:dyDescent="0.3">
      <c r="A9" s="21" t="s">
        <v>9</v>
      </c>
      <c r="C9" s="23" t="s">
        <v>43</v>
      </c>
      <c r="D9" s="23"/>
      <c r="E9" s="72" t="s">
        <v>44</v>
      </c>
      <c r="F9" s="30" t="s">
        <v>0</v>
      </c>
      <c r="H9" s="28">
        <v>45593</v>
      </c>
    </row>
    <row r="10" spans="1:8" ht="18.75" x14ac:dyDescent="0.3">
      <c r="A10" s="21" t="s">
        <v>13</v>
      </c>
      <c r="C10" s="73" t="s">
        <v>45</v>
      </c>
      <c r="D10" s="71"/>
      <c r="E10" s="71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71"/>
      <c r="E11" s="71"/>
      <c r="F11" s="30" t="s">
        <v>16</v>
      </c>
      <c r="G11" s="30"/>
      <c r="H11" s="28">
        <v>45602</v>
      </c>
    </row>
    <row r="12" spans="1:8" ht="18.75" x14ac:dyDescent="0.3">
      <c r="A12" s="21" t="s">
        <v>11</v>
      </c>
      <c r="C12" s="72" t="s">
        <v>46</v>
      </c>
      <c r="D12" s="71"/>
      <c r="E12" s="71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47</v>
      </c>
      <c r="D13" s="71"/>
      <c r="E13" s="71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49</v>
      </c>
      <c r="C16" s="54"/>
      <c r="D16" s="55"/>
      <c r="E16" s="51" t="s">
        <v>50</v>
      </c>
      <c r="F16" s="57">
        <v>253500</v>
      </c>
      <c r="G16" s="51">
        <v>1</v>
      </c>
      <c r="H16" s="38">
        <f t="shared" ref="H16" si="0">G16*F16</f>
        <v>253500</v>
      </c>
    </row>
    <row r="17" spans="1:8" ht="19.5" customHeight="1" thickBot="1" x14ac:dyDescent="0.3">
      <c r="A17" s="52"/>
      <c r="B17" s="45"/>
      <c r="C17" s="42"/>
      <c r="D17" s="56"/>
      <c r="E17" s="58"/>
      <c r="F17" s="58"/>
      <c r="G17" s="58"/>
    </row>
    <row r="18" spans="1:8" ht="19.5" customHeight="1" thickBot="1" x14ac:dyDescent="0.35">
      <c r="A18" s="50" t="s">
        <v>23</v>
      </c>
      <c r="B18" s="14" t="s">
        <v>51</v>
      </c>
      <c r="D18" s="15"/>
      <c r="E18" s="5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62" t="s">
        <v>24</v>
      </c>
      <c r="F19" s="63"/>
      <c r="G19" s="46"/>
      <c r="H19" s="60">
        <f>SUM(H16:H18)</f>
        <v>253500</v>
      </c>
    </row>
    <row r="20" spans="1:8" ht="19.5" customHeight="1" x14ac:dyDescent="0.25">
      <c r="A20" s="24" t="s">
        <v>25</v>
      </c>
      <c r="B20" s="12"/>
      <c r="C20" s="12"/>
      <c r="D20" s="12"/>
      <c r="E20" s="64" t="s">
        <v>30</v>
      </c>
      <c r="F20" s="23"/>
      <c r="G20" s="65">
        <v>0.19</v>
      </c>
      <c r="H20" s="40">
        <f>H19*G20</f>
        <v>48165</v>
      </c>
    </row>
    <row r="21" spans="1:8" ht="19.5" customHeight="1" x14ac:dyDescent="0.25">
      <c r="A21" s="14" t="s">
        <v>31</v>
      </c>
      <c r="E21" s="66" t="s">
        <v>26</v>
      </c>
      <c r="G21" s="69">
        <v>2.5000000000000001E-2</v>
      </c>
      <c r="H21" s="61"/>
    </row>
    <row r="22" spans="1:8" ht="15.75" x14ac:dyDescent="0.25">
      <c r="A22" s="14" t="s">
        <v>38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7" t="s">
        <v>27</v>
      </c>
      <c r="F23" s="68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301665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AD1AAA6-738A-47C2-B43A-1E02FDED811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2024-10-28T16:00:32Z</dcterms:modified>
</cp:coreProperties>
</file>