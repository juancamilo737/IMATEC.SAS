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8536F1C4-8F20-4B4E-9990-7180962369E1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ALFERS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42" i="1" s="1"/>
  <c r="H43" i="1" l="1"/>
  <c r="H47" i="1" s="1"/>
</calcChain>
</file>

<file path=xl/sharedStrings.xml><?xml version="1.0" encoding="utf-8"?>
<sst xmlns="http://schemas.openxmlformats.org/spreadsheetml/2006/main" count="58" uniqueCount="57">
  <si>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</si>
  <si>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</si>
  <si>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</si>
  <si>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</si>
  <si>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</si>
  <si>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</si>
  <si>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</si>
  <si>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</si>
  <si>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</si>
  <si>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</si>
  <si>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</si>
  <si>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</si>
  <si>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</si>
  <si>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</si>
  <si>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</si>
  <si>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</si>
  <si>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</si>
  <si>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</si>
  <si>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</si>
  <si>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</si>
  <si>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</si>
  <si>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</si>
  <si>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</si>
  <si>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</si>
  <si>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</si>
  <si>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</si>
  <si>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</si>
  <si>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</si>
  <si>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>UBICACIÓN OBRA COTIZADA :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</si>
  <si>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</si>
  <si>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</si>
  <si>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</si>
  <si>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</si>
  <si>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</si>
  <si>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</si>
  <si>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</si>
  <si>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</si>
  <si>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</si>
  <si>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</si>
  <si>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>LUIS BENAVIDEZ</t>
  </si>
  <si>
    <t>8 DIAS</t>
  </si>
  <si>
    <t>FORMA DE PAGO : CONTADO</t>
  </si>
  <si>
    <t>ENTREGA EN CALI</t>
  </si>
  <si>
    <t>CALFERS SAS</t>
  </si>
  <si>
    <t>800 218959</t>
  </si>
  <si>
    <t>CRA 2 NORTE No. 44NTE-43</t>
  </si>
  <si>
    <t>CALI</t>
  </si>
  <si>
    <t>administración@calfers.com.co</t>
  </si>
  <si>
    <t>JEISON GARCIA</t>
  </si>
  <si>
    <t>301 6260440</t>
  </si>
  <si>
    <t>TUBERIA PARA CALDERA ASTM A192 .125 DE</t>
  </si>
  <si>
    <t xml:space="preserve">2 1/2" </t>
  </si>
  <si>
    <t>METRO</t>
  </si>
  <si>
    <t>ENTREGA : TRES DIAS POSTERIOR A TRANSFERENCIA</t>
  </si>
  <si>
    <t>DIECINUEVE MILLONES NOVECIENTOS SESENTA Y</t>
  </si>
  <si>
    <t>SIETE MIL DIEZ PESOS MDA/CTE</t>
  </si>
  <si>
    <t>Y RETEICA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</si>
</sst>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haroni"/>
      <charset val="177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7" xfId="0" applyBorder="1"/>
    <xf numFmtId="0" fontId="0" fillId="0" borderId="21" xfId="0" applyBorder="1"/>
    <xf numFmtId="0" fontId="0" fillId="0" borderId="20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2" xfId="0" applyBorder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42" fontId="13" fillId="0" borderId="1" xfId="1" applyFont="1" applyBorder="1" applyAlignment="1">
      <alignment horizontal="center"/>
    </xf>
    <xf numFmtId="0" fontId="0" fillId="0" borderId="15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0" xfId="0" applyFont="1" applyBorder="1"/>
    <xf numFmtId="0" fontId="4" fillId="0" borderId="14" xfId="0" applyFont="1" applyBorder="1"/>
    <xf numFmtId="0" fontId="5" fillId="0" borderId="24" xfId="0" applyFont="1" applyBorder="1"/>
    <xf numFmtId="9" fontId="1" fillId="0" borderId="20" xfId="0" applyNumberFormat="1" applyFont="1" applyBorder="1"/>
    <xf numFmtId="42" fontId="1" fillId="0" borderId="23" xfId="0" applyNumberFormat="1" applyFont="1" applyBorder="1"/>
    <xf numFmtId="42" fontId="1" fillId="0" borderId="25" xfId="1" applyFont="1" applyBorder="1"/>
    <xf numFmtId="42" fontId="1" fillId="0" borderId="25" xfId="0" applyNumberFormat="1" applyFont="1" applyBorder="1"/>
    <xf numFmtId="0" fontId="0" fillId="0" borderId="25" xfId="0" applyBorder="1"/>
    <xf numFmtId="0" fontId="0" fillId="0" borderId="24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2" xfId="0" applyFont="1" applyBorder="1"/>
    <xf numFmtId="0" fontId="12" fillId="0" borderId="3" xfId="0" applyFont="1" applyBorder="1"/>
    <xf numFmtId="0" fontId="14" fillId="0" borderId="0" xfId="0" applyFont="1" applyAlignment="1">
      <alignment horizontal="center"/>
    </xf>
    <xf numFmtId="0" fontId="15" fillId="0" borderId="20" xfId="2" applyBorder="1"/>
    <xf numFmtId="0" fontId="8" fillId="0" borderId="22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9" fontId="1" fillId="0" borderId="0" xfId="3" applyFont="1"/>
    <xf numFmtId="0" fontId="4" fillId="0" borderId="3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&#243;n@calfer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34" zoomScaleNormal="100" workbookViewId="0">
      <selection activeCell="F47" sqref="F4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4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70" t="s">
        <v>37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45405</v>
      </c>
    </row>
    <row r="10" spans="1:8" ht="18.75" x14ac:dyDescent="0.3">
      <c r="A10" s="22" t="s">
        <v>14</v>
      </c>
      <c r="C10" s="71" t="s">
        <v>47</v>
      </c>
      <c r="D10" s="27"/>
      <c r="E10" s="27"/>
      <c r="F10" s="33" t="s">
        <v>16</v>
      </c>
      <c r="H10" s="35" t="s">
        <v>40</v>
      </c>
    </row>
    <row r="11" spans="1:8" ht="18.75" x14ac:dyDescent="0.3">
      <c r="A11" s="22" t="s">
        <v>11</v>
      </c>
      <c r="C11" s="71" t="s">
        <v>48</v>
      </c>
      <c r="D11" s="27"/>
      <c r="E11" s="27"/>
      <c r="F11" s="33" t="s">
        <v>17</v>
      </c>
      <c r="G11" s="36"/>
      <c r="H11" s="34">
        <v>45414</v>
      </c>
    </row>
    <row r="12" spans="1:8" ht="18.75" x14ac:dyDescent="0.3">
      <c r="A12" s="22" t="s">
        <v>12</v>
      </c>
      <c r="C12" s="26" t="s">
        <v>49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39</v>
      </c>
      <c r="D13" s="27"/>
      <c r="E13" s="27"/>
      <c r="F13" s="17"/>
      <c r="G13" s="4"/>
      <c r="H13" s="18"/>
    </row>
    <row r="15" spans="1:8" ht="15.75" thickBot="1" x14ac:dyDescent="0.3"/>
    <row r="16" spans="1:8" ht="16.5" thickBot="1" x14ac:dyDescent="0.3">
      <c r="A16" s="69" t="s">
        <v>28</v>
      </c>
      <c r="B16" s="7"/>
      <c r="C16" t="s">
        <v>46</v>
      </c>
    </row>
    <row r="17" spans="1:10" ht="15.75" thickBot="1" x14ac:dyDescent="0.3"/>
    <row r="18" spans="1:10" ht="15.75" thickBot="1" x14ac:dyDescent="0.3">
      <c r="A18" s="38" t="s">
        <v>22</v>
      </c>
      <c r="B18" s="28" t="s">
        <v>27</v>
      </c>
      <c r="C18" s="42"/>
      <c r="D18" s="13"/>
      <c r="E18" s="63" t="s">
        <v>23</v>
      </c>
      <c r="F18" s="64" t="s">
        <v>25</v>
      </c>
      <c r="G18" s="64" t="s">
        <v>24</v>
      </c>
      <c r="H18" s="65" t="s">
        <v>26</v>
      </c>
    </row>
    <row r="19" spans="1:10" ht="16.5" thickBot="1" x14ac:dyDescent="0.3">
      <c r="B19" s="43" t="s">
        <v>50</v>
      </c>
      <c r="C19" s="44"/>
      <c r="D19" s="44"/>
      <c r="E19" s="66" t="s">
        <v>52</v>
      </c>
      <c r="F19" s="50">
        <v>70000</v>
      </c>
      <c r="G19" s="39">
        <v>239.7</v>
      </c>
      <c r="H19" s="67">
        <f>G19*F19</f>
        <v>16779000</v>
      </c>
    </row>
    <row r="20" spans="1:10" ht="15.75" x14ac:dyDescent="0.25">
      <c r="B20" s="45" t="s">
        <v>51</v>
      </c>
      <c r="C20" s="46"/>
      <c r="D20" s="46"/>
      <c r="E20" s="51"/>
      <c r="F20" s="40"/>
      <c r="H20" s="68"/>
      <c r="I20" s="40"/>
      <c r="J20" s="40"/>
    </row>
    <row r="21" spans="1:10" ht="15.75" x14ac:dyDescent="0.25">
      <c r="B21" s="45"/>
      <c r="C21" s="46"/>
      <c r="D21" s="72"/>
      <c r="H21" s="41"/>
      <c r="I21" s="40"/>
      <c r="J21" s="40"/>
    </row>
    <row r="22" spans="1:10" ht="15.75" x14ac:dyDescent="0.25">
      <c r="B22" s="45"/>
      <c r="C22" s="46"/>
      <c r="D22" s="72"/>
      <c r="H22" s="41"/>
      <c r="I22" s="40"/>
      <c r="J22" s="40"/>
    </row>
    <row r="23" spans="1:10" ht="15.75" x14ac:dyDescent="0.25">
      <c r="B23" s="45"/>
      <c r="C23" s="46"/>
      <c r="D23" s="72"/>
      <c r="H23" s="41"/>
      <c r="I23" s="40"/>
      <c r="J23" s="40"/>
    </row>
    <row r="24" spans="1:10" ht="15.75" x14ac:dyDescent="0.25">
      <c r="B24" s="45"/>
      <c r="C24" s="46"/>
      <c r="D24" s="72"/>
      <c r="H24" s="41"/>
      <c r="I24" s="40"/>
      <c r="J24" s="40"/>
    </row>
    <row r="25" spans="1:10" ht="15.75" x14ac:dyDescent="0.25">
      <c r="B25" s="45"/>
      <c r="C25" s="46"/>
      <c r="D25" s="72"/>
      <c r="H25" s="41"/>
      <c r="I25" s="40"/>
      <c r="J25" s="40"/>
    </row>
    <row r="26" spans="1:10" ht="15.75" x14ac:dyDescent="0.25">
      <c r="B26" s="45"/>
      <c r="C26" s="46"/>
      <c r="D26" s="46"/>
      <c r="E26" s="51"/>
      <c r="F26" s="40"/>
      <c r="H26" s="68"/>
      <c r="I26" s="40"/>
      <c r="J26" s="40"/>
    </row>
    <row r="27" spans="1:10" ht="19.5" customHeight="1" x14ac:dyDescent="0.25">
      <c r="B27" s="45"/>
      <c r="C27" s="46"/>
      <c r="D27" s="46"/>
      <c r="E27" s="51"/>
      <c r="F27" s="40"/>
      <c r="H27" s="68"/>
      <c r="I27" s="40"/>
      <c r="J27" s="40"/>
    </row>
    <row r="28" spans="1:10" ht="19.5" customHeight="1" x14ac:dyDescent="0.25">
      <c r="B28" s="45"/>
      <c r="C28" s="46"/>
      <c r="D28" s="46"/>
      <c r="E28" s="51"/>
      <c r="F28" s="40"/>
      <c r="H28" s="68"/>
      <c r="I28" s="40"/>
      <c r="J28" s="40"/>
    </row>
    <row r="29" spans="1:10" ht="19.5" customHeight="1" x14ac:dyDescent="0.25">
      <c r="B29" s="45"/>
      <c r="C29" s="46"/>
      <c r="D29" s="46"/>
      <c r="E29" s="51"/>
      <c r="F29" s="40"/>
      <c r="H29" s="68"/>
      <c r="I29" s="40"/>
      <c r="J29" s="40"/>
    </row>
    <row r="30" spans="1:10" ht="19.5" customHeight="1" x14ac:dyDescent="0.25">
      <c r="B30" s="45"/>
      <c r="C30" s="46"/>
      <c r="D30" s="46"/>
      <c r="E30" s="51"/>
      <c r="F30" s="40"/>
      <c r="H30" s="68"/>
      <c r="I30" s="40"/>
      <c r="J30" s="40"/>
    </row>
    <row r="31" spans="1:10" ht="19.5" customHeight="1" x14ac:dyDescent="0.25">
      <c r="B31" s="45"/>
      <c r="C31" s="46"/>
      <c r="D31" s="46"/>
      <c r="E31" s="51"/>
      <c r="F31" s="40"/>
      <c r="H31" s="68"/>
      <c r="I31" s="40"/>
      <c r="J31" s="40"/>
    </row>
    <row r="32" spans="1:10" ht="19.5" customHeight="1" x14ac:dyDescent="0.25">
      <c r="B32" s="45"/>
      <c r="C32" s="46"/>
      <c r="D32" s="46"/>
      <c r="E32" s="51"/>
      <c r="F32" s="40"/>
      <c r="H32" s="68"/>
      <c r="I32" s="40"/>
      <c r="J32" s="40"/>
    </row>
    <row r="33" spans="1:10" ht="19.5" customHeight="1" x14ac:dyDescent="0.25">
      <c r="B33" s="45"/>
      <c r="C33" s="46"/>
      <c r="D33" s="46"/>
      <c r="E33" s="51"/>
      <c r="H33" s="68"/>
      <c r="I33" s="40"/>
      <c r="J33" s="40"/>
    </row>
    <row r="34" spans="1:10" ht="19.5" customHeight="1" x14ac:dyDescent="0.25">
      <c r="B34" s="45"/>
      <c r="C34" s="46"/>
      <c r="D34" s="46"/>
      <c r="E34" s="51"/>
      <c r="H34" s="41"/>
    </row>
    <row r="35" spans="1:10" ht="19.5" customHeight="1" x14ac:dyDescent="0.25">
      <c r="B35" s="45"/>
      <c r="C35" s="46"/>
      <c r="D35" s="46"/>
      <c r="E35" s="51"/>
      <c r="H35" s="41"/>
    </row>
    <row r="36" spans="1:10" ht="19.5" customHeight="1" x14ac:dyDescent="0.25">
      <c r="B36" s="45"/>
      <c r="E36" s="51"/>
      <c r="H36" s="41"/>
    </row>
    <row r="37" spans="1:10" ht="19.5" customHeight="1" x14ac:dyDescent="0.25">
      <c r="B37" s="45"/>
      <c r="E37" s="51"/>
      <c r="H37" s="41"/>
    </row>
    <row r="38" spans="1:10" ht="19.5" customHeight="1" x14ac:dyDescent="0.25">
      <c r="B38" s="45"/>
      <c r="E38" s="51"/>
      <c r="H38" s="41"/>
    </row>
    <row r="39" spans="1:10" ht="19.5" customHeight="1" x14ac:dyDescent="0.25">
      <c r="B39" s="47"/>
      <c r="C39" s="48"/>
      <c r="D39" s="48"/>
      <c r="E39" s="24"/>
      <c r="F39" s="48"/>
      <c r="G39" s="48"/>
      <c r="H39" s="49"/>
    </row>
    <row r="40" spans="1:10" ht="19.5" customHeight="1" thickBot="1" x14ac:dyDescent="0.3"/>
    <row r="41" spans="1:10" ht="19.5" customHeight="1" thickBot="1" x14ac:dyDescent="0.35">
      <c r="A41" s="73" t="s">
        <v>29</v>
      </c>
      <c r="B41" s="12" t="s">
        <v>54</v>
      </c>
      <c r="C41" s="13"/>
      <c r="D41" s="14"/>
      <c r="E41" s="13"/>
      <c r="F41" s="53" t="s">
        <v>35</v>
      </c>
      <c r="G41" s="13"/>
      <c r="H41" s="7"/>
    </row>
    <row r="42" spans="1:10" ht="19.5" customHeight="1" thickBot="1" x14ac:dyDescent="0.3">
      <c r="A42" s="74"/>
      <c r="B42" s="17" t="s">
        <v>55</v>
      </c>
      <c r="C42" s="4"/>
      <c r="D42" s="4"/>
      <c r="E42" s="54" t="s">
        <v>30</v>
      </c>
      <c r="F42" s="55"/>
      <c r="G42" s="27"/>
      <c r="H42" s="58">
        <f>H19+H21+H23+H25</f>
        <v>16779000</v>
      </c>
    </row>
    <row r="43" spans="1:10" ht="19.5" customHeight="1" x14ac:dyDescent="0.25">
      <c r="A43" s="28" t="s">
        <v>31</v>
      </c>
      <c r="B43" s="13"/>
      <c r="C43" s="13"/>
      <c r="D43" s="14"/>
      <c r="E43" s="3" t="s">
        <v>38</v>
      </c>
      <c r="F43" s="76"/>
      <c r="G43" s="57">
        <v>0.19</v>
      </c>
      <c r="H43" s="59">
        <f>H42*G43</f>
        <v>3188010</v>
      </c>
    </row>
    <row r="44" spans="1:10" ht="15.75" x14ac:dyDescent="0.25">
      <c r="A44" s="15" t="s">
        <v>41</v>
      </c>
      <c r="D44" s="16"/>
      <c r="E44" s="55" t="s">
        <v>32</v>
      </c>
      <c r="F44" s="3" t="s">
        <v>56</v>
      </c>
      <c r="G44" s="75">
        <v>0</v>
      </c>
      <c r="H44" s="60"/>
    </row>
    <row r="45" spans="1:10" ht="15.75" x14ac:dyDescent="0.25">
      <c r="A45" s="15" t="s">
        <v>53</v>
      </c>
      <c r="D45" s="16"/>
      <c r="F45" s="55"/>
      <c r="G45" s="27"/>
      <c r="H45" s="61"/>
    </row>
    <row r="46" spans="1:10" ht="16.5" thickBot="1" x14ac:dyDescent="0.3">
      <c r="A46" s="15" t="s">
        <v>42</v>
      </c>
      <c r="D46" s="16"/>
      <c r="E46" s="55" t="s">
        <v>33</v>
      </c>
      <c r="F46" s="55"/>
      <c r="G46" s="27"/>
      <c r="H46" s="62"/>
    </row>
    <row r="47" spans="1:10" ht="16.5" customHeight="1" thickBot="1" x14ac:dyDescent="0.35">
      <c r="A47" s="17"/>
      <c r="B47" s="4"/>
      <c r="C47" s="4"/>
      <c r="D47" s="18"/>
      <c r="F47" s="3"/>
      <c r="G47" s="56" t="s">
        <v>34</v>
      </c>
      <c r="H47" s="52">
        <f>H42+H43</f>
        <v>19967010</v>
      </c>
    </row>
    <row r="49" spans="1:8" x14ac:dyDescent="0.25">
      <c r="A49" t="s">
        <v>1</v>
      </c>
    </row>
    <row r="51" spans="1:8" ht="15.75" thickBot="1" x14ac:dyDescent="0.3"/>
    <row r="52" spans="1:8" ht="19.5" thickBot="1" x14ac:dyDescent="0.35">
      <c r="A52" s="29" t="s">
        <v>36</v>
      </c>
      <c r="B52" s="6"/>
      <c r="C52" s="6"/>
      <c r="D52" s="6"/>
      <c r="E52" s="6"/>
      <c r="F52" s="6"/>
      <c r="G52" s="6"/>
      <c r="H52" s="7"/>
    </row>
    <row r="61" spans="1:8" ht="18.75" x14ac:dyDescent="0.3">
      <c r="A61" s="5"/>
    </row>
  </sheetData>
  <mergeCells count="1">
    <mergeCell ref="A41:A4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CALFERS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2024-04-23T13:14:35Z</dcterms:modified>
</cp:coreProperties>
</file>