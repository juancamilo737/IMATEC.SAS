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6D9DB42-3ACD-4403-A7A5-82E713A86CC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M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1" i="1" l="1"/>
  <c r="H39" i="1"/>
  <c r="H36" i="1"/>
  <c r="H18" i="1"/>
  <c r="H19" i="1"/>
  <c r="H33" i="1" l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7" i="1"/>
  <c r="H16" i="1"/>
  <c r="H38" i="1" l="1"/>
  <c r="H37" i="1"/>
</calcChain>
</file>

<file path=xl/sharedStrings.xml><?xml version="1.0" encoding="utf-8"?>
<sst xmlns="http://schemas.openxmlformats.org/spreadsheetml/2006/main" count="89" uniqueCount="74">
  <si>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</si>
  <si>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</si>
  <si>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</si>
  <si>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</si>
  <si>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</si>
  <si>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</si>
  <si>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</si>
  <si>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</si>
  <si>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</si>
  <si>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</si>
  <si>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</si>
  <si>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</si>
  <si>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</si>
  <si>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</si>
  <si>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</si>
  <si>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</si>
  <si>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</si>
  <si>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</si>
  <si>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</si>
  <si>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</si>
  <si>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</si>
  <si>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</si>
  <si>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</si>
  <si>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</si>
  <si>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</si>
  <si>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</si>
  <si>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</si>
  <si>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</si>
  <si>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</si>
  <si>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</si>
  <si>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</si>
  <si>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</si>
  <si>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</si>
  <si>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</si>
  <si>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</si>
  <si>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</si>
  <si>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</si>
  <si>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IMAD S.A.S.</t>
  </si>
  <si>
    <t>805 018755</t>
  </si>
  <si>
    <t>CRA 15  No. 31-33</t>
  </si>
  <si>
    <t>CALI</t>
  </si>
  <si>
    <t>contabilidad2@imad.com.co</t>
  </si>
  <si>
    <t>602 4027773</t>
  </si>
  <si>
    <t>EDINSON CABEZAS</t>
  </si>
  <si>
    <t>L I Q U I D A C I O N</t>
  </si>
  <si>
    <t>TUBO</t>
  </si>
  <si>
    <t xml:space="preserve">  CALLE  33A  No. 17F - 56                          B/  LA FLORESTA             -   CALI    -                                   CEL.     321 7834969</t>
  </si>
  <si>
    <t>No. 14</t>
  </si>
  <si>
    <t>10 DIAS</t>
  </si>
  <si>
    <t>BRIDA  AC/INOX 304 SLIP ON 1 "  X  150  LBS</t>
  </si>
  <si>
    <t>ACCESORIO</t>
  </si>
  <si>
    <t>BRIDA AC/INOX 304 CIEGA 1 "  X  150 LBS</t>
  </si>
  <si>
    <t>CODO AC/INOX  304 SCH 40 2 "  X  90º  P / S</t>
  </si>
  <si>
    <t>NIPLE  AC/INOX 304 1 "  X  8  CMTS  1 ROSCA</t>
  </si>
  <si>
    <t>FABRICACION</t>
  </si>
  <si>
    <t>RED COPA  AC/INOX 304  SCH 40  2 "  X  1 "  P / S</t>
  </si>
  <si>
    <t>TEE AC/INOX 304  SCH 40 2 "  P / S</t>
  </si>
  <si>
    <t>RED COPA AC/INOX 304 SCH 40  1 "  X  3/4 "</t>
  </si>
  <si>
    <t>NIPLE AC/INOX 304 3/4 "  X  4 " 1 ROSCA</t>
  </si>
  <si>
    <t>VALVULA DE BOLA AC/INOX 304  3/4 " X 1000 ROSC</t>
  </si>
  <si>
    <t>BRIDA AC/INOX 304 CIEGA 8 "  X  150 LBS</t>
  </si>
  <si>
    <t>UNION AC/INOX 304 3/4 "  X  150 LBS</t>
  </si>
  <si>
    <t>VALVULA DE BOLA  AC/INOX 304  2 "  X  1000 LBS</t>
  </si>
  <si>
    <t>UNION AC/INOX 304  1/2 "  X  150 LBS ROSCADA</t>
  </si>
  <si>
    <t>TUBERIA  AC/INOX 304  SCH 40  1 "  X 5,80 MTS</t>
  </si>
  <si>
    <t>TUBERIA  AC/INOX 304  SCH 40  2 "  X 6,0 MTS</t>
  </si>
  <si>
    <t>ENTREGA EN DOS DIAS A PARTIR DE ORDEN DE COMPRA</t>
  </si>
  <si>
    <t xml:space="preserve">           C O T I Z A C I O N</t>
  </si>
  <si>
    <t>CODO AC/INOX  304 SCH 40 1 "  X  90º  P / S</t>
  </si>
  <si>
    <t>BRIDA  AC/INOX 304 SLIP ON 2 "  X  150  LBS</t>
  </si>
  <si>
    <t>RED COPA  AC/INOX  SCH 40 1 1/2 "  X  1 "</t>
  </si>
  <si>
    <t xml:space="preserve">   RETEICA</t>
  </si>
  <si>
    <t>ONCE MILLONES SEISCIENTOS SESENTA Y NUEVE MIL</t>
  </si>
  <si>
    <t>CIENTO SETENTA Y DOS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</si>
</sst>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25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2@imad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6"/>
  <sheetViews>
    <sheetView tabSelected="1" topLeftCell="A11" zoomScaleNormal="100" workbookViewId="0">
      <selection activeCell="L31" sqref="L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67</v>
      </c>
      <c r="G6" s="43"/>
      <c r="H6" s="44"/>
    </row>
    <row r="7" spans="1:8" ht="19.5" thickBot="1" x14ac:dyDescent="0.35">
      <c r="A7" s="20" t="s">
        <v>14</v>
      </c>
      <c r="B7" s="12"/>
      <c r="C7" s="64" t="s">
        <v>37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6" t="s">
        <v>38</v>
      </c>
      <c r="D8" s="67"/>
      <c r="E8" s="46"/>
      <c r="H8" s="15"/>
    </row>
    <row r="9" spans="1:8" ht="18.75" customHeight="1" x14ac:dyDescent="0.3">
      <c r="A9" s="21" t="s">
        <v>9</v>
      </c>
      <c r="C9" s="68" t="s">
        <v>39</v>
      </c>
      <c r="D9" s="23"/>
      <c r="E9" s="69" t="s">
        <v>40</v>
      </c>
      <c r="F9" s="30" t="s">
        <v>0</v>
      </c>
      <c r="H9" s="28">
        <v>45849</v>
      </c>
    </row>
    <row r="10" spans="1:8" ht="18.75" x14ac:dyDescent="0.3">
      <c r="A10" s="21" t="s">
        <v>13</v>
      </c>
      <c r="C10" s="70" t="s">
        <v>41</v>
      </c>
      <c r="D10" s="65"/>
      <c r="E10" s="47"/>
      <c r="F10" s="30" t="s">
        <v>15</v>
      </c>
      <c r="H10" s="29" t="s">
        <v>48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45858</v>
      </c>
    </row>
    <row r="12" spans="1:8" ht="18.75" x14ac:dyDescent="0.3">
      <c r="A12" s="21" t="s">
        <v>11</v>
      </c>
      <c r="C12" s="71" t="s">
        <v>42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43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8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5.75" customHeight="1" thickBot="1" x14ac:dyDescent="0.3">
      <c r="A16" s="79">
        <v>1</v>
      </c>
      <c r="B16" s="80" t="s">
        <v>49</v>
      </c>
      <c r="C16" s="81"/>
      <c r="D16" s="82"/>
      <c r="E16" s="79" t="s">
        <v>50</v>
      </c>
      <c r="F16" s="83">
        <v>28500</v>
      </c>
      <c r="G16" s="79">
        <v>50</v>
      </c>
      <c r="H16" s="38">
        <f t="shared" ref="H16" si="0">G16*F16</f>
        <v>1425000</v>
      </c>
    </row>
    <row r="17" spans="1:8" ht="15.75" customHeight="1" thickBot="1" x14ac:dyDescent="0.3">
      <c r="A17" s="74">
        <v>2</v>
      </c>
      <c r="B17" s="75" t="s">
        <v>51</v>
      </c>
      <c r="C17" s="76"/>
      <c r="D17" s="77"/>
      <c r="E17" s="74" t="s">
        <v>50</v>
      </c>
      <c r="F17" s="78">
        <v>45500</v>
      </c>
      <c r="G17" s="74">
        <v>10</v>
      </c>
      <c r="H17" s="38">
        <f t="shared" ref="H17:H33" si="1">G17*F17</f>
        <v>455000</v>
      </c>
    </row>
    <row r="18" spans="1:8" ht="15.75" customHeight="1" thickBot="1" x14ac:dyDescent="0.3">
      <c r="A18" s="79">
        <v>3</v>
      </c>
      <c r="B18" s="80" t="s">
        <v>69</v>
      </c>
      <c r="C18" s="81"/>
      <c r="D18" s="82"/>
      <c r="E18" s="79" t="s">
        <v>50</v>
      </c>
      <c r="F18" s="83">
        <v>65100</v>
      </c>
      <c r="G18" s="79">
        <v>26</v>
      </c>
      <c r="H18" s="38">
        <f t="shared" si="1"/>
        <v>1692600</v>
      </c>
    </row>
    <row r="19" spans="1:8" ht="15.75" customHeight="1" thickBot="1" x14ac:dyDescent="0.3">
      <c r="A19" s="74">
        <v>4</v>
      </c>
      <c r="B19" s="75" t="s">
        <v>68</v>
      </c>
      <c r="C19" s="76"/>
      <c r="D19" s="77"/>
      <c r="E19" s="74" t="s">
        <v>50</v>
      </c>
      <c r="F19" s="78">
        <v>10260</v>
      </c>
      <c r="G19" s="74">
        <v>20</v>
      </c>
      <c r="H19" s="38">
        <f t="shared" ref="H19" si="2">G19*F19</f>
        <v>205200</v>
      </c>
    </row>
    <row r="20" spans="1:8" ht="15.75" customHeight="1" thickBot="1" x14ac:dyDescent="0.3">
      <c r="A20" s="79">
        <v>5</v>
      </c>
      <c r="B20" s="75" t="s">
        <v>52</v>
      </c>
      <c r="C20" s="76"/>
      <c r="D20" s="77"/>
      <c r="E20" s="74" t="s">
        <v>50</v>
      </c>
      <c r="F20" s="78">
        <v>27000</v>
      </c>
      <c r="G20" s="74">
        <v>34</v>
      </c>
      <c r="H20" s="38">
        <f t="shared" si="1"/>
        <v>918000</v>
      </c>
    </row>
    <row r="21" spans="1:8" ht="15.75" customHeight="1" thickBot="1" x14ac:dyDescent="0.3">
      <c r="A21" s="74">
        <v>6</v>
      </c>
      <c r="B21" s="75" t="s">
        <v>53</v>
      </c>
      <c r="C21" s="76"/>
      <c r="D21" s="77"/>
      <c r="E21" s="74" t="s">
        <v>54</v>
      </c>
      <c r="F21" s="78">
        <v>15400</v>
      </c>
      <c r="G21" s="74">
        <v>20</v>
      </c>
      <c r="H21" s="38">
        <f t="shared" si="1"/>
        <v>308000</v>
      </c>
    </row>
    <row r="22" spans="1:8" ht="15.75" customHeight="1" thickBot="1" x14ac:dyDescent="0.3">
      <c r="A22" s="79">
        <v>7</v>
      </c>
      <c r="B22" s="75" t="s">
        <v>55</v>
      </c>
      <c r="C22" s="76"/>
      <c r="D22" s="77"/>
      <c r="E22" s="74" t="s">
        <v>50</v>
      </c>
      <c r="F22" s="78">
        <v>27000</v>
      </c>
      <c r="G22" s="74">
        <v>10</v>
      </c>
      <c r="H22" s="38">
        <f t="shared" si="1"/>
        <v>270000</v>
      </c>
    </row>
    <row r="23" spans="1:8" ht="15.75" customHeight="1" thickBot="1" x14ac:dyDescent="0.3">
      <c r="A23" s="74">
        <v>8</v>
      </c>
      <c r="B23" s="75" t="s">
        <v>56</v>
      </c>
      <c r="C23" s="76"/>
      <c r="D23" s="77"/>
      <c r="E23" s="74" t="s">
        <v>50</v>
      </c>
      <c r="F23" s="78">
        <v>47250</v>
      </c>
      <c r="G23" s="74">
        <v>14</v>
      </c>
      <c r="H23" s="38">
        <f t="shared" si="1"/>
        <v>661500</v>
      </c>
    </row>
    <row r="24" spans="1:8" ht="15.75" customHeight="1" thickBot="1" x14ac:dyDescent="0.3">
      <c r="A24" s="79">
        <v>9</v>
      </c>
      <c r="B24" s="75" t="s">
        <v>57</v>
      </c>
      <c r="C24" s="76"/>
      <c r="D24" s="77"/>
      <c r="E24" s="74" t="s">
        <v>50</v>
      </c>
      <c r="F24" s="78">
        <v>11500</v>
      </c>
      <c r="G24" s="74">
        <v>10</v>
      </c>
      <c r="H24" s="38">
        <f t="shared" si="1"/>
        <v>115000</v>
      </c>
    </row>
    <row r="25" spans="1:8" ht="15.75" customHeight="1" thickBot="1" x14ac:dyDescent="0.3">
      <c r="A25" s="74">
        <v>10</v>
      </c>
      <c r="B25" s="75" t="s">
        <v>58</v>
      </c>
      <c r="C25" s="76"/>
      <c r="D25" s="77"/>
      <c r="E25" s="74" t="s">
        <v>54</v>
      </c>
      <c r="F25" s="78">
        <v>9450</v>
      </c>
      <c r="G25" s="74">
        <v>10</v>
      </c>
      <c r="H25" s="38">
        <f t="shared" si="1"/>
        <v>94500</v>
      </c>
    </row>
    <row r="26" spans="1:8" ht="15.75" customHeight="1" thickBot="1" x14ac:dyDescent="0.3">
      <c r="A26" s="79">
        <v>11</v>
      </c>
      <c r="B26" s="75" t="s">
        <v>59</v>
      </c>
      <c r="C26" s="76"/>
      <c r="D26" s="77"/>
      <c r="E26" s="74" t="s">
        <v>50</v>
      </c>
      <c r="F26" s="78">
        <v>25000</v>
      </c>
      <c r="G26" s="74">
        <v>10</v>
      </c>
      <c r="H26" s="38">
        <f t="shared" si="1"/>
        <v>250000</v>
      </c>
    </row>
    <row r="27" spans="1:8" ht="15.75" customHeight="1" thickBot="1" x14ac:dyDescent="0.3">
      <c r="A27" s="74">
        <v>12</v>
      </c>
      <c r="B27" s="75" t="s">
        <v>60</v>
      </c>
      <c r="C27" s="76"/>
      <c r="D27" s="77"/>
      <c r="E27" s="74" t="s">
        <v>50</v>
      </c>
      <c r="F27" s="78">
        <v>818800</v>
      </c>
      <c r="G27" s="74">
        <v>2</v>
      </c>
      <c r="H27" s="38">
        <f t="shared" si="1"/>
        <v>1637600</v>
      </c>
    </row>
    <row r="28" spans="1:8" ht="15.75" customHeight="1" thickBot="1" x14ac:dyDescent="0.3">
      <c r="A28" s="79">
        <v>13</v>
      </c>
      <c r="B28" s="75" t="s">
        <v>70</v>
      </c>
      <c r="C28" s="76"/>
      <c r="D28" s="77"/>
      <c r="E28" s="74" t="s">
        <v>50</v>
      </c>
      <c r="F28" s="78">
        <v>16900</v>
      </c>
      <c r="G28" s="74">
        <v>1</v>
      </c>
      <c r="H28" s="38">
        <f t="shared" si="1"/>
        <v>16900</v>
      </c>
    </row>
    <row r="29" spans="1:8" ht="15.75" customHeight="1" thickBot="1" x14ac:dyDescent="0.3">
      <c r="A29" s="74">
        <v>14</v>
      </c>
      <c r="B29" s="75" t="s">
        <v>61</v>
      </c>
      <c r="C29" s="76"/>
      <c r="D29" s="77"/>
      <c r="E29" s="74" t="s">
        <v>50</v>
      </c>
      <c r="F29" s="78">
        <v>6100</v>
      </c>
      <c r="G29" s="74">
        <v>1</v>
      </c>
      <c r="H29" s="38">
        <f t="shared" si="1"/>
        <v>6100</v>
      </c>
    </row>
    <row r="30" spans="1:8" ht="15.75" customHeight="1" thickBot="1" x14ac:dyDescent="0.3">
      <c r="A30" s="79">
        <v>15</v>
      </c>
      <c r="B30" s="75" t="s">
        <v>62</v>
      </c>
      <c r="C30" s="76"/>
      <c r="D30" s="77"/>
      <c r="E30" s="74" t="s">
        <v>50</v>
      </c>
      <c r="F30" s="78">
        <v>94500</v>
      </c>
      <c r="G30" s="74">
        <v>2</v>
      </c>
      <c r="H30" s="38">
        <f t="shared" si="1"/>
        <v>189000</v>
      </c>
    </row>
    <row r="31" spans="1:8" ht="15.75" customHeight="1" thickBot="1" x14ac:dyDescent="0.3">
      <c r="A31" s="74">
        <v>16</v>
      </c>
      <c r="B31" s="75" t="s">
        <v>63</v>
      </c>
      <c r="C31" s="76"/>
      <c r="D31" s="77"/>
      <c r="E31" s="74" t="s">
        <v>50</v>
      </c>
      <c r="F31" s="78">
        <v>5400</v>
      </c>
      <c r="G31" s="74">
        <v>2</v>
      </c>
      <c r="H31" s="38">
        <f t="shared" si="1"/>
        <v>10800</v>
      </c>
    </row>
    <row r="32" spans="1:8" ht="15.75" customHeight="1" thickBot="1" x14ac:dyDescent="0.3">
      <c r="A32" s="79">
        <v>17</v>
      </c>
      <c r="B32" s="75" t="s">
        <v>64</v>
      </c>
      <c r="C32" s="76"/>
      <c r="D32" s="77"/>
      <c r="E32" s="74" t="s">
        <v>45</v>
      </c>
      <c r="F32" s="78">
        <v>287550</v>
      </c>
      <c r="G32" s="74">
        <v>2</v>
      </c>
      <c r="H32" s="38">
        <f t="shared" si="1"/>
        <v>575100</v>
      </c>
    </row>
    <row r="33" spans="1:8" ht="15.75" customHeight="1" thickBot="1" x14ac:dyDescent="0.3">
      <c r="A33" s="74">
        <v>18</v>
      </c>
      <c r="B33" s="75" t="s">
        <v>65</v>
      </c>
      <c r="C33" s="76"/>
      <c r="D33" s="77"/>
      <c r="E33" s="74" t="s">
        <v>45</v>
      </c>
      <c r="F33" s="78">
        <v>626400</v>
      </c>
      <c r="G33" s="74">
        <v>2</v>
      </c>
      <c r="H33" s="38">
        <f t="shared" si="1"/>
        <v>1252800</v>
      </c>
    </row>
    <row r="34" spans="1:8" ht="19.5" customHeight="1" thickBot="1" x14ac:dyDescent="0.3">
      <c r="A34" s="50"/>
      <c r="B34" s="45"/>
      <c r="C34" s="42"/>
      <c r="D34" s="51"/>
      <c r="E34" s="52"/>
      <c r="F34" s="52"/>
      <c r="G34" s="52"/>
    </row>
    <row r="35" spans="1:8" ht="19.5" customHeight="1" thickBot="1" x14ac:dyDescent="0.35">
      <c r="A35" s="49" t="s">
        <v>23</v>
      </c>
      <c r="B35" s="14" t="s">
        <v>72</v>
      </c>
      <c r="D35" s="15"/>
      <c r="E35" s="53"/>
      <c r="F35" s="37" t="s">
        <v>44</v>
      </c>
      <c r="G35" s="6"/>
      <c r="H35" s="7"/>
    </row>
    <row r="36" spans="1:8" ht="19.5" customHeight="1" thickBot="1" x14ac:dyDescent="0.3">
      <c r="A36" s="39"/>
      <c r="B36" s="16" t="s">
        <v>73</v>
      </c>
      <c r="C36" s="4"/>
      <c r="D36" s="4"/>
      <c r="E36" s="56" t="s">
        <v>24</v>
      </c>
      <c r="F36" s="57"/>
      <c r="G36" s="46"/>
      <c r="H36" s="54">
        <f>SUM(H16:H33)</f>
        <v>10083100</v>
      </c>
    </row>
    <row r="37" spans="1:8" ht="19.5" customHeight="1" x14ac:dyDescent="0.25">
      <c r="A37" s="24" t="s">
        <v>25</v>
      </c>
      <c r="B37" s="12"/>
      <c r="C37" s="12"/>
      <c r="D37" s="12"/>
      <c r="E37" s="58" t="s">
        <v>29</v>
      </c>
      <c r="F37" s="23"/>
      <c r="G37" s="59">
        <v>0.19</v>
      </c>
      <c r="H37" s="40">
        <f>H36*G37</f>
        <v>1915789</v>
      </c>
    </row>
    <row r="38" spans="1:8" ht="19.5" customHeight="1" x14ac:dyDescent="0.25">
      <c r="A38" s="14" t="s">
        <v>30</v>
      </c>
      <c r="E38" s="60" t="s">
        <v>26</v>
      </c>
      <c r="G38" s="63">
        <v>2.5000000000000001E-2</v>
      </c>
      <c r="H38" s="55">
        <f>H36*G38</f>
        <v>252077.5</v>
      </c>
    </row>
    <row r="39" spans="1:8" ht="15.75" x14ac:dyDescent="0.25">
      <c r="A39" s="14" t="s">
        <v>66</v>
      </c>
      <c r="E39" s="58" t="s">
        <v>71</v>
      </c>
      <c r="F39" s="33"/>
      <c r="G39" s="85">
        <v>7.7000000000000002E-3</v>
      </c>
      <c r="H39" s="55">
        <f>H36*G39</f>
        <v>77639.87</v>
      </c>
    </row>
    <row r="40" spans="1:8" ht="16.5" thickBot="1" x14ac:dyDescent="0.3">
      <c r="A40" s="14" t="s">
        <v>32</v>
      </c>
      <c r="E40" s="61" t="s">
        <v>27</v>
      </c>
      <c r="F40" s="62"/>
      <c r="G40" s="48"/>
      <c r="H40" s="17"/>
    </row>
    <row r="41" spans="1:8" ht="19.5" thickBot="1" x14ac:dyDescent="0.35">
      <c r="A41" s="16"/>
      <c r="B41" s="4"/>
      <c r="C41" s="4"/>
      <c r="D41" s="17"/>
      <c r="F41" s="3"/>
      <c r="G41" s="34" t="s">
        <v>28</v>
      </c>
      <c r="H41" s="36">
        <f>H36+H37-H38-H39</f>
        <v>11669171.630000001</v>
      </c>
    </row>
    <row r="42" spans="1:8" ht="16.5" customHeight="1" x14ac:dyDescent="0.25"/>
    <row r="47" spans="1:8" ht="15.75" thickBot="1" x14ac:dyDescent="0.3"/>
    <row r="48" spans="1:8" ht="19.5" thickBot="1" x14ac:dyDescent="0.35">
      <c r="A48" s="25" t="s">
        <v>46</v>
      </c>
      <c r="B48" s="6"/>
      <c r="C48" s="6"/>
      <c r="D48" s="6"/>
      <c r="E48" s="6"/>
      <c r="F48" s="6"/>
      <c r="G48" s="6"/>
      <c r="H48" s="7"/>
    </row>
    <row r="56" spans="1:1" ht="18.75" x14ac:dyDescent="0.3">
      <c r="A56" s="5"/>
    </row>
  </sheetData>
  <hyperlinks>
    <hyperlink ref="C10" r:id="rId1" xr:uid="{D476046D-6B2D-43C3-8278-9FB3483352E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2025-06-04T22:05:57Z</cp:lastPrinted>
  <dcterms:created xsi:type="dcterms:W3CDTF">2018-11-15T17:29:02Z</dcterms:created>
  <dcterms:modified xsi:type="dcterms:W3CDTF">2025-07-15T15:45:08Z</dcterms:modified>
</cp:coreProperties>
</file>