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CA308318-E635-4E45-BFBE-1BCA63C2A3F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3" i="1" s="1"/>
  <c r="H22" i="1" l="1"/>
  <c r="H26" i="1" s="1"/>
</calcChain>
</file>

<file path=xl/sharedStrings.xml><?xml version="1.0" encoding="utf-8"?>
<sst xmlns="http://schemas.openxmlformats.org/spreadsheetml/2006/main" count="60" uniqueCount="58">
  <si>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</si>
  <si>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</si>
  <si>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</si>
  <si>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</si>
  <si>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</si>
  <si>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</si>
  <si>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</si>
  <si>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</si>
  <si>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</si>
  <si>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</si>
  <si>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</si>
  <si>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</si>
  <si>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</si>
  <si>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</si>
  <si>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</si>
  <si>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</si>
  <si>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</si>
  <si>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</si>
  <si>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</si>
  <si>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</si>
  <si>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</si>
  <si>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</si>
  <si>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</si>
  <si>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</si>
  <si>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</si>
  <si>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</si>
  <si>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</si>
  <si>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</si>
  <si>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</si>
  <si>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</si>
  <si>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</si>
  <si>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</si>
  <si>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</si>
  <si>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</si>
  <si>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</si>
  <si>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</si>
  <si>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</si>
  <si>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</si>
  <si>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</si>
  <si>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</si>
  <si>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</si>
  <si>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</si>
  <si>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</si>
  <si>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FORMA DE PAGO : CREDITO 30 DIAS</t>
  </si>
  <si>
    <t>ENTREGA EN 3 DIAS A PARTIR DE ORDEN DE COMPRA</t>
  </si>
  <si>
    <t>L I Q U I D A C I O N</t>
  </si>
  <si>
    <t xml:space="preserve"> CALLE  33A  No. 17F - 56                           B/  LA FLORESTA             -   CALI    -                                  CEL.     321 7834969</t>
  </si>
  <si>
    <t>FABRICACION</t>
  </si>
  <si>
    <t>CONTACTOS   310 8306118     321 7834969</t>
  </si>
  <si>
    <t xml:space="preserve">           C O T I Z A C I O N</t>
  </si>
  <si>
    <t>10 DIAS</t>
  </si>
  <si>
    <t>No. 10</t>
  </si>
  <si>
    <t>SEDE TUVACOL YUMBO - BORIS MARTINEZ</t>
  </si>
  <si>
    <t>NIPLE AC/INOX  316 SCH 40  1/2 "  X   2 "</t>
  </si>
  <si>
    <t>NIPLE AC/INOX  316 SCH 40  1/2 "  X   3 "</t>
  </si>
  <si>
    <t>NIPLE AC/INOX  316 SCH 40  1/2  "  X  2 1/2  "</t>
  </si>
  <si>
    <t xml:space="preserve">UN MILLON SEIS MIL QUINIENTOS SESENTA PESOS </t>
  </si>
  <si>
    <t>MDA  / 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</si>
</sst>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1" xfId="0" applyFont="1" applyBorder="1" applyAlignment="1">
      <alignment horizontal="center"/>
    </xf>
    <xf numFmtId="0" fontId="8" fillId="0" borderId="30" xfId="0" applyFont="1" applyBorder="1"/>
    <xf numFmtId="0" fontId="8" fillId="0" borderId="21" xfId="0" applyFont="1" applyBorder="1"/>
    <xf numFmtId="0" fontId="8" fillId="0" borderId="31" xfId="0" applyFont="1" applyBorder="1"/>
    <xf numFmtId="42" fontId="11" fillId="0" borderId="21" xfId="1" applyFont="1" applyBorder="1" applyAlignment="1">
      <alignment horizontal="center"/>
    </xf>
    <xf numFmtId="42" fontId="1" fillId="0" borderId="32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4" xfId="0" applyFont="1" applyBorder="1" applyAlignment="1">
      <alignment horizontal="center"/>
    </xf>
    <xf numFmtId="0" fontId="8" fillId="0" borderId="33" xfId="0" applyFont="1" applyBorder="1"/>
    <xf numFmtId="0" fontId="8" fillId="0" borderId="4" xfId="0" applyFont="1" applyBorder="1"/>
    <xf numFmtId="0" fontId="8" fillId="0" borderId="32" xfId="0" applyFont="1" applyBorder="1"/>
    <xf numFmtId="42" fontId="11" fillId="0" borderId="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6" t="s">
        <v>48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8"/>
      <c r="H6" s="19"/>
    </row>
    <row r="7" spans="1:8" ht="19.5" thickBot="1" x14ac:dyDescent="0.35">
      <c r="A7" s="20" t="s">
        <v>15</v>
      </c>
      <c r="B7" s="13"/>
      <c r="C7" s="29" t="s">
        <v>36</v>
      </c>
      <c r="D7" s="13"/>
      <c r="E7" s="14"/>
      <c r="F7" s="26"/>
      <c r="G7" s="18"/>
      <c r="H7" s="19" t="s">
        <v>51</v>
      </c>
    </row>
    <row r="8" spans="1:8" ht="18.75" x14ac:dyDescent="0.3">
      <c r="A8" s="21" t="s">
        <v>9</v>
      </c>
      <c r="C8" s="48" t="s">
        <v>37</v>
      </c>
      <c r="D8" s="49"/>
      <c r="E8" s="50"/>
      <c r="F8" s="12"/>
      <c r="G8" s="13"/>
      <c r="H8" s="14"/>
    </row>
    <row r="9" spans="1:8" ht="18.75" customHeight="1" x14ac:dyDescent="0.3">
      <c r="A9" s="21" t="s">
        <v>10</v>
      </c>
      <c r="C9" s="51" t="s">
        <v>38</v>
      </c>
      <c r="D9" s="23"/>
      <c r="E9" s="52" t="s">
        <v>39</v>
      </c>
      <c r="F9" s="30" t="s">
        <v>0</v>
      </c>
      <c r="H9" s="31">
        <v>45919</v>
      </c>
    </row>
    <row r="10" spans="1:8" ht="18.75" x14ac:dyDescent="0.3">
      <c r="A10" s="21" t="s">
        <v>14</v>
      </c>
      <c r="C10" s="53" t="s">
        <v>40</v>
      </c>
      <c r="D10" s="24"/>
      <c r="E10" s="54"/>
      <c r="F10" s="30" t="s">
        <v>16</v>
      </c>
      <c r="H10" s="32" t="s">
        <v>50</v>
      </c>
    </row>
    <row r="11" spans="1:8" ht="18.75" x14ac:dyDescent="0.3">
      <c r="A11" s="21" t="s">
        <v>11</v>
      </c>
      <c r="C11" s="55" t="s">
        <v>52</v>
      </c>
      <c r="D11" s="24"/>
      <c r="E11" s="54"/>
      <c r="F11" s="30" t="s">
        <v>17</v>
      </c>
      <c r="G11" s="33"/>
      <c r="H11" s="31">
        <v>45918</v>
      </c>
    </row>
    <row r="12" spans="1:8" ht="18.75" x14ac:dyDescent="0.3">
      <c r="A12" s="21" t="s">
        <v>12</v>
      </c>
      <c r="C12" s="55" t="s">
        <v>41</v>
      </c>
      <c r="D12" s="24"/>
      <c r="E12" s="54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56" t="s">
        <v>42</v>
      </c>
      <c r="D13" s="57"/>
      <c r="E13" s="58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35</v>
      </c>
      <c r="B15" s="44" t="s">
        <v>24</v>
      </c>
      <c r="C15" s="18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59">
        <v>1</v>
      </c>
      <c r="B16" s="60" t="s">
        <v>53</v>
      </c>
      <c r="C16" s="61"/>
      <c r="D16" s="62"/>
      <c r="E16" s="59" t="s">
        <v>47</v>
      </c>
      <c r="F16" s="63">
        <v>7000</v>
      </c>
      <c r="G16" s="59">
        <v>36</v>
      </c>
      <c r="H16" s="64">
        <f>G16*F16</f>
        <v>252000</v>
      </c>
    </row>
    <row r="17" spans="1:8" ht="16.5" thickBot="1" x14ac:dyDescent="0.3">
      <c r="A17" s="75">
        <v>2</v>
      </c>
      <c r="B17" s="76" t="s">
        <v>55</v>
      </c>
      <c r="C17" s="77"/>
      <c r="D17" s="78"/>
      <c r="E17" s="75" t="s">
        <v>47</v>
      </c>
      <c r="F17" s="79">
        <v>8000</v>
      </c>
      <c r="G17" s="75">
        <v>36</v>
      </c>
      <c r="H17" s="64">
        <f>G17*F17</f>
        <v>288000</v>
      </c>
    </row>
    <row r="18" spans="1:8" ht="16.5" thickBot="1" x14ac:dyDescent="0.3">
      <c r="A18" s="59">
        <v>3</v>
      </c>
      <c r="B18" s="60" t="s">
        <v>54</v>
      </c>
      <c r="C18" s="61"/>
      <c r="D18" s="62"/>
      <c r="E18" s="59" t="s">
        <v>47</v>
      </c>
      <c r="F18" s="63">
        <v>9000</v>
      </c>
      <c r="G18" s="59">
        <v>36</v>
      </c>
      <c r="H18" s="64">
        <f>G18*F18</f>
        <v>324000</v>
      </c>
    </row>
    <row r="19" spans="1:8" ht="19.5" customHeight="1" thickBot="1" x14ac:dyDescent="0.3">
      <c r="H19" s="45"/>
    </row>
    <row r="20" spans="1:8" ht="19.5" customHeight="1" thickBot="1" x14ac:dyDescent="0.35">
      <c r="A20" s="80" t="s">
        <v>25</v>
      </c>
      <c r="B20" s="12" t="s">
        <v>56</v>
      </c>
      <c r="C20" s="13"/>
      <c r="D20" s="14"/>
      <c r="E20" s="66"/>
      <c r="F20" s="46" t="s">
        <v>45</v>
      </c>
      <c r="G20" s="6"/>
      <c r="H20" s="7"/>
    </row>
    <row r="21" spans="1:8" ht="19.5" customHeight="1" thickBot="1" x14ac:dyDescent="0.3">
      <c r="A21" s="81"/>
      <c r="B21" s="16" t="s">
        <v>57</v>
      </c>
      <c r="C21" s="4"/>
      <c r="D21" s="4"/>
      <c r="E21" s="67" t="s">
        <v>26</v>
      </c>
      <c r="F21" s="68"/>
      <c r="G21" s="50"/>
      <c r="H21" s="65">
        <f>SUM(H16:H18)</f>
        <v>864000</v>
      </c>
    </row>
    <row r="22" spans="1:8" ht="19.5" customHeight="1" x14ac:dyDescent="0.25">
      <c r="A22" s="25" t="s">
        <v>27</v>
      </c>
      <c r="B22" s="13"/>
      <c r="C22" s="13"/>
      <c r="D22" s="13"/>
      <c r="E22" s="69" t="s">
        <v>32</v>
      </c>
      <c r="F22" s="47"/>
      <c r="G22" s="70">
        <v>0.19</v>
      </c>
      <c r="H22" s="42">
        <f>H21*G22</f>
        <v>164160</v>
      </c>
    </row>
    <row r="23" spans="1:8" ht="15.75" x14ac:dyDescent="0.25">
      <c r="A23" s="15" t="s">
        <v>43</v>
      </c>
      <c r="E23" s="71" t="s">
        <v>28</v>
      </c>
      <c r="G23" s="72">
        <v>2.5000000000000001E-2</v>
      </c>
      <c r="H23" s="38">
        <f>H21*G23</f>
        <v>21600</v>
      </c>
    </row>
    <row r="24" spans="1:8" ht="15.75" x14ac:dyDescent="0.25">
      <c r="A24" s="15" t="s">
        <v>44</v>
      </c>
      <c r="E24" s="15"/>
      <c r="F24" s="36"/>
      <c r="G24" s="54"/>
      <c r="H24" s="39"/>
    </row>
    <row r="25" spans="1:8" ht="16.5" thickBot="1" x14ac:dyDescent="0.3">
      <c r="A25" s="15" t="s">
        <v>34</v>
      </c>
      <c r="E25" s="73" t="s">
        <v>29</v>
      </c>
      <c r="F25" s="74"/>
      <c r="G25" s="58"/>
      <c r="H25" s="40"/>
    </row>
    <row r="26" spans="1:8" ht="16.5" customHeight="1" thickBot="1" x14ac:dyDescent="0.35">
      <c r="A26" s="16"/>
      <c r="B26" s="4"/>
      <c r="C26" s="4"/>
      <c r="D26" s="17"/>
      <c r="F26" s="3"/>
      <c r="G26" s="37" t="s">
        <v>30</v>
      </c>
      <c r="H26" s="43">
        <f>H21+H22-H23</f>
        <v>1006560</v>
      </c>
    </row>
    <row r="28" spans="1:8" x14ac:dyDescent="0.25">
      <c r="A28" t="s">
        <v>1</v>
      </c>
    </row>
    <row r="30" spans="1:8" ht="15.75" thickBot="1" x14ac:dyDescent="0.3"/>
    <row r="31" spans="1:8" ht="19.5" thickBot="1" x14ac:dyDescent="0.35">
      <c r="A31" s="26" t="s">
        <v>46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2025-09-18T19:13:40Z</cp:lastPrinted>
  <dcterms:created xsi:type="dcterms:W3CDTF">2018-11-15T17:29:02Z</dcterms:created>
  <dcterms:modified xsi:type="dcterms:W3CDTF">2025-09-19T19:55:13Z</dcterms:modified>
</cp:coreProperties>
</file>