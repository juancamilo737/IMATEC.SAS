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400~4800\"/>
    </mc:Choice>
  </mc:AlternateContent>
  <xr:revisionPtr revIDLastSave="0" documentId="13_ncr:1_{972EEA02-F443-4370-81A2-61E0AB1932A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UTOMECHANIC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17" i="1"/>
  <c r="H16" i="1"/>
  <c r="H21" i="1" l="1"/>
  <c r="H22" i="1" l="1"/>
  <c r="H23" i="1"/>
  <c r="H25" i="1" l="1"/>
  <c r="H24" i="1"/>
  <c r="H27" i="1" s="1"/>
</calcChain>
</file>

<file path=xl/sharedStrings.xml><?xml version="1.0" encoding="utf-8"?>
<sst xmlns="http://schemas.openxmlformats.org/spreadsheetml/2006/main" count="59" uniqueCount="57">
  <si>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</si>
  <si>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</si>
  <si>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</si>
  <si>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</si>
  <si>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</si>
  <si>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</si>
  <si>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</si>
  <si>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</si>
  <si>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</si>
  <si>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</si>
  <si>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</si>
  <si>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</si>
  <si>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</si>
  <si>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</si>
  <si>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</si>
  <si>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</si>
  <si>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</si>
  <si>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</si>
  <si>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</si>
  <si>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</si>
  <si>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</si>
  <si>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</si>
  <si>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</si>
  <si>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</si>
  <si>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OBSERVACIONES</t>
  </si>
  <si>
    <t>- RETEFUENTE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</si>
  <si>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</si>
  <si>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</si>
  <si>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</si>
  <si>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</si>
  <si>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</si>
  <si>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</si>
  <si>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</si>
  <si>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</si>
  <si>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</si>
  <si>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  17F - 56                           B/  LA FLORESTA             -   CALI    -                                       CEL.     321 7834969</t>
  </si>
  <si>
    <t>AUTOMECHANIC SOLUTION S.A.S.</t>
  </si>
  <si>
    <t>900 198264</t>
  </si>
  <si>
    <t>CRA  97   No. 23H - 40</t>
  </si>
  <si>
    <t>BOGOTA</t>
  </si>
  <si>
    <t>facturacion@automechanics.co</t>
  </si>
  <si>
    <t>601 4614446</t>
  </si>
  <si>
    <t>LUIS A. BENAVIDES</t>
  </si>
  <si>
    <t>ENTREGA INMEDIATA</t>
  </si>
  <si>
    <t>CONTACTOS   310 8306118    321 7834969</t>
  </si>
  <si>
    <t>DESCUENTO</t>
  </si>
  <si>
    <t>SUBTOTAL 1</t>
  </si>
  <si>
    <t>SUBTOTAL 2</t>
  </si>
  <si>
    <t xml:space="preserve">           C O T I Z A C I O N</t>
  </si>
  <si>
    <t>10 DIAS</t>
  </si>
  <si>
    <t>TUBO X 6 MTS</t>
  </si>
  <si>
    <t>TUBERIA  AC/INOX 304  SCH 40  1 "</t>
  </si>
  <si>
    <t>TUBERIA  AC/INOX 304  SCH 40  2 "</t>
  </si>
  <si>
    <t>TUBERIA  AC/INOX 304  SCH 40  2 1/2  "</t>
  </si>
  <si>
    <t>CUATRO MILLONES SETECIENTOS DIECINUEVE MIL CUA-</t>
  </si>
  <si>
    <t>TROCIENTOS QUINCE PESOS MDA / CTE</t>
  </si>
  <si>
    <t>No. 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</si>
</sst>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3" xfId="0" applyBorder="1"/>
    <xf numFmtId="0" fontId="0" fillId="0" borderId="3" xfId="0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0" fontId="4" fillId="0" borderId="20" xfId="0" applyFont="1" applyBorder="1"/>
    <xf numFmtId="0" fontId="4" fillId="0" borderId="22" xfId="0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4" xfId="0" applyFont="1" applyBorder="1"/>
    <xf numFmtId="0" fontId="8" fillId="0" borderId="13" xfId="0" applyFont="1" applyBorder="1"/>
    <xf numFmtId="0" fontId="8" fillId="0" borderId="25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26" xfId="0" applyBorder="1"/>
    <xf numFmtId="0" fontId="0" fillId="0" borderId="27" xfId="0" applyBorder="1"/>
    <xf numFmtId="0" fontId="0" fillId="0" borderId="6" xfId="0" applyBorder="1"/>
    <xf numFmtId="0" fontId="13" fillId="0" borderId="9" xfId="2" applyBorder="1"/>
    <xf numFmtId="0" fontId="1" fillId="0" borderId="28" xfId="0" applyFont="1" applyBorder="1" applyAlignment="1">
      <alignment horizontal="center"/>
    </xf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42" fontId="11" fillId="0" borderId="28" xfId="1" applyFont="1" applyBorder="1" applyAlignment="1">
      <alignment horizontal="center"/>
    </xf>
    <xf numFmtId="0" fontId="1" fillId="0" borderId="3" xfId="0" applyFont="1" applyBorder="1"/>
    <xf numFmtId="0" fontId="4" fillId="0" borderId="30" xfId="0" applyFont="1" applyBorder="1"/>
    <xf numFmtId="0" fontId="0" fillId="0" borderId="19" xfId="0" applyBorder="1"/>
    <xf numFmtId="9" fontId="1" fillId="0" borderId="30" xfId="0" applyNumberFormat="1" applyFont="1" applyBorder="1"/>
    <xf numFmtId="9" fontId="1" fillId="0" borderId="24" xfId="3" applyFont="1" applyBorder="1"/>
    <xf numFmtId="10" fontId="1" fillId="0" borderId="0" xfId="0" applyNumberFormat="1" applyFont="1"/>
    <xf numFmtId="0" fontId="0" fillId="0" borderId="22" xfId="0" applyBorder="1"/>
    <xf numFmtId="42" fontId="1" fillId="0" borderId="15" xfId="0" applyNumberFormat="1" applyFont="1" applyBorder="1" applyAlignment="1">
      <alignment horizontal="left"/>
    </xf>
    <xf numFmtId="42" fontId="1" fillId="0" borderId="32" xfId="1" applyFont="1" applyBorder="1" applyAlignment="1">
      <alignment horizontal="left"/>
    </xf>
    <xf numFmtId="42" fontId="1" fillId="0" borderId="32" xfId="0" applyNumberFormat="1" applyFont="1" applyBorder="1"/>
    <xf numFmtId="0" fontId="0" fillId="0" borderId="16" xfId="0" applyBorder="1"/>
    <xf numFmtId="42" fontId="1" fillId="0" borderId="33" xfId="0" applyNumberFormat="1" applyFont="1" applyBorder="1" applyAlignment="1">
      <alignment horizontal="left"/>
    </xf>
    <xf numFmtId="0" fontId="4" fillId="0" borderId="34" xfId="0" applyFont="1" applyBorder="1"/>
    <xf numFmtId="0" fontId="0" fillId="0" borderId="21" xfId="0" applyBorder="1"/>
    <xf numFmtId="0" fontId="4" fillId="0" borderId="0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@automechanics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4" zoomScaleNormal="100" workbookViewId="0">
      <selection activeCell="L29" sqref="L2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32</v>
      </c>
    </row>
    <row r="3" spans="1:8" ht="27" thickBot="1" x14ac:dyDescent="0.45">
      <c r="A3" s="11" t="s">
        <v>33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29</v>
      </c>
      <c r="E4" s="18"/>
      <c r="F4" s="19"/>
      <c r="G4" s="6"/>
      <c r="H4" s="7"/>
    </row>
    <row r="5" spans="1:8" ht="19.5" thickBot="1" x14ac:dyDescent="0.35">
      <c r="A5" s="37" t="s">
        <v>44</v>
      </c>
      <c r="B5" s="6"/>
      <c r="C5" s="6"/>
      <c r="D5" s="6"/>
      <c r="E5" s="6"/>
    </row>
    <row r="6" spans="1:8" ht="24.75" customHeight="1" thickBot="1" x14ac:dyDescent="0.45">
      <c r="F6" s="40" t="s">
        <v>48</v>
      </c>
      <c r="G6" s="41"/>
      <c r="H6" s="42"/>
    </row>
    <row r="7" spans="1:8" ht="19.5" thickBot="1" x14ac:dyDescent="0.35">
      <c r="A7" s="20" t="s">
        <v>14</v>
      </c>
      <c r="B7" s="12"/>
      <c r="C7" s="50" t="s">
        <v>36</v>
      </c>
      <c r="D7" s="12"/>
      <c r="E7" s="13"/>
      <c r="F7" s="37"/>
      <c r="G7" s="18"/>
      <c r="H7" s="19" t="s">
        <v>56</v>
      </c>
    </row>
    <row r="8" spans="1:8" ht="18.75" x14ac:dyDescent="0.3">
      <c r="A8" s="21" t="s">
        <v>8</v>
      </c>
      <c r="C8" s="59" t="s">
        <v>37</v>
      </c>
      <c r="D8" s="12"/>
      <c r="E8" s="13"/>
      <c r="H8" s="15"/>
    </row>
    <row r="9" spans="1:8" ht="18.75" customHeight="1" x14ac:dyDescent="0.3">
      <c r="A9" s="21" t="s">
        <v>9</v>
      </c>
      <c r="C9" s="14" t="s">
        <v>38</v>
      </c>
      <c r="E9" s="15" t="s">
        <v>39</v>
      </c>
      <c r="F9" s="30" t="s">
        <v>0</v>
      </c>
      <c r="H9" s="28">
        <v>45922</v>
      </c>
    </row>
    <row r="10" spans="1:8" ht="18.75" x14ac:dyDescent="0.3">
      <c r="A10" s="21" t="s">
        <v>13</v>
      </c>
      <c r="C10" s="60" t="s">
        <v>40</v>
      </c>
      <c r="E10" s="15"/>
      <c r="F10" s="30" t="s">
        <v>15</v>
      </c>
      <c r="H10" s="29" t="s">
        <v>49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45931</v>
      </c>
    </row>
    <row r="12" spans="1:8" ht="18.75" x14ac:dyDescent="0.3">
      <c r="A12" s="21" t="s">
        <v>11</v>
      </c>
      <c r="C12" s="14" t="s">
        <v>41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42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31</v>
      </c>
      <c r="B15" s="66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1">
        <v>1</v>
      </c>
      <c r="B16" s="62" t="s">
        <v>51</v>
      </c>
      <c r="C16" s="63"/>
      <c r="D16" s="64"/>
      <c r="E16" s="61" t="s">
        <v>50</v>
      </c>
      <c r="F16" s="65">
        <v>244200</v>
      </c>
      <c r="G16" s="61">
        <v>5</v>
      </c>
      <c r="H16" s="38">
        <f t="shared" ref="H16" si="0">G16*F16</f>
        <v>1221000</v>
      </c>
    </row>
    <row r="17" spans="1:8" ht="16.5" thickBot="1" x14ac:dyDescent="0.3">
      <c r="A17" s="51">
        <v>2</v>
      </c>
      <c r="B17" s="52" t="s">
        <v>52</v>
      </c>
      <c r="C17" s="53"/>
      <c r="D17" s="54"/>
      <c r="E17" s="51" t="s">
        <v>50</v>
      </c>
      <c r="F17" s="55">
        <v>548000</v>
      </c>
      <c r="G17" s="51">
        <v>2</v>
      </c>
      <c r="H17" s="38">
        <f t="shared" ref="H17:H18" si="1">G17*F17</f>
        <v>1096000</v>
      </c>
    </row>
    <row r="18" spans="1:8" ht="16.5" thickBot="1" x14ac:dyDescent="0.3">
      <c r="A18" s="51">
        <v>3</v>
      </c>
      <c r="B18" s="52" t="s">
        <v>53</v>
      </c>
      <c r="C18" s="53"/>
      <c r="D18" s="54"/>
      <c r="E18" s="51" t="s">
        <v>50</v>
      </c>
      <c r="F18" s="55">
        <v>867000</v>
      </c>
      <c r="G18" s="51">
        <v>2</v>
      </c>
      <c r="H18" s="38">
        <f t="shared" si="1"/>
        <v>1734000</v>
      </c>
    </row>
    <row r="19" spans="1:8" ht="19.5" customHeight="1" thickBot="1" x14ac:dyDescent="0.3">
      <c r="A19" s="43"/>
      <c r="B19" s="57"/>
      <c r="D19" s="58"/>
      <c r="E19" s="43"/>
      <c r="F19" s="43"/>
      <c r="G19" s="43"/>
    </row>
    <row r="20" spans="1:8" ht="19.5" customHeight="1" thickBot="1" x14ac:dyDescent="0.35">
      <c r="A20" s="56" t="s">
        <v>23</v>
      </c>
      <c r="B20" s="59" t="s">
        <v>54</v>
      </c>
      <c r="C20" s="12"/>
      <c r="D20" s="13"/>
      <c r="E20" s="44"/>
      <c r="F20" s="37" t="s">
        <v>34</v>
      </c>
      <c r="G20" s="6"/>
      <c r="H20" s="7"/>
    </row>
    <row r="21" spans="1:8" ht="19.5" customHeight="1" thickBot="1" x14ac:dyDescent="0.3">
      <c r="A21" s="39"/>
      <c r="B21" s="16" t="s">
        <v>55</v>
      </c>
      <c r="C21" s="4"/>
      <c r="D21" s="17"/>
      <c r="E21" s="45" t="s">
        <v>46</v>
      </c>
      <c r="F21" s="46"/>
      <c r="G21" s="68"/>
      <c r="H21" s="73">
        <f>SUM(H16:H18)</f>
        <v>4051000</v>
      </c>
    </row>
    <row r="22" spans="1:8" ht="19.5" customHeight="1" thickBot="1" x14ac:dyDescent="0.3">
      <c r="A22" s="24" t="s">
        <v>24</v>
      </c>
      <c r="B22" s="12"/>
      <c r="C22" s="12"/>
      <c r="D22" s="12"/>
      <c r="E22" s="48" t="s">
        <v>45</v>
      </c>
      <c r="F22" s="67"/>
      <c r="G22" s="69">
        <v>0</v>
      </c>
      <c r="H22" s="77">
        <f>H21*G22</f>
        <v>0</v>
      </c>
    </row>
    <row r="23" spans="1:8" ht="19.5" customHeight="1" thickTop="1" x14ac:dyDescent="0.25">
      <c r="A23" s="14" t="s">
        <v>28</v>
      </c>
      <c r="E23" s="78" t="s">
        <v>47</v>
      </c>
      <c r="F23" s="23"/>
      <c r="H23" s="75">
        <f>H21-H22</f>
        <v>4051000</v>
      </c>
    </row>
    <row r="24" spans="1:8" ht="15.75" x14ac:dyDescent="0.25">
      <c r="A24" s="14" t="s">
        <v>43</v>
      </c>
      <c r="E24" s="47" t="s">
        <v>27</v>
      </c>
      <c r="G24" s="70">
        <v>0.19</v>
      </c>
      <c r="H24" s="74">
        <f>H23*G24</f>
        <v>769690</v>
      </c>
    </row>
    <row r="25" spans="1:8" ht="15.75" x14ac:dyDescent="0.25">
      <c r="A25" s="14" t="s">
        <v>30</v>
      </c>
      <c r="E25" s="48" t="s">
        <v>25</v>
      </c>
      <c r="F25" s="33"/>
      <c r="G25" s="71">
        <v>2.5000000000000001E-2</v>
      </c>
      <c r="H25" s="75">
        <f>H23*G25</f>
        <v>101275</v>
      </c>
    </row>
    <row r="26" spans="1:8" ht="16.5" thickBot="1" x14ac:dyDescent="0.3">
      <c r="A26" s="16"/>
      <c r="B26" s="4"/>
      <c r="C26" s="4"/>
      <c r="D26" s="17"/>
      <c r="E26" s="79"/>
      <c r="F26" s="49"/>
      <c r="G26" s="72"/>
      <c r="H26" s="76"/>
    </row>
    <row r="27" spans="1:8" ht="16.5" customHeight="1" thickBot="1" x14ac:dyDescent="0.35">
      <c r="E27" s="80"/>
      <c r="F27" s="3"/>
      <c r="G27" s="34" t="s">
        <v>26</v>
      </c>
      <c r="H27" s="36">
        <f>H23+H24-H25</f>
        <v>4719415</v>
      </c>
    </row>
    <row r="32" spans="1:8" ht="15.75" thickBot="1" x14ac:dyDescent="0.3"/>
    <row r="33" spans="1:8" ht="19.5" thickBot="1" x14ac:dyDescent="0.35">
      <c r="A33" s="25" t="s">
        <v>35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6BDA9E8C-3A64-4F7F-BDDB-EEA3E039C3BC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AUTOMECHANIC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2025-09-22T17:24:16Z</dcterms:modified>
</cp:coreProperties>
</file>