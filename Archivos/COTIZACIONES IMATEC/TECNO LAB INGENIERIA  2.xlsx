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B944321-5F80-4EF1-9FED-0896EB89C5F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ECNOLA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l="1"/>
  <c r="H20" i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<sst xmlns="http://schemas.openxmlformats.org/spreadsheetml/2006/main" count="54" uniqueCount="54">
  <si>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</si>
  <si>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</si>
  <si>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</si>
  <si>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</si>
  <si>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</si>
  <si>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</si>
  <si>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</si>
  <si>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</si>
  <si>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</si>
  <si>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</si>
  <si>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</si>
  <si>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</si>
  <si>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</si>
  <si>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</si>
  <si>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</si>
  <si>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</si>
  <si>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</si>
  <si>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</si>
  <si>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</si>
  <si>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</si>
  <si>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</si>
  <si>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</si>
  <si>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</si>
  <si>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</si>
  <si>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</si>
  <si>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</si>
  <si>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</si>
  <si>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</si>
  <si>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</si>
  <si>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</si>
  <si>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</si>
  <si>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</si>
  <si>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</si>
  <si>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</si>
  <si>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</si>
  <si>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</si>
  <si>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</si>
  <si>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</si>
  <si>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</si>
  <si>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</si>
  <si>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</si>
  <si>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</si>
  <si>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TECNO LAB INGENIERIA S.A.S.</t>
  </si>
  <si>
    <t>901 915625</t>
  </si>
  <si>
    <t>CRA  4  No. 31 - 11</t>
  </si>
  <si>
    <t>tecnolabingenieria@gmail.com</t>
  </si>
  <si>
    <t>316 3678516</t>
  </si>
  <si>
    <t>EDINSON CABEZAS</t>
  </si>
  <si>
    <t>No.  2</t>
  </si>
  <si>
    <t>ENTREGA EN 3 DIAS A PARTIR DE ORDEN DE COMPRA</t>
  </si>
  <si>
    <t>BRIDADA  REF. Z45XC-2</t>
  </si>
  <si>
    <t>CATORCE MILLONES OCHOCIENTOS VEINTIUN MIL QUI-</t>
  </si>
  <si>
    <t>NIENTOS NOVENTA Y SEIS  PESOS MDA / CTE</t>
  </si>
  <si>
    <t>VALVULA CORTINA CON HUSILLO  4 "   8  HUECOS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</si>
</sst>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6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42" fontId="11" fillId="0" borderId="27" xfId="1" applyFont="1" applyBorder="1" applyAlignment="1">
      <alignment horizontal="center"/>
    </xf>
    <xf numFmtId="0" fontId="1" fillId="0" borderId="3" xfId="0" applyFont="1" applyBorder="1"/>
    <xf numFmtId="0" fontId="0" fillId="0" borderId="31" xfId="0" applyBorder="1"/>
    <xf numFmtId="0" fontId="1" fillId="0" borderId="32" xfId="0" applyFont="1" applyBorder="1" applyAlignment="1">
      <alignment horizontal="left" vertical="top" wrapText="1"/>
    </xf>
    <xf numFmtId="0" fontId="8" fillId="0" borderId="31" xfId="0" applyFont="1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cnolabingenie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D22" sqref="D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8" t="s">
        <v>42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0" t="s">
        <v>43</v>
      </c>
      <c r="D8" s="61"/>
      <c r="E8" s="44"/>
      <c r="H8" s="15"/>
    </row>
    <row r="9" spans="1:8" ht="18.75" customHeight="1" x14ac:dyDescent="0.3">
      <c r="A9" s="21" t="s">
        <v>9</v>
      </c>
      <c r="C9" s="62" t="s">
        <v>44</v>
      </c>
      <c r="D9" s="23"/>
      <c r="E9" s="63"/>
      <c r="F9" s="30" t="s">
        <v>0</v>
      </c>
      <c r="H9" s="28">
        <v>45729</v>
      </c>
    </row>
    <row r="10" spans="1:8" ht="18.75" x14ac:dyDescent="0.3">
      <c r="A10" s="21" t="s">
        <v>13</v>
      </c>
      <c r="C10" s="64" t="s">
        <v>45</v>
      </c>
      <c r="D10" s="59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5"/>
      <c r="D11" s="59"/>
      <c r="E11" s="45"/>
      <c r="F11" s="30" t="s">
        <v>16</v>
      </c>
      <c r="G11" s="30"/>
      <c r="H11" s="28">
        <v>45738</v>
      </c>
    </row>
    <row r="12" spans="1:8" ht="18.75" x14ac:dyDescent="0.3">
      <c r="A12" s="21" t="s">
        <v>11</v>
      </c>
      <c r="C12" s="65" t="s">
        <v>46</v>
      </c>
      <c r="D12" s="59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6" t="s">
        <v>47</v>
      </c>
      <c r="D13" s="67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73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8">
        <v>1</v>
      </c>
      <c r="B16" s="69" t="s">
        <v>53</v>
      </c>
      <c r="C16" s="70"/>
      <c r="D16" s="71"/>
      <c r="E16" s="68" t="s">
        <v>39</v>
      </c>
      <c r="F16" s="72">
        <v>1590300</v>
      </c>
      <c r="G16" s="68">
        <v>8</v>
      </c>
      <c r="H16" s="38">
        <f t="shared" ref="H16" si="0">G16*F16</f>
        <v>12722400</v>
      </c>
    </row>
    <row r="17" spans="1:8" ht="19.5" customHeight="1" thickBot="1" x14ac:dyDescent="0.3">
      <c r="A17" s="74"/>
      <c r="B17" s="76" t="s">
        <v>50</v>
      </c>
      <c r="C17" s="74"/>
      <c r="D17" s="74"/>
    </row>
    <row r="18" spans="1:8" ht="19.5" customHeight="1" thickBot="1" x14ac:dyDescent="0.35">
      <c r="A18" s="75" t="s">
        <v>23</v>
      </c>
      <c r="B18" s="77" t="s">
        <v>51</v>
      </c>
      <c r="C18" s="12"/>
      <c r="D18" s="13"/>
      <c r="E18" s="47"/>
      <c r="F18" s="37" t="s">
        <v>40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0" t="s">
        <v>24</v>
      </c>
      <c r="F19" s="51"/>
      <c r="G19" s="44"/>
      <c r="H19" s="48">
        <f>SUM(H16:H18)</f>
        <v>12722400</v>
      </c>
    </row>
    <row r="20" spans="1:8" ht="19.5" customHeight="1" x14ac:dyDescent="0.25">
      <c r="A20" s="24" t="s">
        <v>25</v>
      </c>
      <c r="B20" s="12"/>
      <c r="C20" s="12"/>
      <c r="D20" s="12"/>
      <c r="E20" s="52" t="s">
        <v>29</v>
      </c>
      <c r="F20" s="23"/>
      <c r="G20" s="53">
        <v>0.19</v>
      </c>
      <c r="H20" s="40">
        <f>H19*G20</f>
        <v>2417256</v>
      </c>
    </row>
    <row r="21" spans="1:8" ht="19.5" customHeight="1" x14ac:dyDescent="0.25">
      <c r="A21" s="14" t="s">
        <v>30</v>
      </c>
      <c r="E21" s="54" t="s">
        <v>26</v>
      </c>
      <c r="G21" s="57">
        <v>2.5000000000000001E-2</v>
      </c>
      <c r="H21" s="49">
        <f>H19*G21</f>
        <v>318060</v>
      </c>
    </row>
    <row r="22" spans="1:8" ht="15.75" x14ac:dyDescent="0.25">
      <c r="A22" s="14" t="s">
        <v>49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5" t="s">
        <v>27</v>
      </c>
      <c r="F23" s="56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14821596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41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46BC96C6-D78E-43C0-B21D-57361049057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TECNOLAB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2025-04-09T16:45:09Z</dcterms:modified>
</cp:coreProperties>
</file>