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2A7570F4-76E5-496C-AB8E-76C98B4D3C2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NST. EL CASTILL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6" i="1"/>
  <c r="H23" i="1" l="1"/>
  <c r="H27" i="1" s="1"/>
</calcChain>
</file>

<file path=xl/sharedStrings.xml><?xml version="1.0" encoding="utf-8"?>
<sst xmlns="http://schemas.openxmlformats.org/spreadsheetml/2006/main" count="55" uniqueCount="55">
  <si>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</si>
  <si>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</si>
  <si>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</si>
  <si>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</si>
  <si>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</si>
  <si>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</si>
  <si>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</si>
  <si>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</si>
  <si>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</si>
  <si>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</si>
  <si>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</si>
  <si>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</si>
  <si>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</si>
  <si>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</si>
  <si>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</si>
  <si>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</si>
  <si>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</si>
  <si>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</si>
  <si>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</si>
  <si>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</si>
  <si>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</si>
  <si>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</si>
  <si>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</si>
  <si>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</si>
  <si>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</si>
  <si>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</si>
  <si>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</si>
  <si>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</si>
  <si>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</si>
  <si>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</si>
  <si>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</si>
  <si>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</si>
  <si>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</si>
  <si>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</si>
  <si>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</si>
  <si>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</si>
  <si>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EDINSON CABEZAS</t>
  </si>
  <si>
    <t>8 DIAS</t>
  </si>
  <si>
    <t>ITEM</t>
  </si>
  <si>
    <t>CONTACTOS   310 8306118       319 7174165        321 7834969</t>
  </si>
  <si>
    <t>ENTREGA INMEDIATA</t>
  </si>
  <si>
    <t xml:space="preserve"> CALLE  33B  No. 17C - 70     2º PISO              B/  LA FLORESTA             -   CALI    -                                  CEL.     321 7834969</t>
  </si>
  <si>
    <t>ACCESORIO</t>
  </si>
  <si>
    <t>FORMA DE PAGO : CREDITO A 30 DIAS</t>
  </si>
  <si>
    <t>CONSTRUCTORA EL CASTILLO S.A.S.</t>
  </si>
  <si>
    <t>805 014656</t>
  </si>
  <si>
    <t>VIA CALI-JAMUNDI</t>
  </si>
  <si>
    <t>JAMUNDI</t>
  </si>
  <si>
    <t>contabilidad@constructoraelcastillo.co</t>
  </si>
  <si>
    <t>602 4899801</t>
  </si>
  <si>
    <t xml:space="preserve">           C O T I Z A C I O N</t>
  </si>
  <si>
    <t xml:space="preserve">COLLARIN EN PVC  DE 2 "  A  3/4 "  </t>
  </si>
  <si>
    <t>INSERTO METALICO</t>
  </si>
  <si>
    <t>TRESCIENTOS SETENTA Y CUATRO MIL OCHOCIENTOS</t>
  </si>
  <si>
    <t>CINCUENTA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</si>
</sst>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19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4" fillId="0" borderId="13" xfId="0" applyFont="1" applyBorder="1"/>
    <xf numFmtId="0" fontId="5" fillId="0" borderId="21" xfId="0" applyFont="1" applyBorder="1"/>
    <xf numFmtId="42" fontId="1" fillId="0" borderId="22" xfId="0" applyNumberFormat="1" applyFont="1" applyBorder="1"/>
    <xf numFmtId="0" fontId="0" fillId="0" borderId="22" xfId="0" applyBorder="1"/>
    <xf numFmtId="0" fontId="0" fillId="0" borderId="21" xfId="0" applyBorder="1"/>
    <xf numFmtId="0" fontId="11" fillId="0" borderId="19" xfId="0" applyFont="1" applyBorder="1"/>
    <xf numFmtId="0" fontId="12" fillId="0" borderId="0" xfId="0" applyFont="1" applyAlignment="1">
      <alignment horizontal="center"/>
    </xf>
    <xf numFmtId="42" fontId="1" fillId="0" borderId="22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3" xfId="0" applyFont="1" applyBorder="1"/>
    <xf numFmtId="42" fontId="1" fillId="0" borderId="23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16" xfId="1" applyFont="1" applyBorder="1"/>
    <xf numFmtId="0" fontId="0" fillId="0" borderId="24" xfId="0" applyBorder="1"/>
    <xf numFmtId="0" fontId="5" fillId="0" borderId="4" xfId="0" applyFont="1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3" fillId="0" borderId="30" xfId="2" applyBorder="1"/>
    <xf numFmtId="0" fontId="0" fillId="0" borderId="31" xfId="0" applyBorder="1"/>
    <xf numFmtId="0" fontId="0" fillId="0" borderId="30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1" fillId="0" borderId="2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0" fillId="0" borderId="36" xfId="0" applyBorder="1"/>
    <xf numFmtId="0" fontId="1" fillId="0" borderId="36" xfId="0" applyFont="1" applyBorder="1" applyAlignment="1">
      <alignment horizontal="center"/>
    </xf>
    <xf numFmtId="0" fontId="0" fillId="0" borderId="37" xfId="0" applyBorder="1"/>
    <xf numFmtId="0" fontId="0" fillId="0" borderId="38" xfId="0" applyBorder="1"/>
    <xf numFmtId="42" fontId="1" fillId="0" borderId="22" xfId="0" applyNumberFormat="1" applyFont="1" applyBorder="1" applyAlignment="1">
      <alignment horizontal="left"/>
    </xf>
    <xf numFmtId="0" fontId="0" fillId="0" borderId="3" xfId="0" applyBorder="1"/>
    <xf numFmtId="0" fontId="0" fillId="0" borderId="0" xfId="0" applyBorder="1"/>
    <xf numFmtId="0" fontId="4" fillId="0" borderId="25" xfId="0" applyFont="1" applyBorder="1"/>
    <xf numFmtId="0" fontId="4" fillId="0" borderId="26" xfId="0" applyFont="1" applyBorder="1"/>
    <xf numFmtId="0" fontId="4" fillId="0" borderId="9" xfId="0" applyFont="1" applyBorder="1"/>
    <xf numFmtId="9" fontId="1" fillId="0" borderId="29" xfId="0" applyNumberFormat="1" applyFont="1" applyBorder="1"/>
    <xf numFmtId="0" fontId="4" fillId="0" borderId="30" xfId="0" applyFont="1" applyBorder="1"/>
    <xf numFmtId="10" fontId="1" fillId="0" borderId="10" xfId="0" applyNumberFormat="1" applyFont="1" applyBorder="1"/>
    <xf numFmtId="0" fontId="4" fillId="0" borderId="32" xfId="0" applyFont="1" applyBorder="1"/>
    <xf numFmtId="0" fontId="4" fillId="0" borderId="33" xfId="0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constructoraelcastillo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1"/>
  <sheetViews>
    <sheetView tabSelected="1" topLeftCell="A7" zoomScaleNormal="100" workbookViewId="0">
      <selection activeCell="D18" sqref="D18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1" t="s">
        <v>32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8</v>
      </c>
      <c r="B4" s="6"/>
      <c r="C4" s="6"/>
      <c r="D4" s="29" t="s">
        <v>34</v>
      </c>
      <c r="E4" s="18"/>
      <c r="F4" s="19"/>
      <c r="G4" s="6"/>
      <c r="H4" s="7"/>
    </row>
    <row r="5" spans="1:8" ht="19.5" thickBot="1" x14ac:dyDescent="0.35">
      <c r="A5" s="62" t="s">
        <v>39</v>
      </c>
      <c r="B5" s="6"/>
      <c r="C5" s="6"/>
      <c r="D5" s="6"/>
      <c r="E5" s="6"/>
    </row>
    <row r="6" spans="1:8" ht="24.75" customHeight="1" thickBot="1" x14ac:dyDescent="0.45">
      <c r="F6" s="11" t="s">
        <v>50</v>
      </c>
      <c r="G6" s="18"/>
      <c r="H6" s="19"/>
    </row>
    <row r="7" spans="1:8" ht="19.5" thickBot="1" x14ac:dyDescent="0.35">
      <c r="A7" s="20" t="s">
        <v>15</v>
      </c>
      <c r="B7" s="13"/>
      <c r="C7" s="30" t="s">
        <v>44</v>
      </c>
      <c r="D7" s="13"/>
      <c r="E7" s="14"/>
      <c r="F7" s="27"/>
      <c r="G7" s="18"/>
      <c r="H7" s="19"/>
    </row>
    <row r="8" spans="1:8" ht="18.75" x14ac:dyDescent="0.3">
      <c r="A8" s="21" t="s">
        <v>9</v>
      </c>
      <c r="C8" s="66" t="s">
        <v>45</v>
      </c>
      <c r="D8" s="67"/>
      <c r="E8" s="68"/>
      <c r="F8" s="12"/>
      <c r="G8" s="13"/>
      <c r="H8" s="14"/>
    </row>
    <row r="9" spans="1:8" ht="18.75" customHeight="1" x14ac:dyDescent="0.3">
      <c r="A9" s="21" t="s">
        <v>10</v>
      </c>
      <c r="C9" s="69" t="s">
        <v>46</v>
      </c>
      <c r="D9" s="24"/>
      <c r="E9" s="70" t="s">
        <v>47</v>
      </c>
      <c r="F9" s="31" t="s">
        <v>0</v>
      </c>
      <c r="H9" s="32">
        <v>45533</v>
      </c>
    </row>
    <row r="10" spans="1:8" ht="18.75" x14ac:dyDescent="0.3">
      <c r="A10" s="21" t="s">
        <v>14</v>
      </c>
      <c r="C10" s="71" t="s">
        <v>48</v>
      </c>
      <c r="D10" s="25"/>
      <c r="E10" s="72"/>
      <c r="F10" s="31" t="s">
        <v>16</v>
      </c>
      <c r="H10" s="33" t="s">
        <v>37</v>
      </c>
    </row>
    <row r="11" spans="1:8" ht="18.75" x14ac:dyDescent="0.3">
      <c r="A11" s="21" t="s">
        <v>11</v>
      </c>
      <c r="C11" s="73"/>
      <c r="D11" s="25"/>
      <c r="E11" s="72"/>
      <c r="F11" s="31" t="s">
        <v>17</v>
      </c>
      <c r="G11" s="34"/>
      <c r="H11" s="32">
        <v>45540</v>
      </c>
    </row>
    <row r="12" spans="1:8" ht="18.75" x14ac:dyDescent="0.3">
      <c r="A12" s="21" t="s">
        <v>12</v>
      </c>
      <c r="C12" s="73" t="s">
        <v>49</v>
      </c>
      <c r="D12" s="25"/>
      <c r="E12" s="72"/>
      <c r="F12" s="31" t="s">
        <v>18</v>
      </c>
      <c r="H12" s="35"/>
    </row>
    <row r="13" spans="1:8" ht="18.75" customHeight="1" thickBot="1" x14ac:dyDescent="0.35">
      <c r="A13" s="22" t="s">
        <v>13</v>
      </c>
      <c r="B13" s="4"/>
      <c r="C13" s="74" t="s">
        <v>36</v>
      </c>
      <c r="D13" s="75"/>
      <c r="E13" s="76"/>
      <c r="F13" s="16"/>
      <c r="G13" s="4"/>
      <c r="H13" s="17"/>
    </row>
    <row r="14" spans="1:8" ht="15.75" thickBot="1" x14ac:dyDescent="0.3"/>
    <row r="15" spans="1:8" ht="15.75" thickBot="1" x14ac:dyDescent="0.3">
      <c r="A15" s="77" t="s">
        <v>38</v>
      </c>
      <c r="B15" s="54" t="s">
        <v>24</v>
      </c>
      <c r="C15" s="18"/>
      <c r="D15" s="7"/>
      <c r="E15" s="36" t="s">
        <v>20</v>
      </c>
      <c r="F15" s="36" t="s">
        <v>22</v>
      </c>
      <c r="G15" s="36" t="s">
        <v>21</v>
      </c>
      <c r="H15" s="36" t="s">
        <v>23</v>
      </c>
    </row>
    <row r="16" spans="1:8" ht="15.75" x14ac:dyDescent="0.25">
      <c r="A16" s="78">
        <v>1</v>
      </c>
      <c r="B16" s="39" t="s">
        <v>51</v>
      </c>
      <c r="C16" s="40"/>
      <c r="D16" s="56"/>
      <c r="E16" s="55" t="s">
        <v>42</v>
      </c>
      <c r="F16" s="59">
        <v>17500</v>
      </c>
      <c r="G16" s="55">
        <v>18</v>
      </c>
      <c r="H16" s="57">
        <f>G16*F16</f>
        <v>315000</v>
      </c>
    </row>
    <row r="17" spans="1:10" ht="15.75" x14ac:dyDescent="0.25">
      <c r="A17" s="79"/>
      <c r="B17" s="40" t="s">
        <v>52</v>
      </c>
      <c r="E17" s="44"/>
      <c r="F17" s="37"/>
      <c r="G17" s="55"/>
      <c r="H17" s="50"/>
      <c r="I17" s="37"/>
      <c r="J17" s="37"/>
    </row>
    <row r="18" spans="1:10" ht="15.75" x14ac:dyDescent="0.25">
      <c r="A18" s="80"/>
      <c r="B18" s="39"/>
      <c r="C18" s="40"/>
      <c r="D18" s="40"/>
      <c r="E18" s="63"/>
      <c r="F18" s="58"/>
      <c r="G18" s="55"/>
      <c r="H18" s="38"/>
      <c r="I18" s="37"/>
      <c r="J18" s="37"/>
    </row>
    <row r="19" spans="1:10" ht="19.5" customHeight="1" x14ac:dyDescent="0.25">
      <c r="A19" s="81"/>
      <c r="B19" s="41"/>
      <c r="C19" s="42"/>
      <c r="D19" s="42"/>
      <c r="E19" s="23"/>
      <c r="F19" s="60"/>
      <c r="G19" s="42"/>
      <c r="H19" s="43"/>
    </row>
    <row r="20" spans="1:10" ht="19.5" customHeight="1" thickBot="1" x14ac:dyDescent="0.3">
      <c r="H20" s="61"/>
    </row>
    <row r="21" spans="1:10" ht="19.5" customHeight="1" thickBot="1" x14ac:dyDescent="0.35">
      <c r="A21" s="64" t="s">
        <v>25</v>
      </c>
      <c r="B21" s="12" t="s">
        <v>53</v>
      </c>
      <c r="C21" s="13"/>
      <c r="D21" s="14"/>
      <c r="E21" s="84"/>
      <c r="F21" s="62" t="s">
        <v>31</v>
      </c>
      <c r="G21" s="6"/>
      <c r="H21" s="7"/>
    </row>
    <row r="22" spans="1:10" ht="19.5" customHeight="1" thickBot="1" x14ac:dyDescent="0.3">
      <c r="A22" s="65"/>
      <c r="B22" s="16" t="s">
        <v>54</v>
      </c>
      <c r="C22" s="4"/>
      <c r="D22" s="4"/>
      <c r="E22" s="86" t="s">
        <v>26</v>
      </c>
      <c r="F22" s="87"/>
      <c r="G22" s="68"/>
      <c r="H22" s="83">
        <f>H16</f>
        <v>315000</v>
      </c>
    </row>
    <row r="23" spans="1:10" ht="19.5" customHeight="1" x14ac:dyDescent="0.25">
      <c r="A23" s="26" t="s">
        <v>27</v>
      </c>
      <c r="B23" s="13"/>
      <c r="C23" s="13"/>
      <c r="D23" s="13"/>
      <c r="E23" s="88" t="s">
        <v>33</v>
      </c>
      <c r="F23" s="82"/>
      <c r="G23" s="89">
        <v>0.19</v>
      </c>
      <c r="H23" s="52">
        <f>H22*G23</f>
        <v>59850</v>
      </c>
    </row>
    <row r="24" spans="1:10" ht="15.75" x14ac:dyDescent="0.25">
      <c r="A24" s="15" t="s">
        <v>43</v>
      </c>
      <c r="D24" s="85"/>
      <c r="E24" s="90" t="s">
        <v>28</v>
      </c>
      <c r="F24" s="85"/>
      <c r="G24" s="91">
        <v>2.5000000000000001E-2</v>
      </c>
      <c r="H24" s="47"/>
    </row>
    <row r="25" spans="1:10" ht="15.75" x14ac:dyDescent="0.25">
      <c r="A25" s="15" t="s">
        <v>40</v>
      </c>
      <c r="D25" s="85"/>
      <c r="E25" s="15"/>
      <c r="F25" s="45"/>
      <c r="G25" s="72"/>
      <c r="H25" s="48"/>
    </row>
    <row r="26" spans="1:10" ht="16.5" thickBot="1" x14ac:dyDescent="0.3">
      <c r="A26" s="15" t="s">
        <v>35</v>
      </c>
      <c r="D26" s="85"/>
      <c r="E26" s="92" t="s">
        <v>29</v>
      </c>
      <c r="F26" s="93"/>
      <c r="G26" s="76"/>
      <c r="H26" s="49"/>
    </row>
    <row r="27" spans="1:10" ht="16.5" customHeight="1" thickBot="1" x14ac:dyDescent="0.35">
      <c r="A27" s="16"/>
      <c r="B27" s="4"/>
      <c r="C27" s="4"/>
      <c r="D27" s="17"/>
      <c r="F27" s="3"/>
      <c r="G27" s="46" t="s">
        <v>30</v>
      </c>
      <c r="H27" s="53">
        <f>H22+H23-H24</f>
        <v>374850</v>
      </c>
    </row>
    <row r="29" spans="1:10" x14ac:dyDescent="0.25">
      <c r="A29" t="s">
        <v>1</v>
      </c>
    </row>
    <row r="31" spans="1:10" ht="15.75" thickBot="1" x14ac:dyDescent="0.3"/>
    <row r="32" spans="1:10" ht="19.5" thickBot="1" x14ac:dyDescent="0.35">
      <c r="A32" s="27" t="s">
        <v>41</v>
      </c>
      <c r="B32" s="6"/>
      <c r="C32" s="6"/>
      <c r="D32" s="6"/>
      <c r="E32" s="6"/>
      <c r="F32" s="6"/>
      <c r="G32" s="6"/>
      <c r="H32" s="7"/>
    </row>
    <row r="41" spans="1:1" ht="18.75" x14ac:dyDescent="0.3">
      <c r="A41" s="5"/>
    </row>
  </sheetData>
  <mergeCells count="1">
    <mergeCell ref="A21:A22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CONST. EL CASTILLO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2024-07-04T12:50:58Z</cp:lastPrinted>
  <dcterms:created xsi:type="dcterms:W3CDTF">2018-11-15T17:29:02Z</dcterms:created>
  <dcterms:modified xsi:type="dcterms:W3CDTF">2024-08-29T21:00:09Z</dcterms:modified>
</cp:coreProperties>
</file>