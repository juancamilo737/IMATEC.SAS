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EF0BAF62-6201-4F66-9731-10252336C74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WORD FIRE SERVICE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8" i="1" l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41" i="1" s="1"/>
  <c r="H43" i="1" l="1"/>
  <c r="H42" i="1"/>
  <c r="H46" i="1" s="1"/>
</calcChain>
</file>

<file path=xl/sharedStrings.xml><?xml version="1.0" encoding="utf-8"?>
<sst xmlns="http://schemas.openxmlformats.org/spreadsheetml/2006/main" count="97" uniqueCount="78">
  <si>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</si>
  <si>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</si>
  <si>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</si>
  <si>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</si>
  <si>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</si>
  <si>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</si>
  <si>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</si>
  <si>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</si>
  <si>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</si>
  <si>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</si>
  <si>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</si>
  <si>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</si>
  <si>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</si>
  <si>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</si>
  <si>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</si>
  <si>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</si>
  <si>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</si>
  <si>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</si>
  <si>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C O T I Z A C I O N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</si>
  <si>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</si>
  <si>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</si>
  <si>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</si>
  <si>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</si>
  <si>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</si>
  <si>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</si>
  <si>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</si>
  <si>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</si>
  <si>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</si>
  <si>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</si>
  <si>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</si>
  <si>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</si>
  <si>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</si>
  <si>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</si>
  <si>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</si>
  <si>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</si>
  <si>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</si>
  <si>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</si>
  <si>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</si>
  <si>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</si>
  <si>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</si>
  <si>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</si>
  <si>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WORD FIRE SERVICE S.A.S.</t>
  </si>
  <si>
    <t>901 336710</t>
  </si>
  <si>
    <t>CALLE 26 B SUR  No. 10A-11</t>
  </si>
  <si>
    <t>BOGOTA</t>
  </si>
  <si>
    <t>gerentetecnico@wordfireservice.com</t>
  </si>
  <si>
    <t>301 5500453</t>
  </si>
  <si>
    <t>EDINSON CABEZAS</t>
  </si>
  <si>
    <t>TUBERIA  A / C  SCH 10  2 " ROJA</t>
  </si>
  <si>
    <t>METRO LINEAL</t>
  </si>
  <si>
    <t>TUBERIA  A / C  SCH 10  1 1/4  " ROJA</t>
  </si>
  <si>
    <t>TUBERIA  A / C  SCH 40  1  "  ROJA</t>
  </si>
  <si>
    <t>CODO  HD RANURADO  2 "  X  90º</t>
  </si>
  <si>
    <t>ACCESORIO</t>
  </si>
  <si>
    <t>CODO  HD RANURADO  1 1/4  "  X  90º</t>
  </si>
  <si>
    <t>CODO HR  1 "  X  90º  X  150 LB ROSCADO</t>
  </si>
  <si>
    <t>TEE HD RANURADA 2 "</t>
  </si>
  <si>
    <t>REDUCCION COPA HD  1 1/4 "  X 1 " ROSCARANURA</t>
  </si>
  <si>
    <t>REDUCCION HD RANURADA 2 "  X  1 1/4 "</t>
  </si>
  <si>
    <t>TEE MECANICA  2 "  X  1 1/4 " RANURADA</t>
  </si>
  <si>
    <t>STRAP  2 "  X  1 " ROSCADO</t>
  </si>
  <si>
    <t>UNION HD RANURADA 2 "</t>
  </si>
  <si>
    <t>UNION HD RANURADA 1 1/4  "</t>
  </si>
  <si>
    <t>UNION A / C ROCADA  1 "  X  300 LB</t>
  </si>
  <si>
    <t>REDUCCION BUSHING HR  1 "  X  1/2 "  X  150 LB</t>
  </si>
  <si>
    <t xml:space="preserve">ROCIADOR  1/2 " PENDENTE </t>
  </si>
  <si>
    <t>SOPORTE TIPO PERA 2 "</t>
  </si>
  <si>
    <t>SOPORTE TIPO PERA 1 1/4  "</t>
  </si>
  <si>
    <t>SOPORTE TIPO PERA 1   "</t>
  </si>
  <si>
    <t>ROLLO CINTA TEFLON 3/4 "  X  50 MTS</t>
  </si>
  <si>
    <t>INSUMO</t>
  </si>
  <si>
    <t>ROLLO CINTA TEFLON  1/2  "  X  15 MTS</t>
  </si>
  <si>
    <t>VARILLA GALVANIZADA 3/8 "  X  3MTS</t>
  </si>
  <si>
    <t>VARILLA</t>
  </si>
  <si>
    <t xml:space="preserve">CHAZO DE ANCLAJE TIPO BALA  3/8 " </t>
  </si>
  <si>
    <t>ENTREGA EN 2 DIAS A PARTIR DE ORDEN DE COMPRA</t>
  </si>
  <si>
    <t>DOS MILLONES NOVECIENTOS OCHENTA Y CUATRO MIL</t>
  </si>
  <si>
    <t>SETECIENTOS CUARENTA Y DOS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</si>
</sst>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4" fillId="0" borderId="3" xfId="0" applyFont="1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3" fillId="0" borderId="9" xfId="2" applyBorder="1"/>
    <xf numFmtId="0" fontId="8" fillId="0" borderId="0" xfId="0" applyFont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0" fillId="0" borderId="32" xfId="0" applyBorder="1"/>
    <xf numFmtId="0" fontId="8" fillId="0" borderId="33" xfId="0" applyFont="1" applyBorder="1"/>
    <xf numFmtId="0" fontId="8" fillId="0" borderId="34" xfId="0" applyFont="1" applyBorder="1"/>
    <xf numFmtId="0" fontId="8" fillId="0" borderId="35" xfId="0" applyFont="1" applyBorder="1"/>
    <xf numFmtId="0" fontId="8" fillId="0" borderId="36" xfId="0" applyFont="1" applyBorder="1"/>
    <xf numFmtId="0" fontId="0" fillId="0" borderId="37" xfId="0" applyBorder="1"/>
    <xf numFmtId="42" fontId="11" fillId="0" borderId="30" xfId="1" applyFont="1" applyBorder="1" applyAlignment="1">
      <alignment horizontal="center"/>
    </xf>
    <xf numFmtId="42" fontId="11" fillId="0" borderId="31" xfId="1" applyFont="1" applyBorder="1" applyAlignment="1">
      <alignment horizontal="center"/>
    </xf>
    <xf numFmtId="0" fontId="0" fillId="0" borderId="31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36" xfId="0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erentetecnico@wordfireservic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61"/>
  <sheetViews>
    <sheetView tabSelected="1" topLeftCell="A27" zoomScaleNormal="100" workbookViewId="0">
      <selection activeCell="I43" sqref="I43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39</v>
      </c>
    </row>
    <row r="3" spans="1:8" ht="27" thickBot="1" x14ac:dyDescent="0.45">
      <c r="A3" s="11" t="s">
        <v>40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34</v>
      </c>
      <c r="E4" s="18"/>
      <c r="F4" s="19"/>
      <c r="G4" s="6"/>
      <c r="H4" s="7"/>
    </row>
    <row r="5" spans="1:8" ht="19.5" thickBot="1" x14ac:dyDescent="0.35">
      <c r="A5" s="37" t="s">
        <v>37</v>
      </c>
      <c r="B5" s="6"/>
      <c r="C5" s="6"/>
      <c r="D5" s="6"/>
      <c r="E5" s="6"/>
    </row>
    <row r="6" spans="1:8" ht="24.75" customHeight="1" thickBot="1" x14ac:dyDescent="0.45">
      <c r="F6" s="41" t="s">
        <v>18</v>
      </c>
      <c r="G6" s="43"/>
      <c r="H6" s="44"/>
    </row>
    <row r="7" spans="1:8" ht="19.5" thickBot="1" x14ac:dyDescent="0.35">
      <c r="A7" s="20" t="s">
        <v>14</v>
      </c>
      <c r="B7" s="12"/>
      <c r="C7" s="46" t="s">
        <v>41</v>
      </c>
      <c r="D7" s="6"/>
      <c r="E7" s="6"/>
      <c r="F7" s="37"/>
      <c r="G7" s="18"/>
      <c r="H7" s="19"/>
    </row>
    <row r="8" spans="1:8" ht="19.5" thickBot="1" x14ac:dyDescent="0.35">
      <c r="A8" s="21" t="s">
        <v>8</v>
      </c>
      <c r="C8" s="14" t="s">
        <v>42</v>
      </c>
      <c r="E8" s="15"/>
      <c r="H8" s="15"/>
    </row>
    <row r="9" spans="1:8" ht="18.75" customHeight="1" thickBot="1" x14ac:dyDescent="0.35">
      <c r="A9" s="21" t="s">
        <v>9</v>
      </c>
      <c r="C9" s="14" t="s">
        <v>43</v>
      </c>
      <c r="E9" s="76" t="s">
        <v>44</v>
      </c>
      <c r="F9" s="30" t="s">
        <v>0</v>
      </c>
      <c r="H9" s="28">
        <v>45552</v>
      </c>
    </row>
    <row r="10" spans="1:8" ht="18.75" x14ac:dyDescent="0.3">
      <c r="A10" s="21" t="s">
        <v>13</v>
      </c>
      <c r="C10" s="50" t="s">
        <v>45</v>
      </c>
      <c r="E10" s="15"/>
      <c r="F10" s="30" t="s">
        <v>15</v>
      </c>
      <c r="H10" s="29" t="s">
        <v>33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45562</v>
      </c>
    </row>
    <row r="12" spans="1:8" ht="18.75" x14ac:dyDescent="0.3">
      <c r="A12" s="21" t="s">
        <v>11</v>
      </c>
      <c r="C12" s="14" t="s">
        <v>46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47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52" t="s">
        <v>38</v>
      </c>
      <c r="B15" s="24" t="s">
        <v>23</v>
      </c>
      <c r="C15" s="43"/>
      <c r="D15" s="13"/>
      <c r="E15" s="52" t="s">
        <v>19</v>
      </c>
      <c r="F15" s="52" t="s">
        <v>21</v>
      </c>
      <c r="G15" s="52" t="s">
        <v>20</v>
      </c>
      <c r="H15" s="32" t="s">
        <v>22</v>
      </c>
    </row>
    <row r="16" spans="1:8" ht="16.5" thickBot="1" x14ac:dyDescent="0.3">
      <c r="A16" s="54">
        <v>1</v>
      </c>
      <c r="B16" s="57" t="s">
        <v>48</v>
      </c>
      <c r="C16" s="57"/>
      <c r="D16" s="58"/>
      <c r="E16" s="54" t="s">
        <v>49</v>
      </c>
      <c r="F16" s="62">
        <v>32750</v>
      </c>
      <c r="G16" s="54">
        <v>30.6</v>
      </c>
      <c r="H16" s="38">
        <f t="shared" ref="H16" si="0">G16*F16</f>
        <v>1002150</v>
      </c>
    </row>
    <row r="17" spans="1:8" ht="16.5" thickBot="1" x14ac:dyDescent="0.3">
      <c r="A17" s="55">
        <v>2</v>
      </c>
      <c r="B17" s="51" t="s">
        <v>50</v>
      </c>
      <c r="C17" s="51"/>
      <c r="D17" s="60"/>
      <c r="E17" s="55" t="s">
        <v>49</v>
      </c>
      <c r="F17" s="63">
        <v>22750</v>
      </c>
      <c r="G17" s="55">
        <v>17.399999999999999</v>
      </c>
      <c r="H17" s="38">
        <f t="shared" ref="H17:H26" si="1">G17*F17</f>
        <v>395849.99999999994</v>
      </c>
    </row>
    <row r="18" spans="1:8" ht="16.5" thickBot="1" x14ac:dyDescent="0.3">
      <c r="A18" s="55">
        <v>3</v>
      </c>
      <c r="B18" s="51" t="s">
        <v>51</v>
      </c>
      <c r="C18" s="51"/>
      <c r="D18" s="60"/>
      <c r="E18" s="55" t="s">
        <v>49</v>
      </c>
      <c r="F18" s="63">
        <v>14700</v>
      </c>
      <c r="G18" s="55">
        <v>17.399999999999999</v>
      </c>
      <c r="H18" s="38">
        <f t="shared" si="1"/>
        <v>255779.99999999997</v>
      </c>
    </row>
    <row r="19" spans="1:8" ht="16.5" thickBot="1" x14ac:dyDescent="0.3">
      <c r="A19" s="55">
        <v>4</v>
      </c>
      <c r="B19" s="59" t="s">
        <v>52</v>
      </c>
      <c r="C19" s="51"/>
      <c r="D19" s="60"/>
      <c r="E19" s="55" t="s">
        <v>53</v>
      </c>
      <c r="F19" s="63">
        <v>13450</v>
      </c>
      <c r="G19" s="55">
        <v>2</v>
      </c>
      <c r="H19" s="38">
        <f t="shared" si="1"/>
        <v>26900</v>
      </c>
    </row>
    <row r="20" spans="1:8" ht="16.5" thickBot="1" x14ac:dyDescent="0.3">
      <c r="A20" s="55">
        <v>5</v>
      </c>
      <c r="B20" s="59" t="s">
        <v>54</v>
      </c>
      <c r="C20" s="51"/>
      <c r="D20" s="60"/>
      <c r="E20" s="55" t="s">
        <v>53</v>
      </c>
      <c r="F20" s="63">
        <v>8250</v>
      </c>
      <c r="G20" s="55">
        <v>2</v>
      </c>
      <c r="H20" s="38">
        <f t="shared" si="1"/>
        <v>16500</v>
      </c>
    </row>
    <row r="21" spans="1:8" ht="16.5" thickBot="1" x14ac:dyDescent="0.3">
      <c r="A21" s="55">
        <v>6</v>
      </c>
      <c r="B21" s="59" t="s">
        <v>55</v>
      </c>
      <c r="C21" s="51"/>
      <c r="D21" s="60"/>
      <c r="E21" s="55" t="s">
        <v>53</v>
      </c>
      <c r="F21" s="63">
        <v>3700</v>
      </c>
      <c r="G21" s="55">
        <v>8</v>
      </c>
      <c r="H21" s="38">
        <f t="shared" si="1"/>
        <v>29600</v>
      </c>
    </row>
    <row r="22" spans="1:8" ht="16.5" thickBot="1" x14ac:dyDescent="0.3">
      <c r="A22" s="55">
        <v>7</v>
      </c>
      <c r="B22" s="59" t="s">
        <v>56</v>
      </c>
      <c r="C22" s="51"/>
      <c r="D22" s="60"/>
      <c r="E22" s="55" t="s">
        <v>53</v>
      </c>
      <c r="F22" s="63">
        <v>25600</v>
      </c>
      <c r="G22" s="55">
        <v>1</v>
      </c>
      <c r="H22" s="38">
        <f t="shared" si="1"/>
        <v>25600</v>
      </c>
    </row>
    <row r="23" spans="1:8" ht="16.5" thickBot="1" x14ac:dyDescent="0.3">
      <c r="A23" s="55">
        <v>8</v>
      </c>
      <c r="B23" s="59" t="s">
        <v>57</v>
      </c>
      <c r="C23" s="51"/>
      <c r="D23" s="60"/>
      <c r="E23" s="55" t="s">
        <v>53</v>
      </c>
      <c r="F23" s="63">
        <v>5100</v>
      </c>
      <c r="G23" s="55">
        <v>6</v>
      </c>
      <c r="H23" s="38">
        <f t="shared" si="1"/>
        <v>30600</v>
      </c>
    </row>
    <row r="24" spans="1:8" ht="16.5" thickBot="1" x14ac:dyDescent="0.3">
      <c r="A24" s="55">
        <v>9</v>
      </c>
      <c r="B24" s="59" t="s">
        <v>58</v>
      </c>
      <c r="C24" s="51"/>
      <c r="D24" s="60"/>
      <c r="E24" s="55" t="s">
        <v>53</v>
      </c>
      <c r="F24" s="63">
        <v>7400</v>
      </c>
      <c r="G24" s="55">
        <v>2</v>
      </c>
      <c r="H24" s="38">
        <f t="shared" si="1"/>
        <v>14800</v>
      </c>
    </row>
    <row r="25" spans="1:8" ht="16.5" thickBot="1" x14ac:dyDescent="0.3">
      <c r="A25" s="55">
        <v>10</v>
      </c>
      <c r="B25" s="59" t="s">
        <v>59</v>
      </c>
      <c r="C25" s="51"/>
      <c r="D25" s="60"/>
      <c r="E25" s="55" t="s">
        <v>53</v>
      </c>
      <c r="F25" s="63">
        <v>15100</v>
      </c>
      <c r="G25" s="55">
        <v>6</v>
      </c>
      <c r="H25" s="38">
        <f t="shared" si="1"/>
        <v>90600</v>
      </c>
    </row>
    <row r="26" spans="1:8" ht="16.5" thickBot="1" x14ac:dyDescent="0.3">
      <c r="A26" s="77">
        <v>11</v>
      </c>
      <c r="B26" s="51" t="s">
        <v>60</v>
      </c>
      <c r="C26" s="51"/>
      <c r="D26" s="60"/>
      <c r="E26" s="55" t="s">
        <v>53</v>
      </c>
      <c r="F26" s="63">
        <v>10850</v>
      </c>
      <c r="G26" s="55">
        <v>1</v>
      </c>
      <c r="H26" s="38">
        <f t="shared" si="1"/>
        <v>10850</v>
      </c>
    </row>
    <row r="27" spans="1:8" ht="16.5" thickBot="1" x14ac:dyDescent="0.3">
      <c r="A27" s="55">
        <v>12</v>
      </c>
      <c r="B27" s="59" t="s">
        <v>61</v>
      </c>
      <c r="C27" s="51"/>
      <c r="D27" s="60"/>
      <c r="E27" s="55" t="s">
        <v>53</v>
      </c>
      <c r="F27" s="63">
        <v>13500</v>
      </c>
      <c r="G27" s="55">
        <v>20</v>
      </c>
      <c r="H27" s="38">
        <f t="shared" ref="H27:H34" si="2">G27*F27</f>
        <v>270000</v>
      </c>
    </row>
    <row r="28" spans="1:8" ht="16.5" thickBot="1" x14ac:dyDescent="0.3">
      <c r="A28" s="55">
        <v>13</v>
      </c>
      <c r="B28" s="59" t="s">
        <v>62</v>
      </c>
      <c r="C28" s="51"/>
      <c r="D28" s="60"/>
      <c r="E28" s="55" t="s">
        <v>53</v>
      </c>
      <c r="F28" s="63">
        <v>10150</v>
      </c>
      <c r="G28" s="55">
        <v>13</v>
      </c>
      <c r="H28" s="38">
        <f t="shared" si="2"/>
        <v>131950</v>
      </c>
    </row>
    <row r="29" spans="1:8" ht="16.5" thickBot="1" x14ac:dyDescent="0.3">
      <c r="A29" s="55">
        <v>14</v>
      </c>
      <c r="B29" s="59" t="s">
        <v>63</v>
      </c>
      <c r="C29" s="51"/>
      <c r="D29" s="60"/>
      <c r="E29" s="55" t="s">
        <v>53</v>
      </c>
      <c r="F29" s="63">
        <v>4250</v>
      </c>
      <c r="G29" s="55">
        <v>3</v>
      </c>
      <c r="H29" s="38">
        <f t="shared" si="2"/>
        <v>12750</v>
      </c>
    </row>
    <row r="30" spans="1:8" ht="16.5" thickBot="1" x14ac:dyDescent="0.3">
      <c r="A30" s="55">
        <v>15</v>
      </c>
      <c r="B30" s="59" t="s">
        <v>64</v>
      </c>
      <c r="C30" s="51"/>
      <c r="D30" s="60"/>
      <c r="E30" s="55" t="s">
        <v>53</v>
      </c>
      <c r="F30" s="63">
        <v>2200</v>
      </c>
      <c r="G30" s="55">
        <v>13</v>
      </c>
      <c r="H30" s="38">
        <f t="shared" si="2"/>
        <v>28600</v>
      </c>
    </row>
    <row r="31" spans="1:8" ht="16.5" thickBot="1" x14ac:dyDescent="0.3">
      <c r="A31" s="55">
        <v>16</v>
      </c>
      <c r="B31" s="59" t="s">
        <v>65</v>
      </c>
      <c r="C31" s="51"/>
      <c r="D31" s="60"/>
      <c r="E31" s="55" t="s">
        <v>53</v>
      </c>
      <c r="F31" s="63">
        <v>13600</v>
      </c>
      <c r="G31" s="55">
        <v>8</v>
      </c>
      <c r="H31" s="38">
        <f t="shared" si="2"/>
        <v>108800</v>
      </c>
    </row>
    <row r="32" spans="1:8" ht="16.5" thickBot="1" x14ac:dyDescent="0.3">
      <c r="A32" s="55">
        <v>17</v>
      </c>
      <c r="B32" s="59" t="s">
        <v>66</v>
      </c>
      <c r="C32" s="51"/>
      <c r="D32" s="60"/>
      <c r="E32" s="55" t="s">
        <v>53</v>
      </c>
      <c r="F32" s="63">
        <v>1850</v>
      </c>
      <c r="G32" s="55">
        <v>9</v>
      </c>
      <c r="H32" s="38">
        <f t="shared" si="2"/>
        <v>16650</v>
      </c>
    </row>
    <row r="33" spans="1:8" ht="16.5" thickBot="1" x14ac:dyDescent="0.3">
      <c r="A33" s="55">
        <v>18</v>
      </c>
      <c r="B33" s="59" t="s">
        <v>67</v>
      </c>
      <c r="C33" s="51"/>
      <c r="D33" s="60"/>
      <c r="E33" s="55" t="s">
        <v>53</v>
      </c>
      <c r="F33" s="63">
        <v>1300</v>
      </c>
      <c r="G33" s="55">
        <v>4</v>
      </c>
      <c r="H33" s="38">
        <f t="shared" si="2"/>
        <v>5200</v>
      </c>
    </row>
    <row r="34" spans="1:8" ht="16.5" thickBot="1" x14ac:dyDescent="0.3">
      <c r="A34" s="55">
        <v>19</v>
      </c>
      <c r="B34" s="59" t="s">
        <v>68</v>
      </c>
      <c r="C34" s="51"/>
      <c r="D34" s="60"/>
      <c r="E34" s="55" t="s">
        <v>53</v>
      </c>
      <c r="F34" s="63">
        <v>1210</v>
      </c>
      <c r="G34" s="55">
        <v>13</v>
      </c>
      <c r="H34" s="38">
        <f t="shared" si="2"/>
        <v>15730</v>
      </c>
    </row>
    <row r="35" spans="1:8" ht="16.5" thickBot="1" x14ac:dyDescent="0.3">
      <c r="A35" s="55">
        <v>20</v>
      </c>
      <c r="B35" s="59" t="s">
        <v>69</v>
      </c>
      <c r="C35" s="51"/>
      <c r="D35" s="60"/>
      <c r="E35" s="55" t="s">
        <v>70</v>
      </c>
      <c r="F35" s="63">
        <v>4300</v>
      </c>
      <c r="G35" s="55">
        <v>2</v>
      </c>
      <c r="H35" s="38">
        <f t="shared" ref="H35:H38" si="3">G35*F35</f>
        <v>8600</v>
      </c>
    </row>
    <row r="36" spans="1:8" ht="16.5" thickBot="1" x14ac:dyDescent="0.3">
      <c r="A36" s="55">
        <v>21</v>
      </c>
      <c r="B36" s="59" t="s">
        <v>71</v>
      </c>
      <c r="C36" s="51"/>
      <c r="D36" s="60"/>
      <c r="E36" s="55" t="s">
        <v>70</v>
      </c>
      <c r="F36" s="63">
        <v>2100</v>
      </c>
      <c r="G36" s="55">
        <v>6</v>
      </c>
      <c r="H36" s="38">
        <f t="shared" si="3"/>
        <v>12600</v>
      </c>
    </row>
    <row r="37" spans="1:8" ht="16.5" thickBot="1" x14ac:dyDescent="0.3">
      <c r="A37" s="55">
        <v>22</v>
      </c>
      <c r="B37" s="59" t="s">
        <v>72</v>
      </c>
      <c r="C37" s="51"/>
      <c r="D37" s="60"/>
      <c r="E37" s="55" t="s">
        <v>73</v>
      </c>
      <c r="F37" s="63">
        <v>8950</v>
      </c>
      <c r="G37" s="55">
        <v>4</v>
      </c>
      <c r="H37" s="38">
        <f t="shared" si="3"/>
        <v>35800</v>
      </c>
    </row>
    <row r="38" spans="1:8" ht="16.5" thickBot="1" x14ac:dyDescent="0.3">
      <c r="A38" s="55">
        <v>23</v>
      </c>
      <c r="B38" s="59" t="s">
        <v>74</v>
      </c>
      <c r="C38" s="51"/>
      <c r="D38" s="60"/>
      <c r="E38" s="55" t="s">
        <v>70</v>
      </c>
      <c r="F38" s="63">
        <v>460</v>
      </c>
      <c r="G38" s="55">
        <v>35</v>
      </c>
      <c r="H38" s="38">
        <f t="shared" si="3"/>
        <v>16100</v>
      </c>
    </row>
    <row r="39" spans="1:8" ht="19.5" customHeight="1" thickBot="1" x14ac:dyDescent="0.3">
      <c r="A39" s="56"/>
      <c r="B39" s="45"/>
      <c r="C39" s="42"/>
      <c r="D39" s="61"/>
      <c r="E39" s="64"/>
      <c r="F39" s="64"/>
      <c r="G39" s="64"/>
    </row>
    <row r="40" spans="1:8" ht="19.5" customHeight="1" thickBot="1" x14ac:dyDescent="0.35">
      <c r="A40" s="53" t="s">
        <v>24</v>
      </c>
      <c r="B40" s="14" t="s">
        <v>76</v>
      </c>
      <c r="D40" s="15"/>
      <c r="E40" s="65"/>
      <c r="F40" s="37" t="s">
        <v>30</v>
      </c>
      <c r="G40" s="6"/>
      <c r="H40" s="7"/>
    </row>
    <row r="41" spans="1:8" ht="19.5" customHeight="1" thickBot="1" x14ac:dyDescent="0.3">
      <c r="A41" s="39"/>
      <c r="B41" s="16" t="s">
        <v>77</v>
      </c>
      <c r="C41" s="4"/>
      <c r="D41" s="4"/>
      <c r="E41" s="68" t="s">
        <v>25</v>
      </c>
      <c r="F41" s="69"/>
      <c r="G41" s="47"/>
      <c r="H41" s="66">
        <f>SUM(H16:H38)</f>
        <v>2562010</v>
      </c>
    </row>
    <row r="42" spans="1:8" ht="19.5" customHeight="1" x14ac:dyDescent="0.25">
      <c r="A42" s="24" t="s">
        <v>26</v>
      </c>
      <c r="B42" s="12"/>
      <c r="C42" s="12"/>
      <c r="D42" s="12"/>
      <c r="E42" s="70" t="s">
        <v>31</v>
      </c>
      <c r="F42" s="23"/>
      <c r="G42" s="71">
        <v>0.19</v>
      </c>
      <c r="H42" s="40">
        <f>H41*G42</f>
        <v>486781.9</v>
      </c>
    </row>
    <row r="43" spans="1:8" ht="19.5" customHeight="1" x14ac:dyDescent="0.25">
      <c r="A43" s="14" t="s">
        <v>32</v>
      </c>
      <c r="E43" s="72" t="s">
        <v>27</v>
      </c>
      <c r="G43" s="75">
        <v>2.5000000000000001E-2</v>
      </c>
      <c r="H43" s="67">
        <f>H41*G43</f>
        <v>64050.25</v>
      </c>
    </row>
    <row r="44" spans="1:8" ht="15.75" x14ac:dyDescent="0.25">
      <c r="A44" s="14" t="s">
        <v>75</v>
      </c>
      <c r="E44" s="14"/>
      <c r="F44" s="33"/>
      <c r="G44" s="48"/>
      <c r="H44" s="15"/>
    </row>
    <row r="45" spans="1:8" ht="16.5" thickBot="1" x14ac:dyDescent="0.3">
      <c r="A45" s="14" t="s">
        <v>35</v>
      </c>
      <c r="E45" s="73" t="s">
        <v>28</v>
      </c>
      <c r="F45" s="74"/>
      <c r="G45" s="49"/>
      <c r="H45" s="17"/>
    </row>
    <row r="46" spans="1:8" ht="19.5" thickBot="1" x14ac:dyDescent="0.35">
      <c r="A46" s="16"/>
      <c r="B46" s="4"/>
      <c r="C46" s="4"/>
      <c r="D46" s="17"/>
      <c r="F46" s="3"/>
      <c r="G46" s="34" t="s">
        <v>29</v>
      </c>
      <c r="H46" s="36">
        <f>H41+H42-H43</f>
        <v>2984741.65</v>
      </c>
    </row>
    <row r="47" spans="1:8" ht="16.5" customHeight="1" x14ac:dyDescent="0.25"/>
    <row r="52" spans="1:8" ht="15.75" thickBot="1" x14ac:dyDescent="0.3"/>
    <row r="53" spans="1:8" ht="19.5" thickBot="1" x14ac:dyDescent="0.35">
      <c r="A53" s="25" t="s">
        <v>36</v>
      </c>
      <c r="B53" s="6"/>
      <c r="C53" s="6"/>
      <c r="D53" s="6"/>
      <c r="E53" s="6"/>
      <c r="F53" s="6"/>
      <c r="G53" s="6"/>
      <c r="H53" s="7"/>
    </row>
    <row r="61" spans="1:8" ht="18.75" x14ac:dyDescent="0.3">
      <c r="A61" s="5"/>
    </row>
  </sheetData>
  <hyperlinks>
    <hyperlink ref="C10" r:id="rId1" xr:uid="{B1BF4DD5-41C1-4B81-8E2D-447B15E03196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WORD FIRE SERVICE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2024-09-17T16:25:44Z</dcterms:modified>
</cp:coreProperties>
</file>