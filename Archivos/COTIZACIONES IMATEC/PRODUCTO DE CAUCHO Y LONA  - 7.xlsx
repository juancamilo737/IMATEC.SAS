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2AA71638-44EE-4E31-820E-83FF35D2561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RODUCTOS DE CAUCHO Y LONA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<sst xmlns="http://schemas.openxmlformats.org/spreadsheetml/2006/main" count="52" uniqueCount="52">
  <si>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</si>
  <si>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</si>
  <si>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</si>
  <si>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</si>
  <si>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</si>
  <si>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</si>
  <si>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</si>
  <si>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</si>
  <si>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</si>
  <si>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</si>
  <si>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</si>
  <si>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</si>
  <si>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</si>
  <si>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</si>
  <si>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</si>
  <si>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</si>
  <si>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</si>
  <si>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</si>
  <si>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</si>
  <si>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</si>
  <si>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</si>
  <si>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</si>
  <si>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</si>
  <si>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</si>
  <si>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</si>
  <si>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</si>
  <si>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</si>
  <si>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</si>
  <si>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</si>
  <si>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</si>
  <si>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</si>
  <si>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</si>
  <si>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</si>
  <si>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</si>
  <si>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CONTACTOS   310 8306118    319 7174165    321 7834969</t>
  </si>
  <si>
    <t>YUMBO</t>
  </si>
  <si>
    <t>LUIS A. BENAVIDES</t>
  </si>
  <si>
    <t>ENTREGA EN  CALI</t>
  </si>
  <si>
    <t>PRODUCTOS DE CAUCHO Y LONA</t>
  </si>
  <si>
    <t>890 328485</t>
  </si>
  <si>
    <t>CRA 38 No. 14-70</t>
  </si>
  <si>
    <t>impuestos@pcl.com.co</t>
  </si>
  <si>
    <t>602 4852111</t>
  </si>
  <si>
    <t>ITEM</t>
  </si>
  <si>
    <t>ACCESORIO</t>
  </si>
  <si>
    <t>ENTREGA INMEDIATA</t>
  </si>
  <si>
    <t>FORMA DE PAGO : CONTADO</t>
  </si>
  <si>
    <t>No. 7</t>
  </si>
  <si>
    <t>EMPAQUE ESPIROMETALICO  2 "</t>
  </si>
  <si>
    <t>NOVENTA Y CINCO MIL DOSCIENTOS PESOS MDA / CTE</t>
  </si>
  <si>
    <t xml:space="preserve">  CALLE  33A  No. 17F - 56                         B/  LA FLORESTA             -   CALI    -                                   CEL.     321 7834969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</si>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</sst>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4" fillId="0" borderId="13" xfId="0" applyFont="1" applyBorder="1"/>
    <xf numFmtId="0" fontId="5" fillId="0" borderId="16" xfId="0" applyFont="1" applyBorder="1"/>
    <xf numFmtId="42" fontId="1" fillId="0" borderId="17" xfId="0" applyNumberFormat="1" applyFont="1" applyBorder="1"/>
    <xf numFmtId="0" fontId="0" fillId="0" borderId="17" xfId="0" applyBorder="1"/>
    <xf numFmtId="0" fontId="0" fillId="0" borderId="16" xfId="0" applyBorder="1"/>
    <xf numFmtId="0" fontId="12" fillId="0" borderId="0" xfId="0" applyFont="1" applyAlignment="1">
      <alignment horizontal="center"/>
    </xf>
    <xf numFmtId="42" fontId="1" fillId="0" borderId="17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6" xfId="0" applyFont="1" applyBorder="1" applyAlignment="1">
      <alignment horizontal="left" vertical="top" wrapText="1"/>
    </xf>
    <xf numFmtId="0" fontId="0" fillId="0" borderId="18" xfId="0" applyBorder="1"/>
    <xf numFmtId="0" fontId="1" fillId="0" borderId="7" xfId="0" applyFont="1" applyBorder="1"/>
    <xf numFmtId="0" fontId="1" fillId="0" borderId="1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/>
    <xf numFmtId="42" fontId="11" fillId="0" borderId="0" xfId="1" applyFont="1" applyBorder="1" applyAlignment="1">
      <alignment horizontal="center"/>
    </xf>
    <xf numFmtId="42" fontId="1" fillId="0" borderId="0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7" xfId="0" applyNumberFormat="1" applyFont="1" applyBorder="1" applyAlignment="1">
      <alignment horizontal="left"/>
    </xf>
    <xf numFmtId="0" fontId="0" fillId="0" borderId="3" xfId="0" applyBorder="1"/>
    <xf numFmtId="0" fontId="4" fillId="0" borderId="19" xfId="0" applyFont="1" applyBorder="1"/>
    <xf numFmtId="0" fontId="4" fillId="0" borderId="20" xfId="0" applyFont="1" applyBorder="1"/>
    <xf numFmtId="0" fontId="0" fillId="0" borderId="21" xfId="0" applyBorder="1"/>
    <xf numFmtId="0" fontId="4" fillId="0" borderId="9" xfId="0" applyFont="1" applyBorder="1"/>
    <xf numFmtId="9" fontId="1" fillId="0" borderId="22" xfId="0" applyNumberFormat="1" applyFont="1" applyBorder="1"/>
    <xf numFmtId="0" fontId="4" fillId="0" borderId="23" xfId="0" applyFont="1" applyBorder="1"/>
    <xf numFmtId="10" fontId="1" fillId="0" borderId="10" xfId="0" applyNumberFormat="1" applyFont="1" applyBorder="1"/>
    <xf numFmtId="0" fontId="0" fillId="0" borderId="24" xfId="0" applyBorder="1"/>
    <xf numFmtId="0" fontId="4" fillId="0" borderId="25" xfId="0" applyFont="1" applyBorder="1"/>
    <xf numFmtId="0" fontId="4" fillId="0" borderId="26" xfId="0" applyFont="1" applyBorder="1"/>
    <xf numFmtId="0" fontId="0" fillId="0" borderId="27" xfId="0" applyBorder="1"/>
    <xf numFmtId="0" fontId="4" fillId="0" borderId="3" xfId="0" applyFont="1" applyBorder="1"/>
    <xf numFmtId="0" fontId="0" fillId="0" borderId="19" xfId="0" applyBorder="1"/>
    <xf numFmtId="0" fontId="0" fillId="0" borderId="20" xfId="0" applyBorder="1"/>
    <xf numFmtId="0" fontId="0" fillId="0" borderId="28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4" xfId="0" applyFont="1" applyBorder="1" applyAlignment="1">
      <alignment horizontal="center"/>
    </xf>
    <xf numFmtId="0" fontId="8" fillId="0" borderId="29" xfId="0" applyFont="1" applyBorder="1"/>
    <xf numFmtId="0" fontId="8" fillId="0" borderId="13" xfId="0" applyFont="1" applyBorder="1"/>
    <xf numFmtId="0" fontId="8" fillId="0" borderId="18" xfId="0" applyFont="1" applyBorder="1"/>
    <xf numFmtId="42" fontId="11" fillId="0" borderId="14" xfId="1" applyFont="1" applyBorder="1" applyAlignment="1">
      <alignment horizontal="center"/>
    </xf>
    <xf numFmtId="42" fontId="1" fillId="0" borderId="30" xfId="1" applyFont="1" applyBorder="1" applyAlignment="1">
      <alignment horizontal="left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mpuestos@pcl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6"/>
  <sheetViews>
    <sheetView tabSelected="1" zoomScaleNormal="100" workbookViewId="0">
      <selection activeCell="H11" sqref="H1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0" t="s">
        <v>31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7</v>
      </c>
      <c r="B4" s="6"/>
      <c r="C4" s="6"/>
      <c r="D4" s="29" t="s">
        <v>33</v>
      </c>
      <c r="E4" s="19"/>
      <c r="F4" s="20"/>
      <c r="G4" s="6"/>
      <c r="H4" s="7"/>
    </row>
    <row r="5" spans="1:8" ht="19.5" thickBot="1" x14ac:dyDescent="0.35">
      <c r="A5" s="27" t="s">
        <v>34</v>
      </c>
      <c r="B5" s="6"/>
      <c r="C5" s="6"/>
      <c r="D5" s="6"/>
      <c r="E5" s="6"/>
      <c r="F5" s="6"/>
      <c r="G5" s="6"/>
      <c r="H5" s="7"/>
    </row>
    <row r="6" spans="1:8" ht="24.75" customHeight="1" thickBot="1" x14ac:dyDescent="0.45">
      <c r="F6" s="11" t="s">
        <v>51</v>
      </c>
      <c r="G6" s="19"/>
      <c r="H6" s="20"/>
    </row>
    <row r="7" spans="1:8" ht="19.5" thickBot="1" x14ac:dyDescent="0.35">
      <c r="A7" s="21" t="s">
        <v>14</v>
      </c>
      <c r="B7" s="13"/>
      <c r="C7" s="66" t="s">
        <v>38</v>
      </c>
      <c r="D7" s="6"/>
      <c r="E7" s="7"/>
      <c r="F7" s="27"/>
      <c r="G7" s="19"/>
      <c r="H7" s="20" t="s">
        <v>47</v>
      </c>
    </row>
    <row r="8" spans="1:8" ht="18.75" x14ac:dyDescent="0.3">
      <c r="A8" s="22" t="s">
        <v>8</v>
      </c>
      <c r="C8" s="67" t="s">
        <v>39</v>
      </c>
      <c r="D8" s="68"/>
      <c r="E8" s="57"/>
      <c r="F8" s="12"/>
      <c r="G8" s="13"/>
      <c r="H8" s="14"/>
    </row>
    <row r="9" spans="1:8" ht="18.75" customHeight="1" x14ac:dyDescent="0.3">
      <c r="A9" s="22" t="s">
        <v>9</v>
      </c>
      <c r="C9" s="69" t="s">
        <v>40</v>
      </c>
      <c r="D9" s="24"/>
      <c r="E9" s="70" t="s">
        <v>35</v>
      </c>
      <c r="F9" s="30" t="s">
        <v>0</v>
      </c>
      <c r="H9" s="31">
        <v>45881</v>
      </c>
    </row>
    <row r="10" spans="1:8" ht="18.75" x14ac:dyDescent="0.3">
      <c r="A10" s="22" t="s">
        <v>13</v>
      </c>
      <c r="C10" s="71" t="s">
        <v>41</v>
      </c>
      <c r="D10" s="25"/>
      <c r="E10" s="62"/>
      <c r="F10" s="30" t="s">
        <v>15</v>
      </c>
      <c r="H10" s="32"/>
    </row>
    <row r="11" spans="1:8" ht="18.75" x14ac:dyDescent="0.3">
      <c r="A11" s="22" t="s">
        <v>10</v>
      </c>
      <c r="C11" s="72"/>
      <c r="D11" s="25"/>
      <c r="E11" s="62"/>
      <c r="F11" s="30" t="s">
        <v>16</v>
      </c>
      <c r="G11" s="33"/>
      <c r="H11" s="31"/>
    </row>
    <row r="12" spans="1:8" ht="18.75" x14ac:dyDescent="0.3">
      <c r="A12" s="22" t="s">
        <v>11</v>
      </c>
      <c r="C12" s="72" t="s">
        <v>42</v>
      </c>
      <c r="D12" s="25"/>
      <c r="E12" s="62"/>
      <c r="F12" s="30" t="s">
        <v>17</v>
      </c>
      <c r="H12" s="34"/>
    </row>
    <row r="13" spans="1:8" ht="18.75" customHeight="1" thickBot="1" x14ac:dyDescent="0.35">
      <c r="A13" s="23" t="s">
        <v>12</v>
      </c>
      <c r="B13" s="4"/>
      <c r="C13" s="73" t="s">
        <v>36</v>
      </c>
      <c r="D13" s="74"/>
      <c r="E13" s="65"/>
      <c r="F13" s="17"/>
      <c r="G13" s="4"/>
      <c r="H13" s="18"/>
    </row>
    <row r="14" spans="1:8" ht="15.75" thickBot="1" x14ac:dyDescent="0.3"/>
    <row r="15" spans="1:8" x14ac:dyDescent="0.25">
      <c r="A15" s="47" t="s">
        <v>43</v>
      </c>
      <c r="B15" s="26" t="s">
        <v>23</v>
      </c>
      <c r="C15" s="46"/>
      <c r="D15" s="14"/>
      <c r="E15" s="47" t="s">
        <v>19</v>
      </c>
      <c r="F15" s="47" t="s">
        <v>21</v>
      </c>
      <c r="G15" s="47" t="s">
        <v>20</v>
      </c>
      <c r="H15" s="47" t="s">
        <v>22</v>
      </c>
    </row>
    <row r="16" spans="1:8" ht="16.5" thickBot="1" x14ac:dyDescent="0.3">
      <c r="A16" s="75">
        <v>1</v>
      </c>
      <c r="B16" s="76" t="s">
        <v>48</v>
      </c>
      <c r="C16" s="77"/>
      <c r="D16" s="78"/>
      <c r="E16" s="75" t="s">
        <v>44</v>
      </c>
      <c r="F16" s="79">
        <v>8000</v>
      </c>
      <c r="G16" s="75">
        <v>10</v>
      </c>
      <c r="H16" s="80">
        <f t="shared" ref="H16" si="0">G16*F16</f>
        <v>80000</v>
      </c>
    </row>
    <row r="17" spans="1:8" ht="16.5" thickBot="1" x14ac:dyDescent="0.3">
      <c r="A17" s="48"/>
      <c r="B17" s="49"/>
      <c r="C17" s="49"/>
      <c r="D17" s="49"/>
      <c r="E17" s="48"/>
      <c r="F17" s="50"/>
      <c r="G17" s="48"/>
      <c r="H17" s="51"/>
    </row>
    <row r="18" spans="1:8" ht="19.5" customHeight="1" thickBot="1" x14ac:dyDescent="0.35">
      <c r="A18" s="52" t="s">
        <v>24</v>
      </c>
      <c r="B18" s="12" t="s">
        <v>49</v>
      </c>
      <c r="C18" s="13"/>
      <c r="D18" s="14"/>
      <c r="E18" s="54"/>
      <c r="F18" s="43" t="s">
        <v>30</v>
      </c>
      <c r="G18" s="6"/>
      <c r="H18" s="7"/>
    </row>
    <row r="19" spans="1:8" ht="16.5" thickBot="1" x14ac:dyDescent="0.3">
      <c r="A19" s="44"/>
      <c r="B19" s="17"/>
      <c r="C19" s="4"/>
      <c r="D19" s="18"/>
      <c r="E19" s="55" t="s">
        <v>25</v>
      </c>
      <c r="F19" s="56"/>
      <c r="G19" s="57"/>
      <c r="H19" s="53">
        <f>SUM(H16:H16)</f>
        <v>80000</v>
      </c>
    </row>
    <row r="20" spans="1:8" ht="15.75" x14ac:dyDescent="0.25">
      <c r="A20" s="26" t="s">
        <v>26</v>
      </c>
      <c r="B20" s="13"/>
      <c r="C20" s="13"/>
      <c r="D20" s="14"/>
      <c r="E20" s="58" t="s">
        <v>32</v>
      </c>
      <c r="F20" s="45"/>
      <c r="G20" s="59">
        <v>0.19</v>
      </c>
      <c r="H20" s="41">
        <f>H19*G20</f>
        <v>15200</v>
      </c>
    </row>
    <row r="21" spans="1:8" ht="15.75" x14ac:dyDescent="0.25">
      <c r="A21" s="15" t="s">
        <v>46</v>
      </c>
      <c r="D21" s="16"/>
      <c r="E21" s="60" t="s">
        <v>27</v>
      </c>
      <c r="G21" s="61">
        <v>2.5000000000000001E-2</v>
      </c>
      <c r="H21" s="37"/>
    </row>
    <row r="22" spans="1:8" ht="16.5" customHeight="1" x14ac:dyDescent="0.25">
      <c r="A22" s="15" t="s">
        <v>45</v>
      </c>
      <c r="D22" s="16"/>
      <c r="E22" s="15"/>
      <c r="F22" s="35"/>
      <c r="G22" s="62"/>
      <c r="H22" s="38"/>
    </row>
    <row r="23" spans="1:8" ht="16.5" thickBot="1" x14ac:dyDescent="0.3">
      <c r="A23" s="15" t="s">
        <v>37</v>
      </c>
      <c r="D23" s="16"/>
      <c r="E23" s="63" t="s">
        <v>28</v>
      </c>
      <c r="F23" s="64"/>
      <c r="G23" s="65"/>
      <c r="H23" s="39"/>
    </row>
    <row r="24" spans="1:8" ht="19.5" thickBot="1" x14ac:dyDescent="0.35">
      <c r="A24" s="17"/>
      <c r="B24" s="4"/>
      <c r="C24" s="4"/>
      <c r="D24" s="18"/>
      <c r="F24" s="3"/>
      <c r="G24" s="36" t="s">
        <v>29</v>
      </c>
      <c r="H24" s="42">
        <f>H19+H20-H21</f>
        <v>95200</v>
      </c>
    </row>
    <row r="27" spans="1:8" ht="15.75" thickBot="1" x14ac:dyDescent="0.3"/>
    <row r="28" spans="1:8" ht="19.5" thickBot="1" x14ac:dyDescent="0.35">
      <c r="A28" s="27" t="s">
        <v>50</v>
      </c>
      <c r="B28" s="6"/>
      <c r="C28" s="6"/>
      <c r="D28" s="6"/>
      <c r="E28" s="6"/>
      <c r="F28" s="6"/>
      <c r="G28" s="6"/>
      <c r="H28" s="7"/>
    </row>
    <row r="36" spans="1:1" ht="18.75" x14ac:dyDescent="0.3">
      <c r="A36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 DE CAUCHO Y LONA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2024-11-19T15:45:51Z</cp:lastPrinted>
  <dcterms:created xsi:type="dcterms:W3CDTF">2018-11-15T17:29:02Z</dcterms:created>
  <dcterms:modified xsi:type="dcterms:W3CDTF">2025-08-12T19:58:44Z</dcterms:modified>
</cp:coreProperties>
</file>