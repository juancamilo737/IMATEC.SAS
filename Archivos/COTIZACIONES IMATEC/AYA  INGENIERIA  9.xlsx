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F16CCE8-03C8-4163-8334-8D7D82E4918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Y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4" i="1"/>
  <c r="H21" i="1"/>
  <c r="H20" i="1"/>
  <c r="H19" i="1"/>
  <c r="H18" i="1"/>
  <c r="H17" i="1"/>
  <c r="H16" i="1"/>
  <c r="H25" i="1" l="1"/>
  <c r="H29" i="1" s="1"/>
</calcChain>
</file>

<file path=xl/sharedStrings.xml><?xml version="1.0" encoding="utf-8"?>
<sst xmlns="http://schemas.openxmlformats.org/spreadsheetml/2006/main" count="64" uniqueCount="62">
  <si>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</si>
  <si>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</si>
  <si>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</si>
  <si>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</si>
  <si>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</si>
  <si>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</si>
  <si>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</si>
  <si>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</si>
  <si>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</si>
  <si>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</si>
  <si>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</si>
  <si>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</si>
  <si>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</si>
  <si>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</si>
  <si>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</si>
  <si>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</si>
  <si>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</si>
  <si>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</si>
  <si>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</si>
  <si>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</si>
  <si>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</si>
  <si>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</si>
  <si>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</si>
  <si>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</si>
  <si>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</si>
  <si>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</si>
  <si>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</si>
  <si>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</si>
  <si>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</si>
  <si>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</si>
  <si>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</si>
  <si>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</si>
  <si>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</si>
  <si>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</si>
  <si>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</si>
  <si>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</si>
  <si>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</si>
  <si>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</si>
  <si>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</si>
  <si>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AYA INGENIERIA FABRICACION Y MONTAJES METALMECANICAS S.A.S</t>
  </si>
  <si>
    <t>901 888388</t>
  </si>
  <si>
    <t>CALLE 44  No. 3N-09</t>
  </si>
  <si>
    <t>CALI</t>
  </si>
  <si>
    <t>contablidad@ayaingenieria.com.co</t>
  </si>
  <si>
    <t>317 8913305</t>
  </si>
  <si>
    <t>EDINSON CABEZAS</t>
  </si>
  <si>
    <t>ACCESORIO</t>
  </si>
  <si>
    <t>ENTREGA INMEDIATA</t>
  </si>
  <si>
    <t>No. 9</t>
  </si>
  <si>
    <t xml:space="preserve">           C O T I Z A C I O N</t>
  </si>
  <si>
    <t>10 DIAS</t>
  </si>
  <si>
    <t xml:space="preserve">ANGULO AC/INOX  304  1 1/2 "  X  3/16 " </t>
  </si>
  <si>
    <t>6 MTS</t>
  </si>
  <si>
    <t>TORNILLO AC/INOX 304  5/8 "  X  1 1/2  "</t>
  </si>
  <si>
    <t>TORNILLO AC/INOX 304  1/2 "  X  1 1/2  "</t>
  </si>
  <si>
    <t>TORNILLO AC/INOX 304  3/4 "  X  1 1/2  "</t>
  </si>
  <si>
    <t>LAMINA  AC/INOX 304  3/16 "  5 X 10</t>
  </si>
  <si>
    <t>LAMINA</t>
  </si>
  <si>
    <t>NIPLE  AC/INOX 304  1 " X 4 "</t>
  </si>
  <si>
    <t>FABRICACION</t>
  </si>
  <si>
    <t>NUEVE MILLONES CIENTO TREINTA Y TRES MIL CUATRO-</t>
  </si>
  <si>
    <t>CIENTOS SESENTA Y SEIS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</si>
</sst>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8" fillId="0" borderId="20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lidad@ayaingenieri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topLeftCell="A8" zoomScaleNormal="100" workbookViewId="0">
      <selection activeCell="B25" sqref="B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3"/>
      <c r="H6" s="44"/>
    </row>
    <row r="7" spans="1:8" ht="19.5" thickBot="1" x14ac:dyDescent="0.35">
      <c r="A7" s="20" t="s">
        <v>14</v>
      </c>
      <c r="B7" s="12"/>
      <c r="C7" s="64" t="s">
        <v>39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6" t="s">
        <v>40</v>
      </c>
      <c r="D8" s="67"/>
      <c r="E8" s="45"/>
      <c r="H8" s="15"/>
    </row>
    <row r="9" spans="1:8" ht="18.75" customHeight="1" x14ac:dyDescent="0.3">
      <c r="A9" s="21" t="s">
        <v>9</v>
      </c>
      <c r="C9" s="68" t="s">
        <v>41</v>
      </c>
      <c r="D9" s="23"/>
      <c r="E9" s="69" t="s">
        <v>42</v>
      </c>
      <c r="F9" s="30" t="s">
        <v>0</v>
      </c>
      <c r="H9" s="28">
        <v>45833</v>
      </c>
    </row>
    <row r="10" spans="1:8" ht="18.75" x14ac:dyDescent="0.3">
      <c r="A10" s="21" t="s">
        <v>13</v>
      </c>
      <c r="C10" s="70" t="s">
        <v>43</v>
      </c>
      <c r="D10" s="65"/>
      <c r="E10" s="46"/>
      <c r="F10" s="30" t="s">
        <v>15</v>
      </c>
      <c r="H10" s="29" t="s">
        <v>50</v>
      </c>
    </row>
    <row r="11" spans="1:8" ht="18.75" x14ac:dyDescent="0.3">
      <c r="A11" s="21" t="s">
        <v>10</v>
      </c>
      <c r="C11" s="71"/>
      <c r="D11" s="65"/>
      <c r="E11" s="46"/>
      <c r="F11" s="30" t="s">
        <v>16</v>
      </c>
      <c r="G11" s="30"/>
      <c r="H11" s="28">
        <v>45843</v>
      </c>
    </row>
    <row r="12" spans="1:8" ht="18.75" x14ac:dyDescent="0.3">
      <c r="A12" s="21" t="s">
        <v>11</v>
      </c>
      <c r="C12" s="71" t="s">
        <v>44</v>
      </c>
      <c r="D12" s="65"/>
      <c r="E12" s="4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45</v>
      </c>
      <c r="D13" s="73"/>
      <c r="E13" s="47"/>
      <c r="F13" s="4"/>
      <c r="G13" s="4"/>
      <c r="H13" s="17"/>
    </row>
    <row r="14" spans="1:8" ht="15.75" thickBot="1" x14ac:dyDescent="0.3"/>
    <row r="15" spans="1:8" ht="15.75" thickBot="1" x14ac:dyDescent="0.3">
      <c r="A15" s="48" t="s">
        <v>34</v>
      </c>
      <c r="B15" s="24" t="s">
        <v>22</v>
      </c>
      <c r="C15" s="43"/>
      <c r="D15" s="13"/>
      <c r="E15" s="48" t="s">
        <v>18</v>
      </c>
      <c r="F15" s="48" t="s">
        <v>20</v>
      </c>
      <c r="G15" s="48" t="s">
        <v>19</v>
      </c>
      <c r="H15" s="32" t="s">
        <v>21</v>
      </c>
    </row>
    <row r="16" spans="1:8" ht="16.5" thickBot="1" x14ac:dyDescent="0.3">
      <c r="A16" s="74">
        <v>1</v>
      </c>
      <c r="B16" s="75" t="s">
        <v>51</v>
      </c>
      <c r="C16" s="76"/>
      <c r="D16" s="77"/>
      <c r="E16" s="74" t="s">
        <v>52</v>
      </c>
      <c r="F16" s="78">
        <v>275400</v>
      </c>
      <c r="G16" s="74">
        <v>1</v>
      </c>
      <c r="H16" s="38">
        <f t="shared" ref="H16" si="0">G16*F16</f>
        <v>275400</v>
      </c>
    </row>
    <row r="17" spans="1:8" ht="16.5" thickBot="1" x14ac:dyDescent="0.3">
      <c r="A17" s="74">
        <v>2</v>
      </c>
      <c r="B17" s="75" t="s">
        <v>53</v>
      </c>
      <c r="C17" s="76"/>
      <c r="D17" s="77"/>
      <c r="E17" s="74" t="s">
        <v>46</v>
      </c>
      <c r="F17" s="78">
        <v>2100</v>
      </c>
      <c r="G17" s="74">
        <v>12</v>
      </c>
      <c r="H17" s="38">
        <f t="shared" ref="H17:H21" si="1">G17*F17</f>
        <v>25200</v>
      </c>
    </row>
    <row r="18" spans="1:8" ht="16.5" thickBot="1" x14ac:dyDescent="0.3">
      <c r="A18" s="74">
        <v>3</v>
      </c>
      <c r="B18" s="75" t="s">
        <v>54</v>
      </c>
      <c r="C18" s="76"/>
      <c r="D18" s="77"/>
      <c r="E18" s="74" t="s">
        <v>46</v>
      </c>
      <c r="F18" s="78">
        <v>1950</v>
      </c>
      <c r="G18" s="74">
        <v>8</v>
      </c>
      <c r="H18" s="38">
        <f t="shared" si="1"/>
        <v>15600</v>
      </c>
    </row>
    <row r="19" spans="1:8" ht="16.5" thickBot="1" x14ac:dyDescent="0.3">
      <c r="A19" s="74">
        <v>4</v>
      </c>
      <c r="B19" s="75" t="s">
        <v>55</v>
      </c>
      <c r="C19" s="76"/>
      <c r="D19" s="77"/>
      <c r="E19" s="74" t="s">
        <v>46</v>
      </c>
      <c r="F19" s="78">
        <v>3780</v>
      </c>
      <c r="G19" s="74">
        <v>30</v>
      </c>
      <c r="H19" s="38">
        <f t="shared" si="1"/>
        <v>113400</v>
      </c>
    </row>
    <row r="20" spans="1:8" ht="16.5" thickBot="1" x14ac:dyDescent="0.3">
      <c r="A20" s="74">
        <v>5</v>
      </c>
      <c r="B20" s="75" t="s">
        <v>56</v>
      </c>
      <c r="C20" s="76"/>
      <c r="D20" s="77"/>
      <c r="E20" s="74" t="s">
        <v>57</v>
      </c>
      <c r="F20" s="78">
        <v>2465100</v>
      </c>
      <c r="G20" s="74">
        <v>3</v>
      </c>
      <c r="H20" s="38">
        <f t="shared" si="1"/>
        <v>7395300</v>
      </c>
    </row>
    <row r="21" spans="1:8" ht="16.5" thickBot="1" x14ac:dyDescent="0.3">
      <c r="A21" s="74">
        <v>6</v>
      </c>
      <c r="B21" s="75" t="s">
        <v>58</v>
      </c>
      <c r="C21" s="76"/>
      <c r="D21" s="77"/>
      <c r="E21" s="74" t="s">
        <v>59</v>
      </c>
      <c r="F21" s="78">
        <v>14985</v>
      </c>
      <c r="G21" s="74">
        <v>1</v>
      </c>
      <c r="H21" s="38">
        <f t="shared" si="1"/>
        <v>14985</v>
      </c>
    </row>
    <row r="22" spans="1:8" ht="19.5" customHeight="1" thickBot="1" x14ac:dyDescent="0.3">
      <c r="A22" s="50"/>
      <c r="B22" s="79"/>
      <c r="C22" s="42"/>
      <c r="D22" s="51"/>
      <c r="E22" s="52"/>
      <c r="F22" s="52"/>
      <c r="G22" s="52"/>
    </row>
    <row r="23" spans="1:8" ht="19.5" customHeight="1" thickBot="1" x14ac:dyDescent="0.35">
      <c r="A23" s="49" t="s">
        <v>23</v>
      </c>
      <c r="B23" s="14" t="s">
        <v>60</v>
      </c>
      <c r="D23" s="15"/>
      <c r="E23" s="53"/>
      <c r="F23" s="37" t="s">
        <v>37</v>
      </c>
      <c r="G23" s="6"/>
      <c r="H23" s="7"/>
    </row>
    <row r="24" spans="1:8" ht="19.5" customHeight="1" thickBot="1" x14ac:dyDescent="0.3">
      <c r="A24" s="39"/>
      <c r="B24" s="16" t="s">
        <v>61</v>
      </c>
      <c r="C24" s="4"/>
      <c r="D24" s="4"/>
      <c r="E24" s="56" t="s">
        <v>24</v>
      </c>
      <c r="F24" s="57"/>
      <c r="G24" s="45"/>
      <c r="H24" s="54">
        <f>SUM(H16:H21)</f>
        <v>7839885</v>
      </c>
    </row>
    <row r="25" spans="1:8" ht="19.5" customHeight="1" x14ac:dyDescent="0.25">
      <c r="A25" s="24" t="s">
        <v>25</v>
      </c>
      <c r="B25" s="12"/>
      <c r="C25" s="12"/>
      <c r="D25" s="12"/>
      <c r="E25" s="58" t="s">
        <v>29</v>
      </c>
      <c r="F25" s="23"/>
      <c r="G25" s="59">
        <v>0.19</v>
      </c>
      <c r="H25" s="40">
        <f>H24*G25</f>
        <v>1489578.15</v>
      </c>
    </row>
    <row r="26" spans="1:8" ht="19.5" customHeight="1" x14ac:dyDescent="0.25">
      <c r="A26" s="14" t="s">
        <v>30</v>
      </c>
      <c r="E26" s="60" t="s">
        <v>26</v>
      </c>
      <c r="G26" s="63">
        <v>2.5000000000000001E-2</v>
      </c>
      <c r="H26" s="55">
        <f>H24*G26</f>
        <v>195997.125</v>
      </c>
    </row>
    <row r="27" spans="1:8" ht="15.75" x14ac:dyDescent="0.25">
      <c r="A27" s="14" t="s">
        <v>47</v>
      </c>
      <c r="E27" s="14"/>
      <c r="F27" s="33"/>
      <c r="G27" s="46"/>
      <c r="H27" s="15"/>
    </row>
    <row r="28" spans="1:8" ht="16.5" thickBot="1" x14ac:dyDescent="0.3">
      <c r="A28" s="14" t="s">
        <v>32</v>
      </c>
      <c r="E28" s="61" t="s">
        <v>27</v>
      </c>
      <c r="F28" s="62"/>
      <c r="G28" s="47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28</v>
      </c>
      <c r="H29" s="36">
        <f>H24+H25-H26</f>
        <v>9133466.0250000004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38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608CA974-7AE2-4051-9FAA-D1F45E90EBF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2025-06-20T18:10:47Z</cp:lastPrinted>
  <dcterms:created xsi:type="dcterms:W3CDTF">2018-11-15T17:29:02Z</dcterms:created>
  <dcterms:modified xsi:type="dcterms:W3CDTF">2025-06-25T22:15:47Z</dcterms:modified>
</cp:coreProperties>
</file>