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2CDC3B06-3629-4FEB-A034-4CB89DAC269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 l="1"/>
  <c r="H20" i="1" s="1"/>
  <c r="H23" i="1" l="1"/>
  <c r="H22" i="1"/>
  <c r="H21" i="1"/>
  <c r="H25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<sst xmlns="http://schemas.openxmlformats.org/spreadsheetml/2006/main" count="57" uniqueCount="57">
  <si>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</si>
  <si>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</si>
  <si>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</si>
  <si>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</si>
  <si>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</si>
  <si>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</si>
  <si>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</si>
  <si>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</si>
  <si>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</si>
  <si>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</si>
  <si>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</si>
  <si>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</si>
  <si>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</si>
  <si>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</si>
  <si>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</si>
  <si>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</si>
  <si>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</si>
  <si>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</si>
  <si>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</si>
  <si>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</si>
  <si>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</si>
  <si>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</si>
  <si>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</si>
  <si>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</si>
  <si>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</si>
  <si>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</si>
  <si>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</si>
  <si>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</si>
  <si>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</si>
  <si>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</si>
  <si>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</si>
  <si>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</si>
  <si>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</si>
  <si>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</si>
  <si>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</si>
  <si>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</si>
  <si>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</si>
  <si>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</si>
  <si>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</si>
  <si>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</si>
  <si>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INSE INGENIERIA Y SEGURIDAD S.A.S.</t>
  </si>
  <si>
    <t>900 748838</t>
  </si>
  <si>
    <t>CALLE  31 A  No. 15-36</t>
  </si>
  <si>
    <t>conta.inse@gmail.com</t>
  </si>
  <si>
    <t>602 3480998</t>
  </si>
  <si>
    <t>EDINSON CABEZAS</t>
  </si>
  <si>
    <t xml:space="preserve">           C O T I Z A C I O N</t>
  </si>
  <si>
    <t>10 DIAS</t>
  </si>
  <si>
    <t>CALI</t>
  </si>
  <si>
    <t xml:space="preserve">  RETEICA</t>
  </si>
  <si>
    <t>ENTREGA EN TRES DIAS POSTERIOR A ORDEN DE COMPRA</t>
  </si>
  <si>
    <t>No. 8</t>
  </si>
  <si>
    <t>TUBERIA  A / C  SCH 40   2 "</t>
  </si>
  <si>
    <t>TUBO X 6 MTS</t>
  </si>
  <si>
    <t>CODO A / C  SCH 40  2 "  X  90 º  P/S</t>
  </si>
  <si>
    <t>ONCE MILLONES QUINIENTOS CUATRO MIL VEINTICINCO</t>
  </si>
  <si>
    <t>PESOS 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</si>
</sst>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26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.in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B21" sqref="B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48</v>
      </c>
      <c r="F9" s="30" t="s">
        <v>0</v>
      </c>
      <c r="H9" s="28">
        <v>45903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47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45912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52</v>
      </c>
      <c r="C16" s="77"/>
      <c r="D16" s="78"/>
      <c r="E16" s="75" t="s">
        <v>53</v>
      </c>
      <c r="F16" s="79">
        <v>188700</v>
      </c>
      <c r="G16" s="75">
        <v>52</v>
      </c>
      <c r="H16" s="38">
        <f t="shared" ref="H16" si="0">G16*F16</f>
        <v>9812400</v>
      </c>
    </row>
    <row r="17" spans="1:8" ht="16.5" thickBot="1" x14ac:dyDescent="0.3">
      <c r="A17" s="75">
        <v>2</v>
      </c>
      <c r="B17" s="76" t="s">
        <v>54</v>
      </c>
      <c r="C17" s="77"/>
      <c r="D17" s="78"/>
      <c r="E17" s="75" t="s">
        <v>37</v>
      </c>
      <c r="F17" s="79">
        <v>6400</v>
      </c>
      <c r="G17" s="75">
        <v>20</v>
      </c>
      <c r="H17" s="38">
        <f t="shared" ref="H17" si="1">G17*F17</f>
        <v>128000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55</v>
      </c>
      <c r="D19" s="15"/>
      <c r="E19" s="54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56</v>
      </c>
      <c r="C20" s="4"/>
      <c r="D20" s="4"/>
      <c r="E20" s="57" t="s">
        <v>24</v>
      </c>
      <c r="F20" s="58"/>
      <c r="G20" s="46"/>
      <c r="H20" s="55">
        <f>SUM(H16:H17)</f>
        <v>9940400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1888676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>
        <f>H20*G22</f>
        <v>248510</v>
      </c>
    </row>
    <row r="23" spans="1:8" ht="15.75" x14ac:dyDescent="0.25">
      <c r="A23" s="14" t="s">
        <v>50</v>
      </c>
      <c r="E23" s="59" t="s">
        <v>49</v>
      </c>
      <c r="F23" s="33"/>
      <c r="G23" s="80">
        <v>7.7000000000000002E-3</v>
      </c>
      <c r="H23" s="56">
        <f>H20*G23</f>
        <v>76541.08</v>
      </c>
    </row>
    <row r="24" spans="1:8" ht="16.5" thickBot="1" x14ac:dyDescent="0.3">
      <c r="A24" s="14" t="s">
        <v>32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H20+H21-H22-H23</f>
        <v>11504024.92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7B1ACE9-2238-4894-99AF-B1200B647D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2025-08-15T16:23:22Z</cp:lastPrinted>
  <dcterms:created xsi:type="dcterms:W3CDTF">2018-11-15T17:29:02Z</dcterms:created>
  <dcterms:modified xsi:type="dcterms:W3CDTF">2025-09-03T20:30:26Z</dcterms:modified>
</cp:coreProperties>
</file>