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FC82525-DE96-44D6-93E4-FE5E66CC542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 Q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21" i="1"/>
  <c r="H18" i="1"/>
  <c r="H17" i="1"/>
  <c r="H16" i="1"/>
  <c r="H22" i="1" l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<sst xmlns="http://schemas.openxmlformats.org/spreadsheetml/2006/main" count="58" uniqueCount="57">
  <si>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</si>
  <si>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</si>
  <si>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</si>
  <si>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</si>
  <si>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</si>
  <si>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</si>
  <si>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</si>
  <si>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</si>
  <si>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</si>
  <si>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</si>
  <si>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</si>
  <si>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</si>
  <si>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</si>
  <si>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</si>
  <si>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</si>
  <si>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</si>
  <si>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</si>
  <si>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</si>
  <si>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</si>
  <si>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</si>
  <si>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</si>
  <si>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</si>
  <si>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</si>
  <si>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</si>
  <si>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</si>
  <si>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</si>
  <si>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</si>
  <si>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</si>
  <si>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</si>
  <si>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</si>
  <si>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</si>
  <si>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</si>
  <si>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</si>
  <si>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</si>
  <si>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</si>
  <si>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</si>
  <si>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</si>
  <si>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</si>
  <si>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</si>
  <si>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</si>
  <si>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COMERCIALIZADORA C Q LTDA</t>
  </si>
  <si>
    <t>900 109577</t>
  </si>
  <si>
    <t>CALLE 7  No. 36A Bis -38</t>
  </si>
  <si>
    <t>CALI</t>
  </si>
  <si>
    <t>contabilidad@comercializadoracq.com</t>
  </si>
  <si>
    <t>602 5145875</t>
  </si>
  <si>
    <t>LUIS A. BENAVIDES</t>
  </si>
  <si>
    <t xml:space="preserve">  CALLE  33 A  No. 17 F - 56                         B/  LA FLORESTA             -   CALI    -                                   CEL.     321 7834969</t>
  </si>
  <si>
    <t>L I Q U I D A C I O N</t>
  </si>
  <si>
    <t>No. 6</t>
  </si>
  <si>
    <t>BRIDA AC/INOX 304  SLIP ON 3  "  X  150 LBS</t>
  </si>
  <si>
    <t>ACCESORIO</t>
  </si>
  <si>
    <t>NIPLE AC/INOX 304  4 "  X  25  CMTS 1 ROSCA</t>
  </si>
  <si>
    <t>FABRICACION</t>
  </si>
  <si>
    <t xml:space="preserve">CODO  AC/INOX 304  SCH 10 4 "  X  90 º </t>
  </si>
  <si>
    <t>UN MILLON DOSCIENTOS CINCUENTA Y DOS MIL TRES-</t>
  </si>
  <si>
    <t>CIENTOS SETENTA Y 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</si>
</sst>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omercializadorac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7" zoomScaleNormal="100" workbookViewId="0">
      <selection activeCell="L19" sqref="L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2"/>
      <c r="H6" s="43"/>
    </row>
    <row r="7" spans="1:8" ht="19.5" thickBot="1" x14ac:dyDescent="0.35">
      <c r="A7" s="20" t="s">
        <v>14</v>
      </c>
      <c r="B7" s="12"/>
      <c r="C7" s="44" t="s">
        <v>40</v>
      </c>
      <c r="D7" s="6"/>
      <c r="E7" s="6"/>
      <c r="F7" s="37"/>
      <c r="G7" s="18"/>
      <c r="H7" s="19" t="s">
        <v>49</v>
      </c>
    </row>
    <row r="8" spans="1:8" ht="19.5" thickBot="1" x14ac:dyDescent="0.35">
      <c r="A8" s="21" t="s">
        <v>8</v>
      </c>
      <c r="C8" s="14" t="s">
        <v>41</v>
      </c>
      <c r="E8" s="15"/>
      <c r="H8" s="15"/>
    </row>
    <row r="9" spans="1:8" ht="18.75" customHeight="1" thickBot="1" x14ac:dyDescent="0.35">
      <c r="A9" s="21" t="s">
        <v>9</v>
      </c>
      <c r="C9" s="14" t="s">
        <v>42</v>
      </c>
      <c r="E9" s="62" t="s">
        <v>43</v>
      </c>
      <c r="F9" s="30" t="s">
        <v>0</v>
      </c>
      <c r="H9" s="28">
        <v>45847</v>
      </c>
    </row>
    <row r="10" spans="1:8" ht="18.75" x14ac:dyDescent="0.3">
      <c r="A10" s="21" t="s">
        <v>13</v>
      </c>
      <c r="C10" s="48" t="s">
        <v>44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45856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63">
        <v>1</v>
      </c>
      <c r="B16" s="64" t="s">
        <v>50</v>
      </c>
      <c r="C16" s="65"/>
      <c r="D16" s="66"/>
      <c r="E16" s="63" t="s">
        <v>51</v>
      </c>
      <c r="F16" s="67">
        <v>110000</v>
      </c>
      <c r="G16" s="63">
        <v>4</v>
      </c>
      <c r="H16" s="38">
        <f t="shared" ref="H16" si="0">G16*F16</f>
        <v>440000</v>
      </c>
    </row>
    <row r="17" spans="1:8" ht="16.5" thickBot="1" x14ac:dyDescent="0.3">
      <c r="A17" s="63">
        <v>2</v>
      </c>
      <c r="B17" s="64" t="s">
        <v>52</v>
      </c>
      <c r="C17" s="65"/>
      <c r="D17" s="66"/>
      <c r="E17" s="63" t="s">
        <v>53</v>
      </c>
      <c r="F17" s="67">
        <v>115000</v>
      </c>
      <c r="G17" s="63">
        <v>2</v>
      </c>
      <c r="H17" s="38">
        <f t="shared" ref="H17:H18" si="1">G17*F17</f>
        <v>230000</v>
      </c>
    </row>
    <row r="18" spans="1:8" ht="16.5" thickBot="1" x14ac:dyDescent="0.3">
      <c r="A18" s="63">
        <v>3</v>
      </c>
      <c r="B18" s="64" t="s">
        <v>54</v>
      </c>
      <c r="C18" s="65"/>
      <c r="D18" s="66"/>
      <c r="E18" s="63" t="s">
        <v>51</v>
      </c>
      <c r="F18" s="67">
        <v>135000</v>
      </c>
      <c r="G18" s="63">
        <v>3</v>
      </c>
      <c r="H18" s="38">
        <f t="shared" si="1"/>
        <v>405000</v>
      </c>
    </row>
    <row r="19" spans="1:8" ht="19.5" customHeight="1" thickBot="1" x14ac:dyDescent="0.3">
      <c r="A19" s="50"/>
      <c r="B19" s="69"/>
      <c r="D19" s="70"/>
      <c r="E19" s="50"/>
      <c r="F19" s="50"/>
      <c r="G19" s="50"/>
    </row>
    <row r="20" spans="1:8" ht="19.5" customHeight="1" thickBot="1" x14ac:dyDescent="0.35">
      <c r="A20" s="68" t="s">
        <v>23</v>
      </c>
      <c r="B20" s="71" t="s">
        <v>55</v>
      </c>
      <c r="C20" s="12"/>
      <c r="D20" s="13"/>
      <c r="E20" s="51"/>
      <c r="F20" s="37" t="s">
        <v>48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17"/>
      <c r="E21" s="54" t="s">
        <v>24</v>
      </c>
      <c r="F21" s="55"/>
      <c r="G21" s="45"/>
      <c r="H21" s="52">
        <f>SUM(H16:H18)</f>
        <v>1075000</v>
      </c>
    </row>
    <row r="22" spans="1:8" ht="19.5" customHeight="1" x14ac:dyDescent="0.25">
      <c r="A22" s="24" t="s">
        <v>25</v>
      </c>
      <c r="B22" s="12"/>
      <c r="C22" s="12"/>
      <c r="D22" s="12"/>
      <c r="E22" s="56" t="s">
        <v>29</v>
      </c>
      <c r="F22" s="23"/>
      <c r="G22" s="57">
        <v>0.19</v>
      </c>
      <c r="H22" s="40">
        <f>H21*G22</f>
        <v>204250</v>
      </c>
    </row>
    <row r="23" spans="1:8" ht="19.5" customHeight="1" x14ac:dyDescent="0.25">
      <c r="A23" s="14" t="s">
        <v>30</v>
      </c>
      <c r="E23" s="58" t="s">
        <v>26</v>
      </c>
      <c r="G23" s="61">
        <v>2.5000000000000001E-2</v>
      </c>
      <c r="H23" s="53">
        <f>H21*G23</f>
        <v>26875</v>
      </c>
    </row>
    <row r="24" spans="1:8" ht="15.75" x14ac:dyDescent="0.25">
      <c r="A24" s="14" t="s">
        <v>36</v>
      </c>
      <c r="E24" s="14"/>
      <c r="F24" s="33"/>
      <c r="G24" s="46"/>
      <c r="H24" s="15"/>
    </row>
    <row r="25" spans="1:8" ht="16.5" thickBot="1" x14ac:dyDescent="0.3">
      <c r="A25" s="14" t="s">
        <v>33</v>
      </c>
      <c r="E25" s="59" t="s">
        <v>27</v>
      </c>
      <c r="F25" s="60"/>
      <c r="G25" s="47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</f>
        <v>1252375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F88B7EDA-51FA-4632-8D26-0DBEBC00AA1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 Q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2025-07-09T15:09:33Z</dcterms:modified>
</cp:coreProperties>
</file>