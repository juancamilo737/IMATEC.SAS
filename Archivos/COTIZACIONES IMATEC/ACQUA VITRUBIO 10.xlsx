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1533A57D-9BB9-44C7-AE9C-4BB5BF19644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CQUA VITRUVIO 10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/>
  <c r="H21" i="1" l="1"/>
  <c r="H25" i="1" s="1"/>
</calcChain>
</file>

<file path=xl/sharedStrings.xml><?xml version="1.0" encoding="utf-8"?>
<sst xmlns="http://schemas.openxmlformats.org/spreadsheetml/2006/main" count="56" uniqueCount="55">
  <si>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</si>
  <si>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</si>
  <si>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</si>
  <si>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</si>
  <si>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</si>
  <si>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</si>
  <si>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</si>
  <si>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</si>
  <si>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</si>
  <si>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</si>
  <si>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</si>
  <si>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</si>
  <si>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</si>
  <si>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</si>
  <si>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</si>
  <si>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</si>
  <si>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</si>
  <si>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</si>
  <si>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</si>
  <si>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</si>
  <si>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</si>
  <si>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</si>
  <si>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</si>
  <si>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</si>
  <si>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</si>
  <si>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</si>
  <si>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</si>
  <si>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</si>
  <si>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</si>
  <si>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</si>
  <si>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</si>
  <si>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</si>
  <si>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</si>
  <si>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</si>
  <si>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</si>
  <si>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</si>
  <si>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</si>
  <si>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</si>
  <si>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</si>
  <si>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ACQUA VITRUVIO SAS</t>
  </si>
  <si>
    <t>900 881379</t>
  </si>
  <si>
    <t>CALLE 3  No. 4-300</t>
  </si>
  <si>
    <t>PALMIRA</t>
  </si>
  <si>
    <t>j-gaitan@hotmail.com</t>
  </si>
  <si>
    <t>602 6669102</t>
  </si>
  <si>
    <t>EDINSON CABEZAS</t>
  </si>
  <si>
    <t>ACCESORIO</t>
  </si>
  <si>
    <t>ENTREGA EN TRES DIAS A PARTIR DE ORDEN DE ENTREGA</t>
  </si>
  <si>
    <t>FORMA DE PAGO : CONTADO</t>
  </si>
  <si>
    <t xml:space="preserve">           C O T I Z A C I O N</t>
  </si>
  <si>
    <t>BRIDA A / C   8 "  X  150  LB  ROSCADA</t>
  </si>
  <si>
    <t>BRIDA A / C  10 "  X  150  LB  ROSCADA</t>
  </si>
  <si>
    <t>TRESCIENTOS NOVENTA Y DOS MIL SETECIENTOS PESOS</t>
  </si>
  <si>
    <t>MDA / CTE</t>
  </si>
  <si>
    <t>No.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</si>
</sst>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8" fillId="0" borderId="0" xfId="0" applyFont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1" fillId="0" borderId="29" xfId="0" applyFont="1" applyBorder="1" applyAlignment="1">
      <alignment horizontal="center"/>
    </xf>
    <xf numFmtId="0" fontId="0" fillId="0" borderId="30" xfId="0" applyBorder="1"/>
    <xf numFmtId="0" fontId="8" fillId="0" borderId="31" xfId="0" applyFont="1" applyBorder="1"/>
    <xf numFmtId="0" fontId="0" fillId="0" borderId="32" xfId="0" applyBorder="1"/>
    <xf numFmtId="42" fontId="11" fillId="0" borderId="29" xfId="1" applyFont="1" applyBorder="1" applyAlignment="1">
      <alignment horizontal="center"/>
    </xf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0" xfId="0" applyBorder="1"/>
    <xf numFmtId="0" fontId="0" fillId="0" borderId="21" xfId="0" applyBorder="1"/>
    <xf numFmtId="0" fontId="0" fillId="0" borderId="33" xfId="0" applyBorder="1"/>
    <xf numFmtId="0" fontId="0" fillId="0" borderId="23" xfId="0" applyBorder="1"/>
    <xf numFmtId="0" fontId="13" fillId="0" borderId="24" xfId="2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0" fillId="0" borderId="31" xfId="0" applyBorder="1"/>
    <xf numFmtId="0" fontId="1" fillId="0" borderId="31" xfId="0" applyFont="1" applyBorder="1" applyAlignment="1">
      <alignment horizontal="center"/>
    </xf>
    <xf numFmtId="0" fontId="0" fillId="0" borderId="34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-gaitan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4" zoomScaleNormal="100" workbookViewId="0">
      <selection activeCell="J21" sqref="J2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37</v>
      </c>
    </row>
    <row r="3" spans="1:8" ht="27" thickBot="1" x14ac:dyDescent="0.45">
      <c r="A3" s="11" t="s">
        <v>38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35</v>
      </c>
      <c r="B5" s="6"/>
      <c r="C5" s="6"/>
      <c r="D5" s="6"/>
      <c r="E5" s="6"/>
    </row>
    <row r="6" spans="1:8" ht="24.75" customHeight="1" thickBot="1" x14ac:dyDescent="0.45">
      <c r="F6" s="41" t="s">
        <v>49</v>
      </c>
      <c r="G6" s="43"/>
      <c r="H6" s="44"/>
    </row>
    <row r="7" spans="1:8" ht="19.5" thickBot="1" x14ac:dyDescent="0.35">
      <c r="A7" s="20" t="s">
        <v>14</v>
      </c>
      <c r="B7" s="12"/>
      <c r="C7" s="68" t="s">
        <v>39</v>
      </c>
      <c r="D7" s="12"/>
      <c r="E7" s="13"/>
      <c r="F7" s="37"/>
      <c r="G7" s="18"/>
      <c r="H7" s="19" t="s">
        <v>54</v>
      </c>
    </row>
    <row r="8" spans="1:8" ht="18.75" x14ac:dyDescent="0.3">
      <c r="A8" s="21" t="s">
        <v>8</v>
      </c>
      <c r="C8" s="70" t="s">
        <v>40</v>
      </c>
      <c r="D8" s="71"/>
      <c r="E8" s="45"/>
      <c r="H8" s="15"/>
    </row>
    <row r="9" spans="1:8" ht="18.75" customHeight="1" x14ac:dyDescent="0.3">
      <c r="A9" s="21" t="s">
        <v>9</v>
      </c>
      <c r="C9" s="72" t="s">
        <v>41</v>
      </c>
      <c r="D9" s="23"/>
      <c r="E9" s="73" t="s">
        <v>42</v>
      </c>
      <c r="F9" s="30" t="s">
        <v>0</v>
      </c>
      <c r="H9" s="28">
        <v>45580</v>
      </c>
    </row>
    <row r="10" spans="1:8" ht="18.75" x14ac:dyDescent="0.3">
      <c r="A10" s="21" t="s">
        <v>13</v>
      </c>
      <c r="C10" s="74" t="s">
        <v>43</v>
      </c>
      <c r="D10" s="69"/>
      <c r="E10" s="46"/>
      <c r="F10" s="30" t="s">
        <v>15</v>
      </c>
      <c r="H10" s="29" t="s">
        <v>31</v>
      </c>
    </row>
    <row r="11" spans="1:8" ht="18.75" x14ac:dyDescent="0.3">
      <c r="A11" s="21" t="s">
        <v>10</v>
      </c>
      <c r="C11" s="75"/>
      <c r="D11" s="69"/>
      <c r="E11" s="46"/>
      <c r="F11" s="30" t="s">
        <v>16</v>
      </c>
      <c r="G11" s="30"/>
      <c r="H11" s="28">
        <v>45589</v>
      </c>
    </row>
    <row r="12" spans="1:8" ht="18.75" x14ac:dyDescent="0.3">
      <c r="A12" s="21" t="s">
        <v>11</v>
      </c>
      <c r="C12" s="75" t="s">
        <v>44</v>
      </c>
      <c r="D12" s="69"/>
      <c r="E12" s="46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6" t="s">
        <v>45</v>
      </c>
      <c r="D13" s="77"/>
      <c r="E13" s="47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36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51">
        <v>2</v>
      </c>
      <c r="B16" s="48" t="s">
        <v>50</v>
      </c>
      <c r="C16" s="48"/>
      <c r="D16" s="53"/>
      <c r="E16" s="79" t="s">
        <v>46</v>
      </c>
      <c r="F16" s="55">
        <v>45000</v>
      </c>
      <c r="G16" s="51">
        <v>4</v>
      </c>
      <c r="H16" s="38">
        <f t="shared" ref="H16:H17" si="0">G16*F16</f>
        <v>180000</v>
      </c>
    </row>
    <row r="17" spans="1:8" ht="16.5" thickBot="1" x14ac:dyDescent="0.3">
      <c r="A17" s="51">
        <v>2</v>
      </c>
      <c r="B17" s="48" t="s">
        <v>51</v>
      </c>
      <c r="C17" s="48"/>
      <c r="D17" s="53"/>
      <c r="E17" s="79" t="s">
        <v>46</v>
      </c>
      <c r="F17" s="55">
        <v>75000</v>
      </c>
      <c r="G17" s="51">
        <v>2</v>
      </c>
      <c r="H17" s="38">
        <f t="shared" si="0"/>
        <v>150000</v>
      </c>
    </row>
    <row r="18" spans="1:8" ht="19.5" customHeight="1" thickBot="1" x14ac:dyDescent="0.3">
      <c r="A18" s="52"/>
      <c r="B18" s="42"/>
      <c r="C18" s="42"/>
      <c r="D18" s="54"/>
      <c r="E18" s="78"/>
      <c r="F18" s="56"/>
      <c r="G18" s="56"/>
      <c r="H18" s="80"/>
    </row>
    <row r="19" spans="1:8" ht="19.5" customHeight="1" thickBot="1" x14ac:dyDescent="0.35">
      <c r="A19" s="50" t="s">
        <v>23</v>
      </c>
      <c r="B19" s="14" t="s">
        <v>52</v>
      </c>
      <c r="D19" s="15"/>
      <c r="E19" s="57"/>
      <c r="F19" s="37" t="s">
        <v>29</v>
      </c>
      <c r="G19" s="6"/>
      <c r="H19" s="7"/>
    </row>
    <row r="20" spans="1:8" ht="19.5" customHeight="1" thickBot="1" x14ac:dyDescent="0.3">
      <c r="A20" s="39"/>
      <c r="B20" s="16" t="s">
        <v>53</v>
      </c>
      <c r="C20" s="4"/>
      <c r="D20" s="4"/>
      <c r="E20" s="60" t="s">
        <v>24</v>
      </c>
      <c r="F20" s="61"/>
      <c r="G20" s="45"/>
      <c r="H20" s="58">
        <f>SUM(H16:H17)</f>
        <v>330000</v>
      </c>
    </row>
    <row r="21" spans="1:8" ht="19.5" customHeight="1" x14ac:dyDescent="0.25">
      <c r="A21" s="24" t="s">
        <v>25</v>
      </c>
      <c r="B21" s="12"/>
      <c r="C21" s="12"/>
      <c r="D21" s="12"/>
      <c r="E21" s="62" t="s">
        <v>30</v>
      </c>
      <c r="F21" s="23"/>
      <c r="G21" s="63">
        <v>0.19</v>
      </c>
      <c r="H21" s="40">
        <f>H20*G21</f>
        <v>62700</v>
      </c>
    </row>
    <row r="22" spans="1:8" ht="19.5" customHeight="1" x14ac:dyDescent="0.25">
      <c r="A22" s="14" t="s">
        <v>48</v>
      </c>
      <c r="E22" s="64" t="s">
        <v>26</v>
      </c>
      <c r="G22" s="67">
        <v>2.5000000000000001E-2</v>
      </c>
      <c r="H22" s="59"/>
    </row>
    <row r="23" spans="1:8" ht="15.75" x14ac:dyDescent="0.25">
      <c r="A23" s="14" t="s">
        <v>47</v>
      </c>
      <c r="E23" s="14"/>
      <c r="F23" s="33"/>
      <c r="G23" s="46"/>
      <c r="H23" s="15"/>
    </row>
    <row r="24" spans="1:8" ht="16.5" thickBot="1" x14ac:dyDescent="0.3">
      <c r="A24" s="14" t="s">
        <v>33</v>
      </c>
      <c r="E24" s="65" t="s">
        <v>27</v>
      </c>
      <c r="F24" s="66"/>
      <c r="G24" s="47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H20+H21-H22</f>
        <v>392700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34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1C45E28E-0663-4A29-8D8E-EDF75ACF744B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ACQUA VITRUVIO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2024-10-17T20:34:03Z</dcterms:modified>
</cp:coreProperties>
</file>