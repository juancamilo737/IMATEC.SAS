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8AC5FE06-9586-46C3-8D3E-C06060683AA0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ALFREDO MOSQUER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  <c r="H19" i="1" s="1"/>
  <c r="H20" i="1" l="1"/>
  <c r="H24" i="1" s="1"/>
</calcChain>
</file>

<file path=xl/sharedStrings.xml><?xml version="1.0" encoding="utf-8"?>
<sst xmlns="http://schemas.openxmlformats.org/spreadsheetml/2006/main" count="51" uniqueCount="51">
  <si>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</si>
  <si>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</si>
  <si>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</si>
  <si>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</si>
  <si>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</si>
  <si>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</si>
  <si>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</si>
  <si>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</si>
  <si>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</si>
  <si>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</si>
  <si>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</si>
  <si>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</si>
  <si>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</si>
  <si>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</si>
  <si>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</si>
  <si>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</si>
  <si>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</si>
  <si>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</si>
  <si>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</si>
  <si>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</si>
  <si>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</si>
  <si>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</si>
  <si>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</si>
  <si>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</si>
  <si>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</si>
  <si>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</si>
  <si>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</si>
  <si>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</si>
  <si>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</si>
  <si>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</si>
  <si>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</si>
  <si>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</si>
  <si>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</si>
  <si>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</si>
  <si>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</si>
  <si>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</si>
  <si>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</si>
  <si>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L I Q U I D A C I O N</t>
  </si>
  <si>
    <t xml:space="preserve">  CALLE  33A  No.   17F - 56                           B/  LA FLORESTA             -   CALI    -                                       CEL.     321 7834969</t>
  </si>
  <si>
    <t>ALFREDO MOSQUERA SANCHEZ</t>
  </si>
  <si>
    <t xml:space="preserve">              R E M I S I O N</t>
  </si>
  <si>
    <t>CRA 7 E  No.  64 - 07</t>
  </si>
  <si>
    <t>CALI</t>
  </si>
  <si>
    <t>mamcali@yahoo.com</t>
  </si>
  <si>
    <t>602 6624356</t>
  </si>
  <si>
    <t>EDINSON CABEZAS</t>
  </si>
  <si>
    <t>TUBERIA AC/INOX SCH 40  1 " X 6 MTS</t>
  </si>
  <si>
    <t>TUBO</t>
  </si>
  <si>
    <t xml:space="preserve">ENTREGA INMEDIATA </t>
  </si>
  <si>
    <t>TRESCIENTOS DOS MIL PESOS MDA / CTE</t>
  </si>
  <si>
    <t>No.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</si>
</sst>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0" xfId="0" applyBorder="1"/>
    <xf numFmtId="0" fontId="0" fillId="0" borderId="23" xfId="0" applyBorder="1"/>
    <xf numFmtId="0" fontId="0" fillId="0" borderId="26" xfId="0" applyBorder="1"/>
    <xf numFmtId="0" fontId="0" fillId="0" borderId="27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19" xfId="0" applyFont="1" applyBorder="1"/>
    <xf numFmtId="0" fontId="4" fillId="0" borderId="9" xfId="0" applyFont="1" applyBorder="1"/>
    <xf numFmtId="9" fontId="1" fillId="0" borderId="21" xfId="3" applyFont="1" applyBorder="1"/>
    <xf numFmtId="0" fontId="4" fillId="0" borderId="22" xfId="0" applyFont="1" applyBorder="1"/>
    <xf numFmtId="0" fontId="4" fillId="0" borderId="24" xfId="0" applyFont="1" applyBorder="1"/>
    <xf numFmtId="0" fontId="4" fillId="0" borderId="25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1" fillId="0" borderId="15" xfId="0" applyFont="1" applyBorder="1" applyAlignment="1">
      <alignment horizontal="left" vertical="top" wrapText="1"/>
    </xf>
    <xf numFmtId="0" fontId="0" fillId="0" borderId="28" xfId="0" applyBorder="1"/>
    <xf numFmtId="0" fontId="0" fillId="0" borderId="29" xfId="0" applyBorder="1"/>
    <xf numFmtId="0" fontId="0" fillId="0" borderId="6" xfId="0" applyBorder="1"/>
    <xf numFmtId="0" fontId="13" fillId="0" borderId="9" xfId="2" applyBorder="1"/>
    <xf numFmtId="0" fontId="1" fillId="0" borderId="30" xfId="0" applyFont="1" applyBorder="1" applyAlignment="1">
      <alignment horizontal="center"/>
    </xf>
    <xf numFmtId="0" fontId="8" fillId="0" borderId="31" xfId="0" applyFont="1" applyBorder="1"/>
    <xf numFmtId="0" fontId="8" fillId="0" borderId="32" xfId="0" applyFont="1" applyBorder="1"/>
    <xf numFmtId="0" fontId="8" fillId="0" borderId="33" xfId="0" applyFont="1" applyBorder="1"/>
    <xf numFmtId="42" fontId="11" fillId="0" borderId="30" xfId="1" applyFont="1" applyBorder="1" applyAlignment="1">
      <alignment horizontal="center"/>
    </xf>
    <xf numFmtId="0" fontId="1" fillId="0" borderId="3" xfId="0" applyFont="1" applyBorder="1"/>
    <xf numFmtId="0" fontId="0" fillId="0" borderId="6" xfId="0" applyBorder="1" applyAlignment="1">
      <alignment horizontal="left"/>
    </xf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amcali@yahoo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topLeftCell="A4" zoomScaleNormal="100" workbookViewId="0">
      <selection activeCell="J20" sqref="J20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35</v>
      </c>
    </row>
    <row r="3" spans="1:8" ht="27" thickBot="1" x14ac:dyDescent="0.45">
      <c r="A3" s="11" t="s">
        <v>36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33</v>
      </c>
      <c r="B5" s="6"/>
      <c r="C5" s="6"/>
      <c r="D5" s="6"/>
      <c r="E5" s="6"/>
    </row>
    <row r="6" spans="1:8" ht="24.75" customHeight="1" thickBot="1" x14ac:dyDescent="0.45">
      <c r="F6" s="41" t="s">
        <v>40</v>
      </c>
      <c r="G6" s="42"/>
      <c r="H6" s="43"/>
    </row>
    <row r="7" spans="1:8" ht="19.5" thickBot="1" x14ac:dyDescent="0.35">
      <c r="A7" s="20" t="s">
        <v>14</v>
      </c>
      <c r="B7" s="12"/>
      <c r="C7" s="59" t="s">
        <v>39</v>
      </c>
      <c r="D7" s="12"/>
      <c r="E7" s="13"/>
      <c r="F7" s="37"/>
      <c r="G7" s="18"/>
      <c r="H7" s="19" t="s">
        <v>50</v>
      </c>
    </row>
    <row r="8" spans="1:8" ht="18.75" x14ac:dyDescent="0.3">
      <c r="A8" s="21" t="s">
        <v>8</v>
      </c>
      <c r="C8" s="71">
        <v>16748705</v>
      </c>
      <c r="D8" s="12"/>
      <c r="E8" s="13"/>
      <c r="H8" s="15"/>
    </row>
    <row r="9" spans="1:8" ht="18.75" customHeight="1" x14ac:dyDescent="0.3">
      <c r="A9" s="21" t="s">
        <v>9</v>
      </c>
      <c r="C9" s="14" t="s">
        <v>41</v>
      </c>
      <c r="E9" s="15" t="s">
        <v>42</v>
      </c>
      <c r="F9" s="30" t="s">
        <v>0</v>
      </c>
      <c r="H9" s="28">
        <v>45800</v>
      </c>
    </row>
    <row r="10" spans="1:8" ht="18.75" x14ac:dyDescent="0.3">
      <c r="A10" s="21" t="s">
        <v>13</v>
      </c>
      <c r="C10" s="64" t="s">
        <v>43</v>
      </c>
      <c r="E10" s="15"/>
      <c r="F10" s="30" t="s">
        <v>15</v>
      </c>
      <c r="H10" s="29"/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/>
    </row>
    <row r="12" spans="1:8" ht="18.75" x14ac:dyDescent="0.3">
      <c r="A12" s="21" t="s">
        <v>11</v>
      </c>
      <c r="C12" s="14" t="s">
        <v>44</v>
      </c>
      <c r="E12" s="1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16" t="s">
        <v>45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34</v>
      </c>
      <c r="B15" s="70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65">
        <v>1</v>
      </c>
      <c r="B16" s="66" t="s">
        <v>46</v>
      </c>
      <c r="C16" s="67"/>
      <c r="D16" s="68"/>
      <c r="E16" s="65" t="s">
        <v>47</v>
      </c>
      <c r="F16" s="69">
        <v>253781.51</v>
      </c>
      <c r="G16" s="65">
        <v>1</v>
      </c>
      <c r="H16" s="38">
        <f t="shared" ref="H16" si="0">G16*F16</f>
        <v>253781.51</v>
      </c>
    </row>
    <row r="17" spans="1:8" ht="19.5" customHeight="1" thickBot="1" x14ac:dyDescent="0.3">
      <c r="A17" s="47"/>
      <c r="B17" s="61"/>
      <c r="D17" s="62"/>
      <c r="E17" s="47"/>
      <c r="F17" s="47"/>
      <c r="G17" s="47"/>
    </row>
    <row r="18" spans="1:8" ht="19.5" customHeight="1" thickBot="1" x14ac:dyDescent="0.35">
      <c r="A18" s="60" t="s">
        <v>23</v>
      </c>
      <c r="B18" s="63" t="s">
        <v>49</v>
      </c>
      <c r="C18" s="12"/>
      <c r="D18" s="13"/>
      <c r="E18" s="48"/>
      <c r="F18" s="37" t="s">
        <v>37</v>
      </c>
      <c r="G18" s="6"/>
      <c r="H18" s="7"/>
    </row>
    <row r="19" spans="1:8" ht="19.5" customHeight="1" thickBot="1" x14ac:dyDescent="0.3">
      <c r="A19" s="39"/>
      <c r="B19" s="16"/>
      <c r="C19" s="4"/>
      <c r="D19" s="17"/>
      <c r="E19" s="51" t="s">
        <v>24</v>
      </c>
      <c r="F19" s="52"/>
      <c r="G19" s="44"/>
      <c r="H19" s="49">
        <f>SUM(H16:H18)</f>
        <v>253781.51</v>
      </c>
    </row>
    <row r="20" spans="1:8" ht="19.5" customHeight="1" x14ac:dyDescent="0.25">
      <c r="A20" s="24" t="s">
        <v>25</v>
      </c>
      <c r="B20" s="12"/>
      <c r="C20" s="12"/>
      <c r="D20" s="12"/>
      <c r="E20" s="53" t="s">
        <v>29</v>
      </c>
      <c r="F20" s="23"/>
      <c r="G20" s="54">
        <v>0.19</v>
      </c>
      <c r="H20" s="40">
        <f>H19*G20</f>
        <v>48218.486900000004</v>
      </c>
    </row>
    <row r="21" spans="1:8" ht="19.5" customHeight="1" x14ac:dyDescent="0.25">
      <c r="A21" s="14" t="s">
        <v>30</v>
      </c>
      <c r="E21" s="55" t="s">
        <v>26</v>
      </c>
      <c r="G21" s="58">
        <v>2.5000000000000001E-2</v>
      </c>
      <c r="H21" s="50"/>
    </row>
    <row r="22" spans="1:8" ht="15.75" x14ac:dyDescent="0.25">
      <c r="A22" s="14" t="s">
        <v>48</v>
      </c>
      <c r="E22" s="14"/>
      <c r="F22" s="33"/>
      <c r="G22" s="45"/>
      <c r="H22" s="15"/>
    </row>
    <row r="23" spans="1:8" ht="16.5" thickBot="1" x14ac:dyDescent="0.3">
      <c r="A23" s="14" t="s">
        <v>32</v>
      </c>
      <c r="E23" s="56" t="s">
        <v>27</v>
      </c>
      <c r="F23" s="57"/>
      <c r="G23" s="46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</f>
        <v>301999.99690000003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38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4824FB02-FC5A-439B-9768-C9C547B35242}"/>
  </hyperlinks>
  <printOptions horizontalCentered="1"/>
  <pageMargins left="0.47244094488188981" right="0.31496062992125984" top="0.31496062992125984" bottom="0.39370078740157483" header="0.31496062992125984" footer="0.31496062992125984"/>
  <pageSetup scale="79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ALFREDO MOSQUERA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2023-03-16T17:43:01Z</cp:lastPrinted>
  <dcterms:created xsi:type="dcterms:W3CDTF">2018-11-15T17:29:02Z</dcterms:created>
  <dcterms:modified xsi:type="dcterms:W3CDTF">2025-05-23T21:59:58Z</dcterms:modified>
</cp:coreProperties>
</file>