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0E24FE75-7A0D-4951-85AE-7B78604C58AB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ACQUA IQ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4" i="1" l="1"/>
</calcChain>
</file>

<file path=xl/sharedStrings.xml><?xml version="1.0" encoding="utf-8"?>
<sst xmlns="http://schemas.openxmlformats.org/spreadsheetml/2006/main" count="52" uniqueCount="52">
  <si>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</si>
  <si>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</si>
  <si>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</si>
  <si>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</si>
  <si>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</si>
  <si>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</si>
  <si>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</si>
  <si>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</si>
  <si>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</si>
  <si>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</si>
  <si>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</si>
  <si>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</si>
  <si>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</si>
  <si>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</si>
  <si>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</si>
  <si>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</si>
  <si>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</si>
  <si>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</si>
  <si>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</si>
  <si>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</si>
  <si>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</si>
  <si>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</si>
  <si>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</si>
  <si>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</si>
  <si>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</si>
  <si>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</si>
  <si>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</si>
  <si>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</si>
  <si>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</si>
  <si>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</si>
  <si>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</si>
  <si>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</si>
  <si>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</si>
  <si>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</si>
  <si>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</si>
  <si>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</si>
  <si>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EDINSON CABEZAS</t>
  </si>
  <si>
    <t>8 DIAS</t>
  </si>
  <si>
    <t>ITEM</t>
  </si>
  <si>
    <t>CONTACTOS   310 8306118       319 7174165        321 7834969</t>
  </si>
  <si>
    <t xml:space="preserve">  CALLE  33B  No. 17C - 70  2º  PISO               B/  LA FLORESTA             -   CALI    -                                  CEL.     321 7834969</t>
  </si>
  <si>
    <t>ACQUA IQ S.A.S.</t>
  </si>
  <si>
    <t>901 766688</t>
  </si>
  <si>
    <t>AV 6 BIS No. 30N-51</t>
  </si>
  <si>
    <t>CALI</t>
  </si>
  <si>
    <t>gerencia.tecnica@aquaiq.com.co</t>
  </si>
  <si>
    <t>FORMA DE PAGO : CONTADO</t>
  </si>
  <si>
    <t>ENTREGA  22 DE JULIO 2024</t>
  </si>
  <si>
    <t>TUBERIA  A /C SCH 10  2 "</t>
  </si>
  <si>
    <t>METRO LINEAL</t>
  </si>
  <si>
    <t xml:space="preserve">              R E M I S I O N</t>
  </si>
  <si>
    <t>DOSCIENTOS DIEZ MIL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</si>
</sst>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8" xfId="0" applyBorder="1"/>
    <xf numFmtId="0" fontId="0" fillId="0" borderId="17" xfId="0" applyBorder="1"/>
    <xf numFmtId="0" fontId="12" fillId="0" borderId="0" xfId="0" applyFont="1" applyAlignment="1">
      <alignment horizontal="center"/>
    </xf>
    <xf numFmtId="0" fontId="13" fillId="0" borderId="14" xfId="2" applyBorder="1"/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42" fontId="1" fillId="0" borderId="19" xfId="1" applyFont="1" applyBorder="1" applyAlignment="1">
      <alignment horizontal="left"/>
    </xf>
    <xf numFmtId="0" fontId="5" fillId="0" borderId="4" xfId="0" applyFont="1" applyBorder="1"/>
    <xf numFmtId="0" fontId="1" fillId="0" borderId="16" xfId="0" applyFont="1" applyBorder="1" applyAlignment="1">
      <alignment horizontal="center"/>
    </xf>
    <xf numFmtId="0" fontId="1" fillId="0" borderId="7" xfId="0" applyFont="1" applyBorder="1"/>
    <xf numFmtId="10" fontId="1" fillId="0" borderId="0" xfId="0" applyNumberFormat="1" applyFont="1"/>
    <xf numFmtId="0" fontId="0" fillId="0" borderId="20" xfId="0" applyBorder="1"/>
    <xf numFmtId="0" fontId="1" fillId="0" borderId="18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0" xfId="0" applyBorder="1"/>
    <xf numFmtId="42" fontId="11" fillId="0" borderId="0" xfId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2" fontId="1" fillId="0" borderId="7" xfId="1" applyFont="1" applyBorder="1" applyAlignment="1">
      <alignment horizontal="left"/>
    </xf>
    <xf numFmtId="0" fontId="1" fillId="0" borderId="21" xfId="0" applyFont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1" fillId="0" borderId="2" xfId="0" applyFont="1" applyBorder="1" applyAlignment="1">
      <alignment horizontal="center"/>
    </xf>
    <xf numFmtId="42" fontId="11" fillId="0" borderId="24" xfId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4" fillId="0" borderId="25" xfId="0" applyFont="1" applyBorder="1"/>
    <xf numFmtId="0" fontId="0" fillId="0" borderId="25" xfId="0" applyBorder="1"/>
    <xf numFmtId="42" fontId="1" fillId="0" borderId="18" xfId="0" applyNumberFormat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rencia.tecnica@aquaiq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8"/>
  <sheetViews>
    <sheetView tabSelected="1" topLeftCell="A16" zoomScaleNormal="100" workbookViewId="0">
      <selection activeCell="B19" sqref="B19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4" t="s">
        <v>32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34</v>
      </c>
      <c r="E4" s="19"/>
      <c r="F4" s="20"/>
      <c r="G4" s="6"/>
      <c r="H4" s="7"/>
    </row>
    <row r="5" spans="1:8" ht="19.5" thickBot="1" x14ac:dyDescent="0.35">
      <c r="A5" s="50" t="s">
        <v>39</v>
      </c>
      <c r="B5" s="6"/>
      <c r="C5" s="6"/>
      <c r="D5" s="6"/>
      <c r="E5" s="6"/>
    </row>
    <row r="6" spans="1:8" ht="24.75" customHeight="1" thickBot="1" x14ac:dyDescent="0.45">
      <c r="F6" s="11" t="s">
        <v>50</v>
      </c>
      <c r="G6" s="19"/>
      <c r="H6" s="20"/>
    </row>
    <row r="7" spans="1:8" ht="19.5" thickBot="1" x14ac:dyDescent="0.35">
      <c r="A7" s="21" t="s">
        <v>15</v>
      </c>
      <c r="B7" s="13"/>
      <c r="C7" s="31" t="s">
        <v>41</v>
      </c>
      <c r="D7" s="13"/>
      <c r="E7" s="14"/>
      <c r="F7" s="28"/>
      <c r="G7" s="19"/>
      <c r="H7" s="20"/>
    </row>
    <row r="8" spans="1:8" ht="18.75" x14ac:dyDescent="0.3">
      <c r="A8" s="22" t="s">
        <v>9</v>
      </c>
      <c r="C8" s="25" t="s">
        <v>42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43</v>
      </c>
      <c r="D9" s="24"/>
      <c r="E9" s="25" t="s">
        <v>44</v>
      </c>
      <c r="F9" s="32" t="s">
        <v>0</v>
      </c>
      <c r="H9" s="33">
        <v>45506</v>
      </c>
    </row>
    <row r="10" spans="1:8" ht="18.75" x14ac:dyDescent="0.3">
      <c r="A10" s="22" t="s">
        <v>14</v>
      </c>
      <c r="C10" s="45" t="s">
        <v>45</v>
      </c>
      <c r="D10" s="26"/>
      <c r="E10" s="26"/>
      <c r="F10" s="32" t="s">
        <v>16</v>
      </c>
      <c r="H10" s="34" t="s">
        <v>37</v>
      </c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>
        <v>45514</v>
      </c>
    </row>
    <row r="12" spans="1:8" ht="18.75" x14ac:dyDescent="0.3">
      <c r="A12" s="22" t="s">
        <v>12</v>
      </c>
      <c r="C12" s="25">
        <v>318</v>
      </c>
      <c r="D12" s="26"/>
      <c r="E12" s="26"/>
      <c r="F12" s="32" t="s">
        <v>18</v>
      </c>
      <c r="H12" s="36"/>
    </row>
    <row r="13" spans="1:8" ht="18.75" customHeight="1" thickBot="1" x14ac:dyDescent="0.35">
      <c r="A13" s="23" t="s">
        <v>13</v>
      </c>
      <c r="B13" s="4"/>
      <c r="C13" s="25" t="s">
        <v>36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51" t="s">
        <v>38</v>
      </c>
      <c r="B15" s="52" t="s">
        <v>24</v>
      </c>
      <c r="C15" s="52"/>
      <c r="D15" s="14"/>
      <c r="E15" s="37" t="s">
        <v>20</v>
      </c>
      <c r="F15" s="51" t="s">
        <v>22</v>
      </c>
      <c r="G15" s="51" t="s">
        <v>21</v>
      </c>
      <c r="H15" s="37" t="s">
        <v>23</v>
      </c>
    </row>
    <row r="16" spans="1:8" ht="15.75" thickBot="1" x14ac:dyDescent="0.3">
      <c r="A16" s="61">
        <v>1</v>
      </c>
      <c r="B16" s="62" t="s">
        <v>48</v>
      </c>
      <c r="C16" s="62"/>
      <c r="D16" s="63"/>
      <c r="E16" s="64" t="s">
        <v>49</v>
      </c>
      <c r="F16" s="65">
        <v>35000</v>
      </c>
      <c r="G16" s="66">
        <v>6</v>
      </c>
      <c r="H16" s="49">
        <f t="shared" ref="H16" si="0">G16*F16</f>
        <v>210000</v>
      </c>
    </row>
    <row r="17" spans="1:8" ht="15.75" thickBot="1" x14ac:dyDescent="0.3">
      <c r="A17" s="55"/>
      <c r="B17" s="57"/>
      <c r="C17" s="57"/>
      <c r="D17" s="57"/>
      <c r="E17" s="48"/>
      <c r="F17" s="58"/>
      <c r="G17" s="59"/>
      <c r="H17" s="60"/>
    </row>
    <row r="18" spans="1:8" ht="19.5" customHeight="1" thickBot="1" x14ac:dyDescent="0.35">
      <c r="A18" s="70" t="s">
        <v>25</v>
      </c>
      <c r="B18" s="12" t="s">
        <v>51</v>
      </c>
      <c r="C18" s="13"/>
      <c r="D18" s="14"/>
      <c r="E18" s="6"/>
      <c r="F18" s="50" t="s">
        <v>31</v>
      </c>
      <c r="G18" s="6"/>
      <c r="H18" s="7"/>
    </row>
    <row r="19" spans="1:8" ht="19.5" customHeight="1" thickBot="1" x14ac:dyDescent="0.3">
      <c r="A19" s="56"/>
      <c r="B19" s="17"/>
      <c r="C19" s="4"/>
      <c r="D19" s="18"/>
      <c r="E19" s="67" t="s">
        <v>26</v>
      </c>
      <c r="F19" s="67"/>
      <c r="G19" s="68"/>
      <c r="H19" s="69">
        <f>SUM(H16:H18)</f>
        <v>210000</v>
      </c>
    </row>
    <row r="20" spans="1:8" ht="15.75" customHeight="1" x14ac:dyDescent="0.25">
      <c r="A20" s="27" t="s">
        <v>27</v>
      </c>
      <c r="B20" s="13"/>
      <c r="C20" s="13"/>
      <c r="D20" s="14"/>
      <c r="E20" s="3" t="s">
        <v>33</v>
      </c>
      <c r="F20" s="54"/>
      <c r="G20" s="40">
        <v>0.19</v>
      </c>
      <c r="H20" s="46"/>
    </row>
    <row r="21" spans="1:8" ht="15.75" x14ac:dyDescent="0.25">
      <c r="A21" s="15" t="s">
        <v>46</v>
      </c>
      <c r="D21" s="16"/>
      <c r="E21" s="38" t="s">
        <v>28</v>
      </c>
      <c r="G21" s="53">
        <v>2.5000000000000001E-2</v>
      </c>
      <c r="H21" s="41"/>
    </row>
    <row r="22" spans="1:8" ht="15.75" x14ac:dyDescent="0.25">
      <c r="A22" s="15" t="s">
        <v>47</v>
      </c>
      <c r="D22" s="16"/>
      <c r="F22" s="38"/>
      <c r="G22" s="26"/>
      <c r="H22" s="42"/>
    </row>
    <row r="23" spans="1:8" ht="16.5" thickBot="1" x14ac:dyDescent="0.3">
      <c r="A23" s="15" t="s">
        <v>35</v>
      </c>
      <c r="D23" s="16"/>
      <c r="E23" s="38" t="s">
        <v>29</v>
      </c>
      <c r="F23" s="38"/>
      <c r="G23" s="26"/>
      <c r="H23" s="43"/>
    </row>
    <row r="24" spans="1:8" ht="16.5" customHeight="1" thickBot="1" x14ac:dyDescent="0.35">
      <c r="A24" s="17"/>
      <c r="B24" s="4"/>
      <c r="C24" s="4"/>
      <c r="D24" s="18"/>
      <c r="F24" s="3"/>
      <c r="G24" s="39" t="s">
        <v>30</v>
      </c>
      <c r="H24" s="47">
        <f>H19+H20-H21</f>
        <v>210000</v>
      </c>
    </row>
    <row r="26" spans="1:8" x14ac:dyDescent="0.25">
      <c r="A26" t="s">
        <v>1</v>
      </c>
    </row>
    <row r="28" spans="1:8" ht="15.75" thickBot="1" x14ac:dyDescent="0.3"/>
    <row r="29" spans="1:8" ht="19.5" thickBot="1" x14ac:dyDescent="0.35">
      <c r="A29" s="28" t="s">
        <v>40</v>
      </c>
      <c r="B29" s="6"/>
      <c r="C29" s="6"/>
      <c r="D29" s="6"/>
      <c r="E29" s="6"/>
      <c r="F29" s="6"/>
      <c r="G29" s="6"/>
      <c r="H29" s="7"/>
    </row>
    <row r="38" spans="1:1" ht="18.75" x14ac:dyDescent="0.3">
      <c r="A38" s="5"/>
    </row>
  </sheetData>
  <mergeCells count="1">
    <mergeCell ref="A18:A19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6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ACQUA IQ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2024-07-30T14:27:20Z</cp:lastPrinted>
  <dcterms:created xsi:type="dcterms:W3CDTF">2018-11-15T17:29:02Z</dcterms:created>
  <dcterms:modified xsi:type="dcterms:W3CDTF">2024-08-02T14:31:04Z</dcterms:modified>
</cp:coreProperties>
</file>