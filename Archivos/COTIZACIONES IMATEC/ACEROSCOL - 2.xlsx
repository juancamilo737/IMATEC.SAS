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77374DF-BC90-4374-800D-FBD364122DB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EROSC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4" i="1"/>
  <c r="H18" i="1"/>
  <c r="H17" i="1"/>
  <c r="H16" i="1"/>
  <c r="H22" i="1" s="1"/>
  <c r="H23" i="1" l="1"/>
</calcChain>
</file>

<file path=xl/sharedStrings.xml><?xml version="1.0" encoding="utf-8"?>
<sst xmlns="http://schemas.openxmlformats.org/spreadsheetml/2006/main" count="59" uniqueCount="58">
  <si>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</si>
  <si>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</si>
  <si>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</si>
  <si>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</si>
  <si>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</si>
  <si>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</si>
  <si>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</si>
  <si>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</si>
  <si>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</si>
  <si>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</si>
  <si>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</si>
  <si>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</si>
  <si>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</si>
  <si>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</si>
  <si>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</si>
  <si>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</si>
  <si>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</si>
  <si>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</si>
  <si>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</si>
  <si>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</si>
  <si>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</si>
  <si>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</si>
  <si>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</si>
  <si>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</si>
  <si>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</si>
  <si>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</si>
  <si>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</si>
  <si>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</si>
  <si>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</si>
  <si>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</si>
  <si>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</si>
  <si>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</si>
  <si>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</si>
  <si>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</si>
  <si>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</si>
  <si>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</si>
  <si>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</si>
  <si>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</si>
  <si>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</si>
  <si>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</si>
  <si>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</si>
  <si>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</si>
  <si>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ACEROS COLOMBIA S.A.S.</t>
  </si>
  <si>
    <t>ACEROSCOL S.A.S.</t>
  </si>
  <si>
    <t>890 310500</t>
  </si>
  <si>
    <t>CALLE 52  No. 1N-97</t>
  </si>
  <si>
    <t>CALI</t>
  </si>
  <si>
    <t>aceroscol@aceroscol.com</t>
  </si>
  <si>
    <t>602 4463613</t>
  </si>
  <si>
    <t>LUIS A. BENAVIDES</t>
  </si>
  <si>
    <t>No. 2</t>
  </si>
  <si>
    <t>TUBERIA  AC/INOX 304 SCH 40  3 "  ROSCADOS</t>
  </si>
  <si>
    <t>TUBO X 6 MTS</t>
  </si>
  <si>
    <t>UNION AC/INOX 304  3 "</t>
  </si>
  <si>
    <t>ACCESORIO</t>
  </si>
  <si>
    <t>UNIVERSAL AC/INOX 304  3 "  X  150 LB</t>
  </si>
  <si>
    <t>QUINCE MILLONES CUATROCIENTOS SETENTA YTRES MIL</t>
  </si>
  <si>
    <t>QUINIENTOS TREINTA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</si>
</sst>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1" xfId="0" applyFont="1" applyBorder="1" applyAlignment="1">
      <alignment horizontal="center"/>
    </xf>
    <xf numFmtId="0" fontId="8" fillId="0" borderId="37" xfId="0" applyFont="1" applyBorder="1"/>
    <xf numFmtId="0" fontId="8" fillId="0" borderId="0" xfId="0" applyFont="1" applyBorder="1"/>
    <xf numFmtId="0" fontId="8" fillId="0" borderId="38" xfId="0" applyFont="1" applyBorder="1"/>
    <xf numFmtId="42" fontId="11" fillId="0" borderId="31" xfId="1" applyFont="1" applyBorder="1" applyAlignment="1">
      <alignment horizontal="center"/>
    </xf>
    <xf numFmtId="42" fontId="1" fillId="0" borderId="0" xfId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8" fillId="0" borderId="39" xfId="0" applyFont="1" applyBorder="1"/>
    <xf numFmtId="0" fontId="8" fillId="0" borderId="13" xfId="0" applyFont="1" applyBorder="1"/>
    <xf numFmtId="0" fontId="8" fillId="0" borderId="40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eroscol@acerosc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7" zoomScaleNormal="100" workbookViewId="0">
      <selection activeCell="F31" sqref="F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46" t="s">
        <v>42</v>
      </c>
      <c r="D7" s="6"/>
      <c r="E7" s="6"/>
      <c r="F7" s="37"/>
      <c r="G7" s="18"/>
      <c r="H7" s="19" t="s">
        <v>50</v>
      </c>
    </row>
    <row r="8" spans="1:8" ht="19.5" thickBot="1" x14ac:dyDescent="0.35">
      <c r="A8" s="21" t="s">
        <v>8</v>
      </c>
      <c r="C8" s="14" t="s">
        <v>44</v>
      </c>
      <c r="E8" s="15"/>
      <c r="H8" s="15"/>
    </row>
    <row r="9" spans="1:8" ht="18.75" customHeight="1" thickBot="1" x14ac:dyDescent="0.35">
      <c r="A9" s="21" t="s">
        <v>9</v>
      </c>
      <c r="C9" s="14" t="s">
        <v>45</v>
      </c>
      <c r="E9" s="72" t="s">
        <v>46</v>
      </c>
      <c r="F9" s="30" t="s">
        <v>0</v>
      </c>
      <c r="H9" s="28">
        <v>45574</v>
      </c>
    </row>
    <row r="10" spans="1:8" ht="18.75" x14ac:dyDescent="0.3">
      <c r="A10" s="21" t="s">
        <v>13</v>
      </c>
      <c r="C10" s="50" t="s">
        <v>47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 t="s">
        <v>43</v>
      </c>
      <c r="E11" s="15"/>
      <c r="F11" s="30" t="s">
        <v>16</v>
      </c>
      <c r="G11" s="30"/>
      <c r="H11" s="28">
        <v>45583</v>
      </c>
    </row>
    <row r="12" spans="1:8" ht="18.75" x14ac:dyDescent="0.3">
      <c r="A12" s="21" t="s">
        <v>11</v>
      </c>
      <c r="C12" s="14" t="s">
        <v>48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49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5" t="s">
        <v>51</v>
      </c>
      <c r="C16" s="56"/>
      <c r="D16" s="57"/>
      <c r="E16" s="53" t="s">
        <v>52</v>
      </c>
      <c r="F16" s="59">
        <v>1434000</v>
      </c>
      <c r="G16" s="53">
        <v>8</v>
      </c>
      <c r="H16" s="38">
        <f t="shared" ref="H16" si="0">G16*F16</f>
        <v>11472000</v>
      </c>
    </row>
    <row r="17" spans="1:8" ht="16.5" thickBot="1" x14ac:dyDescent="0.3">
      <c r="A17" s="53">
        <v>2</v>
      </c>
      <c r="B17" s="55" t="s">
        <v>53</v>
      </c>
      <c r="C17" s="56"/>
      <c r="D17" s="57"/>
      <c r="E17" s="53" t="s">
        <v>54</v>
      </c>
      <c r="F17" s="59">
        <v>57000</v>
      </c>
      <c r="G17" s="53">
        <v>10</v>
      </c>
      <c r="H17" s="38">
        <f t="shared" ref="H17:H18" si="1">G17*F17</f>
        <v>570000</v>
      </c>
    </row>
    <row r="18" spans="1:8" ht="16.5" thickBot="1" x14ac:dyDescent="0.3">
      <c r="A18" s="79">
        <v>3</v>
      </c>
      <c r="B18" s="80" t="s">
        <v>55</v>
      </c>
      <c r="C18" s="81"/>
      <c r="D18" s="82"/>
      <c r="E18" s="79" t="s">
        <v>54</v>
      </c>
      <c r="F18" s="83">
        <v>124000</v>
      </c>
      <c r="G18" s="79">
        <v>10</v>
      </c>
      <c r="H18" s="38">
        <f t="shared" si="1"/>
        <v>1240000</v>
      </c>
    </row>
    <row r="19" spans="1:8" ht="15.75" x14ac:dyDescent="0.25">
      <c r="A19" s="73"/>
      <c r="B19" s="74"/>
      <c r="C19" s="75"/>
      <c r="D19" s="76"/>
      <c r="E19" s="73"/>
      <c r="F19" s="77"/>
      <c r="G19" s="73"/>
      <c r="H19" s="78"/>
    </row>
    <row r="20" spans="1:8" ht="19.5" customHeight="1" thickBot="1" x14ac:dyDescent="0.3">
      <c r="A20" s="54"/>
      <c r="B20" s="45"/>
      <c r="C20" s="42"/>
      <c r="D20" s="58"/>
      <c r="E20" s="60"/>
      <c r="F20" s="60"/>
      <c r="G20" s="60"/>
    </row>
    <row r="21" spans="1:8" ht="19.5" customHeight="1" thickBot="1" x14ac:dyDescent="0.35">
      <c r="A21" s="52" t="s">
        <v>23</v>
      </c>
      <c r="B21" s="14" t="s">
        <v>56</v>
      </c>
      <c r="D21" s="15"/>
      <c r="E21" s="61"/>
      <c r="F21" s="37" t="s">
        <v>29</v>
      </c>
      <c r="G21" s="6"/>
      <c r="H21" s="7"/>
    </row>
    <row r="22" spans="1:8" ht="19.5" customHeight="1" thickBot="1" x14ac:dyDescent="0.3">
      <c r="A22" s="39"/>
      <c r="B22" s="16" t="s">
        <v>57</v>
      </c>
      <c r="C22" s="4"/>
      <c r="D22" s="4"/>
      <c r="E22" s="64" t="s">
        <v>24</v>
      </c>
      <c r="F22" s="65"/>
      <c r="G22" s="47"/>
      <c r="H22" s="62">
        <f>SUM(H16:H21)</f>
        <v>13282000</v>
      </c>
    </row>
    <row r="23" spans="1:8" ht="19.5" customHeight="1" x14ac:dyDescent="0.25">
      <c r="A23" s="24" t="s">
        <v>25</v>
      </c>
      <c r="B23" s="12"/>
      <c r="C23" s="12"/>
      <c r="D23" s="12"/>
      <c r="E23" s="66" t="s">
        <v>30</v>
      </c>
      <c r="F23" s="23"/>
      <c r="G23" s="67">
        <v>0.19</v>
      </c>
      <c r="H23" s="40">
        <f>H22*G23</f>
        <v>2523580</v>
      </c>
    </row>
    <row r="24" spans="1:8" ht="19.5" customHeight="1" x14ac:dyDescent="0.25">
      <c r="A24" s="14" t="s">
        <v>31</v>
      </c>
      <c r="E24" s="68" t="s">
        <v>26</v>
      </c>
      <c r="G24" s="71">
        <v>2.5000000000000001E-2</v>
      </c>
      <c r="H24" s="63">
        <f>H22*G24</f>
        <v>332050</v>
      </c>
    </row>
    <row r="25" spans="1:8" ht="15.75" x14ac:dyDescent="0.25">
      <c r="A25" s="14" t="s">
        <v>38</v>
      </c>
      <c r="E25" s="14"/>
      <c r="F25" s="33"/>
      <c r="G25" s="48"/>
      <c r="H25" s="15"/>
    </row>
    <row r="26" spans="1:8" ht="16.5" thickBot="1" x14ac:dyDescent="0.3">
      <c r="A26" s="14" t="s">
        <v>34</v>
      </c>
      <c r="E26" s="69" t="s">
        <v>27</v>
      </c>
      <c r="F26" s="70"/>
      <c r="G26" s="49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15473530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35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D7D38D1E-D192-46D4-A812-33D9E4872D7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ACEROSCOL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2024-10-09T16:17:28Z</dcterms:modified>
</cp:coreProperties>
</file>