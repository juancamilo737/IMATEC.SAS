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88597AA-F423-4D9E-969F-60353ACDE8B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<sst xmlns="http://schemas.openxmlformats.org/spreadsheetml/2006/main" count="54" uniqueCount="54">
  <si>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</si>
  <si>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</si>
  <si>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</si>
  <si>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</si>
  <si>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</si>
  <si>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</si>
  <si>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</si>
  <si>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</si>
  <si>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</si>
  <si>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</si>
  <si>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</si>
  <si>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</si>
  <si>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</si>
  <si>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</si>
  <si>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</si>
  <si>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</si>
  <si>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</si>
  <si>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</si>
  <si>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</si>
  <si>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</si>
  <si>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</si>
  <si>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</si>
  <si>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</si>
  <si>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</si>
  <si>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</si>
  <si>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</si>
  <si>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</si>
  <si>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</si>
  <si>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</si>
  <si>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</si>
  <si>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</si>
  <si>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</si>
  <si>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</si>
  <si>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</si>
  <si>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</si>
  <si>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</si>
  <si>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</si>
  <si>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</si>
  <si>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</si>
  <si>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</si>
  <si>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</si>
  <si>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</si>
  <si>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</si>
  <si>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</si>
  <si>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</si>
  <si>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</si>
  <si>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</si>
  <si>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 xml:space="preserve">             R E M I S I O N</t>
  </si>
  <si>
    <t>30 DIAS</t>
  </si>
  <si>
    <t>No. 15</t>
  </si>
  <si>
    <t xml:space="preserve">ALFAJOR  3 X 1   1/4 " </t>
  </si>
  <si>
    <t>LAMINA</t>
  </si>
  <si>
    <t>OCHOCIENTOS VEINTITRES MIL SEISCIENTOS CINCUENTA Y</t>
  </si>
  <si>
    <t>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</si>
</sst>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5" xfId="0" applyNumberFormat="1" applyFont="1" applyBorder="1" applyAlignment="1">
      <alignment horizontal="left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1" fillId="0" borderId="2" xfId="0" applyFont="1" applyBorder="1" applyAlignment="1">
      <alignment horizontal="center"/>
    </xf>
    <xf numFmtId="0" fontId="8" fillId="0" borderId="20" xfId="0" applyFont="1" applyBorder="1"/>
    <xf numFmtId="0" fontId="8" fillId="0" borderId="2" xfId="0" applyFont="1" applyBorder="1"/>
    <xf numFmtId="0" fontId="8" fillId="0" borderId="18" xfId="0" applyFont="1" applyBorder="1"/>
    <xf numFmtId="0" fontId="1" fillId="0" borderId="21" xfId="0" applyFont="1" applyBorder="1" applyAlignment="1">
      <alignment horizontal="center"/>
    </xf>
    <xf numFmtId="42" fontId="11" fillId="0" borderId="21" xfId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22" xfId="0" applyBorder="1"/>
    <xf numFmtId="42" fontId="1" fillId="0" borderId="23" xfId="1" applyFont="1" applyBorder="1" applyAlignment="1">
      <alignment horizontal="left"/>
    </xf>
    <xf numFmtId="0" fontId="1" fillId="0" borderId="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3" fillId="0" borderId="29" xfId="2" applyBorder="1"/>
    <xf numFmtId="0" fontId="0" fillId="0" borderId="30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16" fontId="0" fillId="0" borderId="0" xfId="0" applyNumberFormat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0" fillId="0" borderId="0" xfId="0" applyBorder="1"/>
    <xf numFmtId="0" fontId="4" fillId="0" borderId="24" xfId="0" applyFont="1" applyBorder="1"/>
    <xf numFmtId="0" fontId="4" fillId="0" borderId="25" xfId="0" applyFont="1" applyBorder="1"/>
    <xf numFmtId="0" fontId="4" fillId="0" borderId="9" xfId="0" applyFont="1" applyBorder="1"/>
    <xf numFmtId="9" fontId="1" fillId="0" borderId="28" xfId="0" applyNumberFormat="1" applyFont="1" applyBorder="1"/>
    <xf numFmtId="0" fontId="4" fillId="0" borderId="29" xfId="0" applyFont="1" applyBorder="1"/>
    <xf numFmtId="10" fontId="1" fillId="0" borderId="10" xfId="0" applyNumberFormat="1" applyFont="1" applyBorder="1"/>
    <xf numFmtId="0" fontId="4" fillId="0" borderId="31" xfId="0" applyFont="1" applyBorder="1"/>
    <xf numFmtId="0" fontId="4" fillId="0" borderId="32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topLeftCell="A7" zoomScale="96" zoomScaleNormal="96" workbookViewId="0">
      <selection activeCell="K18" sqref="K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9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9" ht="20.25" customHeight="1" thickBot="1" x14ac:dyDescent="0.4">
      <c r="D2" s="2"/>
      <c r="E2" s="40" t="s">
        <v>29</v>
      </c>
    </row>
    <row r="3" spans="1:9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9" ht="21.75" thickBot="1" x14ac:dyDescent="0.4">
      <c r="A4" s="27" t="s">
        <v>7</v>
      </c>
      <c r="B4" s="6"/>
      <c r="C4" s="6"/>
      <c r="D4" s="28" t="s">
        <v>31</v>
      </c>
      <c r="E4" s="18"/>
      <c r="F4" s="19"/>
      <c r="G4" s="6"/>
      <c r="H4" s="7"/>
    </row>
    <row r="5" spans="1:9" ht="19.5" thickBot="1" x14ac:dyDescent="0.35">
      <c r="A5" s="45" t="s">
        <v>35</v>
      </c>
      <c r="B5" s="6"/>
      <c r="C5" s="6"/>
      <c r="D5" s="6"/>
      <c r="E5" s="6"/>
    </row>
    <row r="6" spans="1:9" ht="24.75" customHeight="1" thickBot="1" x14ac:dyDescent="0.45">
      <c r="F6" s="11" t="s">
        <v>47</v>
      </c>
      <c r="G6" s="18"/>
      <c r="H6" s="19"/>
    </row>
    <row r="7" spans="1:9" ht="19.5" thickBot="1" x14ac:dyDescent="0.35">
      <c r="A7" s="20" t="s">
        <v>14</v>
      </c>
      <c r="B7" s="13"/>
      <c r="C7" s="29" t="s">
        <v>37</v>
      </c>
      <c r="D7" s="13"/>
      <c r="E7" s="14"/>
      <c r="F7" s="26"/>
      <c r="G7" s="18"/>
      <c r="H7" s="19" t="s">
        <v>49</v>
      </c>
    </row>
    <row r="8" spans="1:9" ht="18.75" x14ac:dyDescent="0.3">
      <c r="A8" s="21" t="s">
        <v>8</v>
      </c>
      <c r="C8" s="57" t="s">
        <v>38</v>
      </c>
      <c r="D8" s="58"/>
      <c r="E8" s="59"/>
      <c r="F8" s="12"/>
      <c r="G8" s="13"/>
      <c r="H8" s="14"/>
    </row>
    <row r="9" spans="1:9" ht="18.75" customHeight="1" x14ac:dyDescent="0.3">
      <c r="A9" s="21" t="s">
        <v>9</v>
      </c>
      <c r="C9" s="60" t="s">
        <v>39</v>
      </c>
      <c r="D9" s="23"/>
      <c r="E9" s="61" t="s">
        <v>33</v>
      </c>
      <c r="F9" s="30" t="s">
        <v>0</v>
      </c>
      <c r="H9" s="31">
        <v>45877</v>
      </c>
    </row>
    <row r="10" spans="1:9" ht="18.75" x14ac:dyDescent="0.3">
      <c r="A10" s="21" t="s">
        <v>13</v>
      </c>
      <c r="C10" s="62" t="s">
        <v>41</v>
      </c>
      <c r="D10" s="24"/>
      <c r="E10" s="63"/>
      <c r="F10" s="30" t="s">
        <v>15</v>
      </c>
      <c r="H10" s="32" t="s">
        <v>48</v>
      </c>
      <c r="I10" s="68"/>
    </row>
    <row r="11" spans="1:9" ht="18.75" x14ac:dyDescent="0.3">
      <c r="A11" s="21" t="s">
        <v>10</v>
      </c>
      <c r="C11" s="64"/>
      <c r="D11" s="24"/>
      <c r="E11" s="63"/>
      <c r="F11" s="30" t="s">
        <v>16</v>
      </c>
      <c r="G11" s="33"/>
      <c r="H11" s="31">
        <v>45907</v>
      </c>
    </row>
    <row r="12" spans="1:9" ht="18.75" x14ac:dyDescent="0.3">
      <c r="A12" s="21" t="s">
        <v>11</v>
      </c>
      <c r="C12" s="64" t="s">
        <v>40</v>
      </c>
      <c r="D12" s="24"/>
      <c r="E12" s="63"/>
      <c r="F12" s="30" t="s">
        <v>17</v>
      </c>
      <c r="H12" s="34">
        <v>30300</v>
      </c>
    </row>
    <row r="13" spans="1:9" ht="18.75" customHeight="1" thickBot="1" x14ac:dyDescent="0.35">
      <c r="A13" s="22" t="s">
        <v>12</v>
      </c>
      <c r="B13" s="4"/>
      <c r="C13" s="65" t="s">
        <v>36</v>
      </c>
      <c r="D13" s="66"/>
      <c r="E13" s="67"/>
      <c r="F13" s="16"/>
      <c r="G13" s="4"/>
      <c r="H13" s="17"/>
    </row>
    <row r="14" spans="1:9" ht="15.75" thickBot="1" x14ac:dyDescent="0.3"/>
    <row r="15" spans="1:9" ht="15.75" thickBot="1" x14ac:dyDescent="0.3">
      <c r="A15" s="35" t="s">
        <v>34</v>
      </c>
      <c r="B15" s="56" t="s">
        <v>22</v>
      </c>
      <c r="C15" s="18"/>
      <c r="D15" s="7"/>
      <c r="E15" s="35" t="s">
        <v>18</v>
      </c>
      <c r="F15" s="35" t="s">
        <v>20</v>
      </c>
      <c r="G15" s="35" t="s">
        <v>19</v>
      </c>
      <c r="H15" s="35" t="s">
        <v>21</v>
      </c>
    </row>
    <row r="16" spans="1:9" ht="16.5" thickBot="1" x14ac:dyDescent="0.3">
      <c r="A16" s="47">
        <v>1</v>
      </c>
      <c r="B16" s="48" t="s">
        <v>50</v>
      </c>
      <c r="C16" s="49"/>
      <c r="D16" s="50"/>
      <c r="E16" s="51" t="s">
        <v>51</v>
      </c>
      <c r="F16" s="52">
        <v>707000</v>
      </c>
      <c r="G16" s="53">
        <v>1</v>
      </c>
      <c r="H16" s="55">
        <f t="shared" ref="H16" si="0">G16*F16</f>
        <v>707000</v>
      </c>
    </row>
    <row r="17" spans="1:8" ht="15.75" thickBot="1" x14ac:dyDescent="0.3">
      <c r="A17" s="44"/>
      <c r="D17" s="44"/>
      <c r="H17" s="44"/>
    </row>
    <row r="18" spans="1:8" ht="19.5" thickBot="1" x14ac:dyDescent="0.35">
      <c r="A18" s="69" t="s">
        <v>23</v>
      </c>
      <c r="B18" s="12" t="s">
        <v>52</v>
      </c>
      <c r="C18" s="13"/>
      <c r="D18" s="14"/>
      <c r="E18" s="13"/>
      <c r="F18" s="36" t="s">
        <v>45</v>
      </c>
      <c r="G18" s="13"/>
      <c r="H18" s="7"/>
    </row>
    <row r="19" spans="1:8" ht="16.5" customHeight="1" thickBot="1" x14ac:dyDescent="0.3">
      <c r="A19" s="70"/>
      <c r="B19" s="16" t="s">
        <v>53</v>
      </c>
      <c r="C19" s="4"/>
      <c r="D19" s="4"/>
      <c r="E19" s="72" t="s">
        <v>24</v>
      </c>
      <c r="F19" s="73"/>
      <c r="G19" s="59"/>
      <c r="H19" s="41">
        <f>SUM(H16:H16)</f>
        <v>707000</v>
      </c>
    </row>
    <row r="20" spans="1:8" ht="15.75" x14ac:dyDescent="0.25">
      <c r="A20" s="25" t="s">
        <v>25</v>
      </c>
      <c r="D20" s="71"/>
      <c r="E20" s="74" t="s">
        <v>30</v>
      </c>
      <c r="F20" s="54"/>
      <c r="G20" s="75">
        <v>0.19</v>
      </c>
      <c r="H20" s="42">
        <f>H19*G20</f>
        <v>134330</v>
      </c>
    </row>
    <row r="21" spans="1:8" ht="15.75" x14ac:dyDescent="0.25">
      <c r="A21" s="15" t="s">
        <v>43</v>
      </c>
      <c r="D21" s="71"/>
      <c r="E21" s="76" t="s">
        <v>26</v>
      </c>
      <c r="F21" s="71"/>
      <c r="G21" s="77">
        <v>2.5000000000000001E-2</v>
      </c>
      <c r="H21" s="38">
        <f>H19*G21</f>
        <v>17675</v>
      </c>
    </row>
    <row r="22" spans="1:8" ht="16.5" thickBot="1" x14ac:dyDescent="0.3">
      <c r="A22" s="15" t="s">
        <v>42</v>
      </c>
      <c r="D22" s="71"/>
      <c r="E22" s="78" t="s">
        <v>27</v>
      </c>
      <c r="F22" s="79"/>
      <c r="G22" s="67"/>
      <c r="H22" s="39"/>
    </row>
    <row r="23" spans="1:8" ht="19.5" thickBot="1" x14ac:dyDescent="0.35">
      <c r="A23" s="46" t="s">
        <v>32</v>
      </c>
      <c r="B23" s="4"/>
      <c r="C23" s="4"/>
      <c r="D23" s="17"/>
      <c r="F23" s="3"/>
      <c r="G23" s="37" t="s">
        <v>28</v>
      </c>
      <c r="H23" s="43">
        <f>H19+H20-H21</f>
        <v>823655</v>
      </c>
    </row>
    <row r="25" spans="1:8" ht="15.75" thickBot="1" x14ac:dyDescent="0.3"/>
    <row r="26" spans="1:8" ht="19.5" thickBot="1" x14ac:dyDescent="0.35">
      <c r="A26" s="26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2025-08-08T14:44:33Z</cp:lastPrinted>
  <dcterms:created xsi:type="dcterms:W3CDTF">2018-11-15T17:29:02Z</dcterms:created>
  <dcterms:modified xsi:type="dcterms:W3CDTF">2025-08-08T22:56:29Z</dcterms:modified>
</cp:coreProperties>
</file>