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3AF07D69-CF06-4007-8194-96E91F1BFF5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ODEL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1" i="1" s="1"/>
  <c r="H22" i="1" l="1"/>
  <c r="H26" i="1" s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<sst xmlns="http://schemas.openxmlformats.org/spreadsheetml/2006/main" count="55" uniqueCount="54">
  <si>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</si>
  <si>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</si>
  <si>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</si>
  <si>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</si>
  <si>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</si>
  <si>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</si>
  <si>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</si>
  <si>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</si>
  <si>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</si>
  <si>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</si>
  <si>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</si>
  <si>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</si>
  <si>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</si>
  <si>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</si>
  <si>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</si>
  <si>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</si>
  <si>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</si>
  <si>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</si>
  <si>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</si>
  <si>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</si>
  <si>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</si>
  <si>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</si>
  <si>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</si>
  <si>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</si>
  <si>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</si>
  <si>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</si>
  <si>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</si>
  <si>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</si>
  <si>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</si>
  <si>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</si>
  <si>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</si>
  <si>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</si>
  <si>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</si>
  <si>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</si>
  <si>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</si>
  <si>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</si>
  <si>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</si>
  <si>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</si>
  <si>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</si>
  <si>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</si>
  <si>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</si>
  <si>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</si>
  <si>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CISE INDUSTRIAL S.A.S.</t>
  </si>
  <si>
    <t>901 257756</t>
  </si>
  <si>
    <t>CALLE 42  No. 34C-11</t>
  </si>
  <si>
    <t>alopez@cisesas.com</t>
  </si>
  <si>
    <t>PALMIRA</t>
  </si>
  <si>
    <t>312 2597467</t>
  </si>
  <si>
    <t>EDINSON CABEZAS</t>
  </si>
  <si>
    <t>TUBERIA  A / C SCH 40  3 "</t>
  </si>
  <si>
    <t>METRO LINEAL</t>
  </si>
  <si>
    <t>TUBERIA  A / C SCH 40  2 "</t>
  </si>
  <si>
    <t>CIENTO OCHENTA Y NUEVE MIL OCHOCIENTOS CINCO</t>
  </si>
  <si>
    <t>PESOS 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</si>
</sst>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8" fillId="0" borderId="0" xfId="0" applyFont="1"/>
    <xf numFmtId="42" fontId="1" fillId="0" borderId="0" xfId="1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0" fontId="8" fillId="0" borderId="37" xfId="0" applyFont="1" applyBorder="1"/>
    <xf numFmtId="0" fontId="0" fillId="0" borderId="38" xfId="0" applyBorder="1"/>
    <xf numFmtId="42" fontId="11" fillId="0" borderId="30" xfId="1" applyFont="1" applyBorder="1" applyAlignment="1">
      <alignment horizontal="center"/>
    </xf>
    <xf numFmtId="42" fontId="11" fillId="0" borderId="31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opez@cises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4" zoomScaleNormal="100" workbookViewId="0">
      <selection activeCell="I21" sqref="I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41</v>
      </c>
      <c r="G6" s="43"/>
      <c r="H6" s="44"/>
    </row>
    <row r="7" spans="1:8" ht="19.5" thickBot="1" x14ac:dyDescent="0.35">
      <c r="A7" s="20" t="s">
        <v>14</v>
      </c>
      <c r="B7" s="12"/>
      <c r="C7" s="46" t="s">
        <v>42</v>
      </c>
      <c r="D7" s="6"/>
      <c r="E7" s="6"/>
      <c r="F7" s="37"/>
      <c r="G7" s="18"/>
      <c r="H7" s="19"/>
    </row>
    <row r="8" spans="1:8" ht="19.5" thickBot="1" x14ac:dyDescent="0.35">
      <c r="A8" s="21" t="s">
        <v>8</v>
      </c>
      <c r="C8" s="14" t="s">
        <v>43</v>
      </c>
      <c r="E8" s="15"/>
      <c r="H8" s="15"/>
    </row>
    <row r="9" spans="1:8" ht="18.75" customHeight="1" thickBot="1" x14ac:dyDescent="0.35">
      <c r="A9" s="21" t="s">
        <v>9</v>
      </c>
      <c r="C9" s="14" t="s">
        <v>44</v>
      </c>
      <c r="E9" s="78" t="s">
        <v>46</v>
      </c>
      <c r="F9" s="30" t="s">
        <v>0</v>
      </c>
      <c r="H9" s="28">
        <v>45566</v>
      </c>
    </row>
    <row r="10" spans="1:8" ht="18.75" x14ac:dyDescent="0.3">
      <c r="A10" s="21" t="s">
        <v>13</v>
      </c>
      <c r="C10" s="50" t="s">
        <v>45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45574</v>
      </c>
    </row>
    <row r="12" spans="1:8" ht="18.75" x14ac:dyDescent="0.3">
      <c r="A12" s="21" t="s">
        <v>11</v>
      </c>
      <c r="C12" s="14" t="s">
        <v>47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3" t="s">
        <v>37</v>
      </c>
      <c r="B15" s="24" t="s">
        <v>22</v>
      </c>
      <c r="C15" s="43"/>
      <c r="D15" s="13"/>
      <c r="E15" s="53" t="s">
        <v>18</v>
      </c>
      <c r="F15" s="53" t="s">
        <v>20</v>
      </c>
      <c r="G15" s="53" t="s">
        <v>19</v>
      </c>
      <c r="H15" s="32" t="s">
        <v>21</v>
      </c>
    </row>
    <row r="16" spans="1:8" ht="16.5" thickBot="1" x14ac:dyDescent="0.3">
      <c r="A16" s="55">
        <v>1</v>
      </c>
      <c r="B16" s="58" t="s">
        <v>49</v>
      </c>
      <c r="C16" s="59"/>
      <c r="D16" s="60"/>
      <c r="E16" s="55" t="s">
        <v>50</v>
      </c>
      <c r="F16" s="64">
        <v>115000</v>
      </c>
      <c r="G16" s="55">
        <v>1</v>
      </c>
      <c r="H16" s="38">
        <f t="shared" ref="H16" si="0">G16*F16</f>
        <v>115000</v>
      </c>
    </row>
    <row r="17" spans="1:8" ht="16.5" thickBot="1" x14ac:dyDescent="0.3">
      <c r="A17" s="56">
        <v>2</v>
      </c>
      <c r="B17" s="61" t="s">
        <v>51</v>
      </c>
      <c r="C17" s="51"/>
      <c r="D17" s="62"/>
      <c r="E17" s="56" t="s">
        <v>50</v>
      </c>
      <c r="F17" s="65">
        <v>44500</v>
      </c>
      <c r="G17" s="56">
        <v>1</v>
      </c>
      <c r="H17" s="38">
        <f t="shared" ref="H17" si="1">G17*F17</f>
        <v>44500</v>
      </c>
    </row>
    <row r="18" spans="1:8" ht="15.75" x14ac:dyDescent="0.25">
      <c r="A18" s="56"/>
      <c r="B18" s="61"/>
      <c r="C18" s="51"/>
      <c r="D18" s="62"/>
      <c r="E18" s="56"/>
      <c r="F18" s="65"/>
      <c r="G18" s="56"/>
      <c r="H18" s="52"/>
    </row>
    <row r="19" spans="1:8" ht="19.5" customHeight="1" thickBot="1" x14ac:dyDescent="0.3">
      <c r="A19" s="57"/>
      <c r="B19" s="45"/>
      <c r="C19" s="42"/>
      <c r="D19" s="63"/>
      <c r="E19" s="66"/>
      <c r="F19" s="66"/>
      <c r="G19" s="66"/>
    </row>
    <row r="20" spans="1:8" ht="19.5" customHeight="1" thickBot="1" x14ac:dyDescent="0.35">
      <c r="A20" s="54" t="s">
        <v>23</v>
      </c>
      <c r="B20" s="14" t="s">
        <v>52</v>
      </c>
      <c r="D20" s="15"/>
      <c r="E20" s="67"/>
      <c r="F20" s="37" t="s">
        <v>29</v>
      </c>
      <c r="G20" s="6"/>
      <c r="H20" s="7"/>
    </row>
    <row r="21" spans="1:8" ht="19.5" customHeight="1" thickBot="1" x14ac:dyDescent="0.3">
      <c r="A21" s="39"/>
      <c r="B21" s="16" t="s">
        <v>53</v>
      </c>
      <c r="C21" s="4"/>
      <c r="D21" s="4"/>
      <c r="E21" s="70" t="s">
        <v>24</v>
      </c>
      <c r="F21" s="71"/>
      <c r="G21" s="47"/>
      <c r="H21" s="68">
        <f>SUM(H16:H20)</f>
        <v>159500</v>
      </c>
    </row>
    <row r="22" spans="1:8" ht="19.5" customHeight="1" x14ac:dyDescent="0.25">
      <c r="A22" s="24" t="s">
        <v>25</v>
      </c>
      <c r="B22" s="12"/>
      <c r="C22" s="12"/>
      <c r="D22" s="12"/>
      <c r="E22" s="72" t="s">
        <v>30</v>
      </c>
      <c r="F22" s="23"/>
      <c r="G22" s="73">
        <v>0.19</v>
      </c>
      <c r="H22" s="40">
        <f>H21*G22</f>
        <v>30305</v>
      </c>
    </row>
    <row r="23" spans="1:8" ht="19.5" customHeight="1" x14ac:dyDescent="0.25">
      <c r="A23" s="14" t="s">
        <v>31</v>
      </c>
      <c r="E23" s="74" t="s">
        <v>26</v>
      </c>
      <c r="G23" s="77">
        <v>2.5000000000000001E-2</v>
      </c>
      <c r="H23" s="69"/>
    </row>
    <row r="24" spans="1:8" ht="15.75" x14ac:dyDescent="0.25">
      <c r="A24" s="14" t="s">
        <v>38</v>
      </c>
      <c r="E24" s="14"/>
      <c r="F24" s="33"/>
      <c r="G24" s="48"/>
      <c r="H24" s="15"/>
    </row>
    <row r="25" spans="1:8" ht="16.5" thickBot="1" x14ac:dyDescent="0.3">
      <c r="A25" s="14" t="s">
        <v>34</v>
      </c>
      <c r="E25" s="75" t="s">
        <v>27</v>
      </c>
      <c r="F25" s="76"/>
      <c r="G25" s="49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</f>
        <v>189805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35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8ACAAB22-E453-453B-85A1-77F2565651E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2024-10-01T20:42:54Z</dcterms:modified>
</cp:coreProperties>
</file>