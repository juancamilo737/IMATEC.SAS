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D330D2F4-E239-44BC-822C-C09506845978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YC SOLUCION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1" l="1"/>
  <c r="H25" i="1"/>
  <c r="H23" i="1"/>
  <c r="H20" i="1"/>
  <c r="H19" i="1"/>
  <c r="H18" i="1"/>
  <c r="H17" i="1"/>
  <c r="H16" i="1"/>
  <c r="H24" i="1" l="1"/>
</calcChain>
</file>

<file path=xl/sharedStrings.xml><?xml version="1.0" encoding="utf-8"?>
<sst xmlns="http://schemas.openxmlformats.org/spreadsheetml/2006/main" count="63" uniqueCount="60">
  <si>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</si>
  <si>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</si>
  <si>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</si>
  <si>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</si>
  <si>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</si>
  <si>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</si>
  <si>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</si>
  <si>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</si>
  <si>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</si>
  <si>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</si>
  <si>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</si>
  <si>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</si>
  <si>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</si>
  <si>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</si>
  <si>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</si>
  <si>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</si>
  <si>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</si>
  <si>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</si>
  <si>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</si>
  <si>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</si>
  <si>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</si>
  <si>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</si>
  <si>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</si>
  <si>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</si>
  <si>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</si>
  <si>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</si>
  <si>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</si>
  <si>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</si>
  <si>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</si>
  <si>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</si>
  <si>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</si>
  <si>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</si>
  <si>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</si>
  <si>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</si>
  <si>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</si>
  <si>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</si>
  <si>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</si>
  <si>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</si>
  <si>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</si>
  <si>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</si>
  <si>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</si>
  <si>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AYC SOLUCIONES HIDROELECTRICAS SAS</t>
  </si>
  <si>
    <t>901 269341</t>
  </si>
  <si>
    <t>CALLE 23 No. 28-11</t>
  </si>
  <si>
    <t>CALI</t>
  </si>
  <si>
    <t>aycsolucioneshidroelectricas@gmail.com</t>
  </si>
  <si>
    <t>602 2830205</t>
  </si>
  <si>
    <t xml:space="preserve">           C O T I Z A C I O N</t>
  </si>
  <si>
    <t>No. 4</t>
  </si>
  <si>
    <t>NIPLE AC/INOX  2 "  X  135 mm RANURA/ROSCA</t>
  </si>
  <si>
    <t>FABRICACION</t>
  </si>
  <si>
    <t>NIPLE AC/INOX  2 "  X  120 mm RANURA/ROSCA</t>
  </si>
  <si>
    <t>TEE MECANICA RANURADA  4 "  X  2 "</t>
  </si>
  <si>
    <t>ACCESORIO</t>
  </si>
  <si>
    <t>UNION HD RANURADA  2 "</t>
  </si>
  <si>
    <t>NIPLE AC/INOX  4 "  X  141 CMTS CON 3 PERFORA-</t>
  </si>
  <si>
    <t>CIONES DE 2 "</t>
  </si>
  <si>
    <t>UN MILLON CUATROCIENTOS NOVENTA Y SEIS MIL TRES</t>
  </si>
  <si>
    <t>CIENTOS VEINTISEIS PESOS MDA / CTE</t>
  </si>
  <si>
    <t>LUIS A. BENAVIDES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</si>
</sst>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7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1" fillId="0" borderId="14" xfId="0" applyFont="1" applyBorder="1" applyAlignment="1">
      <alignment horizontal="center"/>
    </xf>
    <xf numFmtId="0" fontId="8" fillId="0" borderId="38" xfId="0" applyFont="1" applyBorder="1"/>
    <xf numFmtId="0" fontId="8" fillId="0" borderId="13" xfId="0" applyFont="1" applyBorder="1"/>
    <xf numFmtId="0" fontId="8" fillId="0" borderId="39" xfId="0" applyFont="1" applyBorder="1"/>
    <xf numFmtId="42" fontId="11" fillId="0" borderId="14" xfId="1" applyFont="1" applyBorder="1" applyAlignment="1">
      <alignment horizontal="center"/>
    </xf>
    <xf numFmtId="0" fontId="8" fillId="0" borderId="20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ycsolucioneshidroelectric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3"/>
  <sheetViews>
    <sheetView tabSelected="1" zoomScaleNormal="100" workbookViewId="0">
      <selection activeCell="G11" sqref="G1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3"/>
      <c r="H6" s="44"/>
    </row>
    <row r="7" spans="1:8" ht="19.5" thickBot="1" x14ac:dyDescent="0.35">
      <c r="A7" s="20" t="s">
        <v>14</v>
      </c>
      <c r="B7" s="12"/>
      <c r="C7" s="69" t="s">
        <v>41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71" t="s">
        <v>42</v>
      </c>
      <c r="D8" s="72"/>
      <c r="E8" s="45"/>
      <c r="H8" s="15"/>
    </row>
    <row r="9" spans="1:8" ht="18.75" customHeight="1" x14ac:dyDescent="0.3">
      <c r="A9" s="21" t="s">
        <v>9</v>
      </c>
      <c r="C9" s="73" t="s">
        <v>43</v>
      </c>
      <c r="D9" s="23"/>
      <c r="E9" s="74" t="s">
        <v>44</v>
      </c>
      <c r="F9" s="30" t="s">
        <v>0</v>
      </c>
      <c r="H9" s="28">
        <v>45642</v>
      </c>
    </row>
    <row r="10" spans="1:8" ht="18.75" x14ac:dyDescent="0.3">
      <c r="A10" s="21" t="s">
        <v>13</v>
      </c>
      <c r="C10" s="75" t="s">
        <v>45</v>
      </c>
      <c r="D10" s="70"/>
      <c r="E10" s="46"/>
      <c r="F10" s="30" t="s">
        <v>15</v>
      </c>
      <c r="H10" s="29" t="s">
        <v>32</v>
      </c>
    </row>
    <row r="11" spans="1:8" ht="18.75" x14ac:dyDescent="0.3">
      <c r="A11" s="21" t="s">
        <v>10</v>
      </c>
      <c r="C11" s="76"/>
      <c r="D11" s="70"/>
      <c r="E11" s="46"/>
      <c r="F11" s="30" t="s">
        <v>16</v>
      </c>
      <c r="G11" s="30"/>
      <c r="H11" s="28">
        <v>45651</v>
      </c>
    </row>
    <row r="12" spans="1:8" ht="18.75" x14ac:dyDescent="0.3">
      <c r="A12" s="21" t="s">
        <v>11</v>
      </c>
      <c r="C12" s="76" t="s">
        <v>46</v>
      </c>
      <c r="D12" s="70"/>
      <c r="E12" s="46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6" t="s">
        <v>59</v>
      </c>
      <c r="D13" s="70"/>
      <c r="E13" s="46"/>
      <c r="F13" s="4"/>
      <c r="G13" s="4"/>
      <c r="H13" s="17"/>
    </row>
    <row r="14" spans="1:8" ht="15.75" thickBot="1" x14ac:dyDescent="0.3">
      <c r="C14" s="16"/>
      <c r="D14" s="4"/>
      <c r="E14" s="17"/>
    </row>
    <row r="15" spans="1:8" ht="15.75" thickBot="1" x14ac:dyDescent="0.3">
      <c r="A15" s="48" t="s">
        <v>37</v>
      </c>
      <c r="B15" s="24" t="s">
        <v>22</v>
      </c>
      <c r="C15" s="43"/>
      <c r="D15" s="13"/>
      <c r="E15" s="48" t="s">
        <v>18</v>
      </c>
      <c r="F15" s="48" t="s">
        <v>20</v>
      </c>
      <c r="G15" s="48" t="s">
        <v>19</v>
      </c>
      <c r="H15" s="32" t="s">
        <v>21</v>
      </c>
    </row>
    <row r="16" spans="1:8" ht="16.5" thickBot="1" x14ac:dyDescent="0.3">
      <c r="A16" s="50">
        <v>1</v>
      </c>
      <c r="B16" s="52" t="s">
        <v>49</v>
      </c>
      <c r="C16" s="53"/>
      <c r="D16" s="54"/>
      <c r="E16" s="50" t="s">
        <v>50</v>
      </c>
      <c r="F16" s="56">
        <v>39000</v>
      </c>
      <c r="G16" s="50">
        <v>2</v>
      </c>
      <c r="H16" s="38">
        <f t="shared" ref="H16" si="0">G16*F16</f>
        <v>78000</v>
      </c>
    </row>
    <row r="17" spans="1:8" ht="16.5" thickBot="1" x14ac:dyDescent="0.3">
      <c r="A17" s="50">
        <v>2</v>
      </c>
      <c r="B17" s="52" t="s">
        <v>51</v>
      </c>
      <c r="C17" s="53"/>
      <c r="D17" s="54"/>
      <c r="E17" s="50" t="s">
        <v>50</v>
      </c>
      <c r="F17" s="56">
        <v>38000</v>
      </c>
      <c r="G17" s="50">
        <v>1</v>
      </c>
      <c r="H17" s="38">
        <f t="shared" ref="H17:H20" si="1">G17*F17</f>
        <v>38000</v>
      </c>
    </row>
    <row r="18" spans="1:8" ht="16.5" thickBot="1" x14ac:dyDescent="0.3">
      <c r="A18" s="50">
        <v>3</v>
      </c>
      <c r="B18" s="52" t="s">
        <v>52</v>
      </c>
      <c r="C18" s="53"/>
      <c r="D18" s="54"/>
      <c r="E18" s="50" t="s">
        <v>53</v>
      </c>
      <c r="F18" s="56">
        <v>48000</v>
      </c>
      <c r="G18" s="50">
        <v>3</v>
      </c>
      <c r="H18" s="38">
        <f t="shared" si="1"/>
        <v>144000</v>
      </c>
    </row>
    <row r="19" spans="1:8" ht="16.5" thickBot="1" x14ac:dyDescent="0.3">
      <c r="A19" s="50">
        <v>4</v>
      </c>
      <c r="B19" s="52" t="s">
        <v>54</v>
      </c>
      <c r="C19" s="53"/>
      <c r="D19" s="54"/>
      <c r="E19" s="50" t="s">
        <v>53</v>
      </c>
      <c r="F19" s="56">
        <v>14800</v>
      </c>
      <c r="G19" s="50">
        <v>3</v>
      </c>
      <c r="H19" s="38">
        <f t="shared" si="1"/>
        <v>44400</v>
      </c>
    </row>
    <row r="20" spans="1:8" ht="16.5" thickBot="1" x14ac:dyDescent="0.3">
      <c r="A20" s="77">
        <v>5</v>
      </c>
      <c r="B20" s="78" t="s">
        <v>55</v>
      </c>
      <c r="C20" s="79"/>
      <c r="D20" s="80"/>
      <c r="E20" s="77" t="s">
        <v>50</v>
      </c>
      <c r="F20" s="81">
        <v>980000</v>
      </c>
      <c r="G20" s="77">
        <v>1</v>
      </c>
      <c r="H20" s="38">
        <f t="shared" si="1"/>
        <v>980000</v>
      </c>
    </row>
    <row r="21" spans="1:8" ht="19.5" customHeight="1" thickBot="1" x14ac:dyDescent="0.3">
      <c r="A21" s="51"/>
      <c r="B21" s="82" t="s">
        <v>56</v>
      </c>
      <c r="C21" s="42"/>
      <c r="D21" s="55"/>
      <c r="E21" s="57"/>
      <c r="F21" s="57"/>
      <c r="G21" s="57"/>
    </row>
    <row r="22" spans="1:8" ht="19.5" customHeight="1" thickBot="1" x14ac:dyDescent="0.35">
      <c r="A22" s="49" t="s">
        <v>23</v>
      </c>
      <c r="B22" s="14" t="s">
        <v>57</v>
      </c>
      <c r="D22" s="15"/>
      <c r="E22" s="58"/>
      <c r="F22" s="37" t="s">
        <v>29</v>
      </c>
      <c r="G22" s="6"/>
      <c r="H22" s="7"/>
    </row>
    <row r="23" spans="1:8" ht="19.5" customHeight="1" thickBot="1" x14ac:dyDescent="0.3">
      <c r="A23" s="39"/>
      <c r="B23" s="16" t="s">
        <v>58</v>
      </c>
      <c r="C23" s="4"/>
      <c r="D23" s="4"/>
      <c r="E23" s="61" t="s">
        <v>24</v>
      </c>
      <c r="F23" s="62"/>
      <c r="G23" s="45"/>
      <c r="H23" s="59">
        <f>SUM(H16:H20)</f>
        <v>1284400</v>
      </c>
    </row>
    <row r="24" spans="1:8" ht="19.5" customHeight="1" x14ac:dyDescent="0.25">
      <c r="A24" s="24" t="s">
        <v>25</v>
      </c>
      <c r="B24" s="12"/>
      <c r="C24" s="12"/>
      <c r="D24" s="12"/>
      <c r="E24" s="63" t="s">
        <v>30</v>
      </c>
      <c r="F24" s="23"/>
      <c r="G24" s="64">
        <v>0.19</v>
      </c>
      <c r="H24" s="40">
        <f>H23*G24</f>
        <v>244036</v>
      </c>
    </row>
    <row r="25" spans="1:8" ht="19.5" customHeight="1" x14ac:dyDescent="0.25">
      <c r="A25" s="14" t="s">
        <v>31</v>
      </c>
      <c r="E25" s="65" t="s">
        <v>26</v>
      </c>
      <c r="G25" s="68">
        <v>2.5000000000000001E-2</v>
      </c>
      <c r="H25" s="60">
        <f>H23*G25</f>
        <v>32110</v>
      </c>
    </row>
    <row r="26" spans="1:8" ht="15.75" x14ac:dyDescent="0.25">
      <c r="A26" s="14" t="s">
        <v>38</v>
      </c>
      <c r="E26" s="14"/>
      <c r="F26" s="33"/>
      <c r="G26" s="46"/>
      <c r="H26" s="15"/>
    </row>
    <row r="27" spans="1:8" ht="16.5" thickBot="1" x14ac:dyDescent="0.3">
      <c r="A27" s="14" t="s">
        <v>34</v>
      </c>
      <c r="E27" s="66" t="s">
        <v>27</v>
      </c>
      <c r="F27" s="67"/>
      <c r="G27" s="47"/>
      <c r="H27" s="17"/>
    </row>
    <row r="28" spans="1:8" ht="19.5" thickBot="1" x14ac:dyDescent="0.35">
      <c r="A28" s="16"/>
      <c r="B28" s="4"/>
      <c r="C28" s="4"/>
      <c r="D28" s="17"/>
      <c r="F28" s="3"/>
      <c r="G28" s="34" t="s">
        <v>28</v>
      </c>
      <c r="H28" s="36">
        <f>H23+H24-H25</f>
        <v>1496326</v>
      </c>
    </row>
    <row r="29" spans="1:8" ht="16.5" customHeight="1" x14ac:dyDescent="0.25"/>
    <row r="34" spans="1:8" ht="15.75" thickBot="1" x14ac:dyDescent="0.3"/>
    <row r="35" spans="1:8" ht="19.5" thickBot="1" x14ac:dyDescent="0.35">
      <c r="A35" s="25" t="s">
        <v>35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hyperlinks>
    <hyperlink ref="C10" r:id="rId1" xr:uid="{CE4586D5-0C34-4CBB-A163-3643D8919FDD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AYC SOLUCIONES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2025-01-31T21:26:22Z</dcterms:modified>
</cp:coreProperties>
</file>