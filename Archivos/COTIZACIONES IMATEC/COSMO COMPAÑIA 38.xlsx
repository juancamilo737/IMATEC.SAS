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DF6F797-4A11-472D-B92B-3938C49F47A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6" i="2"/>
  <c r="H23" i="2"/>
  <c r="H22" i="2"/>
  <c r="H21" i="2"/>
  <c r="H20" i="2"/>
  <c r="H19" i="2"/>
  <c r="H18" i="2"/>
  <c r="H17" i="2"/>
  <c r="H16" i="2"/>
  <c r="H27" i="2" l="1"/>
  <c r="H31" i="2" s="1"/>
</calcChain>
</file>

<file path=xl/sharedStrings.xml><?xml version="1.0" encoding="utf-8"?>
<sst xmlns="http://schemas.openxmlformats.org/spreadsheetml/2006/main" count="68" uniqueCount="64">
  <si>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</si>
  <si>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</si>
  <si>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</si>
  <si>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</si>
  <si>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</si>
  <si>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</si>
  <si>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</si>
  <si>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</si>
  <si>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</si>
  <si>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</si>
  <si>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</si>
  <si>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</si>
  <si>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</si>
  <si>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</si>
  <si>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</si>
  <si>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</si>
  <si>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</si>
  <si>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</si>
  <si>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</si>
  <si>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</si>
  <si>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</si>
  <si>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</si>
  <si>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</si>
  <si>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</si>
  <si>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</si>
  <si>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</si>
  <si>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</si>
  <si>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</si>
  <si>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</si>
  <si>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</si>
  <si>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</si>
  <si>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</si>
  <si>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</si>
  <si>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</si>
  <si>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</si>
  <si>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</si>
  <si>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</si>
  <si>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</si>
  <si>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</si>
  <si>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</si>
  <si>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</si>
  <si>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</si>
  <si>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</si>
  <si>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</si>
  <si>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</si>
  <si>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</si>
  <si>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</si>
  <si>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</si>
  <si>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 xml:space="preserve">               R E M I S I O N</t>
  </si>
  <si>
    <t>6 MTS</t>
  </si>
  <si>
    <t>No.  38</t>
  </si>
  <si>
    <t>BRIDA AC/INOX 304 CIEGA  3 "</t>
  </si>
  <si>
    <t>ACCESORIO</t>
  </si>
  <si>
    <t>EMPAQUE FLEXITALICO 3 "</t>
  </si>
  <si>
    <t>NIPLE ROSCADO AC/INOX  1 1/2 " X  15 CMTS</t>
  </si>
  <si>
    <t>FABRICACION</t>
  </si>
  <si>
    <t>CODO ROSCADO  AC/INOX  1 1/2 "  X  90 º</t>
  </si>
  <si>
    <t>BRIDA CIEGA AC/INOX  2 "</t>
  </si>
  <si>
    <t>REDUCCION EXCENTRICA 4" A 2 " AC/INOX SCH 10 SOL</t>
  </si>
  <si>
    <t>TUBO UADRADO AC/INOX 304  1 " CAL 14</t>
  </si>
  <si>
    <t>TUBO X 6 MTS</t>
  </si>
  <si>
    <t>ANGULO AC/INOX 304 2 "  X 1/4 "</t>
  </si>
  <si>
    <t xml:space="preserve">UN MILLON SETECIENTOS CUARENTA Y CUATRO MIL </t>
  </si>
  <si>
    <t>TRESCIENTOS CINCUENTA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</si>
</sst>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6"/>
  <sheetViews>
    <sheetView tabSelected="1" topLeftCell="A10" zoomScale="106" zoomScaleNormal="106" workbookViewId="0">
      <selection activeCell="D12" sqref="D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45656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45665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51</v>
      </c>
      <c r="C16" s="70"/>
      <c r="D16" s="45"/>
      <c r="E16" s="71" t="s">
        <v>52</v>
      </c>
      <c r="F16" s="66">
        <v>229500</v>
      </c>
      <c r="G16" s="67">
        <v>1</v>
      </c>
      <c r="H16" s="38">
        <f t="shared" ref="H16" si="0">G16*F16</f>
        <v>229500</v>
      </c>
    </row>
    <row r="17" spans="1:8" ht="15.75" thickBot="1" x14ac:dyDescent="0.3">
      <c r="A17" s="68">
        <v>1</v>
      </c>
      <c r="B17" s="69" t="s">
        <v>53</v>
      </c>
      <c r="C17" s="70"/>
      <c r="D17" s="45"/>
      <c r="E17" s="71" t="s">
        <v>52</v>
      </c>
      <c r="F17" s="66">
        <v>8600</v>
      </c>
      <c r="G17" s="67">
        <v>2</v>
      </c>
      <c r="H17" s="38">
        <f t="shared" ref="H17:H23" si="1">G17*F17</f>
        <v>17200</v>
      </c>
    </row>
    <row r="18" spans="1:8" ht="15.75" thickBot="1" x14ac:dyDescent="0.3">
      <c r="A18" s="68">
        <v>1</v>
      </c>
      <c r="B18" s="69" t="s">
        <v>54</v>
      </c>
      <c r="C18" s="70"/>
      <c r="D18" s="45"/>
      <c r="E18" s="71" t="s">
        <v>55</v>
      </c>
      <c r="F18" s="66">
        <v>31000</v>
      </c>
      <c r="G18" s="67">
        <v>6</v>
      </c>
      <c r="H18" s="38">
        <f t="shared" si="1"/>
        <v>186000</v>
      </c>
    </row>
    <row r="19" spans="1:8" ht="15.75" thickBot="1" x14ac:dyDescent="0.3">
      <c r="A19" s="68">
        <v>1</v>
      </c>
      <c r="B19" s="69" t="s">
        <v>56</v>
      </c>
      <c r="C19" s="70"/>
      <c r="D19" s="45"/>
      <c r="E19" s="71" t="s">
        <v>52</v>
      </c>
      <c r="F19" s="66">
        <v>29000</v>
      </c>
      <c r="G19" s="67">
        <v>4</v>
      </c>
      <c r="H19" s="38">
        <f t="shared" si="1"/>
        <v>116000</v>
      </c>
    </row>
    <row r="20" spans="1:8" ht="15.75" thickBot="1" x14ac:dyDescent="0.3">
      <c r="A20" s="68">
        <v>1</v>
      </c>
      <c r="B20" s="69" t="s">
        <v>57</v>
      </c>
      <c r="C20" s="70"/>
      <c r="D20" s="45"/>
      <c r="E20" s="71" t="s">
        <v>52</v>
      </c>
      <c r="F20" s="66">
        <v>127100</v>
      </c>
      <c r="G20" s="67">
        <v>1</v>
      </c>
      <c r="H20" s="38">
        <f t="shared" si="1"/>
        <v>127100</v>
      </c>
    </row>
    <row r="21" spans="1:8" ht="15.75" thickBot="1" x14ac:dyDescent="0.3">
      <c r="A21" s="68">
        <v>1</v>
      </c>
      <c r="B21" s="69" t="s">
        <v>58</v>
      </c>
      <c r="C21" s="70"/>
      <c r="D21" s="45"/>
      <c r="E21" s="71" t="s">
        <v>52</v>
      </c>
      <c r="F21" s="66">
        <v>206000</v>
      </c>
      <c r="G21" s="67">
        <v>1</v>
      </c>
      <c r="H21" s="38">
        <f t="shared" si="1"/>
        <v>206000</v>
      </c>
    </row>
    <row r="22" spans="1:8" ht="15.75" thickBot="1" x14ac:dyDescent="0.3">
      <c r="A22" s="68">
        <v>1</v>
      </c>
      <c r="B22" s="69" t="s">
        <v>59</v>
      </c>
      <c r="C22" s="70"/>
      <c r="D22" s="45"/>
      <c r="E22" s="71" t="s">
        <v>60</v>
      </c>
      <c r="F22" s="66">
        <v>140500</v>
      </c>
      <c r="G22" s="67">
        <v>1</v>
      </c>
      <c r="H22" s="38">
        <f t="shared" si="1"/>
        <v>140500</v>
      </c>
    </row>
    <row r="23" spans="1:8" ht="15.75" thickBot="1" x14ac:dyDescent="0.3">
      <c r="A23" s="68">
        <v>1</v>
      </c>
      <c r="B23" s="69" t="s">
        <v>61</v>
      </c>
      <c r="C23" s="70"/>
      <c r="D23" s="45"/>
      <c r="E23" s="71" t="s">
        <v>49</v>
      </c>
      <c r="F23" s="66">
        <v>475000</v>
      </c>
      <c r="G23" s="67">
        <v>1</v>
      </c>
      <c r="H23" s="38">
        <f t="shared" si="1"/>
        <v>475000</v>
      </c>
    </row>
    <row r="24" spans="1:8" ht="15.75" thickBot="1" x14ac:dyDescent="0.3">
      <c r="B24" s="16"/>
      <c r="C24" s="4"/>
      <c r="D24" s="17"/>
      <c r="F24" s="65"/>
      <c r="G24" s="65"/>
    </row>
    <row r="25" spans="1:8" ht="19.5" customHeight="1" thickBot="1" x14ac:dyDescent="0.35">
      <c r="A25" s="62" t="s">
        <v>23</v>
      </c>
      <c r="B25" s="61" t="s">
        <v>62</v>
      </c>
      <c r="C25" s="12"/>
      <c r="D25" s="13"/>
      <c r="E25" s="64"/>
      <c r="F25" s="37" t="s">
        <v>29</v>
      </c>
      <c r="G25" s="6"/>
      <c r="H25" s="7"/>
    </row>
    <row r="26" spans="1:8" ht="19.5" customHeight="1" thickBot="1" x14ac:dyDescent="0.3">
      <c r="A26" s="39"/>
      <c r="B26" s="16" t="s">
        <v>63</v>
      </c>
      <c r="C26" s="4"/>
      <c r="D26" s="17"/>
      <c r="E26" s="52" t="s">
        <v>24</v>
      </c>
      <c r="F26" s="52"/>
      <c r="G26" s="45"/>
      <c r="H26" s="50">
        <f>SUM(H16:H23)</f>
        <v>1497300</v>
      </c>
    </row>
    <row r="27" spans="1:8" ht="19.5" customHeight="1" x14ac:dyDescent="0.25">
      <c r="A27" s="24" t="s">
        <v>25</v>
      </c>
      <c r="E27" s="53" t="s">
        <v>30</v>
      </c>
      <c r="F27" s="23"/>
      <c r="G27" s="54">
        <v>0.19</v>
      </c>
      <c r="H27" s="40">
        <f>H26*G27</f>
        <v>284487</v>
      </c>
    </row>
    <row r="28" spans="1:8" ht="19.5" customHeight="1" x14ac:dyDescent="0.25">
      <c r="A28" s="14" t="s">
        <v>47</v>
      </c>
      <c r="E28" s="55" t="s">
        <v>26</v>
      </c>
      <c r="G28" s="58">
        <v>2.5000000000000001E-2</v>
      </c>
      <c r="H28" s="51">
        <f>H26*G28</f>
        <v>37432.5</v>
      </c>
    </row>
    <row r="29" spans="1:8" ht="15.75" x14ac:dyDescent="0.25">
      <c r="A29" s="14" t="s">
        <v>45</v>
      </c>
      <c r="E29" s="14"/>
      <c r="F29" s="33"/>
      <c r="G29" s="46"/>
      <c r="H29" s="15"/>
    </row>
    <row r="30" spans="1:8" ht="16.5" thickBot="1" x14ac:dyDescent="0.3">
      <c r="A30" s="14" t="s">
        <v>33</v>
      </c>
      <c r="E30" s="56" t="s">
        <v>27</v>
      </c>
      <c r="F30" s="57"/>
      <c r="G30" s="47"/>
      <c r="H30" s="17"/>
    </row>
    <row r="31" spans="1:8" ht="19.5" thickBot="1" x14ac:dyDescent="0.35">
      <c r="A31" s="60"/>
      <c r="B31" s="4"/>
      <c r="C31" s="4"/>
      <c r="D31" s="17"/>
      <c r="F31" s="3"/>
      <c r="G31" s="34" t="s">
        <v>28</v>
      </c>
      <c r="H31" s="36">
        <f>H26+H27-H28</f>
        <v>1744354.5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46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2024-12-30T14:52:19Z</dcterms:modified>
</cp:coreProperties>
</file>