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1077C97-E42A-45CB-8186-F15686911D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<sst xmlns="http://schemas.openxmlformats.org/spreadsheetml/2006/main" count="54" uniqueCount="53">
  <si>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</si>
  <si>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</si>
  <si>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</si>
  <si>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</si>
  <si>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</si>
  <si>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</si>
  <si>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</si>
  <si>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</si>
  <si>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</si>
  <si>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</si>
  <si>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</si>
  <si>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</si>
  <si>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</si>
  <si>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</si>
  <si>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</si>
  <si>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</si>
  <si>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</si>
  <si>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</si>
  <si>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</si>
  <si>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</si>
  <si>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</si>
  <si>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</si>
  <si>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</si>
  <si>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</si>
  <si>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</si>
  <si>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</si>
  <si>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</si>
  <si>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</si>
  <si>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</si>
  <si>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</si>
  <si>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</si>
  <si>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</si>
  <si>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</si>
  <si>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</si>
  <si>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</si>
  <si>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</si>
  <si>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</si>
  <si>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</si>
  <si>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</si>
  <si>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</si>
  <si>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 xml:space="preserve"> </t>
  </si>
  <si>
    <t>O de C  No.</t>
  </si>
  <si>
    <t>TALLER INDUSTRIAL G &amp; M S.A.S.</t>
  </si>
  <si>
    <t>900 524567</t>
  </si>
  <si>
    <t>CALLE 2  No. 4-142</t>
  </si>
  <si>
    <t>PALMIRA</t>
  </si>
  <si>
    <t>tallerindustrialpalmaseca@hotmail.com</t>
  </si>
  <si>
    <t>318 8338940</t>
  </si>
  <si>
    <t>LUIS A. BENAVIDES</t>
  </si>
  <si>
    <t>No. 2</t>
  </si>
  <si>
    <t>TUBERIA  A/C  SCH 80   2 1/2 "</t>
  </si>
  <si>
    <t>METRO LINEAL</t>
  </si>
  <si>
    <t>TUBERIA  A / C SCH 80  2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</si>
</sst>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4" fillId="0" borderId="3" xfId="0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industrialpalmase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70" t="s">
        <v>42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1" t="s">
        <v>45</v>
      </c>
      <c r="F9" s="30" t="s">
        <v>0</v>
      </c>
      <c r="H9" s="28">
        <v>45758</v>
      </c>
    </row>
    <row r="10" spans="1:8" ht="18.75" x14ac:dyDescent="0.3">
      <c r="A10" s="21" t="s">
        <v>13</v>
      </c>
      <c r="C10" s="69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50</v>
      </c>
      <c r="C16" s="62"/>
      <c r="D16" s="63"/>
      <c r="E16" s="60" t="s">
        <v>51</v>
      </c>
      <c r="F16" s="64">
        <v>100000</v>
      </c>
      <c r="G16" s="60">
        <v>0.5</v>
      </c>
      <c r="H16" s="38">
        <f t="shared" ref="H16" si="0">G16*F16</f>
        <v>50000</v>
      </c>
    </row>
    <row r="17" spans="1:8" ht="16.5" thickBot="1" x14ac:dyDescent="0.3">
      <c r="A17" s="60">
        <v>2</v>
      </c>
      <c r="B17" s="61" t="s">
        <v>52</v>
      </c>
      <c r="C17" s="62"/>
      <c r="D17" s="63"/>
      <c r="E17" s="60" t="s">
        <v>51</v>
      </c>
      <c r="F17" s="64">
        <v>73000</v>
      </c>
      <c r="G17" s="60">
        <v>4</v>
      </c>
      <c r="H17" s="38">
        <f t="shared" ref="H17" si="1">G17*F17</f>
        <v>292000</v>
      </c>
    </row>
    <row r="18" spans="1:8" ht="19.5" customHeight="1" thickBot="1" x14ac:dyDescent="0.3">
      <c r="A18" s="48"/>
      <c r="B18" s="66"/>
      <c r="D18" s="67"/>
      <c r="E18" s="48"/>
      <c r="F18" s="48"/>
      <c r="G18" s="48"/>
    </row>
    <row r="19" spans="1:8" ht="19.5" customHeight="1" thickBot="1" x14ac:dyDescent="0.35">
      <c r="A19" s="65" t="s">
        <v>22</v>
      </c>
      <c r="B19" s="68" t="s">
        <v>40</v>
      </c>
      <c r="C19" s="12"/>
      <c r="D19" s="13"/>
      <c r="E19" s="49"/>
      <c r="F19" s="37" t="s">
        <v>36</v>
      </c>
      <c r="G19" s="6"/>
      <c r="H19" s="7"/>
    </row>
    <row r="20" spans="1:8" ht="19.5" customHeight="1" thickBot="1" x14ac:dyDescent="0.3">
      <c r="A20" s="39"/>
      <c r="B20" s="16"/>
      <c r="C20" s="4"/>
      <c r="D20" s="17"/>
      <c r="E20" s="52" t="s">
        <v>23</v>
      </c>
      <c r="F20" s="53"/>
      <c r="G20" s="44"/>
      <c r="H20" s="50">
        <f>SUM(H16:H19)</f>
        <v>342000</v>
      </c>
    </row>
    <row r="21" spans="1:8" ht="19.5" customHeight="1" x14ac:dyDescent="0.25">
      <c r="A21" s="24" t="s">
        <v>24</v>
      </c>
      <c r="B21" s="12"/>
      <c r="C21" s="12"/>
      <c r="D21" s="12"/>
      <c r="E21" s="54" t="s">
        <v>28</v>
      </c>
      <c r="F21" s="23"/>
      <c r="G21" s="55">
        <v>0.19</v>
      </c>
      <c r="H21" s="40">
        <f>H20*G21</f>
        <v>64980</v>
      </c>
    </row>
    <row r="22" spans="1:8" ht="19.5" customHeight="1" x14ac:dyDescent="0.25">
      <c r="A22" s="14" t="s">
        <v>29</v>
      </c>
      <c r="E22" s="56" t="s">
        <v>25</v>
      </c>
      <c r="G22" s="59">
        <v>2.5000000000000001E-2</v>
      </c>
      <c r="H22" s="51"/>
    </row>
    <row r="23" spans="1:8" ht="15.75" x14ac:dyDescent="0.25">
      <c r="A23" s="14" t="s">
        <v>39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26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27</v>
      </c>
      <c r="H25" s="36">
        <f>H20+H21-H22</f>
        <v>406980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9C39FD49-2252-4331-877C-2031E3C20DA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2025-04-11T22:47:44Z</dcterms:modified>
</cp:coreProperties>
</file>