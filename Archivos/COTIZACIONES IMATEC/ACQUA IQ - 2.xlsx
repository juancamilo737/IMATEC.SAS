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E43A7179-FE3E-411C-9894-9E54A969306D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CQUA IQ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" i="1" l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3" i="1"/>
  <c r="H21" i="1"/>
  <c r="H19" i="1"/>
  <c r="H17" i="1"/>
  <c r="H24" i="1"/>
  <c r="H22" i="1"/>
  <c r="H20" i="1"/>
  <c r="H18" i="1"/>
  <c r="H16" i="1"/>
  <c r="H60" i="1" l="1"/>
</calcChain>
</file>

<file path=xl/sharedStrings.xml><?xml version="1.0" encoding="utf-8"?>
<sst xmlns="http://schemas.openxmlformats.org/spreadsheetml/2006/main" count="127" uniqueCount="92">
  <si>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</si>
  <si>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</si>
  <si>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</si>
  <si>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</si>
  <si>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</si>
  <si>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</si>
  <si>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</si>
  <si>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</si>
  <si>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</si>
  <si>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</si>
  <si>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</si>
  <si>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</si>
  <si>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</si>
  <si>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</si>
  <si>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</si>
  <si>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</si>
  <si>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</si>
  <si>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</si>
  <si>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</si>
  <si>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</si>
  <si>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</si>
  <si>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</si>
  <si>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</si>
  <si>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</si>
  <si>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</si>
  <si>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</si>
  <si>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</si>
  <si>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</si>
  <si>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</si>
  <si>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</si>
  <si>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</si>
  <si>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</si>
  <si>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</si>
  <si>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</si>
  <si>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</si>
  <si>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</si>
  <si>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</si>
  <si>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</si>
  <si>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</si>
  <si>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</si>
  <si>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</si>
  <si>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</si>
  <si>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 xml:space="preserve">  CALLE  33B  No. 17C - 70  2º  PISO               B/  LA FLORESTA             -   CALI    -                                  CEL.     321 7834969</t>
  </si>
  <si>
    <t>ACQUA IQ S.A.S.</t>
  </si>
  <si>
    <t>901 766688</t>
  </si>
  <si>
    <t>AV 6 BIS No. 30N-51</t>
  </si>
  <si>
    <t>CALI</t>
  </si>
  <si>
    <t>gerencia.tecnica@aquaiq.com.co</t>
  </si>
  <si>
    <t>BRIDA HR RANURADA 4 " CON CUELLO</t>
  </si>
  <si>
    <t>EMPAQUE CAUCHO PARA BRIDA 4 "</t>
  </si>
  <si>
    <t>CHEQUE HR RANURADO  6 "</t>
  </si>
  <si>
    <t>VALVULA MARIPOSA RANURADA SUPERVISADA 6 "</t>
  </si>
  <si>
    <t>CODO HR RANURADO  6 "  X  90º</t>
  </si>
  <si>
    <t>UNION HR RANURADA  4 "</t>
  </si>
  <si>
    <t>UNION HR RANURADA  6 "</t>
  </si>
  <si>
    <t xml:space="preserve">TEE HR RANURADA  6 " </t>
  </si>
  <si>
    <t>CRUZ HR RANURADA 6 "</t>
  </si>
  <si>
    <t>REDUCCION COPA HR RANURADA 6 "  X  2 1/2 "</t>
  </si>
  <si>
    <t>UNION HR RANURADA  2 1/2 "</t>
  </si>
  <si>
    <t>NIPLE A / C  2 1/2 "  X  10 CMTS RANURA  X  RANURA</t>
  </si>
  <si>
    <t>TEE MECANICA RANURADA  6 "  X  1 1/2 "</t>
  </si>
  <si>
    <t>REDUCCION BUSHING A / C  2 "  X  150 LB</t>
  </si>
  <si>
    <t>NIPLE A / C     1 1/4 " X  15  CMTS ROSCA X RANURA</t>
  </si>
  <si>
    <t>BRIDA HR RANURADA 1 1/4 " CON CUELLO</t>
  </si>
  <si>
    <t>FABRICACION</t>
  </si>
  <si>
    <t>EMPAQUE CAUCHO  1 1/4 "</t>
  </si>
  <si>
    <t>UNION HR RANURADA  1 1/4 "</t>
  </si>
  <si>
    <t>NIPLE  A / C 1 1/4 "  X  15 CMTS  ROSCA X ROSCA</t>
  </si>
  <si>
    <t>CHEQUE CORTINA BRONCE  1 1/4 "</t>
  </si>
  <si>
    <t>TEE  A / C  1 1/4 "  X  150 LB ROSCADA</t>
  </si>
  <si>
    <t>VALVULA P/D BRONCE  1 1/4 "  X  125 LB</t>
  </si>
  <si>
    <t>CODO HR RANURADO  1 1/4 " X  90º</t>
  </si>
  <si>
    <t>UNION  1 1/4 " HR RANURADA</t>
  </si>
  <si>
    <t>TEE MECANICA RANURADA  6 "  X  1 1/4 "</t>
  </si>
  <si>
    <t>TEE AC/INOX 304  1/2 "  X  150 LB ROSCADA</t>
  </si>
  <si>
    <t>NIPLE  AC/INOX  304  1/2  X  7 CMTS</t>
  </si>
  <si>
    <t>VALVULA DE BOLA  AC/INOX 316  1/2 "  X  1000 LB</t>
  </si>
  <si>
    <t>CHEQUE CORTINA AC/INOX 304  1/2 "  X  200 LB</t>
  </si>
  <si>
    <t>CODO AC/INOX  304  1/2 "  X  90º  X 150 LB ROSCADA</t>
  </si>
  <si>
    <t>MANOMETRO CARATULA 2 1/2" GLICERINA 0 A 300 LB</t>
  </si>
  <si>
    <t>NIPLE  AC/INO  304  1 1/4 "  X  7 CMTS ROSCA X RANURA</t>
  </si>
  <si>
    <t>REDUCCION BUSHING AC/INOX 304  1/2 "  X  1/4 "</t>
  </si>
  <si>
    <t>REDUCCION COPA AC/INOX 304  1 1/4 "  X  1/2 "</t>
  </si>
  <si>
    <t>ROLLO TEFLON INDUSTRIAL</t>
  </si>
  <si>
    <t>INSUMO</t>
  </si>
  <si>
    <t>SHELLAC  FRASCO X 2 OZ</t>
  </si>
  <si>
    <t>FORMA DE PAGO : CONTADO</t>
  </si>
  <si>
    <t>ENTREGA  22 DE JULIO 2024</t>
  </si>
  <si>
    <t>REDUCCION COPA  6 " A  4 "</t>
  </si>
  <si>
    <t>REDUCCION DE 6"  A  5" BRIDAXBRIDA</t>
  </si>
  <si>
    <t>SEIS MILLONES QUINIENTOS VEINTICINCO MIL CIENTO</t>
  </si>
  <si>
    <t>VEINET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</si>
</sst>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6" xfId="0" applyBorder="1"/>
    <xf numFmtId="0" fontId="4" fillId="0" borderId="14" xfId="0" applyFont="1" applyBorder="1"/>
    <xf numFmtId="0" fontId="4" fillId="0" borderId="13" xfId="0" applyFont="1" applyBorder="1"/>
    <xf numFmtId="0" fontId="5" fillId="0" borderId="18" xfId="0" applyFont="1" applyBorder="1"/>
    <xf numFmtId="9" fontId="1" fillId="0" borderId="14" xfId="0" applyNumberFormat="1" applyFont="1" applyBorder="1"/>
    <xf numFmtId="42" fontId="1" fillId="0" borderId="19" xfId="0" applyNumberFormat="1" applyFont="1" applyBorder="1"/>
    <xf numFmtId="0" fontId="0" fillId="0" borderId="19" xfId="0" applyBorder="1"/>
    <xf numFmtId="0" fontId="0" fillId="0" borderId="18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7" xfId="0" applyNumberFormat="1" applyFont="1" applyBorder="1" applyAlignment="1">
      <alignment horizontal="left"/>
    </xf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" fillId="0" borderId="20" xfId="1" applyFont="1" applyBorder="1" applyAlignment="1">
      <alignment horizontal="left"/>
    </xf>
    <xf numFmtId="0" fontId="0" fillId="0" borderId="21" xfId="0" applyBorder="1"/>
    <xf numFmtId="0" fontId="5" fillId="0" borderId="4" xfId="0" applyFont="1" applyBorder="1"/>
    <xf numFmtId="0" fontId="1" fillId="0" borderId="1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7" xfId="0" applyFont="1" applyBorder="1"/>
    <xf numFmtId="0" fontId="0" fillId="0" borderId="24" xfId="0" applyBorder="1"/>
    <xf numFmtId="0" fontId="0" fillId="0" borderId="25" xfId="0" applyBorder="1"/>
    <xf numFmtId="42" fontId="11" fillId="0" borderId="22" xfId="1" applyFont="1" applyBorder="1" applyAlignment="1">
      <alignment horizontal="center"/>
    </xf>
    <xf numFmtId="42" fontId="11" fillId="0" borderId="23" xfId="1" applyFont="1" applyBorder="1" applyAlignment="1">
      <alignment horizontal="center"/>
    </xf>
    <xf numFmtId="42" fontId="1" fillId="0" borderId="27" xfId="1" applyFont="1" applyBorder="1" applyAlignment="1">
      <alignment horizontal="left"/>
    </xf>
    <xf numFmtId="42" fontId="1" fillId="0" borderId="26" xfId="1" applyFont="1" applyBorder="1" applyAlignment="1">
      <alignment horizontal="left"/>
    </xf>
    <xf numFmtId="10" fontId="1" fillId="0" borderId="0" xfId="0" applyNumberFormat="1" applyFont="1"/>
    <xf numFmtId="0" fontId="0" fillId="0" borderId="28" xfId="0" applyBorder="1"/>
    <xf numFmtId="0" fontId="1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42" fontId="1" fillId="0" borderId="21" xfId="1" applyFont="1" applyBorder="1"/>
    <xf numFmtId="0" fontId="0" fillId="0" borderId="0" xfId="0" applyBorder="1"/>
    <xf numFmtId="0" fontId="1" fillId="0" borderId="27" xfId="0" applyFont="1" applyBorder="1" applyAlignment="1">
      <alignment horizontal="center"/>
    </xf>
    <xf numFmtId="42" fontId="0" fillId="0" borderId="23" xfId="1" applyFont="1" applyBorder="1"/>
    <xf numFmtId="0" fontId="0" fillId="0" borderId="2" xfId="0" applyFill="1" applyBorder="1"/>
    <xf numFmtId="42" fontId="0" fillId="0" borderId="27" xfId="1" applyFont="1" applyBorder="1"/>
    <xf numFmtId="42" fontId="1" fillId="0" borderId="26" xfId="1" applyFont="1" applyBorder="1"/>
    <xf numFmtId="0" fontId="1" fillId="0" borderId="2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.tecnica@aquaiq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4"/>
  <sheetViews>
    <sheetView tabSelected="1" topLeftCell="A8" zoomScaleNormal="100" workbookViewId="0">
      <selection activeCell="A15" sqref="A15:A5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4" t="s">
        <v>41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1" t="s">
        <v>43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44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45</v>
      </c>
      <c r="D9" s="24"/>
      <c r="E9" s="25" t="s">
        <v>46</v>
      </c>
      <c r="F9" s="32" t="s">
        <v>0</v>
      </c>
      <c r="H9" s="33">
        <v>45490</v>
      </c>
    </row>
    <row r="10" spans="1:8" ht="18.75" x14ac:dyDescent="0.3">
      <c r="A10" s="22" t="s">
        <v>14</v>
      </c>
      <c r="C10" s="47" t="s">
        <v>47</v>
      </c>
      <c r="D10" s="26"/>
      <c r="E10" s="26"/>
      <c r="F10" s="32" t="s">
        <v>16</v>
      </c>
      <c r="H10" s="34" t="s">
        <v>38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45498</v>
      </c>
    </row>
    <row r="12" spans="1:8" ht="18.75" x14ac:dyDescent="0.3">
      <c r="A12" s="22" t="s">
        <v>12</v>
      </c>
      <c r="C12" s="25">
        <v>318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5" t="s">
        <v>39</v>
      </c>
      <c r="B15" s="58" t="s">
        <v>25</v>
      </c>
      <c r="C15" s="58"/>
      <c r="D15" s="14"/>
      <c r="E15" s="37" t="s">
        <v>21</v>
      </c>
      <c r="F15" s="55" t="s">
        <v>23</v>
      </c>
      <c r="G15" s="55" t="s">
        <v>22</v>
      </c>
      <c r="H15" s="37" t="s">
        <v>24</v>
      </c>
    </row>
    <row r="16" spans="1:8" ht="15.75" thickBot="1" x14ac:dyDescent="0.3">
      <c r="A16" s="76">
        <v>1</v>
      </c>
      <c r="B16" s="59" t="s">
        <v>48</v>
      </c>
      <c r="C16" s="59"/>
      <c r="D16" s="60"/>
      <c r="E16" s="51" t="s">
        <v>40</v>
      </c>
      <c r="F16" s="61">
        <v>46500</v>
      </c>
      <c r="G16" s="56">
        <v>1</v>
      </c>
      <c r="H16" s="52">
        <f t="shared" ref="H16:H53" si="0">G16*F16</f>
        <v>46500</v>
      </c>
    </row>
    <row r="17" spans="1:8" ht="15.75" thickBot="1" x14ac:dyDescent="0.3">
      <c r="A17" s="77">
        <v>2</v>
      </c>
      <c r="B17" s="70" t="s">
        <v>49</v>
      </c>
      <c r="D17" s="38"/>
      <c r="E17" s="51" t="s">
        <v>40</v>
      </c>
      <c r="F17" s="62">
        <v>20300</v>
      </c>
      <c r="G17" s="57">
        <v>1</v>
      </c>
      <c r="H17" s="52">
        <f t="shared" si="0"/>
        <v>20300</v>
      </c>
    </row>
    <row r="18" spans="1:8" ht="15.75" thickBot="1" x14ac:dyDescent="0.3">
      <c r="A18" s="77">
        <v>3</v>
      </c>
      <c r="B18" s="70" t="s">
        <v>50</v>
      </c>
      <c r="D18" s="38"/>
      <c r="E18" s="51" t="s">
        <v>40</v>
      </c>
      <c r="F18" s="62">
        <v>327900</v>
      </c>
      <c r="G18" s="57">
        <v>2</v>
      </c>
      <c r="H18" s="52">
        <f t="shared" si="0"/>
        <v>655800</v>
      </c>
    </row>
    <row r="19" spans="1:8" ht="15.75" thickBot="1" x14ac:dyDescent="0.3">
      <c r="A19" s="77">
        <v>4</v>
      </c>
      <c r="B19" s="70" t="s">
        <v>51</v>
      </c>
      <c r="D19" s="38"/>
      <c r="E19" s="51" t="s">
        <v>40</v>
      </c>
      <c r="F19" s="62">
        <v>687000</v>
      </c>
      <c r="G19" s="57">
        <v>3</v>
      </c>
      <c r="H19" s="52">
        <f t="shared" si="0"/>
        <v>2061000</v>
      </c>
    </row>
    <row r="20" spans="1:8" ht="15.75" thickBot="1" x14ac:dyDescent="0.3">
      <c r="A20" s="77">
        <v>5</v>
      </c>
      <c r="B20" s="70" t="s">
        <v>52</v>
      </c>
      <c r="D20" s="38"/>
      <c r="E20" s="51" t="s">
        <v>40</v>
      </c>
      <c r="F20" s="62">
        <v>67200</v>
      </c>
      <c r="G20" s="57">
        <v>3</v>
      </c>
      <c r="H20" s="52">
        <f t="shared" si="0"/>
        <v>201600</v>
      </c>
    </row>
    <row r="21" spans="1:8" ht="15.75" thickBot="1" x14ac:dyDescent="0.3">
      <c r="A21" s="77">
        <v>6</v>
      </c>
      <c r="B21" s="70" t="s">
        <v>53</v>
      </c>
      <c r="D21" s="38"/>
      <c r="E21" s="51" t="s">
        <v>40</v>
      </c>
      <c r="F21" s="62">
        <v>19500</v>
      </c>
      <c r="G21" s="57">
        <v>1</v>
      </c>
      <c r="H21" s="52">
        <f t="shared" si="0"/>
        <v>19500</v>
      </c>
    </row>
    <row r="22" spans="1:8" ht="15.75" thickBot="1" x14ac:dyDescent="0.3">
      <c r="A22" s="77">
        <v>7</v>
      </c>
      <c r="B22" s="70" t="s">
        <v>54</v>
      </c>
      <c r="D22" s="38"/>
      <c r="E22" s="51" t="s">
        <v>40</v>
      </c>
      <c r="F22" s="62">
        <v>35900</v>
      </c>
      <c r="G22" s="57">
        <v>26</v>
      </c>
      <c r="H22" s="52">
        <f t="shared" si="0"/>
        <v>933400</v>
      </c>
    </row>
    <row r="23" spans="1:8" ht="15.75" thickBot="1" x14ac:dyDescent="0.3">
      <c r="A23" s="77">
        <v>8</v>
      </c>
      <c r="B23" s="70" t="s">
        <v>55</v>
      </c>
      <c r="D23" s="38"/>
      <c r="E23" s="51" t="s">
        <v>40</v>
      </c>
      <c r="F23" s="62">
        <v>112400</v>
      </c>
      <c r="G23" s="57">
        <v>3</v>
      </c>
      <c r="H23" s="52">
        <f t="shared" si="0"/>
        <v>337200</v>
      </c>
    </row>
    <row r="24" spans="1:8" ht="15.75" thickBot="1" x14ac:dyDescent="0.3">
      <c r="A24" s="77">
        <v>9</v>
      </c>
      <c r="B24" s="70" t="s">
        <v>56</v>
      </c>
      <c r="D24" s="38"/>
      <c r="E24" s="51" t="s">
        <v>40</v>
      </c>
      <c r="F24" s="62">
        <v>210000</v>
      </c>
      <c r="G24" s="57">
        <v>1</v>
      </c>
      <c r="H24" s="52">
        <f t="shared" si="0"/>
        <v>210000</v>
      </c>
    </row>
    <row r="25" spans="1:8" ht="15.75" thickBot="1" x14ac:dyDescent="0.3">
      <c r="A25" s="77">
        <v>10</v>
      </c>
      <c r="B25" s="70" t="s">
        <v>57</v>
      </c>
      <c r="D25" s="38"/>
      <c r="E25" s="51" t="s">
        <v>40</v>
      </c>
      <c r="F25" s="62">
        <v>42200</v>
      </c>
      <c r="G25" s="57">
        <v>3</v>
      </c>
      <c r="H25" s="52">
        <f t="shared" si="0"/>
        <v>126600</v>
      </c>
    </row>
    <row r="26" spans="1:8" ht="15.75" thickBot="1" x14ac:dyDescent="0.3">
      <c r="A26" s="77">
        <v>11</v>
      </c>
      <c r="B26" s="70" t="s">
        <v>58</v>
      </c>
      <c r="D26" s="38"/>
      <c r="E26" s="51" t="s">
        <v>40</v>
      </c>
      <c r="F26" s="62">
        <v>13340</v>
      </c>
      <c r="G26" s="57">
        <v>3</v>
      </c>
      <c r="H26" s="52">
        <f t="shared" si="0"/>
        <v>40020</v>
      </c>
    </row>
    <row r="27" spans="1:8" ht="15.75" thickBot="1" x14ac:dyDescent="0.3">
      <c r="A27" s="77">
        <v>12</v>
      </c>
      <c r="B27" s="70" t="s">
        <v>59</v>
      </c>
      <c r="D27" s="38"/>
      <c r="E27" s="51" t="s">
        <v>40</v>
      </c>
      <c r="F27" s="62">
        <v>20500</v>
      </c>
      <c r="G27" s="57">
        <v>3</v>
      </c>
      <c r="H27" s="52">
        <f t="shared" si="0"/>
        <v>61500</v>
      </c>
    </row>
    <row r="28" spans="1:8" ht="15.75" thickBot="1" x14ac:dyDescent="0.3">
      <c r="A28" s="77">
        <v>13</v>
      </c>
      <c r="B28" s="70" t="s">
        <v>60</v>
      </c>
      <c r="D28" s="38"/>
      <c r="E28" s="51" t="s">
        <v>40</v>
      </c>
      <c r="F28" s="62">
        <v>72500</v>
      </c>
      <c r="G28" s="57">
        <v>1</v>
      </c>
      <c r="H28" s="52">
        <f t="shared" si="0"/>
        <v>72500</v>
      </c>
    </row>
    <row r="29" spans="1:8" ht="15.75" thickBot="1" x14ac:dyDescent="0.3">
      <c r="A29" s="77">
        <v>14</v>
      </c>
      <c r="B29" s="70" t="s">
        <v>61</v>
      </c>
      <c r="D29" s="38"/>
      <c r="E29" s="51" t="s">
        <v>40</v>
      </c>
      <c r="F29" s="62">
        <v>8000</v>
      </c>
      <c r="G29" s="57">
        <v>1</v>
      </c>
      <c r="H29" s="52">
        <f t="shared" si="0"/>
        <v>8000</v>
      </c>
    </row>
    <row r="30" spans="1:8" ht="15.75" thickBot="1" x14ac:dyDescent="0.3">
      <c r="A30" s="77">
        <v>15</v>
      </c>
      <c r="B30" s="70" t="s">
        <v>62</v>
      </c>
      <c r="D30" s="38"/>
      <c r="E30" s="51" t="s">
        <v>40</v>
      </c>
      <c r="F30" s="62">
        <v>6300</v>
      </c>
      <c r="G30" s="57">
        <v>1</v>
      </c>
      <c r="H30" s="52">
        <f t="shared" si="0"/>
        <v>6300</v>
      </c>
    </row>
    <row r="31" spans="1:8" ht="15.75" thickBot="1" x14ac:dyDescent="0.3">
      <c r="A31" s="77">
        <v>16</v>
      </c>
      <c r="B31" s="70" t="s">
        <v>63</v>
      </c>
      <c r="D31" s="38"/>
      <c r="E31" s="51" t="s">
        <v>64</v>
      </c>
      <c r="F31" s="62">
        <v>25000</v>
      </c>
      <c r="G31" s="57">
        <v>1</v>
      </c>
      <c r="H31" s="52">
        <f t="shared" si="0"/>
        <v>25000</v>
      </c>
    </row>
    <row r="32" spans="1:8" ht="15.75" thickBot="1" x14ac:dyDescent="0.3">
      <c r="A32" s="77">
        <v>17</v>
      </c>
      <c r="B32" s="70" t="s">
        <v>65</v>
      </c>
      <c r="D32" s="38"/>
      <c r="E32" s="51" t="s">
        <v>40</v>
      </c>
      <c r="F32" s="62">
        <v>8500</v>
      </c>
      <c r="G32" s="57">
        <v>1</v>
      </c>
      <c r="H32" s="52">
        <f t="shared" si="0"/>
        <v>8500</v>
      </c>
    </row>
    <row r="33" spans="1:8" ht="15.75" thickBot="1" x14ac:dyDescent="0.3">
      <c r="A33" s="77">
        <v>18</v>
      </c>
      <c r="B33" s="70" t="s">
        <v>66</v>
      </c>
      <c r="D33" s="38"/>
      <c r="E33" s="51" t="s">
        <v>40</v>
      </c>
      <c r="F33" s="62">
        <v>8800</v>
      </c>
      <c r="G33" s="57">
        <v>2</v>
      </c>
      <c r="H33" s="52">
        <f t="shared" si="0"/>
        <v>17600</v>
      </c>
    </row>
    <row r="34" spans="1:8" ht="15.75" thickBot="1" x14ac:dyDescent="0.3">
      <c r="A34" s="77">
        <v>19</v>
      </c>
      <c r="B34" s="70" t="s">
        <v>67</v>
      </c>
      <c r="D34" s="38"/>
      <c r="E34" s="51" t="s">
        <v>40</v>
      </c>
      <c r="F34" s="62">
        <v>8125</v>
      </c>
      <c r="G34" s="57">
        <v>4</v>
      </c>
      <c r="H34" s="52">
        <f t="shared" si="0"/>
        <v>32500</v>
      </c>
    </row>
    <row r="35" spans="1:8" ht="15.75" thickBot="1" x14ac:dyDescent="0.3">
      <c r="A35" s="77">
        <v>20</v>
      </c>
      <c r="B35" s="70" t="s">
        <v>68</v>
      </c>
      <c r="D35" s="38"/>
      <c r="E35" s="51" t="s">
        <v>40</v>
      </c>
      <c r="F35" s="62">
        <v>141000</v>
      </c>
      <c r="G35" s="57">
        <v>1</v>
      </c>
      <c r="H35" s="52">
        <f t="shared" si="0"/>
        <v>141000</v>
      </c>
    </row>
    <row r="36" spans="1:8" ht="15.75" thickBot="1" x14ac:dyDescent="0.3">
      <c r="A36" s="77">
        <v>21</v>
      </c>
      <c r="B36" s="70" t="s">
        <v>69</v>
      </c>
      <c r="D36" s="38"/>
      <c r="E36" s="51" t="s">
        <v>40</v>
      </c>
      <c r="F36" s="62">
        <v>8500</v>
      </c>
      <c r="G36" s="57">
        <v>1</v>
      </c>
      <c r="H36" s="52">
        <f t="shared" si="0"/>
        <v>8500</v>
      </c>
    </row>
    <row r="37" spans="1:8" ht="15.75" thickBot="1" x14ac:dyDescent="0.3">
      <c r="A37" s="77">
        <v>22</v>
      </c>
      <c r="B37" s="70" t="s">
        <v>70</v>
      </c>
      <c r="D37" s="38"/>
      <c r="E37" s="51" t="s">
        <v>40</v>
      </c>
      <c r="F37" s="62">
        <v>138100</v>
      </c>
      <c r="G37" s="57">
        <v>1</v>
      </c>
      <c r="H37" s="52">
        <f t="shared" si="0"/>
        <v>138100</v>
      </c>
    </row>
    <row r="38" spans="1:8" ht="15.75" thickBot="1" x14ac:dyDescent="0.3">
      <c r="A38" s="77">
        <v>23</v>
      </c>
      <c r="B38" s="70" t="s">
        <v>71</v>
      </c>
      <c r="D38" s="38"/>
      <c r="E38" s="51" t="s">
        <v>40</v>
      </c>
      <c r="F38" s="62">
        <v>6500</v>
      </c>
      <c r="G38" s="57">
        <v>4</v>
      </c>
      <c r="H38" s="52">
        <f t="shared" si="0"/>
        <v>26000</v>
      </c>
    </row>
    <row r="39" spans="1:8" ht="15.75" thickBot="1" x14ac:dyDescent="0.3">
      <c r="A39" s="77">
        <v>24</v>
      </c>
      <c r="B39" s="70" t="s">
        <v>72</v>
      </c>
      <c r="D39" s="38"/>
      <c r="E39" s="51" t="s">
        <v>40</v>
      </c>
      <c r="F39" s="62">
        <v>9100</v>
      </c>
      <c r="G39" s="57">
        <v>12</v>
      </c>
      <c r="H39" s="52">
        <f t="shared" si="0"/>
        <v>109200</v>
      </c>
    </row>
    <row r="40" spans="1:8" ht="15.75" thickBot="1" x14ac:dyDescent="0.3">
      <c r="A40" s="77">
        <v>25</v>
      </c>
      <c r="B40" s="70" t="s">
        <v>73</v>
      </c>
      <c r="D40" s="38"/>
      <c r="E40" s="51" t="s">
        <v>40</v>
      </c>
      <c r="F40" s="62">
        <v>72500</v>
      </c>
      <c r="G40" s="57">
        <v>1</v>
      </c>
      <c r="H40" s="52">
        <f t="shared" si="0"/>
        <v>72500</v>
      </c>
    </row>
    <row r="41" spans="1:8" ht="15.75" thickBot="1" x14ac:dyDescent="0.3">
      <c r="A41" s="77">
        <v>26</v>
      </c>
      <c r="B41" s="70" t="s">
        <v>74</v>
      </c>
      <c r="D41" s="38"/>
      <c r="E41" s="51" t="s">
        <v>40</v>
      </c>
      <c r="F41" s="62">
        <v>7300</v>
      </c>
      <c r="G41" s="57">
        <v>4</v>
      </c>
      <c r="H41" s="52">
        <f t="shared" si="0"/>
        <v>29200</v>
      </c>
    </row>
    <row r="42" spans="1:8" ht="15.75" thickBot="1" x14ac:dyDescent="0.3">
      <c r="A42" s="77">
        <v>27</v>
      </c>
      <c r="B42" s="70" t="s">
        <v>75</v>
      </c>
      <c r="D42" s="38"/>
      <c r="E42" s="51" t="s">
        <v>40</v>
      </c>
      <c r="F42" s="62">
        <v>6500</v>
      </c>
      <c r="G42" s="57">
        <v>8</v>
      </c>
      <c r="H42" s="52">
        <f t="shared" si="0"/>
        <v>52000</v>
      </c>
    </row>
    <row r="43" spans="1:8" ht="15.75" thickBot="1" x14ac:dyDescent="0.3">
      <c r="A43" s="77">
        <v>28</v>
      </c>
      <c r="B43" s="70" t="s">
        <v>76</v>
      </c>
      <c r="D43" s="38"/>
      <c r="E43" s="51" t="s">
        <v>40</v>
      </c>
      <c r="F43" s="62">
        <v>21600</v>
      </c>
      <c r="G43" s="57">
        <v>4</v>
      </c>
      <c r="H43" s="64">
        <f t="shared" si="0"/>
        <v>86400</v>
      </c>
    </row>
    <row r="44" spans="1:8" ht="15.75" thickBot="1" x14ac:dyDescent="0.3">
      <c r="A44" s="77">
        <v>29</v>
      </c>
      <c r="B44" s="70" t="s">
        <v>77</v>
      </c>
      <c r="D44" s="38"/>
      <c r="E44" s="51" t="s">
        <v>40</v>
      </c>
      <c r="F44" s="62">
        <v>55000</v>
      </c>
      <c r="G44" s="57">
        <v>4</v>
      </c>
      <c r="H44" s="64">
        <f t="shared" si="0"/>
        <v>220000</v>
      </c>
    </row>
    <row r="45" spans="1:8" ht="15.75" thickBot="1" x14ac:dyDescent="0.3">
      <c r="A45" s="77">
        <v>30</v>
      </c>
      <c r="B45" s="70" t="s">
        <v>78</v>
      </c>
      <c r="D45" s="38"/>
      <c r="E45" s="51" t="s">
        <v>40</v>
      </c>
      <c r="F45" s="62">
        <v>4750</v>
      </c>
      <c r="G45" s="57">
        <v>14</v>
      </c>
      <c r="H45" s="64">
        <f t="shared" si="0"/>
        <v>66500</v>
      </c>
    </row>
    <row r="46" spans="1:8" ht="15.75" thickBot="1" x14ac:dyDescent="0.3">
      <c r="A46" s="77">
        <v>31</v>
      </c>
      <c r="B46" s="70" t="s">
        <v>79</v>
      </c>
      <c r="D46" s="38"/>
      <c r="E46" s="51" t="s">
        <v>40</v>
      </c>
      <c r="F46" s="62">
        <v>40000</v>
      </c>
      <c r="G46" s="57">
        <v>2</v>
      </c>
      <c r="H46" s="64">
        <f t="shared" si="0"/>
        <v>80000</v>
      </c>
    </row>
    <row r="47" spans="1:8" ht="15.75" thickBot="1" x14ac:dyDescent="0.3">
      <c r="A47" s="77">
        <v>32</v>
      </c>
      <c r="B47" s="70" t="s">
        <v>80</v>
      </c>
      <c r="D47" s="38"/>
      <c r="E47" s="51" t="s">
        <v>40</v>
      </c>
      <c r="F47" s="62">
        <v>13900</v>
      </c>
      <c r="G47" s="57">
        <v>1</v>
      </c>
      <c r="H47" s="64">
        <f t="shared" si="0"/>
        <v>13900</v>
      </c>
    </row>
    <row r="48" spans="1:8" ht="15.75" thickBot="1" x14ac:dyDescent="0.3">
      <c r="A48" s="77">
        <v>33</v>
      </c>
      <c r="B48" s="70" t="s">
        <v>81</v>
      </c>
      <c r="D48" s="38"/>
      <c r="E48" s="51" t="s">
        <v>40</v>
      </c>
      <c r="F48" s="62">
        <v>4500</v>
      </c>
      <c r="G48" s="57">
        <v>2</v>
      </c>
      <c r="H48" s="64">
        <f t="shared" si="0"/>
        <v>9000</v>
      </c>
    </row>
    <row r="49" spans="1:8" ht="15.75" thickBot="1" x14ac:dyDescent="0.3">
      <c r="A49" s="77">
        <v>34</v>
      </c>
      <c r="B49" s="70" t="s">
        <v>82</v>
      </c>
      <c r="D49" s="38"/>
      <c r="E49" s="51" t="s">
        <v>40</v>
      </c>
      <c r="F49" s="62">
        <v>15000</v>
      </c>
      <c r="G49" s="57">
        <v>1</v>
      </c>
      <c r="H49" s="64">
        <f t="shared" si="0"/>
        <v>15000</v>
      </c>
    </row>
    <row r="50" spans="1:8" ht="15.75" thickBot="1" x14ac:dyDescent="0.3">
      <c r="A50" s="77">
        <v>35</v>
      </c>
      <c r="B50" s="70" t="s">
        <v>83</v>
      </c>
      <c r="D50" s="38"/>
      <c r="E50" s="51" t="s">
        <v>84</v>
      </c>
      <c r="F50" s="62">
        <v>4000</v>
      </c>
      <c r="G50" s="57">
        <v>10</v>
      </c>
      <c r="H50" s="64">
        <f t="shared" si="0"/>
        <v>40000</v>
      </c>
    </row>
    <row r="51" spans="1:8" ht="15.75" thickBot="1" x14ac:dyDescent="0.3">
      <c r="A51" s="77">
        <v>36</v>
      </c>
      <c r="B51" s="70" t="s">
        <v>85</v>
      </c>
      <c r="D51" s="38"/>
      <c r="E51" s="51" t="s">
        <v>84</v>
      </c>
      <c r="F51" s="62">
        <v>19500</v>
      </c>
      <c r="G51" s="57">
        <v>2</v>
      </c>
      <c r="H51" s="63">
        <f t="shared" si="0"/>
        <v>39000</v>
      </c>
    </row>
    <row r="52" spans="1:8" ht="15.75" customHeight="1" thickBot="1" x14ac:dyDescent="0.3">
      <c r="A52" s="77">
        <v>37</v>
      </c>
      <c r="B52" s="70" t="s">
        <v>88</v>
      </c>
      <c r="C52" s="70"/>
      <c r="D52" s="38"/>
      <c r="E52" s="57" t="s">
        <v>40</v>
      </c>
      <c r="F52" s="72">
        <v>45000</v>
      </c>
      <c r="G52" s="57">
        <v>1</v>
      </c>
      <c r="H52" s="69">
        <f t="shared" si="0"/>
        <v>45000</v>
      </c>
    </row>
    <row r="53" spans="1:8" ht="15.75" customHeight="1" thickBot="1" x14ac:dyDescent="0.3">
      <c r="A53" s="78">
        <v>38</v>
      </c>
      <c r="B53" s="73" t="s">
        <v>89</v>
      </c>
      <c r="C53" s="4"/>
      <c r="D53" s="53"/>
      <c r="E53" s="71" t="s">
        <v>64</v>
      </c>
      <c r="F53" s="74">
        <v>450000</v>
      </c>
      <c r="G53" s="71">
        <v>1</v>
      </c>
      <c r="H53" s="75">
        <f t="shared" si="0"/>
        <v>450000</v>
      </c>
    </row>
    <row r="54" spans="1:8" ht="19.5" customHeight="1" thickBot="1" x14ac:dyDescent="0.35">
      <c r="A54" s="67" t="s">
        <v>26</v>
      </c>
      <c r="B54" s="15" t="s">
        <v>90</v>
      </c>
      <c r="D54" s="16"/>
      <c r="E54" s="70"/>
      <c r="F54" s="5" t="s">
        <v>32</v>
      </c>
      <c r="H54" s="7"/>
    </row>
    <row r="55" spans="1:8" ht="19.5" customHeight="1" thickBot="1" x14ac:dyDescent="0.3">
      <c r="A55" s="68"/>
      <c r="B55" s="17" t="s">
        <v>91</v>
      </c>
      <c r="C55" s="4"/>
      <c r="D55" s="4"/>
      <c r="E55" s="39" t="s">
        <v>27</v>
      </c>
      <c r="F55" s="40"/>
      <c r="G55" s="26"/>
      <c r="H55" s="48">
        <f>SUM(H16:H54)</f>
        <v>6525120</v>
      </c>
    </row>
    <row r="56" spans="1:8" ht="15.75" customHeight="1" x14ac:dyDescent="0.25">
      <c r="A56" s="27" t="s">
        <v>28</v>
      </c>
      <c r="B56" s="13"/>
      <c r="C56" s="13"/>
      <c r="D56" s="14"/>
      <c r="E56" s="3" t="s">
        <v>34</v>
      </c>
      <c r="F56" s="66"/>
      <c r="G56" s="42">
        <v>0.19</v>
      </c>
      <c r="H56" s="49"/>
    </row>
    <row r="57" spans="1:8" ht="15.75" x14ac:dyDescent="0.25">
      <c r="A57" s="15" t="s">
        <v>86</v>
      </c>
      <c r="D57" s="16"/>
      <c r="E57" s="40" t="s">
        <v>29</v>
      </c>
      <c r="G57" s="65">
        <v>2.5000000000000001E-2</v>
      </c>
      <c r="H57" s="43"/>
    </row>
    <row r="58" spans="1:8" ht="15.75" x14ac:dyDescent="0.25">
      <c r="A58" s="15" t="s">
        <v>87</v>
      </c>
      <c r="D58" s="16"/>
      <c r="F58" s="40"/>
      <c r="G58" s="26"/>
      <c r="H58" s="44"/>
    </row>
    <row r="59" spans="1:8" ht="16.5" thickBot="1" x14ac:dyDescent="0.3">
      <c r="A59" s="15" t="s">
        <v>36</v>
      </c>
      <c r="D59" s="16"/>
      <c r="E59" s="40" t="s">
        <v>30</v>
      </c>
      <c r="F59" s="40"/>
      <c r="G59" s="26"/>
      <c r="H59" s="45"/>
    </row>
    <row r="60" spans="1:8" ht="16.5" customHeight="1" thickBot="1" x14ac:dyDescent="0.35">
      <c r="A60" s="17"/>
      <c r="B60" s="4"/>
      <c r="C60" s="4"/>
      <c r="D60" s="18"/>
      <c r="F60" s="3"/>
      <c r="G60" s="41" t="s">
        <v>31</v>
      </c>
      <c r="H60" s="50">
        <f>H55+H56-H57</f>
        <v>6525120</v>
      </c>
    </row>
    <row r="62" spans="1:8" x14ac:dyDescent="0.25">
      <c r="A62" t="s">
        <v>1</v>
      </c>
    </row>
    <row r="64" spans="1:8" ht="15.75" thickBot="1" x14ac:dyDescent="0.3"/>
    <row r="65" spans="1:8" ht="19.5" thickBot="1" x14ac:dyDescent="0.35">
      <c r="A65" s="28" t="s">
        <v>42</v>
      </c>
      <c r="B65" s="6"/>
      <c r="C65" s="6"/>
      <c r="D65" s="6"/>
      <c r="E65" s="6"/>
      <c r="F65" s="6"/>
      <c r="G65" s="6"/>
      <c r="H65" s="7"/>
    </row>
    <row r="74" spans="1:8" ht="18.75" x14ac:dyDescent="0.3">
      <c r="A74" s="5"/>
    </row>
  </sheetData>
  <mergeCells count="1">
    <mergeCell ref="A54:A55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6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IQ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2024-07-30T14:27:20Z</cp:lastPrinted>
  <dcterms:created xsi:type="dcterms:W3CDTF">2018-11-15T17:29:02Z</dcterms:created>
  <dcterms:modified xsi:type="dcterms:W3CDTF">2024-07-30T18:34:50Z</dcterms:modified>
</cp:coreProperties>
</file>