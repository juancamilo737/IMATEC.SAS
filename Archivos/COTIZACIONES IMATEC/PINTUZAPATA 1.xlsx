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EC3584B-C3C8-455B-96C0-014A3A492F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INTUZAP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/>
  <c r="H23" i="1"/>
  <c r="H22" i="1"/>
  <c r="H21" i="1"/>
  <c r="H20" i="1"/>
  <c r="H19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<sst xmlns="http://schemas.openxmlformats.org/spreadsheetml/2006/main" count="68" uniqueCount="61">
  <si>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</si>
  <si>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</si>
  <si>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</si>
  <si>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</si>
  <si>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</si>
  <si>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</si>
  <si>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</si>
  <si>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</si>
  <si>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</si>
  <si>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</si>
  <si>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</si>
  <si>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</si>
  <si>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</si>
  <si>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</si>
  <si>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</si>
  <si>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</si>
  <si>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</si>
  <si>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</si>
  <si>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</si>
  <si>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</si>
  <si>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</si>
  <si>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</si>
  <si>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</si>
  <si>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</si>
  <si>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</si>
  <si>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</si>
  <si>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</si>
  <si>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</si>
  <si>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</si>
  <si>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</si>
  <si>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</si>
  <si>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</si>
  <si>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</si>
  <si>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</si>
  <si>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</si>
  <si>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</si>
  <si>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</si>
  <si>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</si>
  <si>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</si>
  <si>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</si>
  <si>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PINTUZAPATA  S.A.S.</t>
  </si>
  <si>
    <t xml:space="preserve">             R E M I S I O N</t>
  </si>
  <si>
    <t>900 575685</t>
  </si>
  <si>
    <t>CALLE 37   No. 40 A - 99  APTO 201</t>
  </si>
  <si>
    <t>CALI</t>
  </si>
  <si>
    <t>facturacionpintuzapata@hotmail.com</t>
  </si>
  <si>
    <t>602 3271561</t>
  </si>
  <si>
    <t>EDINSON CABEZAS</t>
  </si>
  <si>
    <t>VALVULA DE BOLA  AC/INOX 316  1 1/4 "</t>
  </si>
  <si>
    <t>TEE AC/INOX 304  1 1/4 "  X  150 LBS ROSCADA</t>
  </si>
  <si>
    <t>NIPLE  AC/INOX 304  1 1/4 "  X  4 "</t>
  </si>
  <si>
    <t>FABRICACION</t>
  </si>
  <si>
    <t>NIPLE  AC/INOX 304  3/8 "  X  2 "</t>
  </si>
  <si>
    <t>REDUCCION BUSHING AC/INOX 304 1 1/4 "  X  1 "</t>
  </si>
  <si>
    <t>REDUCCION BUSHING AC/INOX 304  3/8 "  X  1/4 "</t>
  </si>
  <si>
    <t>TEE AC/INOX  304  3/8 "</t>
  </si>
  <si>
    <t>VALVULA DE BOLA  AC/INOX 316  3/8 "</t>
  </si>
  <si>
    <t>MANOMETRO  CARATULA 2 1/2 "  0 -150 PSI GLIC</t>
  </si>
  <si>
    <t xml:space="preserve">TRESCIENTOS SIETE MIL SEISCIENTOS QUINCE PESOS 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</si>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</sst>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pintuzapat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7" zoomScaleNormal="100" workbookViewId="0">
      <selection activeCell="J32" sqref="J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45855</v>
      </c>
    </row>
    <row r="10" spans="1:8" ht="18.75" x14ac:dyDescent="0.3">
      <c r="A10" s="21" t="s">
        <v>13</v>
      </c>
      <c r="C10" s="70" t="s">
        <v>45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37</v>
      </c>
      <c r="F16" s="65">
        <v>76500</v>
      </c>
      <c r="G16" s="61">
        <v>1</v>
      </c>
      <c r="H16" s="38">
        <f t="shared" ref="H16" si="0">G16*F16</f>
        <v>76500</v>
      </c>
    </row>
    <row r="17" spans="1:8" ht="16.5" thickBot="1" x14ac:dyDescent="0.3">
      <c r="A17" s="61">
        <v>2</v>
      </c>
      <c r="B17" s="62" t="s">
        <v>49</v>
      </c>
      <c r="C17" s="63"/>
      <c r="D17" s="64"/>
      <c r="E17" s="61" t="s">
        <v>37</v>
      </c>
      <c r="F17" s="65">
        <v>25700</v>
      </c>
      <c r="G17" s="61">
        <v>1</v>
      </c>
      <c r="H17" s="38">
        <f t="shared" ref="H17:H23" si="1">G17*F17</f>
        <v>25700</v>
      </c>
    </row>
    <row r="18" spans="1:8" ht="16.5" thickBot="1" x14ac:dyDescent="0.3">
      <c r="A18" s="61">
        <v>3</v>
      </c>
      <c r="B18" s="62" t="s">
        <v>50</v>
      </c>
      <c r="C18" s="63"/>
      <c r="D18" s="64"/>
      <c r="E18" s="61" t="s">
        <v>51</v>
      </c>
      <c r="F18" s="65">
        <v>20300</v>
      </c>
      <c r="G18" s="61">
        <v>2</v>
      </c>
      <c r="H18" s="38">
        <f t="shared" si="1"/>
        <v>40600</v>
      </c>
    </row>
    <row r="19" spans="1:8" ht="16.5" thickBot="1" x14ac:dyDescent="0.3">
      <c r="A19" s="61">
        <v>4</v>
      </c>
      <c r="B19" s="62" t="s">
        <v>52</v>
      </c>
      <c r="C19" s="63"/>
      <c r="D19" s="64"/>
      <c r="E19" s="61" t="s">
        <v>51</v>
      </c>
      <c r="F19" s="65">
        <v>4100</v>
      </c>
      <c r="G19" s="61">
        <v>2</v>
      </c>
      <c r="H19" s="38">
        <f t="shared" si="1"/>
        <v>8200</v>
      </c>
    </row>
    <row r="20" spans="1:8" ht="16.5" thickBot="1" x14ac:dyDescent="0.3">
      <c r="A20" s="61">
        <v>5</v>
      </c>
      <c r="B20" s="62" t="s">
        <v>53</v>
      </c>
      <c r="C20" s="63"/>
      <c r="D20" s="64"/>
      <c r="E20" s="61" t="s">
        <v>37</v>
      </c>
      <c r="F20" s="65">
        <v>12200</v>
      </c>
      <c r="G20" s="61">
        <v>2</v>
      </c>
      <c r="H20" s="38">
        <f t="shared" si="1"/>
        <v>24400</v>
      </c>
    </row>
    <row r="21" spans="1:8" ht="16.5" thickBot="1" x14ac:dyDescent="0.3">
      <c r="A21" s="61">
        <v>6</v>
      </c>
      <c r="B21" s="62" t="s">
        <v>54</v>
      </c>
      <c r="C21" s="63"/>
      <c r="D21" s="64"/>
      <c r="E21" s="61" t="s">
        <v>37</v>
      </c>
      <c r="F21" s="65">
        <v>4500</v>
      </c>
      <c r="G21" s="61">
        <v>2</v>
      </c>
      <c r="H21" s="38">
        <f t="shared" si="1"/>
        <v>9000</v>
      </c>
    </row>
    <row r="22" spans="1:8" ht="16.5" thickBot="1" x14ac:dyDescent="0.3">
      <c r="A22" s="61">
        <v>7</v>
      </c>
      <c r="B22" s="62" t="s">
        <v>55</v>
      </c>
      <c r="C22" s="63"/>
      <c r="D22" s="64"/>
      <c r="E22" s="61" t="s">
        <v>37</v>
      </c>
      <c r="F22" s="65">
        <v>4700</v>
      </c>
      <c r="G22" s="61">
        <v>1</v>
      </c>
      <c r="H22" s="38">
        <f t="shared" si="1"/>
        <v>4700</v>
      </c>
    </row>
    <row r="23" spans="1:8" ht="16.5" thickBot="1" x14ac:dyDescent="0.3">
      <c r="A23" s="61">
        <v>8</v>
      </c>
      <c r="B23" s="62" t="s">
        <v>56</v>
      </c>
      <c r="C23" s="63"/>
      <c r="D23" s="64"/>
      <c r="E23" s="61" t="s">
        <v>37</v>
      </c>
      <c r="F23" s="65">
        <v>24400</v>
      </c>
      <c r="G23" s="61">
        <v>1</v>
      </c>
      <c r="H23" s="38">
        <f t="shared" si="1"/>
        <v>24400</v>
      </c>
    </row>
    <row r="24" spans="1:8" ht="16.5" thickBot="1" x14ac:dyDescent="0.3">
      <c r="A24" s="61">
        <v>9</v>
      </c>
      <c r="B24" s="62" t="s">
        <v>57</v>
      </c>
      <c r="C24" s="63"/>
      <c r="D24" s="64"/>
      <c r="E24" s="61" t="s">
        <v>37</v>
      </c>
      <c r="F24" s="65">
        <v>45000</v>
      </c>
      <c r="G24" s="61">
        <v>1</v>
      </c>
      <c r="H24" s="38">
        <f t="shared" ref="H24" si="2">G24*F24</f>
        <v>45000</v>
      </c>
    </row>
    <row r="25" spans="1:8" ht="19.5" customHeight="1" thickBot="1" x14ac:dyDescent="0.3">
      <c r="A25" s="48"/>
      <c r="B25" s="67"/>
      <c r="D25" s="68"/>
      <c r="E25" s="48"/>
      <c r="F25" s="48"/>
      <c r="G25" s="48"/>
    </row>
    <row r="26" spans="1:8" ht="19.5" customHeight="1" thickBot="1" x14ac:dyDescent="0.35">
      <c r="A26" s="66" t="s">
        <v>23</v>
      </c>
      <c r="B26" s="69" t="s">
        <v>58</v>
      </c>
      <c r="C26" s="12"/>
      <c r="D26" s="13"/>
      <c r="E26" s="49"/>
      <c r="F26" s="37" t="s">
        <v>38</v>
      </c>
      <c r="G26" s="6"/>
      <c r="H26" s="7"/>
    </row>
    <row r="27" spans="1:8" ht="19.5" customHeight="1" thickBot="1" x14ac:dyDescent="0.3">
      <c r="A27" s="39"/>
      <c r="B27" s="16" t="s">
        <v>59</v>
      </c>
      <c r="C27" s="4"/>
      <c r="D27" s="17"/>
      <c r="E27" s="52" t="s">
        <v>24</v>
      </c>
      <c r="F27" s="53"/>
      <c r="G27" s="44"/>
      <c r="H27" s="50">
        <f>SUM(H16:H24)</f>
        <v>258500</v>
      </c>
    </row>
    <row r="28" spans="1:8" ht="19.5" customHeight="1" x14ac:dyDescent="0.25">
      <c r="A28" s="24" t="s">
        <v>25</v>
      </c>
      <c r="B28" s="12"/>
      <c r="C28" s="12"/>
      <c r="D28" s="12"/>
      <c r="E28" s="54" t="s">
        <v>29</v>
      </c>
      <c r="F28" s="23"/>
      <c r="G28" s="55">
        <v>0.19</v>
      </c>
      <c r="H28" s="40">
        <f>H27*G28</f>
        <v>49115</v>
      </c>
    </row>
    <row r="29" spans="1:8" ht="19.5" customHeight="1" x14ac:dyDescent="0.25">
      <c r="A29" s="14" t="s">
        <v>30</v>
      </c>
      <c r="E29" s="56" t="s">
        <v>26</v>
      </c>
      <c r="G29" s="59">
        <v>2.5000000000000001E-2</v>
      </c>
      <c r="H29" s="51"/>
    </row>
    <row r="30" spans="1:8" ht="15.75" x14ac:dyDescent="0.25">
      <c r="A30" s="14" t="s">
        <v>60</v>
      </c>
      <c r="E30" s="14"/>
      <c r="F30" s="33"/>
      <c r="G30" s="45"/>
      <c r="H30" s="15"/>
    </row>
    <row r="31" spans="1:8" ht="16.5" thickBot="1" x14ac:dyDescent="0.3">
      <c r="A31" s="14" t="s">
        <v>32</v>
      </c>
      <c r="E31" s="57" t="s">
        <v>27</v>
      </c>
      <c r="F31" s="58"/>
      <c r="G31" s="46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</f>
        <v>307615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39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43B72219-BF04-46A9-A998-F561ECB2CD81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PINTUZAPATA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2025-07-17T14:25:13Z</dcterms:modified>
</cp:coreProperties>
</file>