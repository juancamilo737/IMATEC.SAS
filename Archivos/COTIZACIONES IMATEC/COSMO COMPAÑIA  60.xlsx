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BB37D9B7-3569-459D-A72A-273F77C831E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2" l="1"/>
  <c r="H17" i="2"/>
  <c r="H16" i="2"/>
  <c r="H20" i="2" s="1"/>
  <c r="H21" i="2" l="1"/>
  <c r="H25" i="2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<sst xmlns="http://schemas.openxmlformats.org/spreadsheetml/2006/main" count="57" uniqueCount="57">
  <si>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</si>
  <si>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</si>
  <si>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</si>
  <si>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</si>
  <si>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</si>
  <si>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</si>
  <si>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</si>
  <si>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</si>
  <si>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</si>
  <si>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</si>
  <si>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</si>
  <si>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</si>
  <si>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</si>
  <si>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</si>
  <si>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</si>
  <si>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</si>
  <si>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</si>
  <si>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</si>
  <si>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</si>
  <si>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</si>
  <si>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</si>
  <si>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</si>
  <si>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</si>
  <si>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</si>
  <si>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</si>
  <si>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</si>
  <si>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</si>
  <si>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</si>
  <si>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</si>
  <si>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</si>
  <si>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</si>
  <si>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</si>
  <si>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</si>
  <si>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</si>
  <si>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</si>
  <si>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</si>
  <si>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</si>
  <si>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</si>
  <si>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</si>
  <si>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</si>
  <si>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</si>
  <si>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</si>
  <si>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</si>
  <si>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</si>
  <si>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</si>
  <si>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</si>
  <si>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</si>
  <si>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>ACCESORIO</t>
  </si>
  <si>
    <t>3 MTS</t>
  </si>
  <si>
    <t>ENTREGA INMEDIATA</t>
  </si>
  <si>
    <t>No.  60</t>
  </si>
  <si>
    <t>30 DIAS</t>
  </si>
  <si>
    <t xml:space="preserve">UNION ROSCADA AC/INOX 316L  SANITARIA 1/2 " </t>
  </si>
  <si>
    <t>UNION SMS AC/INOX 316L  SANITARIA  2 "</t>
  </si>
  <si>
    <t>SEISCIENTOS SETENTA Y DOS MIL OCHOCIENTOS CIN-</t>
  </si>
  <si>
    <t>CUENTA Y SIETE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</si>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</sst>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0"/>
  <sheetViews>
    <sheetView tabSelected="1" topLeftCell="A4" zoomScaleNormal="100" workbookViewId="0">
      <selection activeCell="J22" sqref="J2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45842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51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45872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48</v>
      </c>
      <c r="F16" s="66">
        <v>7560</v>
      </c>
      <c r="G16" s="67">
        <v>1</v>
      </c>
      <c r="H16" s="38">
        <f>F16*G16</f>
        <v>7560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47</v>
      </c>
      <c r="F17" s="66">
        <v>95000</v>
      </c>
      <c r="G17" s="67">
        <v>6</v>
      </c>
      <c r="H17" s="38">
        <f t="shared" ref="H17" si="0">F17*G17</f>
        <v>570000</v>
      </c>
    </row>
    <row r="18" spans="1:8" ht="15.75" thickBot="1" x14ac:dyDescent="0.3">
      <c r="B18" s="16"/>
      <c r="C18" s="4"/>
      <c r="D18" s="17"/>
      <c r="F18" s="65"/>
      <c r="G18" s="65"/>
    </row>
    <row r="19" spans="1:8" ht="19.5" customHeight="1" thickBot="1" x14ac:dyDescent="0.35">
      <c r="A19" s="62" t="s">
        <v>22</v>
      </c>
      <c r="B19" s="61" t="s">
        <v>54</v>
      </c>
      <c r="C19" s="12"/>
      <c r="D19" s="13"/>
      <c r="E19" s="64"/>
      <c r="F19" s="37" t="s">
        <v>43</v>
      </c>
      <c r="G19" s="6"/>
      <c r="H19" s="7"/>
    </row>
    <row r="20" spans="1:8" ht="19.5" customHeight="1" thickBot="1" x14ac:dyDescent="0.3">
      <c r="A20" s="39"/>
      <c r="B20" s="16" t="s">
        <v>55</v>
      </c>
      <c r="C20" s="4"/>
      <c r="D20" s="17"/>
      <c r="E20" s="52" t="s">
        <v>23</v>
      </c>
      <c r="F20" s="52"/>
      <c r="G20" s="45"/>
      <c r="H20" s="50">
        <f>SUM(H16:H17)</f>
        <v>577560</v>
      </c>
    </row>
    <row r="21" spans="1:8" ht="19.5" customHeight="1" x14ac:dyDescent="0.25">
      <c r="A21" s="24" t="s">
        <v>24</v>
      </c>
      <c r="E21" s="53" t="s">
        <v>28</v>
      </c>
      <c r="F21" s="23"/>
      <c r="G21" s="54">
        <v>0.19</v>
      </c>
      <c r="H21" s="40">
        <f>H20*G21</f>
        <v>109736.4</v>
      </c>
    </row>
    <row r="22" spans="1:8" ht="19.5" customHeight="1" x14ac:dyDescent="0.25">
      <c r="A22" s="14" t="s">
        <v>42</v>
      </c>
      <c r="E22" s="55" t="s">
        <v>25</v>
      </c>
      <c r="G22" s="58">
        <v>2.5000000000000001E-2</v>
      </c>
      <c r="H22" s="51">
        <f>H20*G22</f>
        <v>14439</v>
      </c>
    </row>
    <row r="23" spans="1:8" ht="15.75" x14ac:dyDescent="0.25">
      <c r="A23" s="14" t="s">
        <v>49</v>
      </c>
      <c r="E23" s="14"/>
      <c r="F23" s="33"/>
      <c r="G23" s="46"/>
      <c r="H23" s="15"/>
    </row>
    <row r="24" spans="1:8" ht="16.5" thickBot="1" x14ac:dyDescent="0.3">
      <c r="A24" s="14" t="s">
        <v>30</v>
      </c>
      <c r="E24" s="56" t="s">
        <v>26</v>
      </c>
      <c r="F24" s="57"/>
      <c r="G24" s="47"/>
      <c r="H24" s="17"/>
    </row>
    <row r="25" spans="1:8" ht="19.5" thickBot="1" x14ac:dyDescent="0.35">
      <c r="A25" s="60"/>
      <c r="B25" s="4"/>
      <c r="C25" s="4"/>
      <c r="D25" s="17"/>
      <c r="F25" s="3"/>
      <c r="G25" s="34" t="s">
        <v>27</v>
      </c>
      <c r="H25" s="36">
        <f>H20+H21-H22</f>
        <v>672857.4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2025-07-04T15:12:24Z</cp:lastPrinted>
  <dcterms:created xsi:type="dcterms:W3CDTF">2018-11-15T17:29:02Z</dcterms:created>
  <dcterms:modified xsi:type="dcterms:W3CDTF">2025-07-04T15:21:24Z</dcterms:modified>
</cp:coreProperties>
</file>