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D2A5848-D3B3-4051-95BB-69AED03974C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2" i="1" l="1"/>
  <c r="H21" i="1"/>
  <c r="H20" i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<sst xmlns="http://schemas.openxmlformats.org/spreadsheetml/2006/main" count="55" uniqueCount="55">
  <si>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</si>
  <si>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</si>
  <si>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</si>
  <si>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</si>
  <si>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</si>
  <si>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</si>
  <si>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</si>
  <si>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</si>
  <si>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</si>
  <si>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</si>
  <si>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</si>
  <si>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</si>
  <si>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</si>
  <si>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</si>
  <si>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</si>
  <si>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</si>
  <si>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</si>
  <si>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</si>
  <si>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</si>
  <si>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</si>
  <si>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</si>
  <si>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</si>
  <si>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</si>
  <si>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</si>
  <si>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</si>
  <si>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</si>
  <si>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</si>
  <si>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</si>
  <si>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</si>
  <si>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</si>
  <si>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</si>
  <si>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</si>
  <si>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</si>
  <si>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</si>
  <si>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</si>
  <si>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</si>
  <si>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</si>
  <si>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</si>
  <si>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</si>
  <si>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</si>
  <si>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INGENIERIA Y SOLUCIONES INDUSTRIALES GROUP S.A.S.</t>
  </si>
  <si>
    <t>901 257273</t>
  </si>
  <si>
    <t>CALLE 54 Nte  No.  11 - 10</t>
  </si>
  <si>
    <t>CALI</t>
  </si>
  <si>
    <t>ingenieria@ingesolgroup.com</t>
  </si>
  <si>
    <t>316 3236652</t>
  </si>
  <si>
    <t>LUIS A. BENAVIDES</t>
  </si>
  <si>
    <t xml:space="preserve">              R E M I S I O N</t>
  </si>
  <si>
    <t>No. 1</t>
  </si>
  <si>
    <t>VALVULA DE SEGURIDAD PARA VAPOR 1 " X 130 PSI</t>
  </si>
  <si>
    <t>MARCA TECVAL</t>
  </si>
  <si>
    <t>UN MILLON QUINIENTOS SETENTA Y DOS MIL SETECIEN-</t>
  </si>
  <si>
    <t>TOS CINCUENTA PESOS MDA / CTE</t>
  </si>
  <si>
    <t>ENTREGA EN TRES DIAS A PARTIR DE ORDEN DE COMPRA</t>
  </si>
  <si>
    <t xml:space="preserve">   RETEICA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</si>
</sst>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genieria@ingesol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5" sqref="K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45793</v>
      </c>
    </row>
    <row r="10" spans="1:8" ht="18.75" x14ac:dyDescent="0.3">
      <c r="A10" s="21" t="s">
        <v>13</v>
      </c>
      <c r="C10" s="62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3">
        <v>1</v>
      </c>
      <c r="B16" s="64" t="s">
        <v>49</v>
      </c>
      <c r="C16" s="65"/>
      <c r="D16" s="66"/>
      <c r="E16" s="63" t="s">
        <v>37</v>
      </c>
      <c r="F16" s="67">
        <v>1321000</v>
      </c>
      <c r="G16" s="63">
        <v>1</v>
      </c>
      <c r="H16" s="38">
        <f t="shared" ref="H16" si="0">G16*F16</f>
        <v>1321000</v>
      </c>
    </row>
    <row r="17" spans="1:8" ht="19.5" customHeight="1" thickBot="1" x14ac:dyDescent="0.3">
      <c r="A17" s="46"/>
      <c r="B17" s="69" t="s">
        <v>50</v>
      </c>
      <c r="D17" s="60"/>
      <c r="E17" s="46"/>
      <c r="F17" s="46"/>
      <c r="G17" s="46"/>
    </row>
    <row r="18" spans="1:8" ht="19.5" customHeight="1" thickBot="1" x14ac:dyDescent="0.35">
      <c r="A18" s="59" t="s">
        <v>23</v>
      </c>
      <c r="B18" s="61" t="s">
        <v>51</v>
      </c>
      <c r="C18" s="12"/>
      <c r="D18" s="13"/>
      <c r="E18" s="47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0" t="s">
        <v>24</v>
      </c>
      <c r="F19" s="51"/>
      <c r="G19" s="44"/>
      <c r="H19" s="48">
        <f>SUM(H16:H18)</f>
        <v>1321000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40">
        <f>H19*G20</f>
        <v>250990</v>
      </c>
    </row>
    <row r="21" spans="1:8" ht="19.5" customHeight="1" x14ac:dyDescent="0.25">
      <c r="A21" s="14" t="s">
        <v>30</v>
      </c>
      <c r="E21" s="54" t="s">
        <v>26</v>
      </c>
      <c r="G21" s="57">
        <v>2.5000000000000001E-2</v>
      </c>
      <c r="H21" s="49">
        <f>H19*G21</f>
        <v>33025</v>
      </c>
    </row>
    <row r="22" spans="1:8" ht="15.75" x14ac:dyDescent="0.25">
      <c r="A22" s="14" t="s">
        <v>53</v>
      </c>
      <c r="E22" s="52" t="s">
        <v>54</v>
      </c>
      <c r="F22" s="33"/>
      <c r="G22" s="70">
        <v>7.7000000000000002E-3</v>
      </c>
      <c r="H22" s="49">
        <f>H19*G22</f>
        <v>10171.700000000001</v>
      </c>
    </row>
    <row r="23" spans="1:8" ht="16.5" thickBot="1" x14ac:dyDescent="0.3">
      <c r="A23" s="14" t="s">
        <v>32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1528793.3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44C808B-560B-40D5-A81B-FBFA81C0654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2025-05-17T17:30:47Z</cp:lastPrinted>
  <dcterms:created xsi:type="dcterms:W3CDTF">2018-11-15T17:29:02Z</dcterms:created>
  <dcterms:modified xsi:type="dcterms:W3CDTF">2025-05-22T22:37:43Z</dcterms:modified>
</cp:coreProperties>
</file>