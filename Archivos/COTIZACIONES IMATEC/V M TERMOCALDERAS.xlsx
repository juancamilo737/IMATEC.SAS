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E41FD91-0DF9-4100-8F98-F1670B6CA15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M TERMOCALDER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 l="1"/>
  <c r="H20" i="1" s="1"/>
  <c r="H22" i="1" l="1"/>
  <c r="H21" i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<sst xmlns="http://schemas.openxmlformats.org/spreadsheetml/2006/main" count="55" uniqueCount="54">
  <si>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</si>
  <si>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</si>
  <si>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</si>
  <si>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</si>
  <si>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</si>
  <si>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</si>
  <si>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</si>
  <si>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</si>
  <si>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</si>
  <si>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</si>
  <si>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</si>
  <si>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</si>
  <si>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</si>
  <si>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</si>
  <si>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</si>
  <si>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</si>
  <si>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</si>
  <si>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</si>
  <si>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</si>
  <si>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</si>
  <si>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</si>
  <si>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</si>
  <si>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</si>
  <si>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</si>
  <si>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</si>
  <si>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</si>
  <si>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</si>
  <si>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</si>
  <si>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</si>
  <si>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</si>
  <si>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</si>
  <si>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</si>
  <si>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</si>
  <si>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</si>
  <si>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</si>
  <si>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</si>
  <si>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</si>
  <si>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</si>
  <si>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</si>
  <si>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</si>
  <si>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No.  1 </t>
  </si>
  <si>
    <t>VM TERMOCALDERAS S.A.S.</t>
  </si>
  <si>
    <t>901 360107</t>
  </si>
  <si>
    <t>CALLE 47 B  No. 30B - 10</t>
  </si>
  <si>
    <t>PALMIRA</t>
  </si>
  <si>
    <t>vm.termocalderas.contabilidad@gmail.com</t>
  </si>
  <si>
    <t>314 7238455</t>
  </si>
  <si>
    <t>EDINSON CABEZAS</t>
  </si>
  <si>
    <t>FILTRO EN Y  AC/INOX 304 4 " X 150 LBS FLANCHAD</t>
  </si>
  <si>
    <t>FILTRO EN Y  AC/INOX 304 3 " X 150 LBS FLANCHAD</t>
  </si>
  <si>
    <t>ENTREGA INMEDIATA</t>
  </si>
  <si>
    <t xml:space="preserve">              R E M I S I O N</t>
  </si>
  <si>
    <t>CINCO MILLONES SETECIENTOS TRES MIL OCHOCIENTOS</t>
  </si>
  <si>
    <t>CUARENTA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</si>
</sst>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m.termocalderas.contabilid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4" zoomScaleNormal="100" workbookViewId="0">
      <selection activeCell="I18" sqref="I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40</v>
      </c>
    </row>
    <row r="8" spans="1:8" ht="18.75" x14ac:dyDescent="0.3">
      <c r="A8" s="21" t="s">
        <v>8</v>
      </c>
      <c r="C8" s="63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45846</v>
      </c>
    </row>
    <row r="10" spans="1:8" ht="18.75" x14ac:dyDescent="0.3">
      <c r="A10" s="21" t="s">
        <v>13</v>
      </c>
      <c r="C10" s="64" t="s">
        <v>45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48</v>
      </c>
      <c r="C16" s="67"/>
      <c r="D16" s="68"/>
      <c r="E16" s="65" t="s">
        <v>37</v>
      </c>
      <c r="F16" s="69">
        <v>1173000</v>
      </c>
      <c r="G16" s="65">
        <v>2</v>
      </c>
      <c r="H16" s="38">
        <f t="shared" ref="H16" si="0">G16*F16</f>
        <v>2346000</v>
      </c>
    </row>
    <row r="17" spans="1:8" ht="16.5" thickBot="1" x14ac:dyDescent="0.3">
      <c r="A17" s="65">
        <v>2</v>
      </c>
      <c r="B17" s="66" t="s">
        <v>49</v>
      </c>
      <c r="C17" s="67"/>
      <c r="D17" s="68"/>
      <c r="E17" s="65" t="s">
        <v>37</v>
      </c>
      <c r="F17" s="69">
        <v>850000</v>
      </c>
      <c r="G17" s="65">
        <v>3</v>
      </c>
      <c r="H17" s="38">
        <f t="shared" ref="H17" si="1">G17*F17</f>
        <v>2550000</v>
      </c>
    </row>
    <row r="18" spans="1:8" ht="19.5" customHeight="1" thickBot="1" x14ac:dyDescent="0.3">
      <c r="A18" s="47"/>
      <c r="B18" s="61"/>
      <c r="D18" s="62"/>
      <c r="E18" s="47"/>
      <c r="F18" s="47"/>
      <c r="G18" s="47"/>
    </row>
    <row r="19" spans="1:8" ht="19.5" customHeight="1" thickBot="1" x14ac:dyDescent="0.35">
      <c r="A19" s="60" t="s">
        <v>23</v>
      </c>
      <c r="B19" s="63" t="s">
        <v>52</v>
      </c>
      <c r="C19" s="12"/>
      <c r="D19" s="13"/>
      <c r="E19" s="48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1" t="s">
        <v>24</v>
      </c>
      <c r="F20" s="52"/>
      <c r="G20" s="44"/>
      <c r="H20" s="49">
        <f>SUM(H16:H17)</f>
        <v>4896000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930240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>
        <f>H20*G22</f>
        <v>122400</v>
      </c>
    </row>
    <row r="23" spans="1:8" ht="15.75" x14ac:dyDescent="0.25">
      <c r="A23" s="14" t="s">
        <v>50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5703840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ABC5CD0F-2E39-4F69-BBF6-E7ECFE3A5BF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VM TERMOCALDERAS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2025-07-08T21:13:29Z</dcterms:modified>
</cp:coreProperties>
</file>