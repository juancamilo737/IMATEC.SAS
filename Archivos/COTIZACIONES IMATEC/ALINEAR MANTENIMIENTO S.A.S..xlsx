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CC562D57-B465-4233-A607-AB634B69314A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LINEAR MTMTO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<sst xmlns="http://schemas.openxmlformats.org/spreadsheetml/2006/main" count="54" uniqueCount="54">
  <si>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</si>
  <si>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</si>
  <si>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</si>
  <si>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</si>
  <si>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</si>
  <si>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</si>
  <si>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</si>
  <si>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</si>
  <si>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</si>
  <si>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</si>
  <si>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</si>
  <si>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</si>
  <si>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</si>
  <si>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</si>
  <si>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</si>
  <si>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</si>
  <si>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</si>
  <si>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</si>
  <si>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</si>
  <si>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</si>
  <si>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</si>
  <si>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</si>
  <si>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</si>
  <si>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</si>
  <si>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</si>
  <si>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</si>
  <si>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</si>
  <si>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</si>
  <si>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</si>
  <si>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</si>
  <si>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</si>
  <si>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</si>
  <si>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</si>
  <si>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</si>
  <si>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</si>
  <si>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</si>
  <si>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</si>
  <si>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</si>
  <si>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</si>
  <si>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ACCESORIO</t>
  </si>
  <si>
    <t>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</si>
  <si>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</si>
  <si>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</si>
  <si>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900 131688</t>
  </si>
  <si>
    <t>CRA 2 No. 46-04</t>
  </si>
  <si>
    <t>facturaelectronica@alinearmantenimiento.com</t>
  </si>
  <si>
    <t>ALINEAR MANTENIMIENTO SAS</t>
  </si>
  <si>
    <t>315 3634461</t>
  </si>
  <si>
    <t>LUIS A. BENAVIDES</t>
  </si>
  <si>
    <t xml:space="preserve">VALVULA GUILLOTINA  AC/INOX 304  8  "  </t>
  </si>
  <si>
    <t>CUERPO HIERRO / CORTINA INOX</t>
  </si>
  <si>
    <t>CUATRO MILLONES QUINIENTOS OCHENTA Y SEIS MIL</t>
  </si>
  <si>
    <t>SEISCIENTOS CINCO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</si>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</sst>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8" xfId="0" applyFont="1" applyBorder="1"/>
    <xf numFmtId="9" fontId="1" fillId="0" borderId="15" xfId="0" applyNumberFormat="1" applyFont="1" applyBorder="1"/>
    <xf numFmtId="42" fontId="1" fillId="0" borderId="19" xfId="0" applyNumberFormat="1" applyFont="1" applyBorder="1"/>
    <xf numFmtId="0" fontId="0" fillId="0" borderId="19" xfId="0" applyBorder="1"/>
    <xf numFmtId="0" fontId="0" fillId="0" borderId="18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7" xfId="0" applyNumberFormat="1" applyFont="1" applyBorder="1" applyAlignment="1">
      <alignment horizontal="left"/>
    </xf>
    <xf numFmtId="42" fontId="1" fillId="0" borderId="19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0" xfId="0" applyFont="1" applyBorder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4" fillId="0" borderId="21" xfId="0" applyFont="1" applyBorder="1"/>
    <xf numFmtId="42" fontId="1" fillId="0" borderId="22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electronica@alinearmantenimien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B26" sqref="B25:C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8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37</v>
      </c>
      <c r="E4" s="19"/>
      <c r="F4" s="20"/>
      <c r="G4" s="6"/>
      <c r="H4" s="7"/>
    </row>
    <row r="5" spans="1:8" ht="19.5" thickBot="1" x14ac:dyDescent="0.35">
      <c r="A5" s="57" t="s">
        <v>42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9"/>
      <c r="H6" s="20"/>
    </row>
    <row r="7" spans="1:8" ht="19.5" thickBot="1" x14ac:dyDescent="0.35">
      <c r="A7" s="21" t="s">
        <v>14</v>
      </c>
      <c r="B7" s="13"/>
      <c r="C7" s="31" t="s">
        <v>46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44</v>
      </c>
      <c r="D9" s="24"/>
      <c r="E9" s="25" t="s">
        <v>40</v>
      </c>
      <c r="F9" s="32" t="s">
        <v>0</v>
      </c>
      <c r="H9" s="33">
        <v>45457</v>
      </c>
    </row>
    <row r="10" spans="1:8" ht="18.75" x14ac:dyDescent="0.3">
      <c r="A10" s="22" t="s">
        <v>13</v>
      </c>
      <c r="C10" s="49" t="s">
        <v>45</v>
      </c>
      <c r="D10" s="26"/>
      <c r="E10" s="26"/>
      <c r="F10" s="32" t="s">
        <v>15</v>
      </c>
      <c r="H10" s="34" t="s">
        <v>36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45467</v>
      </c>
    </row>
    <row r="12" spans="1:8" ht="18.75" x14ac:dyDescent="0.3">
      <c r="A12" s="22" t="s">
        <v>11</v>
      </c>
      <c r="C12" s="25" t="s">
        <v>47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3" t="s">
        <v>20</v>
      </c>
      <c r="B15" s="53" t="s">
        <v>25</v>
      </c>
      <c r="C15" s="19"/>
      <c r="D15" s="7"/>
      <c r="E15" s="37" t="s">
        <v>21</v>
      </c>
      <c r="F15" s="37" t="s">
        <v>23</v>
      </c>
      <c r="G15" s="37" t="s">
        <v>22</v>
      </c>
      <c r="H15" s="37" t="s">
        <v>24</v>
      </c>
    </row>
    <row r="16" spans="1:8" ht="16.5" thickBot="1" x14ac:dyDescent="0.3">
      <c r="A16" s="54">
        <v>1</v>
      </c>
      <c r="B16" s="38" t="s">
        <v>49</v>
      </c>
      <c r="C16" s="39"/>
      <c r="D16" s="55"/>
      <c r="E16" s="60" t="s">
        <v>39</v>
      </c>
      <c r="F16" s="56">
        <v>1968500</v>
      </c>
      <c r="G16" s="54">
        <v>2</v>
      </c>
      <c r="H16" s="59">
        <f t="shared" ref="H16" si="0">G16*F16</f>
        <v>3937000</v>
      </c>
    </row>
    <row r="17" spans="1:8" ht="16.5" customHeight="1" thickBot="1" x14ac:dyDescent="0.3">
      <c r="B17" s="39" t="s">
        <v>50</v>
      </c>
    </row>
    <row r="18" spans="1:8" ht="19.5" customHeight="1" thickBot="1" x14ac:dyDescent="0.35">
      <c r="A18" s="61" t="s">
        <v>26</v>
      </c>
      <c r="B18" s="12" t="s">
        <v>51</v>
      </c>
      <c r="C18" s="13"/>
      <c r="D18" s="14"/>
      <c r="E18" s="13"/>
      <c r="F18" s="40" t="s">
        <v>32</v>
      </c>
      <c r="G18" s="13"/>
      <c r="H18" s="7"/>
    </row>
    <row r="19" spans="1:8" ht="19.5" customHeight="1" thickBot="1" x14ac:dyDescent="0.3">
      <c r="A19" s="62"/>
      <c r="B19" s="17" t="s">
        <v>52</v>
      </c>
      <c r="C19" s="4"/>
      <c r="D19" s="4"/>
      <c r="E19" s="41" t="s">
        <v>27</v>
      </c>
      <c r="F19" s="42"/>
      <c r="G19" s="26"/>
      <c r="H19" s="50">
        <f>SUM(H16:H18)</f>
        <v>3937000</v>
      </c>
    </row>
    <row r="20" spans="1:8" ht="19.5" customHeight="1" thickBot="1" x14ac:dyDescent="0.3">
      <c r="A20" s="27" t="s">
        <v>28</v>
      </c>
      <c r="B20" s="13"/>
      <c r="C20" s="13"/>
      <c r="D20" s="14"/>
      <c r="E20" s="3" t="s">
        <v>34</v>
      </c>
      <c r="F20" s="58"/>
      <c r="G20" s="44">
        <v>0.19</v>
      </c>
      <c r="H20" s="51">
        <f>H19*G20</f>
        <v>748030</v>
      </c>
    </row>
    <row r="21" spans="1:8" ht="19.5" customHeight="1" thickTop="1" x14ac:dyDescent="0.25">
      <c r="A21" s="15" t="s">
        <v>35</v>
      </c>
      <c r="D21" s="16"/>
      <c r="E21" s="42" t="s">
        <v>29</v>
      </c>
      <c r="G21" s="64">
        <v>2.5000000000000001E-2</v>
      </c>
      <c r="H21" s="45">
        <f>H19*G21</f>
        <v>98425</v>
      </c>
    </row>
    <row r="22" spans="1:8" ht="15.75" x14ac:dyDescent="0.25">
      <c r="A22" s="15" t="s">
        <v>53</v>
      </c>
      <c r="D22" s="16"/>
      <c r="F22" s="42"/>
      <c r="G22" s="26"/>
      <c r="H22" s="46"/>
    </row>
    <row r="23" spans="1:8" ht="16.5" thickBot="1" x14ac:dyDescent="0.3">
      <c r="A23" s="15" t="s">
        <v>38</v>
      </c>
      <c r="D23" s="16"/>
      <c r="E23" s="42" t="s">
        <v>30</v>
      </c>
      <c r="F23" s="42"/>
      <c r="G23" s="26"/>
      <c r="H23" s="47"/>
    </row>
    <row r="24" spans="1:8" ht="19.5" thickBot="1" x14ac:dyDescent="0.35">
      <c r="A24" s="17"/>
      <c r="B24" s="4"/>
      <c r="C24" s="4"/>
      <c r="D24" s="18"/>
      <c r="F24" s="3"/>
      <c r="G24" s="43" t="s">
        <v>31</v>
      </c>
      <c r="H24" s="52">
        <f>H19+H20-H21</f>
        <v>4586605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8" t="s">
        <v>41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ALINEAR MTMTO.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2024-07-08T16:38:52Z</dcterms:modified>
</cp:coreProperties>
</file>