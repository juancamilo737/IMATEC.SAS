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CAA0275-9D5E-44C7-971A-188CFA6C859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HAI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7" i="1"/>
  <c r="H26" i="1"/>
  <c r="H25" i="1"/>
  <c r="H24" i="1"/>
  <c r="H23" i="1"/>
  <c r="H22" i="1"/>
  <c r="H21" i="1"/>
  <c r="H20" i="1"/>
  <c r="H19" i="1"/>
  <c r="H18" i="1"/>
  <c r="H17" i="1"/>
  <c r="H16" i="1"/>
  <c r="H32" i="1" l="1"/>
  <c r="H31" i="1"/>
  <c r="H35" i="1" s="1"/>
</calcChain>
</file>

<file path=xl/sharedStrings.xml><?xml version="1.0" encoding="utf-8"?>
<sst xmlns="http://schemas.openxmlformats.org/spreadsheetml/2006/main" count="76" uniqueCount="69">
  <si>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</si>
  <si>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</si>
  <si>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</si>
  <si>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</si>
  <si>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</si>
  <si>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</si>
  <si>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</si>
  <si>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</si>
  <si>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</si>
  <si>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</si>
  <si>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</si>
  <si>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</si>
  <si>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</si>
  <si>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</si>
  <si>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</si>
  <si>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</si>
  <si>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</si>
  <si>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</si>
  <si>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</si>
  <si>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</si>
  <si>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</si>
  <si>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</si>
  <si>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</si>
  <si>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</si>
  <si>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</si>
  <si>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</si>
  <si>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</si>
  <si>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</si>
  <si>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</si>
  <si>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</si>
  <si>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</si>
  <si>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</si>
  <si>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</si>
  <si>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</si>
  <si>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</si>
  <si>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</si>
  <si>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</si>
  <si>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</si>
  <si>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</si>
  <si>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O de C  No.</t>
  </si>
  <si>
    <t>AHAIRE &amp; CIA  LTDA</t>
  </si>
  <si>
    <t xml:space="preserve">          C O T I Z A C I O N</t>
  </si>
  <si>
    <t>CRA 11  No.  46-21</t>
  </si>
  <si>
    <t>CALI</t>
  </si>
  <si>
    <t>admon.ahaire@yahoo.es</t>
  </si>
  <si>
    <t>10 dias</t>
  </si>
  <si>
    <t>602 4486533</t>
  </si>
  <si>
    <t>TUBO</t>
  </si>
  <si>
    <t>EDINSON CABEZAS</t>
  </si>
  <si>
    <t>NO. 2</t>
  </si>
  <si>
    <t>805 006800</t>
  </si>
  <si>
    <t>TUBERIA  PVC  SCH 80  4 "  X  5,80 MTS</t>
  </si>
  <si>
    <t>TEE PVC  SCH 80  4 "</t>
  </si>
  <si>
    <t>UNION PVC  SCH 80  4 "</t>
  </si>
  <si>
    <t>CODO PVC SCH 80  4 "  X  90 º</t>
  </si>
  <si>
    <t>REDUCCION BUJE PVC  SCH 80  4 "  X  3 "</t>
  </si>
  <si>
    <t>BRIDA  PVC  SCH 80  4 "</t>
  </si>
  <si>
    <t>REDUCCION BUJE PVC  SCH 80  4 "  X  1 "</t>
  </si>
  <si>
    <t>ADAPTACION</t>
  </si>
  <si>
    <t>ADAPTADOR MACHO PVC  SCH 80  4 "</t>
  </si>
  <si>
    <t>VALVULA  MARIPOSA PVC  SCH 80  4 "</t>
  </si>
  <si>
    <t>1/4 GALON</t>
  </si>
  <si>
    <t>SOLDADURA PVC AMERICANA</t>
  </si>
  <si>
    <t>LIMPIADOR PVC  AMAERICANO</t>
  </si>
  <si>
    <t>TEFLON INDUSTRIAL 3/4 "  X  15  MTS</t>
  </si>
  <si>
    <t>ROLLO</t>
  </si>
  <si>
    <t>CINCO MILLONES CIENTO NOVENTA Y UN MIL CUATRO</t>
  </si>
  <si>
    <t>CIENTOS DIECISIETE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</si>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</sst>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7" xfId="0" applyFont="1" applyBorder="1"/>
    <xf numFmtId="0" fontId="8" fillId="0" borderId="13" xfId="0" applyFont="1" applyBorder="1"/>
    <xf numFmtId="0" fontId="8" fillId="0" borderId="28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3" fillId="0" borderId="9" xfId="2" applyBorder="1"/>
    <xf numFmtId="0" fontId="1" fillId="0" borderId="0" xfId="0" applyFont="1" applyBorder="1" applyAlignment="1">
      <alignment horizontal="center"/>
    </xf>
    <xf numFmtId="0" fontId="8" fillId="0" borderId="0" xfId="0" applyFont="1" applyBorder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on.ahaire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tabSelected="1" topLeftCell="A5" zoomScaleNormal="100" workbookViewId="0">
      <selection activeCell="A34" sqref="A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50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45811</v>
      </c>
    </row>
    <row r="10" spans="1:8" ht="18.75" x14ac:dyDescent="0.3">
      <c r="A10" s="21" t="s">
        <v>13</v>
      </c>
      <c r="C10" s="67" t="s">
        <v>44</v>
      </c>
      <c r="E10" s="15"/>
      <c r="F10" s="30" t="s">
        <v>15</v>
      </c>
      <c r="H10" s="29" t="s">
        <v>45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45820</v>
      </c>
    </row>
    <row r="12" spans="1:8" ht="18.75" x14ac:dyDescent="0.3">
      <c r="A12" s="21" t="s">
        <v>11</v>
      </c>
      <c r="C12" s="14" t="s">
        <v>46</v>
      </c>
      <c r="E12" s="15"/>
      <c r="F12" s="30" t="s">
        <v>39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51</v>
      </c>
      <c r="C16" s="62"/>
      <c r="D16" s="63"/>
      <c r="E16" s="60" t="s">
        <v>47</v>
      </c>
      <c r="F16" s="64">
        <v>160186</v>
      </c>
      <c r="G16" s="60">
        <v>2</v>
      </c>
      <c r="H16" s="38">
        <f t="shared" ref="H16" si="0">G16*F16</f>
        <v>320372</v>
      </c>
    </row>
    <row r="17" spans="1:8" ht="16.5" thickBot="1" x14ac:dyDescent="0.3">
      <c r="A17" s="60">
        <v>2</v>
      </c>
      <c r="B17" s="61" t="s">
        <v>52</v>
      </c>
      <c r="C17" s="62"/>
      <c r="D17" s="63"/>
      <c r="E17" s="60" t="s">
        <v>36</v>
      </c>
      <c r="F17" s="64">
        <v>84800</v>
      </c>
      <c r="G17" s="60">
        <v>4</v>
      </c>
      <c r="H17" s="38">
        <f t="shared" ref="H17:H27" si="1">G17*F17</f>
        <v>339200</v>
      </c>
    </row>
    <row r="18" spans="1:8" ht="16.5" thickBot="1" x14ac:dyDescent="0.3">
      <c r="A18" s="60">
        <v>3</v>
      </c>
      <c r="B18" s="61" t="s">
        <v>53</v>
      </c>
      <c r="C18" s="62"/>
      <c r="D18" s="63"/>
      <c r="E18" s="60" t="s">
        <v>36</v>
      </c>
      <c r="F18" s="64">
        <v>48500</v>
      </c>
      <c r="G18" s="60">
        <v>4</v>
      </c>
      <c r="H18" s="38">
        <f t="shared" si="1"/>
        <v>194000</v>
      </c>
    </row>
    <row r="19" spans="1:8" ht="16.5" thickBot="1" x14ac:dyDescent="0.3">
      <c r="A19" s="60">
        <v>4</v>
      </c>
      <c r="B19" s="61" t="s">
        <v>54</v>
      </c>
      <c r="C19" s="62"/>
      <c r="D19" s="63"/>
      <c r="E19" s="60" t="s">
        <v>36</v>
      </c>
      <c r="F19" s="64">
        <v>62300</v>
      </c>
      <c r="G19" s="60">
        <v>9</v>
      </c>
      <c r="H19" s="38">
        <f t="shared" si="1"/>
        <v>560700</v>
      </c>
    </row>
    <row r="20" spans="1:8" ht="16.5" thickBot="1" x14ac:dyDescent="0.3">
      <c r="A20" s="60">
        <v>5</v>
      </c>
      <c r="B20" s="61" t="s">
        <v>55</v>
      </c>
      <c r="C20" s="62"/>
      <c r="D20" s="63"/>
      <c r="E20" s="60" t="s">
        <v>36</v>
      </c>
      <c r="F20" s="64">
        <v>59400</v>
      </c>
      <c r="G20" s="60">
        <v>4</v>
      </c>
      <c r="H20" s="38">
        <f t="shared" si="1"/>
        <v>237600</v>
      </c>
    </row>
    <row r="21" spans="1:8" ht="16.5" thickBot="1" x14ac:dyDescent="0.3">
      <c r="A21" s="60">
        <v>6</v>
      </c>
      <c r="B21" s="61" t="s">
        <v>56</v>
      </c>
      <c r="C21" s="62"/>
      <c r="D21" s="63"/>
      <c r="E21" s="60" t="s">
        <v>36</v>
      </c>
      <c r="F21" s="64">
        <v>125200</v>
      </c>
      <c r="G21" s="60">
        <v>4</v>
      </c>
      <c r="H21" s="38">
        <f t="shared" si="1"/>
        <v>500800</v>
      </c>
    </row>
    <row r="22" spans="1:8" ht="16.5" thickBot="1" x14ac:dyDescent="0.3">
      <c r="A22" s="60">
        <v>7</v>
      </c>
      <c r="B22" s="61" t="s">
        <v>57</v>
      </c>
      <c r="C22" s="62"/>
      <c r="D22" s="63"/>
      <c r="E22" s="60" t="s">
        <v>58</v>
      </c>
      <c r="F22" s="64">
        <v>68700</v>
      </c>
      <c r="G22" s="60">
        <v>2</v>
      </c>
      <c r="H22" s="38">
        <f t="shared" si="1"/>
        <v>137400</v>
      </c>
    </row>
    <row r="23" spans="1:8" ht="16.5" thickBot="1" x14ac:dyDescent="0.3">
      <c r="A23" s="60">
        <v>8</v>
      </c>
      <c r="B23" s="61" t="s">
        <v>59</v>
      </c>
      <c r="C23" s="62"/>
      <c r="D23" s="63"/>
      <c r="E23" s="60" t="s">
        <v>36</v>
      </c>
      <c r="F23" s="64">
        <v>65300</v>
      </c>
      <c r="G23" s="60">
        <v>8</v>
      </c>
      <c r="H23" s="38">
        <f t="shared" si="1"/>
        <v>522400</v>
      </c>
    </row>
    <row r="24" spans="1:8" ht="16.5" thickBot="1" x14ac:dyDescent="0.3">
      <c r="A24" s="60">
        <v>9</v>
      </c>
      <c r="B24" s="61" t="s">
        <v>60</v>
      </c>
      <c r="C24" s="62"/>
      <c r="D24" s="63"/>
      <c r="E24" s="60" t="s">
        <v>36</v>
      </c>
      <c r="F24" s="64">
        <v>216000</v>
      </c>
      <c r="G24" s="60">
        <v>4</v>
      </c>
      <c r="H24" s="38">
        <f t="shared" si="1"/>
        <v>864000</v>
      </c>
    </row>
    <row r="25" spans="1:8" ht="16.5" thickBot="1" x14ac:dyDescent="0.3">
      <c r="A25" s="60">
        <v>10</v>
      </c>
      <c r="B25" s="61" t="s">
        <v>62</v>
      </c>
      <c r="C25" s="62"/>
      <c r="D25" s="63"/>
      <c r="E25" s="60" t="s">
        <v>61</v>
      </c>
      <c r="F25" s="64">
        <v>95100</v>
      </c>
      <c r="G25" s="60">
        <v>4</v>
      </c>
      <c r="H25" s="38">
        <f t="shared" si="1"/>
        <v>380400</v>
      </c>
    </row>
    <row r="26" spans="1:8" ht="16.5" thickBot="1" x14ac:dyDescent="0.3">
      <c r="A26" s="60">
        <v>11</v>
      </c>
      <c r="B26" s="61" t="s">
        <v>63</v>
      </c>
      <c r="C26" s="62"/>
      <c r="D26" s="63"/>
      <c r="E26" s="60" t="s">
        <v>61</v>
      </c>
      <c r="F26" s="64">
        <v>88570</v>
      </c>
      <c r="G26" s="60">
        <v>4</v>
      </c>
      <c r="H26" s="38">
        <f t="shared" si="1"/>
        <v>354280</v>
      </c>
    </row>
    <row r="27" spans="1:8" customFormat="1" ht="16.5" thickBot="1" x14ac:dyDescent="0.3">
      <c r="A27" s="60">
        <v>12</v>
      </c>
      <c r="B27" s="61" t="s">
        <v>64</v>
      </c>
      <c r="C27" s="62"/>
      <c r="D27" s="63"/>
      <c r="E27" s="60" t="s">
        <v>65</v>
      </c>
      <c r="F27" s="64">
        <v>4500</v>
      </c>
      <c r="G27" s="60">
        <v>10</v>
      </c>
      <c r="H27" s="38">
        <f t="shared" si="1"/>
        <v>45000</v>
      </c>
    </row>
    <row r="28" spans="1:8" customFormat="1" ht="16.5" thickBot="1" x14ac:dyDescent="0.3">
      <c r="A28" s="68"/>
      <c r="B28" s="69"/>
      <c r="C28" s="69"/>
      <c r="D28" s="69"/>
      <c r="E28" s="68"/>
      <c r="F28" s="70"/>
      <c r="G28" s="68"/>
      <c r="H28" s="71"/>
    </row>
    <row r="29" spans="1:8" customFormat="1" ht="19.5" customHeight="1" thickBot="1" x14ac:dyDescent="0.35">
      <c r="A29" s="65" t="s">
        <v>22</v>
      </c>
      <c r="B29" s="66" t="s">
        <v>66</v>
      </c>
      <c r="C29" s="12"/>
      <c r="D29" s="13"/>
      <c r="E29" s="48"/>
      <c r="F29" s="37" t="s">
        <v>37</v>
      </c>
      <c r="G29" s="6"/>
      <c r="H29" s="7"/>
    </row>
    <row r="30" spans="1:8" customFormat="1" ht="19.5" customHeight="1" thickBot="1" x14ac:dyDescent="0.3">
      <c r="A30" s="39"/>
      <c r="B30" s="16" t="s">
        <v>67</v>
      </c>
      <c r="C30" s="4"/>
      <c r="D30" s="17"/>
      <c r="E30" s="51" t="s">
        <v>23</v>
      </c>
      <c r="F30" s="52"/>
      <c r="G30" s="44"/>
      <c r="H30" s="49">
        <f>SUM(H16:H27)</f>
        <v>4456152</v>
      </c>
    </row>
    <row r="31" spans="1:8" customFormat="1" ht="19.5" customHeight="1" x14ac:dyDescent="0.25">
      <c r="A31" s="24" t="s">
        <v>24</v>
      </c>
      <c r="B31" s="12"/>
      <c r="C31" s="12"/>
      <c r="D31" s="12"/>
      <c r="E31" s="53" t="s">
        <v>28</v>
      </c>
      <c r="F31" s="23"/>
      <c r="G31" s="54">
        <v>0.19</v>
      </c>
      <c r="H31" s="40">
        <f>H30*G31</f>
        <v>846668.88</v>
      </c>
    </row>
    <row r="32" spans="1:8" customFormat="1" ht="19.5" customHeight="1" x14ac:dyDescent="0.25">
      <c r="A32" s="14" t="s">
        <v>29</v>
      </c>
      <c r="E32" s="55" t="s">
        <v>25</v>
      </c>
      <c r="G32" s="58">
        <v>2.5000000000000001E-2</v>
      </c>
      <c r="H32" s="50">
        <f>H30*G32</f>
        <v>111403.8</v>
      </c>
    </row>
    <row r="33" spans="1:8" customFormat="1" ht="15.75" x14ac:dyDescent="0.25">
      <c r="A33" s="14" t="s">
        <v>68</v>
      </c>
      <c r="E33" s="14"/>
      <c r="F33" s="33"/>
      <c r="G33" s="45"/>
      <c r="H33" s="15"/>
    </row>
    <row r="34" spans="1:8" customFormat="1" ht="16.5" thickBot="1" x14ac:dyDescent="0.3">
      <c r="A34" s="14" t="s">
        <v>31</v>
      </c>
      <c r="E34" s="56" t="s">
        <v>26</v>
      </c>
      <c r="F34" s="57"/>
      <c r="G34" s="46"/>
      <c r="H34" s="17"/>
    </row>
    <row r="35" spans="1:8" customFormat="1" ht="19.5" thickBot="1" x14ac:dyDescent="0.35">
      <c r="A35" s="16"/>
      <c r="B35" s="4"/>
      <c r="C35" s="4"/>
      <c r="D35" s="17"/>
      <c r="F35" s="3"/>
      <c r="G35" s="34" t="s">
        <v>27</v>
      </c>
      <c r="H35" s="36">
        <f>H30+H31-H32</f>
        <v>5191417.08</v>
      </c>
    </row>
    <row r="36" spans="1:8" customFormat="1" ht="16.5" customHeight="1" x14ac:dyDescent="0.25"/>
    <row r="41" spans="1:8" customFormat="1" ht="15.75" thickBot="1" x14ac:dyDescent="0.3"/>
    <row r="42" spans="1:8" customFormat="1" ht="19.5" thickBot="1" x14ac:dyDescent="0.35">
      <c r="A42" s="25" t="s">
        <v>38</v>
      </c>
      <c r="B42" s="6"/>
      <c r="C42" s="6"/>
      <c r="D42" s="6"/>
      <c r="E42" s="6"/>
      <c r="F42" s="6"/>
      <c r="G42" s="6"/>
      <c r="H42" s="7"/>
    </row>
    <row r="43" spans="1:8" customFormat="1" x14ac:dyDescent="0.25"/>
    <row r="44" spans="1:8" customFormat="1" x14ac:dyDescent="0.25"/>
    <row r="45" spans="1:8" customFormat="1" x14ac:dyDescent="0.25"/>
    <row r="46" spans="1:8" customFormat="1" x14ac:dyDescent="0.25"/>
    <row r="47" spans="1:8" customFormat="1" x14ac:dyDescent="0.25"/>
    <row r="48" spans="1:8" customFormat="1" x14ac:dyDescent="0.25"/>
    <row r="49" spans="1:1" customFormat="1" x14ac:dyDescent="0.25"/>
    <row r="50" spans="1:1" customFormat="1" ht="18.75" x14ac:dyDescent="0.3">
      <c r="A50" s="5"/>
    </row>
    <row r="51" spans="1:1" customFormat="1" x14ac:dyDescent="0.25"/>
  </sheetData>
  <hyperlinks>
    <hyperlink ref="C10" r:id="rId1" xr:uid="{074B1966-6183-43B2-A87A-34581517F76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2025-06-03T17:11:56Z</dcterms:modified>
</cp:coreProperties>
</file>