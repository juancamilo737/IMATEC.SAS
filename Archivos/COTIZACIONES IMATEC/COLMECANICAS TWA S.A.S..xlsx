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8C85C4D1-DCEB-4B92-9706-2BD32BE5FEB7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OLMECANICAS TW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16" i="1"/>
  <c r="H38" i="1" l="1"/>
  <c r="H42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<sst xmlns="http://schemas.openxmlformats.org/spreadsheetml/2006/main" count="54" uniqueCount="54">
  <si>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</si>
  <si>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</si>
  <si>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</si>
  <si>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</si>
  <si>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</si>
  <si>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</si>
  <si>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</si>
  <si>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</si>
  <si>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</si>
  <si>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</si>
  <si>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</si>
  <si>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</si>
  <si>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</si>
  <si>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</si>
  <si>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</si>
  <si>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</si>
  <si>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</si>
  <si>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</si>
  <si>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</si>
  <si>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</si>
  <si>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</si>
  <si>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</si>
  <si>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</si>
  <si>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</si>
  <si>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</si>
  <si>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</si>
  <si>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</si>
  <si>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</si>
  <si>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</si>
  <si>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</si>
  <si>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</si>
  <si>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</si>
  <si>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</si>
  <si>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</si>
  <si>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</si>
  <si>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</si>
  <si>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</si>
  <si>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</si>
  <si>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</si>
  <si>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CONTACTOS   310 8306118       319 7174165        321 7834969</t>
  </si>
  <si>
    <t>ENTREGA INMEDIATA</t>
  </si>
  <si>
    <t xml:space="preserve">              R E M I S I O N</t>
  </si>
  <si>
    <t xml:space="preserve"> CALLE  33B  No. 17C - 70     2º PISO              B/  LA FLORESTA             -   CALI    -                                  CEL.     321 7834969</t>
  </si>
  <si>
    <t>COLMECANICAS TWA S.A.S.</t>
  </si>
  <si>
    <t>901 226194</t>
  </si>
  <si>
    <t>CALLE 11  No. 2-35</t>
  </si>
  <si>
    <t>LA PAILA</t>
  </si>
  <si>
    <t>facturacioncolmecanicastwa@gmail.com</t>
  </si>
  <si>
    <t>602 2205567</t>
  </si>
  <si>
    <t>TUBERIA  AC/INOX 304  SCH 4O  2 "</t>
  </si>
  <si>
    <t>METRO LINEAL</t>
  </si>
  <si>
    <t>TRESCIENTOS CATORCE MIL CIENTO SESENTA PESOS</t>
  </si>
  <si>
    <t>MDA / CTE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</si>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</sst>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10" fontId="1" fillId="0" borderId="0" xfId="0" applyNumberFormat="1" applyFont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colmecanicast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topLeftCell="A4" zoomScaleNormal="100" workbookViewId="0">
      <selection activeCell="D16" sqref="D1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34</v>
      </c>
      <c r="E4" s="19"/>
      <c r="F4" s="20"/>
      <c r="G4" s="6"/>
      <c r="H4" s="7"/>
    </row>
    <row r="5" spans="1:8" ht="19.5" thickBot="1" x14ac:dyDescent="0.35">
      <c r="A5" s="70" t="s">
        <v>39</v>
      </c>
      <c r="B5" s="6"/>
      <c r="C5" s="6"/>
      <c r="D5" s="6"/>
      <c r="E5" s="6"/>
    </row>
    <row r="6" spans="1:8" ht="24.75" customHeight="1" thickBot="1" x14ac:dyDescent="0.45">
      <c r="F6" s="11" t="s">
        <v>41</v>
      </c>
      <c r="G6" s="19"/>
      <c r="H6" s="20"/>
    </row>
    <row r="7" spans="1:8" ht="19.5" thickBot="1" x14ac:dyDescent="0.35">
      <c r="A7" s="21" t="s">
        <v>15</v>
      </c>
      <c r="B7" s="13"/>
      <c r="C7" s="32" t="s">
        <v>43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44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45</v>
      </c>
      <c r="D9" s="25"/>
      <c r="E9" s="26" t="s">
        <v>46</v>
      </c>
      <c r="F9" s="33" t="s">
        <v>0</v>
      </c>
      <c r="H9" s="34">
        <v>45485</v>
      </c>
    </row>
    <row r="10" spans="1:8" ht="18.75" x14ac:dyDescent="0.3">
      <c r="A10" s="22" t="s">
        <v>14</v>
      </c>
      <c r="C10" s="57" t="s">
        <v>47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45493</v>
      </c>
    </row>
    <row r="12" spans="1:8" ht="18.75" x14ac:dyDescent="0.3">
      <c r="A12" s="22" t="s">
        <v>12</v>
      </c>
      <c r="C12" s="26" t="s">
        <v>48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36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38</v>
      </c>
      <c r="B15" s="61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 x14ac:dyDescent="0.25">
      <c r="A16" s="62">
        <v>1</v>
      </c>
      <c r="B16" s="41" t="s">
        <v>49</v>
      </c>
      <c r="C16" s="42"/>
      <c r="D16" s="63"/>
      <c r="E16" s="62" t="s">
        <v>50</v>
      </c>
      <c r="F16" s="66">
        <v>132000</v>
      </c>
      <c r="G16" s="62">
        <v>2</v>
      </c>
      <c r="H16" s="64">
        <f>G16*F16</f>
        <v>264000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.75" x14ac:dyDescent="0.25">
      <c r="A18" s="62"/>
      <c r="B18" s="41"/>
      <c r="C18" s="42"/>
      <c r="D18" s="42"/>
      <c r="E18" s="72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 x14ac:dyDescent="0.25">
      <c r="A20" s="62"/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 x14ac:dyDescent="0.2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55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7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3"/>
      <c r="C34" s="44"/>
      <c r="D34" s="44"/>
      <c r="E34" s="24"/>
      <c r="F34" s="68"/>
      <c r="G34" s="44"/>
      <c r="H34" s="45"/>
    </row>
    <row r="35" spans="1:8" ht="19.5" customHeight="1" thickBot="1" x14ac:dyDescent="0.3">
      <c r="H35" s="69"/>
    </row>
    <row r="36" spans="1:8" ht="19.5" customHeight="1" thickBot="1" x14ac:dyDescent="0.35">
      <c r="A36" s="74" t="s">
        <v>25</v>
      </c>
      <c r="B36" s="12" t="s">
        <v>51</v>
      </c>
      <c r="C36" s="13"/>
      <c r="D36" s="14"/>
      <c r="E36" s="13"/>
      <c r="F36" s="47" t="s">
        <v>31</v>
      </c>
      <c r="G36" s="13"/>
      <c r="H36" s="7"/>
    </row>
    <row r="37" spans="1:8" ht="19.5" customHeight="1" thickBot="1" x14ac:dyDescent="0.3">
      <c r="A37" s="75"/>
      <c r="B37" s="17" t="s">
        <v>52</v>
      </c>
      <c r="C37" s="4"/>
      <c r="D37" s="4"/>
      <c r="E37" s="48" t="s">
        <v>26</v>
      </c>
      <c r="F37" s="49"/>
      <c r="G37" s="27"/>
      <c r="H37" s="58">
        <f>H16</f>
        <v>264000</v>
      </c>
    </row>
    <row r="38" spans="1:8" ht="19.5" customHeight="1" thickBot="1" x14ac:dyDescent="0.3">
      <c r="A38" s="28" t="s">
        <v>27</v>
      </c>
      <c r="B38" s="13"/>
      <c r="C38" s="13"/>
      <c r="D38" s="14"/>
      <c r="E38" s="3" t="s">
        <v>33</v>
      </c>
      <c r="F38" s="71"/>
      <c r="G38" s="51">
        <v>0.19</v>
      </c>
      <c r="H38" s="59">
        <f>H37*G38</f>
        <v>50160</v>
      </c>
    </row>
    <row r="39" spans="1:8" ht="16.5" thickTop="1" x14ac:dyDescent="0.25">
      <c r="A39" s="15" t="s">
        <v>53</v>
      </c>
      <c r="D39" s="16"/>
      <c r="E39" s="49" t="s">
        <v>28</v>
      </c>
      <c r="G39" s="73">
        <v>2.5000000000000001E-2</v>
      </c>
      <c r="H39" s="52"/>
    </row>
    <row r="40" spans="1:8" ht="15.75" x14ac:dyDescent="0.25">
      <c r="A40" s="15" t="s">
        <v>40</v>
      </c>
      <c r="D40" s="16"/>
      <c r="F40" s="49"/>
      <c r="G40" s="27"/>
      <c r="H40" s="53"/>
    </row>
    <row r="41" spans="1:8" ht="16.5" thickBot="1" x14ac:dyDescent="0.3">
      <c r="A41" s="15" t="s">
        <v>35</v>
      </c>
      <c r="D41" s="16"/>
      <c r="E41" s="49" t="s">
        <v>29</v>
      </c>
      <c r="F41" s="49"/>
      <c r="G41" s="27"/>
      <c r="H41" s="54"/>
    </row>
    <row r="42" spans="1:8" ht="16.5" customHeight="1" thickBot="1" x14ac:dyDescent="0.35">
      <c r="A42" s="17"/>
      <c r="B42" s="4"/>
      <c r="C42" s="4"/>
      <c r="D42" s="18"/>
      <c r="F42" s="3"/>
      <c r="G42" s="50" t="s">
        <v>30</v>
      </c>
      <c r="H42" s="60">
        <f>H37+H38-H39</f>
        <v>314160</v>
      </c>
    </row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42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mergeCells count="1">
    <mergeCell ref="A36:A3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COLMECANICAS TWA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2024-07-12T20:12:55Z</cp:lastPrinted>
  <dcterms:created xsi:type="dcterms:W3CDTF">2018-11-15T17:29:02Z</dcterms:created>
  <dcterms:modified xsi:type="dcterms:W3CDTF">2024-07-13T15:22:14Z</dcterms:modified>
</cp:coreProperties>
</file>