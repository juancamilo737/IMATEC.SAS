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2EA59F0-F4D8-42FC-A723-AD540A261D3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H28" i="2"/>
  <c r="H27" i="2"/>
  <c r="H26" i="2" l="1"/>
  <c r="H25" i="2"/>
  <c r="H24" i="2"/>
  <c r="H23" i="2"/>
  <c r="H22" i="2"/>
  <c r="H21" i="2"/>
  <c r="H20" i="2"/>
  <c r="H19" i="2"/>
  <c r="H18" i="2"/>
  <c r="H17" i="2"/>
  <c r="H16" i="2"/>
  <c r="H32" i="2" l="1"/>
  <c r="H31" i="2"/>
  <c r="H35" i="2" s="1"/>
</calcChain>
</file>

<file path=xl/sharedStrings.xml><?xml version="1.0" encoding="utf-8"?>
<sst xmlns="http://schemas.openxmlformats.org/spreadsheetml/2006/main" count="78" uniqueCount="69">
  <si>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</si>
  <si>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</si>
  <si>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</si>
  <si>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</si>
  <si>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</si>
  <si>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</si>
  <si>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</si>
  <si>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</si>
  <si>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</si>
  <si>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</si>
  <si>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</si>
  <si>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</si>
  <si>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</si>
  <si>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</si>
  <si>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</si>
  <si>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</si>
  <si>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</si>
  <si>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</si>
  <si>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</si>
  <si>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</si>
  <si>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</si>
  <si>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</si>
  <si>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</si>
  <si>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</si>
  <si>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</si>
  <si>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</si>
  <si>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</si>
  <si>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</si>
  <si>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</si>
  <si>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</si>
  <si>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</si>
  <si>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</si>
  <si>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</si>
  <si>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</si>
  <si>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</si>
  <si>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</si>
  <si>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</si>
  <si>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</si>
  <si>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</si>
  <si>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</si>
  <si>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</si>
  <si>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</si>
  <si>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</si>
  <si>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</si>
  <si>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</si>
  <si>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</si>
  <si>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</si>
  <si>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FORMA DE PAGO : CREDITO A 30 DIAS</t>
  </si>
  <si>
    <t>ENTREGA INMEDIATA</t>
  </si>
  <si>
    <t>TUBERIA  AC/INOX  304  SCH 10  2 "</t>
  </si>
  <si>
    <t>TUBO X 6 MTS</t>
  </si>
  <si>
    <t>BRIDA  SLIP ON AC/INOX 304  2 "  X  150 LB</t>
  </si>
  <si>
    <t>INSUMO</t>
  </si>
  <si>
    <t>EMPAQUE FLEXITALICO  2 "  X  150 LB</t>
  </si>
  <si>
    <t>TUBERIA  AC/INOX 304  SCH 10  1 1/2 "</t>
  </si>
  <si>
    <t>CODO AC/INOX  304  SCH 10  1 1/2 " X  90º</t>
  </si>
  <si>
    <t>REDUCCION COPA AC/INOX  SCH 10  1 1/2 "  X  3/4 "</t>
  </si>
  <si>
    <t>TEE AC/INOX 304  SCH 10  1 1/2 "</t>
  </si>
  <si>
    <t>BRIDA AC/INOX 304 SLIP ON  1 1/2 "  X  150 LB</t>
  </si>
  <si>
    <t>EMPAQUE FELXITALICO  1 1/2 " X 150 LB</t>
  </si>
  <si>
    <t>CODO AC/INOX 304  3/4 "  X  90º ROSCADO</t>
  </si>
  <si>
    <t xml:space="preserve">ANGULO  HR  2 "  X  3/16 "  </t>
  </si>
  <si>
    <t>PIEZA X 6 MTS</t>
  </si>
  <si>
    <t>No.  12</t>
  </si>
  <si>
    <t xml:space="preserve">              R E M I S I O N</t>
  </si>
  <si>
    <t xml:space="preserve">CAP 2 " AC/INOX SCH 10  </t>
  </si>
  <si>
    <t>UNIVERSAL AC/INOX  SCH 20  3/4 " X 150 LB ROSCA</t>
  </si>
  <si>
    <t>DOS MILLONES OCHOCIENTOS SESENTA Y CUATRO MIL</t>
  </si>
  <si>
    <t>TREINTA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</si>
</sst>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42" fontId="11" fillId="0" borderId="26" xfId="1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0"/>
  <sheetViews>
    <sheetView tabSelected="1" topLeftCell="A13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64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8" t="s">
        <v>63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64" t="s">
        <v>42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45567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0">
        <v>1</v>
      </c>
      <c r="B16" s="51" t="s">
        <v>49</v>
      </c>
      <c r="C16" s="52"/>
      <c r="D16" s="53"/>
      <c r="E16" s="50" t="s">
        <v>50</v>
      </c>
      <c r="F16" s="54">
        <v>414700</v>
      </c>
      <c r="G16" s="50">
        <v>1</v>
      </c>
      <c r="H16" s="38">
        <f t="shared" ref="H16:H26" si="0">G16*F16</f>
        <v>414700</v>
      </c>
    </row>
    <row r="17" spans="1:8" ht="16.5" thickBot="1" x14ac:dyDescent="0.3">
      <c r="A17" s="50">
        <v>2</v>
      </c>
      <c r="B17" s="51" t="s">
        <v>51</v>
      </c>
      <c r="C17" s="52"/>
      <c r="D17" s="53"/>
      <c r="E17" s="50" t="s">
        <v>46</v>
      </c>
      <c r="F17" s="54">
        <v>43500</v>
      </c>
      <c r="G17" s="50">
        <v>6</v>
      </c>
      <c r="H17" s="38">
        <f t="shared" si="0"/>
        <v>261000</v>
      </c>
    </row>
    <row r="18" spans="1:8" ht="16.5" thickBot="1" x14ac:dyDescent="0.3">
      <c r="A18" s="50">
        <v>3</v>
      </c>
      <c r="B18" s="51" t="s">
        <v>53</v>
      </c>
      <c r="C18" s="52"/>
      <c r="D18" s="53"/>
      <c r="E18" s="50" t="s">
        <v>52</v>
      </c>
      <c r="F18" s="54">
        <v>5200</v>
      </c>
      <c r="G18" s="50">
        <v>6</v>
      </c>
      <c r="H18" s="38">
        <f t="shared" si="0"/>
        <v>31200</v>
      </c>
    </row>
    <row r="19" spans="1:8" ht="16.5" thickBot="1" x14ac:dyDescent="0.3">
      <c r="A19" s="50">
        <v>4</v>
      </c>
      <c r="B19" s="51" t="s">
        <v>54</v>
      </c>
      <c r="C19" s="52"/>
      <c r="D19" s="53"/>
      <c r="E19" s="50" t="s">
        <v>50</v>
      </c>
      <c r="F19" s="54">
        <v>331500</v>
      </c>
      <c r="G19" s="50">
        <v>3</v>
      </c>
      <c r="H19" s="38">
        <f t="shared" si="0"/>
        <v>994500</v>
      </c>
    </row>
    <row r="20" spans="1:8" ht="16.5" thickBot="1" x14ac:dyDescent="0.3">
      <c r="A20" s="50">
        <v>5</v>
      </c>
      <c r="B20" s="51" t="s">
        <v>55</v>
      </c>
      <c r="C20" s="52"/>
      <c r="D20" s="53"/>
      <c r="E20" s="50" t="s">
        <v>46</v>
      </c>
      <c r="F20" s="54">
        <v>12500</v>
      </c>
      <c r="G20" s="50">
        <v>4</v>
      </c>
      <c r="H20" s="38">
        <f t="shared" si="0"/>
        <v>50000</v>
      </c>
    </row>
    <row r="21" spans="1:8" ht="16.5" thickBot="1" x14ac:dyDescent="0.3">
      <c r="A21" s="50">
        <v>6</v>
      </c>
      <c r="B21" s="51" t="s">
        <v>56</v>
      </c>
      <c r="C21" s="52"/>
      <c r="D21" s="53"/>
      <c r="E21" s="50" t="s">
        <v>46</v>
      </c>
      <c r="F21" s="54">
        <v>13000</v>
      </c>
      <c r="G21" s="50">
        <v>2</v>
      </c>
      <c r="H21" s="38">
        <f t="shared" si="0"/>
        <v>26000</v>
      </c>
    </row>
    <row r="22" spans="1:8" ht="16.5" thickBot="1" x14ac:dyDescent="0.3">
      <c r="A22" s="50">
        <v>7</v>
      </c>
      <c r="B22" s="51" t="s">
        <v>57</v>
      </c>
      <c r="C22" s="52"/>
      <c r="D22" s="53"/>
      <c r="E22" s="50" t="s">
        <v>46</v>
      </c>
      <c r="F22" s="54">
        <v>29900</v>
      </c>
      <c r="G22" s="50">
        <v>1</v>
      </c>
      <c r="H22" s="38">
        <f t="shared" si="0"/>
        <v>29900</v>
      </c>
    </row>
    <row r="23" spans="1:8" ht="16.5" thickBot="1" x14ac:dyDescent="0.3">
      <c r="A23" s="50">
        <v>8</v>
      </c>
      <c r="B23" s="51" t="s">
        <v>58</v>
      </c>
      <c r="C23" s="52"/>
      <c r="D23" s="53"/>
      <c r="E23" s="50" t="s">
        <v>46</v>
      </c>
      <c r="F23" s="54">
        <v>31200</v>
      </c>
      <c r="G23" s="50">
        <v>4</v>
      </c>
      <c r="H23" s="38">
        <f t="shared" si="0"/>
        <v>124800</v>
      </c>
    </row>
    <row r="24" spans="1:8" ht="16.5" thickBot="1" x14ac:dyDescent="0.3">
      <c r="A24" s="50">
        <v>9</v>
      </c>
      <c r="B24" s="51" t="s">
        <v>59</v>
      </c>
      <c r="C24" s="52"/>
      <c r="D24" s="53"/>
      <c r="E24" s="50" t="s">
        <v>52</v>
      </c>
      <c r="F24" s="54">
        <v>3900</v>
      </c>
      <c r="G24" s="50">
        <v>4</v>
      </c>
      <c r="H24" s="38">
        <f t="shared" si="0"/>
        <v>15600</v>
      </c>
    </row>
    <row r="25" spans="1:8" ht="16.5" thickBot="1" x14ac:dyDescent="0.3">
      <c r="A25" s="50">
        <v>10</v>
      </c>
      <c r="B25" s="51" t="s">
        <v>60</v>
      </c>
      <c r="C25" s="52"/>
      <c r="D25" s="53"/>
      <c r="E25" s="50" t="s">
        <v>46</v>
      </c>
      <c r="F25" s="54">
        <v>7150</v>
      </c>
      <c r="G25" s="50">
        <v>20</v>
      </c>
      <c r="H25" s="38">
        <f t="shared" si="0"/>
        <v>143000</v>
      </c>
    </row>
    <row r="26" spans="1:8" ht="16.5" thickBot="1" x14ac:dyDescent="0.3">
      <c r="A26" s="50">
        <v>11</v>
      </c>
      <c r="B26" s="51" t="s">
        <v>61</v>
      </c>
      <c r="C26" s="52"/>
      <c r="D26" s="53"/>
      <c r="E26" s="50" t="s">
        <v>62</v>
      </c>
      <c r="F26" s="54">
        <v>142500</v>
      </c>
      <c r="G26" s="50">
        <v>1</v>
      </c>
      <c r="H26" s="38">
        <f t="shared" si="0"/>
        <v>142500</v>
      </c>
    </row>
    <row r="27" spans="1:8" ht="16.5" thickBot="1" x14ac:dyDescent="0.3">
      <c r="A27" s="50">
        <v>12</v>
      </c>
      <c r="B27" s="51" t="s">
        <v>65</v>
      </c>
      <c r="C27" s="52"/>
      <c r="D27" s="53"/>
      <c r="E27" s="50" t="s">
        <v>46</v>
      </c>
      <c r="F27" s="54">
        <v>29600</v>
      </c>
      <c r="G27" s="50">
        <v>2</v>
      </c>
      <c r="H27" s="38">
        <f t="shared" ref="H27" si="1">G27*F27</f>
        <v>59200</v>
      </c>
    </row>
    <row r="28" spans="1:8" ht="16.5" thickBot="1" x14ac:dyDescent="0.3">
      <c r="A28" s="50">
        <v>13</v>
      </c>
      <c r="B28" s="51" t="s">
        <v>66</v>
      </c>
      <c r="C28" s="52"/>
      <c r="D28" s="53"/>
      <c r="E28" s="50" t="s">
        <v>46</v>
      </c>
      <c r="F28" s="54">
        <v>16600</v>
      </c>
      <c r="G28" s="50">
        <v>10</v>
      </c>
      <c r="H28" s="38">
        <f t="shared" ref="H28" si="2">G28*F28</f>
        <v>166000</v>
      </c>
    </row>
    <row r="29" spans="1:8" ht="19.5" customHeight="1" thickBot="1" x14ac:dyDescent="0.35">
      <c r="A29" s="67" t="s">
        <v>23</v>
      </c>
      <c r="B29" s="66" t="s">
        <v>67</v>
      </c>
      <c r="C29" s="12"/>
      <c r="D29" s="13"/>
      <c r="E29" s="6"/>
      <c r="F29" s="37" t="s">
        <v>29</v>
      </c>
      <c r="G29" s="6"/>
      <c r="H29" s="7"/>
    </row>
    <row r="30" spans="1:8" ht="19.5" customHeight="1" thickBot="1" x14ac:dyDescent="0.3">
      <c r="A30" s="39"/>
      <c r="B30" s="16" t="s">
        <v>68</v>
      </c>
      <c r="C30" s="4"/>
      <c r="D30" s="17"/>
      <c r="E30" s="57" t="s">
        <v>24</v>
      </c>
      <c r="F30" s="57"/>
      <c r="G30" s="45"/>
      <c r="H30" s="55">
        <f>SUM(H16:H28)</f>
        <v>2458400</v>
      </c>
    </row>
    <row r="31" spans="1:8" ht="19.5" customHeight="1" x14ac:dyDescent="0.25">
      <c r="A31" s="24" t="s">
        <v>25</v>
      </c>
      <c r="E31" s="58" t="s">
        <v>30</v>
      </c>
      <c r="F31" s="23"/>
      <c r="G31" s="59">
        <v>0.19</v>
      </c>
      <c r="H31" s="40">
        <f>H30*G31</f>
        <v>467096</v>
      </c>
    </row>
    <row r="32" spans="1:8" ht="19.5" customHeight="1" x14ac:dyDescent="0.25">
      <c r="A32" s="14" t="s">
        <v>47</v>
      </c>
      <c r="E32" s="60" t="s">
        <v>26</v>
      </c>
      <c r="G32" s="63">
        <v>2.5000000000000001E-2</v>
      </c>
      <c r="H32" s="56">
        <f>H30*G32</f>
        <v>61460</v>
      </c>
    </row>
    <row r="33" spans="1:8" ht="15.75" x14ac:dyDescent="0.25">
      <c r="A33" s="14" t="s">
        <v>48</v>
      </c>
      <c r="E33" s="14"/>
      <c r="F33" s="33"/>
      <c r="G33" s="46"/>
      <c r="H33" s="15"/>
    </row>
    <row r="34" spans="1:8" ht="16.5" thickBot="1" x14ac:dyDescent="0.3">
      <c r="A34" s="14" t="s">
        <v>33</v>
      </c>
      <c r="E34" s="61" t="s">
        <v>27</v>
      </c>
      <c r="F34" s="62"/>
      <c r="G34" s="47"/>
      <c r="H34" s="17"/>
    </row>
    <row r="35" spans="1:8" ht="19.5" thickBot="1" x14ac:dyDescent="0.35">
      <c r="A35" s="65"/>
      <c r="B35" s="4"/>
      <c r="C35" s="4"/>
      <c r="D35" s="17"/>
      <c r="F35" s="3"/>
      <c r="G35" s="34" t="s">
        <v>28</v>
      </c>
      <c r="H35" s="36">
        <f>H30+H31-H32</f>
        <v>2864036</v>
      </c>
    </row>
    <row r="36" spans="1:8" ht="16.5" customHeight="1" x14ac:dyDescent="0.25"/>
    <row r="41" spans="1:8" ht="15.75" thickBot="1" x14ac:dyDescent="0.3"/>
    <row r="42" spans="1:8" ht="19.5" thickBot="1" x14ac:dyDescent="0.35">
      <c r="A42" s="25" t="s">
        <v>34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2024-09-27T15:29:49Z</cp:lastPrinted>
  <dcterms:created xsi:type="dcterms:W3CDTF">2018-11-15T17:29:02Z</dcterms:created>
  <dcterms:modified xsi:type="dcterms:W3CDTF">2024-09-27T15:45:20Z</dcterms:modified>
</cp:coreProperties>
</file>