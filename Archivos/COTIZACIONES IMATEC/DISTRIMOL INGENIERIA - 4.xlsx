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E0F44EB-68CD-4CB3-A213-1D020D9DAD9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STROM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22" i="1" s="1"/>
  <c r="H23" i="1" l="1"/>
  <c r="H27" i="1" s="1"/>
</calcChain>
</file>

<file path=xl/sharedStrings.xml><?xml version="1.0" encoding="utf-8"?>
<sst xmlns="http://schemas.openxmlformats.org/spreadsheetml/2006/main" count="61" uniqueCount="57">
  <si>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</si>
  <si>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</si>
  <si>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</si>
  <si>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</si>
  <si>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</si>
  <si>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</si>
  <si>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</si>
  <si>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</si>
  <si>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</si>
  <si>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</si>
  <si>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</si>
  <si>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</si>
  <si>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</si>
  <si>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</si>
  <si>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</si>
  <si>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</si>
  <si>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</si>
  <si>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</si>
  <si>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</si>
  <si>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</si>
  <si>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</si>
  <si>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</si>
  <si>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</si>
  <si>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</si>
  <si>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</si>
  <si>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</si>
  <si>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</si>
  <si>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</si>
  <si>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</si>
  <si>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</si>
  <si>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</si>
  <si>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</si>
  <si>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</si>
  <si>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</si>
  <si>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</si>
  <si>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</si>
  <si>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</si>
  <si>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</si>
  <si>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</si>
  <si>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DISTROMOL INGENIERIA SAS</t>
  </si>
  <si>
    <t>805 023110</t>
  </si>
  <si>
    <t>CRA 12 No. 33H-24</t>
  </si>
  <si>
    <t>CALI</t>
  </si>
  <si>
    <t>prado.vasquez@gmail.com</t>
  </si>
  <si>
    <t>602 371 9433</t>
  </si>
  <si>
    <t>LUIS A. BENAVIDEZ</t>
  </si>
  <si>
    <t>METRO LINEAL</t>
  </si>
  <si>
    <t>Eduardo Prado</t>
  </si>
  <si>
    <t>L I Q U I D A C I O N</t>
  </si>
  <si>
    <t>SOS MDA / CTE</t>
  </si>
  <si>
    <t>ENTREGA INMEDIATA</t>
  </si>
  <si>
    <t>No.  4</t>
  </si>
  <si>
    <t xml:space="preserve">              R E M I S I O N</t>
  </si>
  <si>
    <t>TUBERIA  A / C  SCH 40 1 "</t>
  </si>
  <si>
    <t>TUBERIA  A / C  SCH 40 1  1/4  "</t>
  </si>
  <si>
    <t>TUBERIA  A / C  SCH 40 1  1/4 "</t>
  </si>
  <si>
    <t>SEISCIENTOS VEINTICUATRO MIL SEISCIENTOS SIETE PE-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</si>
</sst>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do.vasqu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B23" sqref="B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45675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47</v>
      </c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53</v>
      </c>
      <c r="C16" s="77"/>
      <c r="D16" s="78"/>
      <c r="E16" s="75" t="s">
        <v>46</v>
      </c>
      <c r="F16" s="79">
        <v>15600</v>
      </c>
      <c r="G16" s="75">
        <v>6</v>
      </c>
      <c r="H16" s="38">
        <f t="shared" ref="H16" si="0">G16*F16</f>
        <v>93600</v>
      </c>
    </row>
    <row r="17" spans="1:8" ht="16.5" thickBot="1" x14ac:dyDescent="0.3">
      <c r="A17" s="75">
        <v>2</v>
      </c>
      <c r="B17" s="76" t="s">
        <v>53</v>
      </c>
      <c r="C17" s="77"/>
      <c r="D17" s="78"/>
      <c r="E17" s="75" t="s">
        <v>46</v>
      </c>
      <c r="F17" s="79">
        <v>18700</v>
      </c>
      <c r="G17" s="75">
        <v>3</v>
      </c>
      <c r="H17" s="38">
        <f t="shared" ref="H17:H19" si="1">G17*F17</f>
        <v>56100</v>
      </c>
    </row>
    <row r="18" spans="1:8" ht="16.5" thickBot="1" x14ac:dyDescent="0.3">
      <c r="A18" s="75">
        <v>3</v>
      </c>
      <c r="B18" s="76" t="s">
        <v>54</v>
      </c>
      <c r="C18" s="77"/>
      <c r="D18" s="78"/>
      <c r="E18" s="75" t="s">
        <v>46</v>
      </c>
      <c r="F18" s="79">
        <v>24050</v>
      </c>
      <c r="G18" s="75">
        <v>12</v>
      </c>
      <c r="H18" s="38">
        <f t="shared" si="1"/>
        <v>288600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46</v>
      </c>
      <c r="F19" s="79">
        <v>28860</v>
      </c>
      <c r="G19" s="75">
        <v>3</v>
      </c>
      <c r="H19" s="38">
        <f t="shared" si="1"/>
        <v>86580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56</v>
      </c>
      <c r="D21" s="15"/>
      <c r="E21" s="54"/>
      <c r="F21" s="37" t="s">
        <v>48</v>
      </c>
      <c r="G21" s="6"/>
      <c r="H21" s="7"/>
    </row>
    <row r="22" spans="1:8" ht="19.5" customHeight="1" thickBot="1" x14ac:dyDescent="0.3">
      <c r="A22" s="39"/>
      <c r="B22" s="16" t="s">
        <v>49</v>
      </c>
      <c r="C22" s="4"/>
      <c r="D22" s="4"/>
      <c r="E22" s="57" t="s">
        <v>24</v>
      </c>
      <c r="F22" s="58"/>
      <c r="G22" s="46"/>
      <c r="H22" s="55">
        <f>SUM(H16:H19)</f>
        <v>524880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99727.2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/>
    </row>
    <row r="25" spans="1:8" ht="15.75" x14ac:dyDescent="0.25">
      <c r="A25" s="14" t="s">
        <v>50</v>
      </c>
      <c r="E25" s="14"/>
      <c r="F25" s="33"/>
      <c r="G25" s="47"/>
      <c r="H25" s="15"/>
    </row>
    <row r="26" spans="1:8" ht="16.5" thickBot="1" x14ac:dyDescent="0.3">
      <c r="A26" s="14" t="s">
        <v>33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624607.19999999995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34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662EF238-15BF-4596-8DDA-4CF331F5DB8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DISTROMOL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2025-01-18T15:30:39Z</dcterms:modified>
</cp:coreProperties>
</file>