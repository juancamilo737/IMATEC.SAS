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B4037AE-5C1D-475D-BCB3-7F73D686E83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6" i="1"/>
  <c r="H23" i="1" s="1"/>
  <c r="H22" i="1" l="1"/>
  <c r="H26" i="1" s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<sst xmlns="http://schemas.openxmlformats.org/spreadsheetml/2006/main" count="59" uniqueCount="58">
  <si>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</si>
  <si>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</si>
  <si>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</si>
  <si>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</si>
  <si>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</si>
  <si>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</si>
  <si>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</si>
  <si>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</si>
  <si>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</si>
  <si>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</si>
  <si>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</si>
  <si>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</si>
  <si>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</si>
  <si>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</si>
  <si>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</si>
  <si>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</si>
  <si>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</si>
  <si>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</si>
  <si>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</si>
  <si>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</si>
  <si>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</si>
  <si>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</si>
  <si>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</si>
  <si>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</si>
  <si>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</si>
  <si>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</si>
  <si>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</si>
  <si>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</si>
  <si>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</si>
  <si>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</si>
  <si>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</si>
  <si>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</si>
  <si>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</si>
  <si>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</si>
  <si>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</si>
  <si>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</si>
  <si>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</si>
  <si>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</si>
  <si>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</si>
  <si>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</si>
  <si>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</si>
  <si>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</si>
  <si>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</si>
  <si>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</si>
  <si>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</si>
  <si>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>ORDEN DE COMPRA No.</t>
  </si>
  <si>
    <t xml:space="preserve"> </t>
  </si>
  <si>
    <t>ACCESORIO</t>
  </si>
  <si>
    <t>ENTREGA INMEDIATA</t>
  </si>
  <si>
    <t>No. 14</t>
  </si>
  <si>
    <t xml:space="preserve">           C O T I Z A C I O N</t>
  </si>
  <si>
    <t>10 DIAS</t>
  </si>
  <si>
    <t>MANOMETRO 2 1/2 " AC/INOX CONEXIÓN VERTICAL</t>
  </si>
  <si>
    <t>1/4 "  BRONCE 0-100 PSI  MARCA WINTER</t>
  </si>
  <si>
    <t>MANO VACUMETRO CARATULA 2 1/2 AC/INOX  1/4"</t>
  </si>
  <si>
    <t>CONEXIÓN VERTICAL BRONCE 30/60 PSI RITHERM</t>
  </si>
  <si>
    <t>QUINIENTOS SETENTA Y SEIS MIL SEISCIENTOS SETENTA</t>
  </si>
  <si>
    <t>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</si>
</sst>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  <xf numFmtId="0" fontId="10" fillId="0" borderId="12" xfId="0" applyFont="1" applyBorder="1"/>
    <xf numFmtId="0" fontId="8" fillId="0" borderId="30" xfId="0" applyFont="1" applyBorder="1"/>
    <xf numFmtId="0" fontId="1" fillId="0" borderId="36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1"/>
  <sheetViews>
    <sheetView tabSelected="1" topLeftCell="A4" zoomScaleNormal="100" workbookViewId="0">
      <selection activeCell="K9" sqref="K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45877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>
        <v>45886</v>
      </c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45</v>
      </c>
      <c r="H12" s="31"/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80"/>
    </row>
    <row r="14" spans="1:8" ht="15.75" thickBot="1" x14ac:dyDescent="0.3"/>
    <row r="15" spans="1:8" ht="15.75" thickBot="1" x14ac:dyDescent="0.3">
      <c r="A15" s="32" t="s">
        <v>32</v>
      </c>
      <c r="B15" s="78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79">
        <v>1</v>
      </c>
      <c r="B16" s="74" t="s">
        <v>52</v>
      </c>
      <c r="C16" s="75"/>
      <c r="D16" s="76"/>
      <c r="E16" s="73" t="s">
        <v>47</v>
      </c>
      <c r="F16" s="77">
        <v>45000</v>
      </c>
      <c r="G16" s="73">
        <v>2</v>
      </c>
      <c r="H16" s="38">
        <f t="shared" ref="H16" si="0">G16*F16</f>
        <v>90000</v>
      </c>
    </row>
    <row r="17" spans="1:9" ht="16.5" thickBot="1" x14ac:dyDescent="0.3">
      <c r="A17" s="79"/>
      <c r="B17" s="74" t="s">
        <v>53</v>
      </c>
      <c r="C17" s="75"/>
      <c r="D17" s="76"/>
      <c r="E17" s="73"/>
      <c r="F17" s="77"/>
      <c r="G17" s="73"/>
      <c r="H17" s="38"/>
    </row>
    <row r="18" spans="1:9" ht="16.5" thickBot="1" x14ac:dyDescent="0.3">
      <c r="A18" s="82">
        <v>2</v>
      </c>
      <c r="B18" s="74" t="s">
        <v>54</v>
      </c>
      <c r="C18" s="75"/>
      <c r="D18" s="76"/>
      <c r="E18" s="73" t="s">
        <v>47</v>
      </c>
      <c r="F18" s="77">
        <v>202500</v>
      </c>
      <c r="G18" s="73">
        <v>2</v>
      </c>
      <c r="H18" s="38">
        <f t="shared" ref="H18" si="1">G18*F18</f>
        <v>405000</v>
      </c>
    </row>
    <row r="19" spans="1:9" ht="19.5" customHeight="1" thickBot="1" x14ac:dyDescent="0.3">
      <c r="A19" s="47"/>
      <c r="B19" s="81" t="s">
        <v>55</v>
      </c>
      <c r="D19" s="71"/>
      <c r="E19" s="47"/>
      <c r="F19" s="47"/>
      <c r="G19" s="47"/>
    </row>
    <row r="20" spans="1:9" ht="19.5" customHeight="1" thickBot="1" x14ac:dyDescent="0.35">
      <c r="A20" s="70" t="s">
        <v>22</v>
      </c>
      <c r="B20" s="72" t="s">
        <v>56</v>
      </c>
      <c r="C20" s="12"/>
      <c r="D20" s="13"/>
      <c r="E20" s="48"/>
      <c r="F20" s="37" t="s">
        <v>43</v>
      </c>
      <c r="G20" s="6"/>
      <c r="H20" s="7"/>
    </row>
    <row r="21" spans="1:9" ht="19.5" customHeight="1" thickBot="1" x14ac:dyDescent="0.3">
      <c r="A21" s="39"/>
      <c r="B21" s="16" t="s">
        <v>57</v>
      </c>
      <c r="C21" s="4"/>
      <c r="D21" s="17"/>
      <c r="E21" s="51" t="s">
        <v>23</v>
      </c>
      <c r="F21" s="52"/>
      <c r="G21" s="44"/>
      <c r="H21" s="49">
        <f>SUM(H16:H18)</f>
        <v>495000</v>
      </c>
    </row>
    <row r="22" spans="1:9" ht="19.5" customHeight="1" x14ac:dyDescent="0.25">
      <c r="A22" s="24" t="s">
        <v>24</v>
      </c>
      <c r="B22" s="12"/>
      <c r="C22" s="12"/>
      <c r="D22" s="12"/>
      <c r="E22" s="53" t="s">
        <v>28</v>
      </c>
      <c r="F22" s="23"/>
      <c r="G22" s="54">
        <v>0.19</v>
      </c>
      <c r="H22" s="40">
        <f>H21*G22</f>
        <v>94050</v>
      </c>
    </row>
    <row r="23" spans="1:9" ht="19.5" customHeight="1" x14ac:dyDescent="0.25">
      <c r="A23" s="14" t="s">
        <v>44</v>
      </c>
      <c r="E23" s="55" t="s">
        <v>25</v>
      </c>
      <c r="G23" s="58">
        <v>2.5000000000000001E-2</v>
      </c>
      <c r="H23" s="50">
        <f>H21*G23</f>
        <v>12375</v>
      </c>
      <c r="I23" t="s">
        <v>46</v>
      </c>
    </row>
    <row r="24" spans="1:9" ht="15.75" x14ac:dyDescent="0.25">
      <c r="A24" s="14" t="s">
        <v>48</v>
      </c>
      <c r="E24" s="14"/>
      <c r="F24" s="33"/>
      <c r="G24" s="45"/>
      <c r="H24" s="15"/>
    </row>
    <row r="25" spans="1:9" ht="16.5" thickBot="1" x14ac:dyDescent="0.3">
      <c r="A25" s="14" t="s">
        <v>30</v>
      </c>
      <c r="E25" s="56" t="s">
        <v>26</v>
      </c>
      <c r="F25" s="57"/>
      <c r="G25" s="46"/>
      <c r="H25" s="17"/>
    </row>
    <row r="26" spans="1:9" ht="19.5" thickBot="1" x14ac:dyDescent="0.35">
      <c r="A26" s="16"/>
      <c r="B26" s="4"/>
      <c r="C26" s="4"/>
      <c r="D26" s="17"/>
      <c r="F26" s="3"/>
      <c r="G26" s="34" t="s">
        <v>27</v>
      </c>
      <c r="H26" s="36">
        <f>H21+H22-H23</f>
        <v>576675</v>
      </c>
    </row>
    <row r="27" spans="1:9" ht="16.5" customHeight="1" x14ac:dyDescent="0.25"/>
    <row r="32" spans="1:9" ht="15.75" thickBot="1" x14ac:dyDescent="0.3"/>
    <row r="33" spans="1:8" ht="19.5" thickBot="1" x14ac:dyDescent="0.35">
      <c r="A33" s="25" t="s">
        <v>42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2025-03-26T15:29:37Z</cp:lastPrinted>
  <dcterms:created xsi:type="dcterms:W3CDTF">2018-11-15T17:29:02Z</dcterms:created>
  <dcterms:modified xsi:type="dcterms:W3CDTF">2025-08-08T15:25:52Z</dcterms:modified>
</cp:coreProperties>
</file>