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D3833302-E47D-4572-8C2D-CEC771297EF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UPROVEED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1" l="1"/>
  <c r="H24" i="1"/>
  <c r="H21" i="1"/>
  <c r="H20" i="1"/>
  <c r="H19" i="1"/>
  <c r="H18" i="1"/>
  <c r="H17" i="1"/>
  <c r="H16" i="1"/>
  <c r="H25" i="1" l="1"/>
  <c r="H28" i="1" s="1"/>
</calcChain>
</file>

<file path=xl/sharedStrings.xml><?xml version="1.0" encoding="utf-8"?>
<sst xmlns="http://schemas.openxmlformats.org/spreadsheetml/2006/main" count="66" uniqueCount="61">
  <si>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</si>
  <si>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</si>
  <si>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</si>
  <si>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</si>
  <si>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</si>
  <si>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</si>
  <si>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</si>
  <si>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</si>
  <si>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</si>
  <si>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</si>
  <si>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</si>
  <si>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</si>
  <si>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</si>
  <si>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</si>
  <si>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</si>
  <si>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</si>
  <si>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</si>
  <si>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</si>
  <si>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</si>
  <si>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</si>
  <si>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</si>
  <si>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</si>
  <si>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</si>
  <si>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</si>
  <si>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</si>
  <si>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</si>
  <si>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</si>
  <si>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</si>
  <si>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</si>
  <si>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</si>
  <si>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</si>
  <si>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</si>
  <si>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</si>
  <si>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</si>
  <si>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CALI</t>
  </si>
  <si>
    <t>ITEM</t>
  </si>
  <si>
    <t>CONTACTOS   310 8306118       319 7174165        321 7834969</t>
  </si>
  <si>
    <t>LUIS BENAVIDES</t>
  </si>
  <si>
    <t>FERRETERIA SUPROVEEDOR S.A.S.</t>
  </si>
  <si>
    <t>900 262123</t>
  </si>
  <si>
    <t>CRA 1 Nte  No. 50-224</t>
  </si>
  <si>
    <t>ferresuproveedor@gmail.com</t>
  </si>
  <si>
    <t>602 5247788</t>
  </si>
  <si>
    <t>FORMA DE PAGO : CREDITO A 30 DIAS</t>
  </si>
  <si>
    <t>ORDEN DE COMPRA No.</t>
  </si>
  <si>
    <t>L I Q U I D A C I O N</t>
  </si>
  <si>
    <t xml:space="preserve">  CALLE  33A  No. 17F - 56                          B/  LA FLORESTA             -   CALI    -                                  CEL.     321 7834969</t>
  </si>
  <si>
    <t>ACCESORIO</t>
  </si>
  <si>
    <t>ENTREGA EN TRES DIAS A PARTIR DE ORDEN DE COMPRA</t>
  </si>
  <si>
    <t xml:space="preserve">         </t>
  </si>
  <si>
    <t xml:space="preserve">           C O T I Z A C I O N</t>
  </si>
  <si>
    <t>10 DIAS</t>
  </si>
  <si>
    <t>No. 25</t>
  </si>
  <si>
    <t>TEE MECANICA HD  2 1/2 "  X  1 "  NPT</t>
  </si>
  <si>
    <t>TEE MECANICA RANURADA  2 1/2 "  X  1 1/4 "</t>
  </si>
  <si>
    <t>COPA HD RANURADA  2 1/2 "  X  2 "</t>
  </si>
  <si>
    <t>SENSOR DE FLUJO  2 1/2 "</t>
  </si>
  <si>
    <t>CUATRO MILLONES CIENTO TREINTA Y UN MIL QUINIEN</t>
  </si>
  <si>
    <t>TOS CUARENTA Y CUATRO PESOS MDA / CTE</t>
  </si>
  <si>
    <t>COPA HR  1 " X  1/2 " X  150 LBS</t>
  </si>
  <si>
    <t>VALVULA BRONCE  PRUEBA DRENAJE 1 "  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</si>
</sst>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0" fillId="0" borderId="17" xfId="0" applyBorder="1"/>
    <xf numFmtId="0" fontId="0" fillId="0" borderId="14" xfId="0" applyBorder="1"/>
    <xf numFmtId="0" fontId="5" fillId="0" borderId="19" xfId="0" applyFont="1" applyBorder="1"/>
    <xf numFmtId="0" fontId="0" fillId="0" borderId="19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8" xfId="0" applyFont="1" applyBorder="1" applyAlignment="1">
      <alignment horizontal="center"/>
    </xf>
    <xf numFmtId="42" fontId="1" fillId="0" borderId="20" xfId="0" applyNumberFormat="1" applyFont="1" applyBorder="1" applyAlignment="1">
      <alignment horizontal="left"/>
    </xf>
    <xf numFmtId="0" fontId="0" fillId="0" borderId="3" xfId="0" applyBorder="1"/>
    <xf numFmtId="42" fontId="1" fillId="0" borderId="20" xfId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9" xfId="0" applyFont="1" applyBorder="1"/>
    <xf numFmtId="9" fontId="1" fillId="0" borderId="24" xfId="0" applyNumberFormat="1" applyFont="1" applyBorder="1"/>
    <xf numFmtId="0" fontId="4" fillId="0" borderId="3" xfId="0" applyFont="1" applyBorder="1"/>
    <xf numFmtId="0" fontId="4" fillId="0" borderId="4" xfId="0" applyFont="1" applyBorder="1"/>
    <xf numFmtId="10" fontId="1" fillId="0" borderId="1" xfId="0" applyNumberFormat="1" applyFont="1" applyBorder="1"/>
    <xf numFmtId="0" fontId="1" fillId="0" borderId="7" xfId="0" applyFont="1" applyBorder="1"/>
    <xf numFmtId="0" fontId="1" fillId="0" borderId="25" xfId="0" applyFont="1" applyBorder="1" applyAlignment="1">
      <alignment horizontal="center"/>
    </xf>
    <xf numFmtId="0" fontId="8" fillId="0" borderId="26" xfId="0" applyFont="1" applyBorder="1"/>
    <xf numFmtId="0" fontId="8" fillId="0" borderId="27" xfId="0" applyFont="1" applyBorder="1"/>
    <xf numFmtId="0" fontId="8" fillId="0" borderId="28" xfId="0" applyFont="1" applyBorder="1"/>
    <xf numFmtId="0" fontId="1" fillId="0" borderId="27" xfId="0" applyFont="1" applyBorder="1" applyAlignment="1">
      <alignment horizontal="center"/>
    </xf>
    <xf numFmtId="42" fontId="11" fillId="0" borderId="27" xfId="1" applyFont="1" applyBorder="1" applyAlignment="1">
      <alignment horizontal="center"/>
    </xf>
    <xf numFmtId="42" fontId="1" fillId="0" borderId="29" xfId="1" applyFont="1" applyBorder="1" applyAlignment="1">
      <alignment horizontal="left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resuproveed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3"/>
  <sheetViews>
    <sheetView tabSelected="1" topLeftCell="A6" zoomScaleNormal="100" workbookViewId="0">
      <selection activeCell="J18" sqref="J18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0" t="s">
        <v>30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32</v>
      </c>
      <c r="E4" s="19"/>
      <c r="F4" s="20"/>
      <c r="G4" s="6"/>
      <c r="H4" s="7"/>
    </row>
    <row r="5" spans="1:8" ht="19.5" thickBot="1" x14ac:dyDescent="0.35">
      <c r="A5" s="44" t="s">
        <v>36</v>
      </c>
      <c r="B5" s="6"/>
      <c r="C5" s="6"/>
      <c r="D5" s="6"/>
      <c r="E5" s="6"/>
    </row>
    <row r="6" spans="1:8" ht="24.75" customHeight="1" thickBot="1" x14ac:dyDescent="0.45">
      <c r="F6" s="11" t="s">
        <v>50</v>
      </c>
      <c r="G6" s="19"/>
      <c r="H6" s="20"/>
    </row>
    <row r="7" spans="1:8" ht="19.5" thickBot="1" x14ac:dyDescent="0.35">
      <c r="A7" s="21" t="s">
        <v>15</v>
      </c>
      <c r="B7" s="13"/>
      <c r="C7" s="31" t="s">
        <v>38</v>
      </c>
      <c r="D7" s="13"/>
      <c r="E7" s="14"/>
      <c r="F7" s="28"/>
      <c r="G7" s="19"/>
      <c r="H7" s="20" t="s">
        <v>52</v>
      </c>
    </row>
    <row r="8" spans="1:8" ht="18.75" x14ac:dyDescent="0.3">
      <c r="A8" s="22" t="s">
        <v>9</v>
      </c>
      <c r="C8" s="25" t="s">
        <v>39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40</v>
      </c>
      <c r="D9" s="24"/>
      <c r="E9" s="25" t="s">
        <v>34</v>
      </c>
      <c r="F9" s="32" t="s">
        <v>0</v>
      </c>
      <c r="H9" s="33">
        <v>45742</v>
      </c>
    </row>
    <row r="10" spans="1:8" ht="18.75" x14ac:dyDescent="0.3">
      <c r="A10" s="22" t="s">
        <v>14</v>
      </c>
      <c r="C10" s="41" t="s">
        <v>41</v>
      </c>
      <c r="D10" s="26"/>
      <c r="E10" s="26"/>
      <c r="F10" s="32" t="s">
        <v>16</v>
      </c>
      <c r="H10" s="34" t="s">
        <v>51</v>
      </c>
    </row>
    <row r="11" spans="1:8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>
        <v>45752</v>
      </c>
    </row>
    <row r="12" spans="1:8" ht="18.75" x14ac:dyDescent="0.3">
      <c r="A12" s="22" t="s">
        <v>12</v>
      </c>
      <c r="C12" s="25" t="s">
        <v>42</v>
      </c>
      <c r="D12" s="26"/>
      <c r="E12" s="26"/>
      <c r="F12" s="32" t="s">
        <v>44</v>
      </c>
      <c r="H12" s="34"/>
    </row>
    <row r="13" spans="1:8" ht="18.75" customHeight="1" thickBot="1" x14ac:dyDescent="0.35">
      <c r="A13" s="23" t="s">
        <v>13</v>
      </c>
      <c r="B13" s="4"/>
      <c r="C13" s="25" t="s">
        <v>37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45" t="s">
        <v>35</v>
      </c>
      <c r="B15" s="27" t="s">
        <v>23</v>
      </c>
      <c r="C15" s="57"/>
      <c r="D15" s="14"/>
      <c r="E15" s="45" t="s">
        <v>19</v>
      </c>
      <c r="F15" s="45" t="s">
        <v>21</v>
      </c>
      <c r="G15" s="45" t="s">
        <v>20</v>
      </c>
      <c r="H15" s="45" t="s">
        <v>22</v>
      </c>
    </row>
    <row r="16" spans="1:8" ht="16.5" thickBot="1" x14ac:dyDescent="0.3">
      <c r="A16" s="58">
        <v>1</v>
      </c>
      <c r="B16" s="59" t="s">
        <v>53</v>
      </c>
      <c r="C16" s="60"/>
      <c r="D16" s="61"/>
      <c r="E16" s="62" t="s">
        <v>47</v>
      </c>
      <c r="F16" s="63">
        <v>25000</v>
      </c>
      <c r="G16" s="62">
        <v>24</v>
      </c>
      <c r="H16" s="64">
        <f t="shared" ref="H16" si="0">G16*F16</f>
        <v>600000</v>
      </c>
    </row>
    <row r="17" spans="1:8" ht="16.5" thickBot="1" x14ac:dyDescent="0.3">
      <c r="A17" s="58">
        <v>2</v>
      </c>
      <c r="B17" s="59" t="s">
        <v>54</v>
      </c>
      <c r="C17" s="60"/>
      <c r="D17" s="61"/>
      <c r="E17" s="62" t="s">
        <v>47</v>
      </c>
      <c r="F17" s="63">
        <v>26000</v>
      </c>
      <c r="G17" s="62">
        <v>42</v>
      </c>
      <c r="H17" s="64">
        <f t="shared" ref="H17:H19" si="1">G17*F17</f>
        <v>1092000</v>
      </c>
    </row>
    <row r="18" spans="1:8" ht="16.5" thickBot="1" x14ac:dyDescent="0.3">
      <c r="A18" s="58">
        <v>3</v>
      </c>
      <c r="B18" s="59" t="s">
        <v>60</v>
      </c>
      <c r="C18" s="60"/>
      <c r="D18" s="61"/>
      <c r="E18" s="62" t="s">
        <v>47</v>
      </c>
      <c r="F18" s="63">
        <v>190000</v>
      </c>
      <c r="G18" s="62">
        <v>3</v>
      </c>
      <c r="H18" s="64">
        <f t="shared" si="1"/>
        <v>570000</v>
      </c>
    </row>
    <row r="19" spans="1:8" ht="16.5" thickBot="1" x14ac:dyDescent="0.3">
      <c r="A19" s="58">
        <v>4</v>
      </c>
      <c r="B19" s="59" t="s">
        <v>59</v>
      </c>
      <c r="C19" s="60"/>
      <c r="D19" s="61"/>
      <c r="E19" s="62" t="s">
        <v>47</v>
      </c>
      <c r="F19" s="63">
        <v>2930</v>
      </c>
      <c r="G19" s="62">
        <v>180</v>
      </c>
      <c r="H19" s="64">
        <f t="shared" si="1"/>
        <v>527400</v>
      </c>
    </row>
    <row r="20" spans="1:8" ht="16.5" thickBot="1" x14ac:dyDescent="0.3">
      <c r="A20" s="58">
        <v>5</v>
      </c>
      <c r="B20" s="59" t="s">
        <v>55</v>
      </c>
      <c r="C20" s="60"/>
      <c r="D20" s="61"/>
      <c r="E20" s="62" t="s">
        <v>47</v>
      </c>
      <c r="F20" s="63">
        <v>8190</v>
      </c>
      <c r="G20" s="62">
        <v>1</v>
      </c>
      <c r="H20" s="64">
        <f t="shared" ref="H20:H21" si="2">G20*F20</f>
        <v>8190</v>
      </c>
    </row>
    <row r="21" spans="1:8" ht="15.75" x14ac:dyDescent="0.25">
      <c r="A21" s="58">
        <v>6</v>
      </c>
      <c r="B21" s="59" t="s">
        <v>56</v>
      </c>
      <c r="C21" s="60"/>
      <c r="D21" s="61"/>
      <c r="E21" s="62" t="s">
        <v>47</v>
      </c>
      <c r="F21" s="63">
        <v>374400</v>
      </c>
      <c r="G21" s="62">
        <v>2</v>
      </c>
      <c r="H21" s="64">
        <f t="shared" si="2"/>
        <v>748800</v>
      </c>
    </row>
    <row r="22" spans="1:8" ht="19.5" customHeight="1" thickBot="1" x14ac:dyDescent="0.3">
      <c r="H22" s="36"/>
    </row>
    <row r="23" spans="1:8" ht="19.5" customHeight="1" thickBot="1" x14ac:dyDescent="0.35">
      <c r="A23" s="65" t="s">
        <v>24</v>
      </c>
      <c r="B23" s="12" t="s">
        <v>57</v>
      </c>
      <c r="C23" s="13"/>
      <c r="D23" s="13"/>
      <c r="E23" s="47"/>
      <c r="F23" s="44" t="s">
        <v>45</v>
      </c>
      <c r="G23" s="6"/>
      <c r="H23" s="7"/>
    </row>
    <row r="24" spans="1:8" ht="19.5" customHeight="1" thickBot="1" x14ac:dyDescent="0.3">
      <c r="A24" s="66"/>
      <c r="B24" s="17" t="s">
        <v>58</v>
      </c>
      <c r="C24" s="4"/>
      <c r="D24" s="4"/>
      <c r="E24" s="54" t="s">
        <v>25</v>
      </c>
      <c r="F24" s="55"/>
      <c r="G24" s="7"/>
      <c r="H24" s="46">
        <f>SUM(H16:H21)</f>
        <v>3546390</v>
      </c>
    </row>
    <row r="25" spans="1:8" ht="19.5" customHeight="1" thickBot="1" x14ac:dyDescent="0.3">
      <c r="A25" s="27" t="s">
        <v>26</v>
      </c>
      <c r="B25" s="13"/>
      <c r="C25" s="13"/>
      <c r="D25" s="14"/>
      <c r="E25" s="52" t="s">
        <v>31</v>
      </c>
      <c r="F25" s="37"/>
      <c r="G25" s="53">
        <v>0.19</v>
      </c>
      <c r="H25" s="42">
        <f>H24*G25</f>
        <v>673814.1</v>
      </c>
    </row>
    <row r="26" spans="1:8" ht="16.5" thickBot="1" x14ac:dyDescent="0.3">
      <c r="A26" s="15" t="s">
        <v>43</v>
      </c>
      <c r="D26" s="16"/>
      <c r="E26" s="49" t="s">
        <v>27</v>
      </c>
      <c r="G26" s="56">
        <v>2.5000000000000001E-2</v>
      </c>
      <c r="H26" s="48">
        <f>H24*G26</f>
        <v>88659.75</v>
      </c>
    </row>
    <row r="27" spans="1:8" ht="16.5" thickBot="1" x14ac:dyDescent="0.3">
      <c r="A27" s="15" t="s">
        <v>48</v>
      </c>
      <c r="D27" s="16"/>
      <c r="E27" s="50" t="s">
        <v>28</v>
      </c>
      <c r="F27" s="51"/>
      <c r="G27" s="18"/>
      <c r="H27" s="39"/>
    </row>
    <row r="28" spans="1:8" ht="19.5" thickBot="1" x14ac:dyDescent="0.35">
      <c r="A28" s="15" t="s">
        <v>33</v>
      </c>
      <c r="D28" s="16"/>
      <c r="G28" s="38" t="s">
        <v>29</v>
      </c>
      <c r="H28" s="43">
        <f>H24+H25-H26</f>
        <v>4131544.3499999996</v>
      </c>
    </row>
    <row r="29" spans="1:8" ht="16.5" customHeight="1" thickBot="1" x14ac:dyDescent="0.3">
      <c r="A29" s="17"/>
      <c r="B29" s="4"/>
      <c r="C29" s="4"/>
      <c r="D29" s="18"/>
      <c r="F29" s="3"/>
    </row>
    <row r="31" spans="1:8" x14ac:dyDescent="0.25">
      <c r="A31" t="s">
        <v>1</v>
      </c>
      <c r="C31" t="s">
        <v>49</v>
      </c>
    </row>
    <row r="33" spans="1:8" ht="15.75" thickBot="1" x14ac:dyDescent="0.3"/>
    <row r="34" spans="1:8" ht="19.5" thickBot="1" x14ac:dyDescent="0.35">
      <c r="A34" s="28" t="s">
        <v>46</v>
      </c>
      <c r="B34" s="6"/>
      <c r="C34" s="6"/>
      <c r="D34" s="6"/>
      <c r="E34" s="6"/>
      <c r="F34" s="6"/>
      <c r="G34" s="6"/>
      <c r="H34" s="7"/>
    </row>
    <row r="43" spans="1:8" ht="18.75" x14ac:dyDescent="0.3">
      <c r="A43" s="5"/>
    </row>
  </sheetData>
  <mergeCells count="1">
    <mergeCell ref="A23:A24"/>
  </mergeCells>
  <hyperlinks>
    <hyperlink ref="C10" r:id="rId1" xr:uid="{8005017C-9DF9-4FCC-9355-BF49D9DAD162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SUPROVEEDOR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2025-03-28T22:49:19Z</cp:lastPrinted>
  <dcterms:created xsi:type="dcterms:W3CDTF">2018-11-15T17:29:02Z</dcterms:created>
  <dcterms:modified xsi:type="dcterms:W3CDTF">2025-03-28T23:12:15Z</dcterms:modified>
</cp:coreProperties>
</file>