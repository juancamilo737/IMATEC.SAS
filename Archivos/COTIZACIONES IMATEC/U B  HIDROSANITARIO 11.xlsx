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F22628EF-4B0C-415C-9C6C-917E392D56C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UB HIDROSANIATARI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1" l="1"/>
  <c r="H21" i="1"/>
  <c r="H20" i="1"/>
  <c r="H19" i="1"/>
  <c r="H18" i="1"/>
  <c r="H17" i="1"/>
  <c r="H16" i="1"/>
  <c r="H25" i="1" s="1"/>
  <c r="H27" i="1" l="1"/>
  <c r="H26" i="1"/>
  <c r="H30" i="1" s="1"/>
</calcChain>
</file>

<file path=xl/sharedStrings.xml><?xml version="1.0" encoding="utf-8"?>
<sst xmlns="http://schemas.openxmlformats.org/spreadsheetml/2006/main" count="67" uniqueCount="63">
  <si>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</si>
  <si>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</si>
  <si>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</si>
  <si>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</si>
  <si>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</si>
  <si>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</si>
  <si>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</si>
  <si>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</si>
  <si>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</si>
  <si>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</si>
  <si>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</si>
  <si>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</si>
  <si>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</si>
  <si>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</si>
  <si>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</si>
  <si>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</si>
  <si>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</si>
  <si>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</si>
  <si>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</si>
  <si>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</si>
  <si>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</si>
  <si>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</si>
  <si>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</si>
  <si>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</si>
  <si>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</si>
  <si>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</si>
  <si>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</si>
  <si>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</si>
  <si>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</si>
  <si>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</si>
  <si>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</si>
  <si>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</si>
  <si>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</si>
  <si>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</si>
  <si>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</si>
  <si>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</si>
  <si>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</si>
  <si>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</si>
  <si>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UB HIDROSANITARIO S.A.S.</t>
  </si>
  <si>
    <t>900 638632</t>
  </si>
  <si>
    <t>CRA 12  No. 3S-18</t>
  </si>
  <si>
    <t>JAMUNDI</t>
  </si>
  <si>
    <t>hidrosanitariossas@outlook.com</t>
  </si>
  <si>
    <t>318 4294271</t>
  </si>
  <si>
    <t>LUIS A. BENAVIDES</t>
  </si>
  <si>
    <t xml:space="preserve"> </t>
  </si>
  <si>
    <t>FORMA DE PAGO : CREDITO 15 DIAS</t>
  </si>
  <si>
    <t>ENTREGA INMEDIATA</t>
  </si>
  <si>
    <t xml:space="preserve">  CALLE  33A  No. 17F - 56                          B/  LA FLORESTA             -   CALI    -                                   CEL.     321 7834969</t>
  </si>
  <si>
    <t xml:space="preserve">              R E M I S I O N</t>
  </si>
  <si>
    <t>UNION HD RANURADA  4 "</t>
  </si>
  <si>
    <t>15 DIAS</t>
  </si>
  <si>
    <t>No. 11</t>
  </si>
  <si>
    <t>TUBERIA  A / C SCH 10  4 "</t>
  </si>
  <si>
    <t>TUBO 6 MTS</t>
  </si>
  <si>
    <t>TEE MECANICA ROSCADA  4 "  X  2 1/2 "</t>
  </si>
  <si>
    <t>NIPLE  A / C  2 1/2 "  X  4 "</t>
  </si>
  <si>
    <t>FABRICACION</t>
  </si>
  <si>
    <t>CODO  A / C  2 1/2 "  X  90 º</t>
  </si>
  <si>
    <t xml:space="preserve">VALVULA ANGULAR BRONCE   2 1/2 " </t>
  </si>
  <si>
    <t>GABINETE 40 X 40 X 23</t>
  </si>
  <si>
    <t xml:space="preserve">DOCE MILLONES OCHOCIENTOS OCHENTA Y CUATRO </t>
  </si>
  <si>
    <t>MIL SEISCIENTOS SESENTA Y SIETE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</si>
</sst>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1" xfId="0" applyBorder="1"/>
    <xf numFmtId="0" fontId="0" fillId="0" borderId="24" xfId="0" applyBorder="1"/>
    <xf numFmtId="0" fontId="0" fillId="0" borderId="27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9" xfId="0" applyFont="1" applyBorder="1"/>
    <xf numFmtId="9" fontId="1" fillId="0" borderId="22" xfId="3" applyFont="1" applyBorder="1"/>
    <xf numFmtId="0" fontId="4" fillId="0" borderId="23" xfId="0" applyFont="1" applyBorder="1"/>
    <xf numFmtId="0" fontId="4" fillId="0" borderId="25" xfId="0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9" xfId="0" applyBorder="1"/>
    <xf numFmtId="0" fontId="0" fillId="0" borderId="20" xfId="0" applyBorder="1"/>
    <xf numFmtId="0" fontId="0" fillId="0" borderId="29" xfId="0" applyBorder="1"/>
    <xf numFmtId="0" fontId="0" fillId="0" borderId="22" xfId="0" applyBorder="1"/>
    <xf numFmtId="0" fontId="13" fillId="0" borderId="23" xfId="2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1" fillId="0" borderId="14" xfId="0" applyFont="1" applyBorder="1" applyAlignment="1">
      <alignment horizontal="center"/>
    </xf>
    <xf numFmtId="0" fontId="8" fillId="0" borderId="30" xfId="0" applyFont="1" applyBorder="1"/>
    <xf numFmtId="0" fontId="8" fillId="0" borderId="13" xfId="0" applyFont="1" applyBorder="1"/>
    <xf numFmtId="0" fontId="8" fillId="0" borderId="31" xfId="0" applyFont="1" applyBorder="1"/>
    <xf numFmtId="42" fontId="11" fillId="0" borderId="14" xfId="1" applyFont="1" applyBorder="1" applyAlignment="1">
      <alignment horizontal="center"/>
    </xf>
    <xf numFmtId="0" fontId="0" fillId="0" borderId="32" xfId="0" applyBorder="1"/>
    <xf numFmtId="0" fontId="0" fillId="0" borderId="33" xfId="0" applyBorder="1"/>
    <xf numFmtId="0" fontId="0" fillId="0" borderId="34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idrosanitariossas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5"/>
  <sheetViews>
    <sheetView tabSelected="1" topLeftCell="A7" zoomScaleNormal="100" workbookViewId="0">
      <selection activeCell="B26" sqref="B2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49</v>
      </c>
      <c r="G6" s="42"/>
      <c r="H6" s="43"/>
    </row>
    <row r="7" spans="1:8" ht="19.5" thickBot="1" x14ac:dyDescent="0.35">
      <c r="A7" s="20" t="s">
        <v>14</v>
      </c>
      <c r="B7" s="12"/>
      <c r="C7" s="61" t="s">
        <v>38</v>
      </c>
      <c r="D7" s="12"/>
      <c r="E7" s="13"/>
      <c r="F7" s="37"/>
      <c r="G7" s="18"/>
      <c r="H7" s="19" t="s">
        <v>52</v>
      </c>
    </row>
    <row r="8" spans="1:8" ht="18.75" x14ac:dyDescent="0.3">
      <c r="A8" s="21" t="s">
        <v>8</v>
      </c>
      <c r="C8" s="63" t="s">
        <v>39</v>
      </c>
      <c r="D8" s="64"/>
      <c r="E8" s="44"/>
      <c r="H8" s="15" t="s">
        <v>45</v>
      </c>
    </row>
    <row r="9" spans="1:8" ht="18.75" customHeight="1" x14ac:dyDescent="0.3">
      <c r="A9" s="21" t="s">
        <v>9</v>
      </c>
      <c r="C9" s="65" t="s">
        <v>40</v>
      </c>
      <c r="D9" s="23"/>
      <c r="E9" s="66" t="s">
        <v>41</v>
      </c>
      <c r="F9" s="30" t="s">
        <v>0</v>
      </c>
      <c r="H9" s="28">
        <v>45783</v>
      </c>
    </row>
    <row r="10" spans="1:8" ht="18.75" x14ac:dyDescent="0.3">
      <c r="A10" s="21" t="s">
        <v>13</v>
      </c>
      <c r="C10" s="67" t="s">
        <v>42</v>
      </c>
      <c r="D10" s="62"/>
      <c r="E10" s="45"/>
      <c r="F10" s="30" t="s">
        <v>15</v>
      </c>
      <c r="H10" s="29" t="s">
        <v>51</v>
      </c>
    </row>
    <row r="11" spans="1:8" ht="18.75" x14ac:dyDescent="0.3">
      <c r="A11" s="21" t="s">
        <v>10</v>
      </c>
      <c r="C11" s="68"/>
      <c r="D11" s="62"/>
      <c r="E11" s="45"/>
      <c r="F11" s="30" t="s">
        <v>16</v>
      </c>
      <c r="G11" s="30"/>
      <c r="H11" s="28">
        <v>45798</v>
      </c>
    </row>
    <row r="12" spans="1:8" ht="18.75" x14ac:dyDescent="0.3">
      <c r="A12" s="21" t="s">
        <v>11</v>
      </c>
      <c r="C12" s="68" t="s">
        <v>43</v>
      </c>
      <c r="D12" s="62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9" t="s">
        <v>44</v>
      </c>
      <c r="D13" s="70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34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71">
        <v>1</v>
      </c>
      <c r="B16" s="72" t="s">
        <v>53</v>
      </c>
      <c r="C16" s="73"/>
      <c r="D16" s="74"/>
      <c r="E16" s="71" t="s">
        <v>54</v>
      </c>
      <c r="F16" s="75">
        <v>394400</v>
      </c>
      <c r="G16" s="71">
        <v>6</v>
      </c>
      <c r="H16" s="38">
        <f t="shared" ref="H16" si="0">G16*F16</f>
        <v>2366400</v>
      </c>
    </row>
    <row r="17" spans="1:8" ht="16.5" thickBot="1" x14ac:dyDescent="0.3">
      <c r="A17" s="71">
        <v>2</v>
      </c>
      <c r="B17" s="72" t="s">
        <v>55</v>
      </c>
      <c r="C17" s="73"/>
      <c r="D17" s="74"/>
      <c r="E17" s="71" t="s">
        <v>37</v>
      </c>
      <c r="F17" s="75">
        <v>32000</v>
      </c>
      <c r="G17" s="71">
        <v>15</v>
      </c>
      <c r="H17" s="38">
        <f t="shared" ref="H17:H22" si="1">G17*F17</f>
        <v>480000</v>
      </c>
    </row>
    <row r="18" spans="1:8" ht="16.5" thickBot="1" x14ac:dyDescent="0.3">
      <c r="A18" s="71">
        <v>3</v>
      </c>
      <c r="B18" s="72" t="s">
        <v>50</v>
      </c>
      <c r="C18" s="73"/>
      <c r="D18" s="74"/>
      <c r="E18" s="71" t="s">
        <v>37</v>
      </c>
      <c r="F18" s="75">
        <v>19800</v>
      </c>
      <c r="G18" s="71">
        <v>8</v>
      </c>
      <c r="H18" s="38">
        <f t="shared" si="1"/>
        <v>158400</v>
      </c>
    </row>
    <row r="19" spans="1:8" ht="16.5" thickBot="1" x14ac:dyDescent="0.3">
      <c r="A19" s="71">
        <v>4</v>
      </c>
      <c r="B19" s="72" t="s">
        <v>56</v>
      </c>
      <c r="C19" s="73"/>
      <c r="D19" s="74"/>
      <c r="E19" s="71" t="s">
        <v>57</v>
      </c>
      <c r="F19" s="75">
        <v>15000</v>
      </c>
      <c r="G19" s="71">
        <v>30</v>
      </c>
      <c r="H19" s="38">
        <f t="shared" si="1"/>
        <v>450000</v>
      </c>
    </row>
    <row r="20" spans="1:8" ht="16.5" thickBot="1" x14ac:dyDescent="0.3">
      <c r="A20" s="71">
        <v>5</v>
      </c>
      <c r="B20" s="72" t="s">
        <v>58</v>
      </c>
      <c r="C20" s="73"/>
      <c r="D20" s="74"/>
      <c r="E20" s="71" t="s">
        <v>37</v>
      </c>
      <c r="F20" s="75">
        <v>19000</v>
      </c>
      <c r="G20" s="71">
        <v>15</v>
      </c>
      <c r="H20" s="38">
        <f t="shared" si="1"/>
        <v>285000</v>
      </c>
    </row>
    <row r="21" spans="1:8" ht="16.5" thickBot="1" x14ac:dyDescent="0.3">
      <c r="A21" s="71">
        <v>6</v>
      </c>
      <c r="B21" s="72" t="s">
        <v>59</v>
      </c>
      <c r="C21" s="73"/>
      <c r="D21" s="74"/>
      <c r="E21" s="71" t="s">
        <v>37</v>
      </c>
      <c r="F21" s="75">
        <v>390000</v>
      </c>
      <c r="G21" s="71">
        <v>15</v>
      </c>
      <c r="H21" s="38">
        <f t="shared" si="1"/>
        <v>5850000</v>
      </c>
    </row>
    <row r="22" spans="1:8" ht="16.5" thickBot="1" x14ac:dyDescent="0.3">
      <c r="A22" s="71">
        <v>7</v>
      </c>
      <c r="B22" s="72" t="s">
        <v>60</v>
      </c>
      <c r="C22" s="73"/>
      <c r="D22" s="74"/>
      <c r="E22" s="71" t="s">
        <v>37</v>
      </c>
      <c r="F22" s="75">
        <v>98000</v>
      </c>
      <c r="G22" s="71">
        <v>15</v>
      </c>
      <c r="H22" s="38">
        <f t="shared" si="1"/>
        <v>1470000</v>
      </c>
    </row>
    <row r="23" spans="1:8" ht="19.5" customHeight="1" thickBot="1" x14ac:dyDescent="0.3">
      <c r="A23" s="76"/>
      <c r="B23" s="77"/>
      <c r="C23" s="70"/>
      <c r="D23" s="78"/>
      <c r="E23" s="49"/>
      <c r="F23" s="49"/>
      <c r="G23" s="49"/>
    </row>
    <row r="24" spans="1:8" ht="19.5" customHeight="1" thickBot="1" x14ac:dyDescent="0.35">
      <c r="A24" s="48" t="s">
        <v>23</v>
      </c>
      <c r="B24" s="14" t="s">
        <v>61</v>
      </c>
      <c r="D24" s="15"/>
      <c r="E24" s="50"/>
      <c r="F24" s="37" t="s">
        <v>29</v>
      </c>
      <c r="G24" s="6"/>
      <c r="H24" s="7"/>
    </row>
    <row r="25" spans="1:8" ht="19.5" customHeight="1" thickBot="1" x14ac:dyDescent="0.3">
      <c r="A25" s="39"/>
      <c r="B25" s="16" t="s">
        <v>62</v>
      </c>
      <c r="C25" s="4"/>
      <c r="D25" s="4"/>
      <c r="E25" s="53" t="s">
        <v>24</v>
      </c>
      <c r="F25" s="54"/>
      <c r="G25" s="44"/>
      <c r="H25" s="51">
        <f>SUM(H16:H22)</f>
        <v>11059800</v>
      </c>
    </row>
    <row r="26" spans="1:8" ht="19.5" customHeight="1" x14ac:dyDescent="0.25">
      <c r="A26" s="24" t="s">
        <v>25</v>
      </c>
      <c r="B26" s="12"/>
      <c r="C26" s="12"/>
      <c r="D26" s="12"/>
      <c r="E26" s="55" t="s">
        <v>30</v>
      </c>
      <c r="F26" s="23"/>
      <c r="G26" s="56">
        <v>0.19</v>
      </c>
      <c r="H26" s="40">
        <f>H25*G26</f>
        <v>2101362</v>
      </c>
    </row>
    <row r="27" spans="1:8" ht="19.5" customHeight="1" x14ac:dyDescent="0.25">
      <c r="A27" s="14" t="s">
        <v>46</v>
      </c>
      <c r="E27" s="57" t="s">
        <v>26</v>
      </c>
      <c r="G27" s="60">
        <v>2.5000000000000001E-2</v>
      </c>
      <c r="H27" s="52">
        <f>H25*G27</f>
        <v>276495</v>
      </c>
    </row>
    <row r="28" spans="1:8" ht="15.75" x14ac:dyDescent="0.25">
      <c r="A28" s="14" t="s">
        <v>47</v>
      </c>
      <c r="E28" s="14"/>
      <c r="F28" s="33"/>
      <c r="G28" s="45"/>
      <c r="H28" s="15"/>
    </row>
    <row r="29" spans="1:8" ht="16.5" thickBot="1" x14ac:dyDescent="0.3">
      <c r="A29" s="14" t="s">
        <v>32</v>
      </c>
      <c r="E29" s="58" t="s">
        <v>27</v>
      </c>
      <c r="F29" s="59"/>
      <c r="G29" s="46"/>
      <c r="H29" s="17"/>
    </row>
    <row r="30" spans="1:8" ht="19.5" thickBot="1" x14ac:dyDescent="0.35">
      <c r="A30" s="16"/>
      <c r="B30" s="4"/>
      <c r="C30" s="4"/>
      <c r="D30" s="17"/>
      <c r="F30" s="3"/>
      <c r="G30" s="34" t="s">
        <v>28</v>
      </c>
      <c r="H30" s="36">
        <f>H25+H26-H27</f>
        <v>12884667</v>
      </c>
    </row>
    <row r="31" spans="1:8" ht="16.5" customHeight="1" x14ac:dyDescent="0.25"/>
    <row r="36" spans="1:8" ht="15.75" thickBot="1" x14ac:dyDescent="0.3"/>
    <row r="37" spans="1:8" ht="19.5" thickBot="1" x14ac:dyDescent="0.35">
      <c r="A37" s="25" t="s">
        <v>48</v>
      </c>
      <c r="B37" s="6"/>
      <c r="C37" s="6"/>
      <c r="D37" s="6"/>
      <c r="E37" s="6"/>
      <c r="F37" s="6"/>
      <c r="G37" s="6"/>
      <c r="H37" s="7"/>
    </row>
    <row r="45" spans="1:8" ht="18.75" x14ac:dyDescent="0.3">
      <c r="A45" s="5"/>
    </row>
  </sheetData>
  <hyperlinks>
    <hyperlink ref="C10" r:id="rId1" xr:uid="{B078E709-34D5-4DD9-8EE3-544C5E414A81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UB HIDROSANIATARIO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2025-05-05T20:46:46Z</cp:lastPrinted>
  <dcterms:created xsi:type="dcterms:W3CDTF">2018-11-15T17:29:02Z</dcterms:created>
  <dcterms:modified xsi:type="dcterms:W3CDTF">2025-05-05T20:53:23Z</dcterms:modified>
</cp:coreProperties>
</file>