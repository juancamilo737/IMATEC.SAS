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38A3E05-6493-4F7C-9CDF-75F6969688C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20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2" i="2"/>
  <c r="H21" i="2"/>
  <c r="H20" i="2"/>
  <c r="H19" i="2"/>
  <c r="H18" i="2"/>
  <c r="H17" i="2"/>
  <c r="H16" i="2"/>
  <c r="H26" i="2" l="1"/>
  <c r="H30" i="2" s="1"/>
</calcChain>
</file>

<file path=xl/sharedStrings.xml><?xml version="1.0" encoding="utf-8"?>
<sst xmlns="http://schemas.openxmlformats.org/spreadsheetml/2006/main" count="66" uniqueCount="61">
  <si>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</si>
  <si>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</si>
  <si>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</si>
  <si>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</si>
  <si>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</si>
  <si>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</si>
  <si>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</si>
  <si>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</si>
  <si>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</si>
  <si>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</si>
  <si>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</si>
  <si>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</si>
  <si>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</si>
  <si>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</si>
  <si>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</si>
  <si>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</si>
  <si>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</si>
  <si>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</si>
  <si>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</si>
  <si>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</si>
  <si>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</si>
  <si>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</si>
  <si>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</si>
  <si>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</si>
  <si>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</si>
  <si>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</si>
  <si>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</si>
  <si>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</si>
  <si>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</si>
  <si>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</si>
  <si>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</si>
  <si>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</si>
  <si>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</si>
  <si>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</si>
  <si>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</si>
  <si>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</si>
  <si>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</si>
  <si>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</si>
  <si>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</si>
  <si>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</si>
  <si>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</si>
  <si>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</si>
  <si>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</si>
  <si>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</si>
  <si>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</si>
  <si>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</si>
  <si>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</si>
  <si>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</si>
  <si>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</si>
  <si>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>No.  21</t>
  </si>
  <si>
    <t xml:space="preserve">            C O T I Z A C I O N</t>
  </si>
  <si>
    <t>BRIDA  A / C SLIP ON  1 1/2 "  X  150 LB SOLDAR</t>
  </si>
  <si>
    <t>BRIDA  A / C SLIP ON  3/4 "  X  150 LB SOLDAR</t>
  </si>
  <si>
    <t>EMPAQUE FLEXITALICO 1 1/2 "  X  150 LB</t>
  </si>
  <si>
    <t>EMPAQUE FLEXITALICO  3/4  "  X  150 LB</t>
  </si>
  <si>
    <t>NIPLE  A / C SCH 40  1 1/2 "  X  4 "</t>
  </si>
  <si>
    <t>FABRICACION</t>
  </si>
  <si>
    <t>NIPLE  A / C SCH 40 3 /4   "  X  4 "</t>
  </si>
  <si>
    <t>NIPLE  A / C SCH 40   1   "  X  4 "</t>
  </si>
  <si>
    <t>SEISCIENTOS DOS MIL CIENTO CUARENTA PESOS MDA/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</si>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</sst>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42" fontId="11" fillId="0" borderId="26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3" xfId="0" applyBorder="1"/>
    <xf numFmtId="0" fontId="0" fillId="0" borderId="27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2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5"/>
  <sheetViews>
    <sheetView tabSelected="1" topLeftCell="A8" zoomScale="106" zoomScaleNormal="106" workbookViewId="0">
      <selection activeCell="E12" sqref="E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45589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45598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4">
        <v>1</v>
      </c>
      <c r="B16" s="61" t="s">
        <v>51</v>
      </c>
      <c r="C16" s="12"/>
      <c r="D16" s="13"/>
      <c r="E16" s="65" t="s">
        <v>47</v>
      </c>
      <c r="F16" s="66">
        <v>19600</v>
      </c>
      <c r="G16" s="67">
        <v>8</v>
      </c>
      <c r="H16" s="38">
        <f t="shared" ref="H16" si="0">G16*F16</f>
        <v>156800</v>
      </c>
    </row>
    <row r="17" spans="1:8" ht="15.75" thickBot="1" x14ac:dyDescent="0.3">
      <c r="A17" s="64">
        <v>2</v>
      </c>
      <c r="B17" s="61" t="s">
        <v>52</v>
      </c>
      <c r="C17" s="12"/>
      <c r="D17" s="13"/>
      <c r="E17" s="65" t="s">
        <v>47</v>
      </c>
      <c r="F17" s="66">
        <v>12100</v>
      </c>
      <c r="G17" s="67">
        <v>8</v>
      </c>
      <c r="H17" s="38">
        <f t="shared" ref="H17:H18" si="1">G17*F17</f>
        <v>96800</v>
      </c>
    </row>
    <row r="18" spans="1:8" ht="15.75" thickBot="1" x14ac:dyDescent="0.3">
      <c r="A18" s="64">
        <v>3</v>
      </c>
      <c r="B18" s="61" t="s">
        <v>53</v>
      </c>
      <c r="C18" s="12"/>
      <c r="D18" s="13"/>
      <c r="E18" s="65" t="s">
        <v>47</v>
      </c>
      <c r="F18" s="66">
        <v>3950</v>
      </c>
      <c r="G18" s="67">
        <v>4</v>
      </c>
      <c r="H18" s="38">
        <f t="shared" si="1"/>
        <v>15800</v>
      </c>
    </row>
    <row r="19" spans="1:8" ht="15.75" thickBot="1" x14ac:dyDescent="0.3">
      <c r="A19" s="64">
        <v>4</v>
      </c>
      <c r="B19" s="61" t="s">
        <v>54</v>
      </c>
      <c r="C19" s="12"/>
      <c r="D19" s="13"/>
      <c r="E19" s="65" t="s">
        <v>47</v>
      </c>
      <c r="F19" s="66">
        <v>2700</v>
      </c>
      <c r="G19" s="67">
        <v>4</v>
      </c>
      <c r="H19" s="38">
        <f t="shared" ref="H19:H21" si="2">G19*F19</f>
        <v>10800</v>
      </c>
    </row>
    <row r="20" spans="1:8" ht="15.75" thickBot="1" x14ac:dyDescent="0.3">
      <c r="A20" s="64">
        <v>5</v>
      </c>
      <c r="B20" s="61" t="s">
        <v>55</v>
      </c>
      <c r="C20" s="12"/>
      <c r="D20" s="13"/>
      <c r="E20" s="65" t="s">
        <v>56</v>
      </c>
      <c r="F20" s="66">
        <v>6550</v>
      </c>
      <c r="G20" s="67">
        <v>8</v>
      </c>
      <c r="H20" s="38">
        <f t="shared" si="2"/>
        <v>52400</v>
      </c>
    </row>
    <row r="21" spans="1:8" ht="15.75" thickBot="1" x14ac:dyDescent="0.3">
      <c r="A21" s="64">
        <v>6</v>
      </c>
      <c r="B21" s="61" t="s">
        <v>57</v>
      </c>
      <c r="C21" s="12"/>
      <c r="D21" s="13"/>
      <c r="E21" s="65" t="s">
        <v>56</v>
      </c>
      <c r="F21" s="66">
        <v>2700</v>
      </c>
      <c r="G21" s="67">
        <v>6</v>
      </c>
      <c r="H21" s="38">
        <f t="shared" si="2"/>
        <v>16200</v>
      </c>
    </row>
    <row r="22" spans="1:8" ht="15.75" thickBot="1" x14ac:dyDescent="0.3">
      <c r="A22" s="70">
        <v>7</v>
      </c>
      <c r="B22" s="68" t="s">
        <v>58</v>
      </c>
      <c r="C22" s="6"/>
      <c r="D22" s="7"/>
      <c r="E22" s="71" t="s">
        <v>56</v>
      </c>
      <c r="F22" s="72">
        <v>6550</v>
      </c>
      <c r="G22" s="73">
        <v>24</v>
      </c>
      <c r="H22" s="38">
        <f t="shared" ref="H22" si="3">G22*F22</f>
        <v>157200</v>
      </c>
    </row>
    <row r="23" spans="1:8" ht="15.75" thickBot="1" x14ac:dyDescent="0.3">
      <c r="B23" s="16"/>
      <c r="C23" s="4"/>
      <c r="D23" s="17"/>
      <c r="F23" s="69"/>
      <c r="G23" s="69"/>
    </row>
    <row r="24" spans="1:8" ht="19.5" customHeight="1" thickBot="1" x14ac:dyDescent="0.35">
      <c r="A24" s="62" t="s">
        <v>23</v>
      </c>
      <c r="B24" s="61" t="s">
        <v>59</v>
      </c>
      <c r="C24" s="12"/>
      <c r="D24" s="13"/>
      <c r="E24" s="68"/>
      <c r="F24" s="37" t="s">
        <v>29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17"/>
      <c r="E25" s="52" t="s">
        <v>24</v>
      </c>
      <c r="F25" s="52"/>
      <c r="G25" s="45"/>
      <c r="H25" s="50">
        <f>SUM(H16:H22)</f>
        <v>506000</v>
      </c>
    </row>
    <row r="26" spans="1:8" ht="19.5" customHeight="1" x14ac:dyDescent="0.25">
      <c r="A26" s="24" t="s">
        <v>25</v>
      </c>
      <c r="E26" s="53" t="s">
        <v>30</v>
      </c>
      <c r="F26" s="23"/>
      <c r="G26" s="54">
        <v>0.19</v>
      </c>
      <c r="H26" s="40">
        <f>H25*G26</f>
        <v>96140</v>
      </c>
    </row>
    <row r="27" spans="1:8" ht="19.5" customHeight="1" x14ac:dyDescent="0.25">
      <c r="A27" s="14" t="s">
        <v>48</v>
      </c>
      <c r="E27" s="55" t="s">
        <v>26</v>
      </c>
      <c r="G27" s="58">
        <v>2.5000000000000001E-2</v>
      </c>
      <c r="H27" s="51"/>
    </row>
    <row r="28" spans="1:8" ht="15.75" x14ac:dyDescent="0.25">
      <c r="A28" s="14" t="s">
        <v>46</v>
      </c>
      <c r="E28" s="14"/>
      <c r="F28" s="33"/>
      <c r="G28" s="46"/>
      <c r="H28" s="15"/>
    </row>
    <row r="29" spans="1:8" ht="16.5" thickBot="1" x14ac:dyDescent="0.3">
      <c r="A29" s="14" t="s">
        <v>33</v>
      </c>
      <c r="E29" s="56" t="s">
        <v>27</v>
      </c>
      <c r="F29" s="57"/>
      <c r="G29" s="47"/>
      <c r="H29" s="17"/>
    </row>
    <row r="30" spans="1:8" ht="19.5" thickBot="1" x14ac:dyDescent="0.35">
      <c r="A30" s="60"/>
      <c r="B30" s="4"/>
      <c r="C30" s="4"/>
      <c r="D30" s="17"/>
      <c r="F30" s="3"/>
      <c r="G30" s="34" t="s">
        <v>28</v>
      </c>
      <c r="H30" s="36">
        <f>H25+H26-H27</f>
        <v>602140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34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2024-10-24T15:20:12Z</dcterms:modified>
</cp:coreProperties>
</file>