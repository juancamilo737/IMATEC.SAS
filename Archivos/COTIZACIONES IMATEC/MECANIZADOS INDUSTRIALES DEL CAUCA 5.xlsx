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5E78CF9A-CB00-4811-B2C6-61B668B387C0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MECANIZADOS IND. DEL CAUC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7" i="1"/>
  <c r="H18" i="1"/>
  <c r="H19" i="1"/>
  <c r="H16" i="1"/>
  <c r="H23" i="1" l="1"/>
  <c r="H27" i="1" s="1"/>
</calcChain>
</file>

<file path=xl/sharedStrings.xml><?xml version="1.0" encoding="utf-8"?>
<sst xmlns="http://schemas.openxmlformats.org/spreadsheetml/2006/main" count="60" uniqueCount="58">
  <si>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</si>
  <si>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</si>
  <si>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</si>
  <si>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</si>
  <si>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</si>
  <si>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</si>
  <si>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</si>
  <si>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</si>
  <si>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</si>
  <si>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</si>
  <si>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</si>
  <si>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</si>
  <si>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</si>
  <si>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</si>
  <si>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</si>
  <si>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</si>
  <si>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</si>
  <si>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</si>
  <si>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</si>
  <si>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</si>
  <si>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</si>
  <si>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</si>
  <si>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</si>
  <si>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</si>
  <si>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</si>
  <si>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</si>
  <si>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</si>
  <si>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</si>
  <si>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</si>
  <si>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</si>
  <si>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</si>
  <si>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</si>
  <si>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</si>
  <si>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</si>
  <si>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</si>
  <si>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</si>
  <si>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</si>
  <si>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</si>
  <si>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</si>
  <si>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MECANIZADOS INDUSTRIALES DEL CAUCA S.A.S.</t>
  </si>
  <si>
    <t>900 307 214</t>
  </si>
  <si>
    <t>CRA 26  No. 10-33</t>
  </si>
  <si>
    <t>PUERTO TEJADA</t>
  </si>
  <si>
    <t>mindustrialesdelcauca@gmail.com</t>
  </si>
  <si>
    <t>301 3381561</t>
  </si>
  <si>
    <t>LUIS A. BENAVIDES</t>
  </si>
  <si>
    <t>FABRICACION</t>
  </si>
  <si>
    <t>L I Q U I D A C I O N</t>
  </si>
  <si>
    <t xml:space="preserve">  CALLE  33A  No. 17F - 56                                        B/  LA FLORESTA             -   CALI    -                     CEL.     321 7834969</t>
  </si>
  <si>
    <t xml:space="preserve">              R E M I S I O N</t>
  </si>
  <si>
    <t>No. 5</t>
  </si>
  <si>
    <t>TEE AC/INOX 304  1 1/2 "  X 150 LBS</t>
  </si>
  <si>
    <t>ACCESORIO</t>
  </si>
  <si>
    <t>CODO  AC/INOX 304   1 1/2 "  X 90 º  X  150  LBS</t>
  </si>
  <si>
    <t>VALVULA DE BOLA AC/INOX 316  1 1/2 "  X  1000 LB</t>
  </si>
  <si>
    <t>NIPLE AC/INOX  304  1 1/2 "  X  4 "</t>
  </si>
  <si>
    <t>CUATROCIENTOS TREINTA Y CINCO MIL QUINIENTOS</t>
  </si>
  <si>
    <t>CUARENTA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</si>
</sst>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" fillId="0" borderId="15" xfId="0" applyFont="1" applyBorder="1" applyAlignment="1">
      <alignment horizontal="center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0" fillId="0" borderId="13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30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6" xfId="0" applyBorder="1"/>
    <xf numFmtId="0" fontId="0" fillId="0" borderId="37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ndustrialesdelcauc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10" zoomScaleNormal="100" workbookViewId="0">
      <selection activeCell="I17" sqref="I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3"/>
      <c r="H6" s="44"/>
    </row>
    <row r="7" spans="1:8" ht="19.5" thickBot="1" x14ac:dyDescent="0.35">
      <c r="A7" s="20" t="s">
        <v>14</v>
      </c>
      <c r="B7" s="12"/>
      <c r="C7" s="45" t="s">
        <v>39</v>
      </c>
      <c r="D7" s="6"/>
      <c r="E7" s="7"/>
      <c r="F7" s="37"/>
      <c r="G7" s="18"/>
      <c r="H7" s="19" t="s">
        <v>50</v>
      </c>
    </row>
    <row r="8" spans="1:8" ht="18.75" x14ac:dyDescent="0.3">
      <c r="A8" s="21" t="s">
        <v>8</v>
      </c>
      <c r="C8" s="63" t="s">
        <v>40</v>
      </c>
      <c r="D8" s="42"/>
      <c r="E8" s="64"/>
      <c r="H8" s="15"/>
    </row>
    <row r="9" spans="1:8" ht="18.75" customHeight="1" x14ac:dyDescent="0.3">
      <c r="A9" s="21" t="s">
        <v>9</v>
      </c>
      <c r="C9" s="65" t="s">
        <v>41</v>
      </c>
      <c r="D9" s="23"/>
      <c r="E9" s="66" t="s">
        <v>42</v>
      </c>
      <c r="F9" s="30" t="s">
        <v>0</v>
      </c>
      <c r="H9" s="28">
        <v>45700</v>
      </c>
    </row>
    <row r="10" spans="1:8" ht="18.75" x14ac:dyDescent="0.3">
      <c r="A10" s="21" t="s">
        <v>13</v>
      </c>
      <c r="C10" s="67" t="s">
        <v>43</v>
      </c>
      <c r="D10" s="62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68"/>
      <c r="D11" s="62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68" t="s">
        <v>44</v>
      </c>
      <c r="D12" s="62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9" t="s">
        <v>45</v>
      </c>
      <c r="D13" s="70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1">
        <v>1</v>
      </c>
      <c r="B16" s="72" t="s">
        <v>51</v>
      </c>
      <c r="C16" s="73"/>
      <c r="D16" s="74"/>
      <c r="E16" s="71" t="s">
        <v>52</v>
      </c>
      <c r="F16" s="75">
        <v>24000</v>
      </c>
      <c r="G16" s="71">
        <v>1</v>
      </c>
      <c r="H16" s="38">
        <f t="shared" ref="H16:H19" si="0">G16*F16</f>
        <v>24000</v>
      </c>
    </row>
    <row r="17" spans="1:8" ht="16.5" thickBot="1" x14ac:dyDescent="0.3">
      <c r="A17" s="76">
        <v>2</v>
      </c>
      <c r="B17" s="72" t="s">
        <v>53</v>
      </c>
      <c r="C17" s="77"/>
      <c r="D17" s="78"/>
      <c r="E17" s="71" t="s">
        <v>52</v>
      </c>
      <c r="F17" s="75">
        <v>19000</v>
      </c>
      <c r="G17" s="71">
        <v>2</v>
      </c>
      <c r="H17" s="38">
        <f t="shared" si="0"/>
        <v>38000</v>
      </c>
    </row>
    <row r="18" spans="1:8" ht="16.5" thickBot="1" x14ac:dyDescent="0.3">
      <c r="A18" s="76">
        <v>3</v>
      </c>
      <c r="B18" s="72" t="s">
        <v>54</v>
      </c>
      <c r="C18" s="77"/>
      <c r="D18" s="78"/>
      <c r="E18" s="71" t="s">
        <v>52</v>
      </c>
      <c r="F18" s="75">
        <v>112000</v>
      </c>
      <c r="G18" s="71">
        <v>2</v>
      </c>
      <c r="H18" s="38">
        <f t="shared" si="0"/>
        <v>224000</v>
      </c>
    </row>
    <row r="19" spans="1:8" ht="16.5" thickBot="1" x14ac:dyDescent="0.3">
      <c r="A19" s="76">
        <v>4</v>
      </c>
      <c r="B19" s="72" t="s">
        <v>55</v>
      </c>
      <c r="C19" s="77"/>
      <c r="D19" s="78"/>
      <c r="E19" s="71" t="s">
        <v>46</v>
      </c>
      <c r="F19" s="75">
        <v>20000</v>
      </c>
      <c r="G19" s="71">
        <v>4</v>
      </c>
      <c r="H19" s="38">
        <f t="shared" si="0"/>
        <v>80000</v>
      </c>
    </row>
    <row r="20" spans="1:8" ht="19.5" customHeight="1" thickBot="1" x14ac:dyDescent="0.3">
      <c r="A20" s="50"/>
      <c r="B20" s="80"/>
      <c r="D20" s="81"/>
      <c r="E20" s="50"/>
      <c r="F20" s="50"/>
      <c r="G20" s="50"/>
    </row>
    <row r="21" spans="1:8" ht="19.5" customHeight="1" thickBot="1" x14ac:dyDescent="0.35">
      <c r="A21" s="79" t="s">
        <v>23</v>
      </c>
      <c r="B21" s="82" t="s">
        <v>56</v>
      </c>
      <c r="C21" s="12"/>
      <c r="D21" s="13"/>
      <c r="E21" s="51"/>
      <c r="F21" s="37" t="s">
        <v>47</v>
      </c>
      <c r="G21" s="6"/>
      <c r="H21" s="7"/>
    </row>
    <row r="22" spans="1:8" ht="19.5" customHeight="1" thickBot="1" x14ac:dyDescent="0.3">
      <c r="A22" s="39"/>
      <c r="B22" s="16" t="s">
        <v>57</v>
      </c>
      <c r="C22" s="4"/>
      <c r="D22" s="17"/>
      <c r="E22" s="54" t="s">
        <v>24</v>
      </c>
      <c r="F22" s="55"/>
      <c r="G22" s="46"/>
      <c r="H22" s="52">
        <f>SUM(H16:H19)</f>
        <v>366000</v>
      </c>
    </row>
    <row r="23" spans="1:8" ht="19.5" customHeight="1" x14ac:dyDescent="0.25">
      <c r="A23" s="24" t="s">
        <v>25</v>
      </c>
      <c r="B23" s="12"/>
      <c r="C23" s="12"/>
      <c r="D23" s="12"/>
      <c r="E23" s="56" t="s">
        <v>29</v>
      </c>
      <c r="F23" s="23"/>
      <c r="G23" s="57">
        <v>0.19</v>
      </c>
      <c r="H23" s="40">
        <f>H22*G23</f>
        <v>69540</v>
      </c>
    </row>
    <row r="24" spans="1:8" ht="19.5" customHeight="1" x14ac:dyDescent="0.25">
      <c r="A24" s="14" t="s">
        <v>30</v>
      </c>
      <c r="E24" s="58" t="s">
        <v>26</v>
      </c>
      <c r="G24" s="61">
        <v>2.5000000000000001E-2</v>
      </c>
      <c r="H24" s="53"/>
    </row>
    <row r="25" spans="1:8" ht="15.75" x14ac:dyDescent="0.25">
      <c r="A25" s="14" t="s">
        <v>36</v>
      </c>
      <c r="E25" s="14"/>
      <c r="F25" s="33"/>
      <c r="G25" s="47"/>
      <c r="H25" s="15"/>
    </row>
    <row r="26" spans="1:8" ht="16.5" thickBot="1" x14ac:dyDescent="0.3">
      <c r="A26" s="14" t="s">
        <v>33</v>
      </c>
      <c r="E26" s="59" t="s">
        <v>27</v>
      </c>
      <c r="F26" s="60"/>
      <c r="G26" s="48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</f>
        <v>435540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48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E7E80C97-3F95-47A1-A1A9-3F6BD3A3DF84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MECANIZADOS IND. DEL CAUCA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2025-02-12T16:36:02Z</dcterms:modified>
</cp:coreProperties>
</file>