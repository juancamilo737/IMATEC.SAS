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/>
  <mc:AlternateContent xmlns:mc="http://schemas.openxmlformats.org/markup-compatibility/2006">
    <mc:Choice Requires="x15">
      <x15ac:absPath xmlns:x15ac="http://schemas.microsoft.com/office/spreadsheetml/2010/11/ac" url="E:\USB PLATEADA\PLANTILLA PARA COTIZACIONES\COTIZACIONES  I M A T E C  COMERCIALIZADORA\"/>
    </mc:Choice>
  </mc:AlternateContent>
  <xr:revisionPtr revIDLastSave="0" documentId="13_ncr:1_{E94A68D1-CC96-4228-88B6-4BBBB42A8471}" xr6:coauthVersionLast="47" xr6:coauthVersionMax="47" xr10:uidLastSave="{00000000-0000-0000-0000-000000000000}"/>
  <bookViews>
    <workbookView xWindow="-120" yWindow="-120" windowWidth="15600" windowHeight="11160" xr2:uid="{00000000-000D-0000-FFFF-FFFF00000000}"/>
  </bookViews>
  <sheets>
    <sheet name="CH-OB INGENIERIA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7" i="1" l="1"/>
  <c r="H20" i="1"/>
  <c r="H21" i="1"/>
  <c r="H25" i="1" s="1"/>
</calcChain>
</file>

<file path=xl/sharedStrings.xml><?xml version="1.0" encoding="utf-8"?>
<sst xmlns="http://schemas.openxmlformats.org/spreadsheetml/2006/main" count="54" uniqueCount="54">
  <si>
    <t>FECHA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</si>
  <si>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</si>
  <si>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</si>
  <si>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</si>
  <si>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</si>
  <si>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</si>
  <si>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</si>
  <si>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</si>
  <si>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</si>
  <si>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</si>
  <si>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</si>
  <si>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</si>
  <si>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</si>
  <si>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</si>
  <si>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</si>
  <si>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</si>
  <si>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</si>
  <si>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ORDEN No.</t>
  </si>
  <si>
    <t xml:space="preserve">             INGENIERIA , MONTAJES  Y  ASISTENCIA  TECNICA  S A S</t>
  </si>
  <si>
    <t>CODIGO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</si>
  <si>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</si>
  <si>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</si>
  <si>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</si>
  <si>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</si>
  <si>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</si>
  <si>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</si>
  <si>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</si>
  <si>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</si>
  <si>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</si>
  <si>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</si>
  <si>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</si>
  <si>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L I Q U I D A C  I O N</t>
  </si>
  <si>
    <t>LINEA COMERCIALIZACION</t>
  </si>
  <si>
    <t>IVA</t>
  </si>
  <si>
    <t>FORMA DE PAGO : CONTADO</t>
  </si>
  <si>
    <t>10 DIAS</t>
  </si>
  <si>
    <t xml:space="preserve">                                   JAVIER LOZANO TAMAYO C.C. 16´654.252</t>
  </si>
  <si>
    <t>ENTREGA EN LA CIUDAD DE CALI</t>
  </si>
  <si>
    <t xml:space="preserve">  CALLE  33B  No. 17C - 70  2o. PISO               B/  LA FLORESTA             -   CALI    -                                   CEL.     321 7834969</t>
  </si>
  <si>
    <t>CONTACTOS   310 8306118    319 7174165    321 7834969</t>
  </si>
  <si>
    <t>ENTREGA INMEDIATA</t>
  </si>
  <si>
    <t>CH-OB INGENIERIA METALMECANICA SAS</t>
  </si>
  <si>
    <t>900 996438</t>
  </si>
  <si>
    <t>CRA 5  No. 33-06</t>
  </si>
  <si>
    <t>CALI</t>
  </si>
  <si>
    <t>financiero@chobingenieria.com</t>
  </si>
  <si>
    <t>320 6950230</t>
  </si>
  <si>
    <t>EDINSON CABEZAS</t>
  </si>
  <si>
    <t xml:space="preserve">              R E M I S I O N</t>
  </si>
  <si>
    <t>No. 6</t>
  </si>
  <si>
    <t>TUBERIA  HR  CUADRADA 3/4 " CAL 18  X  6 MTS</t>
  </si>
  <si>
    <t xml:space="preserve">TUBO </t>
  </si>
  <si>
    <t xml:space="preserve">OCHENTA Y SEIS MIL OCHOCIENTOS SETENTA PESOS </t>
  </si>
  <si>
    <t>MDA / CTE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</si>
</sst>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3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</cellStyleXfs>
  <cellXfs count="66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5" xfId="0" applyBorder="1"/>
    <xf numFmtId="0" fontId="0" fillId="0" borderId="14" xfId="0" applyBorder="1"/>
    <xf numFmtId="0" fontId="0" fillId="0" borderId="13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0" fontId="4" fillId="0" borderId="6" xfId="0" applyFont="1" applyBorder="1"/>
    <xf numFmtId="0" fontId="10" fillId="0" borderId="9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11" fillId="0" borderId="0" xfId="0" applyFont="1"/>
    <xf numFmtId="0" fontId="0" fillId="0" borderId="16" xfId="0" applyBorder="1"/>
    <xf numFmtId="0" fontId="5" fillId="0" borderId="7" xfId="0" applyFont="1" applyBorder="1"/>
    <xf numFmtId="0" fontId="4" fillId="0" borderId="14" xfId="0" applyFont="1" applyBorder="1"/>
    <xf numFmtId="0" fontId="4" fillId="0" borderId="13" xfId="0" applyFont="1" applyBorder="1"/>
    <xf numFmtId="0" fontId="5" fillId="0" borderId="18" xfId="0" applyFont="1" applyBorder="1"/>
    <xf numFmtId="9" fontId="1" fillId="0" borderId="14" xfId="0" applyNumberFormat="1" applyFont="1" applyBorder="1"/>
    <xf numFmtId="42" fontId="1" fillId="0" borderId="19" xfId="0" applyNumberFormat="1" applyFont="1" applyBorder="1"/>
    <xf numFmtId="0" fontId="0" fillId="0" borderId="19" xfId="0" applyBorder="1"/>
    <xf numFmtId="0" fontId="0" fillId="0" borderId="18" xfId="0" applyBorder="1"/>
    <xf numFmtId="0" fontId="12" fillId="0" borderId="0" xfId="0" applyFont="1" applyAlignment="1">
      <alignment horizontal="center"/>
    </xf>
    <xf numFmtId="0" fontId="13" fillId="0" borderId="14" xfId="2" applyBorder="1"/>
    <xf numFmtId="42" fontId="1" fillId="0" borderId="17" xfId="0" applyNumberFormat="1" applyFont="1" applyBorder="1" applyAlignment="1">
      <alignment horizontal="left"/>
    </xf>
    <xf numFmtId="42" fontId="1" fillId="0" borderId="19" xfId="1" applyFont="1" applyBorder="1" applyAlignment="1">
      <alignment horizontal="left"/>
    </xf>
    <xf numFmtId="42" fontId="1" fillId="0" borderId="1" xfId="0" applyNumberFormat="1" applyFont="1" applyBorder="1" applyAlignment="1">
      <alignment horizontal="left"/>
    </xf>
    <xf numFmtId="0" fontId="1" fillId="0" borderId="3" xfId="0" applyFont="1" applyBorder="1"/>
    <xf numFmtId="0" fontId="5" fillId="0" borderId="4" xfId="0" applyFont="1" applyBorder="1"/>
    <xf numFmtId="0" fontId="1" fillId="0" borderId="18" xfId="0" applyFont="1" applyBorder="1" applyAlignment="1">
      <alignment horizontal="left" vertical="top" wrapText="1"/>
    </xf>
    <xf numFmtId="0" fontId="8" fillId="0" borderId="0" xfId="0" applyFont="1"/>
    <xf numFmtId="0" fontId="1" fillId="0" borderId="19" xfId="0" applyFont="1" applyBorder="1" applyAlignment="1">
      <alignment horizontal="left" vertical="top" wrapText="1"/>
    </xf>
    <xf numFmtId="0" fontId="1" fillId="0" borderId="20" xfId="0" applyFont="1" applyBorder="1" applyAlignment="1">
      <alignment horizontal="center"/>
    </xf>
    <xf numFmtId="0" fontId="0" fillId="0" borderId="21" xfId="0" applyBorder="1"/>
    <xf numFmtId="0" fontId="0" fillId="0" borderId="22" xfId="0" applyBorder="1"/>
    <xf numFmtId="0" fontId="1" fillId="0" borderId="21" xfId="0" applyFont="1" applyBorder="1" applyAlignment="1">
      <alignment horizontal="center"/>
    </xf>
    <xf numFmtId="42" fontId="11" fillId="0" borderId="22" xfId="1" applyFont="1" applyBorder="1" applyAlignment="1">
      <alignment horizontal="center"/>
    </xf>
    <xf numFmtId="0" fontId="1" fillId="0" borderId="22" xfId="0" applyFont="1" applyBorder="1" applyAlignment="1">
      <alignment horizontal="center"/>
    </xf>
    <xf numFmtId="42" fontId="1" fillId="0" borderId="23" xfId="1" applyFont="1" applyBorder="1" applyAlignment="1">
      <alignment horizontal="left"/>
    </xf>
    <xf numFmtId="0" fontId="0" fillId="0" borderId="1" xfId="0" applyBorder="1" applyAlignment="1">
      <alignment horizontal="center"/>
    </xf>
  </cellXfs>
  <cellStyles count="3">
    <cellStyle name="Hipervínculo" xfId="2" builtinId="8"/>
    <cellStyle name="Moneda [0]" xfId="1" builtinId="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2</xdr:col>
      <xdr:colOff>9525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9525"/>
          <a:ext cx="2190750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financiero@chobingenieria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J63"/>
  <sheetViews>
    <sheetView tabSelected="1" zoomScaleNormal="100" workbookViewId="0">
      <selection activeCell="I5" sqref="I5"/>
    </sheetView>
  </sheetViews>
  <sheetFormatPr baseColWidth="10" defaultRowHeight="15" x14ac:dyDescent="0.25"/>
  <cols>
    <col min="1" max="1" width="15.5703125" customWidth="1"/>
    <col min="2" max="2" width="17.140625" customWidth="1"/>
    <col min="3" max="3" width="15.7109375" customWidth="1"/>
    <col min="4" max="4" width="16.42578125" customWidth="1"/>
    <col min="5" max="8" width="15.7109375" customWidth="1"/>
  </cols>
  <sheetData>
    <row r="1" spans="1:8" ht="90.75" customHeight="1" thickBot="1" x14ac:dyDescent="1.4">
      <c r="A1" s="1"/>
      <c r="C1" s="8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10" t="s">
        <v>6</v>
      </c>
    </row>
    <row r="2" spans="1:8" ht="20.25" customHeight="1" thickBot="1" x14ac:dyDescent="0.4">
      <c r="D2" s="2"/>
      <c r="E2" s="48" t="s">
        <v>32</v>
      </c>
    </row>
    <row r="3" spans="1:8" ht="27" thickBot="1" x14ac:dyDescent="0.45">
      <c r="A3" s="11" t="s">
        <v>18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29" t="s">
        <v>7</v>
      </c>
      <c r="B4" s="6"/>
      <c r="C4" s="6"/>
      <c r="D4" s="30" t="s">
        <v>36</v>
      </c>
      <c r="E4" s="19"/>
      <c r="F4" s="20"/>
      <c r="G4" s="6"/>
      <c r="H4" s="7"/>
    </row>
    <row r="5" spans="1:8" ht="19.5" thickBot="1" x14ac:dyDescent="0.35">
      <c r="A5" s="54" t="s">
        <v>39</v>
      </c>
      <c r="B5" s="6"/>
      <c r="C5" s="6"/>
      <c r="D5" s="6"/>
      <c r="E5" s="6"/>
    </row>
    <row r="6" spans="1:8" ht="24.75" customHeight="1" thickBot="1" x14ac:dyDescent="0.45">
      <c r="F6" s="11" t="s">
        <v>48</v>
      </c>
      <c r="G6" s="19"/>
      <c r="H6" s="20"/>
    </row>
    <row r="7" spans="1:8" ht="19.5" thickBot="1" x14ac:dyDescent="0.35">
      <c r="A7" s="21" t="s">
        <v>14</v>
      </c>
      <c r="B7" s="13"/>
      <c r="C7" s="31" t="s">
        <v>41</v>
      </c>
      <c r="D7" s="13"/>
      <c r="E7" s="14"/>
      <c r="F7" s="28"/>
      <c r="G7" s="19"/>
      <c r="H7" s="20" t="s">
        <v>49</v>
      </c>
    </row>
    <row r="8" spans="1:8" ht="18.75" x14ac:dyDescent="0.3">
      <c r="A8" s="22" t="s">
        <v>8</v>
      </c>
      <c r="C8" s="25" t="s">
        <v>42</v>
      </c>
      <c r="D8" s="26"/>
      <c r="E8" s="26"/>
      <c r="F8" s="12"/>
      <c r="G8" s="13"/>
      <c r="H8" s="14"/>
    </row>
    <row r="9" spans="1:8" ht="18.75" customHeight="1" x14ac:dyDescent="0.3">
      <c r="A9" s="22" t="s">
        <v>9</v>
      </c>
      <c r="C9" s="24" t="s">
        <v>43</v>
      </c>
      <c r="D9" s="24"/>
      <c r="E9" s="25" t="s">
        <v>44</v>
      </c>
      <c r="F9" s="32" t="s">
        <v>0</v>
      </c>
      <c r="H9" s="33">
        <v>45588</v>
      </c>
    </row>
    <row r="10" spans="1:8" ht="18.75" x14ac:dyDescent="0.3">
      <c r="A10" s="22" t="s">
        <v>13</v>
      </c>
      <c r="C10" s="49" t="s">
        <v>45</v>
      </c>
      <c r="D10" s="26"/>
      <c r="E10" s="26"/>
      <c r="F10" s="32" t="s">
        <v>15</v>
      </c>
      <c r="H10" s="34" t="s">
        <v>35</v>
      </c>
    </row>
    <row r="11" spans="1:8" ht="18.75" x14ac:dyDescent="0.3">
      <c r="A11" s="22" t="s">
        <v>10</v>
      </c>
      <c r="C11" s="25"/>
      <c r="D11" s="26"/>
      <c r="E11" s="26"/>
      <c r="F11" s="32" t="s">
        <v>16</v>
      </c>
      <c r="G11" s="35"/>
      <c r="H11" s="33">
        <v>45597</v>
      </c>
    </row>
    <row r="12" spans="1:8" ht="18.75" x14ac:dyDescent="0.3">
      <c r="A12" s="22" t="s">
        <v>11</v>
      </c>
      <c r="C12" s="25" t="s">
        <v>46</v>
      </c>
      <c r="D12" s="26"/>
      <c r="E12" s="26"/>
      <c r="F12" s="32" t="s">
        <v>17</v>
      </c>
      <c r="H12" s="36"/>
    </row>
    <row r="13" spans="1:8" ht="18.75" customHeight="1" thickBot="1" x14ac:dyDescent="0.35">
      <c r="A13" s="23" t="s">
        <v>12</v>
      </c>
      <c r="B13" s="4"/>
      <c r="C13" s="25" t="s">
        <v>47</v>
      </c>
      <c r="D13" s="26"/>
      <c r="E13" s="26"/>
      <c r="F13" s="17"/>
      <c r="G13" s="4"/>
      <c r="H13" s="18"/>
    </row>
    <row r="15" spans="1:8" ht="15.75" thickBot="1" x14ac:dyDescent="0.3"/>
    <row r="16" spans="1:8" ht="15.75" thickBot="1" x14ac:dyDescent="0.3">
      <c r="A16" s="65" t="s">
        <v>19</v>
      </c>
      <c r="B16" s="53" t="s">
        <v>24</v>
      </c>
      <c r="C16" s="19"/>
      <c r="D16" s="7"/>
      <c r="E16" s="37" t="s">
        <v>20</v>
      </c>
      <c r="F16" s="37" t="s">
        <v>22</v>
      </c>
      <c r="G16" s="37" t="s">
        <v>21</v>
      </c>
      <c r="H16" s="37" t="s">
        <v>23</v>
      </c>
    </row>
    <row r="17" spans="1:10" x14ac:dyDescent="0.25">
      <c r="A17" s="58">
        <v>1</v>
      </c>
      <c r="B17" s="59" t="s">
        <v>50</v>
      </c>
      <c r="C17" s="60"/>
      <c r="D17" s="60"/>
      <c r="E17" s="61" t="s">
        <v>51</v>
      </c>
      <c r="F17" s="62">
        <v>36500</v>
      </c>
      <c r="G17" s="63">
        <v>2</v>
      </c>
      <c r="H17" s="64">
        <f t="shared" ref="H17" si="0">G17*F17</f>
        <v>73000</v>
      </c>
    </row>
    <row r="18" spans="1:10" ht="16.5" thickBot="1" x14ac:dyDescent="0.3">
      <c r="A18" s="58"/>
      <c r="B18" s="56"/>
      <c r="D18" s="39"/>
    </row>
    <row r="19" spans="1:10" ht="19.5" thickBot="1" x14ac:dyDescent="0.35">
      <c r="A19" s="57" t="s">
        <v>25</v>
      </c>
      <c r="B19" s="12" t="s">
        <v>52</v>
      </c>
      <c r="C19" s="13"/>
      <c r="D19" s="14"/>
      <c r="E19" s="13"/>
      <c r="F19" s="40" t="s">
        <v>31</v>
      </c>
      <c r="G19" s="13"/>
      <c r="H19" s="7"/>
    </row>
    <row r="20" spans="1:10" ht="16.5" thickBot="1" x14ac:dyDescent="0.3">
      <c r="A20" s="55"/>
      <c r="B20" s="17" t="s">
        <v>53</v>
      </c>
      <c r="C20" s="4"/>
      <c r="D20" s="4"/>
      <c r="E20" s="41" t="s">
        <v>26</v>
      </c>
      <c r="F20" s="42"/>
      <c r="G20" s="26"/>
      <c r="H20" s="50">
        <f>SUM(H17:H17)</f>
        <v>73000</v>
      </c>
    </row>
    <row r="21" spans="1:10" ht="15.75" x14ac:dyDescent="0.25">
      <c r="A21" s="27" t="s">
        <v>27</v>
      </c>
      <c r="B21" s="13"/>
      <c r="C21" s="13"/>
      <c r="D21" s="14"/>
      <c r="E21" s="3" t="s">
        <v>33</v>
      </c>
      <c r="G21" s="44">
        <v>0.19</v>
      </c>
      <c r="H21" s="51">
        <f>H20*G21</f>
        <v>13870</v>
      </c>
    </row>
    <row r="22" spans="1:10" ht="15.75" x14ac:dyDescent="0.25">
      <c r="A22" s="15" t="s">
        <v>34</v>
      </c>
      <c r="D22" s="16"/>
      <c r="E22" s="42" t="s">
        <v>28</v>
      </c>
      <c r="G22">
        <v>0</v>
      </c>
      <c r="H22" s="45"/>
    </row>
    <row r="23" spans="1:10" ht="15.75" x14ac:dyDescent="0.25">
      <c r="A23" s="15" t="s">
        <v>40</v>
      </c>
      <c r="D23" s="16"/>
      <c r="F23" s="42"/>
      <c r="G23" s="26"/>
      <c r="H23" s="46"/>
    </row>
    <row r="24" spans="1:10" ht="16.5" thickBot="1" x14ac:dyDescent="0.3">
      <c r="A24" s="15" t="s">
        <v>37</v>
      </c>
      <c r="D24" s="16"/>
      <c r="E24" s="42" t="s">
        <v>29</v>
      </c>
      <c r="F24" s="42"/>
      <c r="G24" s="26"/>
      <c r="H24" s="47"/>
    </row>
    <row r="25" spans="1:10" ht="19.5" thickBot="1" x14ac:dyDescent="0.35">
      <c r="A25" s="17"/>
      <c r="B25" s="4"/>
      <c r="C25" s="4"/>
      <c r="D25" s="18"/>
      <c r="F25" s="3"/>
      <c r="G25" s="43" t="s">
        <v>30</v>
      </c>
      <c r="H25" s="52">
        <f>H20+H21</f>
        <v>86870</v>
      </c>
    </row>
    <row r="29" spans="1:10" ht="19.5" customHeight="1" x14ac:dyDescent="0.25">
      <c r="I29" s="38"/>
      <c r="J29" s="38"/>
    </row>
    <row r="30" spans="1:10" ht="19.5" customHeight="1" x14ac:dyDescent="0.25"/>
    <row r="31" spans="1:10" ht="19.5" customHeight="1" x14ac:dyDescent="0.25"/>
    <row r="32" spans="1:10" ht="19.5" customHeight="1" x14ac:dyDescent="0.25"/>
    <row r="33" ht="19.5" customHeight="1" x14ac:dyDescent="0.25"/>
    <row r="34" ht="19.5" customHeight="1" x14ac:dyDescent="0.25"/>
    <row r="35" ht="19.5" customHeight="1" x14ac:dyDescent="0.25"/>
    <row r="36" ht="19.5" customHeight="1" x14ac:dyDescent="0.25"/>
    <row r="37" ht="19.5" customHeight="1" x14ac:dyDescent="0.25"/>
    <row r="38" ht="19.5" customHeight="1" x14ac:dyDescent="0.25"/>
    <row r="39" ht="19.5" customHeight="1" x14ac:dyDescent="0.25"/>
    <row r="40" ht="19.5" customHeight="1" x14ac:dyDescent="0.25"/>
    <row r="41" ht="19.5" customHeight="1" x14ac:dyDescent="0.25"/>
    <row r="42" ht="19.5" customHeight="1" x14ac:dyDescent="0.25"/>
    <row r="43" ht="19.5" customHeight="1" x14ac:dyDescent="0.25"/>
    <row r="44" ht="19.5" customHeight="1" x14ac:dyDescent="0.25"/>
    <row r="45" ht="19.5" customHeight="1" x14ac:dyDescent="0.25"/>
    <row r="49" spans="1:8" ht="16.5" customHeight="1" x14ac:dyDescent="0.25"/>
    <row r="54" spans="1:8" ht="15.75" thickBot="1" x14ac:dyDescent="0.3"/>
    <row r="55" spans="1:8" ht="19.5" thickBot="1" x14ac:dyDescent="0.35">
      <c r="A55" s="28" t="s">
        <v>38</v>
      </c>
      <c r="B55" s="6"/>
      <c r="C55" s="6"/>
      <c r="D55" s="6"/>
      <c r="E55" s="6"/>
      <c r="F55" s="6"/>
      <c r="G55" s="6"/>
      <c r="H55" s="7"/>
    </row>
    <row r="63" spans="1:8" ht="18.75" x14ac:dyDescent="0.3">
      <c r="A63" s="5"/>
    </row>
  </sheetData>
  <hyperlinks>
    <hyperlink ref="C10" r:id="rId1" xr:uid="{07822929-D5BC-4F55-9D94-D7FDBA20A4A7}"/>
  </hyperlinks>
  <printOptions horizontalCentered="1"/>
  <pageMargins left="0.47244094488188981" right="0.31496062992125984" top="0.31496062992125984" bottom="0.39370078740157483" header="0.31496062992125984" footer="0.31496062992125984"/>
  <pageSetup scale="71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CH-OB INGENIERIA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2024-10-23T17:13:03Z</cp:lastPrinted>
  <dcterms:created xsi:type="dcterms:W3CDTF">2018-11-15T17:29:02Z</dcterms:created>
  <dcterms:modified xsi:type="dcterms:W3CDTF">2024-10-23T17:23:11Z</dcterms:modified>
</cp:coreProperties>
</file>