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99CED438-2D7F-4FF8-B2DB-388C672E8509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U 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18" i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<sst xmlns="http://schemas.openxmlformats.org/spreadsheetml/2006/main" count="57" uniqueCount="55">
  <si>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</si>
  <si>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</si>
  <si>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</si>
  <si>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</si>
  <si>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</si>
  <si>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</si>
  <si>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</si>
  <si>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</si>
  <si>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</si>
  <si>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</si>
  <si>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</si>
  <si>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</si>
  <si>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</si>
  <si>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</si>
  <si>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</si>
  <si>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</si>
  <si>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</si>
  <si>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</si>
  <si>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</si>
  <si>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</si>
  <si>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</si>
  <si>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</si>
  <si>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</si>
  <si>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</si>
  <si>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</si>
  <si>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</si>
  <si>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</si>
  <si>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</si>
  <si>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</si>
  <si>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</si>
  <si>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</si>
  <si>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</si>
  <si>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</si>
  <si>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</si>
  <si>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</si>
  <si>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</si>
  <si>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</si>
  <si>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</si>
  <si>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</si>
  <si>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FERRETERIA SUPROVEEDOR S.A.S.</t>
  </si>
  <si>
    <t>900 262123</t>
  </si>
  <si>
    <t>CRA 1 Nte  No. 50-224</t>
  </si>
  <si>
    <t>CALI</t>
  </si>
  <si>
    <t>ferresuproveedor@gmail.com</t>
  </si>
  <si>
    <t>602 5247788</t>
  </si>
  <si>
    <t>LUIS BENAVIDES</t>
  </si>
  <si>
    <t>FORMA DE PAGO : CREDITO A 30 DIAS</t>
  </si>
  <si>
    <t>ACCESORIO</t>
  </si>
  <si>
    <t>No. 9</t>
  </si>
  <si>
    <t>VALVULA COMPUERTA ELASTICA HD 6 " EXTREMO</t>
  </si>
  <si>
    <t>LISO CON DADO</t>
  </si>
  <si>
    <t>VALVULA COMPUERTA ELASTICA HD 4 " EXTREMO</t>
  </si>
  <si>
    <t>TRES MILLONES SETECIENTOS SETENTA Y CUATRO MIL</t>
  </si>
  <si>
    <t>SEISCIENTOS PESOS MDA / CTE</t>
  </si>
  <si>
    <t>ENTREGA EN OCHO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</si>
</sst>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9" xfId="0" applyBorder="1"/>
    <xf numFmtId="0" fontId="0" fillId="0" borderId="20" xfId="0" applyBorder="1"/>
    <xf numFmtId="0" fontId="0" fillId="0" borderId="28" xfId="0" applyBorder="1"/>
    <xf numFmtId="0" fontId="0" fillId="0" borderId="22" xfId="0" applyBorder="1"/>
    <xf numFmtId="0" fontId="13" fillId="0" borderId="23" xfId="2" applyBorder="1"/>
    <xf numFmtId="0" fontId="0" fillId="0" borderId="13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0" fillId="0" borderId="6" xfId="0" applyBorder="1"/>
    <xf numFmtId="0" fontId="1" fillId="0" borderId="0" xfId="0" applyFont="1" applyBorder="1" applyAlignment="1">
      <alignment horizontal="center"/>
    </xf>
    <xf numFmtId="42" fontId="11" fillId="0" borderId="0" xfId="1" applyFont="1" applyBorder="1" applyAlignment="1">
      <alignment horizontal="center"/>
    </xf>
    <xf numFmtId="42" fontId="1" fillId="0" borderId="4" xfId="1" applyFont="1" applyBorder="1" applyAlignment="1">
      <alignment horizontal="left"/>
    </xf>
    <xf numFmtId="0" fontId="1" fillId="0" borderId="26" xfId="0" applyFont="1" applyBorder="1" applyAlignment="1">
      <alignment horizontal="center"/>
    </xf>
    <xf numFmtId="0" fontId="8" fillId="0" borderId="0" xfId="0" applyFont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13" zoomScaleNormal="100" workbookViewId="0">
      <selection activeCell="C26" sqref="C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60" t="s">
        <v>39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40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41</v>
      </c>
      <c r="D9" s="23"/>
      <c r="E9" s="64" t="s">
        <v>42</v>
      </c>
      <c r="F9" s="30" t="s">
        <v>0</v>
      </c>
      <c r="H9" s="28">
        <v>45622</v>
      </c>
    </row>
    <row r="10" spans="1:8" ht="18.75" x14ac:dyDescent="0.3">
      <c r="A10" s="21" t="s">
        <v>13</v>
      </c>
      <c r="C10" s="65" t="s">
        <v>43</v>
      </c>
      <c r="D10" s="66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7"/>
      <c r="D11" s="66"/>
      <c r="E11" s="45"/>
      <c r="F11" s="30" t="s">
        <v>16</v>
      </c>
      <c r="G11" s="30"/>
      <c r="H11" s="28">
        <v>45631</v>
      </c>
    </row>
    <row r="12" spans="1:8" ht="18.75" x14ac:dyDescent="0.3">
      <c r="A12" s="21" t="s">
        <v>11</v>
      </c>
      <c r="C12" s="67" t="s">
        <v>44</v>
      </c>
      <c r="D12" s="66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45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49</v>
      </c>
      <c r="C16" s="72"/>
      <c r="D16" s="73"/>
      <c r="E16" s="70" t="s">
        <v>47</v>
      </c>
      <c r="F16" s="74">
        <v>1250000</v>
      </c>
      <c r="G16" s="70">
        <v>2</v>
      </c>
      <c r="H16" s="38">
        <f t="shared" ref="H16" si="0">G16*F16</f>
        <v>2500000</v>
      </c>
    </row>
    <row r="17" spans="1:8" ht="16.5" thickBot="1" x14ac:dyDescent="0.3">
      <c r="B17" s="80" t="s">
        <v>50</v>
      </c>
    </row>
    <row r="18" spans="1:8" ht="16.5" thickBot="1" x14ac:dyDescent="0.3">
      <c r="A18" s="70">
        <v>2</v>
      </c>
      <c r="B18" s="71" t="s">
        <v>51</v>
      </c>
      <c r="C18" s="72"/>
      <c r="D18" s="73"/>
      <c r="E18" s="70" t="s">
        <v>47</v>
      </c>
      <c r="F18" s="74">
        <v>740000</v>
      </c>
      <c r="G18" s="70">
        <v>1</v>
      </c>
      <c r="H18" s="38">
        <f t="shared" ref="H18" si="1">G18*F18</f>
        <v>740000</v>
      </c>
    </row>
    <row r="19" spans="1:8" ht="16.5" thickBot="1" x14ac:dyDescent="0.3">
      <c r="A19" s="79"/>
      <c r="B19" s="80" t="s">
        <v>50</v>
      </c>
      <c r="E19" s="76"/>
      <c r="F19" s="77"/>
      <c r="G19" s="76"/>
      <c r="H19" s="78"/>
    </row>
    <row r="20" spans="1:8" ht="19.5" customHeight="1" thickBot="1" x14ac:dyDescent="0.35">
      <c r="A20" s="48" t="s">
        <v>23</v>
      </c>
      <c r="B20" s="75" t="s">
        <v>52</v>
      </c>
      <c r="C20" s="12"/>
      <c r="D20" s="13"/>
      <c r="E20" s="49"/>
      <c r="F20" s="37" t="s">
        <v>29</v>
      </c>
      <c r="G20" s="6"/>
      <c r="H20" s="7"/>
    </row>
    <row r="21" spans="1:8" ht="19.5" customHeight="1" thickBot="1" x14ac:dyDescent="0.3">
      <c r="A21" s="39"/>
      <c r="B21" s="16" t="s">
        <v>53</v>
      </c>
      <c r="C21" s="4"/>
      <c r="D21" s="17"/>
      <c r="E21" s="52" t="s">
        <v>24</v>
      </c>
      <c r="F21" s="53"/>
      <c r="G21" s="44"/>
      <c r="H21" s="50">
        <f>SUM(H16:H20)</f>
        <v>3240000</v>
      </c>
    </row>
    <row r="22" spans="1:8" ht="19.5" customHeight="1" x14ac:dyDescent="0.25">
      <c r="A22" s="24" t="s">
        <v>25</v>
      </c>
      <c r="E22" s="54" t="s">
        <v>30</v>
      </c>
      <c r="F22" s="23"/>
      <c r="G22" s="55">
        <v>0.19</v>
      </c>
      <c r="H22" s="40">
        <f>H21*G22</f>
        <v>615600</v>
      </c>
    </row>
    <row r="23" spans="1:8" ht="15.75" x14ac:dyDescent="0.25">
      <c r="A23" s="14" t="s">
        <v>46</v>
      </c>
      <c r="E23" s="56" t="s">
        <v>26</v>
      </c>
      <c r="G23" s="59">
        <v>2.5000000000000001E-2</v>
      </c>
      <c r="H23" s="51">
        <f>H21*G23</f>
        <v>81000</v>
      </c>
    </row>
    <row r="24" spans="1:8" ht="15.75" x14ac:dyDescent="0.25">
      <c r="A24" s="14" t="s">
        <v>54</v>
      </c>
      <c r="E24" s="14"/>
      <c r="F24" s="33"/>
      <c r="G24" s="45"/>
      <c r="H24" s="15"/>
    </row>
    <row r="25" spans="1:8" ht="16.5" thickBot="1" x14ac:dyDescent="0.3">
      <c r="A25" s="16"/>
      <c r="B25" s="4"/>
      <c r="C25" s="4"/>
      <c r="D25" s="17"/>
      <c r="E25" s="57" t="s">
        <v>27</v>
      </c>
      <c r="F25" s="58"/>
      <c r="G25" s="46"/>
      <c r="H25" s="17"/>
    </row>
    <row r="26" spans="1:8" ht="16.5" customHeight="1" thickBot="1" x14ac:dyDescent="0.35">
      <c r="F26" s="3"/>
      <c r="G26" s="34" t="s">
        <v>28</v>
      </c>
      <c r="H26" s="36">
        <f>H21+H22-H23</f>
        <v>3774600</v>
      </c>
    </row>
    <row r="31" spans="1:8" ht="15.75" thickBot="1" x14ac:dyDescent="0.3"/>
    <row r="32" spans="1:8" ht="19.5" thickBot="1" x14ac:dyDescent="0.35">
      <c r="A32" s="25" t="s">
        <v>33</v>
      </c>
      <c r="B32" s="6"/>
      <c r="C32" s="6"/>
      <c r="D32" s="6"/>
      <c r="E32" s="6"/>
      <c r="F32" s="6"/>
      <c r="G32" s="6"/>
      <c r="H32" s="7"/>
    </row>
    <row r="41" spans="1:1" ht="18.75" x14ac:dyDescent="0.3">
      <c r="A41" s="5"/>
    </row>
  </sheetData>
  <hyperlinks>
    <hyperlink ref="C10" r:id="rId1" xr:uid="{DE5E67A7-6BDC-41BB-BEBF-6CBBD2FA164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 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2024-11-26T21:04:57Z</dcterms:modified>
</cp:coreProperties>
</file>