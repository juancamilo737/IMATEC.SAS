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01B62BB7-0396-4D3E-BB72-17B1EFFDF5A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GRIV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3" i="1" l="1"/>
  <c r="H40" i="1"/>
  <c r="H38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39" i="1" l="1"/>
</calcChain>
</file>

<file path=xl/sharedStrings.xml><?xml version="1.0" encoding="utf-8"?>
<sst xmlns="http://schemas.openxmlformats.org/spreadsheetml/2006/main" count="110" uniqueCount="64">
  <si>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</si>
  <si>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</si>
  <si>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</si>
  <si>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</si>
  <si>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</si>
  <si>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</si>
  <si>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</si>
  <si>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</si>
  <si>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</si>
  <si>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</si>
  <si>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</si>
  <si>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</si>
  <si>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</si>
  <si>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</si>
  <si>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</si>
  <si>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</si>
  <si>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</si>
  <si>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</si>
  <si>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</si>
  <si>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</si>
  <si>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</si>
  <si>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</si>
  <si>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</si>
  <si>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</si>
  <si>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</si>
  <si>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</si>
  <si>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</si>
  <si>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</si>
  <si>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</si>
  <si>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</si>
  <si>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</si>
  <si>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</si>
  <si>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</si>
  <si>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</si>
  <si>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</si>
  <si>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</si>
  <si>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</si>
  <si>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</si>
  <si>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</si>
  <si>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</si>
  <si>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</si>
  <si>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GRIVAN INGENIERIA S.A.</t>
  </si>
  <si>
    <t>805 017818</t>
  </si>
  <si>
    <t>CRA  35 B  No. 16  52</t>
  </si>
  <si>
    <t>diradministrativo@grivaningenieria.com</t>
  </si>
  <si>
    <t>316 4782446</t>
  </si>
  <si>
    <t>TUBERIA  A / C  SCH 40</t>
  </si>
  <si>
    <t>6 "</t>
  </si>
  <si>
    <t>4 "</t>
  </si>
  <si>
    <t xml:space="preserve">3 " </t>
  </si>
  <si>
    <t>2 1/2 "</t>
  </si>
  <si>
    <t>2 "</t>
  </si>
  <si>
    <t>1 1/2 "</t>
  </si>
  <si>
    <t xml:space="preserve">1 1/4 " </t>
  </si>
  <si>
    <t>1 "</t>
  </si>
  <si>
    <t>3/4 "</t>
  </si>
  <si>
    <t>1/2 "</t>
  </si>
  <si>
    <t>METRO LINEAL</t>
  </si>
  <si>
    <t>LUIS A. BENAVIDES</t>
  </si>
  <si>
    <t>CODO A / C  SCH 40  X 90 º</t>
  </si>
  <si>
    <t>CINCUENTA Y NUEVE MILLONES CUATROCIENTOS NOVEN</t>
  </si>
  <si>
    <t>TA MIL QUINIENTOS SESENTA Y DOS PESOS MDA / CTE</t>
  </si>
  <si>
    <t>FORMA DE PAGO : CREDITO A 30 DIAS</t>
  </si>
  <si>
    <t>ENTREGA EN TRES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</si>
</sst>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radministrativo@grivaningenier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8"/>
  <sheetViews>
    <sheetView tabSelected="1" topLeftCell="A6" zoomScaleNormal="100" workbookViewId="0">
      <selection activeCell="J35" sqref="J3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37</v>
      </c>
      <c r="G6" s="42"/>
      <c r="H6" s="43"/>
    </row>
    <row r="7" spans="1:8" ht="19.5" thickBot="1" x14ac:dyDescent="0.35">
      <c r="A7" s="20" t="s">
        <v>14</v>
      </c>
      <c r="B7" s="12"/>
      <c r="C7" s="60" t="s">
        <v>41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69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/>
      <c r="F9" s="30" t="s">
        <v>0</v>
      </c>
      <c r="H9" s="28">
        <v>45913</v>
      </c>
    </row>
    <row r="10" spans="1:8" ht="18.75" x14ac:dyDescent="0.3">
      <c r="A10" s="21" t="s">
        <v>13</v>
      </c>
      <c r="C10" s="70" t="s">
        <v>44</v>
      </c>
      <c r="E10" s="15"/>
      <c r="F10" s="30" t="s">
        <v>15</v>
      </c>
      <c r="H10" s="29" t="s">
        <v>30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45922</v>
      </c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58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46</v>
      </c>
      <c r="C16" s="63"/>
      <c r="D16" s="64" t="s">
        <v>47</v>
      </c>
      <c r="E16" s="61" t="s">
        <v>57</v>
      </c>
      <c r="F16" s="65">
        <v>165300</v>
      </c>
      <c r="G16" s="61">
        <v>108</v>
      </c>
      <c r="H16" s="38">
        <f t="shared" ref="H16" si="0">G16*F16</f>
        <v>17852400</v>
      </c>
    </row>
    <row r="17" spans="1:8" ht="16.5" thickBot="1" x14ac:dyDescent="0.3">
      <c r="A17" s="61">
        <v>2</v>
      </c>
      <c r="B17" s="62" t="s">
        <v>46</v>
      </c>
      <c r="C17" s="63"/>
      <c r="D17" s="64" t="s">
        <v>48</v>
      </c>
      <c r="E17" s="61" t="s">
        <v>57</v>
      </c>
      <c r="F17" s="65">
        <v>98000</v>
      </c>
      <c r="G17" s="61">
        <v>12</v>
      </c>
      <c r="H17" s="38">
        <f t="shared" ref="H17:H35" si="1">G17*F17</f>
        <v>1176000</v>
      </c>
    </row>
    <row r="18" spans="1:8" ht="16.5" thickBot="1" x14ac:dyDescent="0.3">
      <c r="A18" s="61">
        <v>3</v>
      </c>
      <c r="B18" s="62" t="s">
        <v>46</v>
      </c>
      <c r="C18" s="63"/>
      <c r="D18" s="64" t="s">
        <v>49</v>
      </c>
      <c r="E18" s="61" t="s">
        <v>57</v>
      </c>
      <c r="F18" s="65">
        <v>67000</v>
      </c>
      <c r="G18" s="61">
        <v>138</v>
      </c>
      <c r="H18" s="38">
        <f t="shared" si="1"/>
        <v>9246000</v>
      </c>
    </row>
    <row r="19" spans="1:8" ht="16.5" thickBot="1" x14ac:dyDescent="0.3">
      <c r="A19" s="61">
        <v>4</v>
      </c>
      <c r="B19" s="62" t="s">
        <v>46</v>
      </c>
      <c r="C19" s="63"/>
      <c r="D19" s="64" t="s">
        <v>50</v>
      </c>
      <c r="E19" s="61" t="s">
        <v>57</v>
      </c>
      <c r="F19" s="65">
        <v>51300</v>
      </c>
      <c r="G19" s="61">
        <v>102</v>
      </c>
      <c r="H19" s="38">
        <f t="shared" si="1"/>
        <v>5232600</v>
      </c>
    </row>
    <row r="20" spans="1:8" ht="16.5" thickBot="1" x14ac:dyDescent="0.3">
      <c r="A20" s="61">
        <v>5</v>
      </c>
      <c r="B20" s="62" t="s">
        <v>46</v>
      </c>
      <c r="C20" s="63"/>
      <c r="D20" s="64" t="s">
        <v>51</v>
      </c>
      <c r="E20" s="61" t="s">
        <v>57</v>
      </c>
      <c r="F20" s="65">
        <v>32000</v>
      </c>
      <c r="G20" s="61">
        <v>144</v>
      </c>
      <c r="H20" s="38">
        <f t="shared" si="1"/>
        <v>4608000</v>
      </c>
    </row>
    <row r="21" spans="1:8" ht="16.5" thickBot="1" x14ac:dyDescent="0.3">
      <c r="A21" s="61">
        <v>6</v>
      </c>
      <c r="B21" s="62" t="s">
        <v>46</v>
      </c>
      <c r="C21" s="63"/>
      <c r="D21" s="64" t="s">
        <v>52</v>
      </c>
      <c r="E21" s="61" t="s">
        <v>57</v>
      </c>
      <c r="F21" s="65">
        <v>26000</v>
      </c>
      <c r="G21" s="61">
        <v>138</v>
      </c>
      <c r="H21" s="38">
        <f t="shared" si="1"/>
        <v>3588000</v>
      </c>
    </row>
    <row r="22" spans="1:8" ht="16.5" thickBot="1" x14ac:dyDescent="0.3">
      <c r="A22" s="61">
        <v>7</v>
      </c>
      <c r="B22" s="62" t="s">
        <v>46</v>
      </c>
      <c r="C22" s="63"/>
      <c r="D22" s="64" t="s">
        <v>53</v>
      </c>
      <c r="E22" s="61" t="s">
        <v>57</v>
      </c>
      <c r="F22" s="65">
        <v>22000</v>
      </c>
      <c r="G22" s="61">
        <v>66</v>
      </c>
      <c r="H22" s="38">
        <f t="shared" si="1"/>
        <v>1452000</v>
      </c>
    </row>
    <row r="23" spans="1:8" ht="16.5" thickBot="1" x14ac:dyDescent="0.3">
      <c r="A23" s="61">
        <v>8</v>
      </c>
      <c r="B23" s="62" t="s">
        <v>46</v>
      </c>
      <c r="C23" s="63"/>
      <c r="D23" s="64" t="s">
        <v>54</v>
      </c>
      <c r="E23" s="61" t="s">
        <v>57</v>
      </c>
      <c r="F23" s="65">
        <v>16500</v>
      </c>
      <c r="G23" s="61">
        <v>156</v>
      </c>
      <c r="H23" s="38">
        <f t="shared" si="1"/>
        <v>2574000</v>
      </c>
    </row>
    <row r="24" spans="1:8" ht="16.5" thickBot="1" x14ac:dyDescent="0.3">
      <c r="A24" s="61">
        <v>9</v>
      </c>
      <c r="B24" s="62" t="s">
        <v>46</v>
      </c>
      <c r="C24" s="63"/>
      <c r="D24" s="64" t="s">
        <v>55</v>
      </c>
      <c r="E24" s="61" t="s">
        <v>57</v>
      </c>
      <c r="F24" s="65">
        <v>13200</v>
      </c>
      <c r="G24" s="61">
        <v>84</v>
      </c>
      <c r="H24" s="38">
        <f t="shared" si="1"/>
        <v>1108800</v>
      </c>
    </row>
    <row r="25" spans="1:8" ht="16.5" thickBot="1" x14ac:dyDescent="0.3">
      <c r="A25" s="61">
        <v>10</v>
      </c>
      <c r="B25" s="62" t="s">
        <v>46</v>
      </c>
      <c r="C25" s="63"/>
      <c r="D25" s="64" t="s">
        <v>56</v>
      </c>
      <c r="E25" s="61" t="s">
        <v>57</v>
      </c>
      <c r="F25" s="65">
        <v>9980</v>
      </c>
      <c r="G25" s="61">
        <v>132</v>
      </c>
      <c r="H25" s="38">
        <f t="shared" si="1"/>
        <v>1317360</v>
      </c>
    </row>
    <row r="26" spans="1:8" ht="16.5" thickBot="1" x14ac:dyDescent="0.3">
      <c r="A26" s="61">
        <v>11</v>
      </c>
      <c r="B26" s="62" t="s">
        <v>59</v>
      </c>
      <c r="C26" s="63"/>
      <c r="D26" s="64" t="s">
        <v>47</v>
      </c>
      <c r="E26" s="61" t="s">
        <v>38</v>
      </c>
      <c r="F26" s="65">
        <v>75000</v>
      </c>
      <c r="G26" s="61">
        <v>11</v>
      </c>
      <c r="H26" s="38">
        <f t="shared" si="1"/>
        <v>825000</v>
      </c>
    </row>
    <row r="27" spans="1:8" ht="16.5" thickBot="1" x14ac:dyDescent="0.3">
      <c r="A27" s="61">
        <v>12</v>
      </c>
      <c r="B27" s="62" t="s">
        <v>59</v>
      </c>
      <c r="C27" s="63"/>
      <c r="D27" s="64" t="s">
        <v>48</v>
      </c>
      <c r="E27" s="61" t="s">
        <v>38</v>
      </c>
      <c r="F27" s="65">
        <v>33000</v>
      </c>
      <c r="G27" s="61">
        <v>20</v>
      </c>
      <c r="H27" s="38">
        <f t="shared" si="1"/>
        <v>660000</v>
      </c>
    </row>
    <row r="28" spans="1:8" ht="16.5" thickBot="1" x14ac:dyDescent="0.3">
      <c r="A28" s="61">
        <v>13</v>
      </c>
      <c r="B28" s="62" t="s">
        <v>59</v>
      </c>
      <c r="C28" s="63"/>
      <c r="D28" s="64" t="s">
        <v>49</v>
      </c>
      <c r="E28" s="61" t="s">
        <v>38</v>
      </c>
      <c r="F28" s="65">
        <v>17000</v>
      </c>
      <c r="G28" s="61">
        <v>20</v>
      </c>
      <c r="H28" s="38">
        <f t="shared" si="1"/>
        <v>340000</v>
      </c>
    </row>
    <row r="29" spans="1:8" ht="16.5" thickBot="1" x14ac:dyDescent="0.3">
      <c r="A29" s="61">
        <v>14</v>
      </c>
      <c r="B29" s="62" t="s">
        <v>59</v>
      </c>
      <c r="C29" s="63"/>
      <c r="D29" s="64" t="s">
        <v>50</v>
      </c>
      <c r="E29" s="61" t="s">
        <v>38</v>
      </c>
      <c r="F29" s="65">
        <v>12500</v>
      </c>
      <c r="G29" s="61">
        <v>35</v>
      </c>
      <c r="H29" s="38">
        <f t="shared" si="1"/>
        <v>437500</v>
      </c>
    </row>
    <row r="30" spans="1:8" ht="16.5" thickBot="1" x14ac:dyDescent="0.3">
      <c r="A30" s="61">
        <v>15</v>
      </c>
      <c r="B30" s="62" t="s">
        <v>59</v>
      </c>
      <c r="C30" s="63"/>
      <c r="D30" s="64" t="s">
        <v>51</v>
      </c>
      <c r="E30" s="61" t="s">
        <v>38</v>
      </c>
      <c r="F30" s="65">
        <v>9000</v>
      </c>
      <c r="G30" s="61">
        <v>12</v>
      </c>
      <c r="H30" s="38">
        <f t="shared" si="1"/>
        <v>108000</v>
      </c>
    </row>
    <row r="31" spans="1:8" ht="16.5" thickBot="1" x14ac:dyDescent="0.3">
      <c r="A31" s="61">
        <v>16</v>
      </c>
      <c r="B31" s="62" t="s">
        <v>59</v>
      </c>
      <c r="C31" s="63"/>
      <c r="D31" s="64" t="s">
        <v>52</v>
      </c>
      <c r="E31" s="61" t="s">
        <v>38</v>
      </c>
      <c r="F31" s="65">
        <v>4000</v>
      </c>
      <c r="G31" s="61">
        <v>50</v>
      </c>
      <c r="H31" s="38">
        <f t="shared" si="1"/>
        <v>200000</v>
      </c>
    </row>
    <row r="32" spans="1:8" ht="16.5" thickBot="1" x14ac:dyDescent="0.3">
      <c r="A32" s="61">
        <v>17</v>
      </c>
      <c r="B32" s="62" t="s">
        <v>59</v>
      </c>
      <c r="C32" s="63"/>
      <c r="D32" s="64" t="s">
        <v>53</v>
      </c>
      <c r="E32" s="61" t="s">
        <v>38</v>
      </c>
      <c r="F32" s="65">
        <v>3000</v>
      </c>
      <c r="G32" s="61">
        <v>6</v>
      </c>
      <c r="H32" s="38">
        <f t="shared" si="1"/>
        <v>18000</v>
      </c>
    </row>
    <row r="33" spans="1:8" ht="16.5" thickBot="1" x14ac:dyDescent="0.3">
      <c r="A33" s="61">
        <v>18</v>
      </c>
      <c r="B33" s="62" t="s">
        <v>59</v>
      </c>
      <c r="C33" s="63"/>
      <c r="D33" s="64" t="s">
        <v>54</v>
      </c>
      <c r="E33" s="61" t="s">
        <v>38</v>
      </c>
      <c r="F33" s="65">
        <v>2000</v>
      </c>
      <c r="G33" s="61">
        <v>46</v>
      </c>
      <c r="H33" s="38">
        <f t="shared" si="1"/>
        <v>92000</v>
      </c>
    </row>
    <row r="34" spans="1:8" ht="16.5" thickBot="1" x14ac:dyDescent="0.3">
      <c r="A34" s="61">
        <v>19</v>
      </c>
      <c r="B34" s="62" t="s">
        <v>59</v>
      </c>
      <c r="C34" s="63"/>
      <c r="D34" s="64" t="s">
        <v>55</v>
      </c>
      <c r="E34" s="61" t="s">
        <v>38</v>
      </c>
      <c r="F34" s="65">
        <v>1500</v>
      </c>
      <c r="G34" s="61">
        <v>41</v>
      </c>
      <c r="H34" s="38">
        <f t="shared" si="1"/>
        <v>61500</v>
      </c>
    </row>
    <row r="35" spans="1:8" ht="16.5" thickBot="1" x14ac:dyDescent="0.3">
      <c r="A35" s="61">
        <v>20</v>
      </c>
      <c r="B35" s="62" t="s">
        <v>59</v>
      </c>
      <c r="C35" s="63"/>
      <c r="D35" s="64" t="s">
        <v>56</v>
      </c>
      <c r="E35" s="61" t="s">
        <v>38</v>
      </c>
      <c r="F35" s="65">
        <v>1300</v>
      </c>
      <c r="G35" s="61">
        <v>129</v>
      </c>
      <c r="H35" s="38">
        <f t="shared" si="1"/>
        <v>167700</v>
      </c>
    </row>
    <row r="36" spans="1:8" ht="19.5" customHeight="1" thickBot="1" x14ac:dyDescent="0.3">
      <c r="A36" s="48"/>
      <c r="B36" s="67"/>
      <c r="D36" s="68"/>
      <c r="E36" s="48"/>
      <c r="F36" s="48"/>
      <c r="G36" s="48"/>
    </row>
    <row r="37" spans="1:8" ht="19.5" customHeight="1" thickBot="1" x14ac:dyDescent="0.35">
      <c r="A37" s="66" t="s">
        <v>23</v>
      </c>
      <c r="B37" s="69" t="s">
        <v>60</v>
      </c>
      <c r="C37" s="12"/>
      <c r="D37" s="13"/>
      <c r="E37" s="49"/>
      <c r="F37" s="37" t="s">
        <v>39</v>
      </c>
      <c r="G37" s="6"/>
      <c r="H37" s="7"/>
    </row>
    <row r="38" spans="1:8" ht="19.5" customHeight="1" thickBot="1" x14ac:dyDescent="0.3">
      <c r="A38" s="39"/>
      <c r="B38" s="16" t="s">
        <v>61</v>
      </c>
      <c r="C38" s="4"/>
      <c r="D38" s="17"/>
      <c r="E38" s="52" t="s">
        <v>24</v>
      </c>
      <c r="F38" s="53"/>
      <c r="G38" s="44"/>
      <c r="H38" s="50">
        <f>SUM(H16:H35)</f>
        <v>51064860</v>
      </c>
    </row>
    <row r="39" spans="1:8" ht="19.5" customHeight="1" x14ac:dyDescent="0.25">
      <c r="A39" s="24" t="s">
        <v>25</v>
      </c>
      <c r="B39" s="12"/>
      <c r="C39" s="12"/>
      <c r="D39" s="12"/>
      <c r="E39" s="54" t="s">
        <v>29</v>
      </c>
      <c r="F39" s="23"/>
      <c r="G39" s="55">
        <v>0.19</v>
      </c>
      <c r="H39" s="40">
        <f>H38*G39</f>
        <v>9702323.4000000004</v>
      </c>
    </row>
    <row r="40" spans="1:8" ht="19.5" customHeight="1" x14ac:dyDescent="0.25">
      <c r="A40" s="14" t="s">
        <v>62</v>
      </c>
      <c r="E40" s="56" t="s">
        <v>26</v>
      </c>
      <c r="G40" s="59">
        <v>2.5000000000000001E-2</v>
      </c>
      <c r="H40" s="51">
        <f>H38*G40</f>
        <v>1276621.5</v>
      </c>
    </row>
    <row r="41" spans="1:8" ht="15.75" x14ac:dyDescent="0.25">
      <c r="A41" s="14" t="s">
        <v>63</v>
      </c>
      <c r="E41" s="14"/>
      <c r="F41" s="33"/>
      <c r="G41" s="45"/>
      <c r="H41" s="15"/>
    </row>
    <row r="42" spans="1:8" ht="16.5" thickBot="1" x14ac:dyDescent="0.3">
      <c r="A42" s="14" t="s">
        <v>32</v>
      </c>
      <c r="E42" s="57" t="s">
        <v>27</v>
      </c>
      <c r="F42" s="58"/>
      <c r="G42" s="46"/>
      <c r="H42" s="17"/>
    </row>
    <row r="43" spans="1:8" ht="19.5" thickBot="1" x14ac:dyDescent="0.35">
      <c r="A43" s="16"/>
      <c r="B43" s="4"/>
      <c r="C43" s="4"/>
      <c r="D43" s="17"/>
      <c r="F43" s="3"/>
      <c r="G43" s="34" t="s">
        <v>28</v>
      </c>
      <c r="H43" s="36">
        <f>H38+H39-H40</f>
        <v>59490561.899999999</v>
      </c>
    </row>
    <row r="44" spans="1:8" ht="16.5" customHeight="1" x14ac:dyDescent="0.25"/>
    <row r="49" spans="1:8" ht="15.75" thickBot="1" x14ac:dyDescent="0.3"/>
    <row r="50" spans="1:8" ht="19.5" thickBot="1" x14ac:dyDescent="0.35">
      <c r="A50" s="25" t="s">
        <v>40</v>
      </c>
      <c r="B50" s="6"/>
      <c r="C50" s="6"/>
      <c r="D50" s="6"/>
      <c r="E50" s="6"/>
      <c r="F50" s="6"/>
      <c r="G50" s="6"/>
      <c r="H50" s="7"/>
    </row>
    <row r="58" spans="1:8" ht="18.75" x14ac:dyDescent="0.3">
      <c r="A58" s="5"/>
    </row>
  </sheetData>
  <hyperlinks>
    <hyperlink ref="C10" r:id="rId1" xr:uid="{B8883B70-1FCA-4E5A-9EAF-E3F940263DAF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GRIVAN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2025-09-13T18:49:46Z</dcterms:modified>
</cp:coreProperties>
</file>