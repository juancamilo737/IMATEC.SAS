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4354A6F-B838-4DCE-9597-B5907AD09E2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4" i="1" s="1"/>
  <c r="H35" i="1" l="1"/>
  <c r="H39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<sst xmlns="http://schemas.openxmlformats.org/spreadsheetml/2006/main" count="55" uniqueCount="55">
  <si>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</si>
  <si>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</si>
  <si>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</si>
  <si>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</si>
  <si>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</si>
  <si>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</si>
  <si>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</si>
  <si>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</si>
  <si>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</si>
  <si>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</si>
  <si>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</si>
  <si>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</si>
  <si>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</si>
  <si>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</si>
  <si>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</si>
  <si>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</si>
  <si>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</si>
  <si>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</si>
  <si>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</si>
  <si>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</si>
  <si>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</si>
  <si>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</si>
  <si>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</si>
  <si>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</si>
  <si>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</si>
  <si>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</si>
  <si>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</si>
  <si>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</si>
  <si>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</si>
  <si>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</si>
  <si>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</si>
  <si>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</si>
  <si>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</si>
  <si>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</si>
  <si>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</si>
  <si>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</si>
  <si>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LUIS BENAVIDEZ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</si>
  <si>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</si>
  <si>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</si>
  <si>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</si>
  <si>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</si>
  <si>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  319 7174165       321 7834969</t>
  </si>
  <si>
    <t>ACCESORIO</t>
  </si>
  <si>
    <t>CALI</t>
  </si>
  <si>
    <t>602 8801132</t>
  </si>
  <si>
    <t>ARLEY</t>
  </si>
  <si>
    <t>FERRETERIA LIDER</t>
  </si>
  <si>
    <t>805 027317</t>
  </si>
  <si>
    <t>CRA 15 No. 31-43</t>
  </si>
  <si>
    <t>contabilidad@ferreterialider.com</t>
  </si>
  <si>
    <t>CHEQUE GLOBO  A / C 1 1/4  "  X  800 LB NPT</t>
  </si>
  <si>
    <t>UN MILLON DOSCIENTOS NOVENTA Y CUATRO MIL</t>
  </si>
  <si>
    <t>CIENTO VEINTICINCO PESOS MDA / CTE</t>
  </si>
  <si>
    <t>ENTREGA EN 2 DIAS A PARTIR DE ORDEN DE COMPRA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</si>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</sst>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6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13" zoomScaleNormal="100" workbookViewId="0">
      <selection activeCell="D22" sqref="D2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34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39</v>
      </c>
      <c r="E4" s="19"/>
      <c r="F4" s="20"/>
      <c r="G4" s="6"/>
      <c r="H4" s="7"/>
    </row>
    <row r="5" spans="1:8" ht="19.5" thickBot="1" x14ac:dyDescent="0.35">
      <c r="A5" s="70" t="s">
        <v>41</v>
      </c>
      <c r="B5" s="6"/>
      <c r="C5" s="6"/>
      <c r="D5" s="6"/>
      <c r="E5" s="6"/>
    </row>
    <row r="6" spans="1:8" ht="24.75" customHeight="1" thickBot="1" x14ac:dyDescent="0.45">
      <c r="F6" s="11" t="s">
        <v>54</v>
      </c>
      <c r="G6" s="19"/>
      <c r="H6" s="20"/>
    </row>
    <row r="7" spans="1:8" ht="19.5" thickBot="1" x14ac:dyDescent="0.35">
      <c r="A7" s="21" t="s">
        <v>15</v>
      </c>
      <c r="B7" s="13"/>
      <c r="C7" s="32" t="s">
        <v>46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47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48</v>
      </c>
      <c r="D9" s="25"/>
      <c r="E9" s="26" t="s">
        <v>43</v>
      </c>
      <c r="F9" s="33" t="s">
        <v>0</v>
      </c>
      <c r="H9" s="34">
        <v>45502</v>
      </c>
    </row>
    <row r="10" spans="1:8" ht="18.75" x14ac:dyDescent="0.3">
      <c r="A10" s="22" t="s">
        <v>14</v>
      </c>
      <c r="C10" s="57" t="s">
        <v>49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 t="s">
        <v>45</v>
      </c>
      <c r="D11" s="27"/>
      <c r="E11" s="27"/>
      <c r="F11" s="33" t="s">
        <v>17</v>
      </c>
      <c r="G11" s="36"/>
      <c r="H11" s="34">
        <v>45511</v>
      </c>
    </row>
    <row r="12" spans="1:8" ht="18.75" x14ac:dyDescent="0.3">
      <c r="A12" s="22" t="s">
        <v>12</v>
      </c>
      <c r="C12" s="26" t="s">
        <v>44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20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50</v>
      </c>
      <c r="C16" s="42"/>
      <c r="D16" s="63"/>
      <c r="E16" s="62" t="s">
        <v>42</v>
      </c>
      <c r="F16" s="66">
        <v>217500</v>
      </c>
      <c r="G16" s="62">
        <v>5</v>
      </c>
      <c r="H16" s="64">
        <f>G16*F16</f>
        <v>1087500</v>
      </c>
    </row>
    <row r="17" spans="1:10" x14ac:dyDescent="0.25">
      <c r="A17" s="40"/>
      <c r="E17" s="46"/>
      <c r="F17" s="39"/>
      <c r="G17" s="62"/>
      <c r="H17" s="55"/>
    </row>
    <row r="18" spans="1:10" ht="15.75" x14ac:dyDescent="0.25">
      <c r="B18" s="41"/>
      <c r="C18" s="42"/>
      <c r="D18" s="42"/>
      <c r="E18" s="46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B21" s="41"/>
      <c r="C21" s="42"/>
      <c r="D21" s="42"/>
      <c r="E21" s="46"/>
      <c r="F21" s="65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7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7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7"/>
      <c r="H27" s="40"/>
      <c r="I27" s="39"/>
      <c r="J27" s="39"/>
    </row>
    <row r="28" spans="1:10" ht="19.5" customHeight="1" x14ac:dyDescent="0.25">
      <c r="B28" s="41"/>
      <c r="E28" s="46"/>
      <c r="F28" s="67"/>
      <c r="H28" s="40"/>
      <c r="I28" s="39"/>
      <c r="J28" s="39"/>
    </row>
    <row r="29" spans="1:10" ht="19.5" customHeight="1" x14ac:dyDescent="0.25">
      <c r="B29" s="41"/>
      <c r="E29" s="46"/>
      <c r="F29" s="67"/>
      <c r="H29" s="40"/>
    </row>
    <row r="30" spans="1:10" ht="19.5" customHeight="1" x14ac:dyDescent="0.25">
      <c r="B30" s="41"/>
      <c r="E30" s="46"/>
      <c r="F30" s="67"/>
      <c r="H30" s="40"/>
    </row>
    <row r="31" spans="1:10" ht="19.5" customHeight="1" x14ac:dyDescent="0.25">
      <c r="B31" s="43"/>
      <c r="C31" s="44"/>
      <c r="D31" s="44"/>
      <c r="E31" s="24"/>
      <c r="F31" s="68"/>
      <c r="G31" s="44"/>
      <c r="H31" s="45"/>
    </row>
    <row r="32" spans="1:10" ht="19.5" customHeight="1" thickBot="1" x14ac:dyDescent="0.3">
      <c r="H32" s="69"/>
    </row>
    <row r="33" spans="1:8" ht="19.5" customHeight="1" thickBot="1" x14ac:dyDescent="0.35">
      <c r="A33" s="71" t="s">
        <v>26</v>
      </c>
      <c r="B33" s="12" t="s">
        <v>51</v>
      </c>
      <c r="C33" s="13"/>
      <c r="D33" s="14"/>
      <c r="E33" s="13"/>
      <c r="F33" s="47" t="s">
        <v>32</v>
      </c>
      <c r="G33" s="13"/>
      <c r="H33" s="7"/>
    </row>
    <row r="34" spans="1:8" ht="19.5" customHeight="1" thickBot="1" x14ac:dyDescent="0.3">
      <c r="A34" s="72"/>
      <c r="B34" s="17" t="s">
        <v>52</v>
      </c>
      <c r="C34" s="4"/>
      <c r="D34" s="4"/>
      <c r="E34" s="48" t="s">
        <v>27</v>
      </c>
      <c r="F34" s="49"/>
      <c r="G34" s="27"/>
      <c r="H34" s="58">
        <f>SUM(H16:H17)</f>
        <v>1087500</v>
      </c>
    </row>
    <row r="35" spans="1:8" ht="19.5" customHeight="1" x14ac:dyDescent="0.25">
      <c r="A35" s="28" t="s">
        <v>28</v>
      </c>
      <c r="B35" s="13"/>
      <c r="C35" s="13"/>
      <c r="D35" s="14"/>
      <c r="E35" s="3" t="s">
        <v>35</v>
      </c>
      <c r="F35" s="73"/>
      <c r="G35" s="51">
        <v>0.19</v>
      </c>
      <c r="H35" s="59">
        <f>H34*G35</f>
        <v>206625</v>
      </c>
    </row>
    <row r="36" spans="1:8" ht="19.5" customHeight="1" x14ac:dyDescent="0.25">
      <c r="A36" s="15" t="s">
        <v>37</v>
      </c>
      <c r="D36" s="16"/>
      <c r="E36" s="49" t="s">
        <v>29</v>
      </c>
      <c r="G36">
        <v>0</v>
      </c>
      <c r="H36" s="52"/>
    </row>
    <row r="37" spans="1:8" ht="19.5" customHeight="1" x14ac:dyDescent="0.25">
      <c r="A37" s="15" t="s">
        <v>53</v>
      </c>
      <c r="D37" s="16"/>
      <c r="F37" s="49"/>
      <c r="G37" s="27"/>
      <c r="H37" s="53"/>
    </row>
    <row r="38" spans="1:8" ht="19.5" customHeight="1" thickBot="1" x14ac:dyDescent="0.3">
      <c r="A38" s="15" t="s">
        <v>40</v>
      </c>
      <c r="D38" s="16"/>
      <c r="E38" s="49" t="s">
        <v>30</v>
      </c>
      <c r="F38" s="49"/>
      <c r="G38" s="27"/>
      <c r="H38" s="54"/>
    </row>
    <row r="39" spans="1:8" ht="19.5" thickBot="1" x14ac:dyDescent="0.35">
      <c r="A39" s="17"/>
      <c r="B39" s="4"/>
      <c r="C39" s="4"/>
      <c r="D39" s="18"/>
      <c r="F39" s="3"/>
      <c r="G39" s="50" t="s">
        <v>31</v>
      </c>
      <c r="H39" s="60">
        <f>H34+H35</f>
        <v>1294125</v>
      </c>
    </row>
    <row r="42" spans="1:8" ht="16.5" customHeight="1" x14ac:dyDescent="0.25"/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33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2024-07-29T19:49:00Z</dcterms:modified>
</cp:coreProperties>
</file>