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E99A872A-D398-42F2-B9CC-74DE2910DC24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BRAIM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6" i="1" l="1"/>
  <c r="H23" i="1"/>
  <c r="H22" i="1"/>
  <c r="H21" i="1"/>
  <c r="H20" i="1"/>
  <c r="H19" i="1"/>
  <c r="H18" i="1"/>
  <c r="H17" i="1"/>
  <c r="H16" i="1"/>
  <c r="H27" i="1" l="1"/>
  <c r="H31" i="1" s="1"/>
</calcChain>
</file>

<file path=xl/sharedStrings.xml><?xml version="1.0" encoding="utf-8"?>
<sst xmlns="http://schemas.openxmlformats.org/spreadsheetml/2006/main" count="66" uniqueCount="62">
  <si>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</si>
  <si>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</si>
  <si>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</si>
  <si>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</si>
  <si>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</si>
  <si>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</si>
  <si>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</si>
  <si>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</si>
  <si>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</si>
  <si>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</si>
  <si>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</si>
  <si>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</si>
  <si>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</si>
  <si>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</si>
  <si>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</si>
  <si>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</si>
  <si>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</si>
  <si>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</si>
  <si>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</si>
  <si>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</si>
  <si>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</si>
  <si>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</si>
  <si>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</si>
  <si>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</si>
  <si>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</si>
  <si>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</si>
  <si>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</si>
  <si>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</si>
  <si>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</si>
  <si>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</si>
  <si>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</si>
  <si>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</si>
  <si>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</si>
  <si>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</si>
  <si>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 xml:space="preserve">  CALLE  33B  No. 17C - 70  2o. PISO               B/  LA FLORESTA             -   CALI    -                                   CEL.     321 7834969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</si>
  <si>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</si>
  <si>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</si>
  <si>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</si>
  <si>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</si>
  <si>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BRAIMM INGENIERIA , MANTENIMIENTO Y MONTAJES S.A.S</t>
  </si>
  <si>
    <t>901 784512</t>
  </si>
  <si>
    <t>CRA 17F5  No  27 C bis-43</t>
  </si>
  <si>
    <t>CALI</t>
  </si>
  <si>
    <t>311 3595801</t>
  </si>
  <si>
    <t>LUIS A. BENAVIDES</t>
  </si>
  <si>
    <t>ACCESORIO</t>
  </si>
  <si>
    <t>ENTREGA EN 3 DIAS  A PARTIR DE ORDEN DE COMPRA</t>
  </si>
  <si>
    <t xml:space="preserve">              R E M I S I O N</t>
  </si>
  <si>
    <t>CODO AC/INOX 304 SANITARIO P/S  1 1/2 "</t>
  </si>
  <si>
    <t>BRIDA AC/INOX 304 SLIP ON  2 "  X  150  LBS</t>
  </si>
  <si>
    <t>FERULA AC/INOX 304  1 1/2 "</t>
  </si>
  <si>
    <t>ABRAZADERA AC/INOX 304  1 1/2 "</t>
  </si>
  <si>
    <t>NIPLE AC/INOX 304  2 "  X  2 1/2 "</t>
  </si>
  <si>
    <t>FABRICACION</t>
  </si>
  <si>
    <t>EMPAQUE SILICONA  1 1/2 "</t>
  </si>
  <si>
    <t>TUBERIA AC/INOX SCH 40 316  1 "</t>
  </si>
  <si>
    <t>METRO LINEAL</t>
  </si>
  <si>
    <t>PLATINA AC/INOX  304  1 1/2 "  X  1/4 " X 40 CMTS</t>
  </si>
  <si>
    <t>TRAMO</t>
  </si>
  <si>
    <t>TRESCIENTOS VEINTIDOS MIL CATORCE PESOS MDA / CTE</t>
  </si>
  <si>
    <t>No. 5</t>
  </si>
  <si>
    <t>FORMA DE PAGO : CREDITO A 8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</si>
</sst>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4" fillId="0" borderId="3" xfId="0" applyFont="1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/>
    </xf>
    <xf numFmtId="0" fontId="0" fillId="0" borderId="32" xfId="0" applyBorder="1"/>
    <xf numFmtId="0" fontId="8" fillId="0" borderId="33" xfId="0" applyFont="1" applyBorder="1"/>
    <xf numFmtId="0" fontId="8" fillId="0" borderId="34" xfId="0" applyFont="1" applyBorder="1"/>
    <xf numFmtId="0" fontId="0" fillId="0" borderId="35" xfId="0" applyBorder="1"/>
    <xf numFmtId="42" fontId="11" fillId="0" borderId="30" xfId="1" applyFont="1" applyBorder="1" applyAlignment="1">
      <alignment horizontal="center"/>
    </xf>
    <xf numFmtId="0" fontId="0" fillId="0" borderId="31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4" xfId="0" applyFont="1" applyBorder="1" applyAlignment="1">
      <alignment horizontal="center"/>
    </xf>
    <xf numFmtId="0" fontId="8" fillId="0" borderId="13" xfId="0" applyFont="1" applyBorder="1"/>
    <xf numFmtId="0" fontId="8" fillId="0" borderId="36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topLeftCell="A13" zoomScaleNormal="100" workbookViewId="0">
      <selection activeCell="A29" sqref="A29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37</v>
      </c>
    </row>
    <row r="3" spans="1:8" ht="27" thickBot="1" x14ac:dyDescent="0.45">
      <c r="A3" s="11" t="s">
        <v>38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35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3"/>
      <c r="H6" s="44"/>
    </row>
    <row r="7" spans="1:8" ht="19.5" thickBot="1" x14ac:dyDescent="0.35">
      <c r="A7" s="20" t="s">
        <v>14</v>
      </c>
      <c r="B7" s="12"/>
      <c r="C7" s="46" t="s">
        <v>39</v>
      </c>
      <c r="D7" s="6"/>
      <c r="E7" s="6"/>
      <c r="F7" s="37"/>
      <c r="G7" s="18"/>
      <c r="H7" s="19" t="s">
        <v>60</v>
      </c>
    </row>
    <row r="8" spans="1:8" ht="19.5" thickBot="1" x14ac:dyDescent="0.35">
      <c r="A8" s="21" t="s">
        <v>8</v>
      </c>
      <c r="C8" s="14" t="s">
        <v>40</v>
      </c>
      <c r="E8" s="15"/>
      <c r="H8" s="15"/>
    </row>
    <row r="9" spans="1:8" ht="18.75" customHeight="1" thickBot="1" x14ac:dyDescent="0.35">
      <c r="A9" s="21" t="s">
        <v>9</v>
      </c>
      <c r="C9" s="14" t="s">
        <v>41</v>
      </c>
      <c r="E9" s="71" t="s">
        <v>42</v>
      </c>
      <c r="F9" s="30" t="s">
        <v>0</v>
      </c>
      <c r="H9" s="28">
        <v>45726</v>
      </c>
    </row>
    <row r="10" spans="1:8" ht="18.75" x14ac:dyDescent="0.3">
      <c r="A10" s="21" t="s">
        <v>13</v>
      </c>
      <c r="C10" s="50"/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45602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51" t="s">
        <v>36</v>
      </c>
      <c r="B15" s="24" t="s">
        <v>22</v>
      </c>
      <c r="C15" s="43"/>
      <c r="D15" s="13"/>
      <c r="E15" s="51" t="s">
        <v>18</v>
      </c>
      <c r="F15" s="51" t="s">
        <v>20</v>
      </c>
      <c r="G15" s="51" t="s">
        <v>19</v>
      </c>
      <c r="H15" s="32" t="s">
        <v>21</v>
      </c>
    </row>
    <row r="16" spans="1:8" ht="16.5" thickBot="1" x14ac:dyDescent="0.3">
      <c r="A16" s="53">
        <v>1</v>
      </c>
      <c r="B16" s="55" t="s">
        <v>48</v>
      </c>
      <c r="C16" s="55"/>
      <c r="D16" s="56"/>
      <c r="E16" s="53" t="s">
        <v>45</v>
      </c>
      <c r="F16" s="58">
        <v>14500</v>
      </c>
      <c r="G16" s="53">
        <v>1</v>
      </c>
      <c r="H16" s="38">
        <f t="shared" ref="H16" si="0">G16*F16</f>
        <v>14500</v>
      </c>
    </row>
    <row r="17" spans="1:8" ht="16.5" thickBot="1" x14ac:dyDescent="0.3">
      <c r="A17" s="53">
        <v>2</v>
      </c>
      <c r="B17" s="55" t="s">
        <v>49</v>
      </c>
      <c r="C17" s="55"/>
      <c r="D17" s="56"/>
      <c r="E17" s="53" t="s">
        <v>45</v>
      </c>
      <c r="F17" s="58">
        <v>68000</v>
      </c>
      <c r="G17" s="53">
        <v>1</v>
      </c>
      <c r="H17" s="38">
        <f t="shared" ref="H17:H23" si="1">G17*F17</f>
        <v>68000</v>
      </c>
    </row>
    <row r="18" spans="1:8" ht="16.5" thickBot="1" x14ac:dyDescent="0.3">
      <c r="A18" s="72">
        <v>3</v>
      </c>
      <c r="B18" s="73" t="s">
        <v>50</v>
      </c>
      <c r="C18" s="73"/>
      <c r="D18" s="74"/>
      <c r="E18" s="72" t="s">
        <v>45</v>
      </c>
      <c r="F18" s="75">
        <v>7800</v>
      </c>
      <c r="G18" s="72">
        <v>2</v>
      </c>
      <c r="H18" s="38">
        <f t="shared" si="1"/>
        <v>15600</v>
      </c>
    </row>
    <row r="19" spans="1:8" ht="16.5" thickBot="1" x14ac:dyDescent="0.3">
      <c r="A19" s="53">
        <v>4</v>
      </c>
      <c r="B19" s="55" t="s">
        <v>51</v>
      </c>
      <c r="C19" s="55"/>
      <c r="D19" s="56"/>
      <c r="E19" s="53" t="s">
        <v>45</v>
      </c>
      <c r="F19" s="58">
        <v>14000</v>
      </c>
      <c r="G19" s="53">
        <v>2</v>
      </c>
      <c r="H19" s="38">
        <f t="shared" si="1"/>
        <v>28000</v>
      </c>
    </row>
    <row r="20" spans="1:8" ht="16.5" thickBot="1" x14ac:dyDescent="0.3">
      <c r="A20" s="53">
        <v>5</v>
      </c>
      <c r="B20" s="55" t="s">
        <v>52</v>
      </c>
      <c r="C20" s="55"/>
      <c r="D20" s="56"/>
      <c r="E20" s="53" t="s">
        <v>53</v>
      </c>
      <c r="F20" s="58">
        <v>14500</v>
      </c>
      <c r="G20" s="53">
        <v>1</v>
      </c>
      <c r="H20" s="38">
        <f t="shared" si="1"/>
        <v>14500</v>
      </c>
    </row>
    <row r="21" spans="1:8" ht="16.5" thickBot="1" x14ac:dyDescent="0.3">
      <c r="A21" s="53">
        <v>6</v>
      </c>
      <c r="B21" s="55" t="s">
        <v>54</v>
      </c>
      <c r="C21" s="55"/>
      <c r="D21" s="56"/>
      <c r="E21" s="53" t="s">
        <v>45</v>
      </c>
      <c r="F21" s="58">
        <v>2000</v>
      </c>
      <c r="G21" s="53">
        <v>2</v>
      </c>
      <c r="H21" s="38">
        <f t="shared" si="1"/>
        <v>4000</v>
      </c>
    </row>
    <row r="22" spans="1:8" ht="16.5" thickBot="1" x14ac:dyDescent="0.3">
      <c r="A22" s="53">
        <v>7</v>
      </c>
      <c r="B22" s="55" t="s">
        <v>55</v>
      </c>
      <c r="C22" s="55"/>
      <c r="D22" s="56"/>
      <c r="E22" s="53" t="s">
        <v>56</v>
      </c>
      <c r="F22" s="58">
        <v>78000</v>
      </c>
      <c r="G22" s="53">
        <v>1</v>
      </c>
      <c r="H22" s="38">
        <f t="shared" si="1"/>
        <v>78000</v>
      </c>
    </row>
    <row r="23" spans="1:8" ht="16.5" thickBot="1" x14ac:dyDescent="0.3">
      <c r="A23" s="53">
        <v>8</v>
      </c>
      <c r="B23" s="55" t="s">
        <v>57</v>
      </c>
      <c r="C23" s="55"/>
      <c r="D23" s="56"/>
      <c r="E23" s="53" t="s">
        <v>58</v>
      </c>
      <c r="F23" s="58">
        <v>48000</v>
      </c>
      <c r="G23" s="53">
        <v>1</v>
      </c>
      <c r="H23" s="38">
        <f t="shared" si="1"/>
        <v>48000</v>
      </c>
    </row>
    <row r="24" spans="1:8" ht="19.5" customHeight="1" thickBot="1" x14ac:dyDescent="0.3">
      <c r="A24" s="54"/>
      <c r="B24" s="45"/>
      <c r="C24" s="42"/>
      <c r="D24" s="57"/>
      <c r="E24" s="59"/>
      <c r="F24" s="59"/>
      <c r="G24" s="59"/>
    </row>
    <row r="25" spans="1:8" ht="19.5" customHeight="1" thickBot="1" x14ac:dyDescent="0.35">
      <c r="A25" s="52" t="s">
        <v>23</v>
      </c>
      <c r="B25" s="14" t="s">
        <v>59</v>
      </c>
      <c r="D25" s="15"/>
      <c r="E25" s="60"/>
      <c r="F25" s="37" t="s">
        <v>29</v>
      </c>
      <c r="G25" s="6"/>
      <c r="H25" s="7"/>
    </row>
    <row r="26" spans="1:8" ht="19.5" customHeight="1" thickBot="1" x14ac:dyDescent="0.3">
      <c r="A26" s="39"/>
      <c r="B26" s="16"/>
      <c r="C26" s="4"/>
      <c r="D26" s="4"/>
      <c r="E26" s="63" t="s">
        <v>24</v>
      </c>
      <c r="F26" s="64"/>
      <c r="G26" s="47"/>
      <c r="H26" s="61">
        <f>SUM(H16:H23)</f>
        <v>270600</v>
      </c>
    </row>
    <row r="27" spans="1:8" ht="19.5" customHeight="1" x14ac:dyDescent="0.25">
      <c r="A27" s="24" t="s">
        <v>25</v>
      </c>
      <c r="B27" s="12"/>
      <c r="C27" s="12"/>
      <c r="D27" s="12"/>
      <c r="E27" s="65" t="s">
        <v>30</v>
      </c>
      <c r="F27" s="23"/>
      <c r="G27" s="66">
        <v>0.19</v>
      </c>
      <c r="H27" s="40">
        <f>H26*G27</f>
        <v>51414</v>
      </c>
    </row>
    <row r="28" spans="1:8" ht="19.5" customHeight="1" x14ac:dyDescent="0.25">
      <c r="A28" s="14" t="s">
        <v>61</v>
      </c>
      <c r="E28" s="67" t="s">
        <v>26</v>
      </c>
      <c r="G28" s="70">
        <v>2.5000000000000001E-2</v>
      </c>
      <c r="H28" s="62"/>
    </row>
    <row r="29" spans="1:8" ht="15.75" x14ac:dyDescent="0.25">
      <c r="A29" s="14" t="s">
        <v>46</v>
      </c>
      <c r="E29" s="14"/>
      <c r="F29" s="33"/>
      <c r="G29" s="48"/>
      <c r="H29" s="15"/>
    </row>
    <row r="30" spans="1:8" ht="16.5" thickBot="1" x14ac:dyDescent="0.3">
      <c r="A30" s="14" t="s">
        <v>33</v>
      </c>
      <c r="E30" s="68" t="s">
        <v>27</v>
      </c>
      <c r="F30" s="69"/>
      <c r="G30" s="49"/>
      <c r="H30" s="17"/>
    </row>
    <row r="31" spans="1:8" ht="19.5" thickBot="1" x14ac:dyDescent="0.35">
      <c r="A31" s="16"/>
      <c r="B31" s="4"/>
      <c r="C31" s="4"/>
      <c r="D31" s="17"/>
      <c r="F31" s="3"/>
      <c r="G31" s="34" t="s">
        <v>28</v>
      </c>
      <c r="H31" s="36">
        <f>H26+H27-H28</f>
        <v>322014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34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BRAIMM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2025-03-10T15:00:36Z</cp:lastPrinted>
  <dcterms:created xsi:type="dcterms:W3CDTF">2018-11-15T17:29:02Z</dcterms:created>
  <dcterms:modified xsi:type="dcterms:W3CDTF">2025-03-10T15:01:10Z</dcterms:modified>
</cp:coreProperties>
</file>