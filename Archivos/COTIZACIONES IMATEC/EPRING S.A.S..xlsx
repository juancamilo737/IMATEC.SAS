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7687921-70BE-4F93-A4F3-D7886A12DE0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PR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24" i="1" s="1"/>
  <c r="H25" i="1" l="1"/>
  <c r="H29" i="1" s="1"/>
</calcChain>
</file>

<file path=xl/sharedStrings.xml><?xml version="1.0" encoding="utf-8"?>
<sst xmlns="http://schemas.openxmlformats.org/spreadsheetml/2006/main" count="62" uniqueCount="57">
  <si>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</si>
  <si>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</si>
  <si>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</si>
  <si>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</si>
  <si>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</si>
  <si>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</si>
  <si>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</si>
  <si>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</si>
  <si>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</si>
  <si>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</si>
  <si>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</si>
  <si>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</si>
  <si>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</si>
  <si>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</si>
  <si>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</si>
  <si>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</si>
  <si>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</si>
  <si>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</si>
  <si>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</si>
  <si>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</si>
  <si>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</si>
  <si>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</si>
  <si>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</si>
  <si>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</si>
  <si>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</si>
  <si>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</si>
  <si>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</si>
  <si>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</si>
  <si>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</si>
  <si>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</si>
  <si>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</si>
  <si>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</si>
  <si>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</si>
  <si>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</si>
  <si>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</si>
  <si>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</si>
  <si>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</si>
  <si>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</si>
  <si>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</si>
  <si>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ENTREGA INMEDIATA</t>
  </si>
  <si>
    <t>O de C  No.</t>
  </si>
  <si>
    <t>EPRING S.A.S.</t>
  </si>
  <si>
    <t>No.  1</t>
  </si>
  <si>
    <t>901 262685</t>
  </si>
  <si>
    <t>AV 4 N  No. 44 - 47</t>
  </si>
  <si>
    <t>CALI</t>
  </si>
  <si>
    <t>epring@epring.co</t>
  </si>
  <si>
    <t>602 4876064</t>
  </si>
  <si>
    <t>LUIS A. BENAVIDES</t>
  </si>
  <si>
    <t>BUSHING GALVANIZADO  2 "  X  1 1/2 "</t>
  </si>
  <si>
    <t>NIPLE GALVANIZADO  2 "  X  20 CMTS</t>
  </si>
  <si>
    <t>NIPLE GALVANIZADO 1 1/2 "  X  20  CMTS</t>
  </si>
  <si>
    <t>NIPLE GALVANIZADO  1 1/4 "  X  20  CMTS</t>
  </si>
  <si>
    <t>NIPLE GALVANIZADO  1 "  X  20  CMTS</t>
  </si>
  <si>
    <t>NIPLE GALVANIZADO  3/4 "  X  20  CMTS</t>
  </si>
  <si>
    <t>SETENTA Y SIETE MIL CIENTO DOCE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</si>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</sst>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pring@epring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0" zoomScaleNormal="100" workbookViewId="0">
      <selection activeCell="J9" sqref="J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56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45757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47</v>
      </c>
      <c r="E12" s="15"/>
      <c r="F12" s="30" t="s">
        <v>40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36</v>
      </c>
      <c r="F16" s="65">
        <v>6800</v>
      </c>
      <c r="G16" s="61">
        <v>1</v>
      </c>
      <c r="H16" s="38">
        <f t="shared" ref="H16" si="0">G16*F16</f>
        <v>6800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36</v>
      </c>
      <c r="F17" s="65">
        <v>20600</v>
      </c>
      <c r="G17" s="61">
        <v>1</v>
      </c>
      <c r="H17" s="38">
        <f t="shared" ref="H17:H20" si="1">G17*F17</f>
        <v>20600</v>
      </c>
    </row>
    <row r="18" spans="1:8" ht="16.5" thickBot="1" x14ac:dyDescent="0.3">
      <c r="A18" s="61">
        <v>3</v>
      </c>
      <c r="B18" s="62" t="s">
        <v>51</v>
      </c>
      <c r="C18" s="63"/>
      <c r="D18" s="64"/>
      <c r="E18" s="61" t="s">
        <v>36</v>
      </c>
      <c r="F18" s="65">
        <v>13600</v>
      </c>
      <c r="G18" s="61">
        <v>1</v>
      </c>
      <c r="H18" s="38">
        <f t="shared" si="1"/>
        <v>13600</v>
      </c>
    </row>
    <row r="19" spans="1:8" ht="16.5" thickBot="1" x14ac:dyDescent="0.3">
      <c r="A19" s="61">
        <v>4</v>
      </c>
      <c r="B19" s="62" t="s">
        <v>52</v>
      </c>
      <c r="C19" s="63"/>
      <c r="D19" s="64"/>
      <c r="E19" s="61" t="s">
        <v>36</v>
      </c>
      <c r="F19" s="65">
        <v>10200</v>
      </c>
      <c r="G19" s="61">
        <v>1</v>
      </c>
      <c r="H19" s="38">
        <f t="shared" si="1"/>
        <v>10200</v>
      </c>
    </row>
    <row r="20" spans="1:8" ht="16.5" thickBot="1" x14ac:dyDescent="0.3">
      <c r="A20" s="61">
        <v>5</v>
      </c>
      <c r="B20" s="62" t="s">
        <v>53</v>
      </c>
      <c r="C20" s="63"/>
      <c r="D20" s="64"/>
      <c r="E20" s="61" t="s">
        <v>36</v>
      </c>
      <c r="F20" s="65">
        <v>8200</v>
      </c>
      <c r="G20" s="61">
        <v>1</v>
      </c>
      <c r="H20" s="38">
        <f t="shared" si="1"/>
        <v>8200</v>
      </c>
    </row>
    <row r="21" spans="1:8" ht="16.5" thickBot="1" x14ac:dyDescent="0.3">
      <c r="A21" s="61">
        <v>6</v>
      </c>
      <c r="B21" s="62" t="s">
        <v>54</v>
      </c>
      <c r="C21" s="63"/>
      <c r="D21" s="64"/>
      <c r="E21" s="61" t="s">
        <v>36</v>
      </c>
      <c r="F21" s="65">
        <v>5400</v>
      </c>
      <c r="G21" s="61">
        <v>1</v>
      </c>
      <c r="H21" s="38">
        <f t="shared" ref="H21" si="2">G21*F21</f>
        <v>5400</v>
      </c>
    </row>
    <row r="22" spans="1:8" ht="19.5" customHeight="1" thickBot="1" x14ac:dyDescent="0.3">
      <c r="A22" s="48"/>
      <c r="B22" s="67"/>
      <c r="D22" s="68"/>
      <c r="E22" s="48"/>
      <c r="F22" s="48"/>
      <c r="G22" s="48"/>
    </row>
    <row r="23" spans="1:8" ht="19.5" customHeight="1" thickBot="1" x14ac:dyDescent="0.35">
      <c r="A23" s="66" t="s">
        <v>22</v>
      </c>
      <c r="B23" s="69" t="s">
        <v>55</v>
      </c>
      <c r="C23" s="12"/>
      <c r="D23" s="13"/>
      <c r="E23" s="49"/>
      <c r="F23" s="37" t="s">
        <v>37</v>
      </c>
      <c r="G23" s="6"/>
      <c r="H23" s="7"/>
    </row>
    <row r="24" spans="1:8" ht="19.5" customHeight="1" thickBot="1" x14ac:dyDescent="0.3">
      <c r="A24" s="39"/>
      <c r="B24" s="16"/>
      <c r="C24" s="4"/>
      <c r="D24" s="17"/>
      <c r="E24" s="52" t="s">
        <v>23</v>
      </c>
      <c r="F24" s="53"/>
      <c r="G24" s="44"/>
      <c r="H24" s="50">
        <f>SUM(H16:H21)</f>
        <v>64800</v>
      </c>
    </row>
    <row r="25" spans="1:8" ht="19.5" customHeight="1" x14ac:dyDescent="0.25">
      <c r="A25" s="24" t="s">
        <v>24</v>
      </c>
      <c r="B25" s="12"/>
      <c r="C25" s="12"/>
      <c r="D25" s="12"/>
      <c r="E25" s="54" t="s">
        <v>28</v>
      </c>
      <c r="F25" s="23"/>
      <c r="G25" s="55">
        <v>0.19</v>
      </c>
      <c r="H25" s="40">
        <f>H24*G25</f>
        <v>12312</v>
      </c>
    </row>
    <row r="26" spans="1:8" ht="19.5" customHeight="1" x14ac:dyDescent="0.25">
      <c r="A26" s="14" t="s">
        <v>29</v>
      </c>
      <c r="E26" s="56" t="s">
        <v>25</v>
      </c>
      <c r="G26" s="59">
        <v>2.5000000000000001E-2</v>
      </c>
      <c r="H26" s="51"/>
    </row>
    <row r="27" spans="1:8" ht="15.75" x14ac:dyDescent="0.25">
      <c r="A27" s="14" t="s">
        <v>39</v>
      </c>
      <c r="E27" s="14"/>
      <c r="F27" s="33"/>
      <c r="G27" s="45"/>
      <c r="H27" s="15"/>
    </row>
    <row r="28" spans="1:8" ht="16.5" thickBot="1" x14ac:dyDescent="0.3">
      <c r="A28" s="14" t="s">
        <v>31</v>
      </c>
      <c r="E28" s="57" t="s">
        <v>26</v>
      </c>
      <c r="F28" s="58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27</v>
      </c>
      <c r="H29" s="36">
        <f>H24+H25-H26</f>
        <v>77112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38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D2F014BF-5F2E-4C67-81AA-7C4AC13BFF8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EPRING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2025-04-10T15:05:34Z</dcterms:modified>
</cp:coreProperties>
</file>