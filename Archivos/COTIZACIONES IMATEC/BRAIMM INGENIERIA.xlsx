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8C2CD42A-7197-409B-9A6C-313916B896C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RAIM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3" i="1" l="1"/>
  <c r="H40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38" i="1" s="1"/>
  <c r="H39" i="1" l="1"/>
</calcChain>
</file>

<file path=xl/sharedStrings.xml><?xml version="1.0" encoding="utf-8"?>
<sst xmlns="http://schemas.openxmlformats.org/spreadsheetml/2006/main" count="90" uniqueCount="72">
  <si>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</si>
  <si>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</si>
  <si>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</si>
  <si>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</si>
  <si>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</si>
  <si>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</si>
  <si>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</si>
  <si>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</si>
  <si>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</si>
  <si>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</si>
  <si>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</si>
  <si>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</si>
  <si>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</si>
  <si>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</si>
  <si>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</si>
  <si>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</si>
  <si>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</si>
  <si>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</si>
  <si>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</si>
  <si>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</si>
  <si>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</si>
  <si>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</si>
  <si>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</si>
  <si>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</si>
  <si>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</si>
  <si>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</si>
  <si>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</si>
  <si>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</si>
  <si>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</si>
  <si>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</si>
  <si>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</si>
  <si>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</si>
  <si>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</si>
  <si>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</si>
  <si>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</si>
  <si>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</si>
  <si>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</si>
  <si>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</si>
  <si>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</si>
  <si>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</si>
  <si>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</si>
  <si>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BRAIMM INGENIERIA , MANTENIMIENTO Y MONTAJES S.A.S</t>
  </si>
  <si>
    <t>901 784512</t>
  </si>
  <si>
    <t>CRA 17F5  No  27 C bis-43</t>
  </si>
  <si>
    <t>CALI</t>
  </si>
  <si>
    <t>311 3595801</t>
  </si>
  <si>
    <t>LUIS A. BENAVIDES</t>
  </si>
  <si>
    <t>TUBERIA AC/INOX SANITARIA  2 "</t>
  </si>
  <si>
    <t>METRO LINEAL</t>
  </si>
  <si>
    <t>TUBERIA AC/INOX SANITARIA  1  1/2 "</t>
  </si>
  <si>
    <t>TUBERIA AC/INOX SANITARIA  1  "</t>
  </si>
  <si>
    <t xml:space="preserve">CODO  AC/INOX SANITARIO  2 " </t>
  </si>
  <si>
    <t>ACCESORIO</t>
  </si>
  <si>
    <t xml:space="preserve">CODO  AC/INOX SANITARIO 1  1/ 2 " </t>
  </si>
  <si>
    <t xml:space="preserve">CODO  AC/INOX SANITARIO 1   " </t>
  </si>
  <si>
    <t>VALVULA SANITARIA ON OFF MANUAL  2 "</t>
  </si>
  <si>
    <t>VALVULA SANITARIA ON OFF MANUAL  1 1/2 "</t>
  </si>
  <si>
    <t>VALVULA SANITARIA ON OFF  1 " AUT/NEUMATICA</t>
  </si>
  <si>
    <t>VALVULA CHEQUE AC/INOX SANITARIA 2 "</t>
  </si>
  <si>
    <t>VALVULA CHEQUE AC/INOX SANITARIA 1 1/2 "</t>
  </si>
  <si>
    <t>UNION FERULAR COMPLETA  3 "</t>
  </si>
  <si>
    <t>UNION FERULAR COMPLETA  2 "</t>
  </si>
  <si>
    <t>UNION FERULAR COMPLETA  1 1/2 "</t>
  </si>
  <si>
    <t>UNION FERULAR COMPLETA  1 "</t>
  </si>
  <si>
    <t>REDUCCION COPA CONCENTRICA  3 "   X  2 "</t>
  </si>
  <si>
    <t>REDUCCION COPA CONCENTRICA  3 "  X  1 1/2 "</t>
  </si>
  <si>
    <t>REDUCCION COPA CONCENTRICA 2 "  X  1 1/2 "</t>
  </si>
  <si>
    <t>REDUCCION COPA CONCENTRICA  2 "  X  1 "</t>
  </si>
  <si>
    <t>TEE AC/INOX SANITARIA  2 "</t>
  </si>
  <si>
    <t>CUATRO MILLONES OCHOCIENTOS DOS MIL CUATRO-</t>
  </si>
  <si>
    <t>CIENTOS OCHENTA PESOS MDA / CTE</t>
  </si>
  <si>
    <t>ENTREGA EN 3 DIAS 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</si>
</sst>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8" fillId="0" borderId="0" xfId="0" applyFont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0" fillId="0" borderId="37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8" fillId="0" borderId="0" xfId="0" applyFont="1" applyBorder="1"/>
    <xf numFmtId="0" fontId="1" fillId="0" borderId="36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8"/>
  <sheetViews>
    <sheetView tabSelected="1" zoomScaleNormal="100" workbookViewId="0">
      <selection activeCell="I41" sqref="I4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46" t="s">
        <v>41</v>
      </c>
      <c r="D7" s="6"/>
      <c r="E7" s="6"/>
      <c r="F7" s="37"/>
      <c r="G7" s="18"/>
      <c r="H7" s="19"/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76" t="s">
        <v>44</v>
      </c>
      <c r="F9" s="30" t="s">
        <v>0</v>
      </c>
      <c r="H9" s="28">
        <v>45560</v>
      </c>
    </row>
    <row r="10" spans="1:8" ht="18.75" x14ac:dyDescent="0.3">
      <c r="A10" s="21" t="s">
        <v>13</v>
      </c>
      <c r="C10" s="50"/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45569</v>
      </c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2" t="s">
        <v>37</v>
      </c>
      <c r="B15" s="24" t="s">
        <v>22</v>
      </c>
      <c r="C15" s="43"/>
      <c r="D15" s="13"/>
      <c r="E15" s="52" t="s">
        <v>18</v>
      </c>
      <c r="F15" s="52" t="s">
        <v>20</v>
      </c>
      <c r="G15" s="52" t="s">
        <v>19</v>
      </c>
      <c r="H15" s="32" t="s">
        <v>21</v>
      </c>
    </row>
    <row r="16" spans="1:8" ht="16.5" thickBot="1" x14ac:dyDescent="0.3">
      <c r="A16" s="54">
        <v>1</v>
      </c>
      <c r="B16" s="57" t="s">
        <v>47</v>
      </c>
      <c r="C16" s="57"/>
      <c r="D16" s="58"/>
      <c r="E16" s="54" t="s">
        <v>48</v>
      </c>
      <c r="F16" s="62">
        <v>49000</v>
      </c>
      <c r="G16" s="54">
        <v>11.6</v>
      </c>
      <c r="H16" s="38">
        <f t="shared" ref="H16" si="0">G16*F16</f>
        <v>568400</v>
      </c>
    </row>
    <row r="17" spans="1:8" ht="16.5" thickBot="1" x14ac:dyDescent="0.3">
      <c r="A17" s="55">
        <v>2</v>
      </c>
      <c r="B17" s="77" t="s">
        <v>49</v>
      </c>
      <c r="C17" s="51"/>
      <c r="D17" s="60"/>
      <c r="E17" s="55" t="s">
        <v>48</v>
      </c>
      <c r="F17" s="63">
        <v>38000</v>
      </c>
      <c r="G17" s="55">
        <v>11.6</v>
      </c>
      <c r="H17" s="38">
        <f t="shared" ref="H17:H26" si="1">G17*F17</f>
        <v>440800</v>
      </c>
    </row>
    <row r="18" spans="1:8" ht="16.5" thickBot="1" x14ac:dyDescent="0.3">
      <c r="A18" s="55">
        <v>3</v>
      </c>
      <c r="B18" s="77" t="s">
        <v>50</v>
      </c>
      <c r="C18" s="51"/>
      <c r="D18" s="60"/>
      <c r="E18" s="55" t="s">
        <v>48</v>
      </c>
      <c r="F18" s="63">
        <v>21000</v>
      </c>
      <c r="G18" s="55">
        <v>23.2</v>
      </c>
      <c r="H18" s="38">
        <f t="shared" si="1"/>
        <v>487200</v>
      </c>
    </row>
    <row r="19" spans="1:8" ht="16.5" thickBot="1" x14ac:dyDescent="0.3">
      <c r="A19" s="55">
        <v>4</v>
      </c>
      <c r="B19" s="59" t="s">
        <v>51</v>
      </c>
      <c r="C19" s="51"/>
      <c r="D19" s="60"/>
      <c r="E19" s="55" t="s">
        <v>52</v>
      </c>
      <c r="F19" s="63">
        <v>19500</v>
      </c>
      <c r="G19" s="55">
        <v>8</v>
      </c>
      <c r="H19" s="38">
        <f t="shared" si="1"/>
        <v>156000</v>
      </c>
    </row>
    <row r="20" spans="1:8" ht="16.5" thickBot="1" x14ac:dyDescent="0.3">
      <c r="A20" s="55">
        <v>5</v>
      </c>
      <c r="B20" s="59" t="s">
        <v>53</v>
      </c>
      <c r="C20" s="51"/>
      <c r="D20" s="60"/>
      <c r="E20" s="55" t="s">
        <v>52</v>
      </c>
      <c r="F20" s="63">
        <v>12600</v>
      </c>
      <c r="G20" s="55">
        <v>6</v>
      </c>
      <c r="H20" s="38">
        <f t="shared" si="1"/>
        <v>75600</v>
      </c>
    </row>
    <row r="21" spans="1:8" ht="16.5" thickBot="1" x14ac:dyDescent="0.3">
      <c r="A21" s="55">
        <v>6</v>
      </c>
      <c r="B21" s="59" t="s">
        <v>54</v>
      </c>
      <c r="C21" s="51"/>
      <c r="D21" s="60"/>
      <c r="E21" s="55" t="s">
        <v>52</v>
      </c>
      <c r="F21" s="63">
        <v>12000</v>
      </c>
      <c r="G21" s="55">
        <v>14</v>
      </c>
      <c r="H21" s="38">
        <f t="shared" si="1"/>
        <v>168000</v>
      </c>
    </row>
    <row r="22" spans="1:8" ht="16.5" thickBot="1" x14ac:dyDescent="0.3">
      <c r="A22" s="55">
        <v>7</v>
      </c>
      <c r="B22" s="59" t="s">
        <v>55</v>
      </c>
      <c r="C22" s="51"/>
      <c r="D22" s="60"/>
      <c r="E22" s="55" t="s">
        <v>52</v>
      </c>
      <c r="F22" s="63">
        <v>175000</v>
      </c>
      <c r="G22" s="55">
        <v>1</v>
      </c>
      <c r="H22" s="38">
        <f t="shared" si="1"/>
        <v>175000</v>
      </c>
    </row>
    <row r="23" spans="1:8" ht="16.5" thickBot="1" x14ac:dyDescent="0.3">
      <c r="A23" s="55">
        <v>8</v>
      </c>
      <c r="B23" s="59" t="s">
        <v>56</v>
      </c>
      <c r="C23" s="51"/>
      <c r="D23" s="60"/>
      <c r="E23" s="55" t="s">
        <v>52</v>
      </c>
      <c r="F23" s="63">
        <v>140000</v>
      </c>
      <c r="G23" s="55">
        <v>1</v>
      </c>
      <c r="H23" s="38">
        <f t="shared" si="1"/>
        <v>140000</v>
      </c>
    </row>
    <row r="24" spans="1:8" ht="16.5" thickBot="1" x14ac:dyDescent="0.3">
      <c r="A24" s="55">
        <v>9</v>
      </c>
      <c r="B24" s="59" t="s">
        <v>57</v>
      </c>
      <c r="C24" s="51"/>
      <c r="D24" s="60"/>
      <c r="E24" s="55" t="s">
        <v>52</v>
      </c>
      <c r="F24" s="63"/>
      <c r="G24" s="55">
        <v>2</v>
      </c>
      <c r="H24" s="38">
        <f t="shared" si="1"/>
        <v>0</v>
      </c>
    </row>
    <row r="25" spans="1:8" ht="16.5" thickBot="1" x14ac:dyDescent="0.3">
      <c r="A25" s="78">
        <v>10</v>
      </c>
      <c r="B25" s="77" t="s">
        <v>58</v>
      </c>
      <c r="C25" s="77"/>
      <c r="D25" s="60"/>
      <c r="E25" s="55" t="s">
        <v>52</v>
      </c>
      <c r="F25" s="63">
        <v>170000</v>
      </c>
      <c r="G25" s="55">
        <v>1</v>
      </c>
      <c r="H25" s="38">
        <f t="shared" si="1"/>
        <v>170000</v>
      </c>
    </row>
    <row r="26" spans="1:8" ht="16.5" thickBot="1" x14ac:dyDescent="0.3">
      <c r="A26" s="78">
        <v>11</v>
      </c>
      <c r="B26" s="77" t="s">
        <v>59</v>
      </c>
      <c r="C26" s="77"/>
      <c r="D26" s="60"/>
      <c r="E26" s="55" t="s">
        <v>52</v>
      </c>
      <c r="F26" s="63">
        <v>120000</v>
      </c>
      <c r="G26" s="55">
        <v>1</v>
      </c>
      <c r="H26" s="38">
        <f t="shared" si="1"/>
        <v>120000</v>
      </c>
    </row>
    <row r="27" spans="1:8" ht="16.5" thickBot="1" x14ac:dyDescent="0.3">
      <c r="A27" s="55">
        <v>12</v>
      </c>
      <c r="B27" s="77" t="s">
        <v>60</v>
      </c>
      <c r="C27" s="51"/>
      <c r="D27" s="60"/>
      <c r="E27" s="55" t="s">
        <v>52</v>
      </c>
      <c r="F27" s="63">
        <v>56000</v>
      </c>
      <c r="G27" s="55">
        <v>4</v>
      </c>
      <c r="H27" s="38">
        <f t="shared" ref="H27:H35" si="2">G27*F27</f>
        <v>224000</v>
      </c>
    </row>
    <row r="28" spans="1:8" ht="16.5" thickBot="1" x14ac:dyDescent="0.3">
      <c r="A28" s="55">
        <v>13</v>
      </c>
      <c r="B28" s="77" t="s">
        <v>61</v>
      </c>
      <c r="C28" s="51"/>
      <c r="D28" s="60"/>
      <c r="E28" s="55" t="s">
        <v>52</v>
      </c>
      <c r="F28" s="63">
        <v>38000</v>
      </c>
      <c r="G28" s="55">
        <v>14</v>
      </c>
      <c r="H28" s="38">
        <f t="shared" si="2"/>
        <v>532000</v>
      </c>
    </row>
    <row r="29" spans="1:8" ht="16.5" thickBot="1" x14ac:dyDescent="0.3">
      <c r="A29" s="55">
        <v>14</v>
      </c>
      <c r="B29" s="77" t="s">
        <v>62</v>
      </c>
      <c r="C29" s="51"/>
      <c r="D29" s="60"/>
      <c r="E29" s="55" t="s">
        <v>52</v>
      </c>
      <c r="F29" s="63">
        <v>33900</v>
      </c>
      <c r="G29" s="55">
        <v>7</v>
      </c>
      <c r="H29" s="38">
        <f t="shared" si="2"/>
        <v>237300</v>
      </c>
    </row>
    <row r="30" spans="1:8" ht="16.5" thickBot="1" x14ac:dyDescent="0.3">
      <c r="A30" s="55">
        <v>15</v>
      </c>
      <c r="B30" s="77" t="s">
        <v>63</v>
      </c>
      <c r="C30" s="51"/>
      <c r="D30" s="60"/>
      <c r="E30" s="55" t="s">
        <v>52</v>
      </c>
      <c r="F30" s="63">
        <v>32000</v>
      </c>
      <c r="G30" s="55">
        <v>10</v>
      </c>
      <c r="H30" s="38">
        <f t="shared" si="2"/>
        <v>320000</v>
      </c>
    </row>
    <row r="31" spans="1:8" ht="16.5" thickBot="1" x14ac:dyDescent="0.3">
      <c r="A31" s="55">
        <v>16</v>
      </c>
      <c r="B31" s="59" t="s">
        <v>64</v>
      </c>
      <c r="C31" s="51"/>
      <c r="D31" s="60"/>
      <c r="E31" s="55" t="s">
        <v>52</v>
      </c>
      <c r="F31" s="63">
        <v>48000</v>
      </c>
      <c r="G31" s="55">
        <v>1</v>
      </c>
      <c r="H31" s="38">
        <f t="shared" si="2"/>
        <v>48000</v>
      </c>
    </row>
    <row r="32" spans="1:8" ht="16.5" thickBot="1" x14ac:dyDescent="0.3">
      <c r="A32" s="55">
        <v>17</v>
      </c>
      <c r="B32" s="59" t="s">
        <v>65</v>
      </c>
      <c r="C32" s="51"/>
      <c r="D32" s="60"/>
      <c r="E32" s="55" t="s">
        <v>52</v>
      </c>
      <c r="F32" s="63">
        <v>51000</v>
      </c>
      <c r="G32" s="55">
        <v>1</v>
      </c>
      <c r="H32" s="38">
        <f t="shared" si="2"/>
        <v>51000</v>
      </c>
    </row>
    <row r="33" spans="1:8" ht="16.5" thickBot="1" x14ac:dyDescent="0.3">
      <c r="A33" s="55">
        <v>18</v>
      </c>
      <c r="B33" s="59" t="s">
        <v>66</v>
      </c>
      <c r="C33" s="51"/>
      <c r="D33" s="60"/>
      <c r="E33" s="55" t="s">
        <v>52</v>
      </c>
      <c r="F33" s="63">
        <v>23000</v>
      </c>
      <c r="G33" s="55">
        <v>2</v>
      </c>
      <c r="H33" s="38">
        <f t="shared" si="2"/>
        <v>46000</v>
      </c>
    </row>
    <row r="34" spans="1:8" ht="16.5" thickBot="1" x14ac:dyDescent="0.3">
      <c r="A34" s="55">
        <v>19</v>
      </c>
      <c r="B34" s="59" t="s">
        <v>67</v>
      </c>
      <c r="C34" s="51"/>
      <c r="D34" s="60"/>
      <c r="E34" s="55" t="s">
        <v>52</v>
      </c>
      <c r="F34" s="63">
        <v>23000</v>
      </c>
      <c r="G34" s="55">
        <v>6</v>
      </c>
      <c r="H34" s="38">
        <f t="shared" si="2"/>
        <v>138000</v>
      </c>
    </row>
    <row r="35" spans="1:8" ht="16.5" thickBot="1" x14ac:dyDescent="0.3">
      <c r="A35" s="55">
        <v>20</v>
      </c>
      <c r="B35" s="59" t="s">
        <v>68</v>
      </c>
      <c r="C35" s="51"/>
      <c r="D35" s="60"/>
      <c r="E35" s="55" t="s">
        <v>52</v>
      </c>
      <c r="F35" s="63">
        <v>25000</v>
      </c>
      <c r="G35" s="55">
        <v>1</v>
      </c>
      <c r="H35" s="38">
        <f t="shared" si="2"/>
        <v>25000</v>
      </c>
    </row>
    <row r="36" spans="1:8" ht="19.5" customHeight="1" thickBot="1" x14ac:dyDescent="0.3">
      <c r="A36" s="56"/>
      <c r="B36" s="45"/>
      <c r="C36" s="42"/>
      <c r="D36" s="61"/>
      <c r="E36" s="64"/>
      <c r="F36" s="64"/>
      <c r="G36" s="64"/>
    </row>
    <row r="37" spans="1:8" ht="19.5" customHeight="1" thickBot="1" x14ac:dyDescent="0.35">
      <c r="A37" s="53" t="s">
        <v>23</v>
      </c>
      <c r="B37" s="14" t="s">
        <v>69</v>
      </c>
      <c r="D37" s="15"/>
      <c r="E37" s="65"/>
      <c r="F37" s="37" t="s">
        <v>29</v>
      </c>
      <c r="G37" s="6"/>
      <c r="H37" s="7"/>
    </row>
    <row r="38" spans="1:8" ht="19.5" customHeight="1" thickBot="1" x14ac:dyDescent="0.3">
      <c r="A38" s="39"/>
      <c r="B38" s="16" t="s">
        <v>70</v>
      </c>
      <c r="C38" s="4"/>
      <c r="D38" s="4"/>
      <c r="E38" s="68" t="s">
        <v>24</v>
      </c>
      <c r="F38" s="69"/>
      <c r="G38" s="47"/>
      <c r="H38" s="66">
        <f>SUM(H16:H37)</f>
        <v>4122300</v>
      </c>
    </row>
    <row r="39" spans="1:8" ht="19.5" customHeight="1" x14ac:dyDescent="0.25">
      <c r="A39" s="24" t="s">
        <v>25</v>
      </c>
      <c r="B39" s="12"/>
      <c r="C39" s="12"/>
      <c r="D39" s="12"/>
      <c r="E39" s="70" t="s">
        <v>30</v>
      </c>
      <c r="F39" s="23"/>
      <c r="G39" s="71">
        <v>0.19</v>
      </c>
      <c r="H39" s="40">
        <f>H38*G39</f>
        <v>783237</v>
      </c>
    </row>
    <row r="40" spans="1:8" ht="19.5" customHeight="1" x14ac:dyDescent="0.25">
      <c r="A40" s="14" t="s">
        <v>31</v>
      </c>
      <c r="E40" s="72" t="s">
        <v>26</v>
      </c>
      <c r="G40" s="75">
        <v>2.5000000000000001E-2</v>
      </c>
      <c r="H40" s="67">
        <f>H38*G40</f>
        <v>103057.5</v>
      </c>
    </row>
    <row r="41" spans="1:8" ht="15.75" x14ac:dyDescent="0.25">
      <c r="A41" s="14" t="s">
        <v>71</v>
      </c>
      <c r="E41" s="14"/>
      <c r="F41" s="33"/>
      <c r="G41" s="48"/>
      <c r="H41" s="15"/>
    </row>
    <row r="42" spans="1:8" ht="16.5" thickBot="1" x14ac:dyDescent="0.3">
      <c r="A42" s="14" t="s">
        <v>34</v>
      </c>
      <c r="E42" s="73" t="s">
        <v>27</v>
      </c>
      <c r="F42" s="74"/>
      <c r="G42" s="49"/>
      <c r="H42" s="17"/>
    </row>
    <row r="43" spans="1:8" ht="19.5" thickBot="1" x14ac:dyDescent="0.35">
      <c r="A43" s="16"/>
      <c r="B43" s="4"/>
      <c r="C43" s="4"/>
      <c r="D43" s="17"/>
      <c r="F43" s="3"/>
      <c r="G43" s="34" t="s">
        <v>28</v>
      </c>
      <c r="H43" s="36">
        <f>H38+H39-H40</f>
        <v>4802479.5</v>
      </c>
    </row>
    <row r="44" spans="1:8" ht="16.5" customHeight="1" x14ac:dyDescent="0.25"/>
    <row r="49" spans="1:8" ht="15.75" thickBot="1" x14ac:dyDescent="0.3"/>
    <row r="50" spans="1:8" ht="19.5" thickBot="1" x14ac:dyDescent="0.35">
      <c r="A50" s="25" t="s">
        <v>35</v>
      </c>
      <c r="B50" s="6"/>
      <c r="C50" s="6"/>
      <c r="D50" s="6"/>
      <c r="E50" s="6"/>
      <c r="F50" s="6"/>
      <c r="G50" s="6"/>
      <c r="H50" s="7"/>
    </row>
    <row r="58" spans="1:8" ht="18.75" x14ac:dyDescent="0.3">
      <c r="A58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BRAIMM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2024-09-25T14:43:25Z</dcterms:modified>
</cp:coreProperties>
</file>