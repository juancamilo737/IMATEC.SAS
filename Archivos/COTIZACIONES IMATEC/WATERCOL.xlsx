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29FB9275-F315-43D3-954B-7546D1CEFDF0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WATERCOL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1" l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7" i="1"/>
  <c r="H18" i="1"/>
  <c r="H16" i="1"/>
  <c r="H37" i="1" l="1"/>
  <c r="H36" i="1"/>
  <c r="H40" i="1" s="1"/>
</calcChain>
</file>

<file path=xl/sharedStrings.xml><?xml version="1.0" encoding="utf-8"?>
<sst xmlns="http://schemas.openxmlformats.org/spreadsheetml/2006/main" count="86" uniqueCount="71">
  <si>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</si>
  <si>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</si>
  <si>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</si>
  <si>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</si>
  <si>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</si>
  <si>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</si>
  <si>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</si>
  <si>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</si>
  <si>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</si>
  <si>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</si>
  <si>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</si>
  <si>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</si>
  <si>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</si>
  <si>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</si>
  <si>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</si>
  <si>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</si>
  <si>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</si>
  <si>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</si>
  <si>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</si>
  <si>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</si>
  <si>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</si>
  <si>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</si>
  <si>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</si>
  <si>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</si>
  <si>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</si>
  <si>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</si>
  <si>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</si>
  <si>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</si>
  <si>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</si>
  <si>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</si>
  <si>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</si>
  <si>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</si>
  <si>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</si>
  <si>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</si>
  <si>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</si>
  <si>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</si>
  <si>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</si>
  <si>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</si>
  <si>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>ACCESORIO</t>
  </si>
  <si>
    <t>METRO LINEAL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</si>
  <si>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</si>
  <si>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</si>
  <si>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WATERCOL S A S</t>
  </si>
  <si>
    <t>901 193743</t>
  </si>
  <si>
    <t>CARRERA 36 No. 10-549 ACOPI</t>
  </si>
  <si>
    <t>YUMBO</t>
  </si>
  <si>
    <t>contabilidad@watercol.com.co</t>
  </si>
  <si>
    <t>311 614 8702</t>
  </si>
  <si>
    <t>LUIS A. BENAVIDES</t>
  </si>
  <si>
    <t>TUBERIA AC/INOX 304 SCH 10  2 1/2 "</t>
  </si>
  <si>
    <t>TUBERIA AC/INOX 304 SCH 10  1 "</t>
  </si>
  <si>
    <t>CODO AC/INOX 304 SCH 10   1 "  X  90º</t>
  </si>
  <si>
    <t>TEE AC/INOX 304  SCH 10  1 "</t>
  </si>
  <si>
    <t>UNION AC/INOX  304 SCH 10  1 "</t>
  </si>
  <si>
    <t>VALVULA BOLA AC/INOX 304  1 "</t>
  </si>
  <si>
    <t>UNION HD  RANURADA  1 "</t>
  </si>
  <si>
    <t>UNION AC/INOX 304  1 1/4 "  X  150 LB</t>
  </si>
  <si>
    <t>UNION AC/INOX 304  3/4 "  X  150 LB</t>
  </si>
  <si>
    <t>COPA REDUCCION AC/INOX  SCH 10  1 1/4 "  A  1 "</t>
  </si>
  <si>
    <t>COPA REDUCCION AC/INOX  SCH 10  1  "  A  3/4 "</t>
  </si>
  <si>
    <t>COPA REDUCCION AC/INOX  SCH 10  1  "  A  1/2 "</t>
  </si>
  <si>
    <t>BUSHING AC/INOX 304  1/2 " X 1/4 "</t>
  </si>
  <si>
    <t>NIPLE AC/INOX 304  1/4 "  X  2 "</t>
  </si>
  <si>
    <t>NIPLE AC/INOX 304  1/4 "  X 1 1/2 "</t>
  </si>
  <si>
    <t>VALVULA BOLA AC/INOX 304  1/4 "</t>
  </si>
  <si>
    <t>MANOMETRO CARATULA 2 1/2 " DE 0 A 100 PSI CONEX.</t>
  </si>
  <si>
    <t>VERTICAL 1/4 " BRONCE</t>
  </si>
  <si>
    <t>TRES MILLONES CUATROCIENTOS TREINTA Y CINCO MIL</t>
  </si>
  <si>
    <t>TRESCIENTOS OCHENTA Y SIETE PESOS MDA / CTE</t>
  </si>
  <si>
    <t>FORMA DE PAGO : CREDITO A TREINTA DIAS</t>
  </si>
  <si>
    <t>ENTREGA 3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</si>
</sst>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0" fontId="4" fillId="0" borderId="22" xfId="0" applyFont="1" applyBorder="1"/>
    <xf numFmtId="42" fontId="1" fillId="0" borderId="23" xfId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17" xfId="0" applyFont="1" applyBorder="1" applyAlignment="1">
      <alignment horizontal="center"/>
    </xf>
    <xf numFmtId="10" fontId="1" fillId="0" borderId="0" xfId="0" applyNumberFormat="1" applyFont="1"/>
    <xf numFmtId="0" fontId="1" fillId="0" borderId="21" xfId="0" applyFont="1" applyBorder="1" applyAlignment="1">
      <alignment horizontal="center"/>
    </xf>
    <xf numFmtId="0" fontId="0" fillId="0" borderId="24" xfId="0" applyBorder="1"/>
    <xf numFmtId="0" fontId="0" fillId="0" borderId="23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wa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5"/>
  <sheetViews>
    <sheetView tabSelected="1" topLeftCell="A32" zoomScaleNormal="100" workbookViewId="0">
      <selection activeCell="F43" sqref="F4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6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5" t="s">
        <v>41</v>
      </c>
      <c r="B5" s="6"/>
      <c r="C5" s="6"/>
      <c r="D5" s="6"/>
      <c r="E5" s="6"/>
    </row>
    <row r="6" spans="1:8" ht="24.75" customHeight="1" thickBot="1" x14ac:dyDescent="0.45">
      <c r="F6" s="11" t="s">
        <v>18</v>
      </c>
      <c r="G6" s="19"/>
      <c r="H6" s="20"/>
    </row>
    <row r="7" spans="1:8" ht="19.5" thickBot="1" x14ac:dyDescent="0.35">
      <c r="A7" s="21" t="s">
        <v>14</v>
      </c>
      <c r="B7" s="13"/>
      <c r="C7" s="31" t="s">
        <v>42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43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44</v>
      </c>
      <c r="D9" s="24"/>
      <c r="E9" s="25" t="s">
        <v>45</v>
      </c>
      <c r="F9" s="32" t="s">
        <v>0</v>
      </c>
      <c r="H9" s="33">
        <v>45489</v>
      </c>
    </row>
    <row r="10" spans="1:8" ht="18.75" x14ac:dyDescent="0.3">
      <c r="A10" s="22" t="s">
        <v>13</v>
      </c>
      <c r="C10" s="47" t="s">
        <v>46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45499</v>
      </c>
    </row>
    <row r="12" spans="1:8" ht="18.75" x14ac:dyDescent="0.3">
      <c r="A12" s="22" t="s">
        <v>11</v>
      </c>
      <c r="C12" s="25" t="s">
        <v>47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48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61" t="s">
        <v>20</v>
      </c>
      <c r="B15" s="51" t="s">
        <v>25</v>
      </c>
      <c r="C15" s="19"/>
      <c r="D15" s="7"/>
      <c r="E15" s="37" t="s">
        <v>21</v>
      </c>
      <c r="F15" s="37" t="s">
        <v>23</v>
      </c>
      <c r="G15" s="37" t="s">
        <v>22</v>
      </c>
      <c r="H15" s="37" t="s">
        <v>24</v>
      </c>
    </row>
    <row r="16" spans="1:8" ht="15.75" thickBot="1" x14ac:dyDescent="0.3">
      <c r="A16" s="64">
        <v>1</v>
      </c>
      <c r="B16" t="s">
        <v>49</v>
      </c>
      <c r="E16" s="58" t="s">
        <v>39</v>
      </c>
      <c r="F16" s="54">
        <v>95500</v>
      </c>
      <c r="G16" s="52">
        <v>6</v>
      </c>
      <c r="H16" s="57">
        <f t="shared" ref="H16:H19" si="0">G16*F16</f>
        <v>573000</v>
      </c>
    </row>
    <row r="17" spans="1:8" ht="15.75" thickBot="1" x14ac:dyDescent="0.3">
      <c r="A17" s="62">
        <v>2</v>
      </c>
      <c r="B17" t="s">
        <v>50</v>
      </c>
      <c r="E17" s="58" t="s">
        <v>39</v>
      </c>
      <c r="F17" s="53">
        <v>40600</v>
      </c>
      <c r="G17" s="52">
        <v>18</v>
      </c>
      <c r="H17" s="57">
        <f t="shared" si="0"/>
        <v>730800</v>
      </c>
    </row>
    <row r="18" spans="1:8" ht="15.75" thickBot="1" x14ac:dyDescent="0.3">
      <c r="A18" s="62">
        <v>3</v>
      </c>
      <c r="B18" t="s">
        <v>51</v>
      </c>
      <c r="E18" s="58" t="s">
        <v>38</v>
      </c>
      <c r="F18" s="53">
        <v>20000</v>
      </c>
      <c r="G18" s="52">
        <v>12</v>
      </c>
      <c r="H18" s="57">
        <f t="shared" si="0"/>
        <v>240000</v>
      </c>
    </row>
    <row r="19" spans="1:8" ht="15.75" thickBot="1" x14ac:dyDescent="0.3">
      <c r="A19" s="62">
        <v>4</v>
      </c>
      <c r="B19" t="s">
        <v>52</v>
      </c>
      <c r="E19" s="58" t="s">
        <v>38</v>
      </c>
      <c r="F19" s="53">
        <v>30600</v>
      </c>
      <c r="G19" s="52">
        <v>9</v>
      </c>
      <c r="H19" s="57">
        <f t="shared" si="0"/>
        <v>275400</v>
      </c>
    </row>
    <row r="20" spans="1:8" ht="15.75" thickBot="1" x14ac:dyDescent="0.3">
      <c r="A20" s="62">
        <v>5</v>
      </c>
      <c r="B20" t="s">
        <v>53</v>
      </c>
      <c r="E20" s="58" t="s">
        <v>38</v>
      </c>
      <c r="F20" s="54">
        <v>12500</v>
      </c>
      <c r="G20" s="52">
        <v>4</v>
      </c>
      <c r="H20" s="57">
        <f t="shared" ref="H20:H31" si="1">G20*F20</f>
        <v>50000</v>
      </c>
    </row>
    <row r="21" spans="1:8" ht="15.75" thickBot="1" x14ac:dyDescent="0.3">
      <c r="A21" s="62">
        <v>6</v>
      </c>
      <c r="B21" t="s">
        <v>54</v>
      </c>
      <c r="E21" s="58" t="s">
        <v>38</v>
      </c>
      <c r="F21" s="53">
        <v>55000</v>
      </c>
      <c r="G21" s="52">
        <v>6</v>
      </c>
      <c r="H21" s="57">
        <f t="shared" si="1"/>
        <v>330000</v>
      </c>
    </row>
    <row r="22" spans="1:8" ht="15.75" thickBot="1" x14ac:dyDescent="0.3">
      <c r="A22" s="62">
        <v>7</v>
      </c>
      <c r="B22" t="s">
        <v>55</v>
      </c>
      <c r="E22" s="58" t="s">
        <v>38</v>
      </c>
      <c r="F22" s="53">
        <v>8000</v>
      </c>
      <c r="G22" s="52">
        <v>6</v>
      </c>
      <c r="H22" s="57">
        <f t="shared" si="1"/>
        <v>48000</v>
      </c>
    </row>
    <row r="23" spans="1:8" ht="15.75" thickBot="1" x14ac:dyDescent="0.3">
      <c r="A23" s="62">
        <v>8</v>
      </c>
      <c r="B23" t="s">
        <v>56</v>
      </c>
      <c r="E23" s="58" t="s">
        <v>38</v>
      </c>
      <c r="F23" s="53">
        <v>14480</v>
      </c>
      <c r="G23" s="52">
        <v>1</v>
      </c>
      <c r="H23" s="57">
        <f t="shared" si="1"/>
        <v>14480</v>
      </c>
    </row>
    <row r="24" spans="1:8" ht="15.75" thickBot="1" x14ac:dyDescent="0.3">
      <c r="A24" s="62">
        <v>9</v>
      </c>
      <c r="B24" t="s">
        <v>57</v>
      </c>
      <c r="E24" s="58" t="s">
        <v>38</v>
      </c>
      <c r="F24" s="54">
        <v>7150</v>
      </c>
      <c r="G24" s="52">
        <v>1</v>
      </c>
      <c r="H24" s="57">
        <f t="shared" si="1"/>
        <v>7150</v>
      </c>
    </row>
    <row r="25" spans="1:8" ht="15.75" thickBot="1" x14ac:dyDescent="0.3">
      <c r="A25" s="62">
        <v>10</v>
      </c>
      <c r="B25" t="s">
        <v>58</v>
      </c>
      <c r="E25" s="58" t="s">
        <v>38</v>
      </c>
      <c r="F25" s="53">
        <v>30000</v>
      </c>
      <c r="G25" s="52">
        <v>2</v>
      </c>
      <c r="H25" s="57">
        <f t="shared" si="1"/>
        <v>60000</v>
      </c>
    </row>
    <row r="26" spans="1:8" ht="15.75" thickBot="1" x14ac:dyDescent="0.3">
      <c r="A26" s="62">
        <v>11</v>
      </c>
      <c r="B26" t="s">
        <v>59</v>
      </c>
      <c r="E26" s="58" t="s">
        <v>38</v>
      </c>
      <c r="F26" s="53">
        <v>18000</v>
      </c>
      <c r="G26" s="52">
        <v>1</v>
      </c>
      <c r="H26" s="57">
        <f t="shared" si="1"/>
        <v>18000</v>
      </c>
    </row>
    <row r="27" spans="1:8" ht="15.75" thickBot="1" x14ac:dyDescent="0.3">
      <c r="A27" s="62">
        <v>12</v>
      </c>
      <c r="B27" t="s">
        <v>60</v>
      </c>
      <c r="E27" s="58" t="s">
        <v>38</v>
      </c>
      <c r="F27" s="53">
        <v>18000</v>
      </c>
      <c r="G27" s="52">
        <v>4</v>
      </c>
      <c r="H27" s="57">
        <f t="shared" si="1"/>
        <v>72000</v>
      </c>
    </row>
    <row r="28" spans="1:8" ht="15.75" thickBot="1" x14ac:dyDescent="0.3">
      <c r="A28" s="62">
        <v>13</v>
      </c>
      <c r="B28" t="s">
        <v>61</v>
      </c>
      <c r="E28" s="58" t="s">
        <v>38</v>
      </c>
      <c r="F28" s="54">
        <v>4400</v>
      </c>
      <c r="G28" s="52">
        <v>4</v>
      </c>
      <c r="H28" s="57">
        <f t="shared" si="1"/>
        <v>17600</v>
      </c>
    </row>
    <row r="29" spans="1:8" ht="15.75" thickBot="1" x14ac:dyDescent="0.3">
      <c r="A29" s="62">
        <v>14</v>
      </c>
      <c r="B29" t="s">
        <v>62</v>
      </c>
      <c r="E29" s="58" t="s">
        <v>38</v>
      </c>
      <c r="F29" s="53">
        <v>4500</v>
      </c>
      <c r="G29" s="52">
        <v>4</v>
      </c>
      <c r="H29" s="57">
        <f t="shared" si="1"/>
        <v>18000</v>
      </c>
    </row>
    <row r="30" spans="1:8" ht="15.75" thickBot="1" x14ac:dyDescent="0.3">
      <c r="A30" s="62">
        <v>15</v>
      </c>
      <c r="B30" t="s">
        <v>63</v>
      </c>
      <c r="E30" s="58" t="s">
        <v>38</v>
      </c>
      <c r="F30" s="53">
        <v>6000</v>
      </c>
      <c r="G30" s="52">
        <v>12</v>
      </c>
      <c r="H30" s="57">
        <f t="shared" si="1"/>
        <v>72000</v>
      </c>
    </row>
    <row r="31" spans="1:8" ht="15.75" thickBot="1" x14ac:dyDescent="0.3">
      <c r="A31" s="62">
        <v>16</v>
      </c>
      <c r="B31" t="s">
        <v>64</v>
      </c>
      <c r="E31" s="58" t="s">
        <v>38</v>
      </c>
      <c r="F31" s="53">
        <v>30300</v>
      </c>
      <c r="G31" s="52">
        <v>8</v>
      </c>
      <c r="H31" s="57">
        <f t="shared" si="1"/>
        <v>242400</v>
      </c>
    </row>
    <row r="32" spans="1:8" ht="15.75" thickBot="1" x14ac:dyDescent="0.3">
      <c r="A32" s="62">
        <v>17</v>
      </c>
      <c r="B32" t="s">
        <v>65</v>
      </c>
      <c r="E32" s="58" t="s">
        <v>38</v>
      </c>
      <c r="F32" s="53">
        <v>45000</v>
      </c>
      <c r="G32" s="52">
        <v>4</v>
      </c>
      <c r="H32" s="57">
        <f t="shared" ref="H32" si="2">G32*F32</f>
        <v>180000</v>
      </c>
    </row>
    <row r="33" spans="1:8" ht="19.5" customHeight="1" thickBot="1" x14ac:dyDescent="0.3">
      <c r="A33" s="65"/>
      <c r="B33" t="s">
        <v>66</v>
      </c>
      <c r="D33" s="65"/>
      <c r="H33" s="66"/>
    </row>
    <row r="34" spans="1:8" ht="19.5" customHeight="1" thickBot="1" x14ac:dyDescent="0.35">
      <c r="A34" s="59" t="s">
        <v>26</v>
      </c>
      <c r="B34" s="12" t="s">
        <v>67</v>
      </c>
      <c r="C34" s="13"/>
      <c r="D34" s="14"/>
      <c r="E34" s="13"/>
      <c r="F34" s="38" t="s">
        <v>32</v>
      </c>
      <c r="G34" s="13"/>
      <c r="H34" s="7"/>
    </row>
    <row r="35" spans="1:8" ht="19.5" customHeight="1" thickBot="1" x14ac:dyDescent="0.3">
      <c r="A35" s="60"/>
      <c r="B35" s="17" t="s">
        <v>68</v>
      </c>
      <c r="C35" s="4"/>
      <c r="D35" s="4"/>
      <c r="E35" s="39" t="s">
        <v>27</v>
      </c>
      <c r="F35" s="40"/>
      <c r="G35" s="26"/>
      <c r="H35" s="48">
        <f>SUM(H16:H34)</f>
        <v>2948830</v>
      </c>
    </row>
    <row r="36" spans="1:8" ht="19.5" customHeight="1" thickBot="1" x14ac:dyDescent="0.3">
      <c r="A36" s="27" t="s">
        <v>28</v>
      </c>
      <c r="B36" s="13"/>
      <c r="C36" s="13"/>
      <c r="D36" s="14"/>
      <c r="E36" s="3" t="s">
        <v>34</v>
      </c>
      <c r="F36" s="56"/>
      <c r="G36" s="42">
        <v>0.19</v>
      </c>
      <c r="H36" s="49">
        <f>H35*G36</f>
        <v>560277.69999999995</v>
      </c>
    </row>
    <row r="37" spans="1:8" ht="19.5" customHeight="1" thickTop="1" x14ac:dyDescent="0.25">
      <c r="A37" s="15" t="s">
        <v>69</v>
      </c>
      <c r="D37" s="16"/>
      <c r="E37" s="40" t="s">
        <v>29</v>
      </c>
      <c r="G37" s="63">
        <v>2.5000000000000001E-2</v>
      </c>
      <c r="H37" s="43">
        <f>H35*G37</f>
        <v>73720.75</v>
      </c>
    </row>
    <row r="38" spans="1:8" ht="15.75" x14ac:dyDescent="0.25">
      <c r="A38" s="15" t="s">
        <v>70</v>
      </c>
      <c r="D38" s="16"/>
      <c r="F38" s="40"/>
      <c r="G38" s="26"/>
      <c r="H38" s="44"/>
    </row>
    <row r="39" spans="1:8" ht="16.5" thickBot="1" x14ac:dyDescent="0.3">
      <c r="A39" s="15" t="s">
        <v>37</v>
      </c>
      <c r="D39" s="16"/>
      <c r="E39" s="40" t="s">
        <v>30</v>
      </c>
      <c r="F39" s="40"/>
      <c r="G39" s="26"/>
      <c r="H39" s="45"/>
    </row>
    <row r="40" spans="1:8" ht="19.5" thickBot="1" x14ac:dyDescent="0.35">
      <c r="A40" s="17"/>
      <c r="B40" s="4"/>
      <c r="C40" s="4"/>
      <c r="D40" s="18"/>
      <c r="F40" s="3"/>
      <c r="G40" s="41" t="s">
        <v>31</v>
      </c>
      <c r="H40" s="50">
        <f>H35+H36-H37</f>
        <v>3435386.95</v>
      </c>
    </row>
    <row r="41" spans="1:8" ht="16.5" customHeight="1" x14ac:dyDescent="0.25"/>
    <row r="46" spans="1:8" ht="15.75" thickBot="1" x14ac:dyDescent="0.3"/>
    <row r="47" spans="1:8" ht="19.5" thickBot="1" x14ac:dyDescent="0.35">
      <c r="A47" s="28" t="s">
        <v>40</v>
      </c>
      <c r="B47" s="6"/>
      <c r="C47" s="6"/>
      <c r="D47" s="6"/>
      <c r="E47" s="6"/>
      <c r="F47" s="6"/>
      <c r="G47" s="6"/>
      <c r="H47" s="7"/>
    </row>
    <row r="55" spans="1:1" ht="18.75" x14ac:dyDescent="0.3">
      <c r="A55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WATERCOL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2024-07-16T21:19:03Z</dcterms:modified>
</cp:coreProperties>
</file>