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703DC4D-EE1E-4C22-983C-C3AAB4BB56D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30" i="1"/>
  <c r="H29" i="1"/>
  <c r="H27" i="1"/>
  <c r="H24" i="1" l="1"/>
  <c r="H23" i="1"/>
  <c r="H22" i="1"/>
  <c r="H21" i="1"/>
  <c r="H20" i="1"/>
  <c r="H19" i="1"/>
  <c r="H18" i="1"/>
  <c r="H17" i="1"/>
  <c r="H16" i="1"/>
  <c r="H28" i="1" l="1"/>
</calcChain>
</file>

<file path=xl/sharedStrings.xml><?xml version="1.0" encoding="utf-8"?>
<sst xmlns="http://schemas.openxmlformats.org/spreadsheetml/2006/main" count="70" uniqueCount="63">
  <si>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</si>
  <si>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</si>
  <si>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</si>
  <si>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</si>
  <si>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</si>
  <si>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</si>
  <si>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</si>
  <si>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</si>
  <si>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</si>
  <si>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</si>
  <si>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</si>
  <si>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</si>
  <si>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</si>
  <si>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</si>
  <si>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</si>
  <si>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</si>
  <si>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</si>
  <si>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</si>
  <si>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</si>
  <si>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</si>
  <si>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</si>
  <si>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</si>
  <si>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</si>
  <si>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</si>
  <si>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</si>
  <si>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</si>
  <si>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</si>
  <si>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</si>
  <si>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</si>
  <si>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</si>
  <si>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</si>
  <si>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</si>
  <si>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</si>
  <si>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</si>
  <si>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</si>
  <si>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</si>
  <si>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</si>
  <si>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</si>
  <si>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</si>
  <si>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</si>
  <si>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</si>
  <si>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</si>
  <si>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</si>
  <si>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ACCESORIO</t>
  </si>
  <si>
    <t>ENTREGA EN 3 DIAS  A PARTIR DE ORDEN DE COMPRA</t>
  </si>
  <si>
    <t xml:space="preserve">  CALLE  33A  No. 17F - 56                         B/  LA FLORESTA             -   CALI    -                                   CEL.     321 7834969</t>
  </si>
  <si>
    <t xml:space="preserve">           C O T I Z A C I O N</t>
  </si>
  <si>
    <t>No. 7</t>
  </si>
  <si>
    <t>L I Q U I D A C I O N</t>
  </si>
  <si>
    <t>TEE AC/INOX 304  4 "</t>
  </si>
  <si>
    <t>TEE AC/INOX 304  6 "</t>
  </si>
  <si>
    <t>CODO AC/INOX 304  SCH 10  4 "</t>
  </si>
  <si>
    <t>CODO AC/INOX 304  SCH 10  6 "</t>
  </si>
  <si>
    <t>STUB END  AC/INOX SCH 10   4 "</t>
  </si>
  <si>
    <t>BRIDA  A / C  L J  4 "</t>
  </si>
  <si>
    <t>VALVULA MARIPOSA  HR DISCO INOX 4 "</t>
  </si>
  <si>
    <t>TUBERIA AC/INOX 304   SCH 10  4 "</t>
  </si>
  <si>
    <t>TUBERIA AC/INOX 304   SCH 10  6 "</t>
  </si>
  <si>
    <t>METRO LINEAL</t>
  </si>
  <si>
    <t xml:space="preserve">   RETEICA</t>
  </si>
  <si>
    <t>CUATRO MILLONES OCHENTA Y UN MIL QUINIENTOS</t>
  </si>
  <si>
    <t>SESENTA Y SEIS PESOS MDA / CTE</t>
  </si>
  <si>
    <t>FORMA DE PAGO : CREDITO A 20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</si>
</sst>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28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1" fillId="0" borderId="9" xfId="0" applyFont="1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11" zoomScaleNormal="100" workbookViewId="0">
      <selection activeCell="E34" sqref="E3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19" t="s">
        <v>47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61" t="s">
        <v>40</v>
      </c>
      <c r="F9" s="30" t="s">
        <v>0</v>
      </c>
      <c r="H9" s="28">
        <v>45836</v>
      </c>
    </row>
    <row r="10" spans="1:8" ht="18.75" x14ac:dyDescent="0.3">
      <c r="A10" s="21" t="s">
        <v>13</v>
      </c>
      <c r="C10" s="47"/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45845</v>
      </c>
    </row>
    <row r="12" spans="1:8" ht="18.75" x14ac:dyDescent="0.3">
      <c r="A12" s="21" t="s">
        <v>11</v>
      </c>
      <c r="C12" s="14" t="s">
        <v>41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42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34</v>
      </c>
      <c r="B15" s="24" t="s">
        <v>22</v>
      </c>
      <c r="C15" s="42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62">
        <v>1</v>
      </c>
      <c r="B16" s="63" t="s">
        <v>49</v>
      </c>
      <c r="C16" s="63"/>
      <c r="D16" s="64"/>
      <c r="E16" s="62" t="s">
        <v>43</v>
      </c>
      <c r="F16" s="65">
        <v>128900</v>
      </c>
      <c r="G16" s="62">
        <v>2</v>
      </c>
      <c r="H16" s="38">
        <f t="shared" ref="H16" si="0">G16*F16</f>
        <v>257800</v>
      </c>
    </row>
    <row r="17" spans="1:8" ht="16.5" thickBot="1" x14ac:dyDescent="0.3">
      <c r="A17" s="62">
        <v>2</v>
      </c>
      <c r="B17" s="63" t="s">
        <v>50</v>
      </c>
      <c r="C17" s="63"/>
      <c r="D17" s="64"/>
      <c r="E17" s="62" t="s">
        <v>43</v>
      </c>
      <c r="F17" s="65">
        <v>303000</v>
      </c>
      <c r="G17" s="62">
        <v>2</v>
      </c>
      <c r="H17" s="38">
        <f t="shared" ref="H17:H24" si="1">G17*F17</f>
        <v>606000</v>
      </c>
    </row>
    <row r="18" spans="1:8" ht="16.5" thickBot="1" x14ac:dyDescent="0.3">
      <c r="A18" s="62">
        <v>3</v>
      </c>
      <c r="B18" s="63" t="s">
        <v>51</v>
      </c>
      <c r="C18" s="63"/>
      <c r="D18" s="64"/>
      <c r="E18" s="62" t="s">
        <v>43</v>
      </c>
      <c r="F18" s="65">
        <v>110000</v>
      </c>
      <c r="G18" s="62">
        <v>2</v>
      </c>
      <c r="H18" s="38">
        <f t="shared" si="1"/>
        <v>220000</v>
      </c>
    </row>
    <row r="19" spans="1:8" ht="16.5" thickBot="1" x14ac:dyDescent="0.3">
      <c r="A19" s="62">
        <v>4</v>
      </c>
      <c r="B19" s="63" t="s">
        <v>52</v>
      </c>
      <c r="C19" s="63"/>
      <c r="D19" s="64"/>
      <c r="E19" s="62" t="s">
        <v>43</v>
      </c>
      <c r="F19" s="65">
        <v>261000</v>
      </c>
      <c r="G19" s="62">
        <v>2</v>
      </c>
      <c r="H19" s="38">
        <f t="shared" si="1"/>
        <v>522000</v>
      </c>
    </row>
    <row r="20" spans="1:8" ht="16.5" thickBot="1" x14ac:dyDescent="0.3">
      <c r="A20" s="62">
        <v>5</v>
      </c>
      <c r="B20" s="63" t="s">
        <v>53</v>
      </c>
      <c r="C20" s="63"/>
      <c r="D20" s="64"/>
      <c r="E20" s="62" t="s">
        <v>43</v>
      </c>
      <c r="F20" s="65">
        <v>55000</v>
      </c>
      <c r="G20" s="62">
        <v>4</v>
      </c>
      <c r="H20" s="38">
        <f t="shared" si="1"/>
        <v>220000</v>
      </c>
    </row>
    <row r="21" spans="1:8" ht="16.5" thickBot="1" x14ac:dyDescent="0.3">
      <c r="A21" s="62">
        <v>6</v>
      </c>
      <c r="B21" s="63" t="s">
        <v>54</v>
      </c>
      <c r="C21" s="63"/>
      <c r="D21" s="64"/>
      <c r="E21" s="62" t="s">
        <v>43</v>
      </c>
      <c r="F21" s="65">
        <v>107000</v>
      </c>
      <c r="G21" s="62">
        <v>4</v>
      </c>
      <c r="H21" s="38">
        <f t="shared" si="1"/>
        <v>428000</v>
      </c>
    </row>
    <row r="22" spans="1:8" ht="16.5" thickBot="1" x14ac:dyDescent="0.3">
      <c r="A22" s="62">
        <v>7</v>
      </c>
      <c r="B22" s="63" t="s">
        <v>55</v>
      </c>
      <c r="C22" s="63"/>
      <c r="D22" s="64"/>
      <c r="E22" s="62" t="s">
        <v>43</v>
      </c>
      <c r="F22" s="65">
        <v>265000</v>
      </c>
      <c r="G22" s="62">
        <v>3</v>
      </c>
      <c r="H22" s="38">
        <f t="shared" si="1"/>
        <v>795000</v>
      </c>
    </row>
    <row r="23" spans="1:8" ht="16.5" thickBot="1" x14ac:dyDescent="0.3">
      <c r="A23" s="62">
        <v>8</v>
      </c>
      <c r="B23" s="63" t="s">
        <v>56</v>
      </c>
      <c r="C23" s="63"/>
      <c r="D23" s="64"/>
      <c r="E23" s="62" t="s">
        <v>58</v>
      </c>
      <c r="F23" s="65">
        <v>188000</v>
      </c>
      <c r="G23" s="62">
        <v>1</v>
      </c>
      <c r="H23" s="38">
        <f t="shared" si="1"/>
        <v>188000</v>
      </c>
    </row>
    <row r="24" spans="1:8" ht="16.5" thickBot="1" x14ac:dyDescent="0.3">
      <c r="A24" s="62">
        <v>9</v>
      </c>
      <c r="B24" s="63" t="s">
        <v>57</v>
      </c>
      <c r="C24" s="63"/>
      <c r="D24" s="64"/>
      <c r="E24" s="62" t="s">
        <v>58</v>
      </c>
      <c r="F24" s="65">
        <v>290000</v>
      </c>
      <c r="G24" s="62">
        <v>1</v>
      </c>
      <c r="H24" s="38">
        <f t="shared" si="1"/>
        <v>290000</v>
      </c>
    </row>
    <row r="25" spans="1:8" ht="19.5" customHeight="1" thickBot="1" x14ac:dyDescent="0.3">
      <c r="A25" s="49"/>
      <c r="B25" s="67"/>
      <c r="D25" s="68"/>
      <c r="E25" s="49"/>
      <c r="F25" s="49"/>
      <c r="G25" s="49"/>
    </row>
    <row r="26" spans="1:8" ht="19.5" customHeight="1" thickBot="1" x14ac:dyDescent="0.35">
      <c r="A26" s="66" t="s">
        <v>23</v>
      </c>
      <c r="B26" s="69" t="s">
        <v>60</v>
      </c>
      <c r="C26" s="12"/>
      <c r="D26" s="13"/>
      <c r="E26" s="50"/>
      <c r="F26" s="37" t="s">
        <v>48</v>
      </c>
      <c r="G26" s="6"/>
      <c r="H26" s="7"/>
    </row>
    <row r="27" spans="1:8" ht="19.5" customHeight="1" thickBot="1" x14ac:dyDescent="0.3">
      <c r="A27" s="39"/>
      <c r="B27" s="16" t="s">
        <v>61</v>
      </c>
      <c r="C27" s="4"/>
      <c r="D27" s="17"/>
      <c r="E27" s="53" t="s">
        <v>24</v>
      </c>
      <c r="F27" s="54"/>
      <c r="G27" s="45"/>
      <c r="H27" s="51">
        <f>SUM(H16:H24)</f>
        <v>3526800</v>
      </c>
    </row>
    <row r="28" spans="1:8" ht="19.5" customHeight="1" x14ac:dyDescent="0.25">
      <c r="A28" s="24" t="s">
        <v>25</v>
      </c>
      <c r="B28" s="12"/>
      <c r="C28" s="12"/>
      <c r="D28" s="12"/>
      <c r="E28" s="55" t="s">
        <v>29</v>
      </c>
      <c r="F28" s="23"/>
      <c r="G28" s="56">
        <v>0.19</v>
      </c>
      <c r="H28" s="40">
        <f>H27*G28</f>
        <v>670092</v>
      </c>
    </row>
    <row r="29" spans="1:8" ht="19.5" customHeight="1" x14ac:dyDescent="0.25">
      <c r="A29" s="14" t="s">
        <v>62</v>
      </c>
      <c r="E29" s="57" t="s">
        <v>26</v>
      </c>
      <c r="G29" s="60">
        <v>2.5000000000000001E-2</v>
      </c>
      <c r="H29" s="52">
        <f>H27*G29</f>
        <v>88170</v>
      </c>
    </row>
    <row r="30" spans="1:8" ht="15.75" x14ac:dyDescent="0.25">
      <c r="A30" s="14" t="s">
        <v>44</v>
      </c>
      <c r="E30" s="70" t="s">
        <v>59</v>
      </c>
      <c r="F30" s="33"/>
      <c r="G30" s="71">
        <v>7.7000000000000002E-3</v>
      </c>
      <c r="H30" s="52">
        <f>H27*G30</f>
        <v>27156.36</v>
      </c>
    </row>
    <row r="31" spans="1:8" ht="16.5" thickBot="1" x14ac:dyDescent="0.3">
      <c r="A31" s="14" t="s">
        <v>32</v>
      </c>
      <c r="E31" s="58" t="s">
        <v>27</v>
      </c>
      <c r="F31" s="59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H27+H28-H29-H30</f>
        <v>4081565.64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45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2025-03-10T15:00:36Z</cp:lastPrinted>
  <dcterms:created xsi:type="dcterms:W3CDTF">2018-11-15T17:29:02Z</dcterms:created>
  <dcterms:modified xsi:type="dcterms:W3CDTF">2025-06-28T18:56:53Z</dcterms:modified>
</cp:coreProperties>
</file>