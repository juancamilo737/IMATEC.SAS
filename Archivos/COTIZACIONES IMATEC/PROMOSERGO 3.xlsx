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DE9EEB9-2114-473A-9D26-C60ACC157DA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MOSER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6" i="1"/>
  <c r="H17" i="1"/>
  <c r="H26" i="1" l="1"/>
  <c r="H25" i="1"/>
  <c r="H24" i="1"/>
  <c r="H28" i="1" s="1"/>
</calcChain>
</file>

<file path=xl/sharedStrings.xml><?xml version="1.0" encoding="utf-8"?>
<sst xmlns="http://schemas.openxmlformats.org/spreadsheetml/2006/main" count="63" uniqueCount="60">
  <si>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</si>
  <si>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</si>
  <si>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</si>
  <si>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</si>
  <si>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</si>
  <si>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</si>
  <si>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</si>
  <si>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</si>
  <si>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</si>
  <si>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</si>
  <si>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</si>
  <si>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</si>
  <si>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</si>
  <si>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</si>
  <si>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</si>
  <si>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</si>
  <si>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</si>
  <si>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</si>
  <si>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</si>
  <si>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</si>
  <si>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</si>
  <si>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</si>
  <si>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</si>
  <si>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</si>
  <si>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</si>
  <si>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</si>
  <si>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</si>
  <si>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</si>
  <si>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</si>
  <si>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</si>
  <si>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</si>
  <si>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</si>
  <si>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</si>
  <si>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</si>
  <si>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</si>
  <si>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</si>
  <si>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</si>
  <si>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</si>
  <si>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</si>
  <si>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</si>
  <si>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</si>
  <si>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PROMOSERGO S.A.S.</t>
  </si>
  <si>
    <t>900 970276</t>
  </si>
  <si>
    <t>AV 6 Nte. No. 29AN - 49  OF 1004</t>
  </si>
  <si>
    <t>CALI</t>
  </si>
  <si>
    <t>900970276@recepciondefacturas.co</t>
  </si>
  <si>
    <t>602 4882204</t>
  </si>
  <si>
    <t>EDINSON CABEZAS</t>
  </si>
  <si>
    <t xml:space="preserve">  RETEICA</t>
  </si>
  <si>
    <t>FORMA DE PAGO : CREDITO A TREINTA DIAS</t>
  </si>
  <si>
    <t>ENTREGA EN DOS DIAS POSTERIOR A ORDEN DE COMPRA</t>
  </si>
  <si>
    <t>No. 3</t>
  </si>
  <si>
    <t>TEE MECANICA HD  3 "  X  1 1/2 "  ROSCADA</t>
  </si>
  <si>
    <t>SOPORTE TIPO PERA  1 1/2 "</t>
  </si>
  <si>
    <t>CODO HD  RANURADO  1 1/2 "  X  90 º</t>
  </si>
  <si>
    <t>METRO LINEAL</t>
  </si>
  <si>
    <t>TUBERIA  A / C SCH 10  3 "  ROJA</t>
  </si>
  <si>
    <t>TUBERIA  A / C SCH 10  1 1/2  "  ROJA</t>
  </si>
  <si>
    <t xml:space="preserve">SIETE MILLONES OCHOCIENTOS OCHENTA Y SEIS MIL </t>
  </si>
  <si>
    <t>CIENTO OCHO PESOS MDA 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</si>
</sst>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charset val="13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4" fillId="0" borderId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13" fillId="0" borderId="9" xfId="2" applyBorder="1"/>
    <xf numFmtId="0" fontId="15" fillId="0" borderId="14" xfId="4" applyFont="1" applyBorder="1" applyAlignment="1">
      <alignment horizontal="left"/>
    </xf>
    <xf numFmtId="0" fontId="0" fillId="0" borderId="13" xfId="0" applyBorder="1"/>
    <xf numFmtId="0" fontId="0" fillId="0" borderId="26" xfId="0" applyBorder="1"/>
    <xf numFmtId="0" fontId="1" fillId="0" borderId="22" xfId="0" applyFont="1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42" fontId="0" fillId="0" borderId="27" xfId="1" applyFont="1" applyBorder="1"/>
    <xf numFmtId="42" fontId="11" fillId="0" borderId="14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15" xfId="1" applyFont="1" applyBorder="1" applyAlignment="1">
      <alignment horizontal="left"/>
    </xf>
    <xf numFmtId="42" fontId="1" fillId="0" borderId="30" xfId="1" applyFont="1" applyBorder="1" applyAlignment="1">
      <alignment horizontal="left"/>
    </xf>
    <xf numFmtId="42" fontId="1" fillId="0" borderId="16" xfId="1" applyFont="1" applyBorder="1" applyAlignment="1">
      <alignment horizontal="left"/>
    </xf>
  </cellXfs>
  <cellStyles count="5">
    <cellStyle name="Hipervínculo" xfId="2" builtinId="8"/>
    <cellStyle name="Moneda [0]" xfId="1" builtinId="7"/>
    <cellStyle name="Normal" xfId="0" builtinId="0"/>
    <cellStyle name="Normal 2" xfId="4" xr:uid="{676E2EB4-B3FA-4AB3-90CE-0DFF926091C4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900970276@recepciondefactur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5"/>
  <sheetViews>
    <sheetView tabSelected="1" topLeftCell="A7" zoomScaleNormal="100" workbookViewId="0">
      <selection activeCell="K27" sqref="K27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>
      <c r="D2" s="2"/>
      <c r="E2" s="34" t="s">
        <v>35</v>
      </c>
    </row>
    <row r="3" spans="1:8" ht="27" thickBot="1">
      <c r="A3" s="10" t="s">
        <v>36</v>
      </c>
      <c r="B3" s="5"/>
      <c r="C3" s="5"/>
      <c r="D3" s="5"/>
      <c r="E3" s="5"/>
      <c r="F3" s="5"/>
      <c r="G3" s="5"/>
      <c r="H3" s="6"/>
    </row>
    <row r="4" spans="1:8" ht="21.75" thickBot="1">
      <c r="A4" s="25" t="s">
        <v>7</v>
      </c>
      <c r="B4" s="5"/>
      <c r="C4" s="5"/>
      <c r="D4" s="26" t="s">
        <v>31</v>
      </c>
      <c r="E4" s="17"/>
      <c r="F4" s="18"/>
      <c r="G4" s="5"/>
      <c r="H4" s="6"/>
    </row>
    <row r="5" spans="1:8" ht="19.5" thickBot="1">
      <c r="A5" s="36" t="s">
        <v>33</v>
      </c>
      <c r="B5" s="5"/>
      <c r="C5" s="5"/>
      <c r="D5" s="5"/>
      <c r="E5" s="5"/>
    </row>
    <row r="6" spans="1:8" ht="24.75" customHeight="1" thickBot="1">
      <c r="F6" s="39" t="s">
        <v>37</v>
      </c>
      <c r="G6" s="40"/>
      <c r="H6" s="41"/>
    </row>
    <row r="7" spans="1:8" ht="19.5" thickBot="1">
      <c r="A7" s="19" t="s">
        <v>14</v>
      </c>
      <c r="B7" s="11"/>
      <c r="C7" s="55" t="s">
        <v>41</v>
      </c>
      <c r="D7" s="11"/>
      <c r="E7" s="12"/>
      <c r="F7" s="36"/>
      <c r="G7" s="17"/>
      <c r="H7" s="18" t="s">
        <v>51</v>
      </c>
    </row>
    <row r="8" spans="1:8" ht="18.75">
      <c r="A8" s="20" t="s">
        <v>8</v>
      </c>
      <c r="C8" s="58" t="s">
        <v>42</v>
      </c>
      <c r="D8" s="11"/>
      <c r="E8" s="12"/>
      <c r="H8" s="14"/>
    </row>
    <row r="9" spans="1:8" ht="18.75" customHeight="1">
      <c r="A9" s="20" t="s">
        <v>9</v>
      </c>
      <c r="C9" s="13" t="s">
        <v>43</v>
      </c>
      <c r="E9" s="14" t="s">
        <v>44</v>
      </c>
      <c r="F9" s="29" t="s">
        <v>0</v>
      </c>
      <c r="H9" s="27">
        <v>45870</v>
      </c>
    </row>
    <row r="10" spans="1:8" ht="18.75">
      <c r="A10" s="20" t="s">
        <v>13</v>
      </c>
      <c r="C10" s="59" t="s">
        <v>45</v>
      </c>
      <c r="E10" s="14"/>
      <c r="F10" s="29" t="s">
        <v>15</v>
      </c>
      <c r="H10" s="28" t="s">
        <v>30</v>
      </c>
    </row>
    <row r="11" spans="1:8" ht="18.75">
      <c r="A11" s="20" t="s">
        <v>10</v>
      </c>
      <c r="C11" s="13"/>
      <c r="E11" s="14"/>
      <c r="F11" s="29" t="s">
        <v>16</v>
      </c>
      <c r="G11" s="29"/>
      <c r="H11" s="27">
        <v>45878</v>
      </c>
    </row>
    <row r="12" spans="1:8" ht="18.75">
      <c r="A12" s="20" t="s">
        <v>11</v>
      </c>
      <c r="C12" s="13" t="s">
        <v>46</v>
      </c>
      <c r="E12" s="14"/>
      <c r="F12" s="29" t="s">
        <v>17</v>
      </c>
      <c r="H12" s="30"/>
    </row>
    <row r="13" spans="1:8" ht="18.75" customHeight="1" thickBot="1">
      <c r="A13" s="21" t="s">
        <v>12</v>
      </c>
      <c r="B13" s="4"/>
      <c r="C13" s="15" t="s">
        <v>47</v>
      </c>
      <c r="D13" s="4"/>
      <c r="E13" s="16"/>
      <c r="F13" s="4"/>
      <c r="G13" s="4"/>
      <c r="H13" s="16"/>
    </row>
    <row r="14" spans="1:8" ht="15.75" thickBot="1"/>
    <row r="15" spans="1:8" ht="15.75" thickBot="1">
      <c r="A15" s="31" t="s">
        <v>34</v>
      </c>
      <c r="B15" s="64" t="s">
        <v>22</v>
      </c>
      <c r="C15" s="17"/>
      <c r="D15" s="6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>
      <c r="A16" s="56">
        <v>1</v>
      </c>
      <c r="B16" s="60" t="s">
        <v>52</v>
      </c>
      <c r="C16" s="61"/>
      <c r="D16" s="62"/>
      <c r="E16" s="65" t="s">
        <v>38</v>
      </c>
      <c r="F16" s="66">
        <v>37270</v>
      </c>
      <c r="G16" s="68">
        <v>10</v>
      </c>
      <c r="H16" s="70">
        <f t="shared" ref="H16" si="0">F16*G16</f>
        <v>372700</v>
      </c>
    </row>
    <row r="17" spans="1:8">
      <c r="A17" s="56">
        <v>2</v>
      </c>
      <c r="B17" s="60" t="s">
        <v>53</v>
      </c>
      <c r="C17" s="61"/>
      <c r="D17" s="62"/>
      <c r="E17" s="56" t="s">
        <v>38</v>
      </c>
      <c r="F17" s="67">
        <v>1350</v>
      </c>
      <c r="G17" s="69">
        <v>43</v>
      </c>
      <c r="H17" s="71">
        <f>F17*G17</f>
        <v>58050</v>
      </c>
    </row>
    <row r="18" spans="1:8" ht="15" customHeight="1">
      <c r="A18" s="56">
        <v>3</v>
      </c>
      <c r="B18" s="60" t="s">
        <v>54</v>
      </c>
      <c r="C18" s="61"/>
      <c r="D18" s="62"/>
      <c r="E18" s="65" t="s">
        <v>38</v>
      </c>
      <c r="F18" s="66">
        <v>8260</v>
      </c>
      <c r="G18" s="68">
        <v>35</v>
      </c>
      <c r="H18" s="71">
        <f t="shared" ref="H18:H20" si="1">F18*G18</f>
        <v>289100</v>
      </c>
    </row>
    <row r="19" spans="1:8" ht="15" customHeight="1">
      <c r="A19" s="56">
        <v>4</v>
      </c>
      <c r="B19" s="60" t="s">
        <v>56</v>
      </c>
      <c r="C19" s="61"/>
      <c r="D19" s="62"/>
      <c r="E19" s="65" t="s">
        <v>55</v>
      </c>
      <c r="F19" s="66">
        <v>80190</v>
      </c>
      <c r="G19" s="68">
        <v>42</v>
      </c>
      <c r="H19" s="71">
        <f t="shared" si="1"/>
        <v>3367980</v>
      </c>
    </row>
    <row r="20" spans="1:8" ht="15" customHeight="1" thickBot="1">
      <c r="A20" s="56">
        <v>5</v>
      </c>
      <c r="B20" s="60" t="s">
        <v>57</v>
      </c>
      <c r="C20" s="61"/>
      <c r="D20" s="62"/>
      <c r="E20" s="65" t="s">
        <v>55</v>
      </c>
      <c r="F20" s="66">
        <v>28400</v>
      </c>
      <c r="G20" s="68">
        <v>96</v>
      </c>
      <c r="H20" s="72">
        <f t="shared" si="1"/>
        <v>2726400</v>
      </c>
    </row>
    <row r="21" spans="1:8" ht="15.75" thickBot="1"/>
    <row r="22" spans="1:8" ht="19.5" thickBot="1">
      <c r="A22" s="57" t="s">
        <v>23</v>
      </c>
      <c r="B22" s="58" t="s">
        <v>58</v>
      </c>
      <c r="C22" s="11"/>
      <c r="D22" s="12"/>
      <c r="E22" s="44"/>
      <c r="F22" s="36" t="s">
        <v>39</v>
      </c>
      <c r="G22" s="5"/>
      <c r="H22" s="6"/>
    </row>
    <row r="23" spans="1:8" ht="16.5" thickBot="1">
      <c r="A23" s="37"/>
      <c r="B23" s="15" t="s">
        <v>59</v>
      </c>
      <c r="C23" s="4"/>
      <c r="D23" s="16"/>
      <c r="E23" s="47" t="s">
        <v>24</v>
      </c>
      <c r="F23" s="48"/>
      <c r="G23" s="42"/>
      <c r="H23" s="45">
        <f>SUM(H16:H20)</f>
        <v>6814230</v>
      </c>
    </row>
    <row r="24" spans="1:8" ht="15.75">
      <c r="A24" s="23" t="s">
        <v>25</v>
      </c>
      <c r="B24" s="11"/>
      <c r="C24" s="11"/>
      <c r="D24" s="11"/>
      <c r="E24" s="49" t="s">
        <v>29</v>
      </c>
      <c r="F24" s="22"/>
      <c r="G24" s="50">
        <v>0.19</v>
      </c>
      <c r="H24" s="38">
        <f>H23*G24</f>
        <v>1294703.7</v>
      </c>
    </row>
    <row r="25" spans="1:8" ht="15.75">
      <c r="A25" s="13" t="s">
        <v>49</v>
      </c>
      <c r="E25" s="51" t="s">
        <v>26</v>
      </c>
      <c r="G25" s="54">
        <v>2.5000000000000001E-2</v>
      </c>
      <c r="H25" s="46">
        <f>H23*G25</f>
        <v>170355.75</v>
      </c>
    </row>
    <row r="26" spans="1:8" ht="15.75">
      <c r="A26" s="13" t="s">
        <v>50</v>
      </c>
      <c r="E26" s="49" t="s">
        <v>48</v>
      </c>
      <c r="F26" s="32"/>
      <c r="G26" s="63">
        <v>7.7000000000000002E-3</v>
      </c>
      <c r="H26" s="46">
        <f>H23*G26</f>
        <v>52469.571000000004</v>
      </c>
    </row>
    <row r="27" spans="1:8" ht="16.5" thickBot="1">
      <c r="A27" s="13" t="s">
        <v>32</v>
      </c>
      <c r="E27" s="52" t="s">
        <v>27</v>
      </c>
      <c r="F27" s="53"/>
      <c r="G27" s="43"/>
      <c r="H27" s="16"/>
    </row>
    <row r="28" spans="1:8" ht="19.5" thickBot="1">
      <c r="A28" s="15"/>
      <c r="B28" s="4"/>
      <c r="C28" s="4"/>
      <c r="D28" s="16"/>
      <c r="F28" s="3"/>
      <c r="G28" s="33" t="s">
        <v>28</v>
      </c>
      <c r="H28" s="35">
        <f>H23+H24-H25-H26</f>
        <v>7886108.3789999997</v>
      </c>
    </row>
    <row r="34" spans="1:8" ht="15.75" thickBot="1"/>
    <row r="35" spans="1:8" ht="19.5" thickBot="1">
      <c r="A35" s="24" t="s">
        <v>40</v>
      </c>
      <c r="B35" s="5"/>
      <c r="C35" s="5"/>
      <c r="D35" s="5"/>
      <c r="E35" s="5"/>
      <c r="F35" s="5"/>
      <c r="G35" s="5"/>
      <c r="H35" s="6"/>
    </row>
  </sheetData>
  <hyperlinks>
    <hyperlink ref="C10" r:id="rId1" xr:uid="{A869633D-BC32-4AB5-92B5-3D18AB58AD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PROMOSERGO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2025-08-01T17:15:27Z</dcterms:modified>
</cp:coreProperties>
</file>