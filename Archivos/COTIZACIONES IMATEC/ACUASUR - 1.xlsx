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COTIZACIONES  I M A T E C  COMERCIALIZADORA\"/>
    </mc:Choice>
  </mc:AlternateContent>
  <xr:revisionPtr revIDLastSave="0" documentId="13_ncr:1_{13A02388-47E6-4B22-AA96-1DBC82D1901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6" i="1"/>
  <c r="H21" i="1"/>
  <c r="H20" i="1"/>
  <c r="H19" i="1"/>
  <c r="H18" i="1"/>
  <c r="H24" i="1" s="1"/>
  <c r="H25" i="1" l="1"/>
</calcChain>
</file>

<file path=xl/sharedStrings.xml><?xml version="1.0" encoding="utf-8"?>
<sst xmlns="http://schemas.openxmlformats.org/spreadsheetml/2006/main" count="58" uniqueCount="55">
  <si>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</si>
  <si>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</si>
  <si>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</si>
  <si>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</si>
  <si>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</si>
  <si>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</si>
  <si>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</si>
  <si>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</si>
  <si>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</si>
  <si>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</si>
  <si>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</si>
  <si>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</si>
  <si>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</si>
  <si>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</si>
  <si>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</si>
  <si>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</si>
  <si>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</si>
  <si>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</si>
  <si>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</si>
  <si>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</si>
  <si>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</si>
  <si>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</si>
  <si>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</si>
  <si>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</si>
  <si>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</si>
  <si>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</si>
  <si>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</si>
  <si>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</si>
  <si>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</si>
  <si>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</si>
  <si>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</si>
  <si>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</si>
  <si>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</si>
  <si>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</si>
  <si>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</si>
  <si>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</si>
  <si>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CONTACTOS   310 8306118         321 7834969</t>
  </si>
  <si>
    <t>ENTREGA EN LA CIUDAD DE CALI</t>
  </si>
  <si>
    <t>ITEM</t>
  </si>
  <si>
    <t>ACCESORIO</t>
  </si>
  <si>
    <t>900 054411</t>
  </si>
  <si>
    <t>JAMUNDI</t>
  </si>
  <si>
    <t>602 5599110</t>
  </si>
  <si>
    <t>PLAZO PARA ENTREGA : UN DIA</t>
  </si>
  <si>
    <t>ACUEDUCTOS DEL SUR SAS ESP</t>
  </si>
  <si>
    <t xml:space="preserve">KMT 21 VIA CALI-JAMUNDI </t>
  </si>
  <si>
    <t>acsur@hotmail.com</t>
  </si>
  <si>
    <t>EDINSON CABEZAS</t>
  </si>
  <si>
    <t>TUBERIA PVC NOVA FORM 10 "  X  3 MTS  CON CAMPANA</t>
  </si>
  <si>
    <t>TUBO</t>
  </si>
  <si>
    <t xml:space="preserve">HIDRO SELLOS 10 " </t>
  </si>
  <si>
    <t>TUBERIA PVC NOVA FORM 10 "  X  6 MTS  CON CAMPANA</t>
  </si>
  <si>
    <t>UN MILLON OCHOCIENTOS CUARENTA Y NUEVE MIL QUINIENTOS CIN-</t>
  </si>
  <si>
    <t>CUENTA Y CUATRO PESOS MDA / CTE</t>
  </si>
  <si>
    <t>FORMA DE PAGO : CREDITO A TREINTA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</si>
</sst>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21" xfId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0" fillId="0" borderId="24" xfId="0" applyBorder="1"/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0" fillId="0" borderId="14" xfId="0" applyBorder="1"/>
    <xf numFmtId="0" fontId="8" fillId="0" borderId="29" xfId="0" applyFont="1" applyBorder="1"/>
    <xf numFmtId="0" fontId="8" fillId="0" borderId="30" xfId="0" applyFont="1" applyBorder="1"/>
    <xf numFmtId="0" fontId="8" fillId="0" borderId="25" xfId="0" applyFont="1" applyBorder="1"/>
    <xf numFmtId="10" fontId="1" fillId="0" borderId="0" xfId="0" applyNumberFormat="1" applyFont="1"/>
    <xf numFmtId="0" fontId="0" fillId="0" borderId="3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1152525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9"/>
  <sheetViews>
    <sheetView tabSelected="1" topLeftCell="A2" zoomScale="96" zoomScaleNormal="96" workbookViewId="0">
      <selection activeCell="H12" sqref="H12"/>
    </sheetView>
  </sheetViews>
  <sheetFormatPr baseColWidth="10" defaultRowHeight="15" x14ac:dyDescent="0.25"/>
  <cols>
    <col min="1" max="1" width="15.5703125" customWidth="1"/>
    <col min="2" max="2" width="21.28515625" customWidth="1"/>
    <col min="3" max="3" width="15.7109375" customWidth="1"/>
    <col min="4" max="4" width="24.85546875" customWidth="1"/>
    <col min="5" max="8" width="15.7109375" customWidth="1"/>
  </cols>
  <sheetData>
    <row r="1" spans="1:8" ht="90.75" customHeight="1" thickBot="1" x14ac:dyDescent="1.4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 x14ac:dyDescent="0.4">
      <c r="D2" s="2"/>
      <c r="E2" s="46" t="s">
        <v>32</v>
      </c>
    </row>
    <row r="3" spans="1:8" ht="27" thickBot="1" x14ac:dyDescent="0.45">
      <c r="A3" s="10" t="s">
        <v>19</v>
      </c>
      <c r="B3" s="5"/>
      <c r="C3" s="5"/>
      <c r="D3" s="5"/>
      <c r="E3" s="5"/>
      <c r="F3" s="5"/>
      <c r="G3" s="5"/>
      <c r="H3" s="6"/>
    </row>
    <row r="4" spans="1:8" ht="21.75" thickBot="1" x14ac:dyDescent="0.4">
      <c r="A4" s="27" t="s">
        <v>7</v>
      </c>
      <c r="B4" s="5"/>
      <c r="C4" s="5"/>
      <c r="D4" s="28" t="s">
        <v>35</v>
      </c>
      <c r="E4" s="18"/>
      <c r="F4" s="19"/>
      <c r="G4" s="5"/>
      <c r="H4" s="6"/>
    </row>
    <row r="5" spans="1:8" ht="19.5" thickBot="1" x14ac:dyDescent="0.35">
      <c r="A5" s="54" t="s">
        <v>36</v>
      </c>
      <c r="B5" s="5"/>
      <c r="C5" s="5"/>
      <c r="D5" s="5"/>
      <c r="E5" s="5"/>
    </row>
    <row r="6" spans="1:8" ht="24.75" customHeight="1" thickBot="1" x14ac:dyDescent="0.45">
      <c r="F6" s="10" t="s">
        <v>18</v>
      </c>
      <c r="G6" s="18"/>
      <c r="H6" s="19"/>
    </row>
    <row r="7" spans="1:8" ht="19.5" thickBot="1" x14ac:dyDescent="0.35">
      <c r="A7" s="20" t="s">
        <v>14</v>
      </c>
      <c r="B7" s="12"/>
      <c r="C7" s="29" t="s">
        <v>44</v>
      </c>
      <c r="D7" s="12"/>
      <c r="E7" s="13"/>
      <c r="F7" s="26"/>
      <c r="G7" s="18"/>
      <c r="H7" s="19"/>
    </row>
    <row r="8" spans="1:8" ht="18.75" x14ac:dyDescent="0.3">
      <c r="A8" s="21" t="s">
        <v>8</v>
      </c>
      <c r="C8" s="24" t="s">
        <v>40</v>
      </c>
      <c r="D8" s="25"/>
      <c r="E8" s="25"/>
      <c r="F8" s="11"/>
      <c r="G8" s="12"/>
      <c r="H8" s="13"/>
    </row>
    <row r="9" spans="1:8" ht="18.75" customHeight="1" x14ac:dyDescent="0.3">
      <c r="A9" s="21" t="s">
        <v>9</v>
      </c>
      <c r="C9" s="23" t="s">
        <v>45</v>
      </c>
      <c r="D9" s="23"/>
      <c r="E9" s="24" t="s">
        <v>41</v>
      </c>
      <c r="F9" s="30" t="s">
        <v>0</v>
      </c>
      <c r="H9" s="31">
        <v>45516</v>
      </c>
    </row>
    <row r="10" spans="1:8" ht="18.75" x14ac:dyDescent="0.3">
      <c r="A10" s="21" t="s">
        <v>13</v>
      </c>
      <c r="C10" s="47" t="s">
        <v>46</v>
      </c>
      <c r="D10" s="25"/>
      <c r="E10" s="25"/>
      <c r="F10" s="30" t="s">
        <v>15</v>
      </c>
      <c r="H10" s="32" t="s">
        <v>34</v>
      </c>
    </row>
    <row r="11" spans="1:8" ht="18.75" x14ac:dyDescent="0.3">
      <c r="A11" s="21" t="s">
        <v>10</v>
      </c>
      <c r="C11" s="24"/>
      <c r="D11" s="25"/>
      <c r="E11" s="25"/>
      <c r="F11" s="30" t="s">
        <v>16</v>
      </c>
      <c r="G11" s="33"/>
      <c r="H11" s="31">
        <v>45526</v>
      </c>
    </row>
    <row r="12" spans="1:8" ht="18.75" x14ac:dyDescent="0.3">
      <c r="A12" s="21" t="s">
        <v>11</v>
      </c>
      <c r="C12" s="24" t="s">
        <v>42</v>
      </c>
      <c r="D12" s="25"/>
      <c r="E12" s="25"/>
      <c r="F12" s="30" t="s">
        <v>17</v>
      </c>
      <c r="H12" s="34"/>
    </row>
    <row r="13" spans="1:8" ht="18.75" customHeight="1" thickBot="1" x14ac:dyDescent="0.35">
      <c r="A13" s="22" t="s">
        <v>12</v>
      </c>
      <c r="B13" s="4"/>
      <c r="C13" s="24" t="s">
        <v>47</v>
      </c>
      <c r="D13" s="25"/>
      <c r="E13" s="25"/>
      <c r="F13" s="16"/>
      <c r="G13" s="4"/>
      <c r="H13" s="17"/>
    </row>
    <row r="16" spans="1:8" ht="15.75" thickBot="1" x14ac:dyDescent="0.3"/>
    <row r="17" spans="1:10" ht="15.75" thickBot="1" x14ac:dyDescent="0.3">
      <c r="A17" s="63" t="s">
        <v>38</v>
      </c>
      <c r="B17" s="57" t="s">
        <v>24</v>
      </c>
      <c r="C17" s="58"/>
      <c r="D17" s="13"/>
      <c r="E17" s="35" t="s">
        <v>20</v>
      </c>
      <c r="F17" s="35" t="s">
        <v>22</v>
      </c>
      <c r="G17" s="35" t="s">
        <v>21</v>
      </c>
      <c r="H17" s="35" t="s">
        <v>23</v>
      </c>
    </row>
    <row r="18" spans="1:10" ht="15.75" thickBot="1" x14ac:dyDescent="0.3">
      <c r="A18" s="64">
        <v>1</v>
      </c>
      <c r="B18" s="68" t="s">
        <v>48</v>
      </c>
      <c r="C18" s="69"/>
      <c r="D18" s="59"/>
      <c r="E18" s="51" t="s">
        <v>49</v>
      </c>
      <c r="F18" s="53">
        <v>390000</v>
      </c>
      <c r="G18" s="51">
        <v>2</v>
      </c>
      <c r="H18" s="55">
        <f t="shared" ref="H18:H22" si="0">G18*F18</f>
        <v>780000</v>
      </c>
    </row>
    <row r="19" spans="1:10" ht="15.75" thickBot="1" x14ac:dyDescent="0.3">
      <c r="A19" s="65">
        <v>2</v>
      </c>
      <c r="B19" s="70" t="s">
        <v>50</v>
      </c>
      <c r="C19" s="67"/>
      <c r="D19" s="37"/>
      <c r="E19" s="51" t="s">
        <v>39</v>
      </c>
      <c r="F19" s="52">
        <v>15600</v>
      </c>
      <c r="G19" s="51">
        <v>2</v>
      </c>
      <c r="H19" s="55">
        <f t="shared" si="0"/>
        <v>31200</v>
      </c>
      <c r="I19" s="36"/>
      <c r="J19" s="36"/>
    </row>
    <row r="20" spans="1:10" ht="15.75" thickBot="1" x14ac:dyDescent="0.3">
      <c r="A20" s="65">
        <v>3</v>
      </c>
      <c r="B20" s="70" t="s">
        <v>51</v>
      </c>
      <c r="C20" s="67"/>
      <c r="D20" s="37"/>
      <c r="E20" s="51" t="s">
        <v>49</v>
      </c>
      <c r="F20" s="52">
        <v>372600</v>
      </c>
      <c r="G20" s="51">
        <v>2</v>
      </c>
      <c r="H20" s="55">
        <f t="shared" si="0"/>
        <v>745200</v>
      </c>
      <c r="I20" s="36"/>
      <c r="J20" s="36"/>
    </row>
    <row r="21" spans="1:10" ht="15.75" thickBot="1" x14ac:dyDescent="0.3">
      <c r="A21" s="65">
        <v>4</v>
      </c>
      <c r="B21" s="70" t="s">
        <v>50</v>
      </c>
      <c r="C21" s="67"/>
      <c r="D21" s="37"/>
      <c r="E21" s="62" t="s">
        <v>39</v>
      </c>
      <c r="F21" s="52">
        <v>15600</v>
      </c>
      <c r="G21" s="51">
        <v>2</v>
      </c>
      <c r="H21" s="55">
        <f t="shared" si="0"/>
        <v>31200</v>
      </c>
      <c r="I21" s="36"/>
      <c r="J21" s="36"/>
    </row>
    <row r="22" spans="1:10" ht="19.5" customHeight="1" thickBot="1" x14ac:dyDescent="0.3">
      <c r="A22" s="66"/>
      <c r="B22" s="71"/>
      <c r="C22" s="72"/>
      <c r="D22" s="73"/>
      <c r="E22" s="62"/>
      <c r="F22" s="52"/>
      <c r="G22" s="51"/>
      <c r="H22" s="55"/>
      <c r="I22" s="36"/>
      <c r="J22" s="36"/>
    </row>
    <row r="23" spans="1:10" ht="19.5" thickBot="1" x14ac:dyDescent="0.35">
      <c r="A23" s="61" t="s">
        <v>25</v>
      </c>
      <c r="B23" s="14" t="s">
        <v>52</v>
      </c>
      <c r="C23" s="67"/>
      <c r="D23" s="15"/>
      <c r="E23" s="12"/>
      <c r="F23" s="38" t="s">
        <v>31</v>
      </c>
      <c r="G23" s="12"/>
      <c r="H23" s="17"/>
    </row>
    <row r="24" spans="1:10" ht="16.5" thickBot="1" x14ac:dyDescent="0.3">
      <c r="A24" s="60"/>
      <c r="B24" s="16" t="s">
        <v>53</v>
      </c>
      <c r="C24" s="4"/>
      <c r="D24" s="4"/>
      <c r="E24" s="39" t="s">
        <v>26</v>
      </c>
      <c r="F24" s="40"/>
      <c r="G24" s="25"/>
      <c r="H24" s="48">
        <f>SUM(H18:H23)</f>
        <v>1587600</v>
      </c>
    </row>
    <row r="25" spans="1:10" ht="15.75" x14ac:dyDescent="0.25">
      <c r="A25" s="56" t="s">
        <v>27</v>
      </c>
      <c r="B25" s="12"/>
      <c r="C25" s="12"/>
      <c r="D25" s="13"/>
      <c r="E25" s="3" t="s">
        <v>33</v>
      </c>
      <c r="F25" s="75"/>
      <c r="G25" s="42">
        <v>0.19</v>
      </c>
      <c r="H25" s="49">
        <f>H24*G25</f>
        <v>301644</v>
      </c>
    </row>
    <row r="26" spans="1:10" ht="15.75" x14ac:dyDescent="0.25">
      <c r="A26" s="14" t="s">
        <v>54</v>
      </c>
      <c r="D26" s="15"/>
      <c r="E26" s="40" t="s">
        <v>28</v>
      </c>
      <c r="G26" s="74">
        <v>2.5000000000000001E-2</v>
      </c>
      <c r="H26" s="43">
        <f>H24*G26</f>
        <v>39690</v>
      </c>
    </row>
    <row r="27" spans="1:10" ht="15.75" x14ac:dyDescent="0.25">
      <c r="A27" s="14" t="s">
        <v>37</v>
      </c>
      <c r="D27" s="15"/>
      <c r="F27" s="40"/>
      <c r="G27" s="25"/>
      <c r="H27" s="44"/>
    </row>
    <row r="28" spans="1:10" ht="16.5" thickBot="1" x14ac:dyDescent="0.3">
      <c r="A28" t="s">
        <v>43</v>
      </c>
      <c r="D28" s="15"/>
      <c r="E28" s="40" t="s">
        <v>29</v>
      </c>
      <c r="F28" s="40"/>
      <c r="G28" s="25"/>
      <c r="H28" s="45"/>
    </row>
    <row r="29" spans="1:10" ht="19.5" thickBot="1" x14ac:dyDescent="0.35">
      <c r="A29" s="16"/>
      <c r="B29" s="4"/>
      <c r="C29" s="4"/>
      <c r="D29" s="17"/>
      <c r="F29" s="3"/>
      <c r="G29" s="41" t="s">
        <v>30</v>
      </c>
      <c r="H29" s="50">
        <f>H24+H25-H26</f>
        <v>1849554</v>
      </c>
    </row>
  </sheetData>
  <mergeCells count="1">
    <mergeCell ref="A23:A24"/>
  </mergeCells>
  <hyperlinks>
    <hyperlink ref="C10" r:id="rId1" xr:uid="{383CBE6A-4BD3-4DA7-A58C-40E032C37F34}"/>
  </hyperlinks>
  <printOptions horizontalCentered="1"/>
  <pageMargins left="0.47244094488188981" right="0.31496062992125984" top="0.31496062992125984" bottom="0.39370078740157483" header="0.31496062992125984" footer="0.31496062992125984"/>
  <pageSetup scale="6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2024-05-22T22:27:19Z</cp:lastPrinted>
  <dcterms:created xsi:type="dcterms:W3CDTF">2018-11-15T17:29:02Z</dcterms:created>
  <dcterms:modified xsi:type="dcterms:W3CDTF">2024-08-12T15:45:46Z</dcterms:modified>
</cp:coreProperties>
</file>