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72C6880-FFA3-4572-A534-BE7A6BBB176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2" l="1"/>
  <c r="H23" i="2"/>
  <c r="H22" i="2"/>
  <c r="H21" i="2"/>
  <c r="H20" i="2"/>
  <c r="H19" i="2"/>
  <c r="H18" i="2"/>
  <c r="H17" i="2" l="1"/>
  <c r="H16" i="2"/>
  <c r="H28" i="2" l="1"/>
  <c r="H27" i="2"/>
  <c r="H31" i="2" s="1"/>
</calcChain>
</file>

<file path=xl/sharedStrings.xml><?xml version="1.0" encoding="utf-8"?>
<sst xmlns="http://schemas.openxmlformats.org/spreadsheetml/2006/main" count="68" uniqueCount="63">
  <si>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</si>
  <si>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</si>
  <si>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</si>
  <si>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</si>
  <si>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</si>
  <si>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</si>
  <si>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</si>
  <si>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</si>
  <si>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</si>
  <si>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</si>
  <si>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</si>
  <si>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</si>
  <si>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</si>
  <si>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</si>
  <si>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</si>
  <si>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</si>
  <si>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</si>
  <si>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</si>
  <si>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</si>
  <si>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</si>
  <si>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</si>
  <si>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</si>
  <si>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</si>
  <si>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</si>
  <si>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</si>
  <si>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</si>
  <si>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</si>
  <si>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</si>
  <si>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</si>
  <si>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</si>
  <si>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</si>
  <si>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</si>
  <si>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</si>
  <si>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</si>
  <si>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</si>
  <si>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</si>
  <si>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</si>
  <si>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</si>
  <si>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</si>
  <si>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</si>
  <si>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</si>
  <si>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</si>
  <si>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</si>
  <si>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</si>
  <si>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</si>
  <si>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ACCESORIO</t>
  </si>
  <si>
    <t xml:space="preserve">               R E M I S I O N</t>
  </si>
  <si>
    <t>FABRICACION</t>
  </si>
  <si>
    <t>ENTREGA INMEDIATA</t>
  </si>
  <si>
    <t xml:space="preserve">  CALLE  33B  No. 17C - 70  2o. PISO               B/  LA FLORESTA             -   CALI    -                         CEL.     321 7834969</t>
  </si>
  <si>
    <t>No.  29</t>
  </si>
  <si>
    <t>NIPLE  A / C  SCH 40  1  "  X  4 "</t>
  </si>
  <si>
    <t>NIPLE  A / C  SCH 40   1/2 "  X  4 "</t>
  </si>
  <si>
    <t xml:space="preserve">TUBERIA  A / C SCH 40  1/2 "  </t>
  </si>
  <si>
    <t>TUBO X 6 MTS</t>
  </si>
  <si>
    <t xml:space="preserve">TUBERIA  A / C SCH 40  4 "  </t>
  </si>
  <si>
    <t>EMPAQUE FLEXITALICO  4 "  X  150 LBS</t>
  </si>
  <si>
    <t>DOS MILLONES DOSCIENTOS VEINTISEIS MIL NOVECIEN</t>
  </si>
  <si>
    <t>TOS CUARENTA Y CUATRO PESOS MDA / CTE</t>
  </si>
  <si>
    <t>ABRAZADERA EN U GALVANIZADA  1 "</t>
  </si>
  <si>
    <t>ABRAZADERA EN U GALVANIZADA  4 "</t>
  </si>
  <si>
    <t>ABRAZADERA EN U GALVANIZADA  2 "</t>
  </si>
  <si>
    <t>FORMA DE PAGO : CREDITO 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</si>
</sst>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42" fontId="1" fillId="0" borderId="29" xfId="1" applyFont="1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6"/>
  <sheetViews>
    <sheetView tabSelected="1" topLeftCell="A4" zoomScale="106" zoomScaleNormal="106" workbookViewId="0">
      <selection activeCell="D12" sqref="D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45636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45645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47</v>
      </c>
      <c r="F16" s="66">
        <v>4300</v>
      </c>
      <c r="G16" s="67">
        <v>40</v>
      </c>
      <c r="H16" s="38">
        <f t="shared" ref="H16" si="0">G16*F16</f>
        <v>172000</v>
      </c>
    </row>
    <row r="17" spans="1:8" ht="15.75" thickBot="1" x14ac:dyDescent="0.3">
      <c r="A17" s="70">
        <v>2</v>
      </c>
      <c r="B17" s="61" t="s">
        <v>52</v>
      </c>
      <c r="C17" s="6"/>
      <c r="D17" s="7"/>
      <c r="E17" s="71" t="s">
        <v>47</v>
      </c>
      <c r="F17" s="72">
        <v>2100</v>
      </c>
      <c r="G17" s="73">
        <v>20</v>
      </c>
      <c r="H17" s="38">
        <f t="shared" ref="H17:H23" si="1">G17*F17</f>
        <v>42000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54</v>
      </c>
      <c r="F18" s="66">
        <v>53400</v>
      </c>
      <c r="G18" s="67">
        <v>3</v>
      </c>
      <c r="H18" s="38">
        <f t="shared" si="1"/>
        <v>160200</v>
      </c>
    </row>
    <row r="19" spans="1:8" ht="15.75" thickBot="1" x14ac:dyDescent="0.3">
      <c r="A19" s="64">
        <v>4</v>
      </c>
      <c r="B19" s="61" t="s">
        <v>55</v>
      </c>
      <c r="C19" s="12"/>
      <c r="D19" s="13"/>
      <c r="E19" s="65" t="s">
        <v>54</v>
      </c>
      <c r="F19" s="66">
        <v>564900</v>
      </c>
      <c r="G19" s="67">
        <v>1</v>
      </c>
      <c r="H19" s="38">
        <f t="shared" si="1"/>
        <v>564900</v>
      </c>
    </row>
    <row r="20" spans="1:8" ht="15.75" thickBot="1" x14ac:dyDescent="0.3">
      <c r="A20" s="64">
        <v>5</v>
      </c>
      <c r="B20" s="61" t="s">
        <v>56</v>
      </c>
      <c r="C20" s="12"/>
      <c r="D20" s="13"/>
      <c r="E20" s="65" t="s">
        <v>45</v>
      </c>
      <c r="F20" s="66">
        <v>11670</v>
      </c>
      <c r="G20" s="67">
        <v>28</v>
      </c>
      <c r="H20" s="38">
        <f t="shared" si="1"/>
        <v>326760</v>
      </c>
    </row>
    <row r="21" spans="1:8" ht="15.75" thickBot="1" x14ac:dyDescent="0.3">
      <c r="A21" s="64">
        <v>6</v>
      </c>
      <c r="B21" s="61" t="s">
        <v>59</v>
      </c>
      <c r="C21" s="12"/>
      <c r="D21" s="13"/>
      <c r="E21" s="65" t="s">
        <v>45</v>
      </c>
      <c r="F21" s="66">
        <v>2500</v>
      </c>
      <c r="G21" s="67">
        <v>10</v>
      </c>
      <c r="H21" s="38">
        <f t="shared" si="1"/>
        <v>25000</v>
      </c>
    </row>
    <row r="22" spans="1:8" ht="15.75" thickBot="1" x14ac:dyDescent="0.3">
      <c r="A22" s="70">
        <v>7</v>
      </c>
      <c r="B22" s="61" t="s">
        <v>61</v>
      </c>
      <c r="C22" s="6"/>
      <c r="D22" s="7"/>
      <c r="E22" s="71" t="s">
        <v>45</v>
      </c>
      <c r="F22" s="72">
        <v>6600</v>
      </c>
      <c r="G22" s="73">
        <v>40</v>
      </c>
      <c r="H22" s="38">
        <f t="shared" si="1"/>
        <v>264000</v>
      </c>
    </row>
    <row r="23" spans="1:8" ht="15.75" thickBot="1" x14ac:dyDescent="0.3">
      <c r="A23" s="74">
        <v>8</v>
      </c>
      <c r="B23" s="68" t="s">
        <v>60</v>
      </c>
      <c r="C23" s="4"/>
      <c r="D23" s="17"/>
      <c r="E23" s="75" t="s">
        <v>45</v>
      </c>
      <c r="F23" s="72">
        <v>16400</v>
      </c>
      <c r="G23" s="73">
        <v>20</v>
      </c>
      <c r="H23" s="76">
        <f t="shared" si="1"/>
        <v>328000</v>
      </c>
    </row>
    <row r="24" spans="1:8" ht="15.75" thickBot="1" x14ac:dyDescent="0.3">
      <c r="B24" s="16"/>
      <c r="C24" s="4"/>
      <c r="D24" s="17"/>
      <c r="F24" s="69"/>
      <c r="G24" s="69"/>
    </row>
    <row r="25" spans="1:8" ht="19.5" customHeight="1" thickBot="1" x14ac:dyDescent="0.35">
      <c r="A25" s="62" t="s">
        <v>23</v>
      </c>
      <c r="B25" s="61" t="s">
        <v>57</v>
      </c>
      <c r="C25" s="12"/>
      <c r="D25" s="13"/>
      <c r="E25" s="68"/>
      <c r="F25" s="37" t="s">
        <v>29</v>
      </c>
      <c r="G25" s="6"/>
      <c r="H25" s="7"/>
    </row>
    <row r="26" spans="1:8" ht="19.5" customHeight="1" thickBot="1" x14ac:dyDescent="0.3">
      <c r="A26" s="39"/>
      <c r="B26" s="16" t="s">
        <v>58</v>
      </c>
      <c r="C26" s="4"/>
      <c r="D26" s="17"/>
      <c r="E26" s="52" t="s">
        <v>24</v>
      </c>
      <c r="F26" s="52"/>
      <c r="G26" s="45"/>
      <c r="H26" s="50">
        <f>SUM(H16:H23)</f>
        <v>1882860</v>
      </c>
    </row>
    <row r="27" spans="1:8" ht="19.5" customHeight="1" x14ac:dyDescent="0.25">
      <c r="A27" s="24" t="s">
        <v>25</v>
      </c>
      <c r="E27" s="53" t="s">
        <v>30</v>
      </c>
      <c r="F27" s="23"/>
      <c r="G27" s="54">
        <v>0.19</v>
      </c>
      <c r="H27" s="40">
        <f>H26*G27</f>
        <v>357743.4</v>
      </c>
    </row>
    <row r="28" spans="1:8" ht="19.5" customHeight="1" x14ac:dyDescent="0.25">
      <c r="A28" s="14" t="s">
        <v>62</v>
      </c>
      <c r="E28" s="55" t="s">
        <v>26</v>
      </c>
      <c r="G28" s="58">
        <v>2.5000000000000001E-2</v>
      </c>
      <c r="H28" s="51">
        <f>H26*G28</f>
        <v>47071.5</v>
      </c>
    </row>
    <row r="29" spans="1:8" ht="15.75" x14ac:dyDescent="0.25">
      <c r="A29" s="14" t="s">
        <v>48</v>
      </c>
      <c r="E29" s="14"/>
      <c r="F29" s="33"/>
      <c r="G29" s="46"/>
      <c r="H29" s="15"/>
    </row>
    <row r="30" spans="1:8" ht="16.5" thickBot="1" x14ac:dyDescent="0.3">
      <c r="A30" s="14" t="s">
        <v>33</v>
      </c>
      <c r="E30" s="56" t="s">
        <v>27</v>
      </c>
      <c r="F30" s="57"/>
      <c r="G30" s="47"/>
      <c r="H30" s="17"/>
    </row>
    <row r="31" spans="1:8" ht="19.5" thickBot="1" x14ac:dyDescent="0.35">
      <c r="A31" s="60"/>
      <c r="B31" s="4"/>
      <c r="C31" s="4"/>
      <c r="D31" s="17"/>
      <c r="F31" s="3"/>
      <c r="G31" s="34" t="s">
        <v>28</v>
      </c>
      <c r="H31" s="36">
        <f>H26+H27-H28</f>
        <v>2193531.9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49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2024-12-07T16:29:57Z</cp:lastPrinted>
  <dcterms:created xsi:type="dcterms:W3CDTF">2018-11-15T17:29:02Z</dcterms:created>
  <dcterms:modified xsi:type="dcterms:W3CDTF">2024-12-11T21:05:34Z</dcterms:modified>
</cp:coreProperties>
</file>