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353AF7C-0D44-4092-9859-0A08FE603399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GRUPO TEXTIL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9" i="1"/>
  <c r="H18" i="1"/>
  <c r="H17" i="1"/>
  <c r="H16" i="1"/>
  <c r="H25" i="1" l="1"/>
  <c r="H29" i="1" s="1"/>
</calcChain>
</file>

<file path=xl/sharedStrings.xml><?xml version="1.0" encoding="utf-8"?>
<sst xmlns="http://schemas.openxmlformats.org/spreadsheetml/2006/main" count="65" uniqueCount="61">
  <si>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</si>
  <si>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</si>
  <si>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</si>
  <si>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</si>
  <si>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</si>
  <si>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</si>
  <si>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</si>
  <si>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</si>
  <si>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</si>
  <si>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</si>
  <si>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</si>
  <si>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</si>
  <si>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</si>
  <si>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</si>
  <si>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</si>
  <si>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</si>
  <si>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</si>
  <si>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</si>
  <si>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</si>
  <si>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</si>
  <si>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</si>
  <si>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</si>
  <si>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</si>
  <si>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</si>
  <si>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</si>
  <si>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</si>
  <si>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</si>
  <si>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</si>
  <si>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</si>
  <si>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</si>
  <si>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</si>
  <si>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</si>
  <si>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</si>
  <si>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</si>
  <si>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</si>
  <si>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</si>
  <si>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</si>
  <si>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GRUPO TEXTIL DEL VALLE S A S</t>
  </si>
  <si>
    <t>900 493749</t>
  </si>
  <si>
    <t>AV 5  0-120  LA DOLORES</t>
  </si>
  <si>
    <t>PALMIRA</t>
  </si>
  <si>
    <t>contabilidad@grupotextil.co</t>
  </si>
  <si>
    <t>602 6669666</t>
  </si>
  <si>
    <t>EDINSON CABEZAS</t>
  </si>
  <si>
    <t>FORMA DE PAGO : CREDITO A 30 DIAS</t>
  </si>
  <si>
    <t>ENTREGA EN TRES DIAS A PARTIR DE ORDEN DE COMPRA</t>
  </si>
  <si>
    <t>FABRICACION</t>
  </si>
  <si>
    <t>L I Q U I D A C I O N</t>
  </si>
  <si>
    <t>No. 17</t>
  </si>
  <si>
    <t>NIPLE AC/INOX 304   2 "  X  8 "</t>
  </si>
  <si>
    <t>VALVULA P/D BRONCE 2 "  X  125 LBS VERONI</t>
  </si>
  <si>
    <t>CODO PVC PRESION  2 "  X  90 º</t>
  </si>
  <si>
    <t>CODO PVC PRESION  2 "  X  45 º</t>
  </si>
  <si>
    <t>TUBERIA PVC PRESION 2 "  X  6 MTS</t>
  </si>
  <si>
    <t>UNIVERSAL PVC PRESION 2 "</t>
  </si>
  <si>
    <t>UN MILLON QUINIENTOS VEINTISEIS MIL CINCUENTA Y</t>
  </si>
  <si>
    <t>SEIS PESOS MDA / CTE</t>
  </si>
  <si>
    <t xml:space="preserve">  CALLE  33A  No. 17F - 56                             B/  LA FLORESTA             -   CALI    -                                   CEL.     321 7834969</t>
  </si>
  <si>
    <t xml:space="preserve">              R E M I S I O N</t>
  </si>
  <si>
    <t>30 DIAS</t>
  </si>
  <si>
    <t>GT  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</si>
</sst>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8" fillId="0" borderId="19" xfId="0" applyFont="1" applyBorder="1"/>
    <xf numFmtId="0" fontId="1" fillId="0" borderId="30" xfId="0" applyFont="1" applyBorder="1" applyAlignment="1">
      <alignment horizontal="center"/>
    </xf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grupotext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zoomScaleNormal="100" workbookViewId="0">
      <selection activeCell="K28" sqref="K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58</v>
      </c>
      <c r="G6" s="43"/>
      <c r="H6" s="44"/>
    </row>
    <row r="7" spans="1:8" ht="19.5" thickBot="1" x14ac:dyDescent="0.35">
      <c r="A7" s="20" t="s">
        <v>14</v>
      </c>
      <c r="B7" s="12"/>
      <c r="C7" s="63" t="s">
        <v>37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8" t="s">
        <v>38</v>
      </c>
      <c r="D8" s="64"/>
      <c r="E8" s="46"/>
      <c r="H8" s="15"/>
    </row>
    <row r="9" spans="1:8" ht="18.75" customHeight="1" x14ac:dyDescent="0.3">
      <c r="A9" s="21" t="s">
        <v>9</v>
      </c>
      <c r="C9" s="65" t="s">
        <v>39</v>
      </c>
      <c r="D9" s="23"/>
      <c r="E9" s="66" t="s">
        <v>40</v>
      </c>
      <c r="F9" s="30" t="s">
        <v>0</v>
      </c>
      <c r="H9" s="28">
        <v>45775</v>
      </c>
    </row>
    <row r="10" spans="1:8" ht="18.75" x14ac:dyDescent="0.3">
      <c r="A10" s="21" t="s">
        <v>13</v>
      </c>
      <c r="C10" s="67" t="s">
        <v>41</v>
      </c>
      <c r="D10" s="64"/>
      <c r="E10" s="46"/>
      <c r="F10" s="30" t="s">
        <v>15</v>
      </c>
      <c r="H10" s="29" t="s">
        <v>59</v>
      </c>
    </row>
    <row r="11" spans="1:8" ht="18.75" x14ac:dyDescent="0.3">
      <c r="A11" s="21" t="s">
        <v>10</v>
      </c>
      <c r="C11" s="68"/>
      <c r="D11" s="64"/>
      <c r="E11" s="46"/>
      <c r="F11" s="30" t="s">
        <v>16</v>
      </c>
      <c r="G11" s="30"/>
      <c r="H11" s="28">
        <v>45804</v>
      </c>
    </row>
    <row r="12" spans="1:8" ht="18.75" x14ac:dyDescent="0.3">
      <c r="A12" s="21" t="s">
        <v>11</v>
      </c>
      <c r="C12" s="68" t="s">
        <v>42</v>
      </c>
      <c r="D12" s="64"/>
      <c r="E12" s="46"/>
      <c r="F12" s="30" t="s">
        <v>17</v>
      </c>
      <c r="H12" s="31" t="s">
        <v>60</v>
      </c>
    </row>
    <row r="13" spans="1:8" ht="18.75" customHeight="1" thickBot="1" x14ac:dyDescent="0.35">
      <c r="A13" s="22" t="s">
        <v>12</v>
      </c>
      <c r="B13" s="4"/>
      <c r="C13" s="69" t="s">
        <v>43</v>
      </c>
      <c r="D13" s="70"/>
      <c r="E13" s="4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81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7">
        <v>1</v>
      </c>
      <c r="B16" s="76" t="s">
        <v>49</v>
      </c>
      <c r="C16" s="78"/>
      <c r="D16" s="79"/>
      <c r="E16" s="77" t="s">
        <v>46</v>
      </c>
      <c r="F16" s="80">
        <v>60900</v>
      </c>
      <c r="G16" s="77">
        <v>2</v>
      </c>
      <c r="H16" s="38">
        <f t="shared" ref="H16" si="0">G16*F16</f>
        <v>121800</v>
      </c>
    </row>
    <row r="17" spans="1:8" ht="16.5" thickBot="1" x14ac:dyDescent="0.3">
      <c r="A17" s="71">
        <v>2</v>
      </c>
      <c r="B17" s="72" t="s">
        <v>50</v>
      </c>
      <c r="C17" s="73"/>
      <c r="D17" s="74"/>
      <c r="E17" s="71" t="s">
        <v>36</v>
      </c>
      <c r="F17" s="75">
        <v>281400</v>
      </c>
      <c r="G17" s="71">
        <v>2</v>
      </c>
      <c r="H17" s="38">
        <f t="shared" ref="H17:H21" si="1">G17*F17</f>
        <v>562800</v>
      </c>
    </row>
    <row r="18" spans="1:8" ht="16.5" thickBot="1" x14ac:dyDescent="0.3">
      <c r="A18" s="71">
        <v>3</v>
      </c>
      <c r="B18" s="72" t="s">
        <v>51</v>
      </c>
      <c r="C18" s="73"/>
      <c r="D18" s="74"/>
      <c r="E18" s="71" t="s">
        <v>36</v>
      </c>
      <c r="F18" s="75">
        <v>11000</v>
      </c>
      <c r="G18" s="71">
        <v>10</v>
      </c>
      <c r="H18" s="38">
        <f t="shared" si="1"/>
        <v>110000</v>
      </c>
    </row>
    <row r="19" spans="1:8" ht="16.5" thickBot="1" x14ac:dyDescent="0.3">
      <c r="A19" s="71">
        <v>4</v>
      </c>
      <c r="B19" s="72" t="s">
        <v>52</v>
      </c>
      <c r="C19" s="73"/>
      <c r="D19" s="74"/>
      <c r="E19" s="71" t="s">
        <v>36</v>
      </c>
      <c r="F19" s="75">
        <v>11700</v>
      </c>
      <c r="G19" s="71">
        <v>10</v>
      </c>
      <c r="H19" s="38">
        <f t="shared" si="1"/>
        <v>117000</v>
      </c>
    </row>
    <row r="20" spans="1:8" ht="16.5" thickBot="1" x14ac:dyDescent="0.3">
      <c r="A20" s="71">
        <v>5</v>
      </c>
      <c r="B20" s="72" t="s">
        <v>53</v>
      </c>
      <c r="C20" s="73"/>
      <c r="D20" s="74"/>
      <c r="E20" s="71" t="s">
        <v>36</v>
      </c>
      <c r="F20" s="75">
        <v>88400</v>
      </c>
      <c r="G20" s="71">
        <v>1</v>
      </c>
      <c r="H20" s="38">
        <f t="shared" si="1"/>
        <v>88400</v>
      </c>
    </row>
    <row r="21" spans="1:8" ht="16.5" thickBot="1" x14ac:dyDescent="0.3">
      <c r="A21" s="71">
        <v>6</v>
      </c>
      <c r="B21" s="72" t="s">
        <v>54</v>
      </c>
      <c r="C21" s="73"/>
      <c r="D21" s="74"/>
      <c r="E21" s="71" t="s">
        <v>36</v>
      </c>
      <c r="F21" s="75">
        <v>35300</v>
      </c>
      <c r="G21" s="71">
        <v>8</v>
      </c>
      <c r="H21" s="38">
        <f t="shared" si="1"/>
        <v>282400</v>
      </c>
    </row>
    <row r="22" spans="1:8" ht="19.5" customHeight="1" thickBot="1" x14ac:dyDescent="0.3">
      <c r="A22" s="49"/>
      <c r="B22" s="76"/>
      <c r="C22" s="42"/>
      <c r="D22" s="50"/>
      <c r="E22" s="51"/>
      <c r="F22" s="51"/>
      <c r="G22" s="51"/>
    </row>
    <row r="23" spans="1:8" ht="19.5" customHeight="1" thickBot="1" x14ac:dyDescent="0.35">
      <c r="A23" s="48" t="s">
        <v>23</v>
      </c>
      <c r="B23" s="14" t="s">
        <v>55</v>
      </c>
      <c r="D23" s="15"/>
      <c r="E23" s="52"/>
      <c r="F23" s="37" t="s">
        <v>47</v>
      </c>
      <c r="G23" s="6"/>
      <c r="H23" s="7"/>
    </row>
    <row r="24" spans="1:8" ht="19.5" customHeight="1" thickBot="1" x14ac:dyDescent="0.3">
      <c r="A24" s="39"/>
      <c r="B24" s="16" t="s">
        <v>56</v>
      </c>
      <c r="C24" s="4"/>
      <c r="D24" s="4"/>
      <c r="E24" s="55" t="s">
        <v>24</v>
      </c>
      <c r="F24" s="56"/>
      <c r="G24" s="45"/>
      <c r="H24" s="53">
        <f>SUM(H16:H21)</f>
        <v>1282400</v>
      </c>
    </row>
    <row r="25" spans="1:8" ht="19.5" customHeight="1" x14ac:dyDescent="0.25">
      <c r="A25" s="24" t="s">
        <v>25</v>
      </c>
      <c r="B25" s="12"/>
      <c r="C25" s="12"/>
      <c r="D25" s="12"/>
      <c r="E25" s="57" t="s">
        <v>29</v>
      </c>
      <c r="F25" s="23"/>
      <c r="G25" s="58">
        <v>0.19</v>
      </c>
      <c r="H25" s="40">
        <f>H24*G25</f>
        <v>243656</v>
      </c>
    </row>
    <row r="26" spans="1:8" ht="19.5" customHeight="1" x14ac:dyDescent="0.25">
      <c r="A26" s="14" t="s">
        <v>44</v>
      </c>
      <c r="E26" s="59" t="s">
        <v>26</v>
      </c>
      <c r="G26" s="62">
        <v>2.5000000000000001E-2</v>
      </c>
      <c r="H26" s="54"/>
    </row>
    <row r="27" spans="1:8" ht="15.75" x14ac:dyDescent="0.25">
      <c r="A27" s="14" t="s">
        <v>45</v>
      </c>
      <c r="E27" s="14"/>
      <c r="F27" s="33"/>
      <c r="G27" s="46"/>
      <c r="H27" s="15"/>
    </row>
    <row r="28" spans="1:8" ht="16.5" thickBot="1" x14ac:dyDescent="0.3">
      <c r="A28" s="14" t="s">
        <v>31</v>
      </c>
      <c r="E28" s="60" t="s">
        <v>27</v>
      </c>
      <c r="F28" s="61"/>
      <c r="G28" s="47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</f>
        <v>1526056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57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1A943300-4448-4E67-A405-D6DA038305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TEXTIL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2025-04-28T21:34:12Z</cp:lastPrinted>
  <dcterms:created xsi:type="dcterms:W3CDTF">2018-11-15T17:29:02Z</dcterms:created>
  <dcterms:modified xsi:type="dcterms:W3CDTF">2025-04-29T22:21:58Z</dcterms:modified>
</cp:coreProperties>
</file>