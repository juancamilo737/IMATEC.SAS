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COTIZACIONES  I M A T E C  COMERCIALIZADORA\"/>
    </mc:Choice>
  </mc:AlternateContent>
  <xr:revisionPtr revIDLastSave="0" documentId="13_ncr:1_{BC6D5E0D-890B-41B7-8E28-92C9ABE9941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H-OB INGENIER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20" i="1"/>
  <c r="H19" i="1"/>
  <c r="H18" i="1"/>
  <c r="H25" i="1"/>
  <c r="H29" i="1" s="1"/>
</calcChain>
</file>

<file path=xl/sharedStrings.xml><?xml version="1.0" encoding="utf-8"?>
<sst xmlns="http://schemas.openxmlformats.org/spreadsheetml/2006/main" count="59" uniqueCount="57">
  <si>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</si>
  <si>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</si>
  <si>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</si>
  <si>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</si>
  <si>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</si>
  <si>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</si>
  <si>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</si>
  <si>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</si>
  <si>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</si>
  <si>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</si>
  <si>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</si>
  <si>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</si>
  <si>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</si>
  <si>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</si>
  <si>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</si>
  <si>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</si>
  <si>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</si>
  <si>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</si>
  <si>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</si>
  <si>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</si>
  <si>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</si>
  <si>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</si>
  <si>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</si>
  <si>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</si>
  <si>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</si>
  <si>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</si>
  <si>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</si>
  <si>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</si>
  <si>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</si>
  <si>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</si>
  <si>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</si>
  <si>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</si>
  <si>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</si>
  <si>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</si>
  <si>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</si>
  <si>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</si>
  <si>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</si>
  <si>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</si>
  <si>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</si>
  <si>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</si>
  <si>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METRO LINEAL</t>
  </si>
  <si>
    <t>ENTREGA INMEDIATA</t>
  </si>
  <si>
    <t>CH-OB INGENIERIA METALMECANICA SAS</t>
  </si>
  <si>
    <t>900 996438</t>
  </si>
  <si>
    <t>CRA 5  No. 33-06</t>
  </si>
  <si>
    <t>CALI</t>
  </si>
  <si>
    <t>financiero@chobingenieria.com</t>
  </si>
  <si>
    <t>320 6950230</t>
  </si>
  <si>
    <t>EDINSON CABEZAS</t>
  </si>
  <si>
    <t xml:space="preserve">              R E M I S I O N</t>
  </si>
  <si>
    <t>ACCESORIO</t>
  </si>
  <si>
    <t>BRIDA A / C  3 " X 150 LB  L J</t>
  </si>
  <si>
    <t>BRIDA A / C  2 1/2  " X 150 LB  L J</t>
  </si>
  <si>
    <t>BRIDA A / C  2   " X 150 LB  L J</t>
  </si>
  <si>
    <t>BRIDA AC/INOX 304   8 "  X  150 LB L J</t>
  </si>
  <si>
    <t xml:space="preserve">SETECIENTOS OCHENTA Y NUEVE MIL QUINIENTOS </t>
  </si>
  <si>
    <t>SESENTA Y CINCO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</si>
</sst>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17" xfId="0" applyBorder="1"/>
    <xf numFmtId="0" fontId="5" fillId="0" borderId="7" xfId="0" applyFont="1" applyBorder="1"/>
    <xf numFmtId="0" fontId="4" fillId="0" borderId="15" xfId="0" applyFont="1" applyBorder="1"/>
    <xf numFmtId="0" fontId="4" fillId="0" borderId="13" xfId="0" applyFont="1" applyBorder="1"/>
    <xf numFmtId="0" fontId="5" fillId="0" borderId="19" xfId="0" applyFont="1" applyBorder="1"/>
    <xf numFmtId="9" fontId="1" fillId="0" borderId="15" xfId="0" applyNumberFormat="1" applyFont="1" applyBorder="1"/>
    <xf numFmtId="42" fontId="1" fillId="0" borderId="20" xfId="0" applyNumberFormat="1" applyFont="1" applyBorder="1"/>
    <xf numFmtId="0" fontId="0" fillId="0" borderId="20" xfId="0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18" xfId="0" applyNumberFormat="1" applyFont="1" applyBorder="1" applyAlignment="1">
      <alignment horizontal="left"/>
    </xf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42" fontId="11" fillId="0" borderId="0" xfId="1" applyFont="1" applyBorder="1" applyAlignment="1">
      <alignment horizontal="center"/>
    </xf>
    <xf numFmtId="0" fontId="5" fillId="0" borderId="4" xfId="0" applyFont="1" applyBorder="1"/>
    <xf numFmtId="42" fontId="1" fillId="0" borderId="21" xfId="1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1" fillId="0" borderId="19" xfId="0" applyFont="1" applyBorder="1" applyAlignment="1">
      <alignment horizontal="left" vertical="top" wrapText="1"/>
    </xf>
    <xf numFmtId="0" fontId="8" fillId="0" borderId="0" xfId="0" applyFont="1" applyBorder="1"/>
    <xf numFmtId="0" fontId="0" fillId="0" borderId="18" xfId="0" applyBorder="1" applyAlignment="1">
      <alignment horizontal="center"/>
    </xf>
    <xf numFmtId="0" fontId="1" fillId="0" borderId="20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nanciero@chobingenier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67"/>
  <sheetViews>
    <sheetView tabSelected="1" topLeftCell="A7" zoomScaleNormal="100" workbookViewId="0">
      <selection activeCell="B25" sqref="B2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8" t="s">
        <v>32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7</v>
      </c>
      <c r="B4" s="6"/>
      <c r="C4" s="6"/>
      <c r="D4" s="30" t="s">
        <v>36</v>
      </c>
      <c r="E4" s="19"/>
      <c r="F4" s="20"/>
      <c r="G4" s="6"/>
      <c r="H4" s="7"/>
    </row>
    <row r="5" spans="1:8" ht="19.5" thickBot="1" x14ac:dyDescent="0.35">
      <c r="A5" s="56" t="s">
        <v>39</v>
      </c>
      <c r="B5" s="6"/>
      <c r="C5" s="6"/>
      <c r="D5" s="6"/>
      <c r="E5" s="6"/>
    </row>
    <row r="6" spans="1:8" ht="24.75" customHeight="1" thickBot="1" x14ac:dyDescent="0.45">
      <c r="F6" s="11" t="s">
        <v>49</v>
      </c>
      <c r="G6" s="19"/>
      <c r="H6" s="20"/>
    </row>
    <row r="7" spans="1:8" ht="19.5" thickBot="1" x14ac:dyDescent="0.35">
      <c r="A7" s="21" t="s">
        <v>14</v>
      </c>
      <c r="B7" s="13"/>
      <c r="C7" s="31" t="s">
        <v>42</v>
      </c>
      <c r="D7" s="13"/>
      <c r="E7" s="14"/>
      <c r="F7" s="28"/>
      <c r="G7" s="19"/>
      <c r="H7" s="20"/>
    </row>
    <row r="8" spans="1:8" ht="18.75" x14ac:dyDescent="0.3">
      <c r="A8" s="22" t="s">
        <v>8</v>
      </c>
      <c r="C8" s="25" t="s">
        <v>43</v>
      </c>
      <c r="D8" s="26"/>
      <c r="E8" s="26"/>
      <c r="F8" s="12"/>
      <c r="G8" s="13"/>
      <c r="H8" s="14"/>
    </row>
    <row r="9" spans="1:8" ht="18.75" customHeight="1" x14ac:dyDescent="0.3">
      <c r="A9" s="22" t="s">
        <v>9</v>
      </c>
      <c r="C9" s="24" t="s">
        <v>44</v>
      </c>
      <c r="D9" s="24"/>
      <c r="E9" s="25" t="s">
        <v>45</v>
      </c>
      <c r="F9" s="32" t="s">
        <v>0</v>
      </c>
      <c r="H9" s="33">
        <v>45517</v>
      </c>
    </row>
    <row r="10" spans="1:8" ht="18.75" x14ac:dyDescent="0.3">
      <c r="A10" s="22" t="s">
        <v>13</v>
      </c>
      <c r="C10" s="49" t="s">
        <v>46</v>
      </c>
      <c r="D10" s="26"/>
      <c r="E10" s="26"/>
      <c r="F10" s="32" t="s">
        <v>15</v>
      </c>
      <c r="H10" s="34" t="s">
        <v>35</v>
      </c>
    </row>
    <row r="11" spans="1:8" ht="18.75" x14ac:dyDescent="0.3">
      <c r="A11" s="22" t="s">
        <v>10</v>
      </c>
      <c r="C11" s="25"/>
      <c r="D11" s="26"/>
      <c r="E11" s="26"/>
      <c r="F11" s="32" t="s">
        <v>16</v>
      </c>
      <c r="G11" s="35"/>
      <c r="H11" s="33">
        <v>45527</v>
      </c>
    </row>
    <row r="12" spans="1:8" ht="18.75" x14ac:dyDescent="0.3">
      <c r="A12" s="22" t="s">
        <v>11</v>
      </c>
      <c r="C12" s="25" t="s">
        <v>47</v>
      </c>
      <c r="D12" s="26"/>
      <c r="E12" s="26"/>
      <c r="F12" s="32" t="s">
        <v>17</v>
      </c>
      <c r="H12" s="36"/>
    </row>
    <row r="13" spans="1:8" ht="18.75" customHeight="1" thickBot="1" x14ac:dyDescent="0.35">
      <c r="A13" s="23" t="s">
        <v>12</v>
      </c>
      <c r="B13" s="4"/>
      <c r="C13" s="25" t="s">
        <v>48</v>
      </c>
      <c r="D13" s="26"/>
      <c r="E13" s="26"/>
      <c r="F13" s="17"/>
      <c r="G13" s="4"/>
      <c r="H13" s="18"/>
    </row>
    <row r="16" spans="1:8" ht="15.75" thickBot="1" x14ac:dyDescent="0.3"/>
    <row r="17" spans="1:8" ht="15.75" thickBot="1" x14ac:dyDescent="0.3">
      <c r="A17" s="61" t="s">
        <v>19</v>
      </c>
      <c r="B17" s="53" t="s">
        <v>24</v>
      </c>
      <c r="C17" s="19"/>
      <c r="D17" s="7"/>
      <c r="E17" s="37" t="s">
        <v>20</v>
      </c>
      <c r="F17" s="37" t="s">
        <v>22</v>
      </c>
      <c r="G17" s="37" t="s">
        <v>21</v>
      </c>
      <c r="H17" s="37" t="s">
        <v>23</v>
      </c>
    </row>
    <row r="18" spans="1:8" ht="15.75" thickBot="1" x14ac:dyDescent="0.3">
      <c r="A18" s="63">
        <v>1</v>
      </c>
      <c r="B18" t="s">
        <v>51</v>
      </c>
      <c r="E18" s="58" t="s">
        <v>50</v>
      </c>
      <c r="F18" s="55">
        <v>55000</v>
      </c>
      <c r="G18" s="54">
        <v>2</v>
      </c>
      <c r="H18" s="57">
        <f t="shared" ref="H18" si="0">G18*F18</f>
        <v>110000</v>
      </c>
    </row>
    <row r="19" spans="1:8" ht="15.75" thickBot="1" x14ac:dyDescent="0.3">
      <c r="A19" s="64">
        <v>2</v>
      </c>
      <c r="B19" t="s">
        <v>52</v>
      </c>
      <c r="E19" s="58" t="s">
        <v>40</v>
      </c>
      <c r="F19" s="55">
        <v>46500</v>
      </c>
      <c r="G19" s="54">
        <v>3</v>
      </c>
      <c r="H19" s="57">
        <f t="shared" ref="H19:H21" si="1">G19*F19</f>
        <v>139500</v>
      </c>
    </row>
    <row r="20" spans="1:8" ht="15.75" thickBot="1" x14ac:dyDescent="0.3">
      <c r="A20" s="64">
        <v>3</v>
      </c>
      <c r="B20" t="s">
        <v>53</v>
      </c>
      <c r="E20" s="58" t="s">
        <v>40</v>
      </c>
      <c r="F20" s="55">
        <v>45000</v>
      </c>
      <c r="G20" s="54">
        <v>3</v>
      </c>
      <c r="H20" s="57">
        <f t="shared" si="1"/>
        <v>135000</v>
      </c>
    </row>
    <row r="21" spans="1:8" ht="15.75" thickBot="1" x14ac:dyDescent="0.3">
      <c r="A21" s="64">
        <v>4</v>
      </c>
      <c r="B21" t="s">
        <v>54</v>
      </c>
      <c r="E21" s="58" t="s">
        <v>40</v>
      </c>
      <c r="F21" s="55">
        <v>279000</v>
      </c>
      <c r="G21" s="54">
        <v>1</v>
      </c>
      <c r="H21" s="57">
        <f t="shared" si="1"/>
        <v>279000</v>
      </c>
    </row>
    <row r="22" spans="1:8" ht="16.5" thickBot="1" x14ac:dyDescent="0.3">
      <c r="A22" s="65"/>
      <c r="B22" s="60"/>
      <c r="D22" s="39"/>
    </row>
    <row r="23" spans="1:8" ht="19.5" thickBot="1" x14ac:dyDescent="0.35">
      <c r="A23" s="62" t="s">
        <v>25</v>
      </c>
      <c r="B23" s="12" t="s">
        <v>55</v>
      </c>
      <c r="C23" s="13"/>
      <c r="D23" s="14"/>
      <c r="E23" s="13"/>
      <c r="F23" s="40" t="s">
        <v>31</v>
      </c>
      <c r="G23" s="13"/>
      <c r="H23" s="7"/>
    </row>
    <row r="24" spans="1:8" ht="16.5" thickBot="1" x14ac:dyDescent="0.3">
      <c r="A24" s="59"/>
      <c r="B24" s="17" t="s">
        <v>56</v>
      </c>
      <c r="C24" s="4"/>
      <c r="D24" s="4"/>
      <c r="E24" s="41" t="s">
        <v>26</v>
      </c>
      <c r="F24" s="42"/>
      <c r="G24" s="26"/>
      <c r="H24" s="50">
        <f>SUM(H18:H21)</f>
        <v>663500</v>
      </c>
    </row>
    <row r="25" spans="1:8" ht="15.75" x14ac:dyDescent="0.25">
      <c r="A25" s="27" t="s">
        <v>27</v>
      </c>
      <c r="B25" s="13"/>
      <c r="C25" s="13"/>
      <c r="D25" s="14"/>
      <c r="E25" s="3" t="s">
        <v>33</v>
      </c>
      <c r="G25" s="44">
        <v>0.19</v>
      </c>
      <c r="H25" s="51">
        <f>H24*G25</f>
        <v>126065</v>
      </c>
    </row>
    <row r="26" spans="1:8" ht="15.75" x14ac:dyDescent="0.25">
      <c r="A26" s="15" t="s">
        <v>34</v>
      </c>
      <c r="D26" s="16"/>
      <c r="E26" s="42" t="s">
        <v>28</v>
      </c>
      <c r="G26">
        <v>0</v>
      </c>
      <c r="H26" s="45"/>
    </row>
    <row r="27" spans="1:8" ht="15.75" x14ac:dyDescent="0.25">
      <c r="A27" s="15" t="s">
        <v>41</v>
      </c>
      <c r="D27" s="16"/>
      <c r="F27" s="42"/>
      <c r="G27" s="26"/>
      <c r="H27" s="46"/>
    </row>
    <row r="28" spans="1:8" ht="16.5" thickBot="1" x14ac:dyDescent="0.3">
      <c r="A28" s="15" t="s">
        <v>37</v>
      </c>
      <c r="D28" s="16"/>
      <c r="E28" s="42" t="s">
        <v>29</v>
      </c>
      <c r="F28" s="42"/>
      <c r="G28" s="26"/>
      <c r="H28" s="47"/>
    </row>
    <row r="29" spans="1:8" ht="19.5" thickBot="1" x14ac:dyDescent="0.35">
      <c r="A29" s="17"/>
      <c r="B29" s="4"/>
      <c r="C29" s="4"/>
      <c r="D29" s="18"/>
      <c r="F29" s="3"/>
      <c r="G29" s="43" t="s">
        <v>30</v>
      </c>
      <c r="H29" s="52">
        <f>H24+H25</f>
        <v>789565</v>
      </c>
    </row>
    <row r="33" spans="9:10" ht="19.5" customHeight="1" x14ac:dyDescent="0.25">
      <c r="I33" s="38"/>
      <c r="J33" s="38"/>
    </row>
    <row r="34" spans="9:10" ht="19.5" customHeight="1" x14ac:dyDescent="0.25"/>
    <row r="35" spans="9:10" ht="19.5" customHeight="1" x14ac:dyDescent="0.25"/>
    <row r="36" spans="9:10" ht="19.5" customHeight="1" x14ac:dyDescent="0.25"/>
    <row r="37" spans="9:10" ht="19.5" customHeight="1" x14ac:dyDescent="0.25"/>
    <row r="38" spans="9:10" ht="19.5" customHeight="1" x14ac:dyDescent="0.25"/>
    <row r="39" spans="9:10" ht="19.5" customHeight="1" x14ac:dyDescent="0.25"/>
    <row r="40" spans="9:10" ht="19.5" customHeight="1" x14ac:dyDescent="0.25"/>
    <row r="41" spans="9:10" ht="19.5" customHeight="1" x14ac:dyDescent="0.25"/>
    <row r="42" spans="9:10" ht="19.5" customHeight="1" x14ac:dyDescent="0.25"/>
    <row r="43" spans="9:10" ht="19.5" customHeight="1" x14ac:dyDescent="0.25"/>
    <row r="44" spans="9:10" ht="19.5" customHeight="1" x14ac:dyDescent="0.25"/>
    <row r="45" spans="9:10" ht="19.5" customHeight="1" x14ac:dyDescent="0.25"/>
    <row r="46" spans="9:10" ht="19.5" customHeight="1" x14ac:dyDescent="0.25"/>
    <row r="47" spans="9:10" ht="19.5" customHeight="1" x14ac:dyDescent="0.25"/>
    <row r="48" spans="9:10" ht="19.5" customHeight="1" x14ac:dyDescent="0.25"/>
    <row r="49" spans="1:8" ht="19.5" customHeight="1" x14ac:dyDescent="0.25"/>
    <row r="53" spans="1:8" ht="16.5" customHeight="1" x14ac:dyDescent="0.25"/>
    <row r="58" spans="1:8" ht="15.75" thickBot="1" x14ac:dyDescent="0.3"/>
    <row r="59" spans="1:8" ht="19.5" thickBot="1" x14ac:dyDescent="0.35">
      <c r="A59" s="28" t="s">
        <v>38</v>
      </c>
      <c r="B59" s="6"/>
      <c r="C59" s="6"/>
      <c r="D59" s="6"/>
      <c r="E59" s="6"/>
      <c r="F59" s="6"/>
      <c r="G59" s="6"/>
      <c r="H59" s="7"/>
    </row>
    <row r="67" spans="1:1" ht="18.75" x14ac:dyDescent="0.3">
      <c r="A67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CH-OB INGENIERIA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2024-07-23T21:52:38Z</cp:lastPrinted>
  <dcterms:created xsi:type="dcterms:W3CDTF">2018-11-15T17:29:02Z</dcterms:created>
  <dcterms:modified xsi:type="dcterms:W3CDTF">2024-08-13T13:50:20Z</dcterms:modified>
</cp:coreProperties>
</file>