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D5C6FD31-9EAE-40A1-AEC8-9C26A8A907E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,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3" i="1"/>
  <c r="H22" i="1"/>
  <c r="H17" i="1"/>
  <c r="H16" i="1"/>
  <c r="H20" i="1" s="1"/>
  <c r="H21" i="1" l="1"/>
</calcChain>
</file>

<file path=xl/sharedStrings.xml><?xml version="1.0" encoding="utf-8"?>
<sst xmlns="http://schemas.openxmlformats.org/spreadsheetml/2006/main" count="58" uniqueCount="57">
  <si>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</si>
  <si>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</si>
  <si>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</si>
  <si>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</si>
  <si>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</si>
  <si>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</si>
  <si>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</si>
  <si>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</si>
  <si>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</si>
  <si>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</si>
  <si>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</si>
  <si>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</si>
  <si>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</si>
  <si>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</si>
  <si>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</si>
  <si>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</si>
  <si>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</si>
  <si>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</si>
  <si>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</si>
  <si>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</si>
  <si>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</si>
  <si>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</si>
  <si>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</si>
  <si>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</si>
  <si>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</si>
  <si>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</si>
  <si>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</si>
  <si>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</si>
  <si>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</si>
  <si>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</si>
  <si>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</si>
  <si>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</si>
  <si>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</si>
  <si>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</si>
  <si>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</si>
  <si>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</si>
  <si>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</si>
  <si>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</si>
  <si>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</si>
  <si>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</si>
  <si>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</si>
  <si>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</si>
  <si>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No. 2</t>
  </si>
  <si>
    <t>890 331634</t>
  </si>
  <si>
    <t>financiero@iteco.com.co</t>
  </si>
  <si>
    <t>CALI</t>
  </si>
  <si>
    <t>CALLE 20  No.  1 - 30</t>
  </si>
  <si>
    <t>ITECO S.A.</t>
  </si>
  <si>
    <t>602 4893785</t>
  </si>
  <si>
    <t>LUIS A. BENAVIDES</t>
  </si>
  <si>
    <t>TRAMPA BALDE INVERTIDO 1 " PENNAN</t>
  </si>
  <si>
    <t>TRAMPA TERMODINAMICA CON FILTRO 1 " PENNAN</t>
  </si>
  <si>
    <t xml:space="preserve">   RETEICA</t>
  </si>
  <si>
    <t>ONCE MILLONES SETECIENTOS SEIS MIL NOVENTA PESOS</t>
  </si>
  <si>
    <t>MDA / CTE</t>
  </si>
  <si>
    <t>ENTREGA EN TRES DIAS A PARTIR DE ORDEN DE COMPRA</t>
  </si>
  <si>
    <t>IMPORTACION TECNICA ESTUDIOS Y COMERCIALIZACION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</si>
</sst>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  <xf numFmtId="0" fontId="1" fillId="0" borderId="2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nanciero@iteco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J6" sqref="J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59" t="s">
        <v>56</v>
      </c>
      <c r="D7" s="12"/>
      <c r="E7" s="13"/>
      <c r="F7" s="37"/>
      <c r="G7" s="18"/>
      <c r="H7" s="19" t="s">
        <v>42</v>
      </c>
    </row>
    <row r="8" spans="1:8" ht="18.75" x14ac:dyDescent="0.3">
      <c r="A8" s="21" t="s">
        <v>8</v>
      </c>
      <c r="C8" s="68" t="s">
        <v>43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46</v>
      </c>
      <c r="E9" s="15" t="s">
        <v>45</v>
      </c>
      <c r="F9" s="30" t="s">
        <v>0</v>
      </c>
      <c r="H9" s="28">
        <v>45902</v>
      </c>
    </row>
    <row r="10" spans="1:8" ht="18.75" x14ac:dyDescent="0.3">
      <c r="A10" s="21" t="s">
        <v>13</v>
      </c>
      <c r="C10" s="69" t="s">
        <v>44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 t="s">
        <v>47</v>
      </c>
      <c r="E11" s="15"/>
      <c r="F11" s="30" t="s">
        <v>16</v>
      </c>
      <c r="G11" s="30"/>
      <c r="H11" s="28">
        <v>45911</v>
      </c>
    </row>
    <row r="12" spans="1:8" ht="18.75" x14ac:dyDescent="0.3">
      <c r="A12" s="21" t="s">
        <v>11</v>
      </c>
      <c r="C12" s="14" t="s">
        <v>48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49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6" t="s">
        <v>35</v>
      </c>
      <c r="B15" s="24" t="s">
        <v>22</v>
      </c>
      <c r="C15" s="42"/>
      <c r="D15" s="13"/>
      <c r="E15" s="46" t="s">
        <v>18</v>
      </c>
      <c r="F15" s="46" t="s">
        <v>20</v>
      </c>
      <c r="G15" s="46" t="s">
        <v>19</v>
      </c>
      <c r="H15" s="32" t="s">
        <v>21</v>
      </c>
    </row>
    <row r="16" spans="1:8" ht="16.5" thickBot="1" x14ac:dyDescent="0.3">
      <c r="A16" s="60">
        <v>1</v>
      </c>
      <c r="B16" s="61" t="s">
        <v>51</v>
      </c>
      <c r="C16" s="62"/>
      <c r="D16" s="63"/>
      <c r="E16" s="60" t="s">
        <v>39</v>
      </c>
      <c r="F16" s="64">
        <v>550000</v>
      </c>
      <c r="G16" s="60">
        <v>7</v>
      </c>
      <c r="H16" s="38">
        <f t="shared" ref="H16" si="0">G16*F16</f>
        <v>3850000</v>
      </c>
    </row>
    <row r="17" spans="1:8" ht="16.5" thickBot="1" x14ac:dyDescent="0.3">
      <c r="A17" s="60">
        <v>2</v>
      </c>
      <c r="B17" s="61" t="s">
        <v>50</v>
      </c>
      <c r="C17" s="62"/>
      <c r="D17" s="63"/>
      <c r="E17" s="60" t="s">
        <v>39</v>
      </c>
      <c r="F17" s="64">
        <v>895000</v>
      </c>
      <c r="G17" s="60">
        <v>7</v>
      </c>
      <c r="H17" s="38">
        <f t="shared" ref="H17" si="1">G17*F17</f>
        <v>6265000</v>
      </c>
    </row>
    <row r="18" spans="1:8" ht="19.5" customHeight="1" thickBot="1" x14ac:dyDescent="0.3">
      <c r="A18" s="47"/>
      <c r="B18" s="66"/>
      <c r="D18" s="67"/>
      <c r="E18" s="47"/>
      <c r="F18" s="47"/>
      <c r="G18" s="47"/>
    </row>
    <row r="19" spans="1:8" ht="19.5" customHeight="1" thickBot="1" x14ac:dyDescent="0.35">
      <c r="A19" s="65" t="s">
        <v>23</v>
      </c>
      <c r="B19" s="68" t="s">
        <v>53</v>
      </c>
      <c r="C19" s="12"/>
      <c r="D19" s="13"/>
      <c r="E19" s="48"/>
      <c r="F19" s="37" t="s">
        <v>40</v>
      </c>
      <c r="G19" s="6"/>
      <c r="H19" s="7"/>
    </row>
    <row r="20" spans="1:8" ht="19.5" customHeight="1" thickBot="1" x14ac:dyDescent="0.3">
      <c r="A20" s="39"/>
      <c r="B20" s="16" t="s">
        <v>54</v>
      </c>
      <c r="C20" s="4"/>
      <c r="D20" s="17"/>
      <c r="E20" s="51" t="s">
        <v>24</v>
      </c>
      <c r="F20" s="52"/>
      <c r="G20" s="44"/>
      <c r="H20" s="49">
        <f>SUM(H16:H19)</f>
        <v>10115000</v>
      </c>
    </row>
    <row r="21" spans="1:8" ht="19.5" customHeight="1" x14ac:dyDescent="0.25">
      <c r="A21" s="24" t="s">
        <v>25</v>
      </c>
      <c r="B21" s="12"/>
      <c r="C21" s="12"/>
      <c r="D21" s="12"/>
      <c r="E21" s="53" t="s">
        <v>29</v>
      </c>
      <c r="F21" s="23"/>
      <c r="G21" s="54">
        <v>0.19</v>
      </c>
      <c r="H21" s="40">
        <f>H20*G21</f>
        <v>1921850</v>
      </c>
    </row>
    <row r="22" spans="1:8" ht="19.5" customHeight="1" x14ac:dyDescent="0.25">
      <c r="A22" s="14" t="s">
        <v>30</v>
      </c>
      <c r="E22" s="55" t="s">
        <v>26</v>
      </c>
      <c r="G22" s="58">
        <v>2.5000000000000001E-2</v>
      </c>
      <c r="H22" s="50">
        <f>H20*G22</f>
        <v>252875</v>
      </c>
    </row>
    <row r="23" spans="1:8" ht="15.75" x14ac:dyDescent="0.25">
      <c r="A23" s="14" t="s">
        <v>55</v>
      </c>
      <c r="E23" s="53" t="s">
        <v>52</v>
      </c>
      <c r="F23" s="33"/>
      <c r="G23" s="70">
        <v>7.7000000000000002E-3</v>
      </c>
      <c r="H23" s="50">
        <f>H20*G23</f>
        <v>77885.5</v>
      </c>
    </row>
    <row r="24" spans="1:8" ht="16.5" thickBot="1" x14ac:dyDescent="0.3">
      <c r="A24" s="14" t="s">
        <v>33</v>
      </c>
      <c r="E24" s="56" t="s">
        <v>27</v>
      </c>
      <c r="F24" s="57"/>
      <c r="G24" s="45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H20+H21-H22-H23</f>
        <v>11706089.5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41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637C47EE-57B7-4218-936D-DD978544CEF1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2025-09-02T17:29:20Z</dcterms:modified>
</cp:coreProperties>
</file>