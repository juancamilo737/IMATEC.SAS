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9D866512-54A5-4F03-8152-EDDC44A80A60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UB HIDROSANIATARI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8" i="1" l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40" i="1" l="1"/>
  <c r="H39" i="1"/>
  <c r="H43" i="1" s="1"/>
</calcChain>
</file>

<file path=xl/sharedStrings.xml><?xml version="1.0" encoding="utf-8"?>
<sst xmlns="http://schemas.openxmlformats.org/spreadsheetml/2006/main" count="93" uniqueCount="76">
  <si>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</si>
  <si>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</si>
  <si>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</si>
  <si>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</si>
  <si>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</si>
  <si>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</si>
  <si>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</si>
  <si>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</si>
  <si>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</si>
  <si>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</si>
  <si>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</si>
  <si>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</si>
  <si>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</si>
  <si>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</si>
  <si>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</si>
  <si>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</si>
  <si>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</si>
  <si>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</si>
  <si>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</si>
  <si>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</si>
  <si>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</si>
  <si>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</si>
  <si>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</si>
  <si>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</si>
  <si>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</si>
  <si>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</si>
  <si>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</si>
  <si>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</si>
  <si>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</si>
  <si>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</si>
  <si>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</si>
  <si>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</si>
  <si>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</si>
  <si>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</si>
  <si>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</si>
  <si>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</si>
  <si>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</si>
  <si>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</si>
  <si>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UB HIDROSANITARIO S.A.S.</t>
  </si>
  <si>
    <t>900 638632</t>
  </si>
  <si>
    <t>CRA 12  No. 3S-18</t>
  </si>
  <si>
    <t>JAMUNDI</t>
  </si>
  <si>
    <t>hidrosanitariossas@outlook.com</t>
  </si>
  <si>
    <t>318 4294271</t>
  </si>
  <si>
    <t>LUIS A. BENAVIDES</t>
  </si>
  <si>
    <t xml:space="preserve"> </t>
  </si>
  <si>
    <t>FORMA DE PAGO : CREDITO 15 DIAS</t>
  </si>
  <si>
    <t>ENTREGA INMEDIATA</t>
  </si>
  <si>
    <t>TUBO X 6MTS</t>
  </si>
  <si>
    <t xml:space="preserve">  CALLE  33A  No. 17F - 56                          B/  LA FLORESTA             -   CALI    -                                   CEL.     321 7834969</t>
  </si>
  <si>
    <t xml:space="preserve">              R E M I S I O N</t>
  </si>
  <si>
    <t>VALVULA MARIPOSA S/M RANURADA  3 "</t>
  </si>
  <si>
    <t>COPA HD RANURADA 4 "  X  3 "</t>
  </si>
  <si>
    <t>UNION HD RANURADA  4 "</t>
  </si>
  <si>
    <t>UNION HD RANURADA  3 "</t>
  </si>
  <si>
    <t>TEE MECANICA  3 "  X  1 1/2 " NPT</t>
  </si>
  <si>
    <t>BUSHING A / C  1 1/2 "  X  1 1/4 "</t>
  </si>
  <si>
    <t>BUSHING A / C  1 1/2 "  X  1  "</t>
  </si>
  <si>
    <t>BUSHING A / C  1  "  X  3/4  "</t>
  </si>
  <si>
    <t>BUSHING A / C   1/2 "  X  1/4  "</t>
  </si>
  <si>
    <t>MANOMETRO CARATULA 2 1/2 " 0-200 PSI</t>
  </si>
  <si>
    <t>BUSHING A / C  3/4 " X 1/2 "</t>
  </si>
  <si>
    <t>VENTOSA EN BRONCE 1 "</t>
  </si>
  <si>
    <t>TAPON HD RANURADO 3 "</t>
  </si>
  <si>
    <t xml:space="preserve">TUBERIA  A / C SCH 40 1/2 "  </t>
  </si>
  <si>
    <t xml:space="preserve">TUBERIA A  / C SCH 10  3 "  </t>
  </si>
  <si>
    <t>TUBO X 5,8 MTS</t>
  </si>
  <si>
    <t>SEMICODO  A / C  1/2 "  X  45 º</t>
  </si>
  <si>
    <t>CODO  A / C   1/2 "  X  90 º</t>
  </si>
  <si>
    <t>UNION  A / C  1/2 "</t>
  </si>
  <si>
    <t>TEE  A / C  1/2 "</t>
  </si>
  <si>
    <t>VALVULA REGULADORA DE PRESION  AGUA  1/2 "</t>
  </si>
  <si>
    <t>SEIS MILLONES DOSCIENTOS SESENTA Y DOS MIL DOS-</t>
  </si>
  <si>
    <t>CIENTOS SETENTA Y UN PESOS MDA / CTE</t>
  </si>
  <si>
    <t>15 DIAS</t>
  </si>
  <si>
    <t>No.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</si>
</sst>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1" xfId="0" applyBorder="1"/>
    <xf numFmtId="0" fontId="0" fillId="0" borderId="24" xfId="0" applyBorder="1"/>
    <xf numFmtId="0" fontId="0" fillId="0" borderId="27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28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9" xfId="0" applyFont="1" applyBorder="1"/>
    <xf numFmtId="9" fontId="1" fillId="0" borderId="22" xfId="3" applyFont="1" applyBorder="1"/>
    <xf numFmtId="0" fontId="4" fillId="0" borderId="23" xfId="0" applyFont="1" applyBorder="1"/>
    <xf numFmtId="0" fontId="4" fillId="0" borderId="25" xfId="0" applyFont="1" applyBorder="1"/>
    <xf numFmtId="0" fontId="4" fillId="0" borderId="26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9" xfId="0" applyBorder="1"/>
    <xf numFmtId="0" fontId="0" fillId="0" borderId="20" xfId="0" applyBorder="1"/>
    <xf numFmtId="0" fontId="0" fillId="0" borderId="29" xfId="0" applyBorder="1"/>
    <xf numFmtId="0" fontId="0" fillId="0" borderId="22" xfId="0" applyBorder="1"/>
    <xf numFmtId="0" fontId="13" fillId="0" borderId="23" xfId="2" applyBorder="1"/>
    <xf numFmtId="0" fontId="0" fillId="0" borderId="23" xfId="0" applyBorder="1"/>
    <xf numFmtId="0" fontId="0" fillId="0" borderId="25" xfId="0" applyBorder="1"/>
    <xf numFmtId="0" fontId="0" fillId="0" borderId="26" xfId="0" applyBorder="1"/>
    <xf numFmtId="0" fontId="1" fillId="0" borderId="14" xfId="0" applyFont="1" applyBorder="1" applyAlignment="1">
      <alignment horizontal="center"/>
    </xf>
    <xf numFmtId="0" fontId="8" fillId="0" borderId="30" xfId="0" applyFont="1" applyBorder="1"/>
    <xf numFmtId="0" fontId="8" fillId="0" borderId="13" xfId="0" applyFont="1" applyBorder="1"/>
    <xf numFmtId="0" fontId="8" fillId="0" borderId="31" xfId="0" applyFont="1" applyBorder="1"/>
    <xf numFmtId="42" fontId="11" fillId="0" borderId="14" xfId="1" applyFont="1" applyBorder="1" applyAlignment="1">
      <alignment horizontal="center"/>
    </xf>
    <xf numFmtId="0" fontId="0" fillId="0" borderId="32" xfId="0" applyBorder="1"/>
    <xf numFmtId="0" fontId="0" fillId="0" borderId="33" xfId="0" applyBorder="1"/>
    <xf numFmtId="0" fontId="0" fillId="0" borderId="34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idrosanitariossas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58"/>
  <sheetViews>
    <sheetView tabSelected="1" topLeftCell="A2" zoomScaleNormal="100" workbookViewId="0">
      <selection activeCell="J14" sqref="J14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50</v>
      </c>
      <c r="G6" s="42"/>
      <c r="H6" s="43"/>
    </row>
    <row r="7" spans="1:8" ht="19.5" thickBot="1" x14ac:dyDescent="0.35">
      <c r="A7" s="20" t="s">
        <v>14</v>
      </c>
      <c r="B7" s="12"/>
      <c r="C7" s="61" t="s">
        <v>38</v>
      </c>
      <c r="D7" s="12"/>
      <c r="E7" s="13"/>
      <c r="F7" s="37"/>
      <c r="G7" s="18"/>
      <c r="H7" s="19" t="s">
        <v>75</v>
      </c>
    </row>
    <row r="8" spans="1:8" ht="18.75" x14ac:dyDescent="0.3">
      <c r="A8" s="21" t="s">
        <v>8</v>
      </c>
      <c r="C8" s="63" t="s">
        <v>39</v>
      </c>
      <c r="D8" s="64"/>
      <c r="E8" s="44"/>
      <c r="H8" s="15" t="s">
        <v>45</v>
      </c>
    </row>
    <row r="9" spans="1:8" ht="18.75" customHeight="1" x14ac:dyDescent="0.3">
      <c r="A9" s="21" t="s">
        <v>9</v>
      </c>
      <c r="C9" s="65" t="s">
        <v>40</v>
      </c>
      <c r="D9" s="23"/>
      <c r="E9" s="66" t="s">
        <v>41</v>
      </c>
      <c r="F9" s="30" t="s">
        <v>0</v>
      </c>
      <c r="H9" s="28">
        <v>45783</v>
      </c>
    </row>
    <row r="10" spans="1:8" ht="18.75" x14ac:dyDescent="0.3">
      <c r="A10" s="21" t="s">
        <v>13</v>
      </c>
      <c r="C10" s="67" t="s">
        <v>42</v>
      </c>
      <c r="D10" s="62"/>
      <c r="E10" s="45"/>
      <c r="F10" s="30" t="s">
        <v>15</v>
      </c>
      <c r="H10" s="29" t="s">
        <v>74</v>
      </c>
    </row>
    <row r="11" spans="1:8" ht="18.75" x14ac:dyDescent="0.3">
      <c r="A11" s="21" t="s">
        <v>10</v>
      </c>
      <c r="C11" s="68"/>
      <c r="D11" s="62"/>
      <c r="E11" s="45"/>
      <c r="F11" s="30" t="s">
        <v>16</v>
      </c>
      <c r="G11" s="30"/>
      <c r="H11" s="28">
        <v>45798</v>
      </c>
    </row>
    <row r="12" spans="1:8" ht="18.75" x14ac:dyDescent="0.3">
      <c r="A12" s="21" t="s">
        <v>11</v>
      </c>
      <c r="C12" s="68" t="s">
        <v>43</v>
      </c>
      <c r="D12" s="62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9" t="s">
        <v>44</v>
      </c>
      <c r="D13" s="70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34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71">
        <v>1</v>
      </c>
      <c r="B16" s="72" t="s">
        <v>51</v>
      </c>
      <c r="C16" s="73"/>
      <c r="D16" s="74"/>
      <c r="E16" s="71" t="s">
        <v>37</v>
      </c>
      <c r="F16" s="75">
        <v>419000</v>
      </c>
      <c r="G16" s="71">
        <v>1</v>
      </c>
      <c r="H16" s="38">
        <f t="shared" ref="H16" si="0">G16*F16</f>
        <v>419000</v>
      </c>
    </row>
    <row r="17" spans="1:8" ht="16.5" thickBot="1" x14ac:dyDescent="0.3">
      <c r="A17" s="71">
        <v>2</v>
      </c>
      <c r="B17" s="72" t="s">
        <v>52</v>
      </c>
      <c r="C17" s="73"/>
      <c r="D17" s="74"/>
      <c r="E17" s="71" t="s">
        <v>37</v>
      </c>
      <c r="F17" s="75">
        <v>19000</v>
      </c>
      <c r="G17" s="71">
        <v>1</v>
      </c>
      <c r="H17" s="38">
        <f t="shared" ref="H17:H35" si="1">G17*F17</f>
        <v>19000</v>
      </c>
    </row>
    <row r="18" spans="1:8" ht="16.5" thickBot="1" x14ac:dyDescent="0.3">
      <c r="A18" s="71">
        <v>3</v>
      </c>
      <c r="B18" s="72" t="s">
        <v>53</v>
      </c>
      <c r="C18" s="73"/>
      <c r="D18" s="74"/>
      <c r="E18" s="71" t="s">
        <v>37</v>
      </c>
      <c r="F18" s="75">
        <v>19800</v>
      </c>
      <c r="G18" s="71">
        <v>1</v>
      </c>
      <c r="H18" s="38">
        <f t="shared" si="1"/>
        <v>19800</v>
      </c>
    </row>
    <row r="19" spans="1:8" ht="16.5" thickBot="1" x14ac:dyDescent="0.3">
      <c r="A19" s="71">
        <v>4</v>
      </c>
      <c r="B19" s="72" t="s">
        <v>54</v>
      </c>
      <c r="C19" s="73"/>
      <c r="D19" s="74"/>
      <c r="E19" s="71" t="s">
        <v>37</v>
      </c>
      <c r="F19" s="75">
        <v>15800</v>
      </c>
      <c r="G19" s="71">
        <v>12</v>
      </c>
      <c r="H19" s="38">
        <f t="shared" si="1"/>
        <v>189600</v>
      </c>
    </row>
    <row r="20" spans="1:8" ht="16.5" thickBot="1" x14ac:dyDescent="0.3">
      <c r="A20" s="71">
        <v>5</v>
      </c>
      <c r="B20" s="72" t="s">
        <v>55</v>
      </c>
      <c r="C20" s="73"/>
      <c r="D20" s="74"/>
      <c r="E20" s="71" t="s">
        <v>37</v>
      </c>
      <c r="F20" s="75">
        <v>25500</v>
      </c>
      <c r="G20" s="71">
        <v>11</v>
      </c>
      <c r="H20" s="38">
        <f t="shared" si="1"/>
        <v>280500</v>
      </c>
    </row>
    <row r="21" spans="1:8" ht="16.5" thickBot="1" x14ac:dyDescent="0.3">
      <c r="A21" s="71">
        <v>6</v>
      </c>
      <c r="B21" s="72" t="s">
        <v>56</v>
      </c>
      <c r="C21" s="73"/>
      <c r="D21" s="74"/>
      <c r="E21" s="71" t="s">
        <v>37</v>
      </c>
      <c r="F21" s="75">
        <v>6500</v>
      </c>
      <c r="G21" s="71">
        <v>2</v>
      </c>
      <c r="H21" s="38">
        <f t="shared" si="1"/>
        <v>13000</v>
      </c>
    </row>
    <row r="22" spans="1:8" ht="16.5" thickBot="1" x14ac:dyDescent="0.3">
      <c r="A22" s="71">
        <v>7</v>
      </c>
      <c r="B22" s="72" t="s">
        <v>57</v>
      </c>
      <c r="C22" s="73"/>
      <c r="D22" s="74"/>
      <c r="E22" s="71" t="s">
        <v>37</v>
      </c>
      <c r="F22" s="75">
        <v>6500</v>
      </c>
      <c r="G22" s="71">
        <v>4</v>
      </c>
      <c r="H22" s="38">
        <f t="shared" si="1"/>
        <v>26000</v>
      </c>
    </row>
    <row r="23" spans="1:8" ht="16.5" thickBot="1" x14ac:dyDescent="0.3">
      <c r="A23" s="71">
        <v>8</v>
      </c>
      <c r="B23" s="72" t="s">
        <v>58</v>
      </c>
      <c r="C23" s="73"/>
      <c r="D23" s="74"/>
      <c r="E23" s="71" t="s">
        <v>37</v>
      </c>
      <c r="F23" s="75">
        <v>5000</v>
      </c>
      <c r="G23" s="71">
        <v>4</v>
      </c>
      <c r="H23" s="38">
        <f t="shared" si="1"/>
        <v>20000</v>
      </c>
    </row>
    <row r="24" spans="1:8" ht="16.5" thickBot="1" x14ac:dyDescent="0.3">
      <c r="A24" s="71">
        <v>9</v>
      </c>
      <c r="B24" s="72" t="s">
        <v>59</v>
      </c>
      <c r="C24" s="73"/>
      <c r="D24" s="74"/>
      <c r="E24" s="71" t="s">
        <v>37</v>
      </c>
      <c r="F24" s="75">
        <v>2000</v>
      </c>
      <c r="G24" s="71">
        <v>9</v>
      </c>
      <c r="H24" s="38">
        <f t="shared" si="1"/>
        <v>18000</v>
      </c>
    </row>
    <row r="25" spans="1:8" ht="16.5" thickBot="1" x14ac:dyDescent="0.3">
      <c r="A25" s="71">
        <v>10</v>
      </c>
      <c r="B25" s="72" t="s">
        <v>60</v>
      </c>
      <c r="C25" s="73"/>
      <c r="D25" s="74"/>
      <c r="E25" s="71" t="s">
        <v>37</v>
      </c>
      <c r="F25" s="75">
        <v>45000</v>
      </c>
      <c r="G25" s="71">
        <v>8</v>
      </c>
      <c r="H25" s="38">
        <f t="shared" si="1"/>
        <v>360000</v>
      </c>
    </row>
    <row r="26" spans="1:8" ht="16.5" thickBot="1" x14ac:dyDescent="0.3">
      <c r="A26" s="71">
        <v>11</v>
      </c>
      <c r="B26" s="72" t="s">
        <v>61</v>
      </c>
      <c r="C26" s="73"/>
      <c r="D26" s="74"/>
      <c r="E26" s="71" t="s">
        <v>37</v>
      </c>
      <c r="F26" s="75">
        <v>2900</v>
      </c>
      <c r="G26" s="71">
        <v>4</v>
      </c>
      <c r="H26" s="38">
        <f t="shared" si="1"/>
        <v>11600</v>
      </c>
    </row>
    <row r="27" spans="1:8" ht="16.5" thickBot="1" x14ac:dyDescent="0.3">
      <c r="A27" s="71">
        <v>12</v>
      </c>
      <c r="B27" s="72" t="s">
        <v>62</v>
      </c>
      <c r="C27" s="73"/>
      <c r="D27" s="74"/>
      <c r="E27" s="71" t="s">
        <v>37</v>
      </c>
      <c r="F27" s="75">
        <v>60000</v>
      </c>
      <c r="G27" s="71">
        <v>1</v>
      </c>
      <c r="H27" s="38">
        <f t="shared" si="1"/>
        <v>60000</v>
      </c>
    </row>
    <row r="28" spans="1:8" ht="16.5" thickBot="1" x14ac:dyDescent="0.3">
      <c r="A28" s="71">
        <v>13</v>
      </c>
      <c r="B28" s="72" t="s">
        <v>63</v>
      </c>
      <c r="C28" s="73"/>
      <c r="D28" s="74"/>
      <c r="E28" s="71" t="s">
        <v>37</v>
      </c>
      <c r="F28" s="75">
        <v>10400</v>
      </c>
      <c r="G28" s="71">
        <v>1</v>
      </c>
      <c r="H28" s="38">
        <f t="shared" si="1"/>
        <v>10400</v>
      </c>
    </row>
    <row r="29" spans="1:8" ht="16.5" thickBot="1" x14ac:dyDescent="0.3">
      <c r="A29" s="71">
        <v>14</v>
      </c>
      <c r="B29" s="72" t="s">
        <v>65</v>
      </c>
      <c r="C29" s="73"/>
      <c r="D29" s="74"/>
      <c r="E29" s="71" t="s">
        <v>66</v>
      </c>
      <c r="F29" s="75">
        <v>302760</v>
      </c>
      <c r="G29" s="71">
        <v>4</v>
      </c>
      <c r="H29" s="38">
        <f t="shared" si="1"/>
        <v>1211040</v>
      </c>
    </row>
    <row r="30" spans="1:8" ht="16.5" thickBot="1" x14ac:dyDescent="0.3">
      <c r="A30" s="71">
        <v>15</v>
      </c>
      <c r="B30" s="72" t="s">
        <v>64</v>
      </c>
      <c r="C30" s="73"/>
      <c r="D30" s="74"/>
      <c r="E30" s="71" t="s">
        <v>48</v>
      </c>
      <c r="F30" s="75">
        <v>72000</v>
      </c>
      <c r="G30" s="71">
        <v>6</v>
      </c>
      <c r="H30" s="38">
        <f t="shared" si="1"/>
        <v>432000</v>
      </c>
    </row>
    <row r="31" spans="1:8" ht="16.5" thickBot="1" x14ac:dyDescent="0.3">
      <c r="A31" s="71">
        <v>16</v>
      </c>
      <c r="B31" s="72" t="s">
        <v>67</v>
      </c>
      <c r="C31" s="73"/>
      <c r="D31" s="74"/>
      <c r="E31" s="71" t="s">
        <v>37</v>
      </c>
      <c r="F31" s="75">
        <v>2500</v>
      </c>
      <c r="G31" s="71">
        <v>10</v>
      </c>
      <c r="H31" s="38">
        <f t="shared" si="1"/>
        <v>25000</v>
      </c>
    </row>
    <row r="32" spans="1:8" ht="16.5" thickBot="1" x14ac:dyDescent="0.3">
      <c r="A32" s="71">
        <v>17</v>
      </c>
      <c r="B32" s="72" t="s">
        <v>68</v>
      </c>
      <c r="C32" s="73"/>
      <c r="D32" s="74"/>
      <c r="E32" s="71" t="s">
        <v>37</v>
      </c>
      <c r="F32" s="75">
        <v>2200</v>
      </c>
      <c r="G32" s="71">
        <v>12</v>
      </c>
      <c r="H32" s="38">
        <f t="shared" si="1"/>
        <v>26400</v>
      </c>
    </row>
    <row r="33" spans="1:8" ht="16.5" thickBot="1" x14ac:dyDescent="0.3">
      <c r="A33" s="71">
        <v>18</v>
      </c>
      <c r="B33" s="72" t="s">
        <v>69</v>
      </c>
      <c r="C33" s="73"/>
      <c r="D33" s="74"/>
      <c r="E33" s="71" t="s">
        <v>37</v>
      </c>
      <c r="F33" s="75">
        <v>2900</v>
      </c>
      <c r="G33" s="71">
        <v>10</v>
      </c>
      <c r="H33" s="38">
        <f t="shared" si="1"/>
        <v>29000</v>
      </c>
    </row>
    <row r="34" spans="1:8" ht="16.5" thickBot="1" x14ac:dyDescent="0.3">
      <c r="A34" s="71">
        <v>19</v>
      </c>
      <c r="B34" s="72" t="s">
        <v>70</v>
      </c>
      <c r="C34" s="73"/>
      <c r="D34" s="74"/>
      <c r="E34" s="71" t="s">
        <v>37</v>
      </c>
      <c r="F34" s="75">
        <v>3000</v>
      </c>
      <c r="G34" s="71">
        <v>10</v>
      </c>
      <c r="H34" s="38">
        <f t="shared" si="1"/>
        <v>30000</v>
      </c>
    </row>
    <row r="35" spans="1:8" ht="16.5" thickBot="1" x14ac:dyDescent="0.3">
      <c r="A35" s="71">
        <v>20</v>
      </c>
      <c r="B35" s="72" t="s">
        <v>71</v>
      </c>
      <c r="C35" s="73"/>
      <c r="D35" s="74"/>
      <c r="E35" s="71" t="s">
        <v>37</v>
      </c>
      <c r="F35" s="75">
        <v>725000</v>
      </c>
      <c r="G35" s="71">
        <v>3</v>
      </c>
      <c r="H35" s="38">
        <f t="shared" si="1"/>
        <v>2175000</v>
      </c>
    </row>
    <row r="36" spans="1:8" ht="19.5" customHeight="1" thickBot="1" x14ac:dyDescent="0.3">
      <c r="A36" s="76"/>
      <c r="B36" s="77"/>
      <c r="C36" s="70"/>
      <c r="D36" s="78"/>
      <c r="E36" s="49"/>
      <c r="F36" s="49"/>
      <c r="G36" s="49"/>
    </row>
    <row r="37" spans="1:8" ht="19.5" customHeight="1" thickBot="1" x14ac:dyDescent="0.35">
      <c r="A37" s="48" t="s">
        <v>23</v>
      </c>
      <c r="B37" s="14" t="s">
        <v>72</v>
      </c>
      <c r="D37" s="15"/>
      <c r="E37" s="50"/>
      <c r="F37" s="37" t="s">
        <v>29</v>
      </c>
      <c r="G37" s="6"/>
      <c r="H37" s="7"/>
    </row>
    <row r="38" spans="1:8" ht="19.5" customHeight="1" thickBot="1" x14ac:dyDescent="0.3">
      <c r="A38" s="39"/>
      <c r="B38" s="16" t="s">
        <v>73</v>
      </c>
      <c r="C38" s="4"/>
      <c r="D38" s="4"/>
      <c r="E38" s="53" t="s">
        <v>24</v>
      </c>
      <c r="F38" s="54"/>
      <c r="G38" s="44"/>
      <c r="H38" s="51">
        <f>SUM(H16:H35)</f>
        <v>5375340</v>
      </c>
    </row>
    <row r="39" spans="1:8" ht="19.5" customHeight="1" x14ac:dyDescent="0.25">
      <c r="A39" s="24" t="s">
        <v>25</v>
      </c>
      <c r="B39" s="12"/>
      <c r="C39" s="12"/>
      <c r="D39" s="12"/>
      <c r="E39" s="55" t="s">
        <v>30</v>
      </c>
      <c r="F39" s="23"/>
      <c r="G39" s="56">
        <v>0.19</v>
      </c>
      <c r="H39" s="40">
        <f>H38*G39</f>
        <v>1021314.6</v>
      </c>
    </row>
    <row r="40" spans="1:8" ht="19.5" customHeight="1" x14ac:dyDescent="0.25">
      <c r="A40" s="14" t="s">
        <v>46</v>
      </c>
      <c r="E40" s="57" t="s">
        <v>26</v>
      </c>
      <c r="G40" s="60">
        <v>2.5000000000000001E-2</v>
      </c>
      <c r="H40" s="52">
        <f>H38*G40</f>
        <v>134383.5</v>
      </c>
    </row>
    <row r="41" spans="1:8" ht="15.75" x14ac:dyDescent="0.25">
      <c r="A41" s="14" t="s">
        <v>47</v>
      </c>
      <c r="E41" s="14"/>
      <c r="F41" s="33"/>
      <c r="G41" s="45"/>
      <c r="H41" s="15"/>
    </row>
    <row r="42" spans="1:8" ht="16.5" thickBot="1" x14ac:dyDescent="0.3">
      <c r="A42" s="14" t="s">
        <v>32</v>
      </c>
      <c r="E42" s="58" t="s">
        <v>27</v>
      </c>
      <c r="F42" s="59"/>
      <c r="G42" s="46"/>
      <c r="H42" s="17"/>
    </row>
    <row r="43" spans="1:8" ht="19.5" thickBot="1" x14ac:dyDescent="0.35">
      <c r="A43" s="16"/>
      <c r="B43" s="4"/>
      <c r="C43" s="4"/>
      <c r="D43" s="17"/>
      <c r="F43" s="3"/>
      <c r="G43" s="34" t="s">
        <v>28</v>
      </c>
      <c r="H43" s="36">
        <f>H38+H39-H40</f>
        <v>6262271.0999999996</v>
      </c>
    </row>
    <row r="44" spans="1:8" ht="16.5" customHeight="1" x14ac:dyDescent="0.25"/>
    <row r="49" spans="1:8" ht="15.75" thickBot="1" x14ac:dyDescent="0.3"/>
    <row r="50" spans="1:8" ht="19.5" thickBot="1" x14ac:dyDescent="0.35">
      <c r="A50" s="25" t="s">
        <v>49</v>
      </c>
      <c r="B50" s="6"/>
      <c r="C50" s="6"/>
      <c r="D50" s="6"/>
      <c r="E50" s="6"/>
      <c r="F50" s="6"/>
      <c r="G50" s="6"/>
      <c r="H50" s="7"/>
    </row>
    <row r="58" spans="1:8" ht="18.75" x14ac:dyDescent="0.3">
      <c r="A58" s="5"/>
    </row>
  </sheetData>
  <hyperlinks>
    <hyperlink ref="C10" r:id="rId1" xr:uid="{B078E709-34D5-4DD9-8EE3-544C5E414A81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UB HIDROSANIATARIO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2025-05-05T20:46:46Z</cp:lastPrinted>
  <dcterms:created xsi:type="dcterms:W3CDTF">2018-11-15T17:29:02Z</dcterms:created>
  <dcterms:modified xsi:type="dcterms:W3CDTF">2025-05-05T20:47:59Z</dcterms:modified>
</cp:coreProperties>
</file>