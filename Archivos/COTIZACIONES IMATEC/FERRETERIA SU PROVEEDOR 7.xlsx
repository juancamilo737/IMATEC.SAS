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55F79F63-CF53-41DE-9DB6-DF1850C0EF45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SU PROVEEDO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2" i="1" s="1"/>
  <c r="H21" i="1" l="1"/>
  <c r="H25" i="1" s="1"/>
</calcChain>
</file>

<file path=xl/sharedStrings.xml><?xml version="1.0" encoding="utf-8"?>
<sst xmlns="http://schemas.openxmlformats.org/spreadsheetml/2006/main" count="55" uniqueCount="54">
  <si>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</si>
  <si>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</si>
  <si>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</si>
  <si>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</si>
  <si>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</si>
  <si>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</si>
  <si>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</si>
  <si>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</si>
  <si>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</si>
  <si>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</si>
  <si>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</si>
  <si>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</si>
  <si>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</si>
  <si>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</si>
  <si>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</si>
  <si>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</si>
  <si>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</si>
  <si>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</si>
  <si>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</si>
  <si>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</si>
  <si>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</si>
  <si>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</si>
  <si>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</si>
  <si>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</si>
  <si>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</si>
  <si>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</si>
  <si>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</si>
  <si>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</si>
  <si>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</si>
  <si>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</si>
  <si>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</si>
  <si>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10 DIAS</t>
  </si>
  <si>
    <t xml:space="preserve">                                   JAVIER LOZANO TAMAYO C.C. 16´654.252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</si>
  <si>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</si>
  <si>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</si>
  <si>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</si>
  <si>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</si>
  <si>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</si>
  <si>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</si>
  <si>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 xml:space="preserve">           C O T I Z A C I O N</t>
  </si>
  <si>
    <t>FERRETERIA SUPROVEEDOR S.A.S.</t>
  </si>
  <si>
    <t>900 262123</t>
  </si>
  <si>
    <t>CRA 1 Nte  No. 50-224</t>
  </si>
  <si>
    <t>CALI</t>
  </si>
  <si>
    <t>ferresuproveedor@gmail.com</t>
  </si>
  <si>
    <t>602 5247788</t>
  </si>
  <si>
    <t>LUIS BENAVIDES</t>
  </si>
  <si>
    <t>FORMA DE PAGO : CREDITO A 30 DIAS</t>
  </si>
  <si>
    <t>ACCESORIO</t>
  </si>
  <si>
    <t>No. 7</t>
  </si>
  <si>
    <t>CHEQUE CORTINA BRONCE 1 1/2 " X  125 S</t>
  </si>
  <si>
    <t>CHEQUE CORTINA BRONCE 2 1/2 " X  125 S</t>
  </si>
  <si>
    <t>TRES MILLONES QUINIENTOS CUARENTA Y UN MIL SEIS-</t>
  </si>
  <si>
    <t>CIENTOS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</si>
</sst>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1" xfId="0" applyBorder="1"/>
    <xf numFmtId="0" fontId="0" fillId="0" borderId="24" xfId="0" applyBorder="1"/>
    <xf numFmtId="0" fontId="0" fillId="0" borderId="27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9" xfId="0" applyFont="1" applyBorder="1"/>
    <xf numFmtId="9" fontId="1" fillId="0" borderId="22" xfId="3" applyFont="1" applyBorder="1"/>
    <xf numFmtId="0" fontId="4" fillId="0" borderId="23" xfId="0" applyFont="1" applyBorder="1"/>
    <xf numFmtId="0" fontId="4" fillId="0" borderId="25" xfId="0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9" xfId="0" applyBorder="1"/>
    <xf numFmtId="0" fontId="0" fillId="0" borderId="20" xfId="0" applyBorder="1"/>
    <xf numFmtId="0" fontId="0" fillId="0" borderId="29" xfId="0" applyBorder="1"/>
    <xf numFmtId="0" fontId="0" fillId="0" borderId="22" xfId="0" applyBorder="1"/>
    <xf numFmtId="0" fontId="13" fillId="0" borderId="23" xfId="2" applyBorder="1"/>
    <xf numFmtId="0" fontId="0" fillId="0" borderId="13" xfId="0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1" fillId="0" borderId="14" xfId="0" applyFont="1" applyBorder="1" applyAlignment="1">
      <alignment horizontal="center"/>
    </xf>
    <xf numFmtId="0" fontId="8" fillId="0" borderId="30" xfId="0" applyFont="1" applyBorder="1"/>
    <xf numFmtId="0" fontId="8" fillId="0" borderId="13" xfId="0" applyFont="1" applyBorder="1"/>
    <xf numFmtId="0" fontId="8" fillId="0" borderId="31" xfId="0" applyFont="1" applyBorder="1"/>
    <xf numFmtId="42" fontId="11" fillId="0" borderId="14" xfId="1" applyFont="1" applyBorder="1" applyAlignment="1">
      <alignment horizontal="center"/>
    </xf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rresuproveedo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zoomScaleNormal="100" workbookViewId="0">
      <selection activeCell="G11" sqref="G1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37</v>
      </c>
    </row>
    <row r="3" spans="1:8" ht="27" thickBot="1" x14ac:dyDescent="0.45">
      <c r="A3" s="11" t="s">
        <v>38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39</v>
      </c>
      <c r="G6" s="42"/>
      <c r="H6" s="43"/>
    </row>
    <row r="7" spans="1:8" ht="19.5" thickBot="1" x14ac:dyDescent="0.35">
      <c r="A7" s="20" t="s">
        <v>14</v>
      </c>
      <c r="B7" s="12"/>
      <c r="C7" s="61" t="s">
        <v>40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2" t="s">
        <v>41</v>
      </c>
      <c r="D8" s="63"/>
      <c r="E8" s="44"/>
      <c r="H8" s="15"/>
    </row>
    <row r="9" spans="1:8" ht="18.75" customHeight="1" x14ac:dyDescent="0.3">
      <c r="A9" s="21" t="s">
        <v>9</v>
      </c>
      <c r="C9" s="64" t="s">
        <v>42</v>
      </c>
      <c r="D9" s="23"/>
      <c r="E9" s="65" t="s">
        <v>43</v>
      </c>
      <c r="F9" s="30" t="s">
        <v>0</v>
      </c>
      <c r="H9" s="28">
        <v>45610</v>
      </c>
    </row>
    <row r="10" spans="1:8" ht="18.75" x14ac:dyDescent="0.3">
      <c r="A10" s="21" t="s">
        <v>13</v>
      </c>
      <c r="C10" s="66" t="s">
        <v>44</v>
      </c>
      <c r="D10" s="67"/>
      <c r="E10" s="45"/>
      <c r="F10" s="30" t="s">
        <v>15</v>
      </c>
      <c r="H10" s="29" t="s">
        <v>31</v>
      </c>
    </row>
    <row r="11" spans="1:8" ht="18.75" x14ac:dyDescent="0.3">
      <c r="A11" s="21" t="s">
        <v>10</v>
      </c>
      <c r="C11" s="68"/>
      <c r="D11" s="67"/>
      <c r="E11" s="45"/>
      <c r="F11" s="30" t="s">
        <v>16</v>
      </c>
      <c r="G11" s="30"/>
      <c r="H11" s="28">
        <v>45619</v>
      </c>
    </row>
    <row r="12" spans="1:8" ht="18.75" x14ac:dyDescent="0.3">
      <c r="A12" s="21" t="s">
        <v>11</v>
      </c>
      <c r="C12" s="68" t="s">
        <v>45</v>
      </c>
      <c r="D12" s="67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9" t="s">
        <v>46</v>
      </c>
      <c r="D13" s="70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35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71">
        <v>1</v>
      </c>
      <c r="B16" s="72" t="s">
        <v>50</v>
      </c>
      <c r="C16" s="73"/>
      <c r="D16" s="74"/>
      <c r="E16" s="71" t="s">
        <v>48</v>
      </c>
      <c r="F16" s="75">
        <v>210000</v>
      </c>
      <c r="G16" s="71">
        <v>4</v>
      </c>
      <c r="H16" s="38">
        <f t="shared" ref="H16" si="0">G16*F16</f>
        <v>840000</v>
      </c>
    </row>
    <row r="17" spans="1:8" ht="16.5" thickBot="1" x14ac:dyDescent="0.3">
      <c r="A17" s="71">
        <v>2</v>
      </c>
      <c r="B17" s="72" t="s">
        <v>51</v>
      </c>
      <c r="C17" s="73"/>
      <c r="D17" s="74"/>
      <c r="E17" s="71" t="s">
        <v>48</v>
      </c>
      <c r="F17" s="75">
        <v>550000</v>
      </c>
      <c r="G17" s="71">
        <v>4</v>
      </c>
      <c r="H17" s="38">
        <f t="shared" ref="H17" si="1">G17*F17</f>
        <v>2200000</v>
      </c>
    </row>
    <row r="18" spans="1:8" ht="19.5" customHeight="1" thickBot="1" x14ac:dyDescent="0.3">
      <c r="A18" s="49"/>
      <c r="B18" s="72"/>
      <c r="C18" s="73"/>
      <c r="D18" s="74"/>
    </row>
    <row r="19" spans="1:8" ht="19.5" customHeight="1" thickBot="1" x14ac:dyDescent="0.35">
      <c r="A19" s="48" t="s">
        <v>23</v>
      </c>
      <c r="B19" s="76" t="s">
        <v>52</v>
      </c>
      <c r="C19" s="12"/>
      <c r="D19" s="13"/>
      <c r="E19" s="50"/>
      <c r="F19" s="37" t="s">
        <v>29</v>
      </c>
      <c r="G19" s="6"/>
      <c r="H19" s="7"/>
    </row>
    <row r="20" spans="1:8" ht="19.5" customHeight="1" thickBot="1" x14ac:dyDescent="0.3">
      <c r="A20" s="39"/>
      <c r="B20" s="16" t="s">
        <v>53</v>
      </c>
      <c r="C20" s="4"/>
      <c r="D20" s="17"/>
      <c r="E20" s="53" t="s">
        <v>24</v>
      </c>
      <c r="F20" s="54"/>
      <c r="G20" s="44"/>
      <c r="H20" s="51">
        <f>SUM(H16:H19)</f>
        <v>3040000</v>
      </c>
    </row>
    <row r="21" spans="1:8" ht="19.5" customHeight="1" x14ac:dyDescent="0.25">
      <c r="A21" s="24" t="s">
        <v>25</v>
      </c>
      <c r="E21" s="55" t="s">
        <v>30</v>
      </c>
      <c r="F21" s="23"/>
      <c r="G21" s="56">
        <v>0.19</v>
      </c>
      <c r="H21" s="40">
        <f>H20*G21</f>
        <v>577600</v>
      </c>
    </row>
    <row r="22" spans="1:8" ht="15.75" x14ac:dyDescent="0.25">
      <c r="A22" s="14" t="s">
        <v>47</v>
      </c>
      <c r="E22" s="57" t="s">
        <v>26</v>
      </c>
      <c r="G22" s="60">
        <v>2.5000000000000001E-2</v>
      </c>
      <c r="H22" s="52">
        <f>H20*G22</f>
        <v>76000</v>
      </c>
    </row>
    <row r="23" spans="1:8" ht="15.75" x14ac:dyDescent="0.25">
      <c r="A23" s="14" t="s">
        <v>36</v>
      </c>
      <c r="E23" s="14"/>
      <c r="F23" s="33"/>
      <c r="G23" s="45"/>
      <c r="H23" s="15"/>
    </row>
    <row r="24" spans="1:8" ht="16.5" thickBot="1" x14ac:dyDescent="0.3">
      <c r="A24" s="16"/>
      <c r="B24" s="4"/>
      <c r="C24" s="4"/>
      <c r="D24" s="17"/>
      <c r="E24" s="58" t="s">
        <v>27</v>
      </c>
      <c r="F24" s="59"/>
      <c r="G24" s="46"/>
      <c r="H24" s="17"/>
    </row>
    <row r="25" spans="1:8" ht="16.5" customHeight="1" thickBot="1" x14ac:dyDescent="0.35">
      <c r="F25" s="3"/>
      <c r="G25" s="34" t="s">
        <v>28</v>
      </c>
      <c r="H25" s="36">
        <f>H20+H21-H22</f>
        <v>3541600</v>
      </c>
    </row>
    <row r="30" spans="1:8" ht="15.75" thickBot="1" x14ac:dyDescent="0.3"/>
    <row r="31" spans="1:8" ht="19.5" thickBot="1" x14ac:dyDescent="0.35">
      <c r="A31" s="25" t="s">
        <v>33</v>
      </c>
      <c r="B31" s="6"/>
      <c r="C31" s="6"/>
      <c r="D31" s="6"/>
      <c r="E31" s="6"/>
      <c r="F31" s="6"/>
      <c r="G31" s="6"/>
      <c r="H31" s="7"/>
    </row>
    <row r="40" spans="1:1" ht="18.75" x14ac:dyDescent="0.3">
      <c r="A40" s="5"/>
    </row>
  </sheetData>
  <hyperlinks>
    <hyperlink ref="C10" r:id="rId1" xr:uid="{DE5E67A7-6BDC-41BB-BEBF-6CBBD2FA1642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 PROVEEDOR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2024-11-14T14:52:12Z</dcterms:modified>
</cp:coreProperties>
</file>