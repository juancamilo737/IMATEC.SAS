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31103A9-693E-460D-AB34-F555B0F36284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CQUA - VITRUV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8" i="1"/>
  <c r="H17" i="1"/>
  <c r="H16" i="1"/>
  <c r="H21" i="1" s="1"/>
  <c r="H26" i="1" l="1"/>
</calcChain>
</file>

<file path=xl/sharedStrings.xml><?xml version="1.0" encoding="utf-8"?>
<sst xmlns="http://schemas.openxmlformats.org/spreadsheetml/2006/main" count="59" uniqueCount="58">
  <si>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</si>
  <si>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</si>
  <si>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</si>
  <si>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</si>
  <si>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</si>
  <si>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</si>
  <si>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</si>
  <si>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</si>
  <si>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</si>
  <si>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</si>
  <si>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</si>
  <si>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</si>
  <si>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</si>
  <si>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</si>
  <si>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</si>
  <si>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</si>
  <si>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</si>
  <si>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</si>
  <si>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</si>
  <si>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</si>
  <si>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</si>
  <si>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</si>
  <si>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</si>
  <si>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</si>
  <si>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</si>
  <si>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</si>
  <si>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</si>
  <si>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</si>
  <si>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</si>
  <si>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</si>
  <si>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</si>
  <si>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</si>
  <si>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</si>
  <si>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</si>
  <si>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</si>
  <si>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</si>
  <si>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</si>
  <si>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</si>
  <si>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</si>
  <si>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ACCESORIO</t>
  </si>
  <si>
    <t>CONTACTOS   310 8306118       319 7174165        321 7834969</t>
  </si>
  <si>
    <t>ACQUA VITRUVIO SAS</t>
  </si>
  <si>
    <t>900 881379</t>
  </si>
  <si>
    <t>CALLE 3  No. 4-300</t>
  </si>
  <si>
    <t>PALMIRA</t>
  </si>
  <si>
    <t>j-gaitan@hotmail.com</t>
  </si>
  <si>
    <t>602 6669102</t>
  </si>
  <si>
    <t xml:space="preserve">           C O T I Z A C I O N</t>
  </si>
  <si>
    <t xml:space="preserve">  CALLE  33A  No. 17F - 56                          B/  LA FLORESTA             -   CALI    -                                  CEL.     321 7834969</t>
  </si>
  <si>
    <t>FABRICACION</t>
  </si>
  <si>
    <t>No. 14</t>
  </si>
  <si>
    <t>BRIDA HD CON CUELLO  4 " RANURADA</t>
  </si>
  <si>
    <t>NIPLE  A / C   4 "  X  15  CMTS ROSCA/RANURA</t>
  </si>
  <si>
    <t>ESCUDO PARA SIAMESA 4 " ALUMINIO</t>
  </si>
  <si>
    <t>FORMA DE PAGO : CREDITO A 10 DIAS</t>
  </si>
  <si>
    <t>DOSCIENTOS TREINTA Y NUEVE MIL QUINIENTOS CUA-</t>
  </si>
  <si>
    <t>RENTA Y SIETE PESOS MDA / CTE</t>
  </si>
  <si>
    <t>ENTREGA EN 1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</si>
</sst>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7" xfId="0" applyBorder="1"/>
    <xf numFmtId="0" fontId="8" fillId="0" borderId="14" xfId="0" applyFont="1" applyBorder="1"/>
    <xf numFmtId="0" fontId="8" fillId="0" borderId="0" xfId="0" applyFont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42" fontId="1" fillId="0" borderId="21" xfId="1" applyFont="1" applyBorder="1" applyAlignment="1">
      <alignment horizontal="left"/>
    </xf>
    <xf numFmtId="42" fontId="11" fillId="0" borderId="0" xfId="1" applyFont="1" applyBorder="1" applyAlignment="1">
      <alignment horizontal="center"/>
    </xf>
    <xf numFmtId="0" fontId="0" fillId="0" borderId="22" xfId="0" applyBorder="1"/>
    <xf numFmtId="0" fontId="5" fillId="0" borderId="4" xfId="0" applyFont="1" applyBorder="1"/>
    <xf numFmtId="0" fontId="0" fillId="0" borderId="23" xfId="0" applyBorder="1"/>
    <xf numFmtId="10" fontId="1" fillId="0" borderId="0" xfId="0" applyNumberFormat="1" applyFont="1"/>
    <xf numFmtId="0" fontId="1" fillId="0" borderId="11" xfId="0" applyFont="1" applyBorder="1"/>
    <xf numFmtId="42" fontId="1" fillId="0" borderId="24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-gaita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tabSelected="1" topLeftCell="A6" zoomScaleNormal="100" workbookViewId="0">
      <selection activeCell="G28" sqref="G28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10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0" ht="20.25" customHeight="1" thickBot="1" x14ac:dyDescent="0.4">
      <c r="D2" s="2"/>
      <c r="E2" s="50" t="s">
        <v>32</v>
      </c>
    </row>
    <row r="3" spans="1:10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9" t="s">
        <v>8</v>
      </c>
      <c r="B4" s="6"/>
      <c r="C4" s="6"/>
      <c r="D4" s="30" t="s">
        <v>34</v>
      </c>
      <c r="E4" s="19"/>
      <c r="F4" s="20"/>
      <c r="G4" s="6"/>
      <c r="H4" s="7"/>
    </row>
    <row r="5" spans="1:10" ht="19.5" thickBot="1" x14ac:dyDescent="0.35">
      <c r="A5" s="60" t="s">
        <v>40</v>
      </c>
      <c r="B5" s="6"/>
      <c r="C5" s="6"/>
      <c r="D5" s="6"/>
      <c r="E5" s="6"/>
    </row>
    <row r="6" spans="1:10" ht="24.75" customHeight="1" thickBot="1" x14ac:dyDescent="0.45">
      <c r="F6" s="11" t="s">
        <v>47</v>
      </c>
      <c r="G6" s="19"/>
      <c r="H6" s="20"/>
    </row>
    <row r="7" spans="1:10" ht="19.5" thickBot="1" x14ac:dyDescent="0.35">
      <c r="A7" s="21" t="s">
        <v>15</v>
      </c>
      <c r="B7" s="13"/>
      <c r="C7" s="31" t="s">
        <v>41</v>
      </c>
      <c r="D7" s="13"/>
      <c r="E7" s="14"/>
      <c r="F7" s="28"/>
      <c r="G7" s="19"/>
      <c r="H7" s="20" t="s">
        <v>50</v>
      </c>
    </row>
    <row r="8" spans="1:10" ht="18.75" x14ac:dyDescent="0.3">
      <c r="A8" s="22" t="s">
        <v>9</v>
      </c>
      <c r="C8" s="25" t="s">
        <v>42</v>
      </c>
      <c r="D8" s="26"/>
      <c r="E8" s="26"/>
      <c r="F8" s="12"/>
      <c r="G8" s="13"/>
      <c r="H8" s="14"/>
    </row>
    <row r="9" spans="1:10" ht="18.75" customHeight="1" x14ac:dyDescent="0.3">
      <c r="A9" s="22" t="s">
        <v>10</v>
      </c>
      <c r="C9" s="24" t="s">
        <v>43</v>
      </c>
      <c r="D9" s="24"/>
      <c r="E9" s="25" t="s">
        <v>44</v>
      </c>
      <c r="F9" s="32" t="s">
        <v>0</v>
      </c>
      <c r="H9" s="33">
        <v>45730</v>
      </c>
    </row>
    <row r="10" spans="1:10" ht="18.75" x14ac:dyDescent="0.3">
      <c r="A10" s="22" t="s">
        <v>14</v>
      </c>
      <c r="C10" s="51" t="s">
        <v>45</v>
      </c>
      <c r="D10" s="26"/>
      <c r="E10" s="26"/>
      <c r="F10" s="32" t="s">
        <v>16</v>
      </c>
      <c r="H10" s="34" t="s">
        <v>37</v>
      </c>
    </row>
    <row r="11" spans="1:10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45739</v>
      </c>
    </row>
    <row r="12" spans="1:10" ht="18.75" x14ac:dyDescent="0.3">
      <c r="A12" s="22" t="s">
        <v>12</v>
      </c>
      <c r="C12" s="25" t="s">
        <v>46</v>
      </c>
      <c r="D12" s="26"/>
      <c r="E12" s="26"/>
      <c r="F12" s="32" t="s">
        <v>18</v>
      </c>
      <c r="H12" s="36"/>
    </row>
    <row r="13" spans="1:10" ht="18.75" customHeight="1" thickBot="1" x14ac:dyDescent="0.35">
      <c r="A13" s="23" t="s">
        <v>13</v>
      </c>
      <c r="B13" s="4"/>
      <c r="C13" s="25" t="s">
        <v>36</v>
      </c>
      <c r="D13" s="26"/>
      <c r="E13" s="26"/>
      <c r="F13" s="17"/>
      <c r="G13" s="4"/>
      <c r="H13" s="18"/>
    </row>
    <row r="14" spans="1:10" ht="15.75" thickBot="1" x14ac:dyDescent="0.3"/>
    <row r="15" spans="1:10" ht="15.75" thickBot="1" x14ac:dyDescent="0.3">
      <c r="A15" s="37" t="s">
        <v>38</v>
      </c>
      <c r="B15" s="55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10" ht="16.5" thickBot="1" x14ac:dyDescent="0.3">
      <c r="A16" s="56">
        <v>1</v>
      </c>
      <c r="B16" s="40" t="s">
        <v>52</v>
      </c>
      <c r="C16" s="41"/>
      <c r="D16" s="39"/>
      <c r="E16" s="56" t="s">
        <v>49</v>
      </c>
      <c r="F16" s="58">
        <v>41300</v>
      </c>
      <c r="G16" s="56">
        <v>1</v>
      </c>
      <c r="H16" s="57">
        <f>G16*F16</f>
        <v>41300</v>
      </c>
      <c r="I16" s="38"/>
      <c r="J16" s="38"/>
    </row>
    <row r="17" spans="1:10" ht="16.5" thickBot="1" x14ac:dyDescent="0.3">
      <c r="A17" s="56">
        <v>2</v>
      </c>
      <c r="B17" s="40" t="s">
        <v>51</v>
      </c>
      <c r="C17" s="41"/>
      <c r="D17" s="39"/>
      <c r="E17" s="56" t="s">
        <v>39</v>
      </c>
      <c r="F17" s="58">
        <v>75000</v>
      </c>
      <c r="G17" s="56">
        <v>1</v>
      </c>
      <c r="H17" s="64">
        <f>G17*F17</f>
        <v>75000</v>
      </c>
    </row>
    <row r="18" spans="1:10" ht="16.5" thickBot="1" x14ac:dyDescent="0.3">
      <c r="A18" s="56">
        <v>3</v>
      </c>
      <c r="B18" s="40" t="s">
        <v>53</v>
      </c>
      <c r="C18" s="41"/>
      <c r="D18" s="39"/>
      <c r="E18" s="56" t="s">
        <v>39</v>
      </c>
      <c r="F18" s="58">
        <v>85000</v>
      </c>
      <c r="G18" s="56">
        <v>1</v>
      </c>
      <c r="H18" s="64">
        <f t="shared" ref="H18" si="0">G18*F18</f>
        <v>85000</v>
      </c>
      <c r="I18" s="38"/>
      <c r="J18" s="38"/>
    </row>
    <row r="19" spans="1:10" ht="19.5" customHeight="1" thickBot="1" x14ac:dyDescent="0.3">
      <c r="A19" s="59"/>
      <c r="D19" s="59"/>
      <c r="H19" s="59"/>
    </row>
    <row r="20" spans="1:10" ht="19.5" customHeight="1" thickBot="1" x14ac:dyDescent="0.35">
      <c r="A20" s="65" t="s">
        <v>25</v>
      </c>
      <c r="B20" s="12" t="s">
        <v>55</v>
      </c>
      <c r="C20" s="13"/>
      <c r="D20" s="14"/>
      <c r="E20" s="13"/>
      <c r="F20" s="42" t="s">
        <v>31</v>
      </c>
      <c r="G20" s="13"/>
      <c r="H20" s="7"/>
    </row>
    <row r="21" spans="1:10" ht="19.5" customHeight="1" thickBot="1" x14ac:dyDescent="0.3">
      <c r="A21" s="66"/>
      <c r="B21" s="17" t="s">
        <v>56</v>
      </c>
      <c r="C21" s="4"/>
      <c r="D21" s="4"/>
      <c r="E21" s="43" t="s">
        <v>26</v>
      </c>
      <c r="F21" s="44"/>
      <c r="G21" s="26"/>
      <c r="H21" s="52">
        <f>SUM(H16:H18)</f>
        <v>201300</v>
      </c>
    </row>
    <row r="22" spans="1:10" ht="19.5" customHeight="1" x14ac:dyDescent="0.25">
      <c r="A22" s="27" t="s">
        <v>27</v>
      </c>
      <c r="B22" s="13"/>
      <c r="C22" s="13"/>
      <c r="D22" s="14"/>
      <c r="E22" s="3" t="s">
        <v>33</v>
      </c>
      <c r="F22" s="61"/>
      <c r="G22" s="46">
        <v>0.19</v>
      </c>
      <c r="H22" s="53">
        <f>H21*G22</f>
        <v>38247</v>
      </c>
    </row>
    <row r="23" spans="1:10" ht="15.75" x14ac:dyDescent="0.25">
      <c r="A23" s="15" t="s">
        <v>54</v>
      </c>
      <c r="D23" s="16"/>
      <c r="E23" s="44" t="s">
        <v>28</v>
      </c>
      <c r="G23" s="62">
        <v>2.5000000000000001E-2</v>
      </c>
      <c r="H23" s="47"/>
    </row>
    <row r="24" spans="1:10" ht="15.75" x14ac:dyDescent="0.25">
      <c r="A24" s="15" t="s">
        <v>57</v>
      </c>
      <c r="D24" s="16"/>
      <c r="F24" s="44"/>
      <c r="G24" s="26"/>
      <c r="H24" s="48"/>
    </row>
    <row r="25" spans="1:10" ht="16.5" thickBot="1" x14ac:dyDescent="0.3">
      <c r="A25" s="15" t="s">
        <v>35</v>
      </c>
      <c r="D25" s="16"/>
      <c r="E25" s="44" t="s">
        <v>29</v>
      </c>
      <c r="F25" s="44"/>
      <c r="G25" s="26"/>
      <c r="H25" s="49"/>
    </row>
    <row r="26" spans="1:10" ht="16.5" customHeight="1" thickBot="1" x14ac:dyDescent="0.35">
      <c r="A26" s="63"/>
      <c r="B26" s="4"/>
      <c r="C26" s="4"/>
      <c r="D26" s="18"/>
      <c r="F26" s="3"/>
      <c r="G26" s="45" t="s">
        <v>30</v>
      </c>
      <c r="H26" s="54">
        <f>H21+H22-H23</f>
        <v>239547</v>
      </c>
    </row>
    <row r="28" spans="1:10" x14ac:dyDescent="0.25">
      <c r="A28" t="s">
        <v>1</v>
      </c>
    </row>
    <row r="30" spans="1:10" ht="15.75" thickBot="1" x14ac:dyDescent="0.3"/>
    <row r="31" spans="1:10" ht="19.5" thickBot="1" x14ac:dyDescent="0.35">
      <c r="A31" s="28" t="s">
        <v>48</v>
      </c>
      <c r="B31" s="6"/>
      <c r="C31" s="6"/>
      <c r="D31" s="6"/>
      <c r="E31" s="6"/>
      <c r="F31" s="6"/>
      <c r="G31" s="6"/>
      <c r="H31" s="7"/>
    </row>
    <row r="40" spans="1:1" ht="18.75" x14ac:dyDescent="0.3">
      <c r="A40" s="5"/>
    </row>
  </sheetData>
  <mergeCells count="1">
    <mergeCell ref="A20:A21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ACQUA - VITRUVIO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2024-11-08T14:14:19Z</cp:lastPrinted>
  <dcterms:created xsi:type="dcterms:W3CDTF">2018-11-15T17:29:02Z</dcterms:created>
  <dcterms:modified xsi:type="dcterms:W3CDTF">2025-03-14T17:08:57Z</dcterms:modified>
</cp:coreProperties>
</file>