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000~4400\"/>
    </mc:Choice>
  </mc:AlternateContent>
  <xr:revisionPtr revIDLastSave="0" documentId="13_ncr:1_{3E7097FC-1C1C-445E-8438-1B80514BFC7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PI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20" i="1"/>
  <c r="H19" i="1"/>
  <c r="H18" i="1"/>
  <c r="H17" i="1"/>
  <c r="H16" i="1"/>
  <c r="H26" i="1" s="1"/>
  <c r="H25" i="1" l="1"/>
  <c r="H29" i="1" s="1"/>
</calcChain>
</file>

<file path=xl/sharedStrings.xml><?xml version="1.0" encoding="utf-8"?>
<sst xmlns="http://schemas.openxmlformats.org/spreadsheetml/2006/main" count="65" uniqueCount="61">
  <si>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</si>
  <si>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</si>
  <si>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</si>
  <si>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</si>
  <si>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</si>
  <si>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</si>
  <si>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</si>
  <si>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</si>
  <si>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</si>
  <si>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</si>
  <si>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</si>
  <si>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</si>
  <si>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</si>
  <si>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</si>
  <si>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</si>
  <si>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</si>
  <si>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</si>
  <si>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</si>
  <si>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</si>
  <si>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</si>
  <si>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</si>
  <si>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</si>
  <si>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</si>
  <si>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</si>
  <si>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</si>
  <si>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</si>
  <si>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</si>
  <si>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</si>
  <si>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</si>
  <si>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</si>
  <si>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</si>
  <si>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</si>
  <si>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</si>
  <si>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</si>
  <si>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</si>
  <si>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</si>
  <si>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SUMINISTROS PARA INGENIERIA Y MANTENIMIENTO S.A.S.</t>
  </si>
  <si>
    <t>805 011872</t>
  </si>
  <si>
    <t>CRA 17 F  No.  T30 - 41</t>
  </si>
  <si>
    <t>CALI</t>
  </si>
  <si>
    <t>financiero@spimsas.com</t>
  </si>
  <si>
    <t>602 4480634</t>
  </si>
  <si>
    <t>LUIS A. BENAVIDES</t>
  </si>
  <si>
    <t>SPIM S.A.S.</t>
  </si>
  <si>
    <t xml:space="preserve">  CALLE  33A  No. 17F - 56                              B/  LA FLORESTA             -   CALI    -                                   CEL.     321 7834969</t>
  </si>
  <si>
    <t>L I Q U I D A C I O N</t>
  </si>
  <si>
    <t>ENTREGA INMEDIATA</t>
  </si>
  <si>
    <t>ACCESORIO</t>
  </si>
  <si>
    <t>FORMA DE PAGO : CREDITO 30 DIAS</t>
  </si>
  <si>
    <t>MDA / CTE</t>
  </si>
  <si>
    <t xml:space="preserve">           C O T I Z A C I O N</t>
  </si>
  <si>
    <t>No.  23</t>
  </si>
  <si>
    <t>10 DIAS</t>
  </si>
  <si>
    <t>UNION AC/INOX 304 3/4 "  X  150 LBS</t>
  </si>
  <si>
    <t>CODO AC/INOX 304  3 /4 "  X 90 º  X 150 LBS</t>
  </si>
  <si>
    <t>NIPLE AC/INOX  304  3/4 "  X  2 "</t>
  </si>
  <si>
    <t>NIPLE AC/INOX  304  3/4 "  X  4 "</t>
  </si>
  <si>
    <t>FABRICACION</t>
  </si>
  <si>
    <t>BRIDA  A / C  SLIP ON 6 "  X  150  LBS</t>
  </si>
  <si>
    <t>BRIDA AC/INOX 304 SLIP ON  2 "  X  150  LBS</t>
  </si>
  <si>
    <t xml:space="preserve">UN MILLON DOS MIL SETECIENTOS DIECISEIS PESOS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</si>
</sst>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  <xf numFmtId="0" fontId="10" fillId="0" borderId="9" xfId="0" applyFont="1" applyBorder="1"/>
    <xf numFmtId="0" fontId="10" fillId="0" borderId="0" xfId="0" applyFont="1"/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spim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4"/>
  <sheetViews>
    <sheetView tabSelected="1" zoomScaleNormal="100" workbookViewId="0">
      <selection activeCell="K28" sqref="K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3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5" t="s">
        <v>32</v>
      </c>
      <c r="B5" s="6"/>
      <c r="C5" s="6"/>
      <c r="D5" s="6"/>
      <c r="E5" s="6"/>
    </row>
    <row r="6" spans="1:8" ht="24.75" customHeight="1" thickBot="1" x14ac:dyDescent="0.45">
      <c r="F6" s="39" t="s">
        <v>50</v>
      </c>
      <c r="G6" s="40"/>
      <c r="H6" s="41"/>
    </row>
    <row r="7" spans="1:8" ht="19.5" thickBot="1" x14ac:dyDescent="0.35">
      <c r="A7" s="20" t="s">
        <v>14</v>
      </c>
      <c r="B7" s="12"/>
      <c r="C7" s="57" t="s">
        <v>36</v>
      </c>
      <c r="D7" s="12"/>
      <c r="E7" s="13"/>
      <c r="F7" s="35"/>
      <c r="G7" s="18"/>
      <c r="H7" s="19" t="s">
        <v>51</v>
      </c>
    </row>
    <row r="8" spans="1:8" ht="18.75" x14ac:dyDescent="0.3">
      <c r="A8" s="21" t="s">
        <v>8</v>
      </c>
      <c r="C8" s="59" t="s">
        <v>37</v>
      </c>
      <c r="D8" s="60"/>
      <c r="E8" s="42"/>
      <c r="F8" s="76"/>
      <c r="G8" s="12"/>
      <c r="H8" s="13"/>
    </row>
    <row r="9" spans="1:8" ht="18.75" customHeight="1" x14ac:dyDescent="0.3">
      <c r="A9" s="21" t="s">
        <v>9</v>
      </c>
      <c r="C9" s="61" t="s">
        <v>38</v>
      </c>
      <c r="D9" s="23"/>
      <c r="E9" s="62" t="s">
        <v>39</v>
      </c>
      <c r="F9" s="77" t="s">
        <v>0</v>
      </c>
      <c r="H9" s="28">
        <v>45908</v>
      </c>
    </row>
    <row r="10" spans="1:8" ht="18.75" x14ac:dyDescent="0.3">
      <c r="A10" s="21" t="s">
        <v>13</v>
      </c>
      <c r="C10" s="63" t="s">
        <v>40</v>
      </c>
      <c r="D10" s="58"/>
      <c r="E10" s="43"/>
      <c r="F10" s="77" t="s">
        <v>15</v>
      </c>
      <c r="H10" s="29" t="s">
        <v>52</v>
      </c>
    </row>
    <row r="11" spans="1:8" ht="18.75" x14ac:dyDescent="0.3">
      <c r="A11" s="21" t="s">
        <v>10</v>
      </c>
      <c r="C11" s="64" t="s">
        <v>43</v>
      </c>
      <c r="D11" s="58"/>
      <c r="E11" s="43"/>
      <c r="F11" s="77" t="s">
        <v>16</v>
      </c>
      <c r="G11" s="78"/>
      <c r="H11" s="28">
        <v>45917</v>
      </c>
    </row>
    <row r="12" spans="1:8" ht="18.75" x14ac:dyDescent="0.3">
      <c r="A12" s="21" t="s">
        <v>11</v>
      </c>
      <c r="C12" s="64" t="s">
        <v>41</v>
      </c>
      <c r="D12" s="58"/>
      <c r="E12" s="43"/>
      <c r="F12" s="77" t="s">
        <v>17</v>
      </c>
      <c r="G12" s="79"/>
      <c r="H12" s="80"/>
    </row>
    <row r="13" spans="1:8" ht="18.75" customHeight="1" thickBot="1" x14ac:dyDescent="0.35">
      <c r="A13" s="22" t="s">
        <v>12</v>
      </c>
      <c r="B13" s="4"/>
      <c r="C13" s="65" t="s">
        <v>42</v>
      </c>
      <c r="D13" s="66"/>
      <c r="E13" s="44"/>
      <c r="F13" s="16"/>
      <c r="G13" s="4"/>
      <c r="H13" s="17"/>
    </row>
    <row r="14" spans="1:8" ht="15.75" thickBot="1" x14ac:dyDescent="0.3"/>
    <row r="15" spans="1:8" ht="15.75" thickBot="1" x14ac:dyDescent="0.3">
      <c r="A15" s="30" t="s">
        <v>33</v>
      </c>
      <c r="B15" s="72" t="s">
        <v>22</v>
      </c>
      <c r="C15" s="18"/>
      <c r="D15" s="7"/>
      <c r="E15" s="30" t="s">
        <v>18</v>
      </c>
      <c r="F15" s="30" t="s">
        <v>20</v>
      </c>
      <c r="G15" s="30" t="s">
        <v>19</v>
      </c>
      <c r="H15" s="30" t="s">
        <v>21</v>
      </c>
    </row>
    <row r="16" spans="1:8" ht="16.5" thickBot="1" x14ac:dyDescent="0.3">
      <c r="A16" s="67">
        <v>1</v>
      </c>
      <c r="B16" s="68" t="s">
        <v>53</v>
      </c>
      <c r="C16" s="69"/>
      <c r="D16" s="70"/>
      <c r="E16" s="67" t="s">
        <v>47</v>
      </c>
      <c r="F16" s="71">
        <v>6000</v>
      </c>
      <c r="G16" s="67">
        <v>3</v>
      </c>
      <c r="H16" s="36">
        <f t="shared" ref="H16" si="0">G16*F16</f>
        <v>18000</v>
      </c>
    </row>
    <row r="17" spans="1:8" ht="16.5" thickBot="1" x14ac:dyDescent="0.3">
      <c r="A17" s="67">
        <v>2</v>
      </c>
      <c r="B17" s="68" t="s">
        <v>54</v>
      </c>
      <c r="C17" s="69"/>
      <c r="D17" s="70"/>
      <c r="E17" s="67" t="s">
        <v>47</v>
      </c>
      <c r="F17" s="71">
        <v>7000</v>
      </c>
      <c r="G17" s="67">
        <v>3</v>
      </c>
      <c r="H17" s="36">
        <f t="shared" ref="H17:H21" si="1">G17*F17</f>
        <v>21000</v>
      </c>
    </row>
    <row r="18" spans="1:8" ht="16.5" thickBot="1" x14ac:dyDescent="0.3">
      <c r="A18" s="67">
        <v>33</v>
      </c>
      <c r="B18" s="68" t="s">
        <v>55</v>
      </c>
      <c r="C18" s="69"/>
      <c r="D18" s="70"/>
      <c r="E18" s="67" t="s">
        <v>57</v>
      </c>
      <c r="F18" s="71">
        <v>6000</v>
      </c>
      <c r="G18" s="67">
        <v>3</v>
      </c>
      <c r="H18" s="36">
        <f t="shared" si="1"/>
        <v>18000</v>
      </c>
    </row>
    <row r="19" spans="1:8" ht="16.5" thickBot="1" x14ac:dyDescent="0.3">
      <c r="A19" s="67">
        <v>4</v>
      </c>
      <c r="B19" s="68" t="s">
        <v>56</v>
      </c>
      <c r="C19" s="69"/>
      <c r="D19" s="70"/>
      <c r="E19" s="67" t="s">
        <v>57</v>
      </c>
      <c r="F19" s="71">
        <v>8900</v>
      </c>
      <c r="G19" s="67">
        <v>3</v>
      </c>
      <c r="H19" s="36">
        <f t="shared" si="1"/>
        <v>26700</v>
      </c>
    </row>
    <row r="20" spans="1:8" ht="16.5" thickBot="1" x14ac:dyDescent="0.3">
      <c r="A20" s="67">
        <v>5</v>
      </c>
      <c r="B20" s="68" t="s">
        <v>59</v>
      </c>
      <c r="C20" s="69"/>
      <c r="D20" s="70"/>
      <c r="E20" s="67" t="s">
        <v>47</v>
      </c>
      <c r="F20" s="71">
        <v>62000</v>
      </c>
      <c r="G20" s="67">
        <v>9</v>
      </c>
      <c r="H20" s="36">
        <f t="shared" si="1"/>
        <v>558000</v>
      </c>
    </row>
    <row r="21" spans="1:8" ht="16.5" thickBot="1" x14ac:dyDescent="0.3">
      <c r="A21" s="67">
        <v>6</v>
      </c>
      <c r="B21" s="68" t="s">
        <v>58</v>
      </c>
      <c r="C21" s="69"/>
      <c r="D21" s="70"/>
      <c r="E21" s="67" t="s">
        <v>47</v>
      </c>
      <c r="F21" s="71">
        <v>73000</v>
      </c>
      <c r="G21" s="67">
        <v>3</v>
      </c>
      <c r="H21" s="36">
        <f t="shared" si="1"/>
        <v>219000</v>
      </c>
    </row>
    <row r="22" spans="1:8" ht="19.5" customHeight="1" thickBot="1" x14ac:dyDescent="0.3">
      <c r="A22" s="45"/>
      <c r="B22" s="74"/>
      <c r="D22" s="75"/>
      <c r="E22" s="45"/>
      <c r="F22" s="45"/>
      <c r="G22" s="45"/>
    </row>
    <row r="23" spans="1:8" ht="19.5" customHeight="1" thickBot="1" x14ac:dyDescent="0.35">
      <c r="A23" s="73" t="s">
        <v>23</v>
      </c>
      <c r="B23" s="76" t="s">
        <v>60</v>
      </c>
      <c r="C23" s="12"/>
      <c r="D23" s="13"/>
      <c r="E23" s="46"/>
      <c r="F23" s="35" t="s">
        <v>45</v>
      </c>
      <c r="G23" s="6"/>
      <c r="H23" s="7"/>
    </row>
    <row r="24" spans="1:8" ht="19.5" customHeight="1" thickBot="1" x14ac:dyDescent="0.3">
      <c r="A24" s="37"/>
      <c r="B24" s="16" t="s">
        <v>49</v>
      </c>
      <c r="C24" s="4"/>
      <c r="D24" s="17"/>
      <c r="E24" s="49" t="s">
        <v>24</v>
      </c>
      <c r="F24" s="50"/>
      <c r="G24" s="42"/>
      <c r="H24" s="47">
        <f>SUM(H16:H21)</f>
        <v>860700</v>
      </c>
    </row>
    <row r="25" spans="1:8" ht="19.5" customHeight="1" x14ac:dyDescent="0.25">
      <c r="A25" s="24" t="s">
        <v>25</v>
      </c>
      <c r="B25" s="12"/>
      <c r="C25" s="12"/>
      <c r="D25" s="12"/>
      <c r="E25" s="51" t="s">
        <v>29</v>
      </c>
      <c r="F25" s="23"/>
      <c r="G25" s="52">
        <v>0.19</v>
      </c>
      <c r="H25" s="38">
        <f>H24*G25</f>
        <v>163533</v>
      </c>
    </row>
    <row r="26" spans="1:8" ht="19.5" customHeight="1" x14ac:dyDescent="0.25">
      <c r="A26" s="14" t="s">
        <v>48</v>
      </c>
      <c r="E26" s="53" t="s">
        <v>26</v>
      </c>
      <c r="G26" s="56">
        <v>2.5000000000000001E-2</v>
      </c>
      <c r="H26" s="48">
        <f>H24*G26</f>
        <v>21517.5</v>
      </c>
    </row>
    <row r="27" spans="1:8" ht="15.75" x14ac:dyDescent="0.25">
      <c r="A27" s="14" t="s">
        <v>46</v>
      </c>
      <c r="E27" s="14"/>
      <c r="F27" s="31"/>
      <c r="G27" s="43"/>
      <c r="H27" s="15"/>
    </row>
    <row r="28" spans="1:8" ht="16.5" thickBot="1" x14ac:dyDescent="0.3">
      <c r="A28" s="14" t="s">
        <v>31</v>
      </c>
      <c r="E28" s="54" t="s">
        <v>27</v>
      </c>
      <c r="F28" s="55"/>
      <c r="G28" s="44"/>
      <c r="H28" s="17"/>
    </row>
    <row r="29" spans="1:8" ht="19.5" thickBot="1" x14ac:dyDescent="0.35">
      <c r="A29" s="16"/>
      <c r="B29" s="4"/>
      <c r="C29" s="4"/>
      <c r="D29" s="17"/>
      <c r="F29" s="3"/>
      <c r="G29" s="32" t="s">
        <v>28</v>
      </c>
      <c r="H29" s="34">
        <f>H24+H25-H26</f>
        <v>1002715.5</v>
      </c>
    </row>
    <row r="30" spans="1:8" ht="16.5" customHeight="1" x14ac:dyDescent="0.25"/>
    <row r="35" spans="1:8" ht="15.75" thickBot="1" x14ac:dyDescent="0.3"/>
    <row r="36" spans="1:8" ht="19.5" thickBot="1" x14ac:dyDescent="0.35">
      <c r="A36" s="25" t="s">
        <v>44</v>
      </c>
      <c r="B36" s="6"/>
      <c r="C36" s="6"/>
      <c r="D36" s="6"/>
      <c r="E36" s="6"/>
      <c r="F36" s="6"/>
      <c r="G36" s="6"/>
      <c r="H36" s="7"/>
    </row>
    <row r="44" spans="1:8" ht="18.75" x14ac:dyDescent="0.3">
      <c r="A44" s="5"/>
    </row>
  </sheetData>
  <hyperlinks>
    <hyperlink ref="C10" r:id="rId1" xr:uid="{28A920B3-B176-4F8B-8B89-64C0797F19EA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SPIM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2025-09-05T18:14:56Z</cp:lastPrinted>
  <dcterms:created xsi:type="dcterms:W3CDTF">2018-11-15T17:29:02Z</dcterms:created>
  <dcterms:modified xsi:type="dcterms:W3CDTF">2025-09-08T14:44:31Z</dcterms:modified>
</cp:coreProperties>
</file>