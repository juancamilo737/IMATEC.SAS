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D30B130-1C71-4550-AC71-CDCBC95362A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ERCO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4" i="1"/>
  <c r="H23" i="1"/>
  <c r="H21" i="1"/>
  <c r="H22" i="1"/>
  <c r="H20" i="1"/>
  <c r="H19" i="1"/>
  <c r="H18" i="1"/>
  <c r="H17" i="1"/>
  <c r="H16" i="1"/>
  <c r="H29" i="1" s="1"/>
  <c r="H30" i="1" l="1"/>
  <c r="H34" i="1" s="1"/>
</calcChain>
</file>

<file path=xl/sharedStrings.xml><?xml version="1.0" encoding="utf-8"?>
<sst xmlns="http://schemas.openxmlformats.org/spreadsheetml/2006/main" count="71" uniqueCount="63">
  <si>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</si>
  <si>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</si>
  <si>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</si>
  <si>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</si>
  <si>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</si>
  <si>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</si>
  <si>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</si>
  <si>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</si>
  <si>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</si>
  <si>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</si>
  <si>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</si>
  <si>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</si>
  <si>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</si>
  <si>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</si>
  <si>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</si>
  <si>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</si>
  <si>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</si>
  <si>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</si>
  <si>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</si>
  <si>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</si>
  <si>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</si>
  <si>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</si>
  <si>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</si>
  <si>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</si>
  <si>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</si>
  <si>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</si>
  <si>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</si>
  <si>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</si>
  <si>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</si>
  <si>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</si>
  <si>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</si>
  <si>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</si>
  <si>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</si>
  <si>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</si>
  <si>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</si>
  <si>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</si>
  <si>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</si>
  <si>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</si>
  <si>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</si>
  <si>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A. BENAVIDES</t>
  </si>
  <si>
    <t>ENTREGA INMEDIATA</t>
  </si>
  <si>
    <t>ACCESORIO</t>
  </si>
  <si>
    <t>CALI</t>
  </si>
  <si>
    <t>INSUMO</t>
  </si>
  <si>
    <t xml:space="preserve">           C O T I Z A C I O N</t>
  </si>
  <si>
    <t>COMERCIALIZADORA GERCO S.A.S.</t>
  </si>
  <si>
    <t>900 586877</t>
  </si>
  <si>
    <t>CRA 49  No. 18-62</t>
  </si>
  <si>
    <t>contabilidad@comercializadoragerco.com</t>
  </si>
  <si>
    <t>602 3354739</t>
  </si>
  <si>
    <t>TEE AC/INOX  304  1 "  X  150 LB</t>
  </si>
  <si>
    <t>CODO AC/INOX 304  1 "  X  90º  X  150 LB</t>
  </si>
  <si>
    <t>CODO NIPLE AC / INOX  304  1 "  X  90º  X  150 LB</t>
  </si>
  <si>
    <t>BUSHING AC/INOX 304  1 "  X  1/2 "  X  150</t>
  </si>
  <si>
    <t>UNION AC/INOX  304 1/2 "  X  150 LB</t>
  </si>
  <si>
    <t>VALVULA BOLA BRONCE CROMADA  1/2 "</t>
  </si>
  <si>
    <t>NIPLE  AC/INOX  1 "  X  22 CMTS</t>
  </si>
  <si>
    <t>NIPLE  AC/INOX  1 "  X  19 CMTS</t>
  </si>
  <si>
    <t>NIPLE  AC/INOX  1/2 "  X  13 CMTS</t>
  </si>
  <si>
    <t>CINTA TEFLON INDUSTRIAL</t>
  </si>
  <si>
    <t>DOSCIENTOS TREINTA MIL CUATROCIENTOS CUARENTA</t>
  </si>
  <si>
    <t>PESOS MDA / CTE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</si>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</sst>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19" xfId="0" applyFont="1" applyBorder="1"/>
    <xf numFmtId="0" fontId="8" fillId="0" borderId="4" xfId="0" applyFont="1" applyBorder="1"/>
    <xf numFmtId="0" fontId="8" fillId="0" borderId="18" xfId="0" applyFont="1" applyBorder="1"/>
    <xf numFmtId="0" fontId="1" fillId="0" borderId="19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0" fillId="0" borderId="20" xfId="0" applyBorder="1"/>
    <xf numFmtId="0" fontId="4" fillId="0" borderId="3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3" fillId="0" borderId="26" xfId="2" applyBorder="1"/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5" xfId="0" applyNumberFormat="1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28" xfId="0" applyFont="1" applyBorder="1"/>
    <xf numFmtId="0" fontId="4" fillId="0" borderId="29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mercializadorager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"/>
  <sheetViews>
    <sheetView tabSelected="1" topLeftCell="A13" zoomScaleNormal="100" workbookViewId="0">
      <selection activeCell="K30" sqref="K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0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7</v>
      </c>
      <c r="B4" s="6"/>
      <c r="C4" s="6"/>
      <c r="D4" s="28" t="s">
        <v>35</v>
      </c>
      <c r="E4" s="18"/>
      <c r="F4" s="19"/>
      <c r="G4" s="6"/>
      <c r="H4" s="7"/>
    </row>
    <row r="5" spans="1:8" ht="19.5" thickBot="1" x14ac:dyDescent="0.35">
      <c r="A5" s="44" t="s">
        <v>38</v>
      </c>
      <c r="B5" s="6"/>
      <c r="C5" s="6"/>
      <c r="D5" s="6"/>
      <c r="E5" s="6"/>
    </row>
    <row r="6" spans="1:8" ht="24.75" customHeight="1" thickBot="1" x14ac:dyDescent="0.45">
      <c r="F6" s="11" t="s">
        <v>44</v>
      </c>
      <c r="G6" s="18"/>
      <c r="H6" s="19"/>
    </row>
    <row r="7" spans="1:8" ht="19.5" thickBot="1" x14ac:dyDescent="0.35">
      <c r="A7" s="20" t="s">
        <v>14</v>
      </c>
      <c r="B7" s="13"/>
      <c r="C7" s="60" t="s">
        <v>45</v>
      </c>
      <c r="D7" s="6"/>
      <c r="E7" s="7"/>
      <c r="F7" s="26"/>
      <c r="G7" s="18"/>
      <c r="H7" s="19"/>
    </row>
    <row r="8" spans="1:8" ht="18.75" x14ac:dyDescent="0.3">
      <c r="A8" s="21" t="s">
        <v>8</v>
      </c>
      <c r="C8" s="61" t="s">
        <v>46</v>
      </c>
      <c r="D8" s="62"/>
      <c r="E8" s="63"/>
      <c r="F8" s="12"/>
      <c r="G8" s="13"/>
      <c r="H8" s="14"/>
    </row>
    <row r="9" spans="1:8" ht="18.75" customHeight="1" x14ac:dyDescent="0.3">
      <c r="A9" s="21" t="s">
        <v>9</v>
      </c>
      <c r="C9" s="64" t="s">
        <v>47</v>
      </c>
      <c r="D9" s="23"/>
      <c r="E9" s="65" t="s">
        <v>42</v>
      </c>
      <c r="F9" s="29" t="s">
        <v>0</v>
      </c>
      <c r="H9" s="30">
        <v>45549</v>
      </c>
    </row>
    <row r="10" spans="1:8" ht="18.75" x14ac:dyDescent="0.3">
      <c r="A10" s="21" t="s">
        <v>13</v>
      </c>
      <c r="C10" s="66" t="s">
        <v>48</v>
      </c>
      <c r="D10" s="24"/>
      <c r="E10" s="67"/>
      <c r="F10" s="29" t="s">
        <v>15</v>
      </c>
      <c r="H10" s="31" t="s">
        <v>34</v>
      </c>
    </row>
    <row r="11" spans="1:8" ht="18.75" x14ac:dyDescent="0.3">
      <c r="A11" s="21" t="s">
        <v>10</v>
      </c>
      <c r="C11" s="68"/>
      <c r="D11" s="24"/>
      <c r="E11" s="67"/>
      <c r="F11" s="29" t="s">
        <v>16</v>
      </c>
      <c r="G11" s="32"/>
      <c r="H11" s="30">
        <v>45559</v>
      </c>
    </row>
    <row r="12" spans="1:8" ht="18.75" x14ac:dyDescent="0.3">
      <c r="A12" s="21" t="s">
        <v>11</v>
      </c>
      <c r="C12" s="68" t="s">
        <v>49</v>
      </c>
      <c r="D12" s="24"/>
      <c r="E12" s="67"/>
      <c r="F12" s="29" t="s">
        <v>17</v>
      </c>
      <c r="H12" s="33"/>
    </row>
    <row r="13" spans="1:8" ht="18.75" customHeight="1" thickBot="1" x14ac:dyDescent="0.35">
      <c r="A13" s="22" t="s">
        <v>12</v>
      </c>
      <c r="B13" s="4"/>
      <c r="C13" s="69" t="s">
        <v>39</v>
      </c>
      <c r="D13" s="70"/>
      <c r="E13" s="71"/>
      <c r="F13" s="16"/>
      <c r="G13" s="4"/>
      <c r="H13" s="17"/>
    </row>
    <row r="14" spans="1:8" ht="15.75" thickBot="1" x14ac:dyDescent="0.3"/>
    <row r="15" spans="1:8" ht="15.75" thickBot="1" x14ac:dyDescent="0.3">
      <c r="A15" s="48" t="s">
        <v>19</v>
      </c>
      <c r="B15" s="43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6.5" thickBot="1" x14ac:dyDescent="0.3">
      <c r="A16" s="49">
        <v>1</v>
      </c>
      <c r="B16" s="50" t="s">
        <v>50</v>
      </c>
      <c r="C16" s="51"/>
      <c r="D16" s="52"/>
      <c r="E16" s="53" t="s">
        <v>41</v>
      </c>
      <c r="F16" s="54">
        <v>15405</v>
      </c>
      <c r="G16" s="49">
        <v>1</v>
      </c>
      <c r="H16" s="45">
        <f t="shared" ref="H16" si="0">G16*F16</f>
        <v>15405</v>
      </c>
    </row>
    <row r="17" spans="1:8" ht="16.5" thickBot="1" x14ac:dyDescent="0.3">
      <c r="A17" s="49">
        <v>2</v>
      </c>
      <c r="B17" s="50" t="s">
        <v>51</v>
      </c>
      <c r="C17" s="51"/>
      <c r="D17" s="52"/>
      <c r="E17" s="53" t="s">
        <v>41</v>
      </c>
      <c r="F17" s="54">
        <v>12720</v>
      </c>
      <c r="G17" s="49">
        <v>2</v>
      </c>
      <c r="H17" s="45">
        <f t="shared" ref="H17:H21" si="1">G17*F17</f>
        <v>25440</v>
      </c>
    </row>
    <row r="18" spans="1:8" ht="16.5" thickBot="1" x14ac:dyDescent="0.3">
      <c r="A18" s="49">
        <v>3</v>
      </c>
      <c r="B18" s="50" t="s">
        <v>52</v>
      </c>
      <c r="C18" s="51"/>
      <c r="D18" s="52"/>
      <c r="E18" s="53" t="s">
        <v>41</v>
      </c>
      <c r="F18" s="54">
        <v>13927</v>
      </c>
      <c r="G18" s="49">
        <v>2</v>
      </c>
      <c r="H18" s="45">
        <f t="shared" si="1"/>
        <v>27854</v>
      </c>
    </row>
    <row r="19" spans="1:8" ht="16.5" thickBot="1" x14ac:dyDescent="0.3">
      <c r="A19" s="49">
        <v>4</v>
      </c>
      <c r="B19" s="50" t="s">
        <v>53</v>
      </c>
      <c r="C19" s="51"/>
      <c r="D19" s="52"/>
      <c r="E19" s="53" t="s">
        <v>41</v>
      </c>
      <c r="F19" s="54">
        <v>6645</v>
      </c>
      <c r="G19" s="49">
        <v>2</v>
      </c>
      <c r="H19" s="45">
        <f t="shared" si="1"/>
        <v>13290</v>
      </c>
    </row>
    <row r="20" spans="1:8" ht="16.5" thickBot="1" x14ac:dyDescent="0.3">
      <c r="A20" s="49">
        <v>5</v>
      </c>
      <c r="B20" s="50" t="s">
        <v>54</v>
      </c>
      <c r="C20" s="51"/>
      <c r="D20" s="52"/>
      <c r="E20" s="53" t="s">
        <v>41</v>
      </c>
      <c r="F20" s="54">
        <v>6409</v>
      </c>
      <c r="G20" s="49">
        <v>2</v>
      </c>
      <c r="H20" s="45">
        <f t="shared" si="1"/>
        <v>12818</v>
      </c>
    </row>
    <row r="21" spans="1:8" ht="16.5" thickBot="1" x14ac:dyDescent="0.3">
      <c r="A21" s="49">
        <v>6</v>
      </c>
      <c r="B21" s="50" t="s">
        <v>55</v>
      </c>
      <c r="C21" s="51"/>
      <c r="D21" s="52"/>
      <c r="E21" s="53" t="s">
        <v>41</v>
      </c>
      <c r="F21" s="54">
        <v>10500</v>
      </c>
      <c r="G21" s="49">
        <v>2</v>
      </c>
      <c r="H21" s="45">
        <f t="shared" si="1"/>
        <v>21000</v>
      </c>
    </row>
    <row r="22" spans="1:8" ht="16.5" thickBot="1" x14ac:dyDescent="0.3">
      <c r="A22" s="49">
        <v>7</v>
      </c>
      <c r="B22" s="50" t="s">
        <v>56</v>
      </c>
      <c r="C22" s="51"/>
      <c r="D22" s="52"/>
      <c r="E22" s="53" t="s">
        <v>41</v>
      </c>
      <c r="F22" s="54">
        <v>20280</v>
      </c>
      <c r="G22" s="49">
        <v>2</v>
      </c>
      <c r="H22" s="45">
        <f t="shared" ref="H22" si="2">G22*F22</f>
        <v>40560</v>
      </c>
    </row>
    <row r="23" spans="1:8" ht="16.5" thickBot="1" x14ac:dyDescent="0.3">
      <c r="A23" s="49">
        <v>8</v>
      </c>
      <c r="B23" s="50" t="s">
        <v>57</v>
      </c>
      <c r="C23" s="51"/>
      <c r="D23" s="52"/>
      <c r="E23" s="53" t="s">
        <v>41</v>
      </c>
      <c r="F23" s="54">
        <v>17680</v>
      </c>
      <c r="G23" s="49">
        <v>1</v>
      </c>
      <c r="H23" s="45">
        <f t="shared" ref="H23" si="3">G23*F23</f>
        <v>17680</v>
      </c>
    </row>
    <row r="24" spans="1:8" ht="16.5" thickBot="1" x14ac:dyDescent="0.3">
      <c r="A24" s="49">
        <v>9</v>
      </c>
      <c r="B24" s="50" t="s">
        <v>58</v>
      </c>
      <c r="C24" s="51"/>
      <c r="D24" s="52"/>
      <c r="E24" s="53" t="s">
        <v>41</v>
      </c>
      <c r="F24" s="54">
        <v>7800</v>
      </c>
      <c r="G24" s="49">
        <v>2</v>
      </c>
      <c r="H24" s="45">
        <f t="shared" ref="H24:H25" si="4">G24*F24</f>
        <v>15600</v>
      </c>
    </row>
    <row r="25" spans="1:8" ht="16.5" thickBot="1" x14ac:dyDescent="0.3">
      <c r="A25" s="49">
        <v>10</v>
      </c>
      <c r="B25" s="50" t="s">
        <v>59</v>
      </c>
      <c r="C25" s="51"/>
      <c r="D25" s="52"/>
      <c r="E25" s="53" t="s">
        <v>43</v>
      </c>
      <c r="F25" s="54">
        <v>4000</v>
      </c>
      <c r="G25" s="49">
        <v>1</v>
      </c>
      <c r="H25" s="45">
        <f t="shared" si="4"/>
        <v>4000</v>
      </c>
    </row>
    <row r="26" spans="1:8" ht="16.5" thickBot="1" x14ac:dyDescent="0.3">
      <c r="A26" s="55"/>
      <c r="B26" s="56"/>
      <c r="C26" s="56"/>
      <c r="D26" s="56"/>
      <c r="E26" s="55"/>
      <c r="F26" s="57"/>
      <c r="G26" s="55"/>
      <c r="H26" s="58"/>
    </row>
    <row r="27" spans="1:8" ht="16.5" thickBot="1" x14ac:dyDescent="0.3">
      <c r="A27" s="55"/>
      <c r="B27" s="56"/>
      <c r="C27" s="56"/>
      <c r="D27" s="56"/>
      <c r="E27" s="55"/>
      <c r="F27" s="57"/>
      <c r="G27" s="55"/>
      <c r="H27" s="58"/>
    </row>
    <row r="28" spans="1:8" ht="19.5" customHeight="1" thickBot="1" x14ac:dyDescent="0.35">
      <c r="A28" s="46" t="s">
        <v>25</v>
      </c>
      <c r="B28" s="12" t="s">
        <v>60</v>
      </c>
      <c r="C28" s="13"/>
      <c r="D28" s="14"/>
      <c r="E28" s="73"/>
      <c r="F28" s="44" t="s">
        <v>31</v>
      </c>
      <c r="G28" s="6"/>
      <c r="H28" s="7"/>
    </row>
    <row r="29" spans="1:8" ht="19.5" customHeight="1" thickBot="1" x14ac:dyDescent="0.3">
      <c r="A29" s="47"/>
      <c r="B29" s="16" t="s">
        <v>61</v>
      </c>
      <c r="C29" s="4"/>
      <c r="D29" s="4"/>
      <c r="E29" s="74" t="s">
        <v>26</v>
      </c>
      <c r="F29" s="75"/>
      <c r="G29" s="63"/>
      <c r="H29" s="72">
        <f>SUM(H16:H25)</f>
        <v>193647</v>
      </c>
    </row>
    <row r="30" spans="1:8" ht="19.5" customHeight="1" x14ac:dyDescent="0.25">
      <c r="A30" s="25" t="s">
        <v>27</v>
      </c>
      <c r="B30" s="13"/>
      <c r="C30" s="13"/>
      <c r="D30" s="13"/>
      <c r="E30" s="76" t="s">
        <v>33</v>
      </c>
      <c r="F30" s="59"/>
      <c r="G30" s="77">
        <v>0.19</v>
      </c>
      <c r="H30" s="41">
        <f>H29*G30</f>
        <v>36792.93</v>
      </c>
    </row>
    <row r="31" spans="1:8" ht="19.5" customHeight="1" x14ac:dyDescent="0.25">
      <c r="A31" s="15" t="s">
        <v>62</v>
      </c>
      <c r="E31" s="78" t="s">
        <v>28</v>
      </c>
      <c r="G31" s="79">
        <v>2.5000000000000001E-2</v>
      </c>
      <c r="H31" s="37"/>
    </row>
    <row r="32" spans="1:8" ht="15.75" x14ac:dyDescent="0.25">
      <c r="A32" s="15" t="s">
        <v>40</v>
      </c>
      <c r="E32" s="15"/>
      <c r="F32" s="35"/>
      <c r="G32" s="67"/>
      <c r="H32" s="38"/>
    </row>
    <row r="33" spans="1:8" ht="16.5" thickBot="1" x14ac:dyDescent="0.3">
      <c r="A33" s="15" t="s">
        <v>36</v>
      </c>
      <c r="E33" s="80" t="s">
        <v>29</v>
      </c>
      <c r="F33" s="81"/>
      <c r="G33" s="71"/>
      <c r="H33" s="39"/>
    </row>
    <row r="34" spans="1:8" ht="19.5" thickBot="1" x14ac:dyDescent="0.35">
      <c r="A34" s="16"/>
      <c r="B34" s="4"/>
      <c r="C34" s="4"/>
      <c r="D34" s="17"/>
      <c r="F34" s="3"/>
      <c r="G34" s="36" t="s">
        <v>30</v>
      </c>
      <c r="H34" s="42">
        <f>H29+H30-H31</f>
        <v>230439.93</v>
      </c>
    </row>
    <row r="35" spans="1:8" ht="16.5" customHeight="1" x14ac:dyDescent="0.25"/>
    <row r="40" spans="1:8" ht="15.75" thickBot="1" x14ac:dyDescent="0.3"/>
    <row r="41" spans="1:8" ht="19.5" thickBot="1" x14ac:dyDescent="0.35">
      <c r="A41" s="26" t="s">
        <v>37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GERCO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2024-09-14T17:23:05Z</dcterms:modified>
</cp:coreProperties>
</file>