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E3B667C-1F7A-410D-A5D8-45946AE39CA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BASTIAN NARVAEZ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9" i="1"/>
  <c r="H18" i="1"/>
  <c r="H17" i="1"/>
  <c r="H16" i="1"/>
  <c r="H23" i="1" s="1"/>
  <c r="H27" i="1" l="1"/>
</calcChain>
</file>

<file path=xl/sharedStrings.xml><?xml version="1.0" encoding="utf-8"?>
<sst xmlns="http://schemas.openxmlformats.org/spreadsheetml/2006/main" count="60" uniqueCount="59">
  <si>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</si>
  <si>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</si>
  <si>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</si>
  <si>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</si>
  <si>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</si>
  <si>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</si>
  <si>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</si>
  <si>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</si>
  <si>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</si>
  <si>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</si>
  <si>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</si>
  <si>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</si>
  <si>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</si>
  <si>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</si>
  <si>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</si>
  <si>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</si>
  <si>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</si>
  <si>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</si>
  <si>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</si>
  <si>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</si>
  <si>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</si>
  <si>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</si>
  <si>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</si>
  <si>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</si>
  <si>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</si>
  <si>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</si>
  <si>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</si>
  <si>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</si>
  <si>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</si>
  <si>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</si>
  <si>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</si>
  <si>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</si>
  <si>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</si>
  <si>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</si>
  <si>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</si>
  <si>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</si>
  <si>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</si>
  <si>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SEBASTIAN NARVAEZ</t>
  </si>
  <si>
    <t>1234 190158</t>
  </si>
  <si>
    <t>CALLE 23 No. 13A-36</t>
  </si>
  <si>
    <t>CALI</t>
  </si>
  <si>
    <t>indu.ilnoxacero@hotmail.com</t>
  </si>
  <si>
    <t>313 6830677</t>
  </si>
  <si>
    <t>LUIS BENAVIDEZ</t>
  </si>
  <si>
    <t>L I Q U I D A C I O N</t>
  </si>
  <si>
    <t xml:space="preserve">              R E M I S I O N </t>
  </si>
  <si>
    <t xml:space="preserve">  CALLE  33A  No. 17F - 56                        B/  LA FLORESTA             -   CALI    -                                   CEL.     321 7834969</t>
  </si>
  <si>
    <t>FORMA DE PAGO : CONTADO</t>
  </si>
  <si>
    <t>FABRICACION</t>
  </si>
  <si>
    <t>NIPLE AC/INOX 304  1/2 "  X  4 "  UNA ROSCA</t>
  </si>
  <si>
    <t>No. 12</t>
  </si>
  <si>
    <t>FERULA AC/INOX 304  4 "</t>
  </si>
  <si>
    <t>ACCESORIO</t>
  </si>
  <si>
    <t>UNION AC/INOX  304  3/4 "</t>
  </si>
  <si>
    <t>TUBERIA  AC/INOX 304 SANITARIO  4 "</t>
  </si>
  <si>
    <t>METRO LINEAL</t>
  </si>
  <si>
    <t>15 DIAS</t>
  </si>
  <si>
    <t>CIENTO SESENTA Y UN MIL OCHOCIENTOS CUARENTA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</si>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</sst>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du.ilnoxacero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13" zoomScaleNormal="100" workbookViewId="0">
      <selection activeCell="K32" sqref="K3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45</v>
      </c>
      <c r="G6" s="42"/>
      <c r="H6" s="43"/>
    </row>
    <row r="7" spans="1:8" ht="19.5" thickBot="1" x14ac:dyDescent="0.35">
      <c r="A7" s="20" t="s">
        <v>14</v>
      </c>
      <c r="B7" s="12"/>
      <c r="C7" s="59" t="s">
        <v>37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1" t="s">
        <v>38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39</v>
      </c>
      <c r="D9" s="23"/>
      <c r="E9" s="64" t="s">
        <v>40</v>
      </c>
      <c r="F9" s="30" t="s">
        <v>0</v>
      </c>
      <c r="H9" s="28">
        <v>45856</v>
      </c>
    </row>
    <row r="10" spans="1:8" ht="18.75" x14ac:dyDescent="0.3">
      <c r="A10" s="21" t="s">
        <v>13</v>
      </c>
      <c r="C10" s="65" t="s">
        <v>41</v>
      </c>
      <c r="D10" s="60"/>
      <c r="E10" s="45"/>
      <c r="F10" s="30" t="s">
        <v>15</v>
      </c>
      <c r="H10" s="29" t="s">
        <v>56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45870</v>
      </c>
    </row>
    <row r="12" spans="1:8" ht="18.75" x14ac:dyDescent="0.3">
      <c r="A12" s="21" t="s">
        <v>11</v>
      </c>
      <c r="C12" s="66" t="s">
        <v>42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43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49</v>
      </c>
      <c r="C16" s="71"/>
      <c r="D16" s="72"/>
      <c r="E16" s="69" t="s">
        <v>48</v>
      </c>
      <c r="F16" s="73">
        <v>7000</v>
      </c>
      <c r="G16" s="69">
        <v>2</v>
      </c>
      <c r="H16" s="38">
        <f t="shared" ref="H16" si="0">G16*F16</f>
        <v>14000</v>
      </c>
    </row>
    <row r="17" spans="1:8" ht="16.5" thickBot="1" x14ac:dyDescent="0.3">
      <c r="A17" s="69">
        <v>2</v>
      </c>
      <c r="B17" s="70" t="s">
        <v>51</v>
      </c>
      <c r="C17" s="71"/>
      <c r="D17" s="72"/>
      <c r="E17" s="69" t="s">
        <v>52</v>
      </c>
      <c r="F17" s="73">
        <v>14000</v>
      </c>
      <c r="G17" s="69">
        <v>2</v>
      </c>
      <c r="H17" s="38">
        <f t="shared" ref="H17:H19" si="1">G17*F17</f>
        <v>28000</v>
      </c>
    </row>
    <row r="18" spans="1:8" ht="16.5" thickBot="1" x14ac:dyDescent="0.3">
      <c r="A18" s="69">
        <v>3</v>
      </c>
      <c r="B18" s="70" t="s">
        <v>53</v>
      </c>
      <c r="C18" s="71"/>
      <c r="D18" s="72"/>
      <c r="E18" s="69" t="s">
        <v>52</v>
      </c>
      <c r="F18" s="73">
        <v>6000</v>
      </c>
      <c r="G18" s="69">
        <v>1</v>
      </c>
      <c r="H18" s="38">
        <f t="shared" si="1"/>
        <v>6000</v>
      </c>
    </row>
    <row r="19" spans="1:8" ht="16.5" thickBot="1" x14ac:dyDescent="0.3">
      <c r="A19" s="69">
        <v>4</v>
      </c>
      <c r="B19" s="70" t="s">
        <v>54</v>
      </c>
      <c r="C19" s="71"/>
      <c r="D19" s="72"/>
      <c r="E19" s="69" t="s">
        <v>55</v>
      </c>
      <c r="F19" s="73">
        <v>88000</v>
      </c>
      <c r="G19" s="69">
        <v>1</v>
      </c>
      <c r="H19" s="38">
        <f t="shared" si="1"/>
        <v>88000</v>
      </c>
    </row>
    <row r="20" spans="1:8" ht="19.5" customHeight="1" thickBot="1" x14ac:dyDescent="0.3">
      <c r="A20" s="47"/>
      <c r="B20" s="76"/>
      <c r="D20" s="77"/>
      <c r="E20" s="47"/>
      <c r="F20" s="47"/>
      <c r="G20" s="47"/>
    </row>
    <row r="21" spans="1:8" ht="19.5" customHeight="1" thickBot="1" x14ac:dyDescent="0.35">
      <c r="A21" s="75" t="s">
        <v>23</v>
      </c>
      <c r="B21" s="78" t="s">
        <v>57</v>
      </c>
      <c r="C21" s="12"/>
      <c r="D21" s="13"/>
      <c r="E21" s="48"/>
      <c r="F21" s="37" t="s">
        <v>44</v>
      </c>
      <c r="G21" s="6"/>
      <c r="H21" s="7"/>
    </row>
    <row r="22" spans="1:8" ht="19.5" customHeight="1" thickBot="1" x14ac:dyDescent="0.3">
      <c r="A22" s="39"/>
      <c r="B22" s="16" t="s">
        <v>58</v>
      </c>
      <c r="C22" s="4"/>
      <c r="D22" s="17"/>
      <c r="E22" s="51" t="s">
        <v>24</v>
      </c>
      <c r="F22" s="52"/>
      <c r="G22" s="44"/>
      <c r="H22" s="49">
        <f>SUM(H16:H19)</f>
        <v>136000</v>
      </c>
    </row>
    <row r="23" spans="1:8" ht="19.5" customHeight="1" x14ac:dyDescent="0.25">
      <c r="A23" s="24" t="s">
        <v>25</v>
      </c>
      <c r="B23" s="12"/>
      <c r="C23" s="12"/>
      <c r="D23" s="12"/>
      <c r="E23" s="53" t="s">
        <v>29</v>
      </c>
      <c r="F23" s="23"/>
      <c r="G23" s="54">
        <v>0.19</v>
      </c>
      <c r="H23" s="40">
        <f>H22*G23</f>
        <v>25840</v>
      </c>
    </row>
    <row r="24" spans="1:8" ht="19.5" customHeight="1" x14ac:dyDescent="0.25">
      <c r="A24" s="14" t="s">
        <v>47</v>
      </c>
      <c r="E24" s="55" t="s">
        <v>26</v>
      </c>
      <c r="G24" s="58">
        <v>2.5000000000000001E-2</v>
      </c>
      <c r="H24" s="50"/>
    </row>
    <row r="25" spans="1:8" ht="15.75" x14ac:dyDescent="0.25">
      <c r="A25" s="14" t="s">
        <v>34</v>
      </c>
      <c r="E25" s="14"/>
      <c r="F25" s="33"/>
      <c r="G25" s="45"/>
      <c r="H25" s="15"/>
    </row>
    <row r="26" spans="1:8" ht="16.5" thickBot="1" x14ac:dyDescent="0.3">
      <c r="A26" s="14" t="s">
        <v>31</v>
      </c>
      <c r="E26" s="56" t="s">
        <v>27</v>
      </c>
      <c r="F26" s="57"/>
      <c r="G26" s="46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</f>
        <v>161840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46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C83BE859-DC65-4E3F-A590-F14F2734928B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SEBASTIAN NARVAEZ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2025-07-18T19:02:00Z</cp:lastPrinted>
  <dcterms:created xsi:type="dcterms:W3CDTF">2018-11-15T17:29:02Z</dcterms:created>
  <dcterms:modified xsi:type="dcterms:W3CDTF">2025-07-18T19:08:42Z</dcterms:modified>
</cp:coreProperties>
</file>