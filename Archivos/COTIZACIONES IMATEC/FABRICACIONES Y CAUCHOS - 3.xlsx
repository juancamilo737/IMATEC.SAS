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5854155-A744-4086-B999-1D87CF13DF0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ABRICACIONES &amp; CAUCH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6" i="1"/>
  <c r="H24" i="1"/>
  <c r="H21" i="1"/>
  <c r="H20" i="1"/>
  <c r="H19" i="1"/>
  <c r="H18" i="1"/>
  <c r="H17" i="1"/>
  <c r="H16" i="1"/>
  <c r="H25" i="1" l="1"/>
</calcChain>
</file>

<file path=xl/sharedStrings.xml><?xml version="1.0" encoding="utf-8"?>
<sst xmlns="http://schemas.openxmlformats.org/spreadsheetml/2006/main" count="65" uniqueCount="60">
  <si>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</si>
  <si>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</si>
  <si>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</si>
  <si>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</si>
  <si>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</si>
  <si>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</si>
  <si>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</si>
  <si>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</si>
  <si>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</si>
  <si>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</si>
  <si>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</si>
  <si>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</si>
  <si>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</si>
  <si>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</si>
  <si>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</si>
  <si>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</si>
  <si>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</si>
  <si>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</si>
  <si>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</si>
  <si>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</si>
  <si>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</si>
  <si>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</si>
  <si>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</si>
  <si>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</si>
  <si>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</si>
  <si>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</si>
  <si>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</si>
  <si>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</si>
  <si>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</si>
  <si>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</si>
  <si>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</si>
  <si>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</si>
  <si>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</si>
  <si>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</si>
  <si>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</si>
  <si>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</si>
  <si>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</si>
  <si>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</si>
  <si>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</si>
  <si>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</si>
  <si>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FABRICACIONES &amp; CAUCHOS S.A.S.</t>
  </si>
  <si>
    <t>901 517190</t>
  </si>
  <si>
    <t>CALLE 30 C OESTE  6 - 68</t>
  </si>
  <si>
    <t>CALI</t>
  </si>
  <si>
    <t>fabricacionesycauchos@gmail.com</t>
  </si>
  <si>
    <t>301 2791346</t>
  </si>
  <si>
    <t xml:space="preserve">              R E M I S I O N</t>
  </si>
  <si>
    <t xml:space="preserve">  CALLE  33A  No. 17F - 56                              B/  LA FLORESTA             -   CALI    -                                   CEL.     321 7834969</t>
  </si>
  <si>
    <t>LUIS A. BENAVIDES</t>
  </si>
  <si>
    <t>No. 3</t>
  </si>
  <si>
    <t>TEE AC/INOX 304  1 1/2 "  ROSCAR</t>
  </si>
  <si>
    <t>CODO AC/INOX 316  1 1/2 "  X 90 º</t>
  </si>
  <si>
    <t>FERULA AC/INOX 316  1 1/2 " LARGA</t>
  </si>
  <si>
    <t>ABRAZADERA AC/INOX 304  1 1/2 "</t>
  </si>
  <si>
    <t>ABRAZADERA AC/INOX 304  2 "</t>
  </si>
  <si>
    <t>ACOPLE CLAMP AC/INOX 316 1 1/2 " X 1 1/4 " NPT</t>
  </si>
  <si>
    <t xml:space="preserve">  RETEICA</t>
  </si>
  <si>
    <t>OCHOCIENTOS SETENTA Y OCHO MIL TRESCIENTOS NO-</t>
  </si>
  <si>
    <t>VENTA Y UN 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</si>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</sst>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2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ricacionesycauch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4" zoomScaleNormal="100" workbookViewId="0">
      <selection activeCell="M27" sqref="M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41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42</v>
      </c>
      <c r="D9" s="23"/>
      <c r="E9" s="65" t="s">
        <v>43</v>
      </c>
      <c r="F9" s="30" t="s">
        <v>0</v>
      </c>
      <c r="H9" s="28">
        <v>45768</v>
      </c>
    </row>
    <row r="10" spans="1:8" ht="18.75" x14ac:dyDescent="0.3">
      <c r="A10" s="21" t="s">
        <v>13</v>
      </c>
      <c r="C10" s="66" t="s">
        <v>44</v>
      </c>
      <c r="D10" s="61"/>
      <c r="E10" s="45"/>
      <c r="F10" s="30" t="s">
        <v>15</v>
      </c>
      <c r="H10" s="29" t="s">
        <v>32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45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48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36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39</v>
      </c>
      <c r="F16" s="74">
        <v>22000</v>
      </c>
      <c r="G16" s="70">
        <v>1</v>
      </c>
      <c r="H16" s="38">
        <f t="shared" ref="H16" si="0">G16*F16</f>
        <v>22000</v>
      </c>
    </row>
    <row r="17" spans="1:8" ht="16.5" thickBot="1" x14ac:dyDescent="0.3">
      <c r="A17" s="70">
        <v>2</v>
      </c>
      <c r="B17" s="71" t="s">
        <v>51</v>
      </c>
      <c r="C17" s="72"/>
      <c r="D17" s="73"/>
      <c r="E17" s="70" t="s">
        <v>39</v>
      </c>
      <c r="F17" s="74">
        <v>48000</v>
      </c>
      <c r="G17" s="70">
        <v>5</v>
      </c>
      <c r="H17" s="38">
        <f t="shared" ref="H17:H21" si="1">G17*F17</f>
        <v>240000</v>
      </c>
    </row>
    <row r="18" spans="1:8" ht="16.5" thickBot="1" x14ac:dyDescent="0.3">
      <c r="A18" s="70">
        <v>3</v>
      </c>
      <c r="B18" s="71" t="s">
        <v>52</v>
      </c>
      <c r="C18" s="72"/>
      <c r="D18" s="73"/>
      <c r="E18" s="70" t="s">
        <v>39</v>
      </c>
      <c r="F18" s="74">
        <v>13000</v>
      </c>
      <c r="G18" s="70">
        <v>10</v>
      </c>
      <c r="H18" s="38">
        <f t="shared" si="1"/>
        <v>130000</v>
      </c>
    </row>
    <row r="19" spans="1:8" ht="16.5" thickBot="1" x14ac:dyDescent="0.3">
      <c r="A19" s="70">
        <v>4</v>
      </c>
      <c r="B19" s="71" t="s">
        <v>53</v>
      </c>
      <c r="C19" s="72"/>
      <c r="D19" s="73"/>
      <c r="E19" s="70" t="s">
        <v>39</v>
      </c>
      <c r="F19" s="74">
        <v>11000</v>
      </c>
      <c r="G19" s="70">
        <v>22</v>
      </c>
      <c r="H19" s="38">
        <f t="shared" si="1"/>
        <v>242000</v>
      </c>
    </row>
    <row r="20" spans="1:8" ht="16.5" thickBot="1" x14ac:dyDescent="0.3">
      <c r="A20" s="70">
        <v>5</v>
      </c>
      <c r="B20" s="71" t="s">
        <v>54</v>
      </c>
      <c r="C20" s="72"/>
      <c r="D20" s="73"/>
      <c r="E20" s="70" t="s">
        <v>39</v>
      </c>
      <c r="F20" s="74">
        <v>13000</v>
      </c>
      <c r="G20" s="70">
        <v>5</v>
      </c>
      <c r="H20" s="38">
        <f t="shared" si="1"/>
        <v>65000</v>
      </c>
    </row>
    <row r="21" spans="1:8" ht="16.5" thickBot="1" x14ac:dyDescent="0.3">
      <c r="A21" s="70">
        <v>6</v>
      </c>
      <c r="B21" s="71" t="s">
        <v>55</v>
      </c>
      <c r="C21" s="72"/>
      <c r="D21" s="73"/>
      <c r="E21" s="70" t="s">
        <v>39</v>
      </c>
      <c r="F21" s="74">
        <v>60000</v>
      </c>
      <c r="G21" s="70">
        <v>1</v>
      </c>
      <c r="H21" s="38">
        <f t="shared" si="1"/>
        <v>60000</v>
      </c>
    </row>
    <row r="22" spans="1:8" ht="19.5" customHeight="1" thickBot="1" x14ac:dyDescent="0.3">
      <c r="A22" s="48"/>
      <c r="B22" s="77"/>
      <c r="C22" s="78"/>
      <c r="D22" s="79"/>
      <c r="E22" s="48"/>
      <c r="F22" s="48"/>
      <c r="G22" s="48"/>
    </row>
    <row r="23" spans="1:8" ht="19.5" customHeight="1" thickBot="1" x14ac:dyDescent="0.35">
      <c r="A23" s="76" t="s">
        <v>23</v>
      </c>
      <c r="B23" s="80" t="s">
        <v>57</v>
      </c>
      <c r="C23" s="12"/>
      <c r="D23" s="13"/>
      <c r="E23" s="49"/>
      <c r="F23" s="37" t="s">
        <v>29</v>
      </c>
      <c r="G23" s="6"/>
      <c r="H23" s="7"/>
    </row>
    <row r="24" spans="1:8" ht="19.5" customHeight="1" thickBot="1" x14ac:dyDescent="0.3">
      <c r="A24" s="39"/>
      <c r="B24" s="16" t="s">
        <v>58</v>
      </c>
      <c r="C24" s="4"/>
      <c r="D24" s="17"/>
      <c r="E24" s="52" t="s">
        <v>24</v>
      </c>
      <c r="F24" s="53"/>
      <c r="G24" s="44"/>
      <c r="H24" s="50">
        <f>SUM(H16:H21)</f>
        <v>759000</v>
      </c>
    </row>
    <row r="25" spans="1:8" ht="19.5" customHeight="1" x14ac:dyDescent="0.25">
      <c r="A25" s="24" t="s">
        <v>25</v>
      </c>
      <c r="B25" s="12"/>
      <c r="C25" s="12"/>
      <c r="D25" s="12"/>
      <c r="E25" s="54" t="s">
        <v>30</v>
      </c>
      <c r="F25" s="23"/>
      <c r="G25" s="55">
        <v>0.19</v>
      </c>
      <c r="H25" s="40">
        <f>H24*G25</f>
        <v>144210</v>
      </c>
    </row>
    <row r="26" spans="1:8" ht="19.5" customHeight="1" x14ac:dyDescent="0.25">
      <c r="A26" s="14" t="s">
        <v>31</v>
      </c>
      <c r="E26" s="56" t="s">
        <v>26</v>
      </c>
      <c r="G26" s="59">
        <v>2.5000000000000001E-2</v>
      </c>
      <c r="H26" s="51">
        <f>H24*G26</f>
        <v>18975</v>
      </c>
    </row>
    <row r="27" spans="1:8" ht="15.75" x14ac:dyDescent="0.25">
      <c r="A27" s="14" t="s">
        <v>59</v>
      </c>
      <c r="E27" s="54" t="s">
        <v>56</v>
      </c>
      <c r="F27" s="33"/>
      <c r="G27" s="75">
        <v>7.7000000000000002E-3</v>
      </c>
      <c r="H27" s="51">
        <f>H24*G27</f>
        <v>5844.3</v>
      </c>
    </row>
    <row r="28" spans="1:8" ht="16.5" thickBot="1" x14ac:dyDescent="0.3">
      <c r="A28" s="14" t="s">
        <v>34</v>
      </c>
      <c r="E28" s="57" t="s">
        <v>27</v>
      </c>
      <c r="F28" s="58"/>
      <c r="G28" s="46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H24+H25-H26-H27</f>
        <v>878390.7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47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F76A0754-C6B3-4C53-970E-0B6675FD81E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FABRICACIONES &amp; CAUCHOS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2025-01-22T16:34:34Z</cp:lastPrinted>
  <dcterms:created xsi:type="dcterms:W3CDTF">2018-11-15T17:29:02Z</dcterms:created>
  <dcterms:modified xsi:type="dcterms:W3CDTF">2025-08-21T17:28:19Z</dcterms:modified>
</cp:coreProperties>
</file>