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C877C0-DC40-40EB-8758-D9E6CE5DF2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RTE Y DOBL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s="1"/>
  <c r="H21" i="1" s="1"/>
  <c r="H24" i="1" l="1"/>
  <c r="H23" i="1"/>
  <c r="H22" i="1"/>
  <c r="H26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<sst xmlns="http://schemas.openxmlformats.org/spreadsheetml/2006/main" count="57" uniqueCount="57">
  <si>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</si>
  <si>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</si>
  <si>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</si>
  <si>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</si>
  <si>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</si>
  <si>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</si>
  <si>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</si>
  <si>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</si>
  <si>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</si>
  <si>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</si>
  <si>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</si>
  <si>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</si>
  <si>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</si>
  <si>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</si>
  <si>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</si>
  <si>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</si>
  <si>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</si>
  <si>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</si>
  <si>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</si>
  <si>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</si>
  <si>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</si>
  <si>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</si>
  <si>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</si>
  <si>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</si>
  <si>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</si>
  <si>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</si>
  <si>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</si>
  <si>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</si>
  <si>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</si>
  <si>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</si>
  <si>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</si>
  <si>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</si>
  <si>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</si>
  <si>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</si>
  <si>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</si>
  <si>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</si>
  <si>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</si>
  <si>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</si>
  <si>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</si>
  <si>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</si>
  <si>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</si>
  <si>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CORTE Y DOBLEZ DEL VALLE S.A.S.</t>
  </si>
  <si>
    <t>901 057764</t>
  </si>
  <si>
    <t>CARRERA 15  No.  31 - 33</t>
  </si>
  <si>
    <t>cali</t>
  </si>
  <si>
    <t>corteydoblezdelvallesas@gmail.com</t>
  </si>
  <si>
    <t>300 3555872</t>
  </si>
  <si>
    <t xml:space="preserve">EDINSON CABEZAS </t>
  </si>
  <si>
    <t>No. 1</t>
  </si>
  <si>
    <t>DESCUENTO</t>
  </si>
  <si>
    <t>SUBTOTAL 2</t>
  </si>
  <si>
    <t xml:space="preserve">   RETEICA</t>
  </si>
  <si>
    <t>TUBO X 6 MTS</t>
  </si>
  <si>
    <t>TUBERIA AGUAS NEGRAS REDONDA 1 1/2  CAL 16</t>
  </si>
  <si>
    <t xml:space="preserve">ONCE MILLONES CIENTO NOVENTA Y TRES MIL TREINTA </t>
  </si>
  <si>
    <t>Y UN PESOS MDA / CTE</t>
  </si>
  <si>
    <t>ENTREGAS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</si>
</sst>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4" fillId="0" borderId="32" xfId="0" applyFont="1" applyBorder="1"/>
    <xf numFmtId="9" fontId="1" fillId="0" borderId="33" xfId="0" applyNumberFormat="1" applyFont="1" applyBorder="1"/>
    <xf numFmtId="42" fontId="1" fillId="0" borderId="34" xfId="0" applyNumberFormat="1" applyFont="1" applyBorder="1" applyAlignment="1">
      <alignment horizontal="left"/>
    </xf>
    <xf numFmtId="0" fontId="0" fillId="0" borderId="33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rteydoblezdelvalle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6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8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45864</v>
      </c>
    </row>
    <row r="10" spans="1:8" ht="18.75" x14ac:dyDescent="0.3">
      <c r="A10" s="21" t="s">
        <v>13</v>
      </c>
      <c r="C10" s="69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53</v>
      </c>
      <c r="C16" s="62"/>
      <c r="D16" s="63"/>
      <c r="E16" s="60" t="s">
        <v>52</v>
      </c>
      <c r="F16" s="64">
        <v>49854</v>
      </c>
      <c r="G16" s="60">
        <v>200</v>
      </c>
      <c r="H16" s="38">
        <f t="shared" ref="H16" si="0">G16*F16</f>
        <v>9970800</v>
      </c>
    </row>
    <row r="17" spans="1:8" ht="19.5" customHeight="1" thickBot="1" x14ac:dyDescent="0.3">
      <c r="A17" s="47"/>
      <c r="B17" s="66"/>
      <c r="D17" s="67"/>
      <c r="E17" s="47"/>
      <c r="F17" s="47"/>
      <c r="G17" s="47"/>
    </row>
    <row r="18" spans="1:8" ht="19.5" customHeight="1" thickBot="1" x14ac:dyDescent="0.35">
      <c r="A18" s="65" t="s">
        <v>23</v>
      </c>
      <c r="B18" s="68" t="s">
        <v>54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55</v>
      </c>
      <c r="C19" s="4"/>
      <c r="D19" s="17"/>
      <c r="E19" s="51" t="s">
        <v>24</v>
      </c>
      <c r="F19" s="52"/>
      <c r="G19" s="44"/>
      <c r="H19" s="49">
        <f>SUM(H16:H16)</f>
        <v>9970800</v>
      </c>
    </row>
    <row r="20" spans="1:8" ht="19.5" customHeight="1" thickBot="1" x14ac:dyDescent="0.3">
      <c r="A20" s="24" t="s">
        <v>25</v>
      </c>
      <c r="B20" s="12"/>
      <c r="C20" s="12"/>
      <c r="D20" s="12"/>
      <c r="E20" s="55" t="s">
        <v>49</v>
      </c>
      <c r="F20" s="70"/>
      <c r="G20" s="71">
        <v>0.03</v>
      </c>
      <c r="H20" s="72">
        <f>H19*G20</f>
        <v>299124</v>
      </c>
    </row>
    <row r="21" spans="1:8" ht="19.5" customHeight="1" thickTop="1" x14ac:dyDescent="0.25">
      <c r="A21" s="14" t="s">
        <v>30</v>
      </c>
      <c r="E21" s="55" t="s">
        <v>50</v>
      </c>
      <c r="F21" s="70"/>
      <c r="G21" s="73"/>
      <c r="H21" s="49">
        <f>H19-H20</f>
        <v>9671676</v>
      </c>
    </row>
    <row r="22" spans="1:8" ht="15.75" x14ac:dyDescent="0.25">
      <c r="A22" s="14" t="s">
        <v>56</v>
      </c>
      <c r="E22" s="53" t="s">
        <v>29</v>
      </c>
      <c r="F22" s="23"/>
      <c r="G22" s="54">
        <v>0.19</v>
      </c>
      <c r="H22" s="40">
        <f>H21*G22</f>
        <v>1837618.44</v>
      </c>
    </row>
    <row r="23" spans="1:8" ht="15.75" x14ac:dyDescent="0.25">
      <c r="A23" s="14" t="s">
        <v>33</v>
      </c>
      <c r="E23" s="55" t="s">
        <v>26</v>
      </c>
      <c r="G23" s="58">
        <v>2.5000000000000001E-2</v>
      </c>
      <c r="H23" s="50">
        <f>H21*G23</f>
        <v>241791.90000000002</v>
      </c>
    </row>
    <row r="24" spans="1:8" ht="16.5" thickBot="1" x14ac:dyDescent="0.3">
      <c r="A24" s="16"/>
      <c r="B24" s="4"/>
      <c r="C24" s="4"/>
      <c r="D24" s="17"/>
      <c r="E24" s="53" t="s">
        <v>51</v>
      </c>
      <c r="F24" s="33"/>
      <c r="G24" s="74">
        <v>7.7000000000000002E-3</v>
      </c>
      <c r="H24" s="50">
        <f>H21*G24</f>
        <v>74471.905200000008</v>
      </c>
    </row>
    <row r="25" spans="1:8" ht="16.5" customHeight="1" thickBot="1" x14ac:dyDescent="0.3">
      <c r="E25" s="56" t="s">
        <v>27</v>
      </c>
      <c r="F25" s="57"/>
      <c r="G25" s="45"/>
      <c r="H25" s="17"/>
    </row>
    <row r="26" spans="1:8" ht="19.5" thickBot="1" x14ac:dyDescent="0.35">
      <c r="F26" s="3"/>
      <c r="G26" s="34" t="s">
        <v>28</v>
      </c>
      <c r="H26" s="36">
        <f>H21+H22-H23-H24</f>
        <v>11193030.634799998</v>
      </c>
    </row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A9A3D05-B4CE-4E47-8B61-5D24CA8E3DE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CORTE Y DOBLEZ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2025-07-26T15:06:58Z</dcterms:modified>
</cp:coreProperties>
</file>