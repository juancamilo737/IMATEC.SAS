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4665881-C1AD-4EEA-A685-AB0BE76234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ODAF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4" i="1" s="1"/>
  <c r="H26" i="1" s="1"/>
  <c r="H25" i="1"/>
  <c r="H28" i="1" l="1"/>
</calcChain>
</file>

<file path=xl/sharedStrings.xml><?xml version="1.0" encoding="utf-8"?>
<sst xmlns="http://schemas.openxmlformats.org/spreadsheetml/2006/main" count="50" uniqueCount="50">
  <si>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</si>
  <si>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</si>
  <si>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</si>
  <si>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</si>
  <si>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</si>
  <si>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</si>
  <si>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</si>
  <si>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</si>
  <si>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</si>
  <si>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</si>
  <si>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</si>
  <si>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</si>
  <si>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</si>
  <si>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</si>
  <si>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</si>
  <si>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</si>
  <si>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</si>
  <si>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</si>
  <si>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</si>
  <si>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</si>
  <si>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</si>
  <si>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</si>
  <si>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</si>
  <si>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</si>
  <si>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</si>
  <si>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</si>
  <si>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</si>
  <si>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</si>
  <si>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</si>
  <si>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</si>
  <si>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</si>
  <si>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</si>
  <si>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</si>
  <si>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</si>
  <si>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</si>
  <si>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>LUIS BENAVIDEZ</t>
  </si>
  <si>
    <t xml:space="preserve">MAS IVA </t>
  </si>
  <si>
    <t>ACCESORIO</t>
  </si>
  <si>
    <t xml:space="preserve">              R E M I S I O N</t>
  </si>
  <si>
    <t xml:space="preserve">  CALLE  33B  No. 17C - 70   2º  PISO               B/  LA FLORESTA             -   CALI    -                                  CEL.     321 7834969</t>
  </si>
  <si>
    <t>UNION DRESSER HD 10 "</t>
  </si>
  <si>
    <t>UN MILLON QUINIENTOS SETENTA Y DOS MIL SETECIEN-</t>
  </si>
  <si>
    <t>TOS CINCUENTA PESOS MDA / CTE</t>
  </si>
  <si>
    <t>ENTREGA EN 4 DIAS A PARTIR DE ORDEN DE COMPRA</t>
  </si>
  <si>
    <t>ALMACEN RODAFER RF S.A.S.</t>
  </si>
  <si>
    <t>900 687323</t>
  </si>
  <si>
    <t>CRA 30  No.  23-41</t>
  </si>
  <si>
    <t>TULUA</t>
  </si>
  <si>
    <t>contabilidad@rodafer.com</t>
  </si>
  <si>
    <t>602 2247567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</si>
</sst>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16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7" xfId="0" applyNumberFormat="1" applyFont="1" applyBorder="1"/>
    <xf numFmtId="42" fontId="1" fillId="0" borderId="19" xfId="0" applyNumberFormat="1" applyFont="1" applyBorder="1"/>
    <xf numFmtId="0" fontId="0" fillId="0" borderId="18" xfId="0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13" fillId="0" borderId="14" xfId="2" applyBorder="1"/>
    <xf numFmtId="10" fontId="1" fillId="0" borderId="13" xfId="0" applyNumberFormat="1" applyFont="1" applyBorder="1"/>
    <xf numFmtId="0" fontId="0" fillId="0" borderId="24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5" xfId="0" applyBorder="1"/>
    <xf numFmtId="0" fontId="1" fillId="0" borderId="4" xfId="0" applyFont="1" applyBorder="1" applyAlignment="1">
      <alignment horizontal="center"/>
    </xf>
    <xf numFmtId="0" fontId="8" fillId="0" borderId="26" xfId="0" applyFont="1" applyBorder="1"/>
    <xf numFmtId="0" fontId="8" fillId="0" borderId="4" xfId="0" applyFont="1" applyBorder="1"/>
    <xf numFmtId="0" fontId="8" fillId="0" borderId="25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odaf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zoomScaleNormal="100" workbookViewId="0">
      <selection activeCell="E32" sqref="E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21</v>
      </c>
      <c r="E4" s="18"/>
      <c r="F4" s="19"/>
      <c r="G4" s="6"/>
      <c r="H4" s="7"/>
    </row>
    <row r="5" spans="1:8" ht="15.75" thickBot="1" x14ac:dyDescent="0.3"/>
    <row r="6" spans="1:8" ht="24.75" customHeight="1" thickBot="1" x14ac:dyDescent="0.45">
      <c r="F6" s="11" t="s">
        <v>38</v>
      </c>
      <c r="G6" s="18"/>
      <c r="H6" s="19"/>
    </row>
    <row r="7" spans="1:8" ht="19.5" thickBot="1" x14ac:dyDescent="0.35">
      <c r="A7" s="20" t="s">
        <v>15</v>
      </c>
      <c r="B7" s="13"/>
      <c r="C7" s="30" t="s">
        <v>44</v>
      </c>
      <c r="D7" s="13"/>
      <c r="E7" s="14"/>
      <c r="F7" s="27"/>
      <c r="G7" s="18"/>
      <c r="H7" s="19"/>
    </row>
    <row r="8" spans="1:8" ht="18.75" x14ac:dyDescent="0.3">
      <c r="A8" s="21" t="s">
        <v>9</v>
      </c>
      <c r="C8" s="24" t="s">
        <v>45</v>
      </c>
      <c r="D8" s="25"/>
      <c r="E8" s="25"/>
      <c r="F8" s="12"/>
      <c r="G8" s="13"/>
      <c r="H8" s="14"/>
    </row>
    <row r="9" spans="1:8" ht="18.75" customHeight="1" x14ac:dyDescent="0.3">
      <c r="A9" s="21" t="s">
        <v>10</v>
      </c>
      <c r="C9" s="23" t="s">
        <v>46</v>
      </c>
      <c r="D9" s="23"/>
      <c r="E9" s="24" t="s">
        <v>47</v>
      </c>
      <c r="F9" s="31" t="s">
        <v>0</v>
      </c>
      <c r="H9" s="32">
        <v>45524</v>
      </c>
    </row>
    <row r="10" spans="1:8" ht="18.75" x14ac:dyDescent="0.3">
      <c r="A10" s="21" t="s">
        <v>14</v>
      </c>
      <c r="C10" s="53" t="s">
        <v>48</v>
      </c>
      <c r="D10" s="25"/>
      <c r="E10" s="25"/>
      <c r="F10" s="31" t="s">
        <v>16</v>
      </c>
      <c r="H10" s="33" t="s">
        <v>17</v>
      </c>
    </row>
    <row r="11" spans="1:8" ht="18.75" x14ac:dyDescent="0.3">
      <c r="A11" s="21" t="s">
        <v>11</v>
      </c>
      <c r="C11" s="24"/>
      <c r="D11" s="25"/>
      <c r="E11" s="25"/>
      <c r="F11" s="31" t="s">
        <v>18</v>
      </c>
      <c r="G11" s="34"/>
      <c r="H11" s="32">
        <v>45534</v>
      </c>
    </row>
    <row r="12" spans="1:8" ht="18.75" x14ac:dyDescent="0.3">
      <c r="A12" s="21" t="s">
        <v>12</v>
      </c>
      <c r="C12" s="24" t="s">
        <v>49</v>
      </c>
      <c r="D12" s="25"/>
      <c r="E12" s="25"/>
      <c r="F12" s="31" t="s">
        <v>19</v>
      </c>
      <c r="H12" s="35"/>
    </row>
    <row r="13" spans="1:8" ht="18.75" customHeight="1" thickBot="1" x14ac:dyDescent="0.35">
      <c r="A13" s="22" t="s">
        <v>13</v>
      </c>
      <c r="B13" s="4"/>
      <c r="C13" s="24" t="s">
        <v>35</v>
      </c>
      <c r="D13" s="25"/>
      <c r="E13" s="25"/>
      <c r="F13" s="16"/>
      <c r="G13" s="4"/>
      <c r="H13" s="17"/>
    </row>
    <row r="15" spans="1:8" ht="15.75" thickBot="1" x14ac:dyDescent="0.3"/>
    <row r="16" spans="1:8" ht="15.75" thickBot="1" x14ac:dyDescent="0.3">
      <c r="A16" s="36" t="s">
        <v>33</v>
      </c>
      <c r="B16" s="58" t="s">
        <v>26</v>
      </c>
      <c r="C16" s="18"/>
      <c r="D16" s="59"/>
      <c r="E16" s="49" t="s">
        <v>22</v>
      </c>
      <c r="F16" s="50" t="s">
        <v>24</v>
      </c>
      <c r="G16" s="50" t="s">
        <v>23</v>
      </c>
      <c r="H16" s="51" t="s">
        <v>25</v>
      </c>
    </row>
    <row r="17" spans="1:10" ht="16.5" thickBot="1" x14ac:dyDescent="0.3">
      <c r="A17" s="60">
        <v>1</v>
      </c>
      <c r="B17" s="61" t="s">
        <v>40</v>
      </c>
      <c r="C17" s="62"/>
      <c r="D17" s="63"/>
      <c r="E17" s="57" t="s">
        <v>37</v>
      </c>
      <c r="F17" s="38">
        <v>450000</v>
      </c>
      <c r="G17" s="36">
        <v>3</v>
      </c>
      <c r="H17" s="52">
        <f>F17*G17</f>
        <v>1350000</v>
      </c>
      <c r="I17" s="37"/>
      <c r="J17" s="37"/>
    </row>
    <row r="19" spans="1:10" x14ac:dyDescent="0.25">
      <c r="I19" s="37"/>
      <c r="J19" s="37"/>
    </row>
    <row r="20" spans="1:10" ht="19.5" customHeight="1" x14ac:dyDescent="0.25"/>
    <row r="21" spans="1:10" ht="19.5" customHeight="1" x14ac:dyDescent="0.25"/>
    <row r="22" spans="1:10" ht="19.5" customHeight="1" thickBot="1" x14ac:dyDescent="0.3"/>
    <row r="23" spans="1:10" ht="19.5" customHeight="1" thickBot="1" x14ac:dyDescent="0.35">
      <c r="A23" s="64" t="s">
        <v>27</v>
      </c>
      <c r="B23" s="12" t="s">
        <v>41</v>
      </c>
      <c r="C23" s="13"/>
      <c r="D23" s="14"/>
      <c r="E23" s="13"/>
      <c r="F23" s="40" t="s">
        <v>32</v>
      </c>
      <c r="G23" s="13"/>
      <c r="H23" s="7"/>
    </row>
    <row r="24" spans="1:10" ht="19.5" customHeight="1" thickBot="1" x14ac:dyDescent="0.3">
      <c r="A24" s="65"/>
      <c r="B24" s="16" t="s">
        <v>42</v>
      </c>
      <c r="C24" s="4"/>
      <c r="D24" s="4"/>
      <c r="E24" s="41" t="s">
        <v>28</v>
      </c>
      <c r="F24" s="42"/>
      <c r="G24" s="25"/>
      <c r="H24" s="46">
        <f>SUM(H17:H17)</f>
        <v>1350000</v>
      </c>
    </row>
    <row r="25" spans="1:10" ht="19.5" customHeight="1" x14ac:dyDescent="0.25">
      <c r="A25" s="26" t="s">
        <v>29</v>
      </c>
      <c r="B25" s="13"/>
      <c r="C25" s="13"/>
      <c r="D25" s="14"/>
      <c r="E25" s="3" t="s">
        <v>36</v>
      </c>
      <c r="F25" s="43"/>
      <c r="G25" s="45">
        <v>0.19</v>
      </c>
      <c r="H25" s="47">
        <f>H24*G25</f>
        <v>256500</v>
      </c>
    </row>
    <row r="26" spans="1:10" ht="15.75" x14ac:dyDescent="0.25">
      <c r="A26" s="56" t="s">
        <v>34</v>
      </c>
      <c r="D26" s="15"/>
      <c r="E26" s="42" t="s">
        <v>30</v>
      </c>
      <c r="F26" s="42"/>
      <c r="G26" s="54">
        <v>2.5000000000000001E-2</v>
      </c>
      <c r="H26" s="47">
        <f>H24*G26</f>
        <v>33750</v>
      </c>
    </row>
    <row r="27" spans="1:10" ht="16.5" thickBot="1" x14ac:dyDescent="0.3">
      <c r="A27" s="56" t="s">
        <v>43</v>
      </c>
      <c r="D27" s="15"/>
      <c r="E27" s="55"/>
      <c r="F27" s="42"/>
      <c r="G27" s="25"/>
      <c r="H27" s="48"/>
    </row>
    <row r="28" spans="1:10" ht="19.5" thickBot="1" x14ac:dyDescent="0.35">
      <c r="A28" s="16"/>
      <c r="B28" s="4"/>
      <c r="C28" s="4"/>
      <c r="D28" s="17"/>
      <c r="F28" s="3"/>
      <c r="G28" s="44" t="s">
        <v>31</v>
      </c>
      <c r="H28" s="39">
        <f>H24+H25-H26</f>
        <v>1572750</v>
      </c>
    </row>
    <row r="29" spans="1:10" ht="16.5" customHeight="1" x14ac:dyDescent="0.25"/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7" t="s">
        <v>39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RODAFER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2024-08-14T20:19:50Z</cp:lastPrinted>
  <dcterms:created xsi:type="dcterms:W3CDTF">2018-11-15T17:29:02Z</dcterms:created>
  <dcterms:modified xsi:type="dcterms:W3CDTF">2024-08-20T20:44:31Z</dcterms:modified>
</cp:coreProperties>
</file>