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581CFCC3-35A2-4D03-BEEF-3A2EB237A37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GRO REPUESTOS RIO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23" i="1" s="1"/>
  <c r="H25" i="1" s="1"/>
  <c r="H24" i="1" l="1"/>
  <c r="H28" i="1" s="1"/>
</calcChain>
</file>

<file path=xl/sharedStrings.xml><?xml version="1.0" encoding="utf-8"?>
<sst xmlns="http://schemas.openxmlformats.org/spreadsheetml/2006/main" count="54" uniqueCount="54">
  <si>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</si>
  <si>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</si>
  <si>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</si>
  <si>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</si>
  <si>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</si>
  <si>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</si>
  <si>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</si>
  <si>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</si>
  <si>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</si>
  <si>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</si>
  <si>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</si>
  <si>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</si>
  <si>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</si>
  <si>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</si>
  <si>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</si>
  <si>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</si>
  <si>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</si>
  <si>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</si>
  <si>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</si>
  <si>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</si>
  <si>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</si>
  <si>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</si>
  <si>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</si>
  <si>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</si>
  <si>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</si>
  <si>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</si>
  <si>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</si>
  <si>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</si>
  <si>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</si>
  <si>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</si>
  <si>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</si>
  <si>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</si>
  <si>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</si>
  <si>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</si>
  <si>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</si>
  <si>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</si>
  <si>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</si>
  <si>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8 DIAS</t>
  </si>
  <si>
    <t>ITEM</t>
  </si>
  <si>
    <t>CONTACTOS   310 8306118       319 7174165        321 7834969</t>
  </si>
  <si>
    <t>PALMIRA</t>
  </si>
  <si>
    <t xml:space="preserve">  CALLE  33B  No. 17C - 70  2º  PISO               B/  LA FLORESTA             -   CALI    -                                  CEL.     321 7834969</t>
  </si>
  <si>
    <t>METRO LINEAL</t>
  </si>
  <si>
    <t>TUBERIA  A / C  SCH 80  4 "</t>
  </si>
  <si>
    <t xml:space="preserve">UN MILLON SETECIENTOS SESENTA Y OCHO MIL </t>
  </si>
  <si>
    <t>CUATROCIENTOS SETENTA PESOS MDA / CTE</t>
  </si>
  <si>
    <t>FORMA DE PAGO : CONTADO</t>
  </si>
  <si>
    <t>ENTREGA INMEDIATA</t>
  </si>
  <si>
    <t>AGRO REPUESTOS RIOS S.A.S.</t>
  </si>
  <si>
    <t>900 686972</t>
  </si>
  <si>
    <t>CRA 28  No. 47-70</t>
  </si>
  <si>
    <t>contabilidad@agrorepuestosrios.com</t>
  </si>
  <si>
    <t>602 2864022</t>
  </si>
  <si>
    <t>LUIS A. BENAVIDES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</si>
</sst>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1" fillId="0" borderId="20" xfId="0" applyFont="1" applyBorder="1"/>
    <xf numFmtId="0" fontId="12" fillId="0" borderId="0" xfId="0" applyFont="1" applyAlignment="1">
      <alignment horizontal="center"/>
    </xf>
    <xf numFmtId="0" fontId="13" fillId="0" borderId="18" xfId="2" applyBorder="1"/>
    <xf numFmtId="42" fontId="1" fillId="0" borderId="21" xfId="0" applyNumberFormat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4" xfId="0" applyFont="1" applyBorder="1"/>
    <xf numFmtId="42" fontId="1" fillId="0" borderId="24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0" xfId="1" applyFont="1"/>
    <xf numFmtId="42" fontId="6" fillId="0" borderId="16" xfId="1" applyFont="1" applyBorder="1"/>
    <xf numFmtId="0" fontId="0" fillId="0" borderId="25" xfId="0" applyBorder="1"/>
    <xf numFmtId="0" fontId="5" fillId="0" borderId="4" xfId="0" applyFont="1" applyBorder="1"/>
    <xf numFmtId="0" fontId="0" fillId="0" borderId="26" xfId="0" applyBorder="1"/>
    <xf numFmtId="10" fontId="1" fillId="0" borderId="0" xfId="0" applyNumberFormat="1" applyFont="1"/>
    <xf numFmtId="0" fontId="1" fillId="0" borderId="11" xfId="0" applyFont="1" applyBorder="1"/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agrorepuestosri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2"/>
  <sheetViews>
    <sheetView tabSelected="1" topLeftCell="A10" zoomScaleNormal="100" workbookViewId="0">
      <selection activeCell="F31" sqref="F31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6" t="s">
        <v>33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35</v>
      </c>
      <c r="E4" s="19"/>
      <c r="F4" s="20"/>
      <c r="G4" s="6"/>
      <c r="H4" s="7"/>
    </row>
    <row r="5" spans="1:8" ht="19.5" thickBot="1" x14ac:dyDescent="0.35">
      <c r="A5" s="70" t="s">
        <v>39</v>
      </c>
      <c r="B5" s="6"/>
      <c r="C5" s="6"/>
      <c r="D5" s="6"/>
      <c r="E5" s="6"/>
    </row>
    <row r="6" spans="1:8" ht="24.75" customHeight="1" thickBot="1" x14ac:dyDescent="0.45">
      <c r="F6" s="11" t="s">
        <v>19</v>
      </c>
      <c r="G6" s="19"/>
      <c r="H6" s="20"/>
    </row>
    <row r="7" spans="1:8" ht="19.5" thickBot="1" x14ac:dyDescent="0.35">
      <c r="A7" s="21" t="s">
        <v>15</v>
      </c>
      <c r="B7" s="13"/>
      <c r="C7" s="32" t="s">
        <v>48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49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50</v>
      </c>
      <c r="D9" s="25"/>
      <c r="E9" s="26" t="s">
        <v>40</v>
      </c>
      <c r="F9" s="33" t="s">
        <v>0</v>
      </c>
      <c r="H9" s="34">
        <v>45540</v>
      </c>
    </row>
    <row r="10" spans="1:8" ht="18.75" x14ac:dyDescent="0.3">
      <c r="A10" s="22" t="s">
        <v>14</v>
      </c>
      <c r="C10" s="57" t="s">
        <v>51</v>
      </c>
      <c r="D10" s="27"/>
      <c r="E10" s="27"/>
      <c r="F10" s="33" t="s">
        <v>16</v>
      </c>
      <c r="H10" s="35" t="s">
        <v>37</v>
      </c>
    </row>
    <row r="11" spans="1:8" ht="18.75" x14ac:dyDescent="0.3">
      <c r="A11" s="22" t="s">
        <v>11</v>
      </c>
      <c r="C11" s="26"/>
      <c r="D11" s="27"/>
      <c r="E11" s="27"/>
      <c r="F11" s="33" t="s">
        <v>17</v>
      </c>
      <c r="G11" s="36"/>
      <c r="H11" s="34">
        <v>45548</v>
      </c>
    </row>
    <row r="12" spans="1:8" ht="18.75" x14ac:dyDescent="0.3">
      <c r="A12" s="22" t="s">
        <v>12</v>
      </c>
      <c r="C12" s="26" t="s">
        <v>52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53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38" t="s">
        <v>38</v>
      </c>
      <c r="B15" s="61" t="s">
        <v>25</v>
      </c>
      <c r="C15" s="19"/>
      <c r="D15" s="7"/>
      <c r="E15" s="38" t="s">
        <v>21</v>
      </c>
      <c r="F15" s="38" t="s">
        <v>23</v>
      </c>
      <c r="G15" s="38" t="s">
        <v>22</v>
      </c>
      <c r="H15" s="38" t="s">
        <v>24</v>
      </c>
    </row>
    <row r="16" spans="1:8" ht="15.75" x14ac:dyDescent="0.25">
      <c r="A16" s="62">
        <v>1</v>
      </c>
      <c r="B16" s="41" t="s">
        <v>43</v>
      </c>
      <c r="C16" s="42"/>
      <c r="D16" s="63"/>
      <c r="E16" s="62" t="s">
        <v>42</v>
      </c>
      <c r="F16" s="66">
        <v>253000</v>
      </c>
      <c r="G16" s="62">
        <v>6</v>
      </c>
      <c r="H16" s="64">
        <f>G16*F16</f>
        <v>1518000</v>
      </c>
    </row>
    <row r="17" spans="1:10" ht="15.75" x14ac:dyDescent="0.25">
      <c r="A17" s="40"/>
      <c r="B17" s="42"/>
      <c r="E17" s="46"/>
      <c r="F17" s="39"/>
      <c r="G17" s="62"/>
      <c r="H17" s="55"/>
      <c r="I17" s="39"/>
      <c r="J17" s="39"/>
    </row>
    <row r="18" spans="1:10" ht="19.5" customHeight="1" x14ac:dyDescent="0.25">
      <c r="B18" s="41"/>
      <c r="C18" s="42"/>
      <c r="D18" s="42"/>
      <c r="E18" s="46"/>
      <c r="F18" s="65"/>
      <c r="H18" s="40"/>
      <c r="I18" s="39"/>
      <c r="J18" s="39"/>
    </row>
    <row r="19" spans="1:10" ht="19.5" customHeight="1" x14ac:dyDescent="0.25">
      <c r="B19" s="41"/>
      <c r="C19" s="42"/>
      <c r="D19" s="42"/>
      <c r="E19" s="46"/>
      <c r="F19" s="67"/>
      <c r="H19" s="40"/>
      <c r="I19" s="39"/>
      <c r="J19" s="39"/>
    </row>
    <row r="20" spans="1:10" ht="19.5" customHeight="1" x14ac:dyDescent="0.25">
      <c r="B20" s="43"/>
      <c r="C20" s="44"/>
      <c r="D20" s="44"/>
      <c r="E20" s="24"/>
      <c r="F20" s="68"/>
      <c r="G20" s="44"/>
      <c r="H20" s="45"/>
    </row>
    <row r="21" spans="1:10" ht="19.5" customHeight="1" thickBot="1" x14ac:dyDescent="0.3">
      <c r="H21" s="69"/>
    </row>
    <row r="22" spans="1:10" ht="19.5" customHeight="1" thickBot="1" x14ac:dyDescent="0.35">
      <c r="A22" s="74" t="s">
        <v>26</v>
      </c>
      <c r="B22" s="12" t="s">
        <v>44</v>
      </c>
      <c r="C22" s="13"/>
      <c r="D22" s="14"/>
      <c r="E22" s="13"/>
      <c r="F22" s="47" t="s">
        <v>32</v>
      </c>
      <c r="G22" s="13"/>
      <c r="H22" s="7"/>
    </row>
    <row r="23" spans="1:10" ht="19.5" customHeight="1" thickBot="1" x14ac:dyDescent="0.3">
      <c r="A23" s="75"/>
      <c r="B23" s="17" t="s">
        <v>45</v>
      </c>
      <c r="C23" s="4"/>
      <c r="D23" s="4"/>
      <c r="E23" s="48" t="s">
        <v>27</v>
      </c>
      <c r="F23" s="49"/>
      <c r="G23" s="27"/>
      <c r="H23" s="58">
        <f>SUM(H16:H17)</f>
        <v>1518000</v>
      </c>
    </row>
    <row r="24" spans="1:10" ht="19.5" customHeight="1" x14ac:dyDescent="0.25">
      <c r="A24" s="28" t="s">
        <v>28</v>
      </c>
      <c r="B24" s="13"/>
      <c r="C24" s="13"/>
      <c r="D24" s="14"/>
      <c r="E24" s="3" t="s">
        <v>34</v>
      </c>
      <c r="F24" s="71"/>
      <c r="G24" s="51">
        <v>0.19</v>
      </c>
      <c r="H24" s="59">
        <f>H23*G24</f>
        <v>288420</v>
      </c>
    </row>
    <row r="25" spans="1:10" ht="15.75" x14ac:dyDescent="0.25">
      <c r="A25" s="15" t="s">
        <v>46</v>
      </c>
      <c r="D25" s="16"/>
      <c r="E25" s="49" t="s">
        <v>29</v>
      </c>
      <c r="G25" s="72">
        <v>2.5000000000000001E-2</v>
      </c>
      <c r="H25" s="52">
        <f>H23*G25</f>
        <v>37950</v>
      </c>
    </row>
    <row r="26" spans="1:10" ht="15.75" x14ac:dyDescent="0.25">
      <c r="A26" s="15" t="s">
        <v>47</v>
      </c>
      <c r="D26" s="16"/>
      <c r="F26" s="49"/>
      <c r="G26" s="27"/>
      <c r="H26" s="53"/>
    </row>
    <row r="27" spans="1:10" ht="16.5" thickBot="1" x14ac:dyDescent="0.3">
      <c r="A27" s="15" t="s">
        <v>36</v>
      </c>
      <c r="D27" s="16"/>
      <c r="E27" s="49" t="s">
        <v>30</v>
      </c>
      <c r="F27" s="49"/>
      <c r="G27" s="27"/>
      <c r="H27" s="54"/>
    </row>
    <row r="28" spans="1:10" ht="16.5" customHeight="1" thickBot="1" x14ac:dyDescent="0.35">
      <c r="A28" s="73"/>
      <c r="B28" s="4"/>
      <c r="C28" s="4"/>
      <c r="D28" s="18"/>
      <c r="F28" s="3"/>
      <c r="G28" s="50" t="s">
        <v>31</v>
      </c>
      <c r="H28" s="60">
        <f>H23+H24-H25</f>
        <v>1768470</v>
      </c>
    </row>
    <row r="30" spans="1:10" x14ac:dyDescent="0.25">
      <c r="A30" t="s">
        <v>1</v>
      </c>
    </row>
    <row r="32" spans="1:10" ht="15.75" thickBot="1" x14ac:dyDescent="0.3"/>
    <row r="33" spans="1:8" ht="19.5" thickBot="1" x14ac:dyDescent="0.35">
      <c r="A33" s="29" t="s">
        <v>41</v>
      </c>
      <c r="B33" s="6"/>
      <c r="C33" s="6"/>
      <c r="D33" s="6"/>
      <c r="E33" s="6"/>
      <c r="F33" s="6"/>
      <c r="G33" s="6"/>
      <c r="H33" s="7"/>
    </row>
    <row r="42" spans="1:8" ht="18.75" x14ac:dyDescent="0.3">
      <c r="A42" s="5"/>
    </row>
  </sheetData>
  <mergeCells count="1">
    <mergeCell ref="A22:A23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AGRO REPUESTOS RIOS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2024-09-05T14:47:27Z</dcterms:modified>
</cp:coreProperties>
</file>