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BFC8811-6939-44B4-BC67-E62ACDA6E1A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H19" i="1"/>
  <c r="H18" i="1" l="1"/>
  <c r="H17" i="1"/>
  <c r="H16" i="1"/>
  <c r="H27" i="1" s="1"/>
  <c r="H29" i="1" l="1"/>
  <c r="H28" i="1"/>
  <c r="H32" i="1" s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<sst xmlns="http://schemas.openxmlformats.org/spreadsheetml/2006/main" count="70" uniqueCount="63">
  <si>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</si>
  <si>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</si>
  <si>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</si>
  <si>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</si>
  <si>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</si>
  <si>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</si>
  <si>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</si>
  <si>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</si>
  <si>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</si>
  <si>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</si>
  <si>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</si>
  <si>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</si>
  <si>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</si>
  <si>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</si>
  <si>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</si>
  <si>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</si>
  <si>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</si>
  <si>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</si>
  <si>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</si>
  <si>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</si>
  <si>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</si>
  <si>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</si>
  <si>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</si>
  <si>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</si>
  <si>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</si>
  <si>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</si>
  <si>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</si>
  <si>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</si>
  <si>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</si>
  <si>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</si>
  <si>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</si>
  <si>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</si>
  <si>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</si>
  <si>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</si>
  <si>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</si>
  <si>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</si>
  <si>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</si>
  <si>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</si>
  <si>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</si>
  <si>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</si>
  <si>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</si>
  <si>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</si>
  <si>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</si>
  <si>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</si>
  <si>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</si>
  <si>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</si>
  <si>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</si>
  <si>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</si>
  <si>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ACCESORIO</t>
  </si>
  <si>
    <t xml:space="preserve">           C O T I Z A C I O N</t>
  </si>
  <si>
    <t>No. 3</t>
  </si>
  <si>
    <t>CODO HD RANURADO  2 1/2 "  X  90º</t>
  </si>
  <si>
    <t>CODO HD RANURADO  4 "  X  90º</t>
  </si>
  <si>
    <t>UNION HD RANURADA  4 "</t>
  </si>
  <si>
    <t>UNION HD RANURADA  2 1/2  "</t>
  </si>
  <si>
    <t>SOPORTE TRANSVERSAL ANTISISMICO  2 1/2 "</t>
  </si>
  <si>
    <t>SOPORTE TRANSVERSAL ANTISISMICO  4  "</t>
  </si>
  <si>
    <t>TUBERIA  A / C SCH 10 ROJA RANURADA  2 1/2 "</t>
  </si>
  <si>
    <t>METRO LINEAL</t>
  </si>
  <si>
    <t>TUBERIA  A / C SCH 10 ROJA RANURADA  4 "</t>
  </si>
  <si>
    <t>VALVULA ANGULAR REGULADORA 2 1/2 " UL FM</t>
  </si>
  <si>
    <t>SEIS MILLONES DOSCIENTOS TRES MIL QUINIENTOS NUE</t>
  </si>
  <si>
    <t>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</si>
</sst>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9" zoomScaleNormal="100" workbookViewId="0">
      <selection activeCell="I23" sqref="I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51</v>
      </c>
      <c r="C16" s="56"/>
      <c r="D16" s="57"/>
      <c r="E16" s="53" t="s">
        <v>48</v>
      </c>
      <c r="F16" s="59">
        <v>15000</v>
      </c>
      <c r="G16" s="53">
        <v>6</v>
      </c>
      <c r="H16" s="38">
        <f t="shared" ref="H16" si="0">G16*F16</f>
        <v>90000</v>
      </c>
    </row>
    <row r="17" spans="1:8" ht="16.5" thickBot="1" x14ac:dyDescent="0.3">
      <c r="A17" s="53">
        <v>2</v>
      </c>
      <c r="B17" s="55" t="s">
        <v>52</v>
      </c>
      <c r="C17" s="56"/>
      <c r="D17" s="57"/>
      <c r="E17" s="53" t="s">
        <v>48</v>
      </c>
      <c r="F17" s="59">
        <v>25000</v>
      </c>
      <c r="G17" s="53">
        <v>8</v>
      </c>
      <c r="H17" s="38">
        <f t="shared" ref="H17" si="1">G17*F17</f>
        <v>200000</v>
      </c>
    </row>
    <row r="18" spans="1:8" ht="16.5" thickBot="1" x14ac:dyDescent="0.3">
      <c r="A18" s="73">
        <v>3</v>
      </c>
      <c r="B18" s="74" t="s">
        <v>53</v>
      </c>
      <c r="C18" s="75"/>
      <c r="D18" s="76"/>
      <c r="E18" s="73" t="s">
        <v>48</v>
      </c>
      <c r="F18" s="77">
        <v>20000</v>
      </c>
      <c r="G18" s="73">
        <v>15</v>
      </c>
      <c r="H18" s="38">
        <f t="shared" ref="H18:H20" si="2">G18*F18</f>
        <v>300000</v>
      </c>
    </row>
    <row r="19" spans="1:8" ht="16.5" thickBot="1" x14ac:dyDescent="0.3">
      <c r="A19" s="53">
        <v>4</v>
      </c>
      <c r="B19" s="74" t="s">
        <v>54</v>
      </c>
      <c r="C19" s="56"/>
      <c r="D19" s="57"/>
      <c r="E19" s="53" t="s">
        <v>48</v>
      </c>
      <c r="F19" s="59">
        <v>16500</v>
      </c>
      <c r="G19" s="53">
        <v>13</v>
      </c>
      <c r="H19" s="38">
        <f t="shared" si="2"/>
        <v>214500</v>
      </c>
    </row>
    <row r="20" spans="1:8" ht="16.5" thickBot="1" x14ac:dyDescent="0.3">
      <c r="A20" s="53">
        <v>5</v>
      </c>
      <c r="B20" s="55" t="s">
        <v>55</v>
      </c>
      <c r="C20" s="56"/>
      <c r="D20" s="57"/>
      <c r="E20" s="53" t="s">
        <v>48</v>
      </c>
      <c r="F20" s="59">
        <v>67000</v>
      </c>
      <c r="G20" s="53">
        <v>2</v>
      </c>
      <c r="H20" s="38">
        <f t="shared" si="2"/>
        <v>134000</v>
      </c>
    </row>
    <row r="21" spans="1:8" ht="16.5" thickBot="1" x14ac:dyDescent="0.3">
      <c r="A21" s="73">
        <v>6</v>
      </c>
      <c r="B21" s="55" t="s">
        <v>56</v>
      </c>
      <c r="C21" s="75"/>
      <c r="D21" s="76"/>
      <c r="E21" s="73" t="s">
        <v>48</v>
      </c>
      <c r="F21" s="77">
        <v>80000</v>
      </c>
      <c r="G21" s="73">
        <v>2</v>
      </c>
      <c r="H21" s="38">
        <f t="shared" ref="H21:H24" si="3">G21*F21</f>
        <v>160000</v>
      </c>
    </row>
    <row r="22" spans="1:8" ht="16.5" thickBot="1" x14ac:dyDescent="0.3">
      <c r="A22" s="53">
        <v>7</v>
      </c>
      <c r="B22" s="55" t="s">
        <v>57</v>
      </c>
      <c r="C22" s="56"/>
      <c r="D22" s="57"/>
      <c r="E22" s="53" t="s">
        <v>58</v>
      </c>
      <c r="F22" s="59">
        <v>56500</v>
      </c>
      <c r="G22" s="53">
        <v>11.6</v>
      </c>
      <c r="H22" s="38">
        <f t="shared" si="3"/>
        <v>655400</v>
      </c>
    </row>
    <row r="23" spans="1:8" ht="16.5" thickBot="1" x14ac:dyDescent="0.3">
      <c r="A23" s="53">
        <v>8</v>
      </c>
      <c r="B23" s="55" t="s">
        <v>59</v>
      </c>
      <c r="C23" s="56"/>
      <c r="D23" s="57"/>
      <c r="E23" s="53" t="s">
        <v>58</v>
      </c>
      <c r="F23" s="59">
        <v>79000</v>
      </c>
      <c r="G23" s="53">
        <v>29</v>
      </c>
      <c r="H23" s="38">
        <f t="shared" si="3"/>
        <v>2291000</v>
      </c>
    </row>
    <row r="24" spans="1:8" ht="16.5" thickBot="1" x14ac:dyDescent="0.3">
      <c r="A24" s="73">
        <v>9</v>
      </c>
      <c r="B24" s="74" t="s">
        <v>60</v>
      </c>
      <c r="C24" s="75"/>
      <c r="D24" s="76"/>
      <c r="E24" s="73" t="s">
        <v>48</v>
      </c>
      <c r="F24" s="77">
        <v>640000</v>
      </c>
      <c r="G24" s="73">
        <v>2</v>
      </c>
      <c r="H24" s="38">
        <f t="shared" si="3"/>
        <v>1280000</v>
      </c>
    </row>
    <row r="25" spans="1:8" ht="19.5" customHeight="1" thickBot="1" x14ac:dyDescent="0.3">
      <c r="A25" s="54"/>
      <c r="B25" s="45"/>
      <c r="C25" s="42"/>
      <c r="D25" s="58"/>
      <c r="E25" s="60"/>
      <c r="F25" s="60"/>
      <c r="G25" s="60"/>
    </row>
    <row r="26" spans="1:8" ht="19.5" customHeight="1" thickBot="1" x14ac:dyDescent="0.35">
      <c r="A26" s="52" t="s">
        <v>23</v>
      </c>
      <c r="B26" s="14" t="s">
        <v>61</v>
      </c>
      <c r="D26" s="15"/>
      <c r="E26" s="61"/>
      <c r="F26" s="37" t="s">
        <v>29</v>
      </c>
      <c r="G26" s="6"/>
      <c r="H26" s="7"/>
    </row>
    <row r="27" spans="1:8" ht="19.5" customHeight="1" thickBot="1" x14ac:dyDescent="0.3">
      <c r="A27" s="39"/>
      <c r="B27" s="16" t="s">
        <v>62</v>
      </c>
      <c r="C27" s="4"/>
      <c r="D27" s="4"/>
      <c r="E27" s="64" t="s">
        <v>24</v>
      </c>
      <c r="F27" s="65"/>
      <c r="G27" s="47"/>
      <c r="H27" s="62">
        <f>SUM(H16:H24)</f>
        <v>5324900</v>
      </c>
    </row>
    <row r="28" spans="1:8" ht="19.5" customHeight="1" x14ac:dyDescent="0.25">
      <c r="A28" s="24" t="s">
        <v>25</v>
      </c>
      <c r="B28" s="12"/>
      <c r="C28" s="12"/>
      <c r="D28" s="12"/>
      <c r="E28" s="66" t="s">
        <v>30</v>
      </c>
      <c r="F28" s="23"/>
      <c r="G28" s="67">
        <v>0.19</v>
      </c>
      <c r="H28" s="40">
        <f>H27*G28</f>
        <v>1011731</v>
      </c>
    </row>
    <row r="29" spans="1:8" ht="19.5" customHeight="1" x14ac:dyDescent="0.25">
      <c r="A29" s="14" t="s">
        <v>31</v>
      </c>
      <c r="E29" s="68" t="s">
        <v>26</v>
      </c>
      <c r="G29" s="71">
        <v>2.5000000000000001E-2</v>
      </c>
      <c r="H29" s="63">
        <f>H27*G29</f>
        <v>133122.5</v>
      </c>
    </row>
    <row r="30" spans="1:8" ht="15.75" x14ac:dyDescent="0.25">
      <c r="A30" s="14" t="s">
        <v>38</v>
      </c>
      <c r="E30" s="14"/>
      <c r="F30" s="33"/>
      <c r="G30" s="48"/>
      <c r="H30" s="15"/>
    </row>
    <row r="31" spans="1:8" ht="16.5" thickBot="1" x14ac:dyDescent="0.3">
      <c r="A31" s="14" t="s">
        <v>34</v>
      </c>
      <c r="E31" s="69" t="s">
        <v>27</v>
      </c>
      <c r="F31" s="70"/>
      <c r="G31" s="49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H27+H28-H29</f>
        <v>6203508.5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35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2024-10-22T13:33:01Z</cp:lastPrinted>
  <dcterms:created xsi:type="dcterms:W3CDTF">2018-11-15T17:29:02Z</dcterms:created>
  <dcterms:modified xsi:type="dcterms:W3CDTF">2024-10-24T20:03:13Z</dcterms:modified>
</cp:coreProperties>
</file>