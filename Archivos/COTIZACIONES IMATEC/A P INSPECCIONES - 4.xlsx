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107A0EEE-A2D7-43C5-9A68-E2B7B3D6FB63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P INSPECCION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l="1"/>
  <c r="H20" i="1"/>
  <c r="H24" i="1" s="1"/>
</calcChain>
</file>

<file path=xl/sharedStrings.xml><?xml version="1.0" encoding="utf-8"?>
<sst xmlns="http://schemas.openxmlformats.org/spreadsheetml/2006/main" count="55" uniqueCount="55">
  <si>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</si>
  <si>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</si>
  <si>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</si>
  <si>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</si>
  <si>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</si>
  <si>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</si>
  <si>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</si>
  <si>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</si>
  <si>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</si>
  <si>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</si>
  <si>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</si>
  <si>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</si>
  <si>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</si>
  <si>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</si>
  <si>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</si>
  <si>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</si>
  <si>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</si>
  <si>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</si>
  <si>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</si>
  <si>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</si>
  <si>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</si>
  <si>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</si>
  <si>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</si>
  <si>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</si>
  <si>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</si>
  <si>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</si>
  <si>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</si>
  <si>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</si>
  <si>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</si>
  <si>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</si>
  <si>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</si>
  <si>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</si>
  <si>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</si>
  <si>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</si>
  <si>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</si>
  <si>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</si>
  <si>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</si>
  <si>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CALI</t>
  </si>
  <si>
    <t>EDINSON CABEZAS</t>
  </si>
  <si>
    <t>8 DIAS</t>
  </si>
  <si>
    <t>ITEM</t>
  </si>
  <si>
    <t>ACCESORIO</t>
  </si>
  <si>
    <t>ENTREGA EN 2 DIAS A PARTIR DE TRANFERENCIA</t>
  </si>
  <si>
    <t>CONTACTOS   310 8306118       319 7174165        321 7834969</t>
  </si>
  <si>
    <t>A. P. INSPECCIONES Y REPARACIONES SAS</t>
  </si>
  <si>
    <t>900 685993</t>
  </si>
  <si>
    <t>CALLE 50 No. 28A-06</t>
  </si>
  <si>
    <t>ap-inspecciones@outlook.com</t>
  </si>
  <si>
    <t>602 4452512</t>
  </si>
  <si>
    <t xml:space="preserve">           C O T I Z A C I O N</t>
  </si>
  <si>
    <t>BRIDA AC/INOX  304 CIEGA DE 6 "  X  150  LBS</t>
  </si>
  <si>
    <t>No. 4</t>
  </si>
  <si>
    <t xml:space="preserve">  CALLE  33A  No. 17F - 56  2º                           B/  LA FLORESTA             -   CALI    -                                  CEL.     321 7834969</t>
  </si>
  <si>
    <t>DOS MILLONES VEINTINUEVE MIL CUATROCIENTOS</t>
  </si>
  <si>
    <t>TREINTA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</si>
</sst>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5" xfId="0" applyFont="1" applyBorder="1"/>
    <xf numFmtId="0" fontId="4" fillId="0" borderId="13" xfId="0" applyFont="1" applyBorder="1"/>
    <xf numFmtId="0" fontId="5" fillId="0" borderId="19" xfId="0" applyFont="1" applyBorder="1"/>
    <xf numFmtId="9" fontId="1" fillId="0" borderId="15" xfId="0" applyNumberFormat="1" applyFont="1" applyBorder="1"/>
    <xf numFmtId="42" fontId="1" fillId="0" borderId="20" xfId="0" applyNumberFormat="1" applyFont="1" applyBorder="1"/>
    <xf numFmtId="0" fontId="0" fillId="0" borderId="20" xfId="0" applyBorder="1"/>
    <xf numFmtId="0" fontId="0" fillId="0" borderId="19" xfId="0" applyBorder="1"/>
    <xf numFmtId="0" fontId="11" fillId="0" borderId="17" xfId="0" applyFont="1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18" xfId="0" applyNumberFormat="1" applyFont="1" applyBorder="1" applyAlignment="1">
      <alignment horizontal="left"/>
    </xf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5" fillId="0" borderId="4" xfId="0" applyFont="1" applyBorder="1"/>
    <xf numFmtId="0" fontId="0" fillId="0" borderId="21" xfId="0" applyBorder="1"/>
    <xf numFmtId="10" fontId="1" fillId="0" borderId="0" xfId="0" applyNumberFormat="1" applyFont="1"/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center"/>
    </xf>
    <xf numFmtId="0" fontId="8" fillId="0" borderId="23" xfId="0" applyFont="1" applyBorder="1"/>
    <xf numFmtId="0" fontId="8" fillId="0" borderId="22" xfId="0" applyFont="1" applyBorder="1"/>
    <xf numFmtId="0" fontId="8" fillId="0" borderId="24" xfId="0" applyFont="1" applyBorder="1"/>
    <xf numFmtId="42" fontId="11" fillId="0" borderId="22" xfId="1" applyFont="1" applyBorder="1" applyAlignment="1">
      <alignment horizontal="center"/>
    </xf>
    <xf numFmtId="42" fontId="1" fillId="0" borderId="25" xfId="1" applyFont="1" applyBorder="1" applyAlignment="1">
      <alignment horizontal="left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p-inspecciones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8"/>
  <sheetViews>
    <sheetView tabSelected="1" topLeftCell="A3" zoomScaleNormal="100" workbookViewId="0">
      <selection activeCell="G11" sqref="G11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0" t="s">
        <v>32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35</v>
      </c>
      <c r="E4" s="19"/>
      <c r="F4" s="20"/>
      <c r="G4" s="6"/>
      <c r="H4" s="7"/>
    </row>
    <row r="5" spans="1:8" ht="19.5" thickBot="1" x14ac:dyDescent="0.35">
      <c r="A5" s="57" t="s">
        <v>43</v>
      </c>
      <c r="B5" s="6"/>
      <c r="C5" s="6"/>
      <c r="D5" s="6"/>
      <c r="E5" s="6"/>
    </row>
    <row r="6" spans="1:8" ht="24.75" customHeight="1" thickBot="1" x14ac:dyDescent="0.45">
      <c r="F6" s="11" t="s">
        <v>49</v>
      </c>
      <c r="G6" s="19"/>
      <c r="H6" s="20"/>
    </row>
    <row r="7" spans="1:8" ht="19.5" thickBot="1" x14ac:dyDescent="0.35">
      <c r="A7" s="21" t="s">
        <v>15</v>
      </c>
      <c r="B7" s="13"/>
      <c r="C7" s="31" t="s">
        <v>44</v>
      </c>
      <c r="D7" s="13"/>
      <c r="E7" s="14"/>
      <c r="F7" s="28"/>
      <c r="G7" s="19"/>
      <c r="H7" s="20" t="s">
        <v>51</v>
      </c>
    </row>
    <row r="8" spans="1:8" ht="18.75" x14ac:dyDescent="0.3">
      <c r="A8" s="22" t="s">
        <v>9</v>
      </c>
      <c r="C8" s="25" t="s">
        <v>45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46</v>
      </c>
      <c r="D9" s="24"/>
      <c r="E9" s="25" t="s">
        <v>37</v>
      </c>
      <c r="F9" s="32" t="s">
        <v>0</v>
      </c>
      <c r="H9" s="33">
        <v>45681</v>
      </c>
    </row>
    <row r="10" spans="1:8" ht="18.75" x14ac:dyDescent="0.3">
      <c r="A10" s="22" t="s">
        <v>14</v>
      </c>
      <c r="C10" s="51" t="s">
        <v>47</v>
      </c>
      <c r="D10" s="26"/>
      <c r="E10" s="26"/>
      <c r="F10" s="32" t="s">
        <v>16</v>
      </c>
      <c r="H10" s="34" t="s">
        <v>39</v>
      </c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45691</v>
      </c>
    </row>
    <row r="12" spans="1:8" ht="18.75" x14ac:dyDescent="0.3">
      <c r="A12" s="22" t="s">
        <v>12</v>
      </c>
      <c r="C12" s="25" t="s">
        <v>48</v>
      </c>
      <c r="D12" s="26"/>
      <c r="E12" s="26"/>
      <c r="F12" s="32" t="s">
        <v>18</v>
      </c>
      <c r="H12" s="36"/>
    </row>
    <row r="13" spans="1:8" ht="18.75" customHeight="1" thickBot="1" x14ac:dyDescent="0.35">
      <c r="A13" s="23" t="s">
        <v>13</v>
      </c>
      <c r="B13" s="4"/>
      <c r="C13" s="25" t="s">
        <v>38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37" t="s">
        <v>40</v>
      </c>
      <c r="B15" s="55" t="s">
        <v>24</v>
      </c>
      <c r="C15" s="19"/>
      <c r="D15" s="7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8" ht="15.75" customHeight="1" thickBot="1" x14ac:dyDescent="0.3">
      <c r="A16" s="62">
        <v>1</v>
      </c>
      <c r="B16" s="63" t="s">
        <v>50</v>
      </c>
      <c r="C16" s="64"/>
      <c r="D16" s="65"/>
      <c r="E16" s="62" t="s">
        <v>41</v>
      </c>
      <c r="F16" s="66">
        <v>435500</v>
      </c>
      <c r="G16" s="62">
        <v>4</v>
      </c>
      <c r="H16" s="67">
        <f>G16*F16</f>
        <v>1742000</v>
      </c>
    </row>
    <row r="17" spans="1:10" ht="15.75" customHeight="1" thickBot="1" x14ac:dyDescent="0.3">
      <c r="A17" s="39"/>
      <c r="E17" s="40"/>
      <c r="F17" s="38"/>
      <c r="G17" s="56"/>
      <c r="H17" s="49"/>
      <c r="I17" s="38"/>
      <c r="J17" s="38"/>
    </row>
    <row r="18" spans="1:10" ht="19.5" customHeight="1" thickBot="1" x14ac:dyDescent="0.35">
      <c r="A18" s="60" t="s">
        <v>25</v>
      </c>
      <c r="B18" s="12" t="s">
        <v>53</v>
      </c>
      <c r="C18" s="13"/>
      <c r="D18" s="14"/>
      <c r="E18" s="13"/>
      <c r="F18" s="41" t="s">
        <v>31</v>
      </c>
      <c r="G18" s="13"/>
      <c r="H18" s="7"/>
    </row>
    <row r="19" spans="1:10" ht="19.5" customHeight="1" thickBot="1" x14ac:dyDescent="0.3">
      <c r="A19" s="61"/>
      <c r="B19" s="17" t="s">
        <v>54</v>
      </c>
      <c r="C19" s="4"/>
      <c r="D19" s="4"/>
      <c r="E19" s="42" t="s">
        <v>26</v>
      </c>
      <c r="F19" s="43"/>
      <c r="G19" s="26"/>
      <c r="H19" s="52">
        <f>SUM(H16:H17)</f>
        <v>1742000</v>
      </c>
    </row>
    <row r="20" spans="1:10" ht="19.5" customHeight="1" x14ac:dyDescent="0.25">
      <c r="A20" s="27" t="s">
        <v>27</v>
      </c>
      <c r="B20" s="13"/>
      <c r="C20" s="13"/>
      <c r="D20" s="14"/>
      <c r="E20" s="3" t="s">
        <v>33</v>
      </c>
      <c r="F20" s="58"/>
      <c r="G20" s="45">
        <v>0.19</v>
      </c>
      <c r="H20" s="53">
        <f>H19*G20</f>
        <v>330980</v>
      </c>
    </row>
    <row r="21" spans="1:10" ht="15.75" x14ac:dyDescent="0.25">
      <c r="A21" s="15" t="s">
        <v>34</v>
      </c>
      <c r="D21" s="16"/>
      <c r="E21" s="43" t="s">
        <v>28</v>
      </c>
      <c r="G21" s="59">
        <v>2.5000000000000001E-2</v>
      </c>
      <c r="H21" s="46">
        <f>H19*G21</f>
        <v>43550</v>
      </c>
    </row>
    <row r="22" spans="1:10" ht="15.75" x14ac:dyDescent="0.25">
      <c r="A22" s="15" t="s">
        <v>42</v>
      </c>
      <c r="D22" s="16"/>
      <c r="F22" s="43"/>
      <c r="G22" s="26"/>
      <c r="H22" s="47"/>
    </row>
    <row r="23" spans="1:10" ht="16.5" thickBot="1" x14ac:dyDescent="0.3">
      <c r="A23" s="15" t="s">
        <v>36</v>
      </c>
      <c r="D23" s="16"/>
      <c r="E23" s="43" t="s">
        <v>29</v>
      </c>
      <c r="F23" s="43"/>
      <c r="G23" s="26"/>
      <c r="H23" s="48"/>
    </row>
    <row r="24" spans="1:10" ht="16.5" customHeight="1" thickBot="1" x14ac:dyDescent="0.35">
      <c r="A24" s="17"/>
      <c r="B24" s="4"/>
      <c r="C24" s="4"/>
      <c r="D24" s="18"/>
      <c r="F24" s="3"/>
      <c r="G24" s="44" t="s">
        <v>30</v>
      </c>
      <c r="H24" s="54">
        <f>H19+H20-H21</f>
        <v>2029430</v>
      </c>
    </row>
    <row r="26" spans="1:10" x14ac:dyDescent="0.25">
      <c r="A26" t="s">
        <v>1</v>
      </c>
    </row>
    <row r="28" spans="1:10" ht="15.75" thickBot="1" x14ac:dyDescent="0.3"/>
    <row r="29" spans="1:10" ht="19.5" thickBot="1" x14ac:dyDescent="0.35">
      <c r="A29" s="28" t="s">
        <v>52</v>
      </c>
      <c r="B29" s="6"/>
      <c r="C29" s="6"/>
      <c r="D29" s="6"/>
      <c r="E29" s="6"/>
      <c r="F29" s="6"/>
      <c r="G29" s="6"/>
      <c r="H29" s="7"/>
    </row>
    <row r="38" spans="1:1" ht="18.75" x14ac:dyDescent="0.3">
      <c r="A38" s="5"/>
    </row>
  </sheetData>
  <mergeCells count="1">
    <mergeCell ref="A18:A19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 INSPECCIONES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2025-01-24T16:30:35Z</dcterms:modified>
</cp:coreProperties>
</file>