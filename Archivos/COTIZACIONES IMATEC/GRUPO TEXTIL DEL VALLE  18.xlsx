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8FC870B-2EE0-4973-BCAC-467EE8B5E356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GRUPO TEXTIL DEL VAL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16" i="1"/>
  <c r="H25" i="1" s="1"/>
  <c r="H26" i="1" l="1"/>
  <c r="H30" i="1" s="1"/>
</calcChain>
</file>

<file path=xl/sharedStrings.xml><?xml version="1.0" encoding="utf-8"?>
<sst xmlns="http://schemas.openxmlformats.org/spreadsheetml/2006/main" count="61" uniqueCount="61">
  <si>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</si>
  <si>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</si>
  <si>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</si>
  <si>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</si>
  <si>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</si>
  <si>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</si>
  <si>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</si>
  <si>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</si>
  <si>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</si>
  <si>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</si>
  <si>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</si>
  <si>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</si>
  <si>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</si>
  <si>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</si>
  <si>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</si>
  <si>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</si>
  <si>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</si>
  <si>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</si>
  <si>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</si>
  <si>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</si>
  <si>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</si>
  <si>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</si>
  <si>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</si>
  <si>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</si>
  <si>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</si>
  <si>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</si>
  <si>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</si>
  <si>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</si>
  <si>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</si>
  <si>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</si>
  <si>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</si>
  <si>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</si>
  <si>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</si>
  <si>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</si>
  <si>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</si>
  <si>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</si>
  <si>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GRUPO TEXTIL DEL VALLE S A S</t>
  </si>
  <si>
    <t>900 493749</t>
  </si>
  <si>
    <t>AV 5  0-120  LA DOLORES</t>
  </si>
  <si>
    <t>PALMIRA</t>
  </si>
  <si>
    <t>contabilidad@grupotextil.co</t>
  </si>
  <si>
    <t>602 6669666</t>
  </si>
  <si>
    <t>EDINSON CABEZAS</t>
  </si>
  <si>
    <t>L I Q U I D A C I O N</t>
  </si>
  <si>
    <t xml:space="preserve">  CALLE  33A  No. 17F - 56                             B/  LA FLORESTA             -   CALI    -                                   CEL.     321 7834969</t>
  </si>
  <si>
    <t>30 DIAS</t>
  </si>
  <si>
    <t>No. 18</t>
  </si>
  <si>
    <t xml:space="preserve">           C O T I Z A C I O N</t>
  </si>
  <si>
    <t>INTERVENCION</t>
  </si>
  <si>
    <t xml:space="preserve">MANTENIMIENTO DE CARRETAS </t>
  </si>
  <si>
    <t>MANTENIMIENTO DE SOLDADURA , REPOSICION DE</t>
  </si>
  <si>
    <t>TUBOS AVERIADOS , REPOSICION DE 4 RUEDAS CON</t>
  </si>
  <si>
    <t>CAPACIDAD DE 400 KLS C/U. RETIRO DE PINTURA</t>
  </si>
  <si>
    <t xml:space="preserve">EXISTENTE Y APLICACIÓN DE PINTURA EPOXICA EN </t>
  </si>
  <si>
    <t>LA TOTALIDAD DE LA CARRETA.</t>
  </si>
  <si>
    <t>INCLUYE SUMINISTRO DE MATERIALES ,TRANSPORTE</t>
  </si>
  <si>
    <t>Y MANO DE OBRA.</t>
  </si>
  <si>
    <t>TREINTA Y SEIS MILLONES NOVECIENTOS SIETE MIL DOS-</t>
  </si>
  <si>
    <t>CIENTOS PESOS MDA / CTE</t>
  </si>
  <si>
    <t>FORMA DE PAGO : ANTICIPO 60 %  SALDO A CREDITO A 30 DIAS</t>
  </si>
  <si>
    <t>ENTREGAS PARCIALES EN LOTES DE 12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</si>
</sst>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2" xfId="0" applyFont="1" applyBorder="1"/>
    <xf numFmtId="0" fontId="8" fillId="0" borderId="13" xfId="0" applyFont="1" applyBorder="1"/>
    <xf numFmtId="0" fontId="8" fillId="0" borderId="33" xfId="0" applyFont="1" applyBorder="1"/>
    <xf numFmtId="42" fontId="11" fillId="0" borderId="14" xfId="1" applyFont="1" applyBorder="1" applyAlignment="1">
      <alignment horizontal="center"/>
    </xf>
    <xf numFmtId="0" fontId="8" fillId="0" borderId="18" xfId="0" applyFont="1" applyBorder="1"/>
    <xf numFmtId="0" fontId="1" fillId="0" borderId="29" xfId="0" applyFont="1" applyBorder="1" applyAlignment="1">
      <alignment horizontal="center"/>
    </xf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8" fillId="0" borderId="0" xfId="0" applyFont="1" applyBorder="1"/>
    <xf numFmtId="0" fontId="1" fillId="0" borderId="34" xfId="0" applyFont="1" applyBorder="1" applyAlignment="1">
      <alignment horizontal="left" vertical="top" wrapText="1"/>
    </xf>
    <xf numFmtId="0" fontId="0" fillId="0" borderId="6" xfId="0" applyBorder="1"/>
    <xf numFmtId="0" fontId="0" fillId="0" borderId="33" xfId="0" applyBorder="1"/>
    <xf numFmtId="42" fontId="1" fillId="0" borderId="35" xfId="1" applyFont="1" applyBorder="1" applyAlignment="1">
      <alignment horizontal="left"/>
    </xf>
    <xf numFmtId="0" fontId="0" fillId="0" borderId="36" xfId="0" applyBorder="1"/>
    <xf numFmtId="0" fontId="0" fillId="0" borderId="35" xfId="0" applyBorder="1"/>
    <xf numFmtId="0" fontId="0" fillId="0" borderId="37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grupotexti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5"/>
  <sheetViews>
    <sheetView tabSelected="1" topLeftCell="A13" zoomScaleNormal="100" workbookViewId="0">
      <selection activeCell="H33" sqref="H3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7.285156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36</v>
      </c>
      <c r="D7" s="12"/>
      <c r="E7" s="13"/>
      <c r="F7" s="37"/>
      <c r="G7" s="18"/>
      <c r="H7" s="19" t="s">
        <v>46</v>
      </c>
    </row>
    <row r="8" spans="1:8" ht="18.75" x14ac:dyDescent="0.3">
      <c r="A8" s="21" t="s">
        <v>8</v>
      </c>
      <c r="C8" s="64" t="s">
        <v>37</v>
      </c>
      <c r="D8" s="60"/>
      <c r="E8" s="45"/>
      <c r="H8" s="15"/>
    </row>
    <row r="9" spans="1:8" ht="18.75" customHeight="1" x14ac:dyDescent="0.3">
      <c r="A9" s="21" t="s">
        <v>9</v>
      </c>
      <c r="C9" s="61" t="s">
        <v>38</v>
      </c>
      <c r="D9" s="23"/>
      <c r="E9" s="62" t="s">
        <v>39</v>
      </c>
      <c r="F9" s="30" t="s">
        <v>0</v>
      </c>
      <c r="H9" s="28">
        <v>45789</v>
      </c>
    </row>
    <row r="10" spans="1:8" ht="18.75" x14ac:dyDescent="0.3">
      <c r="A10" s="21" t="s">
        <v>13</v>
      </c>
      <c r="C10" s="63" t="s">
        <v>40</v>
      </c>
      <c r="D10" s="60"/>
      <c r="E10" s="45"/>
      <c r="F10" s="30" t="s">
        <v>15</v>
      </c>
      <c r="H10" s="29" t="s">
        <v>45</v>
      </c>
    </row>
    <row r="11" spans="1:8" ht="18.75" x14ac:dyDescent="0.3">
      <c r="A11" s="21" t="s">
        <v>10</v>
      </c>
      <c r="C11" s="64"/>
      <c r="D11" s="60"/>
      <c r="E11" s="45"/>
      <c r="F11" s="30" t="s">
        <v>16</v>
      </c>
      <c r="G11" s="30"/>
      <c r="H11" s="28">
        <v>45798</v>
      </c>
    </row>
    <row r="12" spans="1:8" ht="18.75" x14ac:dyDescent="0.3">
      <c r="A12" s="21" t="s">
        <v>11</v>
      </c>
      <c r="C12" s="64" t="s">
        <v>41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5" t="s">
        <v>42</v>
      </c>
      <c r="D13" s="66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7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3">
        <v>1</v>
      </c>
      <c r="B16" s="72" t="s">
        <v>49</v>
      </c>
      <c r="C16" s="74"/>
      <c r="D16" s="75"/>
      <c r="E16" s="73" t="s">
        <v>48</v>
      </c>
      <c r="F16" s="76">
        <v>880000</v>
      </c>
      <c r="G16" s="73">
        <v>36</v>
      </c>
      <c r="H16" s="38">
        <f t="shared" ref="H16" si="0">G16*F16</f>
        <v>31680000</v>
      </c>
    </row>
    <row r="17" spans="1:8" ht="16.5" thickBot="1" x14ac:dyDescent="0.3">
      <c r="A17" s="67"/>
      <c r="B17" s="68" t="s">
        <v>50</v>
      </c>
      <c r="C17" s="69"/>
      <c r="D17" s="70"/>
      <c r="E17" s="67"/>
      <c r="F17" s="71"/>
      <c r="G17" s="67"/>
      <c r="H17" s="38"/>
    </row>
    <row r="18" spans="1:8" ht="16.5" thickBot="1" x14ac:dyDescent="0.3">
      <c r="A18" s="67"/>
      <c r="B18" s="68" t="s">
        <v>51</v>
      </c>
      <c r="C18" s="69"/>
      <c r="D18" s="70"/>
      <c r="E18" s="67"/>
      <c r="F18" s="71"/>
      <c r="G18" s="67"/>
      <c r="H18" s="38"/>
    </row>
    <row r="19" spans="1:8" ht="16.5" thickBot="1" x14ac:dyDescent="0.3">
      <c r="A19" s="67"/>
      <c r="B19" s="68" t="s">
        <v>52</v>
      </c>
      <c r="C19" s="69"/>
      <c r="D19" s="70"/>
      <c r="E19" s="67"/>
      <c r="F19" s="71"/>
      <c r="G19" s="67"/>
      <c r="H19" s="38"/>
    </row>
    <row r="20" spans="1:8" ht="16.5" thickBot="1" x14ac:dyDescent="0.3">
      <c r="A20" s="67"/>
      <c r="B20" s="68" t="s">
        <v>53</v>
      </c>
      <c r="C20" s="69"/>
      <c r="D20" s="70"/>
      <c r="E20" s="67"/>
      <c r="F20" s="71"/>
      <c r="G20" s="67"/>
      <c r="H20" s="38"/>
    </row>
    <row r="21" spans="1:8" ht="16.5" thickBot="1" x14ac:dyDescent="0.3">
      <c r="A21" s="67"/>
      <c r="B21" s="68" t="s">
        <v>54</v>
      </c>
      <c r="C21" s="69"/>
      <c r="D21" s="70"/>
      <c r="E21" s="67"/>
      <c r="F21" s="71"/>
      <c r="G21" s="67"/>
      <c r="H21" s="83"/>
    </row>
    <row r="22" spans="1:8" ht="19.5" customHeight="1" thickBot="1" x14ac:dyDescent="0.3">
      <c r="A22" s="23"/>
      <c r="B22" s="68" t="s">
        <v>55</v>
      </c>
      <c r="C22" s="60"/>
      <c r="D22" s="82"/>
      <c r="E22" s="86"/>
      <c r="F22" s="86"/>
      <c r="G22" s="86"/>
      <c r="H22" s="85"/>
    </row>
    <row r="23" spans="1:8" ht="19.5" customHeight="1" thickBot="1" x14ac:dyDescent="0.3">
      <c r="A23" s="84"/>
      <c r="B23" s="79" t="s">
        <v>56</v>
      </c>
      <c r="C23" s="78"/>
      <c r="D23" s="78"/>
      <c r="E23" s="86"/>
      <c r="F23" s="86"/>
      <c r="G23" s="86"/>
      <c r="H23" s="47"/>
    </row>
    <row r="24" spans="1:8" ht="19.5" customHeight="1" thickBot="1" x14ac:dyDescent="0.35">
      <c r="A24" s="80" t="s">
        <v>23</v>
      </c>
      <c r="B24" s="81" t="s">
        <v>57</v>
      </c>
      <c r="C24" s="12"/>
      <c r="D24" s="13"/>
      <c r="E24" s="48"/>
      <c r="F24" s="37" t="s">
        <v>43</v>
      </c>
      <c r="G24" s="6"/>
      <c r="H24" s="7"/>
    </row>
    <row r="25" spans="1:8" ht="19.5" customHeight="1" thickBot="1" x14ac:dyDescent="0.3">
      <c r="A25" s="39"/>
      <c r="B25" s="16" t="s">
        <v>58</v>
      </c>
      <c r="C25" s="4"/>
      <c r="D25" s="17"/>
      <c r="E25" s="51" t="s">
        <v>24</v>
      </c>
      <c r="F25" s="52"/>
      <c r="G25" s="44"/>
      <c r="H25" s="49">
        <f>SUM(H16:H21)</f>
        <v>31680000</v>
      </c>
    </row>
    <row r="26" spans="1:8" ht="19.5" customHeight="1" x14ac:dyDescent="0.25">
      <c r="A26" s="24" t="s">
        <v>25</v>
      </c>
      <c r="B26" s="12"/>
      <c r="C26" s="12"/>
      <c r="D26" s="12"/>
      <c r="E26" s="53" t="s">
        <v>29</v>
      </c>
      <c r="F26" s="23"/>
      <c r="G26" s="54">
        <v>0.19</v>
      </c>
      <c r="H26" s="40">
        <f>H25*G26</f>
        <v>6019200</v>
      </c>
    </row>
    <row r="27" spans="1:8" ht="19.5" customHeight="1" x14ac:dyDescent="0.25">
      <c r="A27" s="14" t="s">
        <v>59</v>
      </c>
      <c r="E27" s="55" t="s">
        <v>26</v>
      </c>
      <c r="G27" s="58">
        <v>2.5000000000000001E-2</v>
      </c>
      <c r="H27" s="50">
        <f>H25*G27</f>
        <v>792000</v>
      </c>
    </row>
    <row r="28" spans="1:8" ht="15.75" x14ac:dyDescent="0.25">
      <c r="A28" s="14" t="s">
        <v>60</v>
      </c>
      <c r="E28" s="14"/>
      <c r="F28" s="33"/>
      <c r="G28" s="45"/>
      <c r="H28" s="15"/>
    </row>
    <row r="29" spans="1:8" ht="16.5" thickBot="1" x14ac:dyDescent="0.3">
      <c r="A29" s="14" t="s">
        <v>31</v>
      </c>
      <c r="E29" s="56" t="s">
        <v>27</v>
      </c>
      <c r="F29" s="57"/>
      <c r="G29" s="46"/>
      <c r="H29" s="17"/>
    </row>
    <row r="30" spans="1:8" ht="19.5" thickBot="1" x14ac:dyDescent="0.35">
      <c r="A30" s="16"/>
      <c r="B30" s="4"/>
      <c r="C30" s="4"/>
      <c r="D30" s="17"/>
      <c r="F30" s="3"/>
      <c r="G30" s="34" t="s">
        <v>28</v>
      </c>
      <c r="H30" s="36">
        <f>H25+H26-H27</f>
        <v>36907200</v>
      </c>
    </row>
    <row r="31" spans="1:8" ht="16.5" customHeight="1" x14ac:dyDescent="0.25"/>
    <row r="36" spans="1:8" ht="15.75" thickBot="1" x14ac:dyDescent="0.3"/>
    <row r="37" spans="1:8" ht="19.5" thickBot="1" x14ac:dyDescent="0.35">
      <c r="A37" s="25" t="s">
        <v>44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hyperlinks>
    <hyperlink ref="C10" r:id="rId1" xr:uid="{1A943300-4448-4E67-A405-D6DA0383053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TEXTIL DEL VALLE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2025-04-28T21:34:12Z</cp:lastPrinted>
  <dcterms:created xsi:type="dcterms:W3CDTF">2018-11-15T17:29:02Z</dcterms:created>
  <dcterms:modified xsi:type="dcterms:W3CDTF">2025-05-12T16:53:22Z</dcterms:modified>
</cp:coreProperties>
</file>