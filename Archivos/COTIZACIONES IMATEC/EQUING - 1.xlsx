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0A44190-5D54-41F4-8D6F-DA834DBFBF4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QUING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3" i="1" s="1"/>
  <c r="H24" i="1" l="1"/>
  <c r="H28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<sst xmlns="http://schemas.openxmlformats.org/spreadsheetml/2006/main" count="54" uniqueCount="54">
  <si>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</si>
  <si>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</si>
  <si>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</si>
  <si>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</si>
  <si>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</si>
  <si>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</si>
  <si>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</si>
  <si>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</si>
  <si>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</si>
  <si>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</si>
  <si>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</si>
  <si>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</si>
  <si>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</si>
  <si>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</si>
  <si>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</si>
  <si>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</si>
  <si>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</si>
  <si>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</si>
  <si>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</si>
  <si>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</si>
  <si>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</si>
  <si>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</si>
  <si>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</si>
  <si>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</si>
  <si>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</si>
  <si>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</si>
  <si>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</si>
  <si>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</si>
  <si>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</si>
  <si>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</si>
  <si>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</si>
  <si>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</si>
  <si>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</si>
  <si>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</si>
  <si>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</si>
  <si>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 xml:space="preserve">                                   JAVIER LOZANO TAMAYO C.C. 16´654.252</t>
  </si>
  <si>
    <t>CONTACTOS   310 8306118         321 7834969</t>
  </si>
  <si>
    <t>ENTREGA EN LA CIUDAD DE CALI</t>
  </si>
  <si>
    <t>EQUING S.A.S.</t>
  </si>
  <si>
    <t>900 502078</t>
  </si>
  <si>
    <t>CRA 90 No. 4-10</t>
  </si>
  <si>
    <t>CALI</t>
  </si>
  <si>
    <t>proyectos@equing.com.co</t>
  </si>
  <si>
    <t>EDINSON CABEZAS</t>
  </si>
  <si>
    <t>8 DIAS</t>
  </si>
  <si>
    <t>ITEM</t>
  </si>
  <si>
    <t>MANGUERA AC/INOC 304  1 1/2 "  X  17 CMTS SOLDAR X</t>
  </si>
  <si>
    <t>SOLDAR</t>
  </si>
  <si>
    <t>FABRICACION</t>
  </si>
  <si>
    <t>CUATROCIENTOS CINCUENTA Y DOS MIL DOSCIENTOS</t>
  </si>
  <si>
    <t>PESOS MDA / CTE</t>
  </si>
  <si>
    <t>ENTREGA EN 1 DIA</t>
  </si>
  <si>
    <t xml:space="preserve">               R E M I S I O N</t>
  </si>
  <si>
    <t xml:space="preserve">  CALLE  33B  No. 17C - 70  2º  PISO              B/  LA FLORESTA             -   CALI    -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</si>
</sst>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4" fillId="0" borderId="13" xfId="0" applyFont="1" applyBorder="1"/>
    <xf numFmtId="0" fontId="5" fillId="0" borderId="20" xfId="0" applyFont="1" applyBorder="1"/>
    <xf numFmtId="42" fontId="1" fillId="0" borderId="21" xfId="0" applyNumberFormat="1" applyFont="1" applyBorder="1"/>
    <xf numFmtId="0" fontId="0" fillId="0" borderId="21" xfId="0" applyBorder="1"/>
    <xf numFmtId="0" fontId="0" fillId="0" borderId="20" xfId="0" applyBorder="1"/>
    <xf numFmtId="0" fontId="11" fillId="0" borderId="19" xfId="0" applyFont="1" applyBorder="1"/>
    <xf numFmtId="0" fontId="12" fillId="0" borderId="0" xfId="0" applyFont="1" applyAlignment="1">
      <alignment horizontal="center"/>
    </xf>
    <xf numFmtId="42" fontId="1" fillId="0" borderId="21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1" fillId="0" borderId="0" xfId="1" applyFont="1" applyBorder="1" applyAlignment="1">
      <alignment horizontal="center"/>
    </xf>
    <xf numFmtId="42" fontId="6" fillId="0" borderId="16" xfId="1" applyFont="1" applyBorder="1"/>
    <xf numFmtId="0" fontId="0" fillId="0" borderId="23" xfId="0" applyBorder="1"/>
    <xf numFmtId="0" fontId="5" fillId="0" borderId="4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0" borderId="3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3" fillId="0" borderId="32" xfId="2" applyBorder="1"/>
    <xf numFmtId="0" fontId="0" fillId="0" borderId="33" xfId="0" applyBorder="1"/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2" fontId="1" fillId="0" borderId="21" xfId="0" applyNumberFormat="1" applyFont="1" applyBorder="1" applyAlignment="1">
      <alignment horizontal="left"/>
    </xf>
    <xf numFmtId="0" fontId="0" fillId="0" borderId="3" xfId="0" applyBorder="1"/>
    <xf numFmtId="0" fontId="4" fillId="0" borderId="27" xfId="0" applyFont="1" applyBorder="1"/>
    <xf numFmtId="0" fontId="4" fillId="0" borderId="28" xfId="0" applyFont="1" applyBorder="1"/>
    <xf numFmtId="0" fontId="4" fillId="0" borderId="9" xfId="0" applyFont="1" applyBorder="1"/>
    <xf numFmtId="9" fontId="1" fillId="0" borderId="31" xfId="0" applyNumberFormat="1" applyFont="1" applyBorder="1"/>
    <xf numFmtId="0" fontId="4" fillId="0" borderId="32" xfId="0" applyFont="1" applyBorder="1"/>
    <xf numFmtId="0" fontId="4" fillId="0" borderId="34" xfId="0" applyFont="1" applyBorder="1"/>
    <xf numFmtId="0" fontId="4" fillId="0" borderId="35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0" fillId="0" borderId="0" xfId="0" applyBorder="1"/>
    <xf numFmtId="0" fontId="1" fillId="0" borderId="3" xfId="0" applyFont="1" applyBorder="1"/>
    <xf numFmtId="0" fontId="1" fillId="0" borderId="25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"/>
  <sheetViews>
    <sheetView tabSelected="1" topLeftCell="A7" zoomScale="89" zoomScaleNormal="89" workbookViewId="0">
      <selection activeCell="L20" sqref="L2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8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6" t="s">
        <v>36</v>
      </c>
      <c r="B5" s="6"/>
      <c r="C5" s="6"/>
      <c r="D5" s="6"/>
      <c r="E5" s="6"/>
    </row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15</v>
      </c>
      <c r="B7" s="13"/>
      <c r="C7" s="60" t="s">
        <v>38</v>
      </c>
      <c r="D7" s="6"/>
      <c r="E7" s="7"/>
      <c r="F7" s="28"/>
      <c r="G7" s="19"/>
      <c r="H7" s="20"/>
    </row>
    <row r="8" spans="1:8" ht="18.75" x14ac:dyDescent="0.3">
      <c r="A8" s="22" t="s">
        <v>9</v>
      </c>
      <c r="C8" s="61" t="s">
        <v>39</v>
      </c>
      <c r="D8" s="62"/>
      <c r="E8" s="63"/>
      <c r="F8" s="12"/>
      <c r="G8" s="13"/>
      <c r="H8" s="14"/>
    </row>
    <row r="9" spans="1:8" ht="18.75" customHeight="1" x14ac:dyDescent="0.3">
      <c r="A9" s="22" t="s">
        <v>10</v>
      </c>
      <c r="C9" s="64" t="s">
        <v>40</v>
      </c>
      <c r="D9" s="25"/>
      <c r="E9" s="65" t="s">
        <v>41</v>
      </c>
      <c r="F9" s="31" t="s">
        <v>0</v>
      </c>
      <c r="H9" s="32">
        <v>45540</v>
      </c>
    </row>
    <row r="10" spans="1:8" ht="18.75" x14ac:dyDescent="0.3">
      <c r="A10" s="22" t="s">
        <v>14</v>
      </c>
      <c r="C10" s="66" t="s">
        <v>42</v>
      </c>
      <c r="D10" s="26"/>
      <c r="E10" s="67"/>
      <c r="F10" s="31" t="s">
        <v>16</v>
      </c>
      <c r="H10" s="33" t="s">
        <v>44</v>
      </c>
    </row>
    <row r="11" spans="1:8" ht="18.75" x14ac:dyDescent="0.3">
      <c r="A11" s="22" t="s">
        <v>11</v>
      </c>
      <c r="C11" s="68"/>
      <c r="D11" s="26"/>
      <c r="E11" s="67"/>
      <c r="F11" s="31" t="s">
        <v>17</v>
      </c>
      <c r="G11" s="34"/>
      <c r="H11" s="32">
        <v>45548</v>
      </c>
    </row>
    <row r="12" spans="1:8" ht="18.75" x14ac:dyDescent="0.3">
      <c r="A12" s="22" t="s">
        <v>12</v>
      </c>
      <c r="C12" s="68"/>
      <c r="D12" s="26"/>
      <c r="E12" s="67"/>
      <c r="F12" s="31" t="s">
        <v>18</v>
      </c>
      <c r="H12" s="35"/>
    </row>
    <row r="13" spans="1:8" ht="18.75" customHeight="1" thickBot="1" x14ac:dyDescent="0.35">
      <c r="A13" s="23" t="s">
        <v>13</v>
      </c>
      <c r="B13" s="4"/>
      <c r="C13" s="69" t="s">
        <v>43</v>
      </c>
      <c r="D13" s="70"/>
      <c r="E13" s="71"/>
      <c r="F13" s="17"/>
      <c r="G13" s="4"/>
      <c r="H13" s="18"/>
    </row>
    <row r="16" spans="1:8" ht="15.75" thickBot="1" x14ac:dyDescent="0.3"/>
    <row r="17" spans="1:10" ht="15.75" thickBot="1" x14ac:dyDescent="0.3">
      <c r="A17" s="36" t="s">
        <v>45</v>
      </c>
      <c r="B17" s="84" t="s">
        <v>24</v>
      </c>
      <c r="C17" s="19"/>
      <c r="D17" s="7"/>
      <c r="E17" s="36" t="s">
        <v>20</v>
      </c>
      <c r="F17" s="36" t="s">
        <v>22</v>
      </c>
      <c r="G17" s="36" t="s">
        <v>21</v>
      </c>
      <c r="H17" s="36" t="s">
        <v>23</v>
      </c>
    </row>
    <row r="18" spans="1:10" x14ac:dyDescent="0.25">
      <c r="A18" s="85">
        <v>1</v>
      </c>
      <c r="B18" s="41" t="s">
        <v>46</v>
      </c>
      <c r="C18" s="83"/>
      <c r="D18" s="38"/>
      <c r="E18" s="51" t="s">
        <v>48</v>
      </c>
      <c r="F18" s="53">
        <v>190000</v>
      </c>
      <c r="G18" s="51">
        <v>2</v>
      </c>
      <c r="H18" s="52">
        <f>G18*F18</f>
        <v>380000</v>
      </c>
    </row>
    <row r="19" spans="1:10" x14ac:dyDescent="0.25">
      <c r="A19" s="58"/>
      <c r="B19" s="41" t="s">
        <v>47</v>
      </c>
      <c r="D19" s="38"/>
      <c r="F19" s="37"/>
      <c r="G19" s="51"/>
      <c r="H19" s="47"/>
      <c r="I19" s="37"/>
      <c r="J19" s="37"/>
    </row>
    <row r="20" spans="1:10" ht="19.5" customHeight="1" x14ac:dyDescent="0.25">
      <c r="A20" s="59"/>
      <c r="B20" s="24"/>
      <c r="C20" s="39"/>
      <c r="D20" s="40"/>
      <c r="E20" s="39"/>
      <c r="F20" s="54"/>
      <c r="G20" s="39"/>
      <c r="H20" s="40"/>
    </row>
    <row r="21" spans="1:10" ht="19.5" customHeight="1" thickBot="1" x14ac:dyDescent="0.3">
      <c r="A21" s="59"/>
      <c r="B21" s="24"/>
      <c r="C21" s="39"/>
      <c r="D21" s="40"/>
      <c r="H21" s="55"/>
    </row>
    <row r="22" spans="1:10" ht="19.5" customHeight="1" thickBot="1" x14ac:dyDescent="0.35">
      <c r="A22" s="81" t="s">
        <v>25</v>
      </c>
      <c r="B22" s="15" t="s">
        <v>49</v>
      </c>
      <c r="D22" s="16"/>
      <c r="E22" s="73"/>
      <c r="F22" s="56" t="s">
        <v>31</v>
      </c>
      <c r="G22" s="6"/>
      <c r="H22" s="7"/>
    </row>
    <row r="23" spans="1:10" ht="19.5" customHeight="1" thickBot="1" x14ac:dyDescent="0.3">
      <c r="A23" s="82"/>
      <c r="B23" s="17" t="s">
        <v>50</v>
      </c>
      <c r="C23" s="4"/>
      <c r="D23" s="4"/>
      <c r="E23" s="74" t="s">
        <v>26</v>
      </c>
      <c r="F23" s="75"/>
      <c r="G23" s="63"/>
      <c r="H23" s="72">
        <f>SUM(H18:H19)</f>
        <v>380000</v>
      </c>
    </row>
    <row r="24" spans="1:10" ht="19.5" customHeight="1" x14ac:dyDescent="0.25">
      <c r="A24" s="27" t="s">
        <v>27</v>
      </c>
      <c r="B24" s="13"/>
      <c r="C24" s="13"/>
      <c r="D24" s="13"/>
      <c r="E24" s="76" t="s">
        <v>33</v>
      </c>
      <c r="F24" s="57"/>
      <c r="G24" s="77">
        <v>0.19</v>
      </c>
      <c r="H24" s="49">
        <f>H23*G24</f>
        <v>72200</v>
      </c>
    </row>
    <row r="25" spans="1:10" ht="15.75" x14ac:dyDescent="0.25">
      <c r="A25" s="15" t="s">
        <v>34</v>
      </c>
      <c r="E25" s="78" t="s">
        <v>28</v>
      </c>
      <c r="G25" s="16">
        <v>0</v>
      </c>
      <c r="H25" s="44"/>
    </row>
    <row r="26" spans="1:10" ht="15.75" x14ac:dyDescent="0.25">
      <c r="A26" s="15" t="s">
        <v>51</v>
      </c>
      <c r="E26" s="15"/>
      <c r="F26" s="42"/>
      <c r="G26" s="67"/>
      <c r="H26" s="45"/>
    </row>
    <row r="27" spans="1:10" ht="16.5" thickBot="1" x14ac:dyDescent="0.3">
      <c r="A27" s="15" t="s">
        <v>37</v>
      </c>
      <c r="E27" s="79" t="s">
        <v>29</v>
      </c>
      <c r="F27" s="80"/>
      <c r="G27" s="71"/>
      <c r="H27" s="46"/>
    </row>
    <row r="28" spans="1:10" ht="16.5" customHeight="1" thickBot="1" x14ac:dyDescent="0.35">
      <c r="A28" s="17"/>
      <c r="B28" s="4"/>
      <c r="C28" s="4"/>
      <c r="D28" s="18"/>
      <c r="F28" s="3"/>
      <c r="G28" s="43" t="s">
        <v>30</v>
      </c>
      <c r="H28" s="50">
        <f>H23+H24</f>
        <v>452200</v>
      </c>
    </row>
    <row r="30" spans="1:10" x14ac:dyDescent="0.25">
      <c r="A30" t="s">
        <v>1</v>
      </c>
    </row>
    <row r="32" spans="1:10" ht="15.75" thickBot="1" x14ac:dyDescent="0.3"/>
    <row r="33" spans="1:8" ht="19.5" thickBot="1" x14ac:dyDescent="0.35">
      <c r="A33" s="28" t="s">
        <v>53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2024-09-06T22:11:34Z</dcterms:modified>
</cp:coreProperties>
</file>