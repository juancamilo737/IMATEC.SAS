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F:\COTIZACIONES  I M A T E C  COMERCIALIZADORA\"/>
    </mc:Choice>
  </mc:AlternateContent>
  <xr:revisionPtr revIDLastSave="0" documentId="13_ncr:1_{DDBC377A-2216-4014-A0F9-CDD4FF78A1E8}" xr6:coauthVersionLast="47" xr6:coauthVersionMax="47" xr10:uidLastSave="{00000000-0000-0000-0000-000000000000}"/>
  <bookViews>
    <workbookView xWindow="-120" yWindow="-120" windowWidth="15600" windowHeight="11310" xr2:uid="{00000000-000D-0000-FFFF-FFFF00000000}"/>
  </bookViews>
  <sheets>
    <sheet name="FERROVARIEDADE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7" i="1" l="1"/>
  <c r="H16" i="1"/>
  <c r="H21" i="1" l="1"/>
  <c r="H22" i="1"/>
  <c r="H26" i="1" s="1"/>
</calcChain>
</file>

<file path=xl/sharedStrings.xml><?xml version="1.0" encoding="utf-8"?>
<sst xmlns="http://schemas.openxmlformats.org/spreadsheetml/2006/main" count="56" uniqueCount="55">
  <si>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</si>
  <si>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</si>
  <si>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</si>
  <si>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</si>
  <si>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</si>
  <si>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</si>
  <si>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</si>
  <si>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</si>
  <si>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</si>
  <si>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</si>
  <si>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</si>
  <si>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</si>
  <si>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</si>
  <si>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</si>
  <si>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</si>
  <si>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</si>
  <si>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</si>
  <si>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</si>
  <si>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 xml:space="preserve">             INGENIERIA , MONTAJES  Y  ASISTENCIA  TECNICA  S A S</t>
  </si>
  <si>
    <t>CODIGO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</si>
  <si>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</si>
  <si>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</si>
  <si>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</si>
  <si>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</si>
  <si>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</si>
  <si>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</si>
  <si>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</si>
  <si>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</si>
  <si>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</si>
  <si>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</si>
  <si>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</si>
  <si>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</si>
  <si>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LINEA COMERCIALIZACION</t>
  </si>
  <si>
    <t>IVA</t>
  </si>
  <si>
    <t>10 DIAS</t>
  </si>
  <si>
    <t xml:space="preserve">                                   JAVIER LOZANO TAMAYO C.C. 16´654.252</t>
  </si>
  <si>
    <t>ENTREGA EN LA CIUDAD DE CALI</t>
  </si>
  <si>
    <t xml:space="preserve">  CALLE  33B  No. 17C - 70  2o. PISO               B/  LA FLORESTA             -   CALI    -                                   CEL.     321 7834969</t>
  </si>
  <si>
    <t>CONTACTOS   310 8306118    319 7174165    321 7834969</t>
  </si>
  <si>
    <t>LUIS ANTONIO BENAVIDEZ</t>
  </si>
  <si>
    <t>ACCESORIO</t>
  </si>
  <si>
    <t>FERROVARIEDADES INDUSTRIALES SAS</t>
  </si>
  <si>
    <t>900 419243</t>
  </si>
  <si>
    <t>CL 48 No. 81-49</t>
  </si>
  <si>
    <t>CALI</t>
  </si>
  <si>
    <t>315 35552730</t>
  </si>
  <si>
    <t>ferrovariedades@hotmail.com</t>
  </si>
  <si>
    <t>NIPLE AC/INOX  316 L  1 "  X  4 "</t>
  </si>
  <si>
    <t xml:space="preserve">ACOPLE CLAMP  AC/INOX 304  1 " CON ROSCA </t>
  </si>
  <si>
    <t>HEMBRA DE 1 " NPT</t>
  </si>
  <si>
    <t xml:space="preserve">QUINIENTOS CUARENTA Y DOS MIL SEISCIENTOS </t>
  </si>
  <si>
    <t>CUARENTA PESOS MDA / CTE</t>
  </si>
  <si>
    <t>FORMA DE PAGO : CONTADO</t>
  </si>
  <si>
    <t xml:space="preserve">ENTREGA EN INMEDIATA </t>
  </si>
  <si>
    <t xml:space="preserve">              R E M I S I O 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</si>
</sst>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7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6" xfId="0" applyBorder="1"/>
    <xf numFmtId="0" fontId="0" fillId="0" borderId="15" xfId="0" applyBorder="1"/>
    <xf numFmtId="0" fontId="0" fillId="0" borderId="13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0" fontId="4" fillId="0" borderId="6" xfId="0" applyFont="1" applyBorder="1"/>
    <xf numFmtId="0" fontId="10" fillId="0" borderId="9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11" fillId="0" borderId="0" xfId="0" applyFont="1"/>
    <xf numFmtId="0" fontId="8" fillId="0" borderId="14" xfId="0" applyFont="1" applyBorder="1"/>
    <xf numFmtId="0" fontId="8" fillId="0" borderId="0" xfId="0" applyFont="1"/>
    <xf numFmtId="0" fontId="5" fillId="0" borderId="7" xfId="0" applyFont="1" applyBorder="1"/>
    <xf numFmtId="0" fontId="4" fillId="0" borderId="15" xfId="0" applyFont="1" applyBorder="1"/>
    <xf numFmtId="0" fontId="4" fillId="0" borderId="13" xfId="0" applyFont="1" applyBorder="1"/>
    <xf numFmtId="0" fontId="5" fillId="0" borderId="19" xfId="0" applyFont="1" applyBorder="1"/>
    <xf numFmtId="9" fontId="1" fillId="0" borderId="15" xfId="0" applyNumberFormat="1" applyFont="1" applyBorder="1"/>
    <xf numFmtId="42" fontId="1" fillId="0" borderId="20" xfId="0" applyNumberFormat="1" applyFont="1" applyBorder="1"/>
    <xf numFmtId="0" fontId="0" fillId="0" borderId="20" xfId="0" applyBorder="1"/>
    <xf numFmtId="0" fontId="0" fillId="0" borderId="19" xfId="0" applyBorder="1"/>
    <xf numFmtId="0" fontId="12" fillId="0" borderId="0" xfId="0" applyFont="1" applyAlignment="1">
      <alignment horizontal="center"/>
    </xf>
    <xf numFmtId="0" fontId="13" fillId="0" borderId="15" xfId="2" applyBorder="1"/>
    <xf numFmtId="42" fontId="1" fillId="0" borderId="18" xfId="0" applyNumberFormat="1" applyFont="1" applyBorder="1" applyAlignment="1">
      <alignment horizontal="left"/>
    </xf>
    <xf numFmtId="42" fontId="1" fillId="0" borderId="20" xfId="1" applyFont="1" applyBorder="1" applyAlignment="1">
      <alignment horizontal="left"/>
    </xf>
    <xf numFmtId="42" fontId="1" fillId="0" borderId="1" xfId="0" applyNumberFormat="1" applyFont="1" applyBorder="1" applyAlignment="1">
      <alignment horizontal="left"/>
    </xf>
    <xf numFmtId="0" fontId="1" fillId="0" borderId="3" xfId="0" applyFont="1" applyBorder="1"/>
    <xf numFmtId="0" fontId="1" fillId="0" borderId="0" xfId="0" applyFont="1" applyAlignment="1">
      <alignment horizontal="center"/>
    </xf>
    <xf numFmtId="0" fontId="8" fillId="0" borderId="21" xfId="0" applyFont="1" applyBorder="1"/>
    <xf numFmtId="42" fontId="11" fillId="0" borderId="0" xfId="1" applyFont="1"/>
    <xf numFmtId="42" fontId="11" fillId="0" borderId="0" xfId="1" applyFont="1" applyBorder="1" applyAlignment="1">
      <alignment horizontal="center"/>
    </xf>
    <xf numFmtId="0" fontId="5" fillId="0" borderId="4" xfId="0" applyFont="1" applyBorder="1"/>
    <xf numFmtId="42" fontId="1" fillId="0" borderId="22" xfId="1" applyFont="1" applyBorder="1" applyAlignment="1">
      <alignment horizontal="left"/>
    </xf>
    <xf numFmtId="0" fontId="8" fillId="0" borderId="17" xfId="0" applyFont="1" applyBorder="1"/>
    <xf numFmtId="0" fontId="1" fillId="0" borderId="14" xfId="0" applyFont="1" applyBorder="1" applyAlignment="1">
      <alignment horizontal="center"/>
    </xf>
    <xf numFmtId="0" fontId="1" fillId="0" borderId="18" xfId="0" applyFont="1" applyBorder="1" applyAlignment="1">
      <alignment horizontal="left" vertical="top" wrapText="1"/>
    </xf>
    <xf numFmtId="0" fontId="1" fillId="0" borderId="19" xfId="0" applyFont="1" applyBorder="1" applyAlignment="1">
      <alignment horizontal="left" vertical="top" wrapText="1"/>
    </xf>
    <xf numFmtId="0" fontId="0" fillId="0" borderId="1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8" fillId="0" borderId="23" xfId="0" applyFont="1" applyBorder="1"/>
    <xf numFmtId="0" fontId="8" fillId="0" borderId="2" xfId="0" applyFont="1" applyBorder="1"/>
    <xf numFmtId="0" fontId="0" fillId="0" borderId="25" xfId="0" applyBorder="1"/>
    <xf numFmtId="0" fontId="8" fillId="0" borderId="24" xfId="0" applyFont="1" applyBorder="1"/>
    <xf numFmtId="0" fontId="0" fillId="0" borderId="23" xfId="0" applyBorder="1"/>
    <xf numFmtId="0" fontId="0" fillId="0" borderId="22" xfId="0" applyBorder="1"/>
  </cellXfs>
  <cellStyles count="3">
    <cellStyle name="Hipervínculo" xfId="2" builtinId="8"/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2</xdr:col>
      <xdr:colOff>9525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2190750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errovariedades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53"/>
  <sheetViews>
    <sheetView tabSelected="1" topLeftCell="A40" zoomScaleNormal="100" workbookViewId="0">
      <selection activeCell="B40" sqref="A40:H40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49" t="s">
        <v>32</v>
      </c>
    </row>
    <row r="3" spans="1:8" ht="27" thickBot="1" x14ac:dyDescent="0.45">
      <c r="A3" s="11" t="s">
        <v>18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9" t="s">
        <v>7</v>
      </c>
      <c r="B4" s="6"/>
      <c r="C4" s="6"/>
      <c r="D4" s="30" t="s">
        <v>35</v>
      </c>
      <c r="E4" s="19"/>
      <c r="F4" s="20"/>
      <c r="G4" s="6"/>
      <c r="H4" s="7"/>
    </row>
    <row r="5" spans="1:8" ht="19.5" thickBot="1" x14ac:dyDescent="0.35">
      <c r="A5" s="59" t="s">
        <v>38</v>
      </c>
      <c r="B5" s="6"/>
      <c r="C5" s="6"/>
      <c r="D5" s="6"/>
      <c r="E5" s="6"/>
    </row>
    <row r="6" spans="1:8" ht="24.75" customHeight="1" thickBot="1" x14ac:dyDescent="0.45">
      <c r="F6" s="11" t="s">
        <v>54</v>
      </c>
      <c r="G6" s="19"/>
      <c r="H6" s="20"/>
    </row>
    <row r="7" spans="1:8" ht="19.5" thickBot="1" x14ac:dyDescent="0.35">
      <c r="A7" s="21" t="s">
        <v>14</v>
      </c>
      <c r="B7" s="13"/>
      <c r="C7" s="31" t="s">
        <v>41</v>
      </c>
      <c r="D7" s="13"/>
      <c r="E7" s="14"/>
      <c r="F7" s="28"/>
      <c r="G7" s="19"/>
      <c r="H7" s="20"/>
    </row>
    <row r="8" spans="1:8" ht="18.75" x14ac:dyDescent="0.3">
      <c r="A8" s="22" t="s">
        <v>8</v>
      </c>
      <c r="C8" s="25" t="s">
        <v>42</v>
      </c>
      <c r="D8" s="26"/>
      <c r="E8" s="26"/>
      <c r="F8" s="12"/>
      <c r="G8" s="13"/>
      <c r="H8" s="14"/>
    </row>
    <row r="9" spans="1:8" ht="18.75" customHeight="1" x14ac:dyDescent="0.3">
      <c r="A9" s="22" t="s">
        <v>9</v>
      </c>
      <c r="C9" s="24" t="s">
        <v>43</v>
      </c>
      <c r="D9" s="24"/>
      <c r="E9" s="25" t="s">
        <v>44</v>
      </c>
      <c r="F9" s="32" t="s">
        <v>0</v>
      </c>
      <c r="H9" s="33">
        <v>45490</v>
      </c>
    </row>
    <row r="10" spans="1:8" ht="18.75" x14ac:dyDescent="0.3">
      <c r="A10" s="22" t="s">
        <v>13</v>
      </c>
      <c r="C10" s="50" t="s">
        <v>46</v>
      </c>
      <c r="D10" s="26"/>
      <c r="E10" s="26"/>
      <c r="F10" s="32" t="s">
        <v>15</v>
      </c>
      <c r="H10" s="34" t="s">
        <v>34</v>
      </c>
    </row>
    <row r="11" spans="1:8" ht="18.75" x14ac:dyDescent="0.3">
      <c r="A11" s="22" t="s">
        <v>10</v>
      </c>
      <c r="C11" s="25"/>
      <c r="D11" s="26"/>
      <c r="E11" s="26"/>
      <c r="F11" s="32" t="s">
        <v>16</v>
      </c>
      <c r="G11" s="35"/>
      <c r="H11" s="33">
        <v>45500</v>
      </c>
    </row>
    <row r="12" spans="1:8" ht="18.75" x14ac:dyDescent="0.3">
      <c r="A12" s="22" t="s">
        <v>11</v>
      </c>
      <c r="C12" s="25" t="s">
        <v>45</v>
      </c>
      <c r="D12" s="26"/>
      <c r="E12" s="26"/>
      <c r="F12" s="32" t="s">
        <v>17</v>
      </c>
      <c r="H12" s="36"/>
    </row>
    <row r="13" spans="1:8" ht="18.75" customHeight="1" thickBot="1" x14ac:dyDescent="0.35">
      <c r="A13" s="23" t="s">
        <v>12</v>
      </c>
      <c r="B13" s="4"/>
      <c r="C13" s="25" t="s">
        <v>39</v>
      </c>
      <c r="D13" s="26"/>
      <c r="E13" s="26"/>
      <c r="F13" s="17"/>
      <c r="G13" s="4"/>
      <c r="H13" s="18"/>
    </row>
    <row r="14" spans="1:8" ht="15.75" thickBot="1" x14ac:dyDescent="0.3"/>
    <row r="15" spans="1:8" ht="15.75" thickBot="1" x14ac:dyDescent="0.3">
      <c r="A15" s="65" t="s">
        <v>19</v>
      </c>
      <c r="B15" s="54" t="s">
        <v>24</v>
      </c>
      <c r="C15" s="19"/>
      <c r="D15" s="7"/>
      <c r="E15" s="37" t="s">
        <v>20</v>
      </c>
      <c r="F15" s="37" t="s">
        <v>22</v>
      </c>
      <c r="G15" s="37" t="s">
        <v>21</v>
      </c>
      <c r="H15" s="37" t="s">
        <v>23</v>
      </c>
    </row>
    <row r="16" spans="1:8" ht="16.5" thickBot="1" x14ac:dyDescent="0.3">
      <c r="A16" s="55">
        <v>1</v>
      </c>
      <c r="B16" s="39" t="s">
        <v>47</v>
      </c>
      <c r="C16" s="40"/>
      <c r="D16" s="56"/>
      <c r="E16" s="62" t="s">
        <v>40</v>
      </c>
      <c r="F16" s="58">
        <v>16000</v>
      </c>
      <c r="G16" s="55">
        <v>6</v>
      </c>
      <c r="H16" s="60">
        <f t="shared" ref="H16:H17" si="0">G16*F16</f>
        <v>96000</v>
      </c>
    </row>
    <row r="17" spans="1:10" ht="16.5" thickBot="1" x14ac:dyDescent="0.3">
      <c r="A17" s="55">
        <v>2</v>
      </c>
      <c r="B17" s="39" t="s">
        <v>48</v>
      </c>
      <c r="C17" s="40"/>
      <c r="D17" s="61"/>
      <c r="E17" s="62" t="s">
        <v>40</v>
      </c>
      <c r="F17" s="57">
        <v>60000</v>
      </c>
      <c r="G17" s="55">
        <v>6</v>
      </c>
      <c r="H17" s="60">
        <f t="shared" si="0"/>
        <v>360000</v>
      </c>
    </row>
    <row r="18" spans="1:10" ht="16.5" thickBot="1" x14ac:dyDescent="0.3">
      <c r="A18" s="66"/>
      <c r="B18" s="67" t="s">
        <v>49</v>
      </c>
      <c r="C18" s="68"/>
      <c r="D18" s="70"/>
      <c r="E18" s="71"/>
      <c r="F18" s="4"/>
      <c r="G18" s="4"/>
      <c r="H18" s="72"/>
      <c r="I18" s="38"/>
      <c r="J18" s="38"/>
    </row>
    <row r="19" spans="1:10" ht="19.5" customHeight="1" thickBot="1" x14ac:dyDescent="0.3">
      <c r="A19" s="6"/>
      <c r="B19" s="6"/>
      <c r="C19" s="6"/>
      <c r="D19" s="6"/>
      <c r="I19" s="38"/>
      <c r="J19" s="38"/>
    </row>
    <row r="20" spans="1:10" ht="19.5" customHeight="1" thickBot="1" x14ac:dyDescent="0.35">
      <c r="E20" s="13"/>
      <c r="F20" s="41" t="s">
        <v>31</v>
      </c>
      <c r="G20" s="13"/>
      <c r="H20" s="7"/>
    </row>
    <row r="21" spans="1:10" ht="19.5" customHeight="1" x14ac:dyDescent="0.25">
      <c r="A21" s="63" t="s">
        <v>25</v>
      </c>
      <c r="B21" s="12" t="s">
        <v>50</v>
      </c>
      <c r="C21" s="13"/>
      <c r="D21" s="14"/>
      <c r="E21" s="42" t="s">
        <v>26</v>
      </c>
      <c r="F21" s="43"/>
      <c r="G21" s="26"/>
      <c r="H21" s="51">
        <f>SUM(H16:H17)</f>
        <v>456000</v>
      </c>
    </row>
    <row r="22" spans="1:10" ht="19.5" customHeight="1" thickBot="1" x14ac:dyDescent="0.3">
      <c r="A22" s="64"/>
      <c r="B22" s="17" t="s">
        <v>51</v>
      </c>
      <c r="C22" s="4"/>
      <c r="D22" s="4"/>
      <c r="E22" s="3" t="s">
        <v>33</v>
      </c>
      <c r="F22" s="69"/>
      <c r="G22" s="45">
        <v>0.19</v>
      </c>
      <c r="H22" s="52">
        <f>H21*G22</f>
        <v>86640</v>
      </c>
    </row>
    <row r="23" spans="1:10" ht="19.5" customHeight="1" x14ac:dyDescent="0.25">
      <c r="A23" s="27" t="s">
        <v>27</v>
      </c>
      <c r="B23" s="13"/>
      <c r="C23" s="13"/>
      <c r="D23" s="14"/>
      <c r="E23" s="43" t="s">
        <v>28</v>
      </c>
      <c r="G23">
        <v>0</v>
      </c>
      <c r="H23" s="46"/>
    </row>
    <row r="24" spans="1:10" ht="19.5" customHeight="1" x14ac:dyDescent="0.25">
      <c r="A24" s="15" t="s">
        <v>52</v>
      </c>
      <c r="D24" s="16"/>
      <c r="F24" s="43"/>
      <c r="G24" s="26"/>
      <c r="H24" s="47"/>
    </row>
    <row r="25" spans="1:10" ht="19.5" customHeight="1" thickBot="1" x14ac:dyDescent="0.3">
      <c r="A25" s="15" t="s">
        <v>53</v>
      </c>
      <c r="D25" s="16"/>
      <c r="E25" s="43" t="s">
        <v>29</v>
      </c>
      <c r="F25" s="43"/>
      <c r="G25" s="26"/>
      <c r="H25" s="48"/>
    </row>
    <row r="26" spans="1:10" ht="19.5" customHeight="1" thickBot="1" x14ac:dyDescent="0.35">
      <c r="A26" s="15" t="s">
        <v>36</v>
      </c>
      <c r="D26" s="16"/>
      <c r="F26" s="3"/>
      <c r="G26" s="44" t="s">
        <v>30</v>
      </c>
      <c r="H26" s="53">
        <f>H21+H22</f>
        <v>542640</v>
      </c>
    </row>
    <row r="27" spans="1:10" ht="19.5" customHeight="1" thickBot="1" x14ac:dyDescent="0.3">
      <c r="A27" s="17"/>
      <c r="B27" s="4"/>
      <c r="C27" s="4"/>
      <c r="D27" s="18"/>
    </row>
    <row r="28" spans="1:10" ht="19.5" customHeight="1" x14ac:dyDescent="0.25"/>
    <row r="29" spans="1:10" ht="19.5" customHeight="1" x14ac:dyDescent="0.25"/>
    <row r="30" spans="1:10" ht="19.5" customHeight="1" x14ac:dyDescent="0.25"/>
    <row r="31" spans="1:10" ht="19.5" customHeight="1" x14ac:dyDescent="0.25"/>
    <row r="32" spans="1:10" ht="19.5" customHeight="1" x14ac:dyDescent="0.25"/>
    <row r="33" spans="1:8" ht="19.5" customHeight="1" x14ac:dyDescent="0.25"/>
    <row r="34" spans="1:8" ht="19.5" customHeight="1" x14ac:dyDescent="0.25"/>
    <row r="35" spans="1:8" ht="19.5" customHeight="1" x14ac:dyDescent="0.25"/>
    <row r="39" spans="1:8" ht="16.5" customHeight="1" thickBot="1" x14ac:dyDescent="0.3"/>
    <row r="40" spans="1:8" ht="19.5" thickBot="1" x14ac:dyDescent="0.35">
      <c r="A40" s="28" t="s">
        <v>37</v>
      </c>
      <c r="B40" s="6"/>
      <c r="C40" s="6"/>
      <c r="D40" s="6"/>
      <c r="E40" s="6"/>
      <c r="F40" s="6"/>
      <c r="G40" s="6"/>
      <c r="H40" s="7"/>
    </row>
    <row r="53" spans="1:1" ht="18.75" x14ac:dyDescent="0.3">
      <c r="A53" s="5"/>
    </row>
  </sheetData>
  <hyperlinks>
    <hyperlink ref="C10" r:id="rId1" xr:uid="{07822929-D5BC-4F55-9D94-D7FDBA20A4A7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FERROVARIEDADES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STUDENT</cp:lastModifiedBy>
  <cp:lastPrinted>2024-07-18T15:36:56Z</cp:lastPrinted>
  <dcterms:created xsi:type="dcterms:W3CDTF">2018-11-15T17:29:02Z</dcterms:created>
  <dcterms:modified xsi:type="dcterms:W3CDTF">2024-07-18T15:37:15Z</dcterms:modified>
</cp:coreProperties>
</file>