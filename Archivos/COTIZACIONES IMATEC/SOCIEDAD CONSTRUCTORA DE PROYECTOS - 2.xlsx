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3C52DC4-6399-4307-BE56-D52466E8373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C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4" i="1" l="1"/>
  <c r="H23" i="1"/>
  <c r="H22" i="1"/>
  <c r="H26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<sst xmlns="http://schemas.openxmlformats.org/spreadsheetml/2006/main" count="59" uniqueCount="58">
  <si>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</si>
  <si>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</si>
  <si>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</si>
  <si>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</si>
  <si>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</si>
  <si>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</si>
  <si>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</si>
  <si>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</si>
  <si>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</si>
  <si>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</si>
  <si>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</si>
  <si>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</si>
  <si>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</si>
  <si>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</si>
  <si>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</si>
  <si>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</si>
  <si>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</si>
  <si>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</si>
  <si>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</si>
  <si>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</si>
  <si>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</si>
  <si>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</si>
  <si>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</si>
  <si>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</si>
  <si>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</si>
  <si>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</si>
  <si>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</si>
  <si>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</si>
  <si>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</si>
  <si>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</si>
  <si>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</si>
  <si>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</si>
  <si>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</si>
  <si>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</si>
  <si>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</si>
  <si>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</si>
  <si>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</si>
  <si>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</si>
  <si>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</si>
  <si>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</si>
  <si>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</si>
  <si>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</si>
  <si>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SOCIEDAD CONSTRUCTORA DE PROYECTOS S.A.S.</t>
  </si>
  <si>
    <t>800 071658</t>
  </si>
  <si>
    <t>CARRERA 1  No. 2 OESTE - 35</t>
  </si>
  <si>
    <t>info@scpingenieria.com</t>
  </si>
  <si>
    <t>602 8933455</t>
  </si>
  <si>
    <t>LUIS A. BENAVIDES</t>
  </si>
  <si>
    <t>TUBO X 6 MTS</t>
  </si>
  <si>
    <t>CALI</t>
  </si>
  <si>
    <t xml:space="preserve">  RETEICA</t>
  </si>
  <si>
    <t>ENTREGA EN TRES DIAS POSTERIOR A ORDEN DE COMPRA</t>
  </si>
  <si>
    <t>TUBERIA  A / C  SCH 40 8 "</t>
  </si>
  <si>
    <t>CODO A / C  SCH 40  X  90 º  8 "</t>
  </si>
  <si>
    <t>SEMICODO A / C  SCH 40  45 º  8 "</t>
  </si>
  <si>
    <t>DOCE MILLONES CUATROCIENTOS SETENTA Y CINCO MIL</t>
  </si>
  <si>
    <t>PESOS MDA / CTE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</si>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</sst>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scp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57</v>
      </c>
    </row>
    <row r="8" spans="1:8" ht="18.75" x14ac:dyDescent="0.3">
      <c r="A8" s="21" t="s">
        <v>8</v>
      </c>
      <c r="C8" s="68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49</v>
      </c>
      <c r="F9" s="30" t="s">
        <v>0</v>
      </c>
      <c r="H9" s="28">
        <v>45883</v>
      </c>
    </row>
    <row r="10" spans="1:8" ht="18.75" x14ac:dyDescent="0.3">
      <c r="A10" s="21" t="s">
        <v>13</v>
      </c>
      <c r="C10" s="69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45892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52</v>
      </c>
      <c r="C16" s="62"/>
      <c r="D16" s="63"/>
      <c r="E16" s="60" t="s">
        <v>48</v>
      </c>
      <c r="F16" s="64">
        <v>1459200</v>
      </c>
      <c r="G16" s="60">
        <v>7</v>
      </c>
      <c r="H16" s="38">
        <f t="shared" ref="H16" si="0">G16*F16</f>
        <v>10214400</v>
      </c>
    </row>
    <row r="17" spans="1:8" ht="16.5" thickBot="1" x14ac:dyDescent="0.3">
      <c r="A17" s="60">
        <v>2</v>
      </c>
      <c r="B17" s="61" t="s">
        <v>53</v>
      </c>
      <c r="C17" s="62"/>
      <c r="D17" s="63"/>
      <c r="E17" s="60" t="s">
        <v>39</v>
      </c>
      <c r="F17" s="64">
        <v>149000</v>
      </c>
      <c r="G17" s="60">
        <v>2</v>
      </c>
      <c r="H17" s="38">
        <f t="shared" ref="H17:H18" si="1">G17*F17</f>
        <v>298000</v>
      </c>
    </row>
    <row r="18" spans="1:8" ht="16.5" thickBot="1" x14ac:dyDescent="0.3">
      <c r="A18" s="60">
        <v>3</v>
      </c>
      <c r="B18" s="61" t="s">
        <v>54</v>
      </c>
      <c r="C18" s="62"/>
      <c r="D18" s="63"/>
      <c r="E18" s="60" t="s">
        <v>39</v>
      </c>
      <c r="F18" s="64">
        <v>89000</v>
      </c>
      <c r="G18" s="60">
        <v>3</v>
      </c>
      <c r="H18" s="38">
        <f t="shared" si="1"/>
        <v>267000</v>
      </c>
    </row>
    <row r="19" spans="1:8" ht="19.5" customHeight="1" thickBot="1" x14ac:dyDescent="0.3">
      <c r="A19" s="47"/>
      <c r="B19" s="66"/>
      <c r="D19" s="67"/>
      <c r="E19" s="47"/>
      <c r="F19" s="47"/>
      <c r="G19" s="47"/>
    </row>
    <row r="20" spans="1:8" ht="19.5" customHeight="1" thickBot="1" x14ac:dyDescent="0.35">
      <c r="A20" s="65" t="s">
        <v>23</v>
      </c>
      <c r="B20" s="68" t="s">
        <v>55</v>
      </c>
      <c r="C20" s="12"/>
      <c r="D20" s="13"/>
      <c r="E20" s="48"/>
      <c r="F20" s="37" t="s">
        <v>40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1" t="s">
        <v>24</v>
      </c>
      <c r="F21" s="52"/>
      <c r="G21" s="44"/>
      <c r="H21" s="49">
        <f>SUM(H16:H20)</f>
        <v>10779400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2048086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>
        <f>H21*G23</f>
        <v>269485</v>
      </c>
    </row>
    <row r="24" spans="1:8" ht="15.75" x14ac:dyDescent="0.25">
      <c r="A24" s="14" t="s">
        <v>51</v>
      </c>
      <c r="E24" s="53" t="s">
        <v>50</v>
      </c>
      <c r="F24" s="33"/>
      <c r="G24" s="70">
        <v>7.7000000000000002E-3</v>
      </c>
      <c r="H24" s="50">
        <f>H21*G24</f>
        <v>83001.38</v>
      </c>
    </row>
    <row r="25" spans="1:8" ht="16.5" thickBot="1" x14ac:dyDescent="0.3">
      <c r="A25" s="14" t="s">
        <v>33</v>
      </c>
      <c r="E25" s="56" t="s">
        <v>27</v>
      </c>
      <c r="F25" s="57"/>
      <c r="G25" s="45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12474999.619999999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41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2C086329-2E14-4490-9AFA-9F5AFBC3808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2025-08-14T19:23:20Z</dcterms:modified>
</cp:coreProperties>
</file>