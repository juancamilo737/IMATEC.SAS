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2F083A35-F188-439D-8E85-D4705FE269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IV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54" i="1" l="1"/>
  <c r="H53" i="1"/>
  <c r="H57" i="1" s="1"/>
</calcChain>
</file>

<file path=xl/sharedStrings.xml><?xml version="1.0" encoding="utf-8"?>
<sst xmlns="http://schemas.openxmlformats.org/spreadsheetml/2006/main" count="153" uniqueCount="87">
  <si>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</si>
  <si>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</si>
  <si>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</si>
  <si>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</si>
  <si>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</si>
  <si>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</si>
  <si>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</si>
  <si>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</si>
  <si>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</si>
  <si>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</si>
  <si>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</si>
  <si>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</si>
  <si>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</si>
  <si>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</si>
  <si>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</si>
  <si>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</si>
  <si>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</si>
  <si>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</si>
  <si>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</si>
  <si>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</si>
  <si>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</si>
  <si>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</si>
  <si>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</si>
  <si>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</si>
  <si>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</si>
  <si>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</si>
  <si>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</si>
  <si>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</si>
  <si>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</si>
  <si>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</si>
  <si>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</si>
  <si>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</si>
  <si>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</si>
  <si>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</si>
  <si>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</si>
  <si>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</si>
  <si>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</si>
  <si>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</si>
  <si>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</si>
  <si>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</si>
  <si>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</si>
  <si>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GRIVAN INGENIERIA S.A.</t>
  </si>
  <si>
    <t>805 017818</t>
  </si>
  <si>
    <t>CRA  35 B  No. 16  52</t>
  </si>
  <si>
    <t>diradministrativo@grivaningenieria.com</t>
  </si>
  <si>
    <t>316 4782446</t>
  </si>
  <si>
    <t>LUIS A. BENAVIDES</t>
  </si>
  <si>
    <t>FORMA DE PAGO : CREDITO A 30 DIAS</t>
  </si>
  <si>
    <t>ENTREGA EN TRES DIAS A PARTIR DE ORDEN DE COMPRA</t>
  </si>
  <si>
    <t>No.  2</t>
  </si>
  <si>
    <t xml:space="preserve">REDUCCION COPA  SCH 40  A  / C </t>
  </si>
  <si>
    <t>6 "  X  3 "</t>
  </si>
  <si>
    <t>6 "  X  2 "</t>
  </si>
  <si>
    <t>6 "  X  2 1/2 "</t>
  </si>
  <si>
    <t>6  " X  4 "</t>
  </si>
  <si>
    <t>4 "  X  3 "</t>
  </si>
  <si>
    <t>4 "  X  2 1/2 "</t>
  </si>
  <si>
    <t>4 "  X  2 "</t>
  </si>
  <si>
    <t>3 "  X  2 1/2 "</t>
  </si>
  <si>
    <t>3 "  X  2 "</t>
  </si>
  <si>
    <t>3 "  X  1 1/2 "</t>
  </si>
  <si>
    <t>3 "  X  1 1/4 "</t>
  </si>
  <si>
    <t>3 "  X  1 "</t>
  </si>
  <si>
    <t>3 "  X  3/4 "</t>
  </si>
  <si>
    <t>2 1/2 "  X   2 "</t>
  </si>
  <si>
    <t>2 1/2 "  X  1 1/2 "</t>
  </si>
  <si>
    <t>2 1/2 "  X  1 1/4 "</t>
  </si>
  <si>
    <t>2 1/2 "  X  1 "</t>
  </si>
  <si>
    <t>2 1/2 "  X  3/4 "</t>
  </si>
  <si>
    <t>2 1/2 "  X  1/2 "</t>
  </si>
  <si>
    <t>2 "  X  1 1/2 "</t>
  </si>
  <si>
    <t>2 "  X  1 1/4 "</t>
  </si>
  <si>
    <t>2 "  X  1 "</t>
  </si>
  <si>
    <t>2 "  X  3/4 "</t>
  </si>
  <si>
    <t>2 "  X  1/2 "</t>
  </si>
  <si>
    <t>1 1/2 "  X  1 1/4 "</t>
  </si>
  <si>
    <t>1 1/2 "  X  1 "</t>
  </si>
  <si>
    <t>1 1/2 "  X  3/4 "</t>
  </si>
  <si>
    <t>1 1/2 "  X  1/2 "</t>
  </si>
  <si>
    <t>1 1/4 "  X  1 "</t>
  </si>
  <si>
    <t>1 1/4 "  X  3/4 "</t>
  </si>
  <si>
    <t>1 1/4 "  X  1/2 "</t>
  </si>
  <si>
    <t>1 "  X  3/4 "</t>
  </si>
  <si>
    <t>1 "  X  1/2 "</t>
  </si>
  <si>
    <t xml:space="preserve">3/4 "  X  1/2 " </t>
  </si>
  <si>
    <t xml:space="preserve">CINCO MILLONES DOSCIENTOS NOVENTA MIL CIENTO </t>
  </si>
  <si>
    <t>CUARENTA Y NUEVE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</si>
</sst>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radministrativo@grivan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2"/>
  <sheetViews>
    <sheetView tabSelected="1" topLeftCell="A10" zoomScaleNormal="100" workbookViewId="0">
      <selection activeCell="J62" sqref="J6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/>
      <c r="F9" s="30" t="s">
        <v>0</v>
      </c>
      <c r="H9" s="28">
        <v>45913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45922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50</v>
      </c>
      <c r="C16" s="63"/>
      <c r="D16" s="64" t="s">
        <v>54</v>
      </c>
      <c r="E16" s="61" t="s">
        <v>38</v>
      </c>
      <c r="F16" s="65">
        <v>49000</v>
      </c>
      <c r="G16" s="61">
        <v>2</v>
      </c>
      <c r="H16" s="38">
        <f t="shared" ref="H16" si="0">G16*F16</f>
        <v>98000</v>
      </c>
    </row>
    <row r="17" spans="1:8" ht="16.5" thickBot="1" x14ac:dyDescent="0.3">
      <c r="A17" s="61">
        <v>2</v>
      </c>
      <c r="B17" s="62" t="s">
        <v>50</v>
      </c>
      <c r="C17" s="63"/>
      <c r="D17" s="64" t="s">
        <v>51</v>
      </c>
      <c r="E17" s="61" t="s">
        <v>38</v>
      </c>
      <c r="F17" s="65">
        <v>47000</v>
      </c>
      <c r="G17" s="61">
        <v>10</v>
      </c>
      <c r="H17" s="38">
        <f t="shared" ref="H17:H35" si="1">G17*F17</f>
        <v>470000</v>
      </c>
    </row>
    <row r="18" spans="1:8" ht="16.5" thickBot="1" x14ac:dyDescent="0.3">
      <c r="A18" s="61">
        <v>3</v>
      </c>
      <c r="B18" s="62" t="s">
        <v>50</v>
      </c>
      <c r="C18" s="63"/>
      <c r="D18" s="64" t="s">
        <v>52</v>
      </c>
      <c r="E18" s="61" t="s">
        <v>38</v>
      </c>
      <c r="F18" s="65">
        <v>68000</v>
      </c>
      <c r="G18" s="61">
        <v>2</v>
      </c>
      <c r="H18" s="38">
        <f t="shared" si="1"/>
        <v>136000</v>
      </c>
    </row>
    <row r="19" spans="1:8" ht="16.5" thickBot="1" x14ac:dyDescent="0.3">
      <c r="A19" s="61">
        <v>4</v>
      </c>
      <c r="B19" s="62" t="s">
        <v>50</v>
      </c>
      <c r="C19" s="63"/>
      <c r="D19" s="64" t="s">
        <v>53</v>
      </c>
      <c r="E19" s="61" t="s">
        <v>38</v>
      </c>
      <c r="F19" s="65">
        <v>56000</v>
      </c>
      <c r="G19" s="61">
        <v>14</v>
      </c>
      <c r="H19" s="38">
        <f t="shared" si="1"/>
        <v>784000</v>
      </c>
    </row>
    <row r="20" spans="1:8" ht="16.5" thickBot="1" x14ac:dyDescent="0.3">
      <c r="A20" s="61">
        <v>5</v>
      </c>
      <c r="B20" s="62" t="s">
        <v>50</v>
      </c>
      <c r="C20" s="63"/>
      <c r="D20" s="64" t="s">
        <v>55</v>
      </c>
      <c r="E20" s="61" t="s">
        <v>38</v>
      </c>
      <c r="F20" s="65">
        <v>17500</v>
      </c>
      <c r="G20" s="61">
        <v>4</v>
      </c>
      <c r="H20" s="38">
        <f t="shared" si="1"/>
        <v>70000</v>
      </c>
    </row>
    <row r="21" spans="1:8" ht="16.5" thickBot="1" x14ac:dyDescent="0.3">
      <c r="A21" s="61">
        <v>6</v>
      </c>
      <c r="B21" s="62" t="s">
        <v>50</v>
      </c>
      <c r="C21" s="63"/>
      <c r="D21" s="64" t="s">
        <v>56</v>
      </c>
      <c r="E21" s="61" t="s">
        <v>38</v>
      </c>
      <c r="F21" s="65">
        <v>18500</v>
      </c>
      <c r="G21" s="61">
        <v>12</v>
      </c>
      <c r="H21" s="38">
        <f t="shared" si="1"/>
        <v>222000</v>
      </c>
    </row>
    <row r="22" spans="1:8" ht="16.5" thickBot="1" x14ac:dyDescent="0.3">
      <c r="A22" s="61">
        <v>7</v>
      </c>
      <c r="B22" s="62" t="s">
        <v>50</v>
      </c>
      <c r="C22" s="63"/>
      <c r="D22" s="64" t="s">
        <v>57</v>
      </c>
      <c r="E22" s="61" t="s">
        <v>38</v>
      </c>
      <c r="F22" s="65">
        <v>20000</v>
      </c>
      <c r="G22" s="61">
        <v>20</v>
      </c>
      <c r="H22" s="38">
        <f t="shared" si="1"/>
        <v>400000</v>
      </c>
    </row>
    <row r="23" spans="1:8" ht="16.5" thickBot="1" x14ac:dyDescent="0.3">
      <c r="A23" s="61">
        <v>8</v>
      </c>
      <c r="B23" s="62" t="s">
        <v>50</v>
      </c>
      <c r="C23" s="63"/>
      <c r="D23" s="64" t="s">
        <v>58</v>
      </c>
      <c r="E23" s="61" t="s">
        <v>38</v>
      </c>
      <c r="F23" s="65">
        <v>12500</v>
      </c>
      <c r="G23" s="61">
        <v>8</v>
      </c>
      <c r="H23" s="38">
        <f t="shared" si="1"/>
        <v>100000</v>
      </c>
    </row>
    <row r="24" spans="1:8" ht="16.5" thickBot="1" x14ac:dyDescent="0.3">
      <c r="A24" s="61">
        <v>9</v>
      </c>
      <c r="B24" s="62" t="s">
        <v>50</v>
      </c>
      <c r="C24" s="63"/>
      <c r="D24" s="64" t="s">
        <v>59</v>
      </c>
      <c r="E24" s="61" t="s">
        <v>38</v>
      </c>
      <c r="F24" s="65">
        <v>12000</v>
      </c>
      <c r="G24" s="61">
        <v>9</v>
      </c>
      <c r="H24" s="38">
        <f t="shared" si="1"/>
        <v>108000</v>
      </c>
    </row>
    <row r="25" spans="1:8" ht="16.5" thickBot="1" x14ac:dyDescent="0.3">
      <c r="A25" s="61">
        <v>10</v>
      </c>
      <c r="B25" s="62" t="s">
        <v>50</v>
      </c>
      <c r="C25" s="63"/>
      <c r="D25" s="64" t="s">
        <v>60</v>
      </c>
      <c r="E25" s="61" t="s">
        <v>38</v>
      </c>
      <c r="F25" s="65">
        <v>14500</v>
      </c>
      <c r="G25" s="61">
        <v>4</v>
      </c>
      <c r="H25" s="38">
        <f t="shared" si="1"/>
        <v>58000</v>
      </c>
    </row>
    <row r="26" spans="1:8" ht="16.5" thickBot="1" x14ac:dyDescent="0.3">
      <c r="A26" s="61">
        <v>11</v>
      </c>
      <c r="B26" s="62" t="s">
        <v>50</v>
      </c>
      <c r="C26" s="63"/>
      <c r="D26" s="64" t="s">
        <v>61</v>
      </c>
      <c r="E26" s="61" t="s">
        <v>38</v>
      </c>
      <c r="F26" s="65">
        <v>14950</v>
      </c>
      <c r="G26" s="61">
        <v>2</v>
      </c>
      <c r="H26" s="38">
        <f t="shared" si="1"/>
        <v>29900</v>
      </c>
    </row>
    <row r="27" spans="1:8" ht="16.5" thickBot="1" x14ac:dyDescent="0.3">
      <c r="A27" s="61">
        <v>12</v>
      </c>
      <c r="B27" s="62" t="s">
        <v>50</v>
      </c>
      <c r="C27" s="63"/>
      <c r="D27" s="64" t="s">
        <v>62</v>
      </c>
      <c r="E27" s="61" t="s">
        <v>38</v>
      </c>
      <c r="F27" s="65">
        <v>17000</v>
      </c>
      <c r="G27" s="61">
        <v>2</v>
      </c>
      <c r="H27" s="38">
        <f t="shared" si="1"/>
        <v>34000</v>
      </c>
    </row>
    <row r="28" spans="1:8" ht="16.5" thickBot="1" x14ac:dyDescent="0.3">
      <c r="A28" s="61">
        <v>13</v>
      </c>
      <c r="B28" s="62" t="s">
        <v>50</v>
      </c>
      <c r="C28" s="63"/>
      <c r="D28" s="64" t="s">
        <v>63</v>
      </c>
      <c r="E28" s="61" t="s">
        <v>38</v>
      </c>
      <c r="F28" s="65">
        <v>19000</v>
      </c>
      <c r="G28" s="61">
        <v>2</v>
      </c>
      <c r="H28" s="38">
        <f t="shared" si="1"/>
        <v>38000</v>
      </c>
    </row>
    <row r="29" spans="1:8" ht="16.5" thickBot="1" x14ac:dyDescent="0.3">
      <c r="A29" s="61">
        <v>14</v>
      </c>
      <c r="B29" s="62" t="s">
        <v>50</v>
      </c>
      <c r="C29" s="63"/>
      <c r="D29" s="64" t="s">
        <v>64</v>
      </c>
      <c r="E29" s="61" t="s">
        <v>38</v>
      </c>
      <c r="F29" s="65">
        <v>12500</v>
      </c>
      <c r="G29" s="61">
        <v>32</v>
      </c>
      <c r="H29" s="38">
        <f t="shared" si="1"/>
        <v>400000</v>
      </c>
    </row>
    <row r="30" spans="1:8" ht="16.5" thickBot="1" x14ac:dyDescent="0.3">
      <c r="A30" s="61">
        <v>15</v>
      </c>
      <c r="B30" s="62" t="s">
        <v>50</v>
      </c>
      <c r="C30" s="63"/>
      <c r="D30" s="64" t="s">
        <v>65</v>
      </c>
      <c r="E30" s="61" t="s">
        <v>38</v>
      </c>
      <c r="F30" s="65">
        <v>12900</v>
      </c>
      <c r="G30" s="61">
        <v>4</v>
      </c>
      <c r="H30" s="38">
        <f t="shared" si="1"/>
        <v>51600</v>
      </c>
    </row>
    <row r="31" spans="1:8" ht="16.5" thickBot="1" x14ac:dyDescent="0.3">
      <c r="A31" s="61">
        <v>16</v>
      </c>
      <c r="B31" s="62" t="s">
        <v>50</v>
      </c>
      <c r="C31" s="63"/>
      <c r="D31" s="64" t="s">
        <v>66</v>
      </c>
      <c r="E31" s="61" t="s">
        <v>38</v>
      </c>
      <c r="F31" s="65">
        <v>13500</v>
      </c>
      <c r="G31" s="61">
        <v>2</v>
      </c>
      <c r="H31" s="38">
        <f t="shared" si="1"/>
        <v>27000</v>
      </c>
    </row>
    <row r="32" spans="1:8" ht="16.5" thickBot="1" x14ac:dyDescent="0.3">
      <c r="A32" s="61">
        <v>17</v>
      </c>
      <c r="B32" s="62" t="s">
        <v>50</v>
      </c>
      <c r="C32" s="63"/>
      <c r="D32" s="64" t="s">
        <v>67</v>
      </c>
      <c r="E32" s="61" t="s">
        <v>38</v>
      </c>
      <c r="F32" s="65">
        <v>15500</v>
      </c>
      <c r="G32" s="61">
        <v>16</v>
      </c>
      <c r="H32" s="38">
        <f t="shared" si="1"/>
        <v>248000</v>
      </c>
    </row>
    <row r="33" spans="1:8" ht="16.5" thickBot="1" x14ac:dyDescent="0.3">
      <c r="A33" s="61">
        <v>18</v>
      </c>
      <c r="B33" s="62" t="s">
        <v>50</v>
      </c>
      <c r="C33" s="63"/>
      <c r="D33" s="64" t="s">
        <v>68</v>
      </c>
      <c r="E33" s="61" t="s">
        <v>38</v>
      </c>
      <c r="F33" s="65">
        <v>16900</v>
      </c>
      <c r="G33" s="61">
        <v>9</v>
      </c>
      <c r="H33" s="38">
        <f t="shared" si="1"/>
        <v>152100</v>
      </c>
    </row>
    <row r="34" spans="1:8" ht="16.5" thickBot="1" x14ac:dyDescent="0.3">
      <c r="A34" s="61">
        <v>19</v>
      </c>
      <c r="B34" s="62" t="s">
        <v>50</v>
      </c>
      <c r="C34" s="63"/>
      <c r="D34" s="64" t="s">
        <v>69</v>
      </c>
      <c r="E34" s="61" t="s">
        <v>38</v>
      </c>
      <c r="F34" s="65">
        <v>19500</v>
      </c>
      <c r="G34" s="61">
        <v>4</v>
      </c>
      <c r="H34" s="38">
        <f t="shared" si="1"/>
        <v>78000</v>
      </c>
    </row>
    <row r="35" spans="1:8" ht="16.5" thickBot="1" x14ac:dyDescent="0.3">
      <c r="A35" s="61">
        <v>20</v>
      </c>
      <c r="B35" s="62" t="s">
        <v>50</v>
      </c>
      <c r="C35" s="63"/>
      <c r="D35" s="64" t="s">
        <v>70</v>
      </c>
      <c r="E35" s="61" t="s">
        <v>38</v>
      </c>
      <c r="F35" s="65">
        <v>7000</v>
      </c>
      <c r="G35" s="61">
        <v>6</v>
      </c>
      <c r="H35" s="38">
        <f t="shared" si="1"/>
        <v>42000</v>
      </c>
    </row>
    <row r="36" spans="1:8" ht="16.5" thickBot="1" x14ac:dyDescent="0.3">
      <c r="A36" s="61">
        <v>21</v>
      </c>
      <c r="B36" s="62" t="s">
        <v>50</v>
      </c>
      <c r="C36" s="63"/>
      <c r="D36" s="64" t="s">
        <v>71</v>
      </c>
      <c r="E36" s="61" t="s">
        <v>38</v>
      </c>
      <c r="F36" s="65">
        <v>7200</v>
      </c>
      <c r="G36" s="61">
        <v>4</v>
      </c>
      <c r="H36" s="38">
        <f t="shared" ref="H36:H39" si="2">G36*F36</f>
        <v>28800</v>
      </c>
    </row>
    <row r="37" spans="1:8" ht="16.5" thickBot="1" x14ac:dyDescent="0.3">
      <c r="A37" s="61">
        <v>22</v>
      </c>
      <c r="B37" s="62" t="s">
        <v>50</v>
      </c>
      <c r="C37" s="63"/>
      <c r="D37" s="64" t="s">
        <v>72</v>
      </c>
      <c r="E37" s="61" t="s">
        <v>38</v>
      </c>
      <c r="F37" s="65">
        <v>7200</v>
      </c>
      <c r="G37" s="61">
        <v>4</v>
      </c>
      <c r="H37" s="38">
        <f t="shared" si="2"/>
        <v>28800</v>
      </c>
    </row>
    <row r="38" spans="1:8" ht="16.5" thickBot="1" x14ac:dyDescent="0.3">
      <c r="A38" s="61">
        <v>23</v>
      </c>
      <c r="B38" s="62" t="s">
        <v>50</v>
      </c>
      <c r="C38" s="63"/>
      <c r="D38" s="64" t="s">
        <v>73</v>
      </c>
      <c r="E38" s="61" t="s">
        <v>38</v>
      </c>
      <c r="F38" s="65">
        <v>7500</v>
      </c>
      <c r="G38" s="61">
        <v>2</v>
      </c>
      <c r="H38" s="38">
        <f t="shared" si="2"/>
        <v>15000</v>
      </c>
    </row>
    <row r="39" spans="1:8" ht="16.5" thickBot="1" x14ac:dyDescent="0.3">
      <c r="A39" s="61">
        <v>24</v>
      </c>
      <c r="B39" s="62" t="s">
        <v>50</v>
      </c>
      <c r="C39" s="63"/>
      <c r="D39" s="64" t="s">
        <v>74</v>
      </c>
      <c r="E39" s="61" t="s">
        <v>38</v>
      </c>
      <c r="F39" s="65">
        <v>7500</v>
      </c>
      <c r="G39" s="61">
        <v>2</v>
      </c>
      <c r="H39" s="38">
        <f t="shared" si="2"/>
        <v>15000</v>
      </c>
    </row>
    <row r="40" spans="1:8" ht="16.5" thickBot="1" x14ac:dyDescent="0.3">
      <c r="A40" s="61">
        <v>25</v>
      </c>
      <c r="B40" s="62" t="s">
        <v>50</v>
      </c>
      <c r="C40" s="63"/>
      <c r="D40" s="64" t="s">
        <v>75</v>
      </c>
      <c r="E40" s="61" t="s">
        <v>38</v>
      </c>
      <c r="F40" s="65">
        <v>5000</v>
      </c>
      <c r="G40" s="61">
        <v>10</v>
      </c>
      <c r="H40" s="38">
        <f t="shared" ref="H40:H49" si="3">G40*F40</f>
        <v>50000</v>
      </c>
    </row>
    <row r="41" spans="1:8" ht="16.5" thickBot="1" x14ac:dyDescent="0.3">
      <c r="A41" s="61">
        <v>26</v>
      </c>
      <c r="B41" s="62" t="s">
        <v>50</v>
      </c>
      <c r="C41" s="63"/>
      <c r="D41" s="64" t="s">
        <v>76</v>
      </c>
      <c r="E41" s="61" t="s">
        <v>38</v>
      </c>
      <c r="F41" s="65">
        <v>5200</v>
      </c>
      <c r="G41" s="61">
        <v>16</v>
      </c>
      <c r="H41" s="38">
        <f t="shared" si="3"/>
        <v>83200</v>
      </c>
    </row>
    <row r="42" spans="1:8" ht="16.5" thickBot="1" x14ac:dyDescent="0.3">
      <c r="A42" s="61">
        <v>27</v>
      </c>
      <c r="B42" s="62" t="s">
        <v>50</v>
      </c>
      <c r="C42" s="63"/>
      <c r="D42" s="64" t="s">
        <v>77</v>
      </c>
      <c r="E42" s="61" t="s">
        <v>38</v>
      </c>
      <c r="F42" s="65">
        <v>5800</v>
      </c>
      <c r="G42" s="61">
        <v>10</v>
      </c>
      <c r="H42" s="38">
        <f t="shared" si="3"/>
        <v>58000</v>
      </c>
    </row>
    <row r="43" spans="1:8" ht="16.5" thickBot="1" x14ac:dyDescent="0.3">
      <c r="A43" s="61">
        <v>28</v>
      </c>
      <c r="B43" s="62" t="s">
        <v>50</v>
      </c>
      <c r="C43" s="63"/>
      <c r="D43" s="64" t="s">
        <v>78</v>
      </c>
      <c r="E43" s="61" t="s">
        <v>38</v>
      </c>
      <c r="F43" s="65">
        <v>6000</v>
      </c>
      <c r="G43" s="61">
        <v>48</v>
      </c>
      <c r="H43" s="38">
        <f t="shared" si="3"/>
        <v>288000</v>
      </c>
    </row>
    <row r="44" spans="1:8" ht="16.5" thickBot="1" x14ac:dyDescent="0.3">
      <c r="A44" s="61">
        <v>29</v>
      </c>
      <c r="B44" s="62" t="s">
        <v>50</v>
      </c>
      <c r="C44" s="63"/>
      <c r="D44" s="64" t="s">
        <v>79</v>
      </c>
      <c r="E44" s="61" t="s">
        <v>38</v>
      </c>
      <c r="F44" s="65">
        <v>3500</v>
      </c>
      <c r="G44" s="61">
        <v>9</v>
      </c>
      <c r="H44" s="38">
        <f t="shared" si="3"/>
        <v>31500</v>
      </c>
    </row>
    <row r="45" spans="1:8" ht="16.5" thickBot="1" x14ac:dyDescent="0.3">
      <c r="A45" s="61">
        <v>30</v>
      </c>
      <c r="B45" s="62" t="s">
        <v>50</v>
      </c>
      <c r="C45" s="63"/>
      <c r="D45" s="64" t="s">
        <v>80</v>
      </c>
      <c r="E45" s="61" t="s">
        <v>38</v>
      </c>
      <c r="F45" s="65">
        <v>3900</v>
      </c>
      <c r="G45" s="61">
        <v>16</v>
      </c>
      <c r="H45" s="38">
        <f t="shared" si="3"/>
        <v>62400</v>
      </c>
    </row>
    <row r="46" spans="1:8" ht="16.5" thickBot="1" x14ac:dyDescent="0.3">
      <c r="A46" s="61">
        <v>31</v>
      </c>
      <c r="B46" s="62" t="s">
        <v>50</v>
      </c>
      <c r="C46" s="63"/>
      <c r="D46" s="64" t="s">
        <v>81</v>
      </c>
      <c r="E46" s="61" t="s">
        <v>38</v>
      </c>
      <c r="F46" s="65">
        <v>6200</v>
      </c>
      <c r="G46" s="61">
        <v>10</v>
      </c>
      <c r="H46" s="38">
        <f t="shared" si="3"/>
        <v>62000</v>
      </c>
    </row>
    <row r="47" spans="1:8" ht="16.5" thickBot="1" x14ac:dyDescent="0.3">
      <c r="A47" s="61">
        <v>32</v>
      </c>
      <c r="B47" s="62" t="s">
        <v>50</v>
      </c>
      <c r="C47" s="63"/>
      <c r="D47" s="64" t="s">
        <v>82</v>
      </c>
      <c r="E47" s="61" t="s">
        <v>38</v>
      </c>
      <c r="F47" s="65">
        <v>3000</v>
      </c>
      <c r="G47" s="61">
        <v>6</v>
      </c>
      <c r="H47" s="38">
        <f t="shared" si="3"/>
        <v>18000</v>
      </c>
    </row>
    <row r="48" spans="1:8" ht="16.5" thickBot="1" x14ac:dyDescent="0.3">
      <c r="A48" s="61">
        <v>33</v>
      </c>
      <c r="B48" s="62" t="s">
        <v>50</v>
      </c>
      <c r="C48" s="63"/>
      <c r="D48" s="64" t="s">
        <v>83</v>
      </c>
      <c r="E48" s="61" t="s">
        <v>38</v>
      </c>
      <c r="F48" s="65">
        <v>3200</v>
      </c>
      <c r="G48" s="61">
        <v>48</v>
      </c>
      <c r="H48" s="38">
        <f t="shared" si="3"/>
        <v>153600</v>
      </c>
    </row>
    <row r="49" spans="1:8" ht="16.5" thickBot="1" x14ac:dyDescent="0.3">
      <c r="A49" s="61">
        <v>34</v>
      </c>
      <c r="B49" s="62" t="s">
        <v>50</v>
      </c>
      <c r="C49" s="63"/>
      <c r="D49" s="64" t="s">
        <v>84</v>
      </c>
      <c r="E49" s="61" t="s">
        <v>38</v>
      </c>
      <c r="F49" s="65">
        <v>2500</v>
      </c>
      <c r="G49" s="61">
        <v>40</v>
      </c>
      <c r="H49" s="38">
        <f t="shared" si="3"/>
        <v>100000</v>
      </c>
    </row>
    <row r="50" spans="1:8" ht="19.5" customHeight="1" thickBot="1" x14ac:dyDescent="0.3">
      <c r="A50" s="48"/>
      <c r="B50" s="67"/>
      <c r="D50" s="68"/>
      <c r="E50" s="48"/>
      <c r="F50" s="48"/>
      <c r="G50" s="48"/>
    </row>
    <row r="51" spans="1:8" ht="19.5" customHeight="1" thickBot="1" x14ac:dyDescent="0.35">
      <c r="A51" s="66" t="s">
        <v>23</v>
      </c>
      <c r="B51" s="69" t="s">
        <v>85</v>
      </c>
      <c r="C51" s="12"/>
      <c r="D51" s="13"/>
      <c r="E51" s="49"/>
      <c r="F51" s="37" t="s">
        <v>39</v>
      </c>
      <c r="G51" s="6"/>
      <c r="H51" s="7"/>
    </row>
    <row r="52" spans="1:8" ht="19.5" customHeight="1" thickBot="1" x14ac:dyDescent="0.3">
      <c r="A52" s="39"/>
      <c r="B52" s="16" t="s">
        <v>86</v>
      </c>
      <c r="C52" s="4"/>
      <c r="D52" s="17"/>
      <c r="E52" s="52" t="s">
        <v>24</v>
      </c>
      <c r="F52" s="53"/>
      <c r="G52" s="44"/>
      <c r="H52" s="50">
        <f>SUM(H16:H49)</f>
        <v>4540900</v>
      </c>
    </row>
    <row r="53" spans="1:8" ht="19.5" customHeight="1" x14ac:dyDescent="0.25">
      <c r="A53" s="24" t="s">
        <v>25</v>
      </c>
      <c r="B53" s="12"/>
      <c r="C53" s="12"/>
      <c r="D53" s="12"/>
      <c r="E53" s="54" t="s">
        <v>29</v>
      </c>
      <c r="F53" s="23"/>
      <c r="G53" s="55">
        <v>0.19</v>
      </c>
      <c r="H53" s="40">
        <f>H52*G53</f>
        <v>862771</v>
      </c>
    </row>
    <row r="54" spans="1:8" ht="19.5" customHeight="1" x14ac:dyDescent="0.25">
      <c r="A54" s="14" t="s">
        <v>47</v>
      </c>
      <c r="E54" s="56" t="s">
        <v>26</v>
      </c>
      <c r="G54" s="59">
        <v>2.5000000000000001E-2</v>
      </c>
      <c r="H54" s="51">
        <f>H52*G54</f>
        <v>113522.5</v>
      </c>
    </row>
    <row r="55" spans="1:8" ht="15.75" x14ac:dyDescent="0.25">
      <c r="A55" s="14" t="s">
        <v>48</v>
      </c>
      <c r="E55" s="14"/>
      <c r="F55" s="33"/>
      <c r="G55" s="45"/>
      <c r="H55" s="15"/>
    </row>
    <row r="56" spans="1:8" ht="16.5" thickBot="1" x14ac:dyDescent="0.3">
      <c r="A56" s="14" t="s">
        <v>32</v>
      </c>
      <c r="E56" s="57" t="s">
        <v>27</v>
      </c>
      <c r="F56" s="58"/>
      <c r="G56" s="46"/>
      <c r="H56" s="17"/>
    </row>
    <row r="57" spans="1:8" ht="19.5" thickBot="1" x14ac:dyDescent="0.35">
      <c r="A57" s="16"/>
      <c r="B57" s="4"/>
      <c r="C57" s="4"/>
      <c r="D57" s="17"/>
      <c r="F57" s="3"/>
      <c r="G57" s="34" t="s">
        <v>28</v>
      </c>
      <c r="H57" s="36">
        <f>H52+H53-H54</f>
        <v>5290148.5</v>
      </c>
    </row>
    <row r="58" spans="1:8" ht="16.5" customHeight="1" x14ac:dyDescent="0.25"/>
    <row r="63" spans="1:8" ht="15.75" thickBot="1" x14ac:dyDescent="0.3"/>
    <row r="64" spans="1:8" ht="19.5" thickBot="1" x14ac:dyDescent="0.35">
      <c r="A64" s="25" t="s">
        <v>40</v>
      </c>
      <c r="B64" s="6"/>
      <c r="C64" s="6"/>
      <c r="D64" s="6"/>
      <c r="E64" s="6"/>
      <c r="F64" s="6"/>
      <c r="G64" s="6"/>
      <c r="H64" s="7"/>
    </row>
    <row r="72" spans="1:1" ht="18.75" x14ac:dyDescent="0.3">
      <c r="A72" s="5"/>
    </row>
  </sheetData>
  <hyperlinks>
    <hyperlink ref="C10" r:id="rId1" xr:uid="{B8883B70-1FCA-4E5A-9EAF-E3F940263DA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2025-09-13T19:21:35Z</dcterms:modified>
</cp:coreProperties>
</file>