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E9308C8-3DF0-4C70-8B2A-B341F23CA27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3" i="1" s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<sst xmlns="http://schemas.openxmlformats.org/spreadsheetml/2006/main" count="56" uniqueCount="56">
  <si>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</si>
  <si>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</si>
  <si>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</si>
  <si>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</si>
  <si>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</si>
  <si>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</si>
  <si>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</si>
  <si>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</si>
  <si>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</si>
  <si>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</si>
  <si>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</si>
  <si>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</si>
  <si>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</si>
  <si>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</si>
  <si>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</si>
  <si>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</si>
  <si>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</si>
  <si>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</si>
  <si>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</si>
  <si>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</si>
  <si>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</si>
  <si>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</si>
  <si>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</si>
  <si>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</si>
  <si>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</si>
  <si>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</si>
  <si>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</si>
  <si>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</si>
  <si>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</si>
  <si>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</si>
  <si>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</si>
  <si>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</si>
  <si>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</si>
  <si>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</si>
  <si>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</si>
  <si>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</si>
  <si>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</si>
  <si>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</si>
  <si>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</si>
  <si>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</si>
  <si>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</si>
  <si>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</si>
  <si>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</si>
  <si>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</si>
  <si>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</si>
  <si>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</si>
  <si>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</si>
  <si>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</si>
  <si>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</si>
  <si>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>ENTREGA INMEDIATA</t>
  </si>
  <si>
    <t xml:space="preserve">           C O T I Z A C I O N</t>
  </si>
  <si>
    <t>No. 31</t>
  </si>
  <si>
    <t>10 DIAS</t>
  </si>
  <si>
    <t>MEDIDOR PARA AGUA ROSCAR 2 " NO HOMOLOG.</t>
  </si>
  <si>
    <t>UN MILLON OCHOCIENTOS VEINTINUEVE MIL CINCUEN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</si>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</sst>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4" zoomScaleNormal="100" workbookViewId="0">
      <selection activeCell="I25" sqref="I25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45756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52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45765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5.75" x14ac:dyDescent="0.25">
      <c r="A16" s="58">
        <v>1</v>
      </c>
      <c r="B16" s="59" t="s">
        <v>53</v>
      </c>
      <c r="C16" s="60"/>
      <c r="D16" s="61"/>
      <c r="E16" s="62" t="s">
        <v>47</v>
      </c>
      <c r="F16" s="63">
        <v>785000</v>
      </c>
      <c r="G16" s="62">
        <v>2</v>
      </c>
      <c r="H16" s="64">
        <f t="shared" ref="H16" si="0">G16*F16</f>
        <v>1570000</v>
      </c>
    </row>
    <row r="17" spans="1:8" ht="19.5" customHeight="1" thickBot="1" x14ac:dyDescent="0.3">
      <c r="H17" s="36"/>
    </row>
    <row r="18" spans="1:8" ht="19.5" customHeight="1" thickBot="1" x14ac:dyDescent="0.35">
      <c r="A18" s="65" t="s">
        <v>24</v>
      </c>
      <c r="B18" s="12" t="s">
        <v>54</v>
      </c>
      <c r="C18" s="13"/>
      <c r="D18" s="13"/>
      <c r="E18" s="47"/>
      <c r="F18" s="44" t="s">
        <v>45</v>
      </c>
      <c r="G18" s="6"/>
      <c r="H18" s="7"/>
    </row>
    <row r="19" spans="1:8" ht="19.5" customHeight="1" thickBot="1" x14ac:dyDescent="0.3">
      <c r="A19" s="66"/>
      <c r="B19" s="17" t="s">
        <v>55</v>
      </c>
      <c r="C19" s="4"/>
      <c r="D19" s="4"/>
      <c r="E19" s="54" t="s">
        <v>25</v>
      </c>
      <c r="F19" s="55"/>
      <c r="G19" s="7"/>
      <c r="H19" s="46">
        <f>SUM(H16:H16)</f>
        <v>1570000</v>
      </c>
    </row>
    <row r="20" spans="1:8" ht="19.5" customHeight="1" thickBot="1" x14ac:dyDescent="0.3">
      <c r="A20" s="27" t="s">
        <v>26</v>
      </c>
      <c r="B20" s="13"/>
      <c r="C20" s="13"/>
      <c r="D20" s="14"/>
      <c r="E20" s="52" t="s">
        <v>31</v>
      </c>
      <c r="F20" s="37"/>
      <c r="G20" s="53">
        <v>0.19</v>
      </c>
      <c r="H20" s="42">
        <f>H19*G20</f>
        <v>298300</v>
      </c>
    </row>
    <row r="21" spans="1:8" ht="16.5" thickBot="1" x14ac:dyDescent="0.3">
      <c r="A21" s="15" t="s">
        <v>43</v>
      </c>
      <c r="D21" s="16"/>
      <c r="E21" s="49" t="s">
        <v>27</v>
      </c>
      <c r="G21" s="56">
        <v>2.5000000000000001E-2</v>
      </c>
      <c r="H21" s="48">
        <f>H19*G21</f>
        <v>39250</v>
      </c>
    </row>
    <row r="22" spans="1:8" ht="16.5" thickBot="1" x14ac:dyDescent="0.3">
      <c r="A22" s="15" t="s">
        <v>49</v>
      </c>
      <c r="D22" s="16"/>
      <c r="E22" s="50" t="s">
        <v>28</v>
      </c>
      <c r="F22" s="51"/>
      <c r="G22" s="18"/>
      <c r="H22" s="39"/>
    </row>
    <row r="23" spans="1:8" ht="19.5" thickBot="1" x14ac:dyDescent="0.35">
      <c r="A23" s="17" t="s">
        <v>33</v>
      </c>
      <c r="B23" s="4"/>
      <c r="C23" s="4"/>
      <c r="D23" s="18"/>
      <c r="G23" s="38" t="s">
        <v>29</v>
      </c>
      <c r="H23" s="43">
        <f>H19+H20-H21</f>
        <v>1829050</v>
      </c>
    </row>
    <row r="24" spans="1:8" ht="16.5" customHeight="1" x14ac:dyDescent="0.25">
      <c r="F24" s="3"/>
    </row>
    <row r="26" spans="1:8" x14ac:dyDescent="0.25">
      <c r="A26" t="s">
        <v>1</v>
      </c>
      <c r="C26" t="s">
        <v>48</v>
      </c>
    </row>
    <row r="28" spans="1:8" ht="15.75" thickBot="1" x14ac:dyDescent="0.3"/>
    <row r="29" spans="1:8" ht="19.5" thickBot="1" x14ac:dyDescent="0.35">
      <c r="A29" s="28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2025-04-04T19:36:42Z</cp:lastPrinted>
  <dcterms:created xsi:type="dcterms:W3CDTF">2018-11-15T17:29:02Z</dcterms:created>
  <dcterms:modified xsi:type="dcterms:W3CDTF">2025-04-09T17:15:13Z</dcterms:modified>
</cp:coreProperties>
</file>