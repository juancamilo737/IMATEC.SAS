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27765E39-0F64-480C-B19A-F83C35B837E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UTOMECHANI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8" i="1" l="1"/>
  <c r="H25" i="1"/>
  <c r="H18" i="1"/>
  <c r="H24" i="1"/>
  <c r="H23" i="1"/>
  <c r="H22" i="1"/>
  <c r="H21" i="1"/>
  <c r="H20" i="1"/>
  <c r="H19" i="1"/>
  <c r="H17" i="1"/>
  <c r="H16" i="1"/>
  <c r="H29" i="1" l="1"/>
  <c r="H30" i="1"/>
  <c r="H31" i="1" l="1"/>
  <c r="H34" i="1" s="1"/>
</calcChain>
</file>

<file path=xl/sharedStrings.xml><?xml version="1.0" encoding="utf-8"?>
<sst xmlns="http://schemas.openxmlformats.org/spreadsheetml/2006/main" count="74" uniqueCount="66">
  <si>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</si>
  <si>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</si>
  <si>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</si>
  <si>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</si>
  <si>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</si>
  <si>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</si>
  <si>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</si>
  <si>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</si>
  <si>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</si>
  <si>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</si>
  <si>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</si>
  <si>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</si>
  <si>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</si>
  <si>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</si>
  <si>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</si>
  <si>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</si>
  <si>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</si>
  <si>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</si>
  <si>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</si>
  <si>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</si>
  <si>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</si>
  <si>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</si>
  <si>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</si>
  <si>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</si>
  <si>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</si>
  <si>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</si>
  <si>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</si>
  <si>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</si>
  <si>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</si>
  <si>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</si>
  <si>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</si>
  <si>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</si>
  <si>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</si>
  <si>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</si>
  <si>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</si>
  <si>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</si>
  <si>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</si>
  <si>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</si>
  <si>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AUTOMECHANIC SOLUTION S.A.S.</t>
  </si>
  <si>
    <t>900 198264</t>
  </si>
  <si>
    <t>CRA  97   No. 23H - 40</t>
  </si>
  <si>
    <t>BOGOTA</t>
  </si>
  <si>
    <t>facturacion@automechanics.co</t>
  </si>
  <si>
    <t>601 4614446</t>
  </si>
  <si>
    <t>LUIS A. BENAVIDES</t>
  </si>
  <si>
    <t>ENTREGA INMEDIATA</t>
  </si>
  <si>
    <t>CONTACTOS   310 8306118    321 7834969</t>
  </si>
  <si>
    <t>FABRICACION</t>
  </si>
  <si>
    <t>No.  3</t>
  </si>
  <si>
    <t>TEE AC/INOX 304  SCH  40  2 1/2 "</t>
  </si>
  <si>
    <t>CODO AC/INOX 304  SCH 40  2 "  X 90 º</t>
  </si>
  <si>
    <t>NIPLE AC/INOX 304  1 "  X  6  CMTS</t>
  </si>
  <si>
    <t>NIPLE AC/INOX 304  1 "  X  4 "</t>
  </si>
  <si>
    <t>FERULA AC/INOX 304 LARGA  1 "</t>
  </si>
  <si>
    <t>NIPLE AC/INOX 304  1/2 "  X  4 "</t>
  </si>
  <si>
    <t>TUERCA AC/INOX 304 5/8 "</t>
  </si>
  <si>
    <t>EMPAQUE FLEXITALICO  2 1/2 "  X  150  LBS</t>
  </si>
  <si>
    <t>DESCUENTO</t>
  </si>
  <si>
    <t>SUBTOTAL 1</t>
  </si>
  <si>
    <t>SUBTOTAL 2</t>
  </si>
  <si>
    <t xml:space="preserve">           C O T I Z A C I O N</t>
  </si>
  <si>
    <t>10 DIAS</t>
  </si>
  <si>
    <t>ACOPLE PARA MANGUERA AC/INOX 304  1/2 " ROSC</t>
  </si>
  <si>
    <t>CODO A / C  SCH 40  4 "  X 90 º</t>
  </si>
  <si>
    <t>QUINIENTOS CUARENTA Y CINCO MIL DOSCIENTOS SE -</t>
  </si>
  <si>
    <t>TENTA Y CUATRO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</si>
</sst>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3" xfId="0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4" xfId="0" applyFont="1" applyBorder="1"/>
    <xf numFmtId="0" fontId="8" fillId="0" borderId="13" xfId="0" applyFont="1" applyBorder="1"/>
    <xf numFmtId="0" fontId="8" fillId="0" borderId="25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6" xfId="0" applyBorder="1"/>
    <xf numFmtId="0" fontId="0" fillId="0" borderId="27" xfId="0" applyBorder="1"/>
    <xf numFmtId="0" fontId="0" fillId="0" borderId="6" xfId="0" applyBorder="1"/>
    <xf numFmtId="0" fontId="13" fillId="0" borderId="9" xfId="2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4" fillId="0" borderId="30" xfId="0" applyFont="1" applyBorder="1"/>
    <xf numFmtId="0" fontId="0" fillId="0" borderId="19" xfId="0" applyBorder="1"/>
    <xf numFmtId="9" fontId="1" fillId="0" borderId="30" xfId="0" applyNumberFormat="1" applyFont="1" applyBorder="1"/>
    <xf numFmtId="9" fontId="1" fillId="0" borderId="24" xfId="3" applyFont="1" applyBorder="1"/>
    <xf numFmtId="10" fontId="1" fillId="0" borderId="0" xfId="0" applyNumberFormat="1" applyFont="1"/>
    <xf numFmtId="0" fontId="0" fillId="0" borderId="22" xfId="0" applyBorder="1"/>
    <xf numFmtId="42" fontId="1" fillId="0" borderId="15" xfId="0" applyNumberFormat="1" applyFont="1" applyBorder="1" applyAlignment="1">
      <alignment horizontal="left"/>
    </xf>
    <xf numFmtId="42" fontId="1" fillId="0" borderId="32" xfId="1" applyFont="1" applyBorder="1" applyAlignment="1">
      <alignment horizontal="left"/>
    </xf>
    <xf numFmtId="42" fontId="1" fillId="0" borderId="32" xfId="0" applyNumberFormat="1" applyFont="1" applyBorder="1"/>
    <xf numFmtId="0" fontId="0" fillId="0" borderId="16" xfId="0" applyBorder="1"/>
    <xf numFmtId="42" fontId="1" fillId="0" borderId="33" xfId="0" applyNumberFormat="1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0" fontId="8" fillId="0" borderId="26" xfId="0" applyFont="1" applyBorder="1"/>
    <xf numFmtId="0" fontId="8" fillId="0" borderId="0" xfId="0" applyFont="1" applyBorder="1"/>
    <xf numFmtId="0" fontId="8" fillId="0" borderId="27" xfId="0" applyFont="1" applyBorder="1"/>
    <xf numFmtId="42" fontId="11" fillId="0" borderId="23" xfId="1" applyFont="1" applyBorder="1" applyAlignment="1">
      <alignment horizontal="center"/>
    </xf>
    <xf numFmtId="42" fontId="1" fillId="0" borderId="0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automechanic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8"/>
  <sheetViews>
    <sheetView tabSelected="1" topLeftCell="A19" zoomScaleNormal="100" workbookViewId="0">
      <selection activeCell="J36" sqref="J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46</v>
      </c>
      <c r="B5" s="6"/>
      <c r="C5" s="6"/>
      <c r="D5" s="6"/>
      <c r="E5" s="6"/>
    </row>
    <row r="6" spans="1:8" ht="24.75" customHeight="1" thickBot="1" x14ac:dyDescent="0.45">
      <c r="F6" s="40" t="s">
        <v>60</v>
      </c>
      <c r="G6" s="41"/>
      <c r="H6" s="42"/>
    </row>
    <row r="7" spans="1:8" ht="19.5" thickBot="1" x14ac:dyDescent="0.35">
      <c r="A7" s="20" t="s">
        <v>14</v>
      </c>
      <c r="B7" s="12"/>
      <c r="C7" s="51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0" t="s">
        <v>39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40</v>
      </c>
      <c r="E9" s="15" t="s">
        <v>41</v>
      </c>
      <c r="F9" s="30" t="s">
        <v>0</v>
      </c>
      <c r="H9" s="28">
        <v>45922</v>
      </c>
    </row>
    <row r="10" spans="1:8" ht="18.75" x14ac:dyDescent="0.3">
      <c r="A10" s="21" t="s">
        <v>13</v>
      </c>
      <c r="C10" s="61" t="s">
        <v>42</v>
      </c>
      <c r="E10" s="15"/>
      <c r="F10" s="30" t="s">
        <v>15</v>
      </c>
      <c r="H10" s="29" t="s">
        <v>61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45931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32</v>
      </c>
      <c r="B15" s="6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2">
        <v>1</v>
      </c>
      <c r="B16" s="63" t="s">
        <v>49</v>
      </c>
      <c r="C16" s="64"/>
      <c r="D16" s="65"/>
      <c r="E16" s="62" t="s">
        <v>35</v>
      </c>
      <c r="F16" s="66">
        <v>101000</v>
      </c>
      <c r="G16" s="62">
        <v>2</v>
      </c>
      <c r="H16" s="38">
        <f t="shared" ref="H16" si="0">G16*F16</f>
        <v>202000</v>
      </c>
    </row>
    <row r="17" spans="1:8" ht="16.5" thickBot="1" x14ac:dyDescent="0.3">
      <c r="A17" s="52">
        <v>2</v>
      </c>
      <c r="B17" s="53" t="s">
        <v>50</v>
      </c>
      <c r="C17" s="54"/>
      <c r="D17" s="55"/>
      <c r="E17" s="52" t="s">
        <v>35</v>
      </c>
      <c r="F17" s="56">
        <v>39000</v>
      </c>
      <c r="G17" s="52">
        <v>3</v>
      </c>
      <c r="H17" s="38">
        <f t="shared" ref="H17:H25" si="1">G17*F17</f>
        <v>117000</v>
      </c>
    </row>
    <row r="18" spans="1:8" ht="16.5" thickBot="1" x14ac:dyDescent="0.3">
      <c r="A18" s="62">
        <v>3</v>
      </c>
      <c r="B18" s="53" t="s">
        <v>63</v>
      </c>
      <c r="C18" s="54"/>
      <c r="D18" s="55"/>
      <c r="E18" s="52" t="s">
        <v>35</v>
      </c>
      <c r="F18" s="56">
        <v>34500</v>
      </c>
      <c r="G18" s="52">
        <v>1</v>
      </c>
      <c r="H18" s="38">
        <f t="shared" ref="H18" si="2">G18*F18</f>
        <v>34500</v>
      </c>
    </row>
    <row r="19" spans="1:8" ht="16.5" thickBot="1" x14ac:dyDescent="0.3">
      <c r="A19" s="52">
        <v>4</v>
      </c>
      <c r="B19" s="53" t="s">
        <v>51</v>
      </c>
      <c r="C19" s="54"/>
      <c r="D19" s="55"/>
      <c r="E19" s="52" t="s">
        <v>47</v>
      </c>
      <c r="F19" s="56">
        <v>9000</v>
      </c>
      <c r="G19" s="52">
        <v>1</v>
      </c>
      <c r="H19" s="38">
        <f t="shared" si="1"/>
        <v>9000</v>
      </c>
    </row>
    <row r="20" spans="1:8" ht="16.5" thickBot="1" x14ac:dyDescent="0.3">
      <c r="A20" s="62">
        <v>5</v>
      </c>
      <c r="B20" s="53" t="s">
        <v>52</v>
      </c>
      <c r="C20" s="54"/>
      <c r="D20" s="55"/>
      <c r="E20" s="52" t="s">
        <v>47</v>
      </c>
      <c r="F20" s="56">
        <v>13300</v>
      </c>
      <c r="G20" s="52">
        <v>1</v>
      </c>
      <c r="H20" s="38">
        <f t="shared" si="1"/>
        <v>13300</v>
      </c>
    </row>
    <row r="21" spans="1:8" ht="16.5" thickBot="1" x14ac:dyDescent="0.3">
      <c r="A21" s="52">
        <v>6</v>
      </c>
      <c r="B21" s="53" t="s">
        <v>62</v>
      </c>
      <c r="C21" s="54"/>
      <c r="D21" s="55"/>
      <c r="E21" s="52" t="s">
        <v>35</v>
      </c>
      <c r="F21" s="56">
        <v>13300</v>
      </c>
      <c r="G21" s="52">
        <v>1</v>
      </c>
      <c r="H21" s="38">
        <f t="shared" si="1"/>
        <v>13300</v>
      </c>
    </row>
    <row r="22" spans="1:8" ht="16.5" thickBot="1" x14ac:dyDescent="0.3">
      <c r="A22" s="62">
        <v>7</v>
      </c>
      <c r="B22" s="53" t="s">
        <v>54</v>
      </c>
      <c r="C22" s="54"/>
      <c r="D22" s="55"/>
      <c r="E22" s="52" t="s">
        <v>47</v>
      </c>
      <c r="F22" s="56">
        <v>7300</v>
      </c>
      <c r="G22" s="52">
        <v>1</v>
      </c>
      <c r="H22" s="38">
        <f t="shared" si="1"/>
        <v>7300</v>
      </c>
    </row>
    <row r="23" spans="1:8" ht="16.5" thickBot="1" x14ac:dyDescent="0.3">
      <c r="A23" s="52">
        <v>8</v>
      </c>
      <c r="B23" s="53" t="s">
        <v>55</v>
      </c>
      <c r="C23" s="54"/>
      <c r="D23" s="55"/>
      <c r="E23" s="52" t="s">
        <v>35</v>
      </c>
      <c r="F23" s="56">
        <v>893</v>
      </c>
      <c r="G23" s="52">
        <v>60</v>
      </c>
      <c r="H23" s="38">
        <f t="shared" si="1"/>
        <v>53580</v>
      </c>
    </row>
    <row r="24" spans="1:8" ht="16.5" thickBot="1" x14ac:dyDescent="0.3">
      <c r="A24" s="62">
        <v>9</v>
      </c>
      <c r="B24" s="53" t="s">
        <v>56</v>
      </c>
      <c r="C24" s="54"/>
      <c r="D24" s="55"/>
      <c r="E24" s="52" t="s">
        <v>35</v>
      </c>
      <c r="F24" s="56">
        <v>12350</v>
      </c>
      <c r="G24" s="52">
        <v>1</v>
      </c>
      <c r="H24" s="38">
        <f t="shared" si="1"/>
        <v>12350</v>
      </c>
    </row>
    <row r="25" spans="1:8" ht="15.75" x14ac:dyDescent="0.25">
      <c r="A25" s="79">
        <v>10</v>
      </c>
      <c r="B25" s="80" t="s">
        <v>53</v>
      </c>
      <c r="C25" s="81"/>
      <c r="D25" s="82"/>
      <c r="E25" s="79" t="s">
        <v>35</v>
      </c>
      <c r="F25" s="83">
        <v>10000</v>
      </c>
      <c r="G25" s="79">
        <v>2</v>
      </c>
      <c r="H25" s="84">
        <f t="shared" si="1"/>
        <v>20000</v>
      </c>
    </row>
    <row r="26" spans="1:8" ht="19.5" customHeight="1" thickBot="1" x14ac:dyDescent="0.3">
      <c r="A26" s="43"/>
      <c r="B26" s="58"/>
      <c r="D26" s="59"/>
      <c r="E26" s="43"/>
      <c r="F26" s="43"/>
      <c r="G26" s="43"/>
    </row>
    <row r="27" spans="1:8" ht="19.5" customHeight="1" thickBot="1" x14ac:dyDescent="0.35">
      <c r="A27" s="57" t="s">
        <v>23</v>
      </c>
      <c r="B27" s="60" t="s">
        <v>64</v>
      </c>
      <c r="C27" s="12"/>
      <c r="D27" s="13"/>
      <c r="E27" s="44"/>
      <c r="F27" s="37" t="s">
        <v>36</v>
      </c>
      <c r="G27" s="6"/>
      <c r="H27" s="7"/>
    </row>
    <row r="28" spans="1:8" ht="19.5" customHeight="1" thickBot="1" x14ac:dyDescent="0.3">
      <c r="A28" s="39"/>
      <c r="B28" s="16" t="s">
        <v>65</v>
      </c>
      <c r="C28" s="4"/>
      <c r="D28" s="17"/>
      <c r="E28" s="45" t="s">
        <v>58</v>
      </c>
      <c r="F28" s="46"/>
      <c r="G28" s="69"/>
      <c r="H28" s="74">
        <f>SUM(H16:H25)</f>
        <v>482330</v>
      </c>
    </row>
    <row r="29" spans="1:8" ht="19.5" customHeight="1" thickBot="1" x14ac:dyDescent="0.3">
      <c r="A29" s="24" t="s">
        <v>24</v>
      </c>
      <c r="B29" s="12"/>
      <c r="C29" s="12"/>
      <c r="D29" s="12"/>
      <c r="E29" s="47" t="s">
        <v>57</v>
      </c>
      <c r="F29" s="68"/>
      <c r="G29" s="70">
        <v>0.05</v>
      </c>
      <c r="H29" s="78">
        <f>H28*G29</f>
        <v>24116.5</v>
      </c>
    </row>
    <row r="30" spans="1:8" ht="19.5" customHeight="1" thickTop="1" x14ac:dyDescent="0.25">
      <c r="A30" s="14" t="s">
        <v>29</v>
      </c>
      <c r="E30" s="47" t="s">
        <v>59</v>
      </c>
      <c r="F30" s="23"/>
      <c r="H30" s="76">
        <f>H28-H29</f>
        <v>458213.5</v>
      </c>
    </row>
    <row r="31" spans="1:8" ht="15.75" x14ac:dyDescent="0.25">
      <c r="A31" s="14" t="s">
        <v>45</v>
      </c>
      <c r="E31" s="47" t="s">
        <v>28</v>
      </c>
      <c r="G31" s="71">
        <v>0.19</v>
      </c>
      <c r="H31" s="75">
        <f>H30*G31</f>
        <v>87060.565000000002</v>
      </c>
    </row>
    <row r="32" spans="1:8" ht="15.75" x14ac:dyDescent="0.25">
      <c r="A32" s="14" t="s">
        <v>31</v>
      </c>
      <c r="E32" s="48" t="s">
        <v>25</v>
      </c>
      <c r="F32" s="33"/>
      <c r="G32" s="72">
        <v>2.5000000000000001E-2</v>
      </c>
      <c r="H32" s="76"/>
    </row>
    <row r="33" spans="1:8" ht="16.5" thickBot="1" x14ac:dyDescent="0.3">
      <c r="A33" s="16"/>
      <c r="B33" s="4"/>
      <c r="C33" s="4"/>
      <c r="D33" s="17"/>
      <c r="E33" s="14"/>
      <c r="F33" s="50"/>
      <c r="G33" s="73"/>
      <c r="H33" s="77"/>
    </row>
    <row r="34" spans="1:8" ht="16.5" customHeight="1" thickBot="1" x14ac:dyDescent="0.35">
      <c r="E34" s="49" t="s">
        <v>26</v>
      </c>
      <c r="F34" s="3"/>
      <c r="G34" s="34" t="s">
        <v>27</v>
      </c>
      <c r="H34" s="36">
        <f>H30+H31-H32</f>
        <v>545274.06499999994</v>
      </c>
    </row>
    <row r="39" spans="1:8" ht="15.75" thickBot="1" x14ac:dyDescent="0.3"/>
    <row r="40" spans="1:8" ht="19.5" thickBot="1" x14ac:dyDescent="0.35">
      <c r="A40" s="25" t="s">
        <v>37</v>
      </c>
      <c r="B40" s="6"/>
      <c r="C40" s="6"/>
      <c r="D40" s="6"/>
      <c r="E40" s="6"/>
      <c r="F40" s="6"/>
      <c r="G40" s="6"/>
      <c r="H40" s="7"/>
    </row>
    <row r="48" spans="1:8" ht="18.75" x14ac:dyDescent="0.3">
      <c r="A48" s="5"/>
    </row>
  </sheetData>
  <hyperlinks>
    <hyperlink ref="C10" r:id="rId1" xr:uid="{6BDA9E8C-3A64-4F7F-BDDB-EEA3E039C3B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AUTOMECHANIC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2025-09-22T19:18:54Z</dcterms:modified>
</cp:coreProperties>
</file>