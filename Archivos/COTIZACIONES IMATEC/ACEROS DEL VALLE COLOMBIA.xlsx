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C52950DC-A364-437E-A260-099F8A6DD471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EVAL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19" i="1"/>
  <c r="H18" i="1"/>
  <c r="H17" i="1"/>
  <c r="H16" i="1"/>
  <c r="H23" i="1" l="1"/>
  <c r="H27" i="1" s="1"/>
</calcChain>
</file>

<file path=xl/sharedStrings.xml><?xml version="1.0" encoding="utf-8"?>
<sst xmlns="http://schemas.openxmlformats.org/spreadsheetml/2006/main" count="61" uniqueCount="59">
  <si>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</si>
  <si>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</si>
  <si>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</si>
  <si>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</si>
  <si>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</si>
  <si>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</si>
  <si>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</si>
  <si>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</si>
  <si>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</si>
  <si>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</si>
  <si>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</si>
  <si>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</si>
  <si>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</si>
  <si>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</si>
  <si>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</si>
  <si>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</si>
  <si>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</si>
  <si>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</si>
  <si>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</si>
  <si>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</si>
  <si>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</si>
  <si>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</si>
  <si>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</si>
  <si>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</si>
  <si>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</si>
  <si>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</si>
  <si>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</si>
  <si>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</si>
  <si>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</si>
  <si>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</si>
  <si>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</si>
  <si>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</si>
  <si>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</si>
  <si>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</si>
  <si>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</si>
  <si>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</si>
  <si>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</si>
  <si>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</si>
  <si>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</si>
  <si>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</si>
  <si>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17F - 56                           B/  LA FLORESTA             -   CALI    -                                       CEL.     321 7834969</t>
  </si>
  <si>
    <t>ACEROS DEL VALLE COLOMBIA S.A.S</t>
  </si>
  <si>
    <t>901 814795</t>
  </si>
  <si>
    <t>CRA 68 A  No.  25 - 67</t>
  </si>
  <si>
    <t>No. 1</t>
  </si>
  <si>
    <t>TUBERIA HR ESTRUCTURAL  100 mm X 100 mm 3 mm</t>
  </si>
  <si>
    <t>TUBO X 6 METROS</t>
  </si>
  <si>
    <t>TUBERIA HR ESTRUCTURAL  100 mm X 50 mm 3 mm</t>
  </si>
  <si>
    <t xml:space="preserve">VIGA IP 160  </t>
  </si>
  <si>
    <t>X 6 MTS</t>
  </si>
  <si>
    <t>X 12 MTS</t>
  </si>
  <si>
    <t>DOS MILLONES OCHOCIENTOS ONCE MIL SETECIENTOS</t>
  </si>
  <si>
    <t>TREINTA Y DOS PESOS MDA / CTE</t>
  </si>
  <si>
    <t>contabilidadacevalco@gmail.com</t>
  </si>
  <si>
    <t>ACEVALCO</t>
  </si>
  <si>
    <t xml:space="preserve"> </t>
  </si>
  <si>
    <t>314 6865984</t>
  </si>
  <si>
    <t>EDINSON CABEZAS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</si>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</sst>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aceval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5" zoomScaleNormal="100" workbookViewId="0">
      <selection activeCell="H30" sqref="H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44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/>
      <c r="F9" s="30" t="s">
        <v>0</v>
      </c>
      <c r="H9" s="28">
        <v>45706</v>
      </c>
    </row>
    <row r="10" spans="1:8" ht="18.75" x14ac:dyDescent="0.3">
      <c r="A10" s="21" t="s">
        <v>13</v>
      </c>
      <c r="C10" s="71" t="s">
        <v>53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 t="s">
        <v>54</v>
      </c>
      <c r="D11" s="66"/>
      <c r="E11" s="47"/>
      <c r="F11" s="30" t="s">
        <v>16</v>
      </c>
      <c r="G11" s="30"/>
      <c r="H11" s="28">
        <v>45715</v>
      </c>
    </row>
    <row r="12" spans="1:8" ht="18.75" x14ac:dyDescent="0.3">
      <c r="A12" s="21" t="s">
        <v>11</v>
      </c>
      <c r="C12" s="72" t="s">
        <v>56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57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45</v>
      </c>
      <c r="C16" s="77"/>
      <c r="D16" s="78"/>
      <c r="E16" s="75" t="s">
        <v>46</v>
      </c>
      <c r="F16" s="79">
        <v>323150</v>
      </c>
      <c r="G16" s="75">
        <v>1</v>
      </c>
      <c r="H16" s="38">
        <f t="shared" ref="H16" si="0">G16*F16</f>
        <v>323150</v>
      </c>
    </row>
    <row r="17" spans="1:8" ht="16.5" thickBot="1" x14ac:dyDescent="0.3">
      <c r="A17" s="75">
        <v>2</v>
      </c>
      <c r="B17" s="76" t="s">
        <v>47</v>
      </c>
      <c r="C17" s="77"/>
      <c r="D17" s="78"/>
      <c r="E17" s="75" t="s">
        <v>46</v>
      </c>
      <c r="F17" s="79">
        <v>237400</v>
      </c>
      <c r="G17" s="75">
        <v>1</v>
      </c>
      <c r="H17" s="38">
        <f t="shared" ref="H17:H19" si="1">G17*F17</f>
        <v>237400</v>
      </c>
    </row>
    <row r="18" spans="1:8" ht="16.5" thickBot="1" x14ac:dyDescent="0.3">
      <c r="A18" s="75">
        <v>3</v>
      </c>
      <c r="B18" s="76" t="s">
        <v>48</v>
      </c>
      <c r="C18" s="77"/>
      <c r="D18" s="78"/>
      <c r="E18" s="75" t="s">
        <v>49</v>
      </c>
      <c r="F18" s="79">
        <v>600750</v>
      </c>
      <c r="G18" s="75">
        <v>1</v>
      </c>
      <c r="H18" s="38">
        <f t="shared" si="1"/>
        <v>600750</v>
      </c>
    </row>
    <row r="19" spans="1:8" ht="16.5" thickBot="1" x14ac:dyDescent="0.3">
      <c r="A19" s="75">
        <v>4</v>
      </c>
      <c r="B19" s="76" t="s">
        <v>48</v>
      </c>
      <c r="C19" s="77"/>
      <c r="D19" s="78"/>
      <c r="E19" s="75" t="s">
        <v>50</v>
      </c>
      <c r="F19" s="79">
        <v>1201500</v>
      </c>
      <c r="G19" s="75">
        <v>1</v>
      </c>
      <c r="H19" s="38">
        <f t="shared" si="1"/>
        <v>1201500</v>
      </c>
    </row>
    <row r="20" spans="1:8" ht="19.5" customHeight="1" thickBot="1" x14ac:dyDescent="0.3">
      <c r="A20" s="51"/>
      <c r="B20" s="45"/>
      <c r="C20" s="42"/>
      <c r="D20" s="52"/>
      <c r="E20" s="53"/>
      <c r="F20" s="53"/>
      <c r="G20" s="53"/>
    </row>
    <row r="21" spans="1:8" ht="19.5" customHeight="1" thickBot="1" x14ac:dyDescent="0.35">
      <c r="A21" s="50" t="s">
        <v>23</v>
      </c>
      <c r="B21" s="14" t="s">
        <v>51</v>
      </c>
      <c r="D21" s="15"/>
      <c r="E21" s="54"/>
      <c r="F21" s="37" t="s">
        <v>39</v>
      </c>
      <c r="G21" s="6"/>
      <c r="H21" s="7"/>
    </row>
    <row r="22" spans="1:8" ht="19.5" customHeight="1" thickBot="1" x14ac:dyDescent="0.3">
      <c r="A22" s="39"/>
      <c r="B22" s="16" t="s">
        <v>52</v>
      </c>
      <c r="C22" s="4"/>
      <c r="D22" s="4"/>
      <c r="E22" s="57" t="s">
        <v>24</v>
      </c>
      <c r="F22" s="58"/>
      <c r="G22" s="46"/>
      <c r="H22" s="55">
        <f>SUM(H16:H19)</f>
        <v>2362800</v>
      </c>
    </row>
    <row r="23" spans="1:8" ht="19.5" customHeight="1" x14ac:dyDescent="0.25">
      <c r="A23" s="24" t="s">
        <v>25</v>
      </c>
      <c r="B23" s="12"/>
      <c r="C23" s="12"/>
      <c r="D23" s="12"/>
      <c r="E23" s="59" t="s">
        <v>29</v>
      </c>
      <c r="F23" s="23"/>
      <c r="G23" s="60">
        <v>0.19</v>
      </c>
      <c r="H23" s="40">
        <f>H22*G23</f>
        <v>448932</v>
      </c>
    </row>
    <row r="24" spans="1:8" ht="19.5" customHeight="1" x14ac:dyDescent="0.25">
      <c r="A24" s="14" t="s">
        <v>30</v>
      </c>
      <c r="E24" s="61" t="s">
        <v>26</v>
      </c>
      <c r="G24" s="64">
        <v>2.5000000000000001E-2</v>
      </c>
      <c r="H24" s="56">
        <f>H22*G24</f>
        <v>59070</v>
      </c>
    </row>
    <row r="25" spans="1:8" ht="15.75" x14ac:dyDescent="0.25">
      <c r="A25" s="14" t="s">
        <v>58</v>
      </c>
      <c r="E25" s="14"/>
      <c r="F25" s="33"/>
      <c r="G25" s="47"/>
      <c r="H25" s="15"/>
    </row>
    <row r="26" spans="1:8" ht="16.5" thickBot="1" x14ac:dyDescent="0.3">
      <c r="A26" s="14" t="s">
        <v>33</v>
      </c>
      <c r="E26" s="62" t="s">
        <v>27</v>
      </c>
      <c r="F26" s="63"/>
      <c r="G26" s="48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</f>
        <v>2811732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40</v>
      </c>
      <c r="B34" s="6"/>
      <c r="C34" s="6"/>
      <c r="D34" s="6"/>
      <c r="E34" s="6"/>
      <c r="F34" s="6"/>
      <c r="G34" s="6"/>
      <c r="H34" s="7"/>
    </row>
    <row r="39" spans="1:8" x14ac:dyDescent="0.25">
      <c r="A39" t="s">
        <v>55</v>
      </c>
    </row>
    <row r="42" spans="1:8" ht="18.75" x14ac:dyDescent="0.3">
      <c r="A42" s="5"/>
    </row>
  </sheetData>
  <hyperlinks>
    <hyperlink ref="C10" r:id="rId1" xr:uid="{1C843F85-47A7-4D35-A297-0AFEEF558D61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ACEVALCO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2025-02-18T17:53:27Z</dcterms:modified>
</cp:coreProperties>
</file>