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5204006-E1FD-4208-A514-28EE23E48B7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<sst xmlns="http://schemas.openxmlformats.org/spreadsheetml/2006/main" count="54" uniqueCount="54">
  <si>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</si>
  <si>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</si>
  <si>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</si>
  <si>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</si>
  <si>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</si>
  <si>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</si>
  <si>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</si>
  <si>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</si>
  <si>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</si>
  <si>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</si>
  <si>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</si>
  <si>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</si>
  <si>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</si>
  <si>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</si>
  <si>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</si>
  <si>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</si>
  <si>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</si>
  <si>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</si>
  <si>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</si>
  <si>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</si>
  <si>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</si>
  <si>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</si>
  <si>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</si>
  <si>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</si>
  <si>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</si>
  <si>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</si>
  <si>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</si>
  <si>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</si>
  <si>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</si>
  <si>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</si>
  <si>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</si>
  <si>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</si>
  <si>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</si>
  <si>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</si>
  <si>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</si>
  <si>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</si>
  <si>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</si>
  <si>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</si>
  <si>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</si>
  <si>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</si>
  <si>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</si>
  <si>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</si>
  <si>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</si>
  <si>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</si>
  <si>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</si>
  <si>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</si>
  <si>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FORMA DE PAGO : CREDITO A 30 DIAS</t>
  </si>
  <si>
    <t>ENTREGA  EN TRES DIAS</t>
  </si>
  <si>
    <t xml:space="preserve">           C O T I Z A C I O N</t>
  </si>
  <si>
    <t>No.  10</t>
  </si>
  <si>
    <t>CAP A / C  SCH 80  20 "</t>
  </si>
  <si>
    <t>ACCESORIO</t>
  </si>
  <si>
    <t>VEINTITRES MILLONES CIENTO VEINTIDOS MIL NOVECIEN</t>
  </si>
  <si>
    <t>TOS VEINTE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</si>
</sst>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3" xfId="0" applyFont="1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C21" sqref="C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32</v>
      </c>
      <c r="E4" s="17"/>
      <c r="F4" s="18"/>
      <c r="G4" s="6"/>
      <c r="H4" s="7"/>
    </row>
    <row r="5" spans="1:8" ht="19.5" thickBot="1" x14ac:dyDescent="0.35">
      <c r="A5" s="36" t="s">
        <v>35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2"/>
      <c r="H6" s="43"/>
    </row>
    <row r="7" spans="1:8" ht="19.5" thickBot="1" x14ac:dyDescent="0.35">
      <c r="A7" s="19" t="s">
        <v>14</v>
      </c>
      <c r="B7" s="12"/>
      <c r="C7" s="72" t="s">
        <v>39</v>
      </c>
      <c r="D7" s="6"/>
      <c r="E7" s="7"/>
      <c r="F7" s="36"/>
      <c r="G7" s="17"/>
      <c r="H7" s="18" t="s">
        <v>49</v>
      </c>
    </row>
    <row r="8" spans="1:8" ht="18.75" x14ac:dyDescent="0.3">
      <c r="A8" s="20" t="s">
        <v>8</v>
      </c>
      <c r="C8" s="64" t="s">
        <v>40</v>
      </c>
      <c r="D8" s="65"/>
      <c r="E8" s="45"/>
      <c r="H8" s="14"/>
    </row>
    <row r="9" spans="1:8" ht="18.75" customHeight="1" x14ac:dyDescent="0.3">
      <c r="A9" s="20" t="s">
        <v>9</v>
      </c>
      <c r="C9" s="66" t="s">
        <v>41</v>
      </c>
      <c r="D9" s="22"/>
      <c r="E9" s="67" t="s">
        <v>42</v>
      </c>
      <c r="F9" s="29" t="s">
        <v>0</v>
      </c>
      <c r="H9" s="27">
        <v>45644</v>
      </c>
    </row>
    <row r="10" spans="1:8" ht="18.75" x14ac:dyDescent="0.3">
      <c r="A10" s="20" t="s">
        <v>13</v>
      </c>
      <c r="C10" s="68" t="s">
        <v>43</v>
      </c>
      <c r="D10" s="63"/>
      <c r="E10" s="46"/>
      <c r="F10" s="29" t="s">
        <v>15</v>
      </c>
      <c r="H10" s="28" t="s">
        <v>31</v>
      </c>
    </row>
    <row r="11" spans="1:8" ht="18.75" x14ac:dyDescent="0.3">
      <c r="A11" s="20" t="s">
        <v>10</v>
      </c>
      <c r="C11" s="68"/>
      <c r="D11" s="63"/>
      <c r="E11" s="46"/>
      <c r="F11" s="29" t="s">
        <v>16</v>
      </c>
      <c r="G11" s="29"/>
      <c r="H11" s="27">
        <v>45653</v>
      </c>
    </row>
    <row r="12" spans="1:8" ht="18.75" x14ac:dyDescent="0.3">
      <c r="A12" s="20" t="s">
        <v>11</v>
      </c>
      <c r="C12" s="69" t="s">
        <v>44</v>
      </c>
      <c r="D12" s="63"/>
      <c r="E12" s="46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70" t="s">
        <v>45</v>
      </c>
      <c r="D13" s="71"/>
      <c r="E13" s="47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36</v>
      </c>
      <c r="B15" s="78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 thickBot="1" x14ac:dyDescent="0.3">
      <c r="A16" s="73">
        <v>1</v>
      </c>
      <c r="B16" s="74" t="s">
        <v>50</v>
      </c>
      <c r="C16" s="75"/>
      <c r="D16" s="76"/>
      <c r="E16" s="73" t="s">
        <v>51</v>
      </c>
      <c r="F16" s="77">
        <v>4962000</v>
      </c>
      <c r="G16" s="73">
        <v>4</v>
      </c>
      <c r="H16" s="37">
        <f t="shared" ref="H16" si="0">G16*F16</f>
        <v>19848000</v>
      </c>
    </row>
    <row r="17" spans="1:8" ht="19.5" customHeight="1" thickBot="1" x14ac:dyDescent="0.3">
      <c r="A17" s="49"/>
      <c r="B17" s="44"/>
      <c r="C17" s="41"/>
      <c r="D17" s="50"/>
      <c r="E17" s="51"/>
      <c r="F17" s="51"/>
      <c r="G17" s="51"/>
    </row>
    <row r="18" spans="1:8" ht="19.5" customHeight="1" thickBot="1" x14ac:dyDescent="0.35">
      <c r="A18" s="48" t="s">
        <v>23</v>
      </c>
      <c r="B18" s="13" t="s">
        <v>52</v>
      </c>
      <c r="D18" s="14"/>
      <c r="E18" s="52"/>
      <c r="F18" s="36" t="s">
        <v>29</v>
      </c>
      <c r="G18" s="6"/>
      <c r="H18" s="7"/>
    </row>
    <row r="19" spans="1:8" ht="19.5" customHeight="1" thickBot="1" x14ac:dyDescent="0.3">
      <c r="A19" s="38"/>
      <c r="B19" s="15" t="s">
        <v>53</v>
      </c>
      <c r="C19" s="4"/>
      <c r="D19" s="4"/>
      <c r="E19" s="55" t="s">
        <v>24</v>
      </c>
      <c r="F19" s="56"/>
      <c r="G19" s="45"/>
      <c r="H19" s="53">
        <f>SUM(H16:H18)</f>
        <v>19848000</v>
      </c>
    </row>
    <row r="20" spans="1:8" ht="19.5" customHeight="1" x14ac:dyDescent="0.25">
      <c r="A20" s="23" t="s">
        <v>25</v>
      </c>
      <c r="B20" s="12"/>
      <c r="C20" s="12"/>
      <c r="D20" s="12"/>
      <c r="E20" s="57" t="s">
        <v>30</v>
      </c>
      <c r="F20" s="22"/>
      <c r="G20" s="58">
        <v>0.19</v>
      </c>
      <c r="H20" s="39">
        <f>H19*G20</f>
        <v>3771120</v>
      </c>
    </row>
    <row r="21" spans="1:8" ht="19.5" customHeight="1" x14ac:dyDescent="0.25">
      <c r="A21" s="13" t="s">
        <v>46</v>
      </c>
      <c r="E21" s="59" t="s">
        <v>26</v>
      </c>
      <c r="G21" s="62">
        <v>2.5000000000000001E-2</v>
      </c>
      <c r="H21" s="54">
        <f>H19*G21</f>
        <v>496200</v>
      </c>
    </row>
    <row r="22" spans="1:8" ht="15.75" x14ac:dyDescent="0.25">
      <c r="A22" s="13" t="s">
        <v>47</v>
      </c>
      <c r="E22" s="13"/>
      <c r="F22" s="32"/>
      <c r="G22" s="46"/>
      <c r="H22" s="14"/>
    </row>
    <row r="23" spans="1:8" ht="16.5" thickBot="1" x14ac:dyDescent="0.3">
      <c r="A23" t="s">
        <v>33</v>
      </c>
      <c r="E23" s="60" t="s">
        <v>27</v>
      </c>
      <c r="F23" s="61"/>
      <c r="G23" s="47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H19+H20-H21</f>
        <v>23122920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2024-11-13T15:13:39Z</cp:lastPrinted>
  <dcterms:created xsi:type="dcterms:W3CDTF">2018-11-15T17:29:02Z</dcterms:created>
  <dcterms:modified xsi:type="dcterms:W3CDTF">2024-12-18T16:06:37Z</dcterms:modified>
</cp:coreProperties>
</file>