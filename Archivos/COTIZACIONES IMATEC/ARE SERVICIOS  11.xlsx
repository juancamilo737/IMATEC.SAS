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020C7DA8-DFD6-4B03-A117-25DBE6EC3C02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RE SERVICIO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<sst xmlns="http://schemas.openxmlformats.org/spreadsheetml/2006/main" count="53" uniqueCount="53">
  <si>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</si>
  <si>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</si>
  <si>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</si>
  <si>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</si>
  <si>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</si>
  <si>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</si>
  <si>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</si>
  <si>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</si>
  <si>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</si>
  <si>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</si>
  <si>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</si>
  <si>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</si>
  <si>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</si>
  <si>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</si>
  <si>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</si>
  <si>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</si>
  <si>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</si>
  <si>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</si>
  <si>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</si>
  <si>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</si>
  <si>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</si>
  <si>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</si>
  <si>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</si>
  <si>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</si>
  <si>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</si>
  <si>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</si>
  <si>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</si>
  <si>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</si>
  <si>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</si>
  <si>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</si>
  <si>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</si>
  <si>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</si>
  <si>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</si>
  <si>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</si>
  <si>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</si>
  <si>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</si>
  <si>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</si>
  <si>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</si>
  <si>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ARE SERVICIOS S.A.S.</t>
  </si>
  <si>
    <t>901 248521</t>
  </si>
  <si>
    <t>CRA 71D  No. 64C-41</t>
  </si>
  <si>
    <t>BOGOTÁ</t>
  </si>
  <si>
    <t>facturacionelectronica@areservicios.com</t>
  </si>
  <si>
    <t>317 685821</t>
  </si>
  <si>
    <t>EDINSON CABEZAS</t>
  </si>
  <si>
    <t>ACCESORIO</t>
  </si>
  <si>
    <t>L I Q U I D A C I O N</t>
  </si>
  <si>
    <t xml:space="preserve">  CALLE  33A  No. 17F - 56                          B/  LA FLORESTA             -   CALI    -                                   CEL.     321 7834969</t>
  </si>
  <si>
    <t xml:space="preserve">              R E M I S I O N </t>
  </si>
  <si>
    <t>No. 11</t>
  </si>
  <si>
    <t>VALVULA DE BOLA AC/INOX 304 1 1/2 " X 1000 LBS</t>
  </si>
  <si>
    <t>TRESCIENTOS CUARENTA Y NUEVE MIL OCHOCIENTOS</t>
  </si>
  <si>
    <t>SESENTA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</si>
</sst>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27" xfId="0" applyBorder="1"/>
    <xf numFmtId="0" fontId="0" fillId="0" borderId="20" xfId="0" applyBorder="1"/>
    <xf numFmtId="0" fontId="13" fillId="0" borderId="21" xfId="2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4" fillId="0" borderId="5" xfId="0" applyFont="1" applyBorder="1"/>
    <xf numFmtId="0" fontId="1" fillId="0" borderId="28" xfId="0" applyFont="1" applyBorder="1" applyAlignment="1">
      <alignment horizontal="center"/>
    </xf>
    <xf numFmtId="0" fontId="8" fillId="0" borderId="29" xfId="0" applyFont="1" applyBorder="1"/>
    <xf numFmtId="0" fontId="8" fillId="0" borderId="2" xfId="0" applyFont="1" applyBorder="1"/>
    <xf numFmtId="0" fontId="8" fillId="0" borderId="30" xfId="0" applyFont="1" applyBorder="1"/>
    <xf numFmtId="42" fontId="11" fillId="0" borderId="28" xfId="1" applyFont="1" applyBorder="1" applyAlignment="1">
      <alignment horizontal="center"/>
    </xf>
    <xf numFmtId="0" fontId="1" fillId="0" borderId="3" xfId="0" applyFont="1" applyBorder="1"/>
    <xf numFmtId="0" fontId="1" fillId="0" borderId="33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electronica@areservici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K17" sqref="K1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59" t="s">
        <v>38</v>
      </c>
      <c r="D7" s="12"/>
      <c r="E7" s="13"/>
      <c r="F7" s="37"/>
      <c r="G7" s="18"/>
      <c r="H7" s="69" t="s">
        <v>49</v>
      </c>
    </row>
    <row r="8" spans="1:8" ht="18.75" x14ac:dyDescent="0.3">
      <c r="A8" s="21" t="s">
        <v>8</v>
      </c>
      <c r="C8" s="61" t="s">
        <v>39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40</v>
      </c>
      <c r="D9" s="23"/>
      <c r="E9" s="64" t="s">
        <v>41</v>
      </c>
      <c r="F9" s="30" t="s">
        <v>0</v>
      </c>
      <c r="H9" s="28">
        <v>45734</v>
      </c>
    </row>
    <row r="10" spans="1:8" ht="18.75" x14ac:dyDescent="0.3">
      <c r="A10" s="21" t="s">
        <v>13</v>
      </c>
      <c r="C10" s="65" t="s">
        <v>42</v>
      </c>
      <c r="D10" s="60"/>
      <c r="E10" s="45"/>
      <c r="F10" s="30" t="s">
        <v>15</v>
      </c>
      <c r="H10" s="29"/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6" t="s">
        <v>43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44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5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0">
        <v>1</v>
      </c>
      <c r="B16" s="71" t="s">
        <v>50</v>
      </c>
      <c r="C16" s="72"/>
      <c r="D16" s="73"/>
      <c r="E16" s="70" t="s">
        <v>45</v>
      </c>
      <c r="F16" s="74">
        <v>98000</v>
      </c>
      <c r="G16" s="70">
        <v>3</v>
      </c>
      <c r="H16" s="38">
        <f t="shared" ref="H16" si="0">G16*F16</f>
        <v>294000</v>
      </c>
    </row>
    <row r="17" spans="1:8" ht="19.5" customHeight="1" thickBot="1" x14ac:dyDescent="0.3">
      <c r="A17" s="47"/>
      <c r="B17" s="77"/>
      <c r="D17" s="78"/>
      <c r="E17" s="47"/>
      <c r="F17" s="47"/>
      <c r="G17" s="47"/>
    </row>
    <row r="18" spans="1:8" ht="19.5" customHeight="1" thickBot="1" x14ac:dyDescent="0.35">
      <c r="A18" s="76" t="s">
        <v>23</v>
      </c>
      <c r="B18" s="79" t="s">
        <v>51</v>
      </c>
      <c r="C18" s="12"/>
      <c r="D18" s="13"/>
      <c r="E18" s="48"/>
      <c r="F18" s="37" t="s">
        <v>46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51" t="s">
        <v>24</v>
      </c>
      <c r="F19" s="52"/>
      <c r="G19" s="44"/>
      <c r="H19" s="49">
        <f>SUM(H16:H16)</f>
        <v>294000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55860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35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349860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47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4778937E-3C8A-4F72-A87C-3574AB5EA75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ARE SERVICIOS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2025-03-03T21:14:09Z</cp:lastPrinted>
  <dcterms:created xsi:type="dcterms:W3CDTF">2018-11-15T17:29:02Z</dcterms:created>
  <dcterms:modified xsi:type="dcterms:W3CDTF">2025-03-18T15:14:20Z</dcterms:modified>
</cp:coreProperties>
</file>