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3BCF20C-08EC-40D6-89BB-8784A1D1D30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R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5" i="1" s="1"/>
  <c r="H21" i="1"/>
  <c r="H20" i="1"/>
  <c r="H19" i="1"/>
  <c r="H18" i="1"/>
  <c r="H17" i="1"/>
  <c r="H16" i="1"/>
  <c r="H26" i="1" l="1"/>
  <c r="H30" i="1" s="1"/>
</calcChain>
</file>

<file path=xl/sharedStrings.xml><?xml version="1.0" encoding="utf-8"?>
<sst xmlns="http://schemas.openxmlformats.org/spreadsheetml/2006/main" count="66" uniqueCount="61">
  <si>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</si>
  <si>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</si>
  <si>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</si>
  <si>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</si>
  <si>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</si>
  <si>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</si>
  <si>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</si>
  <si>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</si>
  <si>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</si>
  <si>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</si>
  <si>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</si>
  <si>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</si>
  <si>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</si>
  <si>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</si>
  <si>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</si>
  <si>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</si>
  <si>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</si>
  <si>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</si>
  <si>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</si>
  <si>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</si>
  <si>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</si>
  <si>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</si>
  <si>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</si>
  <si>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</si>
  <si>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</si>
  <si>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</si>
  <si>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</si>
  <si>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</si>
  <si>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</si>
  <si>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</si>
  <si>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</si>
  <si>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</si>
  <si>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</si>
  <si>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</si>
  <si>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</si>
  <si>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</si>
  <si>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</si>
  <si>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</si>
  <si>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</si>
  <si>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SERVICIOS PARA LA INDUSTRIA JRL S.A.S.</t>
  </si>
  <si>
    <t>901 054255</t>
  </si>
  <si>
    <t>CALLE 20 SUR  No. 12B-04</t>
  </si>
  <si>
    <t>BUGA</t>
  </si>
  <si>
    <t>gerencia@jrl-sas.co</t>
  </si>
  <si>
    <t>315 5632902</t>
  </si>
  <si>
    <t>LUIS A. BENAVIDES</t>
  </si>
  <si>
    <t>ACCESORIO</t>
  </si>
  <si>
    <t>L I Q U I D A C I O N</t>
  </si>
  <si>
    <t xml:space="preserve">  CALLE  33A  No. 17F - 56                        B/  LA FLORESTA             -   CALI    -                                         CEL.     321 7834969</t>
  </si>
  <si>
    <t>METRO LINEAL</t>
  </si>
  <si>
    <t>No. 9</t>
  </si>
  <si>
    <t xml:space="preserve">           C O T I Z A C I O N</t>
  </si>
  <si>
    <t>BRIDA A / C  SLIP ON  1 "  X  300 LBS</t>
  </si>
  <si>
    <t>BRIDA A / C  SLIP ON  3/4 "  X  300 LBS</t>
  </si>
  <si>
    <t>VALVULA P/D  A / C  1 "  X  800 LBS</t>
  </si>
  <si>
    <t>CODO A / C  SCH 40  1 1/2 "  X  90 º</t>
  </si>
  <si>
    <t>COPA CONCENTRICA A / C  SCH 40  1 1/2 " X 1 "</t>
  </si>
  <si>
    <t>BUSHING  A / C   1 "  X  1/2 "  X  3000 LBS</t>
  </si>
  <si>
    <t xml:space="preserve">TUBERIA  A / C SCH 40  1 1/2 " </t>
  </si>
  <si>
    <t>CUATROCIENTOS CINCUENTA Y CUATRO MIL QUINIENTOS</t>
  </si>
  <si>
    <t>OCHENTA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</si>
</sst>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9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1" fillId="0" borderId="30" xfId="0" applyFont="1" applyBorder="1" applyAlignment="1">
      <alignment horizontal="left" vertical="top" wrapText="1"/>
    </xf>
    <xf numFmtId="0" fontId="0" fillId="0" borderId="27" xfId="0" applyBorder="1"/>
    <xf numFmtId="0" fontId="0" fillId="0" borderId="28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8" fillId="0" borderId="14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jrl-s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41</v>
      </c>
      <c r="D9" s="23"/>
      <c r="E9" s="64" t="s">
        <v>42</v>
      </c>
      <c r="F9" s="30" t="s">
        <v>0</v>
      </c>
      <c r="H9" s="28">
        <v>45756</v>
      </c>
    </row>
    <row r="10" spans="1:8" ht="18.75" x14ac:dyDescent="0.3">
      <c r="A10" s="21" t="s">
        <v>13</v>
      </c>
      <c r="C10" s="65" t="s">
        <v>43</v>
      </c>
      <c r="D10" s="60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45765</v>
      </c>
    </row>
    <row r="12" spans="1:8" ht="18.75" x14ac:dyDescent="0.3">
      <c r="A12" s="21" t="s">
        <v>11</v>
      </c>
      <c r="C12" s="66" t="s">
        <v>44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45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73" t="s">
        <v>35</v>
      </c>
      <c r="B15" s="24" t="s">
        <v>22</v>
      </c>
      <c r="C15" s="42"/>
      <c r="D15" s="13"/>
      <c r="E15" s="73" t="s">
        <v>18</v>
      </c>
      <c r="F15" s="73" t="s">
        <v>20</v>
      </c>
      <c r="G15" s="73" t="s">
        <v>19</v>
      </c>
      <c r="H15" s="32" t="s">
        <v>21</v>
      </c>
    </row>
    <row r="16" spans="1:8" ht="16.5" thickBot="1" x14ac:dyDescent="0.3">
      <c r="A16" s="74">
        <v>1</v>
      </c>
      <c r="B16" s="75" t="s">
        <v>52</v>
      </c>
      <c r="C16" s="75"/>
      <c r="D16" s="75"/>
      <c r="E16" s="74" t="s">
        <v>46</v>
      </c>
      <c r="F16" s="76">
        <v>26500</v>
      </c>
      <c r="G16" s="74">
        <v>2</v>
      </c>
      <c r="H16" s="38">
        <f t="shared" ref="H16" si="0">G16*F16</f>
        <v>53000</v>
      </c>
    </row>
    <row r="17" spans="1:8" ht="16.5" thickBot="1" x14ac:dyDescent="0.3">
      <c r="A17" s="74">
        <v>2</v>
      </c>
      <c r="B17" s="75" t="s">
        <v>53</v>
      </c>
      <c r="C17" s="75"/>
      <c r="D17" s="75"/>
      <c r="E17" s="74" t="s">
        <v>46</v>
      </c>
      <c r="F17" s="76">
        <v>22500</v>
      </c>
      <c r="G17" s="74">
        <v>2</v>
      </c>
      <c r="H17" s="38">
        <f t="shared" ref="H17:H22" si="1">G17*F17</f>
        <v>45000</v>
      </c>
    </row>
    <row r="18" spans="1:8" ht="16.5" thickBot="1" x14ac:dyDescent="0.3">
      <c r="A18" s="74">
        <v>3</v>
      </c>
      <c r="B18" s="75" t="s">
        <v>54</v>
      </c>
      <c r="C18" s="75"/>
      <c r="D18" s="75"/>
      <c r="E18" s="74" t="s">
        <v>46</v>
      </c>
      <c r="F18" s="76">
        <v>152000</v>
      </c>
      <c r="G18" s="74">
        <v>1</v>
      </c>
      <c r="H18" s="38">
        <f t="shared" si="1"/>
        <v>152000</v>
      </c>
    </row>
    <row r="19" spans="1:8" ht="16.5" thickBot="1" x14ac:dyDescent="0.3">
      <c r="A19" s="74">
        <v>4</v>
      </c>
      <c r="B19" s="75" t="s">
        <v>55</v>
      </c>
      <c r="C19" s="75"/>
      <c r="D19" s="75"/>
      <c r="E19" s="74" t="s">
        <v>46</v>
      </c>
      <c r="F19" s="76">
        <v>6500</v>
      </c>
      <c r="G19" s="74">
        <v>6</v>
      </c>
      <c r="H19" s="38">
        <f t="shared" si="1"/>
        <v>39000</v>
      </c>
    </row>
    <row r="20" spans="1:8" ht="16.5" thickBot="1" x14ac:dyDescent="0.3">
      <c r="A20" s="74">
        <v>5</v>
      </c>
      <c r="B20" s="75" t="s">
        <v>56</v>
      </c>
      <c r="C20" s="75"/>
      <c r="D20" s="75"/>
      <c r="E20" s="74" t="s">
        <v>46</v>
      </c>
      <c r="F20" s="76">
        <v>12000</v>
      </c>
      <c r="G20" s="74">
        <v>2</v>
      </c>
      <c r="H20" s="38">
        <f t="shared" si="1"/>
        <v>24000</v>
      </c>
    </row>
    <row r="21" spans="1:8" ht="16.5" thickBot="1" x14ac:dyDescent="0.3">
      <c r="A21" s="74">
        <v>6</v>
      </c>
      <c r="B21" s="75" t="s">
        <v>57</v>
      </c>
      <c r="C21" s="75"/>
      <c r="D21" s="75"/>
      <c r="E21" s="74" t="s">
        <v>46</v>
      </c>
      <c r="F21" s="76">
        <v>11000</v>
      </c>
      <c r="G21" s="74">
        <v>1</v>
      </c>
      <c r="H21" s="38">
        <f t="shared" si="1"/>
        <v>11000</v>
      </c>
    </row>
    <row r="22" spans="1:8" ht="16.5" thickBot="1" x14ac:dyDescent="0.3">
      <c r="A22" s="74">
        <v>7</v>
      </c>
      <c r="B22" s="75" t="s">
        <v>58</v>
      </c>
      <c r="C22" s="75"/>
      <c r="D22" s="75"/>
      <c r="E22" s="74" t="s">
        <v>49</v>
      </c>
      <c r="F22" s="76">
        <v>29000</v>
      </c>
      <c r="G22" s="74">
        <v>2</v>
      </c>
      <c r="H22" s="38">
        <f t="shared" si="1"/>
        <v>58000</v>
      </c>
    </row>
    <row r="23" spans="1:8" ht="19.5" customHeight="1" thickBot="1" x14ac:dyDescent="0.3">
      <c r="A23" s="47"/>
      <c r="B23" s="70"/>
      <c r="D23" s="71"/>
      <c r="E23" s="47"/>
      <c r="F23" s="47"/>
      <c r="G23" s="47"/>
    </row>
    <row r="24" spans="1:8" ht="19.5" customHeight="1" thickBot="1" x14ac:dyDescent="0.35">
      <c r="A24" s="69" t="s">
        <v>23</v>
      </c>
      <c r="B24" s="72" t="s">
        <v>59</v>
      </c>
      <c r="C24" s="12"/>
      <c r="D24" s="13"/>
      <c r="E24" s="48"/>
      <c r="F24" s="37" t="s">
        <v>47</v>
      </c>
      <c r="G24" s="6"/>
      <c r="H24" s="7"/>
    </row>
    <row r="25" spans="1:8" ht="19.5" customHeight="1" thickBot="1" x14ac:dyDescent="0.3">
      <c r="A25" s="39"/>
      <c r="B25" s="16" t="s">
        <v>60</v>
      </c>
      <c r="C25" s="4"/>
      <c r="D25" s="17"/>
      <c r="E25" s="51" t="s">
        <v>24</v>
      </c>
      <c r="F25" s="52"/>
      <c r="G25" s="44"/>
      <c r="H25" s="49">
        <f>SUM(H16:H22)</f>
        <v>382000</v>
      </c>
    </row>
    <row r="26" spans="1:8" ht="19.5" customHeight="1" x14ac:dyDescent="0.25">
      <c r="A26" s="24" t="s">
        <v>25</v>
      </c>
      <c r="B26" s="12"/>
      <c r="C26" s="12"/>
      <c r="D26" s="12"/>
      <c r="E26" s="53" t="s">
        <v>29</v>
      </c>
      <c r="F26" s="23"/>
      <c r="G26" s="54">
        <v>0.19</v>
      </c>
      <c r="H26" s="40">
        <f>H25*G26</f>
        <v>72580</v>
      </c>
    </row>
    <row r="27" spans="1:8" ht="19.5" customHeight="1" x14ac:dyDescent="0.25">
      <c r="A27" s="14" t="s">
        <v>30</v>
      </c>
      <c r="E27" s="55" t="s">
        <v>26</v>
      </c>
      <c r="G27" s="58">
        <v>2.5000000000000001E-2</v>
      </c>
      <c r="H27" s="50"/>
    </row>
    <row r="28" spans="1:8" ht="15.75" x14ac:dyDescent="0.25">
      <c r="A28" s="14" t="s">
        <v>36</v>
      </c>
      <c r="E28" s="14"/>
      <c r="F28" s="33"/>
      <c r="G28" s="45"/>
      <c r="H28" s="15"/>
    </row>
    <row r="29" spans="1:8" ht="16.5" thickBot="1" x14ac:dyDescent="0.3">
      <c r="A29" s="14" t="s">
        <v>33</v>
      </c>
      <c r="E29" s="56" t="s">
        <v>27</v>
      </c>
      <c r="F29" s="57"/>
      <c r="G29" s="46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</f>
        <v>454580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48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C013117B-A38F-4CB6-97FD-52F4FB6837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JRL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2025-01-28T19:04:17Z</cp:lastPrinted>
  <dcterms:created xsi:type="dcterms:W3CDTF">2018-11-15T17:29:02Z</dcterms:created>
  <dcterms:modified xsi:type="dcterms:W3CDTF">2025-04-09T16:51:27Z</dcterms:modified>
</cp:coreProperties>
</file>