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4F782013-5A04-4185-AD68-EC29D7B166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APOR,AIRE,AGU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29" i="1"/>
  <c r="H27" i="1"/>
  <c r="H24" i="1"/>
  <c r="H23" i="1" l="1"/>
  <c r="H22" i="1"/>
  <c r="H21" i="1"/>
  <c r="H20" i="1" l="1"/>
  <c r="H19" i="1"/>
  <c r="H18" i="1"/>
  <c r="H17" i="1"/>
  <c r="H16" i="1"/>
  <c r="H28" i="1" l="1"/>
</calcChain>
</file>

<file path=xl/sharedStrings.xml><?xml version="1.0" encoding="utf-8"?>
<sst xmlns="http://schemas.openxmlformats.org/spreadsheetml/2006/main" count="75" uniqueCount="65">
  <si>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</si>
  <si>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</si>
  <si>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</si>
  <si>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</si>
  <si>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</si>
  <si>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</si>
  <si>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</si>
  <si>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</si>
  <si>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</si>
  <si>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</si>
  <si>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</si>
  <si>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</si>
  <si>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</si>
  <si>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</si>
  <si>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</si>
  <si>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</si>
  <si>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</si>
  <si>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</si>
  <si>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</si>
  <si>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</si>
  <si>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</si>
  <si>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</si>
  <si>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</si>
  <si>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</si>
  <si>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</si>
  <si>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</si>
  <si>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</si>
  <si>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</si>
  <si>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</si>
  <si>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</si>
  <si>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</si>
  <si>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</si>
  <si>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</si>
  <si>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</si>
  <si>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</si>
  <si>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</si>
  <si>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</si>
  <si>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</si>
  <si>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</si>
  <si>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</si>
  <si>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</si>
  <si>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</si>
  <si>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</si>
  <si>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</si>
  <si>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</si>
  <si>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FORMA DE PAGO : CREDITO A 30 DIAS</t>
  </si>
  <si>
    <t>30 DIAS</t>
  </si>
  <si>
    <t>FABRICACION</t>
  </si>
  <si>
    <t>No. 11</t>
  </si>
  <si>
    <t>NIPLE A / C  2 "   X</t>
  </si>
  <si>
    <t>NIPLE A / C  1 1/2  "   X</t>
  </si>
  <si>
    <t>12 CMTS</t>
  </si>
  <si>
    <t>10 CMTS</t>
  </si>
  <si>
    <t>8 CMTS</t>
  </si>
  <si>
    <t>METRO LINEAL</t>
  </si>
  <si>
    <t>TUBERIA  A / C SCH 40   6 "</t>
  </si>
  <si>
    <t>X  18 CMTS</t>
  </si>
  <si>
    <t>TRAMO</t>
  </si>
  <si>
    <t>X  10 CMTS</t>
  </si>
  <si>
    <t>TUBERIA  A / C SCH 40   1 "</t>
  </si>
  <si>
    <t xml:space="preserve">              R E M I S I O N</t>
  </si>
  <si>
    <t>CODO  A / C  2 "  X  90 º  X  150  LBS</t>
  </si>
  <si>
    <t>ACCESORIO</t>
  </si>
  <si>
    <t>SEISCIENTOS SESENTA Y NUEVE MIL DIECIOCHO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</si>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</sst>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8" fillId="0" borderId="32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4" xfId="0" applyBorder="1"/>
    <xf numFmtId="0" fontId="0" fillId="0" borderId="0" xfId="0" applyBorder="1"/>
    <xf numFmtId="0" fontId="0" fillId="0" borderId="35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topLeftCell="A14" zoomScaleNormal="100" workbookViewId="0">
      <selection activeCell="I32" sqref="I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60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44</v>
      </c>
      <c r="D9" s="23"/>
      <c r="E9" s="64"/>
      <c r="F9" s="30" t="s">
        <v>0</v>
      </c>
      <c r="H9" s="28">
        <v>45909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46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45938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 t="s">
        <v>51</v>
      </c>
      <c r="E16" s="69" t="s">
        <v>47</v>
      </c>
      <c r="F16" s="73">
        <v>12600</v>
      </c>
      <c r="G16" s="69">
        <v>5</v>
      </c>
      <c r="H16" s="38">
        <f t="shared" ref="H16" si="0">G16*F16</f>
        <v>63000</v>
      </c>
    </row>
    <row r="17" spans="1:8" ht="16.5" thickBot="1" x14ac:dyDescent="0.3">
      <c r="A17" s="69">
        <v>2</v>
      </c>
      <c r="B17" s="70" t="s">
        <v>49</v>
      </c>
      <c r="C17" s="71"/>
      <c r="D17" s="72" t="s">
        <v>52</v>
      </c>
      <c r="E17" s="69" t="s">
        <v>47</v>
      </c>
      <c r="F17" s="73">
        <v>11000</v>
      </c>
      <c r="G17" s="69">
        <v>5</v>
      </c>
      <c r="H17" s="38">
        <f t="shared" ref="H17:H23" si="1">G17*F17</f>
        <v>55000</v>
      </c>
    </row>
    <row r="18" spans="1:8" ht="16.5" thickBot="1" x14ac:dyDescent="0.3">
      <c r="A18" s="69">
        <v>3</v>
      </c>
      <c r="B18" s="70" t="s">
        <v>49</v>
      </c>
      <c r="C18" s="71"/>
      <c r="D18" s="72" t="s">
        <v>53</v>
      </c>
      <c r="E18" s="69" t="s">
        <v>47</v>
      </c>
      <c r="F18" s="73">
        <v>7000</v>
      </c>
      <c r="G18" s="69">
        <v>5</v>
      </c>
      <c r="H18" s="38">
        <f t="shared" si="1"/>
        <v>35000</v>
      </c>
    </row>
    <row r="19" spans="1:8" ht="16.5" thickBot="1" x14ac:dyDescent="0.3">
      <c r="A19" s="69">
        <v>4</v>
      </c>
      <c r="B19" s="70" t="s">
        <v>50</v>
      </c>
      <c r="C19" s="71"/>
      <c r="D19" s="75" t="s">
        <v>53</v>
      </c>
      <c r="E19" s="69" t="s">
        <v>47</v>
      </c>
      <c r="F19" s="73">
        <v>5500</v>
      </c>
      <c r="G19" s="69">
        <v>4</v>
      </c>
      <c r="H19" s="38">
        <f t="shared" si="1"/>
        <v>22000</v>
      </c>
    </row>
    <row r="20" spans="1:8" ht="16.5" thickBot="1" x14ac:dyDescent="0.3">
      <c r="A20" s="69">
        <v>5</v>
      </c>
      <c r="B20" s="70" t="s">
        <v>55</v>
      </c>
      <c r="C20" s="71"/>
      <c r="D20" s="72"/>
      <c r="E20" s="69" t="s">
        <v>54</v>
      </c>
      <c r="F20" s="73">
        <v>215000</v>
      </c>
      <c r="G20" s="69">
        <v>1</v>
      </c>
      <c r="H20" s="38">
        <f t="shared" si="1"/>
        <v>215000</v>
      </c>
    </row>
    <row r="21" spans="1:8" ht="16.5" thickBot="1" x14ac:dyDescent="0.3">
      <c r="A21" s="69">
        <v>6</v>
      </c>
      <c r="B21" s="70" t="s">
        <v>55</v>
      </c>
      <c r="C21" s="71"/>
      <c r="D21" s="72" t="s">
        <v>56</v>
      </c>
      <c r="E21" s="69" t="s">
        <v>57</v>
      </c>
      <c r="F21" s="73">
        <v>38700</v>
      </c>
      <c r="G21" s="69">
        <v>1</v>
      </c>
      <c r="H21" s="38">
        <f t="shared" si="1"/>
        <v>38700</v>
      </c>
    </row>
    <row r="22" spans="1:8" ht="16.5" thickBot="1" x14ac:dyDescent="0.3">
      <c r="A22" s="69">
        <v>7</v>
      </c>
      <c r="B22" s="70" t="s">
        <v>55</v>
      </c>
      <c r="C22" s="71"/>
      <c r="D22" s="72" t="s">
        <v>58</v>
      </c>
      <c r="E22" s="69" t="s">
        <v>57</v>
      </c>
      <c r="F22" s="73">
        <v>21500</v>
      </c>
      <c r="G22" s="69">
        <v>1</v>
      </c>
      <c r="H22" s="38">
        <f t="shared" si="1"/>
        <v>21500</v>
      </c>
    </row>
    <row r="23" spans="1:8" ht="16.5" thickBot="1" x14ac:dyDescent="0.3">
      <c r="A23" s="69">
        <v>8</v>
      </c>
      <c r="B23" s="70" t="s">
        <v>59</v>
      </c>
      <c r="C23" s="71"/>
      <c r="D23" s="72"/>
      <c r="E23" s="69" t="s">
        <v>54</v>
      </c>
      <c r="F23" s="73">
        <v>22000</v>
      </c>
      <c r="G23" s="69">
        <v>2</v>
      </c>
      <c r="H23" s="38">
        <f t="shared" si="1"/>
        <v>44000</v>
      </c>
    </row>
    <row r="24" spans="1:8" ht="16.5" thickBot="1" x14ac:dyDescent="0.3">
      <c r="A24" s="69">
        <v>9</v>
      </c>
      <c r="B24" s="70" t="s">
        <v>61</v>
      </c>
      <c r="C24" s="71"/>
      <c r="D24" s="72"/>
      <c r="E24" s="69" t="s">
        <v>62</v>
      </c>
      <c r="F24" s="73">
        <v>8500</v>
      </c>
      <c r="G24" s="69">
        <v>8</v>
      </c>
      <c r="H24" s="38">
        <f t="shared" ref="H24" si="2">G24*F24</f>
        <v>68000</v>
      </c>
    </row>
    <row r="25" spans="1:8" ht="19.5" customHeight="1" thickBot="1" x14ac:dyDescent="0.3">
      <c r="A25" s="47"/>
      <c r="B25" s="77"/>
      <c r="C25" s="78"/>
      <c r="D25" s="79"/>
      <c r="E25" s="47"/>
      <c r="F25" s="47"/>
      <c r="G25" s="47"/>
    </row>
    <row r="26" spans="1:8" ht="19.5" customHeight="1" thickBot="1" x14ac:dyDescent="0.35">
      <c r="A26" s="76" t="s">
        <v>23</v>
      </c>
      <c r="B26" s="80" t="s">
        <v>63</v>
      </c>
      <c r="C26" s="12"/>
      <c r="D26" s="13"/>
      <c r="E26" s="48"/>
      <c r="F26" s="37" t="s">
        <v>36</v>
      </c>
      <c r="G26" s="6"/>
      <c r="H26" s="7"/>
    </row>
    <row r="27" spans="1:8" ht="19.5" customHeight="1" thickBot="1" x14ac:dyDescent="0.3">
      <c r="A27" s="39"/>
      <c r="B27" s="16" t="s">
        <v>64</v>
      </c>
      <c r="C27" s="4"/>
      <c r="D27" s="17"/>
      <c r="E27" s="51" t="s">
        <v>24</v>
      </c>
      <c r="F27" s="52"/>
      <c r="G27" s="44"/>
      <c r="H27" s="49">
        <f>SUM(H16:H24)</f>
        <v>562200</v>
      </c>
    </row>
    <row r="28" spans="1:8" ht="19.5" customHeight="1" x14ac:dyDescent="0.25">
      <c r="A28" s="24" t="s">
        <v>25</v>
      </c>
      <c r="B28" s="12"/>
      <c r="C28" s="12"/>
      <c r="D28" s="12"/>
      <c r="E28" s="53" t="s">
        <v>29</v>
      </c>
      <c r="F28" s="23"/>
      <c r="G28" s="54">
        <v>0.19</v>
      </c>
      <c r="H28" s="40">
        <f>H27*G28</f>
        <v>106818</v>
      </c>
    </row>
    <row r="29" spans="1:8" ht="19.5" customHeight="1" x14ac:dyDescent="0.25">
      <c r="A29" s="14" t="s">
        <v>45</v>
      </c>
      <c r="E29" s="55" t="s">
        <v>26</v>
      </c>
      <c r="G29" s="58">
        <v>2.5000000000000001E-2</v>
      </c>
      <c r="H29" s="50">
        <f>H27*G29</f>
        <v>14055</v>
      </c>
    </row>
    <row r="30" spans="1:8" ht="15.75" x14ac:dyDescent="0.25">
      <c r="A30" s="14" t="s">
        <v>43</v>
      </c>
      <c r="E30" s="14"/>
      <c r="F30" s="33"/>
      <c r="G30" s="45"/>
      <c r="H30" s="15"/>
    </row>
    <row r="31" spans="1:8" ht="16.5" thickBot="1" x14ac:dyDescent="0.3">
      <c r="A31" s="14" t="s">
        <v>31</v>
      </c>
      <c r="E31" s="56" t="s">
        <v>27</v>
      </c>
      <c r="F31" s="57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H27+H28-G29</f>
        <v>669017.97499999998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37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2025-09-09T19:25:30Z</cp:lastPrinted>
  <dcterms:created xsi:type="dcterms:W3CDTF">2018-11-15T17:29:02Z</dcterms:created>
  <dcterms:modified xsi:type="dcterms:W3CDTF">2025-09-09T22:24:10Z</dcterms:modified>
</cp:coreProperties>
</file>