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07653082-EE91-4AA0-AE8B-C58C84E14199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DISTRIVALVUL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7" i="1" l="1"/>
  <c r="H25" i="1"/>
  <c r="H22" i="1"/>
  <c r="H21" i="1"/>
  <c r="H20" i="1"/>
  <c r="H19" i="1"/>
  <c r="H18" i="1"/>
  <c r="H17" i="1"/>
  <c r="H16" i="1"/>
  <c r="H26" i="1" l="1"/>
  <c r="H30" i="1" s="1"/>
</calcChain>
</file>

<file path=xl/sharedStrings.xml><?xml version="1.0" encoding="utf-8"?>
<sst xmlns="http://schemas.openxmlformats.org/spreadsheetml/2006/main" count="67" uniqueCount="62">
  <si>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</si>
  <si>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</si>
  <si>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</si>
  <si>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</si>
  <si>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</si>
  <si>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</si>
  <si>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</si>
  <si>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</si>
  <si>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</si>
  <si>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</si>
  <si>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</si>
  <si>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</si>
  <si>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</si>
  <si>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</si>
  <si>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</si>
  <si>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</si>
  <si>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</si>
  <si>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</si>
  <si>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</si>
  <si>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</si>
  <si>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</si>
  <si>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</si>
  <si>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</si>
  <si>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</si>
  <si>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</si>
  <si>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</si>
  <si>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</si>
  <si>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</si>
  <si>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</si>
  <si>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</si>
  <si>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</si>
  <si>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</si>
  <si>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</si>
  <si>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</si>
  <si>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</si>
  <si>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</si>
  <si>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</si>
  <si>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</si>
  <si>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</si>
  <si>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</si>
  <si>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FERRETERIA DISTRIVALVULAS S.A.S.</t>
  </si>
  <si>
    <t>811 030294</t>
  </si>
  <si>
    <t>CALLE 29 D  No. 55-60</t>
  </si>
  <si>
    <t>MEDELLIN</t>
  </si>
  <si>
    <t>contabilidad@distrivalvulas.com</t>
  </si>
  <si>
    <t>604 3512116</t>
  </si>
  <si>
    <t>LUIS A. BENAVIDES</t>
  </si>
  <si>
    <t>ACCESORIO</t>
  </si>
  <si>
    <t>FORMA DE PAGO  :  CREDITO A 30 DIAS</t>
  </si>
  <si>
    <t>No. 2</t>
  </si>
  <si>
    <t>TUBERIA  AC/INOX 304 SCH 10  8 "  X  6 MTS</t>
  </si>
  <si>
    <t>TUBO</t>
  </si>
  <si>
    <t>TUBERIA  AC/INOX 304 SCH 10  10 "  X  6 MTS</t>
  </si>
  <si>
    <t>CODO AC/INOX 304 SCH 10  8 "  X  90º</t>
  </si>
  <si>
    <t>CODO AC/INOX 304 SCH 10  10 "  X  90º</t>
  </si>
  <si>
    <t>CODO AC/INOX 304 SCH 10 10 "  X  45 º</t>
  </si>
  <si>
    <t>CODO AC/INOX 304 SCH 10   8 "  X  45 º</t>
  </si>
  <si>
    <t xml:space="preserve">LAMINA AC/INOX 304 CAL 18  4 X 8 </t>
  </si>
  <si>
    <t>SESENTA MILLONES CIENTO SESENTA Y OCHO MIL SETE-</t>
  </si>
  <si>
    <t>CIENTOS SETENTA Y CUATRO PESOS MDA / CTE</t>
  </si>
  <si>
    <t>ENTREGA EN 3 DIAS A PARTIR DE ORDEN DE COMPRA</t>
  </si>
  <si>
    <t>FLETE POR CUENTA DEL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</si>
</sst>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8" fillId="0" borderId="29" xfId="0" applyFont="1" applyBorder="1"/>
    <xf numFmtId="0" fontId="8" fillId="0" borderId="30" xfId="0" applyFont="1" applyBorder="1"/>
    <xf numFmtId="0" fontId="8" fillId="0" borderId="31" xfId="0" applyFont="1" applyBorder="1"/>
    <xf numFmtId="42" fontId="11" fillId="0" borderId="27" xfId="1" applyFont="1" applyBorder="1" applyAlignment="1">
      <alignment horizontal="center"/>
    </xf>
    <xf numFmtId="0" fontId="0" fillId="0" borderId="28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0" fillId="0" borderId="1" xfId="0" applyBorder="1"/>
    <xf numFmtId="0" fontId="0" fillId="0" borderId="32" xfId="0" applyBorder="1"/>
    <xf numFmtId="0" fontId="0" fillId="0" borderId="33" xfId="0" applyBorder="1"/>
    <xf numFmtId="0" fontId="1" fillId="0" borderId="15" xfId="0" applyFont="1" applyBorder="1" applyAlignment="1">
      <alignment horizontal="left" vertical="top" wrapText="1"/>
    </xf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distrivalvula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5"/>
  <sheetViews>
    <sheetView tabSelected="1" topLeftCell="A16" zoomScaleNormal="100" workbookViewId="0">
      <selection activeCell="E34" sqref="E34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6.5703125" customWidth="1"/>
    <col min="4" max="8" width="16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37</v>
      </c>
    </row>
    <row r="3" spans="1:8" ht="27" thickBot="1" x14ac:dyDescent="0.45">
      <c r="A3" s="11" t="s">
        <v>38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35</v>
      </c>
      <c r="B5" s="6"/>
      <c r="C5" s="6"/>
      <c r="D5" s="6"/>
      <c r="E5" s="6"/>
    </row>
    <row r="6" spans="1:8" ht="24.75" customHeight="1" thickBot="1" x14ac:dyDescent="0.45">
      <c r="F6" s="41" t="s">
        <v>39</v>
      </c>
      <c r="G6" s="42"/>
      <c r="H6" s="43"/>
    </row>
    <row r="7" spans="1:8" ht="19.5" thickBot="1" x14ac:dyDescent="0.35">
      <c r="A7" s="20" t="s">
        <v>14</v>
      </c>
      <c r="B7" s="12"/>
      <c r="C7" s="44" t="s">
        <v>40</v>
      </c>
      <c r="D7" s="6"/>
      <c r="E7" s="6"/>
      <c r="F7" s="37"/>
      <c r="G7" s="18"/>
      <c r="H7" s="19" t="s">
        <v>49</v>
      </c>
    </row>
    <row r="8" spans="1:8" ht="19.5" thickBot="1" x14ac:dyDescent="0.35">
      <c r="A8" s="21" t="s">
        <v>8</v>
      </c>
      <c r="C8" s="14" t="s">
        <v>41</v>
      </c>
      <c r="E8" s="15"/>
      <c r="H8" s="15"/>
    </row>
    <row r="9" spans="1:8" ht="18.75" customHeight="1" thickBot="1" x14ac:dyDescent="0.35">
      <c r="A9" s="21" t="s">
        <v>9</v>
      </c>
      <c r="C9" s="14" t="s">
        <v>42</v>
      </c>
      <c r="E9" s="67" t="s">
        <v>43</v>
      </c>
      <c r="F9" s="30" t="s">
        <v>0</v>
      </c>
      <c r="H9" s="28">
        <v>45623</v>
      </c>
    </row>
    <row r="10" spans="1:8" ht="18.75" x14ac:dyDescent="0.3">
      <c r="A10" s="21" t="s">
        <v>13</v>
      </c>
      <c r="C10" s="48" t="s">
        <v>44</v>
      </c>
      <c r="E10" s="15"/>
      <c r="F10" s="30" t="s">
        <v>15</v>
      </c>
      <c r="H10" s="29" t="s">
        <v>31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45632</v>
      </c>
    </row>
    <row r="12" spans="1:8" ht="18.75" x14ac:dyDescent="0.3">
      <c r="A12" s="21" t="s">
        <v>11</v>
      </c>
      <c r="C12" s="14" t="s">
        <v>45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46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36</v>
      </c>
      <c r="B15" s="24" t="s">
        <v>22</v>
      </c>
      <c r="C15" s="42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50">
        <v>1</v>
      </c>
      <c r="B16" s="51" t="s">
        <v>50</v>
      </c>
      <c r="C16" s="52"/>
      <c r="D16" s="53"/>
      <c r="E16" s="50" t="s">
        <v>51</v>
      </c>
      <c r="F16" s="54">
        <v>2037655</v>
      </c>
      <c r="G16" s="50">
        <v>3</v>
      </c>
      <c r="H16" s="38">
        <f t="shared" ref="H16" si="0">G16*F16</f>
        <v>6112965</v>
      </c>
    </row>
    <row r="17" spans="1:8" ht="16.5" thickBot="1" x14ac:dyDescent="0.3">
      <c r="A17" s="50">
        <v>2</v>
      </c>
      <c r="B17" s="51" t="s">
        <v>52</v>
      </c>
      <c r="C17" s="52"/>
      <c r="D17" s="53"/>
      <c r="E17" s="50" t="s">
        <v>51</v>
      </c>
      <c r="F17" s="54">
        <v>2742105</v>
      </c>
      <c r="G17" s="50">
        <v>6</v>
      </c>
      <c r="H17" s="38">
        <f t="shared" ref="H17:H22" si="1">G17*F17</f>
        <v>16452630</v>
      </c>
    </row>
    <row r="18" spans="1:8" ht="16.5" thickBot="1" x14ac:dyDescent="0.3">
      <c r="A18" s="50">
        <v>3</v>
      </c>
      <c r="B18" s="51" t="s">
        <v>53</v>
      </c>
      <c r="C18" s="52"/>
      <c r="D18" s="53"/>
      <c r="E18" s="50" t="s">
        <v>47</v>
      </c>
      <c r="F18" s="54">
        <v>565000</v>
      </c>
      <c r="G18" s="50">
        <v>20</v>
      </c>
      <c r="H18" s="38">
        <f t="shared" si="1"/>
        <v>11300000</v>
      </c>
    </row>
    <row r="19" spans="1:8" ht="16.5" thickBot="1" x14ac:dyDescent="0.3">
      <c r="A19" s="50">
        <v>4</v>
      </c>
      <c r="B19" s="51" t="s">
        <v>54</v>
      </c>
      <c r="C19" s="52"/>
      <c r="D19" s="53"/>
      <c r="E19" s="50" t="s">
        <v>47</v>
      </c>
      <c r="F19" s="54">
        <v>580000</v>
      </c>
      <c r="G19" s="50">
        <v>4</v>
      </c>
      <c r="H19" s="38">
        <f t="shared" si="1"/>
        <v>2320000</v>
      </c>
    </row>
    <row r="20" spans="1:8" ht="16.5" thickBot="1" x14ac:dyDescent="0.3">
      <c r="A20" s="50">
        <v>5</v>
      </c>
      <c r="B20" s="51" t="s">
        <v>56</v>
      </c>
      <c r="C20" s="52"/>
      <c r="D20" s="53"/>
      <c r="E20" s="50" t="s">
        <v>47</v>
      </c>
      <c r="F20" s="54">
        <v>401000</v>
      </c>
      <c r="G20" s="50">
        <v>2</v>
      </c>
      <c r="H20" s="38">
        <f t="shared" si="1"/>
        <v>802000</v>
      </c>
    </row>
    <row r="21" spans="1:8" ht="16.5" thickBot="1" x14ac:dyDescent="0.3">
      <c r="A21" s="50">
        <v>6</v>
      </c>
      <c r="B21" s="51" t="s">
        <v>55</v>
      </c>
      <c r="C21" s="52"/>
      <c r="D21" s="53"/>
      <c r="E21" s="50" t="s">
        <v>47</v>
      </c>
      <c r="F21" s="54">
        <v>674400</v>
      </c>
      <c r="G21" s="50">
        <v>1</v>
      </c>
      <c r="H21" s="38">
        <f t="shared" si="1"/>
        <v>674400</v>
      </c>
    </row>
    <row r="22" spans="1:8" ht="16.5" thickBot="1" x14ac:dyDescent="0.3">
      <c r="A22" s="50">
        <v>7</v>
      </c>
      <c r="B22" s="51" t="s">
        <v>57</v>
      </c>
      <c r="C22" s="52"/>
      <c r="D22" s="53"/>
      <c r="E22" s="50" t="s">
        <v>47</v>
      </c>
      <c r="F22" s="54">
        <v>430000</v>
      </c>
      <c r="G22" s="50">
        <v>30</v>
      </c>
      <c r="H22" s="38">
        <f t="shared" si="1"/>
        <v>12900000</v>
      </c>
    </row>
    <row r="23" spans="1:8" ht="19.5" customHeight="1" thickBot="1" x14ac:dyDescent="0.3">
      <c r="A23" s="55"/>
      <c r="B23" s="68"/>
      <c r="D23" s="69"/>
      <c r="E23" s="55"/>
      <c r="F23" s="55"/>
      <c r="G23" s="55"/>
    </row>
    <row r="24" spans="1:8" ht="19.5" customHeight="1" thickBot="1" x14ac:dyDescent="0.35">
      <c r="A24" s="70" t="s">
        <v>23</v>
      </c>
      <c r="B24" s="71" t="s">
        <v>58</v>
      </c>
      <c r="C24" s="12"/>
      <c r="D24" s="13"/>
      <c r="E24" s="56"/>
      <c r="F24" s="37" t="s">
        <v>29</v>
      </c>
      <c r="G24" s="6"/>
      <c r="H24" s="7"/>
    </row>
    <row r="25" spans="1:8" ht="19.5" customHeight="1" thickBot="1" x14ac:dyDescent="0.3">
      <c r="A25" s="39"/>
      <c r="B25" s="16" t="s">
        <v>59</v>
      </c>
      <c r="C25" s="4"/>
      <c r="D25" s="17"/>
      <c r="E25" s="59" t="s">
        <v>24</v>
      </c>
      <c r="F25" s="60"/>
      <c r="G25" s="45"/>
      <c r="H25" s="57">
        <f>SUM(H16:H22)</f>
        <v>50561995</v>
      </c>
    </row>
    <row r="26" spans="1:8" ht="19.5" customHeight="1" x14ac:dyDescent="0.25">
      <c r="A26" s="24" t="s">
        <v>25</v>
      </c>
      <c r="B26" s="12"/>
      <c r="C26" s="12"/>
      <c r="D26" s="12"/>
      <c r="E26" s="61" t="s">
        <v>30</v>
      </c>
      <c r="F26" s="23"/>
      <c r="G26" s="62">
        <v>0.19</v>
      </c>
      <c r="H26" s="40">
        <f>H25*G26</f>
        <v>9606779.0500000007</v>
      </c>
    </row>
    <row r="27" spans="1:8" ht="19.5" customHeight="1" x14ac:dyDescent="0.25">
      <c r="A27" s="14" t="s">
        <v>48</v>
      </c>
      <c r="E27" s="63" t="s">
        <v>26</v>
      </c>
      <c r="G27" s="66">
        <v>2.5000000000000001E-2</v>
      </c>
      <c r="H27" s="58">
        <f>H25*G27</f>
        <v>1264049.875</v>
      </c>
    </row>
    <row r="28" spans="1:8" ht="15.75" x14ac:dyDescent="0.25">
      <c r="A28" s="14" t="s">
        <v>60</v>
      </c>
      <c r="E28" s="14"/>
      <c r="F28" s="33"/>
      <c r="G28" s="46"/>
      <c r="H28" s="15"/>
    </row>
    <row r="29" spans="1:8" ht="16.5" thickBot="1" x14ac:dyDescent="0.3">
      <c r="A29" s="14" t="s">
        <v>33</v>
      </c>
      <c r="E29" s="64" t="s">
        <v>27</v>
      </c>
      <c r="F29" s="65"/>
      <c r="G29" s="47"/>
      <c r="H29" s="17"/>
    </row>
    <row r="30" spans="1:8" ht="19.5" thickBot="1" x14ac:dyDescent="0.35">
      <c r="A30" s="16" t="s">
        <v>61</v>
      </c>
      <c r="B30" s="4"/>
      <c r="C30" s="4"/>
      <c r="D30" s="17"/>
      <c r="F30" s="3"/>
      <c r="G30" s="34" t="s">
        <v>28</v>
      </c>
      <c r="H30" s="36">
        <f>H25+H26</f>
        <v>60168774.049999997</v>
      </c>
    </row>
    <row r="31" spans="1:8" ht="16.5" customHeight="1" x14ac:dyDescent="0.25"/>
    <row r="36" spans="1:8" ht="15.75" thickBot="1" x14ac:dyDescent="0.3"/>
    <row r="37" spans="1:8" ht="19.5" thickBot="1" x14ac:dyDescent="0.35">
      <c r="A37" s="25" t="s">
        <v>34</v>
      </c>
      <c r="B37" s="6"/>
      <c r="C37" s="6"/>
      <c r="D37" s="6"/>
      <c r="E37" s="6"/>
      <c r="F37" s="6"/>
      <c r="G37" s="6"/>
      <c r="H37" s="7"/>
    </row>
    <row r="45" spans="1:8" ht="18.75" x14ac:dyDescent="0.3">
      <c r="A45" s="5"/>
    </row>
  </sheetData>
  <hyperlinks>
    <hyperlink ref="C10" r:id="rId1" xr:uid="{0D19FA55-10EA-47FF-8AEF-E1F62BE10CB9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DISTRIVALVULAS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2024-11-27T20:10:20Z</dcterms:modified>
</cp:coreProperties>
</file>