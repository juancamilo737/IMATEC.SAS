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CD469C69-F814-44D2-A70D-CEE748B9C156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FABRICACIONES &amp; CAUCHO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<sst xmlns="http://schemas.openxmlformats.org/spreadsheetml/2006/main" count="53" uniqueCount="53">
  <si>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</si>
  <si>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</si>
  <si>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</si>
  <si>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</si>
  <si>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</si>
  <si>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</si>
  <si>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</si>
  <si>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</si>
  <si>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</si>
  <si>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</si>
  <si>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</si>
  <si>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</si>
  <si>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</si>
  <si>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</si>
  <si>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</si>
  <si>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</si>
  <si>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</si>
  <si>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</si>
  <si>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</si>
  <si>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</si>
  <si>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</si>
  <si>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</si>
  <si>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</si>
  <si>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</si>
  <si>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</si>
  <si>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</si>
  <si>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</si>
  <si>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</si>
  <si>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</si>
  <si>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</si>
  <si>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</si>
  <si>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</si>
  <si>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</si>
  <si>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</si>
  <si>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</si>
  <si>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</si>
  <si>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</si>
  <si>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</si>
  <si>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</si>
  <si>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</si>
  <si>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</si>
  <si>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FABRICACIONES &amp; CAUCHOS S.A.S.</t>
  </si>
  <si>
    <t>No. 1</t>
  </si>
  <si>
    <t>901 517190</t>
  </si>
  <si>
    <t>CALLE 30 C OESTE  6 - 68</t>
  </si>
  <si>
    <t>CALI</t>
  </si>
  <si>
    <t>fabricacionesycauchos@gmail.com</t>
  </si>
  <si>
    <t>301 2791346</t>
  </si>
  <si>
    <t>ENTREGA EN TRES DIAS A PARTIR DE ORDEN DE COMPRA</t>
  </si>
  <si>
    <t>VALVULA DE BOLA AC/INOX 316 3 VIAS ROSCADA 1 "</t>
  </si>
  <si>
    <t>TRESCIENTOS OCHENTA Y SIETE MIL NOVECIENTOS CUA</t>
  </si>
  <si>
    <t>RENTA PESOS MDA / CTE</t>
  </si>
  <si>
    <t xml:space="preserve">              R E M I S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</si>
</sst>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bricacionesycaucho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10" zoomScaleNormal="100" workbookViewId="0">
      <selection activeCell="H11" sqref="H1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38</v>
      </c>
    </row>
    <row r="3" spans="1:8" ht="27" thickBot="1" x14ac:dyDescent="0.45">
      <c r="A3" s="11" t="s">
        <v>39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52</v>
      </c>
      <c r="G6" s="43"/>
      <c r="H6" s="44"/>
    </row>
    <row r="7" spans="1:8" ht="19.5" thickBot="1" x14ac:dyDescent="0.35">
      <c r="A7" s="20" t="s">
        <v>14</v>
      </c>
      <c r="B7" s="12"/>
      <c r="C7" s="65" t="s">
        <v>41</v>
      </c>
      <c r="D7" s="12"/>
      <c r="E7" s="13"/>
      <c r="F7" s="37"/>
      <c r="G7" s="18"/>
      <c r="H7" s="19" t="s">
        <v>42</v>
      </c>
    </row>
    <row r="8" spans="1:8" ht="18.75" x14ac:dyDescent="0.3">
      <c r="A8" s="21" t="s">
        <v>8</v>
      </c>
      <c r="C8" s="67" t="s">
        <v>43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44</v>
      </c>
      <c r="D9" s="23"/>
      <c r="E9" s="70" t="s">
        <v>45</v>
      </c>
      <c r="F9" s="30" t="s">
        <v>0</v>
      </c>
      <c r="H9" s="28">
        <v>45679</v>
      </c>
    </row>
    <row r="10" spans="1:8" ht="18.75" x14ac:dyDescent="0.3">
      <c r="A10" s="21" t="s">
        <v>13</v>
      </c>
      <c r="C10" s="71" t="s">
        <v>46</v>
      </c>
      <c r="D10" s="66"/>
      <c r="E10" s="47"/>
      <c r="F10" s="30" t="s">
        <v>15</v>
      </c>
      <c r="H10" s="29" t="s">
        <v>32</v>
      </c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/>
    </row>
    <row r="12" spans="1:8" ht="18.75" x14ac:dyDescent="0.3">
      <c r="A12" s="21" t="s">
        <v>11</v>
      </c>
      <c r="C12" s="72" t="s">
        <v>47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/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37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49</v>
      </c>
      <c r="C16" s="77"/>
      <c r="D16" s="78"/>
      <c r="E16" s="75" t="s">
        <v>40</v>
      </c>
      <c r="F16" s="79">
        <v>163000</v>
      </c>
      <c r="G16" s="75">
        <v>2</v>
      </c>
      <c r="H16" s="38">
        <f t="shared" ref="H16" si="0">G16*F16</f>
        <v>326000</v>
      </c>
    </row>
    <row r="17" spans="1:8" ht="19.5" customHeight="1" thickBot="1" x14ac:dyDescent="0.3">
      <c r="A17" s="51"/>
      <c r="B17" s="45"/>
      <c r="C17" s="42"/>
      <c r="D17" s="52"/>
      <c r="E17" s="53"/>
      <c r="F17" s="53"/>
      <c r="G17" s="53"/>
    </row>
    <row r="18" spans="1:8" ht="19.5" customHeight="1" thickBot="1" x14ac:dyDescent="0.35">
      <c r="A18" s="50" t="s">
        <v>23</v>
      </c>
      <c r="B18" s="14" t="s">
        <v>50</v>
      </c>
      <c r="D18" s="15"/>
      <c r="E18" s="54"/>
      <c r="F18" s="37" t="s">
        <v>29</v>
      </c>
      <c r="G18" s="6"/>
      <c r="H18" s="7"/>
    </row>
    <row r="19" spans="1:8" ht="19.5" customHeight="1" thickBot="1" x14ac:dyDescent="0.3">
      <c r="A19" s="39"/>
      <c r="B19" s="16" t="s">
        <v>51</v>
      </c>
      <c r="C19" s="4"/>
      <c r="D19" s="4"/>
      <c r="E19" s="57" t="s">
        <v>24</v>
      </c>
      <c r="F19" s="58"/>
      <c r="G19" s="46"/>
      <c r="H19" s="55">
        <f>SUM(H16:H18)</f>
        <v>326000</v>
      </c>
    </row>
    <row r="20" spans="1:8" ht="19.5" customHeight="1" x14ac:dyDescent="0.25">
      <c r="A20" s="24" t="s">
        <v>25</v>
      </c>
      <c r="B20" s="12"/>
      <c r="C20" s="12"/>
      <c r="D20" s="12"/>
      <c r="E20" s="59" t="s">
        <v>30</v>
      </c>
      <c r="F20" s="23"/>
      <c r="G20" s="60">
        <v>0.19</v>
      </c>
      <c r="H20" s="40">
        <f>H19*G20</f>
        <v>61940</v>
      </c>
    </row>
    <row r="21" spans="1:8" ht="19.5" customHeight="1" x14ac:dyDescent="0.25">
      <c r="A21" s="14" t="s">
        <v>31</v>
      </c>
      <c r="E21" s="61" t="s">
        <v>26</v>
      </c>
      <c r="G21" s="64">
        <v>2.5000000000000001E-2</v>
      </c>
      <c r="H21" s="56"/>
    </row>
    <row r="22" spans="1:8" ht="15.75" x14ac:dyDescent="0.25">
      <c r="A22" s="14" t="s">
        <v>48</v>
      </c>
      <c r="E22" s="14"/>
      <c r="F22" s="33"/>
      <c r="G22" s="47"/>
      <c r="H22" s="15"/>
    </row>
    <row r="23" spans="1:8" ht="16.5" thickBot="1" x14ac:dyDescent="0.3">
      <c r="A23" s="14" t="s">
        <v>34</v>
      </c>
      <c r="E23" s="62" t="s">
        <v>27</v>
      </c>
      <c r="F23" s="63"/>
      <c r="G23" s="48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387940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35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F76A0754-C6B3-4C53-970E-0B6675FD81E8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FABRICACIONES &amp; CAUCHOS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2025-01-22T16:34:34Z</cp:lastPrinted>
  <dcterms:created xsi:type="dcterms:W3CDTF">2018-11-15T17:29:02Z</dcterms:created>
  <dcterms:modified xsi:type="dcterms:W3CDTF">2025-01-22T16:35:26Z</dcterms:modified>
</cp:coreProperties>
</file>