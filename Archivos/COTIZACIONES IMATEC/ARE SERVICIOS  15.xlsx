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7075D6-10FA-456B-AB7C-01A77FAF0CC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6" i="1"/>
  <c r="H34" i="1" l="1"/>
  <c r="H38" i="1" s="1"/>
</calcChain>
</file>

<file path=xl/sharedStrings.xml><?xml version="1.0" encoding="utf-8"?>
<sst xmlns="http://schemas.openxmlformats.org/spreadsheetml/2006/main" count="81" uniqueCount="69">
  <si>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</si>
  <si>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</si>
  <si>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</si>
  <si>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</si>
  <si>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</si>
  <si>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</si>
  <si>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</si>
  <si>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</si>
  <si>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</si>
  <si>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</si>
  <si>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</si>
  <si>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</si>
  <si>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</si>
  <si>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</si>
  <si>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</si>
  <si>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</si>
  <si>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</si>
  <si>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</si>
  <si>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</si>
  <si>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</si>
  <si>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</si>
  <si>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</si>
  <si>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</si>
  <si>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</si>
  <si>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</si>
  <si>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</si>
  <si>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</si>
  <si>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</si>
  <si>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</si>
  <si>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</si>
  <si>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</si>
  <si>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</si>
  <si>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</si>
  <si>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</si>
  <si>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</si>
  <si>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</si>
  <si>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</si>
  <si>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</si>
  <si>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</si>
  <si>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</si>
  <si>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</si>
  <si>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</si>
  <si>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</si>
  <si>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</si>
  <si>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</si>
  <si>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</si>
  <si>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</si>
  <si>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</si>
  <si>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R E M I S I O N</t>
  </si>
  <si>
    <t>No. 15</t>
  </si>
  <si>
    <t>MDA / CTE</t>
  </si>
  <si>
    <t>CHEQUE BRONCE 1 1/2 "</t>
  </si>
  <si>
    <t>COPA GALVANIZADA  2 "  X  1 1/2 "</t>
  </si>
  <si>
    <t>TEE A / C 1 1/2 "</t>
  </si>
  <si>
    <t>NIPLE A / C 1 1/2 "  X  8 CMTS</t>
  </si>
  <si>
    <t>FABRICACION</t>
  </si>
  <si>
    <t>BUSHING GALVANIZADO  2 "  X  1 1/2 "</t>
  </si>
  <si>
    <t xml:space="preserve">TEFLON INDUSTRIAL 3/4" </t>
  </si>
  <si>
    <t>ROLLO</t>
  </si>
  <si>
    <t>NIPLE  A / C  2 "  X  6 "</t>
  </si>
  <si>
    <t>CODO  A / C  1 1/2 " X 90 º  X 150 LBS</t>
  </si>
  <si>
    <t>CODO  A / C 2 "  X  90 º  X 150 LBS</t>
  </si>
  <si>
    <t>NIPLE  A / C  3/4 "  X  3 "</t>
  </si>
  <si>
    <t>NIPLE  A / C  3/4 "  X  8 "</t>
  </si>
  <si>
    <t>UNION A / C 3/4 "  X  300 LBS</t>
  </si>
  <si>
    <t>NIPLE  A / C  1 1/2 "  X  2 1/2 "</t>
  </si>
  <si>
    <t>UNIVERSAL A / C  1 1/2 " X 150 LBS</t>
  </si>
  <si>
    <t>UNION  A / C  1 1/2 "  X  300 LBS</t>
  </si>
  <si>
    <t>NOVECIENTOS SESENTA MIL TRESCIENTOS TREINTA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</si>
</sst>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tabSelected="1" topLeftCell="A10" zoomScaleNormal="100" workbookViewId="0">
      <selection activeCell="J30" sqref="J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45772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51</v>
      </c>
      <c r="C16" s="72"/>
      <c r="D16" s="73"/>
      <c r="E16" s="70" t="s">
        <v>45</v>
      </c>
      <c r="F16" s="74">
        <v>285000</v>
      </c>
      <c r="G16" s="70">
        <v>2</v>
      </c>
      <c r="H16" s="38">
        <f t="shared" ref="H16:H30" si="0">G16*F16</f>
        <v>570000</v>
      </c>
    </row>
    <row r="17" spans="1:8" ht="16.5" thickBot="1" x14ac:dyDescent="0.3">
      <c r="A17" s="70">
        <v>2</v>
      </c>
      <c r="B17" s="71" t="s">
        <v>52</v>
      </c>
      <c r="C17" s="72"/>
      <c r="D17" s="73"/>
      <c r="E17" s="70" t="s">
        <v>45</v>
      </c>
      <c r="F17" s="74">
        <v>11750</v>
      </c>
      <c r="G17" s="70">
        <v>2</v>
      </c>
      <c r="H17" s="38">
        <f t="shared" si="0"/>
        <v>23500</v>
      </c>
    </row>
    <row r="18" spans="1:8" ht="16.5" thickBot="1" x14ac:dyDescent="0.3">
      <c r="A18" s="70">
        <v>3</v>
      </c>
      <c r="B18" s="71" t="s">
        <v>53</v>
      </c>
      <c r="C18" s="72"/>
      <c r="D18" s="73"/>
      <c r="E18" s="70" t="s">
        <v>45</v>
      </c>
      <c r="F18" s="74">
        <v>11500</v>
      </c>
      <c r="G18" s="70">
        <v>1</v>
      </c>
      <c r="H18" s="38">
        <f t="shared" si="0"/>
        <v>11500</v>
      </c>
    </row>
    <row r="19" spans="1:8" ht="16.5" thickBot="1" x14ac:dyDescent="0.3">
      <c r="A19" s="70">
        <v>4</v>
      </c>
      <c r="B19" s="71" t="s">
        <v>54</v>
      </c>
      <c r="C19" s="72"/>
      <c r="D19" s="73"/>
      <c r="E19" s="70" t="s">
        <v>55</v>
      </c>
      <c r="F19" s="74">
        <v>7100</v>
      </c>
      <c r="G19" s="70">
        <v>7</v>
      </c>
      <c r="H19" s="38">
        <f t="shared" si="0"/>
        <v>49700</v>
      </c>
    </row>
    <row r="20" spans="1:8" ht="16.5" thickBot="1" x14ac:dyDescent="0.3">
      <c r="A20" s="70">
        <v>5</v>
      </c>
      <c r="B20" s="71" t="s">
        <v>56</v>
      </c>
      <c r="C20" s="72"/>
      <c r="D20" s="73"/>
      <c r="E20" s="70" t="s">
        <v>45</v>
      </c>
      <c r="F20" s="74">
        <v>10500</v>
      </c>
      <c r="G20" s="70">
        <v>2</v>
      </c>
      <c r="H20" s="38">
        <f t="shared" si="0"/>
        <v>21000</v>
      </c>
    </row>
    <row r="21" spans="1:8" ht="16.5" thickBot="1" x14ac:dyDescent="0.3">
      <c r="A21" s="70">
        <v>6</v>
      </c>
      <c r="B21" s="71" t="s">
        <v>57</v>
      </c>
      <c r="C21" s="72"/>
      <c r="D21" s="73"/>
      <c r="E21" s="70" t="s">
        <v>58</v>
      </c>
      <c r="F21" s="74">
        <v>4750</v>
      </c>
      <c r="G21" s="70">
        <v>2</v>
      </c>
      <c r="H21" s="38">
        <f t="shared" si="0"/>
        <v>9500</v>
      </c>
    </row>
    <row r="22" spans="1:8" ht="16.5" thickBot="1" x14ac:dyDescent="0.3">
      <c r="A22" s="70">
        <v>7</v>
      </c>
      <c r="B22" s="71" t="s">
        <v>59</v>
      </c>
      <c r="C22" s="72"/>
      <c r="D22" s="73"/>
      <c r="E22" s="70" t="s">
        <v>55</v>
      </c>
      <c r="F22" s="74">
        <v>16000</v>
      </c>
      <c r="G22" s="70">
        <v>1</v>
      </c>
      <c r="H22" s="38">
        <f t="shared" si="0"/>
        <v>16000</v>
      </c>
    </row>
    <row r="23" spans="1:8" ht="16.5" thickBot="1" x14ac:dyDescent="0.3">
      <c r="A23" s="70">
        <v>8</v>
      </c>
      <c r="B23" s="71" t="s">
        <v>60</v>
      </c>
      <c r="C23" s="72"/>
      <c r="D23" s="73"/>
      <c r="E23" s="70" t="s">
        <v>45</v>
      </c>
      <c r="F23" s="74">
        <v>9800</v>
      </c>
      <c r="G23" s="70">
        <v>2</v>
      </c>
      <c r="H23" s="38">
        <f t="shared" si="0"/>
        <v>19600</v>
      </c>
    </row>
    <row r="24" spans="1:8" ht="16.5" thickBot="1" x14ac:dyDescent="0.3">
      <c r="A24" s="70">
        <v>9</v>
      </c>
      <c r="B24" s="71" t="s">
        <v>61</v>
      </c>
      <c r="C24" s="72"/>
      <c r="D24" s="73"/>
      <c r="E24" s="70" t="s">
        <v>45</v>
      </c>
      <c r="F24" s="74">
        <v>14000</v>
      </c>
      <c r="G24" s="70">
        <v>1</v>
      </c>
      <c r="H24" s="38">
        <f t="shared" si="0"/>
        <v>14000</v>
      </c>
    </row>
    <row r="25" spans="1:8" ht="16.5" thickBot="1" x14ac:dyDescent="0.3">
      <c r="A25" s="70">
        <v>10</v>
      </c>
      <c r="B25" s="71" t="s">
        <v>62</v>
      </c>
      <c r="C25" s="72"/>
      <c r="D25" s="73"/>
      <c r="E25" s="70" t="s">
        <v>55</v>
      </c>
      <c r="F25" s="74">
        <v>2200</v>
      </c>
      <c r="G25" s="70">
        <v>1</v>
      </c>
      <c r="H25" s="38">
        <f t="shared" si="0"/>
        <v>2200</v>
      </c>
    </row>
    <row r="26" spans="1:8" ht="16.5" thickBot="1" x14ac:dyDescent="0.3">
      <c r="A26" s="70">
        <v>11</v>
      </c>
      <c r="B26" s="71" t="s">
        <v>63</v>
      </c>
      <c r="C26" s="72"/>
      <c r="D26" s="73"/>
      <c r="E26" s="70" t="s">
        <v>55</v>
      </c>
      <c r="F26" s="74">
        <v>5500</v>
      </c>
      <c r="G26" s="70">
        <v>1</v>
      </c>
      <c r="H26" s="38">
        <f t="shared" si="0"/>
        <v>5500</v>
      </c>
    </row>
    <row r="27" spans="1:8" ht="16.5" thickBot="1" x14ac:dyDescent="0.3">
      <c r="A27" s="70">
        <v>12</v>
      </c>
      <c r="B27" s="71" t="s">
        <v>64</v>
      </c>
      <c r="C27" s="72"/>
      <c r="D27" s="73"/>
      <c r="E27" s="70" t="s">
        <v>45</v>
      </c>
      <c r="F27" s="74">
        <v>3200</v>
      </c>
      <c r="G27" s="70">
        <v>2</v>
      </c>
      <c r="H27" s="38">
        <f t="shared" si="0"/>
        <v>6400</v>
      </c>
    </row>
    <row r="28" spans="1:8" ht="16.5" thickBot="1" x14ac:dyDescent="0.3">
      <c r="A28" s="70">
        <v>13</v>
      </c>
      <c r="B28" s="71" t="s">
        <v>65</v>
      </c>
      <c r="C28" s="72"/>
      <c r="D28" s="73"/>
      <c r="E28" s="70" t="s">
        <v>55</v>
      </c>
      <c r="F28" s="74">
        <v>7100</v>
      </c>
      <c r="G28" s="70">
        <v>3</v>
      </c>
      <c r="H28" s="38">
        <f t="shared" si="0"/>
        <v>21300</v>
      </c>
    </row>
    <row r="29" spans="1:8" ht="16.5" thickBot="1" x14ac:dyDescent="0.3">
      <c r="A29" s="70">
        <v>14</v>
      </c>
      <c r="B29" s="71" t="s">
        <v>66</v>
      </c>
      <c r="C29" s="72"/>
      <c r="D29" s="73"/>
      <c r="E29" s="70" t="s">
        <v>45</v>
      </c>
      <c r="F29" s="74">
        <v>28500</v>
      </c>
      <c r="G29" s="70">
        <v>1</v>
      </c>
      <c r="H29" s="38">
        <f t="shared" si="0"/>
        <v>28500</v>
      </c>
    </row>
    <row r="30" spans="1:8" ht="16.5" thickBot="1" x14ac:dyDescent="0.3">
      <c r="A30" s="70">
        <v>15</v>
      </c>
      <c r="B30" s="71" t="s">
        <v>67</v>
      </c>
      <c r="C30" s="72"/>
      <c r="D30" s="73"/>
      <c r="E30" s="70" t="s">
        <v>45</v>
      </c>
      <c r="F30" s="74">
        <v>8300</v>
      </c>
      <c r="G30" s="70">
        <v>1</v>
      </c>
      <c r="H30" s="38">
        <f t="shared" si="0"/>
        <v>8300</v>
      </c>
    </row>
    <row r="31" spans="1:8" ht="19.5" customHeight="1" thickBot="1" x14ac:dyDescent="0.3">
      <c r="A31" s="47"/>
      <c r="B31" s="77"/>
      <c r="D31" s="78"/>
      <c r="E31" s="47"/>
      <c r="F31" s="47"/>
      <c r="G31" s="47"/>
    </row>
    <row r="32" spans="1:8" ht="19.5" customHeight="1" thickBot="1" x14ac:dyDescent="0.35">
      <c r="A32" s="76" t="s">
        <v>23</v>
      </c>
      <c r="B32" s="79" t="s">
        <v>68</v>
      </c>
      <c r="C32" s="12"/>
      <c r="D32" s="13"/>
      <c r="E32" s="48"/>
      <c r="F32" s="37" t="s">
        <v>46</v>
      </c>
      <c r="G32" s="6"/>
      <c r="H32" s="7"/>
    </row>
    <row r="33" spans="1:8" ht="19.5" customHeight="1" thickBot="1" x14ac:dyDescent="0.3">
      <c r="A33" s="39"/>
      <c r="B33" s="16" t="s">
        <v>50</v>
      </c>
      <c r="C33" s="4"/>
      <c r="D33" s="17"/>
      <c r="E33" s="51" t="s">
        <v>24</v>
      </c>
      <c r="F33" s="52"/>
      <c r="G33" s="44"/>
      <c r="H33" s="49">
        <f>SUM(H16:H30)</f>
        <v>807000</v>
      </c>
    </row>
    <row r="34" spans="1:8" ht="19.5" customHeight="1" x14ac:dyDescent="0.25">
      <c r="A34" s="24" t="s">
        <v>25</v>
      </c>
      <c r="B34" s="12"/>
      <c r="C34" s="12"/>
      <c r="D34" s="12"/>
      <c r="E34" s="53" t="s">
        <v>29</v>
      </c>
      <c r="F34" s="23"/>
      <c r="G34" s="54">
        <v>0.19</v>
      </c>
      <c r="H34" s="40">
        <f>H33*G34</f>
        <v>153330</v>
      </c>
    </row>
    <row r="35" spans="1:8" ht="19.5" customHeight="1" x14ac:dyDescent="0.25">
      <c r="A35" s="14" t="s">
        <v>30</v>
      </c>
      <c r="E35" s="55" t="s">
        <v>26</v>
      </c>
      <c r="G35" s="58">
        <v>2.5000000000000001E-2</v>
      </c>
      <c r="H35" s="50"/>
    </row>
    <row r="36" spans="1:8" ht="15.75" x14ac:dyDescent="0.25">
      <c r="A36" s="14" t="s">
        <v>35</v>
      </c>
      <c r="E36" s="14"/>
      <c r="F36" s="33"/>
      <c r="G36" s="45"/>
      <c r="H36" s="15"/>
    </row>
    <row r="37" spans="1:8" ht="16.5" thickBot="1" x14ac:dyDescent="0.3">
      <c r="A37" s="14" t="s">
        <v>32</v>
      </c>
      <c r="E37" s="56" t="s">
        <v>27</v>
      </c>
      <c r="F37" s="57"/>
      <c r="G37" s="46"/>
      <c r="H37" s="17"/>
    </row>
    <row r="38" spans="1:8" ht="19.5" thickBot="1" x14ac:dyDescent="0.35">
      <c r="A38" s="16"/>
      <c r="B38" s="4"/>
      <c r="C38" s="4"/>
      <c r="D38" s="17"/>
      <c r="F38" s="3"/>
      <c r="G38" s="34" t="s">
        <v>28</v>
      </c>
      <c r="H38" s="36">
        <f>H33+H34</f>
        <v>960330</v>
      </c>
    </row>
    <row r="39" spans="1:8" ht="16.5" customHeight="1" x14ac:dyDescent="0.25"/>
    <row r="44" spans="1:8" ht="15.75" thickBot="1" x14ac:dyDescent="0.3"/>
    <row r="45" spans="1:8" ht="19.5" thickBot="1" x14ac:dyDescent="0.35">
      <c r="A45" s="25" t="s">
        <v>47</v>
      </c>
      <c r="B45" s="6"/>
      <c r="C45" s="6"/>
      <c r="D45" s="6"/>
      <c r="E45" s="6"/>
      <c r="F45" s="6"/>
      <c r="G45" s="6"/>
      <c r="H45" s="7"/>
    </row>
    <row r="53" spans="1:1" ht="18.75" x14ac:dyDescent="0.3">
      <c r="A53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2025-04-24T17:40:12Z</cp:lastPrinted>
  <dcterms:created xsi:type="dcterms:W3CDTF">2018-11-15T17:29:02Z</dcterms:created>
  <dcterms:modified xsi:type="dcterms:W3CDTF">2025-04-30T21:17:09Z</dcterms:modified>
</cp:coreProperties>
</file>