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0789594C-F45F-4972-B797-773B7850DD6D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POYOS INDUSTRIALES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1" l="1"/>
  <c r="H28" i="1"/>
  <c r="H26" i="1"/>
  <c r="H24" i="1"/>
  <c r="H22" i="1"/>
  <c r="H20" i="1"/>
  <c r="H18" i="1"/>
  <c r="H16" i="1"/>
  <c r="H33" i="1" l="1"/>
  <c r="H32" i="1"/>
  <c r="H36" i="1" s="1"/>
</calcChain>
</file>

<file path=xl/sharedStrings.xml><?xml version="1.0" encoding="utf-8"?>
<sst xmlns="http://schemas.openxmlformats.org/spreadsheetml/2006/main" count="66" uniqueCount="62">
  <si>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</si>
  <si>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</si>
  <si>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</si>
  <si>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</si>
  <si>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</si>
  <si>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</si>
  <si>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</si>
  <si>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</si>
  <si>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</si>
  <si>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</si>
  <si>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</si>
  <si>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</si>
  <si>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</si>
  <si>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</si>
  <si>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</si>
  <si>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</si>
  <si>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</si>
  <si>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</si>
  <si>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</si>
  <si>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</si>
  <si>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</si>
  <si>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</si>
  <si>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</si>
  <si>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</si>
  <si>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</si>
  <si>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</si>
  <si>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</si>
  <si>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</si>
  <si>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</si>
  <si>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</si>
  <si>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</si>
  <si>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</si>
  <si>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</si>
  <si>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</si>
  <si>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</si>
  <si>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</si>
  <si>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</si>
  <si>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</si>
  <si>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CALI</t>
  </si>
  <si>
    <t>EDINSON CABEZAS</t>
  </si>
  <si>
    <t>8 DIAS</t>
  </si>
  <si>
    <t>ITEM</t>
  </si>
  <si>
    <t>ACCESORIO</t>
  </si>
  <si>
    <t>ENTREGA EN 2 DIAS A PARTIR DE TRANFERENCIA</t>
  </si>
  <si>
    <t>CONTACTOS   310 8306118       319 7174165        321 7834969</t>
  </si>
  <si>
    <t>METRO LINEAL</t>
  </si>
  <si>
    <t xml:space="preserve">  CALLE  33B  No. 17C - 70  2º  PISO               B/  LA FLORESTA             -   CALI    -                                  CEL.     321 7834969</t>
  </si>
  <si>
    <t>VALVULA DE BOLA PVC 3/4 " SOLDAR</t>
  </si>
  <si>
    <t>REDUCCION BUJE PVC PRESION  1"  X  3/4  "</t>
  </si>
  <si>
    <t>TEE PVC PRESION  1 "</t>
  </si>
  <si>
    <t>1/4 GALON</t>
  </si>
  <si>
    <t>SOLDADURA PVC PRESION</t>
  </si>
  <si>
    <t>LIMPIADOR  PVC  PRESION</t>
  </si>
  <si>
    <t>ABRAZADERA AJUSTABLE 3/4 "</t>
  </si>
  <si>
    <t>UN MILLON SEISCIENTOS CINCUENTA MIL QUINIENTOS</t>
  </si>
  <si>
    <t>SETENTA Y DOS PESOS MDA / CTE</t>
  </si>
  <si>
    <t>APOYOS INDUSTRIALES S.A.S.</t>
  </si>
  <si>
    <t>830 105283</t>
  </si>
  <si>
    <t>CRA 7D BIS  No. 69A-30</t>
  </si>
  <si>
    <t>contabilidad@apoyosindustriales.com</t>
  </si>
  <si>
    <t>316 0171083</t>
  </si>
  <si>
    <t>MANGUERA FLEXIBLE  3/4 " SEGÚN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</si>
</sst>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14" xfId="0" applyFont="1" applyBorder="1"/>
    <xf numFmtId="0" fontId="8" fillId="0" borderId="0" xfId="0" applyFont="1"/>
    <xf numFmtId="0" fontId="0" fillId="0" borderId="14" xfId="0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1" fillId="0" borderId="17" xfId="0" applyFont="1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1" xfId="0" applyFont="1" applyBorder="1"/>
    <xf numFmtId="42" fontId="1" fillId="0" borderId="21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1" fillId="0" borderId="14" xfId="0" applyFont="1" applyBorder="1" applyAlignment="1">
      <alignment horizontal="center"/>
    </xf>
    <xf numFmtId="0" fontId="0" fillId="0" borderId="22" xfId="0" applyBorder="1"/>
    <xf numFmtId="10" fontId="1" fillId="0" borderId="0" xfId="0" applyNumberFormat="1" applyFont="1"/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apoyosindustrial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0"/>
  <sheetViews>
    <sheetView tabSelected="1" topLeftCell="A25" zoomScaleNormal="100" workbookViewId="0">
      <selection activeCell="D39" sqref="D3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2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63" t="s">
        <v>44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1" t="s">
        <v>56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57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58</v>
      </c>
      <c r="D9" s="24"/>
      <c r="E9" s="25" t="s">
        <v>38</v>
      </c>
      <c r="F9" s="32" t="s">
        <v>0</v>
      </c>
      <c r="H9" s="33">
        <v>45498</v>
      </c>
    </row>
    <row r="10" spans="1:8" ht="18.75" x14ac:dyDescent="0.3">
      <c r="A10" s="22" t="s">
        <v>14</v>
      </c>
      <c r="C10" s="53" t="s">
        <v>59</v>
      </c>
      <c r="D10" s="26"/>
      <c r="E10" s="26"/>
      <c r="F10" s="32" t="s">
        <v>16</v>
      </c>
      <c r="H10" s="34" t="s">
        <v>40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45506</v>
      </c>
    </row>
    <row r="12" spans="1:8" ht="18.75" x14ac:dyDescent="0.3">
      <c r="A12" s="22" t="s">
        <v>12</v>
      </c>
      <c r="C12" s="25" t="s">
        <v>60</v>
      </c>
      <c r="D12" s="26"/>
      <c r="E12" s="26"/>
      <c r="F12" s="32" t="s">
        <v>18</v>
      </c>
      <c r="H12" s="36"/>
    </row>
    <row r="13" spans="1:8" ht="18.75" customHeight="1" thickBot="1" x14ac:dyDescent="0.35">
      <c r="A13" s="23" t="s">
        <v>13</v>
      </c>
      <c r="B13" s="4"/>
      <c r="C13" s="25" t="s">
        <v>39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37" t="s">
        <v>41</v>
      </c>
      <c r="B15" s="57" t="s">
        <v>25</v>
      </c>
      <c r="C15" s="19"/>
      <c r="D15" s="7"/>
      <c r="E15" s="37" t="s">
        <v>21</v>
      </c>
      <c r="F15" s="37" t="s">
        <v>23</v>
      </c>
      <c r="G15" s="37" t="s">
        <v>22</v>
      </c>
      <c r="H15" s="37" t="s">
        <v>24</v>
      </c>
    </row>
    <row r="16" spans="1:8" ht="15.75" customHeight="1" x14ac:dyDescent="0.25">
      <c r="A16" s="58">
        <v>1</v>
      </c>
      <c r="B16" s="40" t="s">
        <v>61</v>
      </c>
      <c r="C16" s="41"/>
      <c r="D16" s="59"/>
      <c r="E16" s="58" t="s">
        <v>45</v>
      </c>
      <c r="F16" s="62">
        <v>24700</v>
      </c>
      <c r="G16" s="58">
        <v>48</v>
      </c>
      <c r="H16" s="60">
        <f>G16*F16</f>
        <v>1185600</v>
      </c>
    </row>
    <row r="17" spans="1:10" ht="15.75" customHeight="1" thickBot="1" x14ac:dyDescent="0.3">
      <c r="A17" s="39"/>
      <c r="E17" s="42"/>
      <c r="F17" s="38"/>
      <c r="G17" s="58"/>
      <c r="H17" s="51"/>
      <c r="I17" s="38"/>
      <c r="J17" s="38"/>
    </row>
    <row r="18" spans="1:10" ht="15.75" customHeight="1" x14ac:dyDescent="0.25">
      <c r="A18" s="58">
        <v>2</v>
      </c>
      <c r="B18" s="40" t="s">
        <v>47</v>
      </c>
      <c r="C18" s="41"/>
      <c r="D18" s="41"/>
      <c r="E18" s="64" t="s">
        <v>42</v>
      </c>
      <c r="F18" s="61">
        <v>17200</v>
      </c>
      <c r="G18" s="58">
        <v>2</v>
      </c>
      <c r="H18" s="60">
        <f>G18*F18</f>
        <v>34400</v>
      </c>
      <c r="I18" s="38"/>
      <c r="J18" s="38"/>
    </row>
    <row r="19" spans="1:10" ht="15.75" customHeight="1" thickBot="1" x14ac:dyDescent="0.3">
      <c r="B19" s="40"/>
      <c r="C19" s="41"/>
      <c r="D19" s="41"/>
      <c r="E19" s="42"/>
      <c r="F19" s="61"/>
      <c r="G19" s="58"/>
      <c r="H19" s="51"/>
      <c r="I19" s="38"/>
      <c r="J19" s="38"/>
    </row>
    <row r="20" spans="1:10" ht="15.75" customHeight="1" x14ac:dyDescent="0.25">
      <c r="A20" s="58">
        <v>3</v>
      </c>
      <c r="B20" s="40" t="s">
        <v>48</v>
      </c>
      <c r="C20" s="41"/>
      <c r="D20" s="41"/>
      <c r="E20" s="64" t="s">
        <v>42</v>
      </c>
      <c r="F20" s="61">
        <v>1500</v>
      </c>
      <c r="G20" s="58">
        <v>2</v>
      </c>
      <c r="H20" s="60">
        <f>G20*F20</f>
        <v>3000</v>
      </c>
      <c r="I20" s="38"/>
      <c r="J20" s="38"/>
    </row>
    <row r="21" spans="1:10" ht="15.75" customHeight="1" thickBot="1" x14ac:dyDescent="0.3">
      <c r="A21" s="58"/>
      <c r="B21" s="40"/>
      <c r="C21" s="41"/>
      <c r="D21" s="41"/>
      <c r="E21" s="42"/>
      <c r="F21" s="61"/>
      <c r="G21" s="58"/>
      <c r="H21" s="51"/>
      <c r="I21" s="38"/>
      <c r="J21" s="38"/>
    </row>
    <row r="22" spans="1:10" ht="15.75" customHeight="1" x14ac:dyDescent="0.25">
      <c r="A22" s="58">
        <v>4</v>
      </c>
      <c r="B22" s="40" t="s">
        <v>49</v>
      </c>
      <c r="C22" s="41"/>
      <c r="D22" s="41"/>
      <c r="E22" s="64" t="s">
        <v>42</v>
      </c>
      <c r="F22" s="61">
        <v>3400</v>
      </c>
      <c r="G22" s="58">
        <v>2</v>
      </c>
      <c r="H22" s="60">
        <f>G22*F22</f>
        <v>6800</v>
      </c>
      <c r="I22" s="38"/>
      <c r="J22" s="38"/>
    </row>
    <row r="23" spans="1:10" ht="15.75" customHeight="1" thickBot="1" x14ac:dyDescent="0.3">
      <c r="A23" s="58"/>
      <c r="B23" s="40"/>
      <c r="C23" s="41"/>
      <c r="D23" s="41"/>
      <c r="E23" s="42"/>
      <c r="F23" s="61"/>
      <c r="G23" s="58"/>
      <c r="H23" s="51"/>
      <c r="I23" s="38"/>
      <c r="J23" s="38"/>
    </row>
    <row r="24" spans="1:10" ht="15.75" customHeight="1" x14ac:dyDescent="0.25">
      <c r="A24" s="58">
        <v>5</v>
      </c>
      <c r="B24" s="40" t="s">
        <v>51</v>
      </c>
      <c r="C24" s="41"/>
      <c r="D24" s="41"/>
      <c r="E24" s="64" t="s">
        <v>50</v>
      </c>
      <c r="F24" s="61">
        <v>95000</v>
      </c>
      <c r="G24" s="58">
        <v>1</v>
      </c>
      <c r="H24" s="60">
        <f>G24*F24</f>
        <v>95000</v>
      </c>
      <c r="I24" s="38"/>
      <c r="J24" s="38"/>
    </row>
    <row r="25" spans="1:10" ht="15.75" customHeight="1" thickBot="1" x14ac:dyDescent="0.3">
      <c r="A25" s="58"/>
      <c r="B25" s="40"/>
      <c r="C25" s="41"/>
      <c r="D25" s="41"/>
      <c r="E25" s="42"/>
      <c r="F25" s="61"/>
      <c r="G25" s="58"/>
      <c r="H25" s="51"/>
      <c r="I25" s="38"/>
      <c r="J25" s="38"/>
    </row>
    <row r="26" spans="1:10" ht="15.75" customHeight="1" x14ac:dyDescent="0.25">
      <c r="A26" s="58">
        <v>6</v>
      </c>
      <c r="B26" s="40" t="s">
        <v>52</v>
      </c>
      <c r="C26" s="41"/>
      <c r="D26" s="41"/>
      <c r="E26" s="64" t="s">
        <v>50</v>
      </c>
      <c r="F26" s="61">
        <v>65000</v>
      </c>
      <c r="G26" s="58">
        <v>1</v>
      </c>
      <c r="H26" s="60">
        <f>G26*F26</f>
        <v>65000</v>
      </c>
      <c r="I26" s="38"/>
      <c r="J26" s="38"/>
    </row>
    <row r="27" spans="1:10" ht="15.75" customHeight="1" thickBot="1" x14ac:dyDescent="0.3">
      <c r="A27" s="58"/>
      <c r="B27" s="40"/>
      <c r="C27" s="41"/>
      <c r="D27" s="41"/>
      <c r="E27" s="42"/>
      <c r="F27" s="61"/>
      <c r="G27" s="58"/>
      <c r="H27" s="51"/>
      <c r="I27" s="38"/>
      <c r="J27" s="38"/>
    </row>
    <row r="28" spans="1:10" ht="15.75" customHeight="1" x14ac:dyDescent="0.25">
      <c r="A28" s="58">
        <v>7</v>
      </c>
      <c r="B28" s="40" t="s">
        <v>53</v>
      </c>
      <c r="C28" s="41"/>
      <c r="D28" s="41"/>
      <c r="E28" s="64" t="s">
        <v>42</v>
      </c>
      <c r="F28" s="61">
        <v>4500</v>
      </c>
      <c r="G28" s="58">
        <v>6</v>
      </c>
      <c r="H28" s="60">
        <f>G28*F28</f>
        <v>27000</v>
      </c>
      <c r="I28" s="38"/>
      <c r="J28" s="38"/>
    </row>
    <row r="29" spans="1:10" ht="15.75" customHeight="1" thickBot="1" x14ac:dyDescent="0.3">
      <c r="A29" s="58"/>
      <c r="B29" s="40"/>
      <c r="C29" s="41"/>
      <c r="D29" s="41"/>
      <c r="E29" s="42"/>
      <c r="F29" s="61"/>
      <c r="G29" s="58"/>
      <c r="H29" s="51"/>
      <c r="I29" s="38"/>
      <c r="J29" s="38"/>
    </row>
    <row r="30" spans="1:10" ht="19.5" customHeight="1" thickBot="1" x14ac:dyDescent="0.35">
      <c r="A30" s="67" t="s">
        <v>26</v>
      </c>
      <c r="B30" s="12" t="s">
        <v>54</v>
      </c>
      <c r="C30" s="13"/>
      <c r="D30" s="14"/>
      <c r="E30" s="13"/>
      <c r="F30" s="43" t="s">
        <v>32</v>
      </c>
      <c r="G30" s="13"/>
      <c r="H30" s="7"/>
    </row>
    <row r="31" spans="1:10" ht="19.5" customHeight="1" thickBot="1" x14ac:dyDescent="0.3">
      <c r="A31" s="68"/>
      <c r="B31" s="17" t="s">
        <v>55</v>
      </c>
      <c r="C31" s="4"/>
      <c r="D31" s="4"/>
      <c r="E31" s="44" t="s">
        <v>27</v>
      </c>
      <c r="F31" s="45"/>
      <c r="G31" s="26"/>
      <c r="H31" s="54">
        <f>SUM(H16:H28)</f>
        <v>1416800</v>
      </c>
    </row>
    <row r="32" spans="1:10" ht="19.5" customHeight="1" x14ac:dyDescent="0.25">
      <c r="A32" s="27" t="s">
        <v>28</v>
      </c>
      <c r="B32" s="13"/>
      <c r="C32" s="13"/>
      <c r="D32" s="14"/>
      <c r="E32" s="3" t="s">
        <v>34</v>
      </c>
      <c r="F32" s="65"/>
      <c r="G32" s="47">
        <v>0.19</v>
      </c>
      <c r="H32" s="55">
        <f>H31*G32</f>
        <v>269192</v>
      </c>
    </row>
    <row r="33" spans="1:8" ht="15.75" x14ac:dyDescent="0.25">
      <c r="A33" s="15" t="s">
        <v>35</v>
      </c>
      <c r="D33" s="16"/>
      <c r="E33" s="45" t="s">
        <v>29</v>
      </c>
      <c r="G33" s="66">
        <v>2.5000000000000001E-2</v>
      </c>
      <c r="H33" s="48">
        <f>H31*G33</f>
        <v>35420</v>
      </c>
    </row>
    <row r="34" spans="1:8" ht="15.75" x14ac:dyDescent="0.25">
      <c r="A34" s="15" t="s">
        <v>43</v>
      </c>
      <c r="D34" s="16"/>
      <c r="F34" s="45"/>
      <c r="G34" s="26"/>
      <c r="H34" s="49"/>
    </row>
    <row r="35" spans="1:8" ht="16.5" thickBot="1" x14ac:dyDescent="0.3">
      <c r="A35" s="15" t="s">
        <v>37</v>
      </c>
      <c r="D35" s="16"/>
      <c r="E35" s="45" t="s">
        <v>30</v>
      </c>
      <c r="F35" s="45"/>
      <c r="G35" s="26"/>
      <c r="H35" s="50"/>
    </row>
    <row r="36" spans="1:8" ht="16.5" customHeight="1" thickBot="1" x14ac:dyDescent="0.35">
      <c r="A36" s="17"/>
      <c r="B36" s="4"/>
      <c r="C36" s="4"/>
      <c r="D36" s="18"/>
      <c r="F36" s="3"/>
      <c r="G36" s="46" t="s">
        <v>31</v>
      </c>
      <c r="H36" s="56">
        <f>H31+H32-H33</f>
        <v>1650572</v>
      </c>
    </row>
    <row r="38" spans="1:8" x14ac:dyDescent="0.25">
      <c r="A38" t="s">
        <v>1</v>
      </c>
    </row>
    <row r="40" spans="1:8" ht="15.75" thickBot="1" x14ac:dyDescent="0.3"/>
    <row r="41" spans="1:8" ht="19.5" thickBot="1" x14ac:dyDescent="0.35">
      <c r="A41" s="28" t="s">
        <v>46</v>
      </c>
      <c r="B41" s="6"/>
      <c r="C41" s="6"/>
      <c r="D41" s="6"/>
      <c r="E41" s="6"/>
      <c r="F41" s="6"/>
      <c r="G41" s="6"/>
      <c r="H41" s="7"/>
    </row>
    <row r="50" spans="1:1" ht="18.75" x14ac:dyDescent="0.3">
      <c r="A50" s="5"/>
    </row>
  </sheetData>
  <mergeCells count="1">
    <mergeCell ref="A30:A31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APOYOS INDUSTRIALES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2024-07-25T22:24:22Z</dcterms:modified>
</cp:coreProperties>
</file>