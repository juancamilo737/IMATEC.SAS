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0F5BD4F-8FEB-403F-A022-9C572925290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ACQUA - VITRUV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H18" i="1"/>
  <c r="H16" i="1"/>
  <c r="H26" i="1" s="1"/>
  <c r="H28" i="1"/>
  <c r="H27" i="1" l="1"/>
  <c r="H31" i="1" s="1"/>
</calcChain>
</file>

<file path=xl/sharedStrings.xml><?xml version="1.0" encoding="utf-8"?>
<sst xmlns="http://schemas.openxmlformats.org/spreadsheetml/2006/main" count="58" uniqueCount="56">
  <si>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</si>
  <si>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</si>
  <si>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</si>
  <si>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</si>
  <si>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</si>
  <si>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</si>
  <si>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</si>
  <si>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</si>
  <si>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</si>
  <si>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</si>
  <si>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</si>
  <si>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</si>
  <si>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</si>
  <si>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</si>
  <si>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</si>
  <si>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</si>
  <si>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</si>
  <si>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</si>
  <si>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</si>
  <si>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</si>
  <si>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</si>
  <si>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</si>
  <si>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</si>
  <si>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</si>
  <si>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</si>
  <si>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</si>
  <si>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</si>
  <si>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</si>
  <si>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</si>
  <si>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</si>
  <si>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</si>
  <si>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</si>
  <si>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</si>
  <si>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</si>
  <si>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</si>
  <si>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</si>
  <si>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</si>
  <si>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</si>
  <si>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</si>
  <si>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</si>
  <si>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</si>
  <si>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</si>
  <si>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ACQUA VITRUVIO SAS</t>
  </si>
  <si>
    <t>900 881379</t>
  </si>
  <si>
    <t>CALLE 3  No. 4-300</t>
  </si>
  <si>
    <t>PALMIRA</t>
  </si>
  <si>
    <t>j-gaitan@hotmail.com</t>
  </si>
  <si>
    <t>602 6669102</t>
  </si>
  <si>
    <t xml:space="preserve">  CALLE  33B  No. 17C - 70  2º  PISO               B/  LA FLORESTA             -   CALI    -                                  CEL.     321 7834969</t>
  </si>
  <si>
    <t>ENTREGA EN 4 DIAS</t>
  </si>
  <si>
    <t xml:space="preserve">BRIDA PVC SCH 80  GRIS  8 "  X  150 LB </t>
  </si>
  <si>
    <t xml:space="preserve">BRIDA PVC SCH 80  BLANCA  8 "  X  150 LB </t>
  </si>
  <si>
    <t xml:space="preserve">BRIDA PVC SCH 80  BLANCA  10 "  X  150 LB </t>
  </si>
  <si>
    <t>FORMA DE PAGO : CONTADO</t>
  </si>
  <si>
    <t>DOS MILLONES CIENTO CUARENTA Y TRES MIL TRES-</t>
  </si>
  <si>
    <t>CIENTOS SESENTA Y 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</si>
</sst>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0" fillId="0" borderId="26" xfId="0" applyBorder="1"/>
    <xf numFmtId="10" fontId="1" fillId="0" borderId="0" xfId="0" applyNumberFormat="1" applyFont="1"/>
    <xf numFmtId="0" fontId="1" fillId="0" borderId="11" xfId="0" applyFont="1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5"/>
  <sheetViews>
    <sheetView tabSelected="1" topLeftCell="A13" zoomScaleNormal="100" workbookViewId="0">
      <selection activeCell="D30" sqref="D3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5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68" t="s">
        <v>41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42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43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44</v>
      </c>
      <c r="D9" s="25"/>
      <c r="E9" s="26" t="s">
        <v>45</v>
      </c>
      <c r="F9" s="33" t="s">
        <v>0</v>
      </c>
      <c r="H9" s="34">
        <v>45594</v>
      </c>
    </row>
    <row r="10" spans="1:8" ht="18.75" x14ac:dyDescent="0.3">
      <c r="A10" s="22" t="s">
        <v>14</v>
      </c>
      <c r="C10" s="56" t="s">
        <v>46</v>
      </c>
      <c r="D10" s="27"/>
      <c r="E10" s="27"/>
      <c r="F10" s="33" t="s">
        <v>16</v>
      </c>
      <c r="H10" s="35" t="s">
        <v>38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45603</v>
      </c>
    </row>
    <row r="12" spans="1:8" ht="18.75" x14ac:dyDescent="0.3">
      <c r="A12" s="22" t="s">
        <v>12</v>
      </c>
      <c r="C12" s="26" t="s">
        <v>47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39</v>
      </c>
      <c r="B15" s="60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1">
        <v>2</v>
      </c>
      <c r="B16" s="41" t="s">
        <v>50</v>
      </c>
      <c r="C16" s="42"/>
      <c r="D16" s="40"/>
      <c r="E16" s="61" t="s">
        <v>40</v>
      </c>
      <c r="F16" s="64">
        <v>245500</v>
      </c>
      <c r="G16" s="61">
        <v>4</v>
      </c>
      <c r="H16" s="62">
        <f>G16*F16</f>
        <v>982000</v>
      </c>
    </row>
    <row r="17" spans="1:10" ht="19.5" customHeight="1" thickBot="1" x14ac:dyDescent="0.3">
      <c r="B17" s="41"/>
      <c r="C17" s="42"/>
      <c r="D17" s="42"/>
      <c r="E17" s="46"/>
      <c r="F17" s="63"/>
      <c r="H17" s="67"/>
      <c r="I17" s="39"/>
      <c r="J17" s="39"/>
    </row>
    <row r="18" spans="1:10" ht="15.75" x14ac:dyDescent="0.25">
      <c r="A18" s="61">
        <v>2</v>
      </c>
      <c r="B18" s="41" t="s">
        <v>51</v>
      </c>
      <c r="C18" s="42"/>
      <c r="D18" s="40"/>
      <c r="E18" s="61" t="s">
        <v>40</v>
      </c>
      <c r="F18" s="64">
        <v>135000</v>
      </c>
      <c r="G18" s="61">
        <v>2</v>
      </c>
      <c r="H18" s="62">
        <f>G18*F18</f>
        <v>270000</v>
      </c>
    </row>
    <row r="19" spans="1:10" ht="19.5" customHeight="1" thickBot="1" x14ac:dyDescent="0.3">
      <c r="B19" s="41"/>
      <c r="C19" s="42"/>
      <c r="D19" s="42"/>
      <c r="E19" s="46"/>
      <c r="F19" s="63"/>
      <c r="H19" s="67"/>
      <c r="I19" s="39"/>
      <c r="J19" s="39"/>
    </row>
    <row r="20" spans="1:10" ht="15.75" x14ac:dyDescent="0.25">
      <c r="A20" s="61">
        <v>3</v>
      </c>
      <c r="B20" s="41" t="s">
        <v>52</v>
      </c>
      <c r="C20" s="42"/>
      <c r="D20" s="40"/>
      <c r="E20" s="61" t="s">
        <v>40</v>
      </c>
      <c r="F20" s="64">
        <v>293900</v>
      </c>
      <c r="G20" s="61">
        <v>2</v>
      </c>
      <c r="H20" s="62">
        <f>G20*F20</f>
        <v>587800</v>
      </c>
    </row>
    <row r="21" spans="1:10" ht="19.5" customHeight="1" thickBot="1" x14ac:dyDescent="0.3">
      <c r="A21" s="40"/>
      <c r="D21" s="40"/>
      <c r="H21" s="67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H22" s="40"/>
      <c r="I22" s="39"/>
      <c r="J22" s="39"/>
    </row>
    <row r="23" spans="1:10" ht="19.5" customHeight="1" x14ac:dyDescent="0.25">
      <c r="B23" s="43"/>
      <c r="C23" s="44"/>
      <c r="D23" s="44"/>
      <c r="E23" s="24"/>
      <c r="F23" s="66"/>
      <c r="G23" s="44"/>
      <c r="H23" s="45"/>
    </row>
    <row r="24" spans="1:10" ht="19.5" customHeight="1" thickBot="1" x14ac:dyDescent="0.3">
      <c r="H24" s="67"/>
    </row>
    <row r="25" spans="1:10" ht="19.5" customHeight="1" thickBot="1" x14ac:dyDescent="0.35">
      <c r="A25" s="72" t="s">
        <v>26</v>
      </c>
      <c r="B25" s="12" t="s">
        <v>54</v>
      </c>
      <c r="C25" s="13"/>
      <c r="D25" s="14"/>
      <c r="E25" s="13"/>
      <c r="F25" s="47" t="s">
        <v>32</v>
      </c>
      <c r="G25" s="13"/>
      <c r="H25" s="7"/>
    </row>
    <row r="26" spans="1:10" ht="19.5" customHeight="1" thickBot="1" x14ac:dyDescent="0.3">
      <c r="A26" s="73"/>
      <c r="B26" s="17" t="s">
        <v>55</v>
      </c>
      <c r="C26" s="4"/>
      <c r="D26" s="4"/>
      <c r="E26" s="48" t="s">
        <v>27</v>
      </c>
      <c r="F26" s="49"/>
      <c r="G26" s="27"/>
      <c r="H26" s="57">
        <f>SUM(H16:H21)</f>
        <v>1839800</v>
      </c>
    </row>
    <row r="27" spans="1:10" ht="19.5" customHeight="1" x14ac:dyDescent="0.25">
      <c r="A27" s="28" t="s">
        <v>28</v>
      </c>
      <c r="B27" s="13"/>
      <c r="C27" s="13"/>
      <c r="D27" s="14"/>
      <c r="E27" s="3" t="s">
        <v>34</v>
      </c>
      <c r="F27" s="69"/>
      <c r="G27" s="51">
        <v>0.19</v>
      </c>
      <c r="H27" s="58">
        <f>H26*G27</f>
        <v>349562</v>
      </c>
    </row>
    <row r="28" spans="1:10" ht="15.75" x14ac:dyDescent="0.25">
      <c r="A28" s="15" t="s">
        <v>53</v>
      </c>
      <c r="D28" s="16"/>
      <c r="E28" s="49" t="s">
        <v>29</v>
      </c>
      <c r="G28" s="70">
        <v>2.5000000000000001E-2</v>
      </c>
      <c r="H28" s="52">
        <f>H26*G28</f>
        <v>45995</v>
      </c>
    </row>
    <row r="29" spans="1:10" ht="15.75" x14ac:dyDescent="0.25">
      <c r="A29" s="15" t="s">
        <v>49</v>
      </c>
      <c r="D29" s="16"/>
      <c r="F29" s="49"/>
      <c r="G29" s="27"/>
      <c r="H29" s="53"/>
    </row>
    <row r="30" spans="1:10" ht="16.5" thickBot="1" x14ac:dyDescent="0.3">
      <c r="A30" s="15" t="s">
        <v>36</v>
      </c>
      <c r="D30" s="16"/>
      <c r="E30" s="49" t="s">
        <v>30</v>
      </c>
      <c r="F30" s="49"/>
      <c r="G30" s="27"/>
      <c r="H30" s="54"/>
    </row>
    <row r="31" spans="1:10" ht="16.5" customHeight="1" thickBot="1" x14ac:dyDescent="0.35">
      <c r="A31" s="71"/>
      <c r="B31" s="4"/>
      <c r="C31" s="4"/>
      <c r="D31" s="18"/>
      <c r="F31" s="3"/>
      <c r="G31" s="50" t="s">
        <v>31</v>
      </c>
      <c r="H31" s="59">
        <f>H26+H27-H28</f>
        <v>2143367</v>
      </c>
    </row>
    <row r="33" spans="1:8" x14ac:dyDescent="0.25">
      <c r="A33" t="s">
        <v>1</v>
      </c>
    </row>
    <row r="35" spans="1:8" ht="15.75" thickBot="1" x14ac:dyDescent="0.3"/>
    <row r="36" spans="1:8" ht="19.5" thickBot="1" x14ac:dyDescent="0.35">
      <c r="A36" s="29" t="s">
        <v>48</v>
      </c>
      <c r="B36" s="6"/>
      <c r="C36" s="6"/>
      <c r="D36" s="6"/>
      <c r="E36" s="6"/>
      <c r="F36" s="6"/>
      <c r="G36" s="6"/>
      <c r="H36" s="7"/>
    </row>
    <row r="45" spans="1:8" ht="18.75" x14ac:dyDescent="0.3">
      <c r="A45" s="5"/>
    </row>
  </sheetData>
  <mergeCells count="1">
    <mergeCell ref="A25:A26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- VITRUVIO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2024-10-29T19:03:26Z</dcterms:modified>
</cp:coreProperties>
</file>