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FA4C49AC-4BD6-4BD8-A86C-390936053FC3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MCIAL TUB Y LA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7" i="1"/>
  <c r="H16" i="1"/>
  <c r="H21" i="1" s="1"/>
  <c r="H24" i="1" l="1"/>
  <c r="H23" i="1"/>
  <c r="H22" i="1"/>
  <c r="H26" i="1" s="1"/>
</calcChain>
</file>

<file path=xl/sharedStrings.xml><?xml version="1.0" encoding="utf-8"?>
<sst xmlns="http://schemas.openxmlformats.org/spreadsheetml/2006/main" count="59" uniqueCount="58">
  <si>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</si>
  <si>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</si>
  <si>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</si>
  <si>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</si>
  <si>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</si>
  <si>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</si>
  <si>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</si>
  <si>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</si>
  <si>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</si>
  <si>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</si>
  <si>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</si>
  <si>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</si>
  <si>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</si>
  <si>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</si>
  <si>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</si>
  <si>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</si>
  <si>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</si>
  <si>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</si>
  <si>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</si>
  <si>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</si>
  <si>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</si>
  <si>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</si>
  <si>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</si>
  <si>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</si>
  <si>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</si>
  <si>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</si>
  <si>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</si>
  <si>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</si>
  <si>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</si>
  <si>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</si>
  <si>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</si>
  <si>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</si>
  <si>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</si>
  <si>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</si>
  <si>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</si>
  <si>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</si>
  <si>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</si>
  <si>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</si>
  <si>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</si>
  <si>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</si>
  <si>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</si>
  <si>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COMERCIAL DE TUBERIAS Y LAMINAS S.A.S.</t>
  </si>
  <si>
    <t>805 020786</t>
  </si>
  <si>
    <t>CALLE 13 A  No. 15-39</t>
  </si>
  <si>
    <t>CALI</t>
  </si>
  <si>
    <t>jwz@cialtuberiasl.com</t>
  </si>
  <si>
    <t>602 8821141</t>
  </si>
  <si>
    <t>RETEICA</t>
  </si>
  <si>
    <t>EDINSON CABEZAS C</t>
  </si>
  <si>
    <t xml:space="preserve">           C O T I Z A C I O N </t>
  </si>
  <si>
    <t>No.  6</t>
  </si>
  <si>
    <t xml:space="preserve">TUBERIA  A / C SCH 40   1 1/4 " </t>
  </si>
  <si>
    <t>METRO LINEAL</t>
  </si>
  <si>
    <t xml:space="preserve">TUBERIA  A / C SCH 40   2  " </t>
  </si>
  <si>
    <t>UNIVERSAL  AC/INOX  304  2"  X  150 LBS</t>
  </si>
  <si>
    <t>ACCESORIO</t>
  </si>
  <si>
    <t>SEISCIENTOS SETENTA Y SEIS MIL SEISCIENTOS SETENTA</t>
  </si>
  <si>
    <t>Y TRES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</si>
</sst>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6" xfId="0" applyBorder="1"/>
    <xf numFmtId="0" fontId="13" fillId="0" borderId="9" xfId="2" applyBorder="1"/>
    <xf numFmtId="0" fontId="8" fillId="0" borderId="0" xfId="0" applyFont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42" fontId="11" fillId="0" borderId="27" xfId="1" applyFont="1" applyBorder="1" applyAlignment="1">
      <alignment horizontal="center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0" fontId="0" fillId="0" borderId="1" xfId="0" applyBorder="1"/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6" xfId="0" applyBorder="1"/>
    <xf numFmtId="10" fontId="1" fillId="0" borderId="23" xfId="0" applyNumberFormat="1" applyFont="1" applyBorder="1"/>
    <xf numFmtId="42" fontId="1" fillId="0" borderId="10" xfId="1" applyFont="1" applyBorder="1"/>
    <xf numFmtId="0" fontId="1" fillId="0" borderId="10" xfId="0" applyFont="1" applyBorder="1"/>
    <xf numFmtId="0" fontId="0" fillId="0" borderId="29" xfId="0" applyBorder="1"/>
    <xf numFmtId="0" fontId="1" fillId="0" borderId="28" xfId="0" applyFont="1" applyBorder="1" applyAlignment="1">
      <alignment horizontal="center"/>
    </xf>
    <xf numFmtId="0" fontId="0" fillId="0" borderId="30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wz@cialtuberias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E12" sqref="E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44" t="s">
        <v>41</v>
      </c>
      <c r="D7" s="6"/>
      <c r="E7" s="6"/>
      <c r="F7" s="37"/>
      <c r="G7" s="18"/>
      <c r="H7" s="19" t="s">
        <v>50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62" t="s">
        <v>44</v>
      </c>
      <c r="F9" s="30" t="s">
        <v>0</v>
      </c>
      <c r="H9" s="28">
        <v>45616</v>
      </c>
    </row>
    <row r="10" spans="1:8" ht="18.75" x14ac:dyDescent="0.3">
      <c r="A10" s="21" t="s">
        <v>13</v>
      </c>
      <c r="C10" s="47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45625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37</v>
      </c>
      <c r="B15" s="63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49">
        <v>1</v>
      </c>
      <c r="B16" s="48" t="s">
        <v>51</v>
      </c>
      <c r="C16" s="48"/>
      <c r="D16" s="50"/>
      <c r="E16" s="49" t="s">
        <v>52</v>
      </c>
      <c r="F16" s="51">
        <v>20600</v>
      </c>
      <c r="G16" s="49">
        <v>6</v>
      </c>
      <c r="H16" s="38">
        <f t="shared" ref="H16" si="0">G16*F16</f>
        <v>123600</v>
      </c>
    </row>
    <row r="17" spans="1:8" ht="16.5" thickBot="1" x14ac:dyDescent="0.3">
      <c r="A17" s="49">
        <v>2</v>
      </c>
      <c r="B17" s="48" t="s">
        <v>53</v>
      </c>
      <c r="C17" s="48"/>
      <c r="D17" s="50"/>
      <c r="E17" s="49" t="s">
        <v>52</v>
      </c>
      <c r="F17" s="51">
        <v>31850</v>
      </c>
      <c r="G17" s="70">
        <v>12</v>
      </c>
      <c r="H17" s="38">
        <f t="shared" ref="H17" si="1">G17*F17</f>
        <v>382200</v>
      </c>
    </row>
    <row r="18" spans="1:8" ht="16.5" thickBot="1" x14ac:dyDescent="0.3">
      <c r="A18" s="49">
        <v>3</v>
      </c>
      <c r="B18" s="48" t="s">
        <v>54</v>
      </c>
      <c r="C18" s="48"/>
      <c r="D18" s="50"/>
      <c r="E18" s="49" t="s">
        <v>55</v>
      </c>
      <c r="F18" s="51">
        <v>78900</v>
      </c>
      <c r="G18" s="70">
        <v>1</v>
      </c>
      <c r="H18" s="38">
        <f t="shared" ref="H18" si="2">G18*F18</f>
        <v>78900</v>
      </c>
    </row>
    <row r="19" spans="1:8" ht="15.75" thickBot="1" x14ac:dyDescent="0.3">
      <c r="A19" s="69"/>
      <c r="D19" s="69"/>
      <c r="E19" s="71"/>
      <c r="F19" s="71"/>
    </row>
    <row r="20" spans="1:8" ht="19.5" customHeight="1" thickBot="1" x14ac:dyDescent="0.35">
      <c r="A20" s="64" t="s">
        <v>23</v>
      </c>
      <c r="B20" s="65" t="s">
        <v>56</v>
      </c>
      <c r="C20" s="12"/>
      <c r="D20" s="13"/>
      <c r="E20" s="52"/>
      <c r="F20" s="37" t="s">
        <v>29</v>
      </c>
      <c r="G20" s="6"/>
      <c r="H20" s="7"/>
    </row>
    <row r="21" spans="1:8" ht="19.5" customHeight="1" thickBot="1" x14ac:dyDescent="0.3">
      <c r="A21" s="39"/>
      <c r="B21" s="16" t="s">
        <v>57</v>
      </c>
      <c r="C21" s="4"/>
      <c r="D21" s="17"/>
      <c r="E21" s="55" t="s">
        <v>24</v>
      </c>
      <c r="F21" s="56"/>
      <c r="G21" s="45"/>
      <c r="H21" s="53">
        <f>SUM(H16:H20)</f>
        <v>584700</v>
      </c>
    </row>
    <row r="22" spans="1:8" ht="19.5" customHeight="1" x14ac:dyDescent="0.25">
      <c r="A22" s="24" t="s">
        <v>25</v>
      </c>
      <c r="B22" s="12"/>
      <c r="C22" s="12"/>
      <c r="D22" s="13"/>
      <c r="E22" s="57" t="s">
        <v>30</v>
      </c>
      <c r="F22" s="23"/>
      <c r="G22" s="58">
        <v>0.19</v>
      </c>
      <c r="H22" s="40">
        <f>H21*G22</f>
        <v>111093</v>
      </c>
    </row>
    <row r="23" spans="1:8" ht="19.5" customHeight="1" x14ac:dyDescent="0.25">
      <c r="A23" s="14" t="s">
        <v>31</v>
      </c>
      <c r="D23" s="15"/>
      <c r="E23" s="59" t="s">
        <v>26</v>
      </c>
      <c r="G23" s="66">
        <v>2.5000000000000001E-2</v>
      </c>
      <c r="H23" s="54">
        <f>H21*G23</f>
        <v>14617.5</v>
      </c>
    </row>
    <row r="24" spans="1:8" ht="15.75" x14ac:dyDescent="0.25">
      <c r="A24" s="14" t="s">
        <v>38</v>
      </c>
      <c r="D24" s="15"/>
      <c r="E24" s="57" t="s">
        <v>47</v>
      </c>
      <c r="F24" s="33"/>
      <c r="G24" s="68">
        <v>7.7000000000000002E-3</v>
      </c>
      <c r="H24" s="67">
        <f>H21*G24</f>
        <v>4502.1900000000005</v>
      </c>
    </row>
    <row r="25" spans="1:8" ht="16.5" thickBot="1" x14ac:dyDescent="0.3">
      <c r="A25" s="14" t="s">
        <v>34</v>
      </c>
      <c r="D25" s="15"/>
      <c r="E25" s="60" t="s">
        <v>27</v>
      </c>
      <c r="F25" s="61"/>
      <c r="G25" s="46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H21+H22-H23-H24</f>
        <v>676673.31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35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74757161-CB76-4FC9-B6A8-AAEB894FD9EB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CMCIAL TUB Y 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2024-10-01T14:28:23Z</cp:lastPrinted>
  <dcterms:created xsi:type="dcterms:W3CDTF">2018-11-15T17:29:02Z</dcterms:created>
  <dcterms:modified xsi:type="dcterms:W3CDTF">2024-11-20T16:21:05Z</dcterms:modified>
</cp:coreProperties>
</file>