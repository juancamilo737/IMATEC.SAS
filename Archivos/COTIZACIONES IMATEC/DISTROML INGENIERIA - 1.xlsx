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0FEE2B88-468A-418D-8CE9-7D08088C2673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ISTROM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9" i="1"/>
  <c r="H42" i="1" s="1"/>
  <c r="H43" i="1" l="1"/>
  <c r="H47" i="1" s="1"/>
</calcChain>
</file>

<file path=xl/sharedStrings.xml><?xml version="1.0" encoding="utf-8"?>
<sst xmlns="http://schemas.openxmlformats.org/spreadsheetml/2006/main" count="57" uniqueCount="56">
  <si>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</si>
  <si>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</si>
  <si>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</si>
  <si>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</si>
  <si>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</si>
  <si>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</si>
  <si>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</si>
  <si>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</si>
  <si>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</si>
  <si>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</si>
  <si>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</si>
  <si>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</si>
  <si>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</si>
  <si>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</si>
  <si>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</si>
  <si>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</si>
  <si>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</si>
  <si>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</si>
  <si>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</si>
  <si>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</si>
  <si>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</si>
  <si>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</si>
  <si>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</si>
  <si>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</si>
  <si>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</si>
  <si>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</si>
  <si>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</si>
  <si>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</si>
  <si>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</si>
  <si>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</si>
  <si>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</si>
  <si>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</si>
  <si>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</si>
  <si>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</si>
  <si>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</si>
  <si>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</si>
  <si>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</si>
  <si>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</si>
  <si>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</si>
  <si>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CALI</t>
  </si>
  <si>
    <t>8 DIAS</t>
  </si>
  <si>
    <t>ITEM</t>
  </si>
  <si>
    <t>ACCESORIO</t>
  </si>
  <si>
    <t>ENTREGA EN 2 DIAS A PARTIR DE TRANFERENCIA</t>
  </si>
  <si>
    <t>VALVULA DE BOLA INOX 1 1/2 " X 1000 AC 3416 PF</t>
  </si>
  <si>
    <t>NIPLE INOX AC 304 SCH 40 1 1/2 " X 4 "</t>
  </si>
  <si>
    <t>DISTROMOL INGENIERIA SAS</t>
  </si>
  <si>
    <t>805 023110</t>
  </si>
  <si>
    <t>CRA 12 No. 33H-24</t>
  </si>
  <si>
    <t>prado.vasquez@gmail.com</t>
  </si>
  <si>
    <t>Eduardo prado</t>
  </si>
  <si>
    <t>602 371 9433</t>
  </si>
  <si>
    <t>CONTACTOS   310 830 6118      319 717 4165     321 783 4969</t>
  </si>
  <si>
    <t>LUIS A. BENAVIDEZ</t>
  </si>
  <si>
    <t>QUINIENTOS VEINTIUN MIL DOSCIENTOS VEINTE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</si>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</sst>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do.vasqu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34" zoomScaleNormal="100" workbookViewId="0">
      <selection activeCell="E39" sqref="E3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34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37</v>
      </c>
      <c r="E4" s="19"/>
      <c r="F4" s="20"/>
      <c r="G4" s="6"/>
      <c r="H4" s="7"/>
    </row>
    <row r="5" spans="1:8" ht="19.5" thickBot="1" x14ac:dyDescent="0.35">
      <c r="A5" s="70" t="s">
        <v>52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46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47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48</v>
      </c>
      <c r="D9" s="25"/>
      <c r="E9" s="26" t="s">
        <v>39</v>
      </c>
      <c r="F9" s="33" t="s">
        <v>0</v>
      </c>
      <c r="H9" s="34">
        <v>45447</v>
      </c>
    </row>
    <row r="10" spans="1:8" ht="18.75" x14ac:dyDescent="0.3">
      <c r="A10" s="22" t="s">
        <v>14</v>
      </c>
      <c r="C10" s="57" t="s">
        <v>49</v>
      </c>
      <c r="D10" s="27"/>
      <c r="E10" s="27"/>
      <c r="F10" s="33" t="s">
        <v>16</v>
      </c>
      <c r="H10" s="35" t="s">
        <v>40</v>
      </c>
    </row>
    <row r="11" spans="1:8" ht="18.75" x14ac:dyDescent="0.3">
      <c r="A11" s="22" t="s">
        <v>11</v>
      </c>
      <c r="C11" s="26" t="s">
        <v>50</v>
      </c>
      <c r="D11" s="27"/>
      <c r="E11" s="27"/>
      <c r="F11" s="33" t="s">
        <v>17</v>
      </c>
      <c r="G11" s="36"/>
      <c r="H11" s="34">
        <v>45457</v>
      </c>
    </row>
    <row r="12" spans="1:8" ht="18.75" x14ac:dyDescent="0.3">
      <c r="A12" s="22" t="s">
        <v>12</v>
      </c>
      <c r="C12" s="26" t="s">
        <v>51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53</v>
      </c>
      <c r="D13" s="27"/>
      <c r="E13" s="27"/>
      <c r="F13" s="17"/>
      <c r="G13" s="4"/>
      <c r="H13" s="18"/>
    </row>
    <row r="17" spans="1:10" ht="15.75" thickBot="1" x14ac:dyDescent="0.3"/>
    <row r="18" spans="1:10" ht="15.75" thickBot="1" x14ac:dyDescent="0.3">
      <c r="A18" s="38" t="s">
        <v>41</v>
      </c>
      <c r="B18" s="61" t="s">
        <v>25</v>
      </c>
      <c r="C18" s="19"/>
      <c r="D18" s="7"/>
      <c r="E18" s="38" t="s">
        <v>21</v>
      </c>
      <c r="F18" s="38" t="s">
        <v>23</v>
      </c>
      <c r="G18" s="38" t="s">
        <v>22</v>
      </c>
      <c r="H18" s="38" t="s">
        <v>24</v>
      </c>
    </row>
    <row r="19" spans="1:10" ht="15.75" x14ac:dyDescent="0.25">
      <c r="A19" s="62">
        <v>1</v>
      </c>
      <c r="B19" s="41" t="s">
        <v>44</v>
      </c>
      <c r="C19" s="42"/>
      <c r="D19" s="63"/>
      <c r="E19" s="62" t="s">
        <v>42</v>
      </c>
      <c r="F19" s="66">
        <v>115000</v>
      </c>
      <c r="G19" s="62">
        <v>3</v>
      </c>
      <c r="H19" s="64">
        <f>G19*F19</f>
        <v>345000</v>
      </c>
    </row>
    <row r="20" spans="1:10" ht="15.75" thickBot="1" x14ac:dyDescent="0.3">
      <c r="A20" s="40"/>
      <c r="E20" s="46"/>
      <c r="F20" s="39"/>
      <c r="G20" s="62"/>
      <c r="H20" s="55"/>
      <c r="I20" s="39"/>
      <c r="J20" s="39"/>
    </row>
    <row r="21" spans="1:10" ht="15.75" x14ac:dyDescent="0.25">
      <c r="A21" s="62">
        <v>2</v>
      </c>
      <c r="B21" s="41" t="s">
        <v>45</v>
      </c>
      <c r="C21" s="42"/>
      <c r="D21" s="42"/>
      <c r="E21" s="72" t="s">
        <v>42</v>
      </c>
      <c r="F21" s="65">
        <v>15500</v>
      </c>
      <c r="G21" s="62">
        <v>6</v>
      </c>
      <c r="H21" s="64">
        <f>G21*F21</f>
        <v>93000</v>
      </c>
      <c r="I21" s="39"/>
      <c r="J21" s="39"/>
    </row>
    <row r="22" spans="1:10" ht="16.5" thickBot="1" x14ac:dyDescent="0.3">
      <c r="B22" s="41"/>
      <c r="C22" s="42"/>
      <c r="D22" s="42"/>
      <c r="E22" s="46"/>
      <c r="F22" s="65"/>
      <c r="G22" s="62"/>
      <c r="H22" s="55"/>
      <c r="I22" s="39"/>
      <c r="J22" s="39"/>
    </row>
    <row r="23" spans="1:10" ht="15.75" x14ac:dyDescent="0.25">
      <c r="A23" s="62"/>
      <c r="B23" s="41"/>
      <c r="C23" s="42"/>
      <c r="D23" s="42"/>
      <c r="E23" s="72"/>
      <c r="F23" s="65"/>
      <c r="G23" s="62"/>
      <c r="H23" s="64"/>
      <c r="I23" s="39"/>
      <c r="J23" s="39"/>
    </row>
    <row r="24" spans="1:10" ht="15.75" x14ac:dyDescent="0.25">
      <c r="B24" s="41"/>
      <c r="C24" s="42"/>
      <c r="D24" s="42"/>
      <c r="E24" s="46"/>
      <c r="F24" s="65"/>
      <c r="G24" s="62"/>
      <c r="H24" s="40"/>
      <c r="I24" s="39"/>
      <c r="J24" s="39"/>
    </row>
    <row r="25" spans="1:10" ht="15.75" x14ac:dyDescent="0.25">
      <c r="A25" s="62"/>
      <c r="B25" s="41"/>
      <c r="C25" s="42"/>
      <c r="D25" s="42"/>
      <c r="E25" s="46"/>
      <c r="F25" s="65"/>
      <c r="G25" s="62"/>
      <c r="H25" s="40"/>
      <c r="I25" s="39"/>
      <c r="J25" s="39"/>
    </row>
    <row r="26" spans="1:10" ht="15.75" x14ac:dyDescent="0.25">
      <c r="B26" s="41"/>
      <c r="C26" s="42"/>
      <c r="D26" s="42"/>
      <c r="E26" s="46"/>
      <c r="F26" s="65"/>
      <c r="G26" s="62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G27" s="62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G28" s="62"/>
      <c r="H28" s="55"/>
      <c r="I28" s="39"/>
      <c r="J28" s="39"/>
    </row>
    <row r="29" spans="1:10" ht="19.5" customHeight="1" x14ac:dyDescent="0.25">
      <c r="B29" s="41"/>
      <c r="C29" s="42"/>
      <c r="D29" s="42"/>
      <c r="E29" s="46"/>
      <c r="F29" s="65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5"/>
      <c r="H30" s="40"/>
      <c r="I30" s="39"/>
      <c r="J30" s="39"/>
    </row>
    <row r="31" spans="1:10" ht="19.5" customHeight="1" x14ac:dyDescent="0.25">
      <c r="B31" s="41"/>
      <c r="C31" s="42"/>
      <c r="D31" s="42"/>
      <c r="E31" s="46"/>
      <c r="F31" s="65"/>
      <c r="H31" s="40"/>
      <c r="I31" s="39"/>
      <c r="J31" s="39"/>
    </row>
    <row r="32" spans="1:10" ht="19.5" customHeight="1" x14ac:dyDescent="0.25">
      <c r="B32" s="41"/>
      <c r="C32" s="42"/>
      <c r="D32" s="42"/>
      <c r="E32" s="46"/>
      <c r="F32" s="65"/>
      <c r="H32" s="40"/>
      <c r="I32" s="39"/>
      <c r="J32" s="39"/>
    </row>
    <row r="33" spans="1:10" ht="19.5" customHeight="1" x14ac:dyDescent="0.25">
      <c r="B33" s="41"/>
      <c r="C33" s="42"/>
      <c r="D33" s="42"/>
      <c r="E33" s="46"/>
      <c r="F33" s="67"/>
      <c r="H33" s="40"/>
      <c r="I33" s="39"/>
      <c r="J33" s="39"/>
    </row>
    <row r="34" spans="1:10" ht="19.5" customHeight="1" x14ac:dyDescent="0.25">
      <c r="B34" s="41"/>
      <c r="C34" s="42"/>
      <c r="D34" s="42"/>
      <c r="E34" s="46"/>
      <c r="F34" s="67"/>
      <c r="H34" s="40"/>
    </row>
    <row r="35" spans="1:10" ht="19.5" customHeight="1" x14ac:dyDescent="0.25">
      <c r="B35" s="41"/>
      <c r="C35" s="42"/>
      <c r="D35" s="42"/>
      <c r="E35" s="46"/>
      <c r="F35" s="67"/>
      <c r="H35" s="40"/>
    </row>
    <row r="36" spans="1:10" ht="19.5" customHeight="1" x14ac:dyDescent="0.25">
      <c r="B36" s="41"/>
      <c r="E36" s="46"/>
      <c r="F36" s="67"/>
      <c r="H36" s="40"/>
    </row>
    <row r="37" spans="1:10" ht="19.5" customHeight="1" x14ac:dyDescent="0.25">
      <c r="B37" s="41"/>
      <c r="E37" s="46"/>
      <c r="F37" s="67"/>
      <c r="H37" s="40"/>
    </row>
    <row r="38" spans="1:10" ht="19.5" customHeight="1" x14ac:dyDescent="0.25">
      <c r="B38" s="41"/>
      <c r="E38" s="46"/>
      <c r="F38" s="67"/>
      <c r="H38" s="40"/>
    </row>
    <row r="39" spans="1:10" ht="19.5" customHeight="1" x14ac:dyDescent="0.25">
      <c r="B39" s="43"/>
      <c r="C39" s="44"/>
      <c r="D39" s="44"/>
      <c r="E39" s="24"/>
      <c r="F39" s="68"/>
      <c r="G39" s="44"/>
      <c r="H39" s="45"/>
    </row>
    <row r="40" spans="1:10" ht="19.5" customHeight="1" thickBot="1" x14ac:dyDescent="0.3">
      <c r="H40" s="69"/>
    </row>
    <row r="41" spans="1:10" ht="19.5" customHeight="1" thickBot="1" x14ac:dyDescent="0.35">
      <c r="A41" s="73" t="s">
        <v>26</v>
      </c>
      <c r="B41" s="12" t="s">
        <v>54</v>
      </c>
      <c r="C41" s="13"/>
      <c r="D41" s="14"/>
      <c r="E41" s="13"/>
      <c r="F41" s="47" t="s">
        <v>32</v>
      </c>
      <c r="G41" s="13"/>
      <c r="H41" s="7"/>
    </row>
    <row r="42" spans="1:10" ht="19.5" customHeight="1" thickBot="1" x14ac:dyDescent="0.3">
      <c r="A42" s="74"/>
      <c r="B42" s="17" t="s">
        <v>55</v>
      </c>
      <c r="C42" s="4"/>
      <c r="D42" s="4"/>
      <c r="E42" s="48" t="s">
        <v>27</v>
      </c>
      <c r="F42" s="49"/>
      <c r="G42" s="27"/>
      <c r="H42" s="58">
        <f>H19+H21+H23+H25+H27</f>
        <v>438000</v>
      </c>
    </row>
    <row r="43" spans="1:10" ht="19.5" customHeight="1" thickBot="1" x14ac:dyDescent="0.3">
      <c r="A43" s="28" t="s">
        <v>28</v>
      </c>
      <c r="B43" s="13"/>
      <c r="C43" s="13"/>
      <c r="D43" s="14"/>
      <c r="E43" s="3" t="s">
        <v>35</v>
      </c>
      <c r="F43" s="71"/>
      <c r="G43" s="51">
        <v>0.19</v>
      </c>
      <c r="H43" s="59">
        <f>H42*G43</f>
        <v>83220</v>
      </c>
    </row>
    <row r="44" spans="1:10" ht="16.5" thickTop="1" x14ac:dyDescent="0.25">
      <c r="A44" s="15" t="s">
        <v>36</v>
      </c>
      <c r="D44" s="16"/>
      <c r="E44" s="49" t="s">
        <v>29</v>
      </c>
      <c r="G44">
        <v>0</v>
      </c>
      <c r="H44" s="52"/>
    </row>
    <row r="45" spans="1:10" ht="15.75" x14ac:dyDescent="0.25">
      <c r="A45" s="15" t="s">
        <v>43</v>
      </c>
      <c r="D45" s="16"/>
      <c r="F45" s="49"/>
      <c r="G45" s="27"/>
      <c r="H45" s="53"/>
    </row>
    <row r="46" spans="1:10" ht="16.5" thickBot="1" x14ac:dyDescent="0.3">
      <c r="A46" s="15" t="s">
        <v>38</v>
      </c>
      <c r="D46" s="16"/>
      <c r="E46" s="49" t="s">
        <v>30</v>
      </c>
      <c r="F46" s="49"/>
      <c r="G46" s="27"/>
      <c r="H46" s="54"/>
    </row>
    <row r="47" spans="1:10" ht="16.5" customHeight="1" thickBot="1" x14ac:dyDescent="0.35">
      <c r="A47" s="17"/>
      <c r="B47" s="4"/>
      <c r="C47" s="4"/>
      <c r="D47" s="18"/>
      <c r="F47" s="3"/>
      <c r="G47" s="50" t="s">
        <v>31</v>
      </c>
      <c r="H47" s="60">
        <f>H42+H43</f>
        <v>521220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9" t="s">
        <v>33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DISTROMOL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2024-06-04T15:24:16Z</dcterms:modified>
</cp:coreProperties>
</file>