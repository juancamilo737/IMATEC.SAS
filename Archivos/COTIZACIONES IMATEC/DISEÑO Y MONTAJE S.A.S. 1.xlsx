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77D7BA8D-56D3-4A8C-9538-0C6272CE1F31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DISEÑO Y META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9" i="1"/>
  <c r="H17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<sst xmlns="http://schemas.openxmlformats.org/spreadsheetml/2006/main" count="59" uniqueCount="57">
  <si>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</si>
  <si>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</si>
  <si>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</si>
  <si>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</si>
  <si>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</si>
  <si>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</si>
  <si>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</si>
  <si>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</si>
  <si>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</si>
  <si>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</si>
  <si>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</si>
  <si>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</si>
  <si>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</si>
  <si>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</si>
  <si>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</si>
  <si>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</si>
  <si>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</si>
  <si>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</si>
  <si>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</si>
  <si>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</si>
  <si>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</si>
  <si>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</si>
  <si>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</si>
  <si>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</si>
  <si>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</si>
  <si>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</si>
  <si>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</si>
  <si>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</si>
  <si>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</si>
  <si>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</si>
  <si>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</si>
  <si>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</si>
  <si>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</si>
  <si>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</si>
  <si>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</si>
  <si>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</si>
  <si>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</si>
  <si>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</si>
  <si>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ACCESORIO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</si>
  <si>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</si>
  <si>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</si>
  <si>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LUIS A. BENAVIDES</t>
  </si>
  <si>
    <t>ENTREGA INMEDIATA</t>
  </si>
  <si>
    <t xml:space="preserve">               R E M I S I O N</t>
  </si>
  <si>
    <t>PESOS MDA / CTE</t>
  </si>
  <si>
    <t>DISEÑO Y METAL  S.A.S.</t>
  </si>
  <si>
    <t>901 572746</t>
  </si>
  <si>
    <t>CRA 2 C  No. 32-48</t>
  </si>
  <si>
    <t>info.dym@gsiem.com</t>
  </si>
  <si>
    <t>CALI</t>
  </si>
  <si>
    <t>311 7414468</t>
  </si>
  <si>
    <t>TUBERIA  AC/INOX 304 SANITARIA  4 "</t>
  </si>
  <si>
    <t>METRO LINEAL</t>
  </si>
  <si>
    <t>TAPA  AC/INOX 304 ABOMBADA 4 "</t>
  </si>
  <si>
    <t xml:space="preserve">UNION INOX 304  1/2 " </t>
  </si>
  <si>
    <t xml:space="preserve">UNION INOX 304  1 " </t>
  </si>
  <si>
    <t>CUATROCIENTOS VEINTISIETE MIL DOSCIENTOS DIEZ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</si>
</sst>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8" fillId="0" borderId="14" xfId="0" applyFont="1" applyBorder="1"/>
    <xf numFmtId="0" fontId="8" fillId="0" borderId="0" xfId="0" applyFont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42" fontId="1" fillId="0" borderId="21" xfId="1" applyFont="1" applyBorder="1" applyAlignment="1">
      <alignment horizontal="left"/>
    </xf>
    <xf numFmtId="42" fontId="11" fillId="0" borderId="0" xfId="1" applyFont="1"/>
    <xf numFmtId="0" fontId="5" fillId="0" borderId="4" xfId="0" applyFont="1" applyBorder="1"/>
    <xf numFmtId="0" fontId="4" fillId="0" borderId="22" xfId="0" applyFont="1" applyBorder="1"/>
    <xf numFmtId="42" fontId="1" fillId="0" borderId="23" xfId="1" applyFont="1" applyBorder="1" applyAlignment="1">
      <alignment horizontal="left"/>
    </xf>
    <xf numFmtId="0" fontId="8" fillId="0" borderId="17" xfId="0" applyFont="1" applyBorder="1"/>
    <xf numFmtId="42" fontId="1" fillId="0" borderId="17" xfId="1" applyFont="1" applyBorder="1"/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.dym@gsie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1"/>
  <sheetViews>
    <sheetView tabSelected="1" topLeftCell="A4" zoomScaleNormal="100" workbookViewId="0">
      <selection activeCell="D17" sqref="D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9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58" t="s">
        <v>40</v>
      </c>
      <c r="B5" s="6"/>
      <c r="C5" s="6"/>
      <c r="D5" s="6"/>
      <c r="E5" s="6"/>
    </row>
    <row r="6" spans="1:8" ht="24.75" customHeight="1" thickBot="1" x14ac:dyDescent="0.45">
      <c r="F6" s="11" t="s">
        <v>43</v>
      </c>
      <c r="G6" s="19"/>
      <c r="H6" s="20"/>
    </row>
    <row r="7" spans="1:8" ht="19.5" thickBot="1" x14ac:dyDescent="0.35">
      <c r="A7" s="21" t="s">
        <v>14</v>
      </c>
      <c r="B7" s="13"/>
      <c r="C7" s="31" t="s">
        <v>45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46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47</v>
      </c>
      <c r="D9" s="24"/>
      <c r="E9" s="25" t="s">
        <v>49</v>
      </c>
      <c r="F9" s="32" t="s">
        <v>0</v>
      </c>
      <c r="H9" s="33">
        <v>45484</v>
      </c>
    </row>
    <row r="10" spans="1:8" ht="18.75" x14ac:dyDescent="0.3">
      <c r="A10" s="22" t="s">
        <v>13</v>
      </c>
      <c r="C10" s="50" t="s">
        <v>48</v>
      </c>
      <c r="D10" s="26"/>
      <c r="E10" s="26"/>
      <c r="F10" s="32" t="s">
        <v>15</v>
      </c>
      <c r="H10" s="34" t="s">
        <v>35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45494</v>
      </c>
    </row>
    <row r="12" spans="1:8" ht="18.75" x14ac:dyDescent="0.3">
      <c r="A12" s="22" t="s">
        <v>11</v>
      </c>
      <c r="C12" s="25" t="s">
        <v>50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41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66" t="s">
        <v>19</v>
      </c>
      <c r="B15" s="54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5">
        <v>1</v>
      </c>
      <c r="B16" s="39" t="s">
        <v>51</v>
      </c>
      <c r="C16" s="40"/>
      <c r="D16" s="61"/>
      <c r="E16" s="63" t="s">
        <v>52</v>
      </c>
      <c r="F16" s="57">
        <v>140000</v>
      </c>
      <c r="G16" s="55">
        <v>1.5</v>
      </c>
      <c r="H16" s="60">
        <f t="shared" ref="H16:H19" si="0">G16*F16</f>
        <v>210000</v>
      </c>
    </row>
    <row r="17" spans="1:10" ht="16.5" thickBot="1" x14ac:dyDescent="0.3">
      <c r="A17" s="55">
        <v>2</v>
      </c>
      <c r="B17" s="39" t="s">
        <v>53</v>
      </c>
      <c r="C17" s="40"/>
      <c r="D17" s="61"/>
      <c r="E17" s="55" t="s">
        <v>38</v>
      </c>
      <c r="F17" s="57">
        <v>50000</v>
      </c>
      <c r="G17" s="55">
        <v>2</v>
      </c>
      <c r="H17" s="60">
        <f t="shared" si="0"/>
        <v>100000</v>
      </c>
      <c r="I17" s="38"/>
      <c r="J17" s="38"/>
    </row>
    <row r="18" spans="1:10" ht="16.5" thickBot="1" x14ac:dyDescent="0.3">
      <c r="A18" s="55">
        <v>3</v>
      </c>
      <c r="B18" s="39" t="s">
        <v>54</v>
      </c>
      <c r="C18" s="40"/>
      <c r="D18" s="61"/>
      <c r="E18" s="55" t="s">
        <v>38</v>
      </c>
      <c r="F18" s="57">
        <v>5000</v>
      </c>
      <c r="G18" s="55">
        <v>8</v>
      </c>
      <c r="H18" s="62">
        <f t="shared" si="0"/>
        <v>40000</v>
      </c>
      <c r="I18" s="38"/>
      <c r="J18" s="38"/>
    </row>
    <row r="19" spans="1:10" ht="16.5" thickBot="1" x14ac:dyDescent="0.3">
      <c r="A19" s="55">
        <v>4</v>
      </c>
      <c r="B19" s="39" t="s">
        <v>55</v>
      </c>
      <c r="C19" s="40"/>
      <c r="D19" s="61"/>
      <c r="E19" s="55" t="s">
        <v>38</v>
      </c>
      <c r="F19" s="57">
        <v>9000</v>
      </c>
      <c r="G19" s="55">
        <v>1</v>
      </c>
      <c r="H19" s="56">
        <f t="shared" si="0"/>
        <v>9000</v>
      </c>
      <c r="I19" s="38"/>
      <c r="J19" s="38"/>
    </row>
    <row r="20" spans="1:10" ht="19.5" customHeight="1" thickBot="1" x14ac:dyDescent="0.35">
      <c r="A20" s="64" t="s">
        <v>25</v>
      </c>
      <c r="B20" s="12" t="s">
        <v>56</v>
      </c>
      <c r="C20" s="13"/>
      <c r="D20" s="14"/>
      <c r="E20" s="13"/>
      <c r="F20" s="41" t="s">
        <v>31</v>
      </c>
      <c r="G20" s="13"/>
      <c r="H20" s="7"/>
    </row>
    <row r="21" spans="1:10" ht="19.5" customHeight="1" thickBot="1" x14ac:dyDescent="0.3">
      <c r="A21" s="65"/>
      <c r="B21" s="17" t="s">
        <v>44</v>
      </c>
      <c r="C21" s="4"/>
      <c r="D21" s="4"/>
      <c r="E21" s="42" t="s">
        <v>26</v>
      </c>
      <c r="F21" s="43"/>
      <c r="G21" s="26"/>
      <c r="H21" s="51">
        <f>SUM(H16:H19)</f>
        <v>359000</v>
      </c>
    </row>
    <row r="22" spans="1:10" ht="19.5" customHeight="1" thickBot="1" x14ac:dyDescent="0.3">
      <c r="A22" s="27" t="s">
        <v>27</v>
      </c>
      <c r="B22" s="13"/>
      <c r="C22" s="13"/>
      <c r="D22" s="14"/>
      <c r="E22" s="3" t="s">
        <v>33</v>
      </c>
      <c r="F22" s="59"/>
      <c r="G22" s="45">
        <v>0.19</v>
      </c>
      <c r="H22" s="52">
        <f>H21*G22</f>
        <v>68210</v>
      </c>
    </row>
    <row r="23" spans="1:10" ht="19.5" customHeight="1" thickTop="1" x14ac:dyDescent="0.25">
      <c r="A23" s="15" t="s">
        <v>34</v>
      </c>
      <c r="D23" s="16"/>
      <c r="E23" s="43" t="s">
        <v>28</v>
      </c>
      <c r="G23">
        <v>0</v>
      </c>
      <c r="H23" s="46"/>
    </row>
    <row r="24" spans="1:10" ht="15.75" x14ac:dyDescent="0.25">
      <c r="A24" s="15" t="s">
        <v>42</v>
      </c>
      <c r="D24" s="16"/>
      <c r="F24" s="43"/>
      <c r="G24" s="26"/>
      <c r="H24" s="47"/>
    </row>
    <row r="25" spans="1:10" ht="16.5" thickBot="1" x14ac:dyDescent="0.3">
      <c r="A25" s="15" t="s">
        <v>37</v>
      </c>
      <c r="D25" s="16"/>
      <c r="E25" s="43" t="s">
        <v>29</v>
      </c>
      <c r="F25" s="43"/>
      <c r="G25" s="26"/>
      <c r="H25" s="48"/>
    </row>
    <row r="26" spans="1:10" ht="19.5" thickBot="1" x14ac:dyDescent="0.35">
      <c r="A26" s="17"/>
      <c r="B26" s="4"/>
      <c r="C26" s="4"/>
      <c r="D26" s="18"/>
      <c r="F26" s="3"/>
      <c r="G26" s="44" t="s">
        <v>30</v>
      </c>
      <c r="H26" s="53">
        <f>H21+H22</f>
        <v>427210</v>
      </c>
    </row>
    <row r="27" spans="1:10" ht="16.5" customHeight="1" x14ac:dyDescent="0.25"/>
    <row r="32" spans="1:10" ht="15.75" thickBot="1" x14ac:dyDescent="0.3"/>
    <row r="33" spans="1:8" ht="19.5" thickBot="1" x14ac:dyDescent="0.35">
      <c r="A33" s="28" t="s">
        <v>39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DISEÑO Y METAL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2024-07-11T19:36:46Z</dcterms:modified>
</cp:coreProperties>
</file>