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C28F808-5807-4DE3-B1F1-9E089A24970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23" i="1" s="1"/>
  <c r="H24" i="1" l="1"/>
  <c r="H27" i="1" s="1"/>
</calcChain>
</file>

<file path=xl/sharedStrings.xml><?xml version="1.0" encoding="utf-8"?>
<sst xmlns="http://schemas.openxmlformats.org/spreadsheetml/2006/main" count="64" uniqueCount="60">
  <si>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</si>
  <si>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</si>
  <si>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</si>
  <si>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</si>
  <si>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</si>
  <si>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</si>
  <si>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</si>
  <si>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</si>
  <si>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</si>
  <si>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</si>
  <si>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</si>
  <si>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</si>
  <si>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</si>
  <si>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</si>
  <si>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</si>
  <si>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</si>
  <si>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</si>
  <si>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</si>
  <si>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</si>
  <si>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</si>
  <si>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</si>
  <si>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</si>
  <si>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</si>
  <si>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</si>
  <si>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</si>
  <si>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</si>
  <si>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</si>
  <si>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</si>
  <si>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</si>
  <si>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</si>
  <si>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</si>
  <si>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</si>
  <si>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</si>
  <si>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</si>
  <si>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</si>
  <si>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</si>
  <si>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</si>
  <si>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</si>
  <si>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</si>
  <si>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</si>
  <si>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</si>
  <si>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</si>
  <si>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</si>
  <si>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</si>
  <si>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</si>
  <si>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</si>
  <si>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</si>
  <si>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</si>
  <si>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ENTREGA EN TRES DIAS A PARTIR DE ORDEN DE COMPRA</t>
  </si>
  <si>
    <t xml:space="preserve">         </t>
  </si>
  <si>
    <t xml:space="preserve">           C O T I Z A C I O N</t>
  </si>
  <si>
    <t>10 DIAS</t>
  </si>
  <si>
    <t>No. 24</t>
  </si>
  <si>
    <t>SOPORTE TIPO PERA 1 "</t>
  </si>
  <si>
    <t>SOPORTE TIPO PERA  1 1/4 "</t>
  </si>
  <si>
    <t>SOPORTE TIPO PERA  3 "</t>
  </si>
  <si>
    <t>SOPORTE TIPO PERA  4 "</t>
  </si>
  <si>
    <t>SOPORTE TIPO PERA  2 "</t>
  </si>
  <si>
    <t>UN MILLON DOSCIENTOS VEINTISIETE MIL NUEVE PESOS</t>
  </si>
  <si>
    <t>MDA / 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</si>
</sst>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3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45741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51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45751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53</v>
      </c>
      <c r="C16" s="60"/>
      <c r="D16" s="61"/>
      <c r="E16" s="62" t="s">
        <v>47</v>
      </c>
      <c r="F16" s="63">
        <v>1350</v>
      </c>
      <c r="G16" s="62">
        <v>90</v>
      </c>
      <c r="H16" s="64">
        <f t="shared" ref="H16" si="0">G16*F16</f>
        <v>121500</v>
      </c>
    </row>
    <row r="17" spans="1:8" ht="16.5" thickBot="1" x14ac:dyDescent="0.3">
      <c r="A17" s="58">
        <v>2</v>
      </c>
      <c r="B17" s="59" t="s">
        <v>54</v>
      </c>
      <c r="C17" s="60"/>
      <c r="D17" s="61"/>
      <c r="E17" s="62" t="s">
        <v>47</v>
      </c>
      <c r="F17" s="63">
        <v>1480</v>
      </c>
      <c r="G17" s="62">
        <v>20</v>
      </c>
      <c r="H17" s="64">
        <f t="shared" ref="H17:H20" si="1">G17*F17</f>
        <v>29600</v>
      </c>
    </row>
    <row r="18" spans="1:8" ht="16.5" thickBot="1" x14ac:dyDescent="0.3">
      <c r="A18" s="58">
        <v>3</v>
      </c>
      <c r="B18" s="59" t="s">
        <v>57</v>
      </c>
      <c r="C18" s="60"/>
      <c r="D18" s="61"/>
      <c r="E18" s="62" t="s">
        <v>47</v>
      </c>
      <c r="F18" s="63">
        <v>2000</v>
      </c>
      <c r="G18" s="62">
        <v>30</v>
      </c>
      <c r="H18" s="64">
        <f t="shared" si="1"/>
        <v>60000</v>
      </c>
    </row>
    <row r="19" spans="1:8" ht="16.5" thickBot="1" x14ac:dyDescent="0.3">
      <c r="A19" s="58">
        <v>4</v>
      </c>
      <c r="B19" s="59" t="s">
        <v>55</v>
      </c>
      <c r="C19" s="60"/>
      <c r="D19" s="61"/>
      <c r="E19" s="62" t="s">
        <v>47</v>
      </c>
      <c r="F19" s="63">
        <v>3200</v>
      </c>
      <c r="G19" s="62">
        <v>50</v>
      </c>
      <c r="H19" s="64">
        <f t="shared" si="1"/>
        <v>160000</v>
      </c>
    </row>
    <row r="20" spans="1:8" ht="15.75" x14ac:dyDescent="0.25">
      <c r="A20" s="58">
        <v>5</v>
      </c>
      <c r="B20" s="59" t="s">
        <v>56</v>
      </c>
      <c r="C20" s="60"/>
      <c r="D20" s="61"/>
      <c r="E20" s="62" t="s">
        <v>47</v>
      </c>
      <c r="F20" s="63">
        <v>5500</v>
      </c>
      <c r="G20" s="62">
        <v>120</v>
      </c>
      <c r="H20" s="64">
        <f t="shared" si="1"/>
        <v>660000</v>
      </c>
    </row>
    <row r="21" spans="1:8" ht="19.5" customHeight="1" thickBot="1" x14ac:dyDescent="0.3">
      <c r="H21" s="36"/>
    </row>
    <row r="22" spans="1:8" ht="19.5" customHeight="1" thickBot="1" x14ac:dyDescent="0.35">
      <c r="A22" s="65" t="s">
        <v>24</v>
      </c>
      <c r="B22" s="12" t="s">
        <v>58</v>
      </c>
      <c r="C22" s="13"/>
      <c r="D22" s="13"/>
      <c r="E22" s="47"/>
      <c r="F22" s="44" t="s">
        <v>45</v>
      </c>
      <c r="G22" s="6"/>
      <c r="H22" s="7"/>
    </row>
    <row r="23" spans="1:8" ht="19.5" customHeight="1" thickBot="1" x14ac:dyDescent="0.3">
      <c r="A23" s="66"/>
      <c r="B23" s="17" t="s">
        <v>59</v>
      </c>
      <c r="C23" s="4"/>
      <c r="D23" s="4"/>
      <c r="E23" s="54" t="s">
        <v>25</v>
      </c>
      <c r="F23" s="55"/>
      <c r="G23" s="7"/>
      <c r="H23" s="46">
        <f>SUM(H16:H20)</f>
        <v>1031100</v>
      </c>
    </row>
    <row r="24" spans="1:8" ht="19.5" customHeight="1" thickBot="1" x14ac:dyDescent="0.3">
      <c r="A24" s="27" t="s">
        <v>26</v>
      </c>
      <c r="B24" s="13"/>
      <c r="C24" s="13"/>
      <c r="D24" s="14"/>
      <c r="E24" s="52" t="s">
        <v>31</v>
      </c>
      <c r="F24" s="37"/>
      <c r="G24" s="53">
        <v>0.19</v>
      </c>
      <c r="H24" s="42">
        <f>H23*G24</f>
        <v>195909</v>
      </c>
    </row>
    <row r="25" spans="1:8" ht="16.5" thickBot="1" x14ac:dyDescent="0.3">
      <c r="A25" s="15" t="s">
        <v>43</v>
      </c>
      <c r="D25" s="16"/>
      <c r="E25" s="49" t="s">
        <v>27</v>
      </c>
      <c r="G25" s="56">
        <v>2.5000000000000001E-2</v>
      </c>
      <c r="H25" s="48"/>
    </row>
    <row r="26" spans="1:8" ht="16.5" thickBot="1" x14ac:dyDescent="0.3">
      <c r="A26" s="15" t="s">
        <v>48</v>
      </c>
      <c r="D26" s="16"/>
      <c r="E26" s="50" t="s">
        <v>28</v>
      </c>
      <c r="F26" s="51"/>
      <c r="G26" s="18"/>
      <c r="H26" s="39"/>
    </row>
    <row r="27" spans="1:8" ht="19.5" thickBot="1" x14ac:dyDescent="0.35">
      <c r="A27" s="15" t="s">
        <v>33</v>
      </c>
      <c r="D27" s="16"/>
      <c r="G27" s="38" t="s">
        <v>29</v>
      </c>
      <c r="H27" s="43">
        <f>H23+H24-H25</f>
        <v>1227009</v>
      </c>
    </row>
    <row r="28" spans="1:8" ht="16.5" customHeight="1" thickBot="1" x14ac:dyDescent="0.3">
      <c r="A28" s="17"/>
      <c r="B28" s="4"/>
      <c r="C28" s="4"/>
      <c r="D28" s="18"/>
      <c r="F28" s="3"/>
    </row>
    <row r="30" spans="1:8" x14ac:dyDescent="0.25">
      <c r="A30" t="s">
        <v>1</v>
      </c>
      <c r="C30" t="s">
        <v>49</v>
      </c>
    </row>
    <row r="32" spans="1:8" ht="15.75" thickBot="1" x14ac:dyDescent="0.3"/>
    <row r="33" spans="1:8" ht="19.5" thickBot="1" x14ac:dyDescent="0.35">
      <c r="A33" s="28" t="s">
        <v>46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2025-03-20T21:18:22Z</cp:lastPrinted>
  <dcterms:created xsi:type="dcterms:W3CDTF">2018-11-15T17:29:02Z</dcterms:created>
  <dcterms:modified xsi:type="dcterms:W3CDTF">2025-03-25T22:04:09Z</dcterms:modified>
</cp:coreProperties>
</file>