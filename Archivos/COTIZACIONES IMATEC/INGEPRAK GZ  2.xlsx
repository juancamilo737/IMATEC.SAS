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0333ED0-31FD-47A3-B5FF-77C8FCF1CE5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INGEPRAK GZ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23" i="1" s="1"/>
  <c r="H24" i="1" l="1"/>
  <c r="H27" i="1" s="1"/>
</calcChain>
</file>

<file path=xl/sharedStrings.xml><?xml version="1.0" encoding="utf-8"?>
<sst xmlns="http://schemas.openxmlformats.org/spreadsheetml/2006/main" count="53" uniqueCount="53">
  <si>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</si>
  <si>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</si>
  <si>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</si>
  <si>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</si>
  <si>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</si>
  <si>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</si>
  <si>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</si>
  <si>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</si>
  <si>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</si>
  <si>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</si>
  <si>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</si>
  <si>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</si>
  <si>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</si>
  <si>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</si>
  <si>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</si>
  <si>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</si>
  <si>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</si>
  <si>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</si>
  <si>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</si>
  <si>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</si>
  <si>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</si>
  <si>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</si>
  <si>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</si>
  <si>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</si>
  <si>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</si>
  <si>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</si>
  <si>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</si>
  <si>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</si>
  <si>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</si>
  <si>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</si>
  <si>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</si>
  <si>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CALI</t>
  </si>
  <si>
    <t>ITEM</t>
  </si>
  <si>
    <t>PAGO DE CONTADO</t>
  </si>
  <si>
    <t>SE ENTREGA EN CALI</t>
  </si>
  <si>
    <t>INGEPRAK GZ S.A.S.</t>
  </si>
  <si>
    <t>901 673500</t>
  </si>
  <si>
    <t>CALLE  41  No. 17-12</t>
  </si>
  <si>
    <t>ingeprakgz@gmail.com</t>
  </si>
  <si>
    <t>350 8664900</t>
  </si>
  <si>
    <t>LUIS A. BENAVIDES</t>
  </si>
  <si>
    <t xml:space="preserve">        FERRETERIA   INDUSTRIAL</t>
  </si>
  <si>
    <t xml:space="preserve">                                     JAVIER LOZANO TAMAYO C.C. 16´654.252</t>
  </si>
  <si>
    <t xml:space="preserve">              R E M I S I O N</t>
  </si>
  <si>
    <t>No.  2</t>
  </si>
  <si>
    <t>TUBERIA  A / C  SCH 80  2 1/2 "</t>
  </si>
  <si>
    <t>METRO LLINEAL</t>
  </si>
  <si>
    <t>L I Q U I D A C I O N</t>
  </si>
  <si>
    <t>ENTREGA INMEDIATA</t>
  </si>
  <si>
    <t xml:space="preserve">MAS IVA  </t>
  </si>
  <si>
    <t>DOSCIENTOS VEINTITRES MIL CIENTO VEINTICINCO PE-</t>
  </si>
  <si>
    <t>SOS MDA / CTE</t>
  </si>
  <si>
    <t xml:space="preserve">  CALLE  33A  No. 17F - 56                       B/  LA FLORESTA             -   CALI    -       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</si>
</sst>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8" xfId="0" applyBorder="1"/>
    <xf numFmtId="0" fontId="0" fillId="0" borderId="17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0" fillId="0" borderId="15" xfId="0" applyBorder="1"/>
    <xf numFmtId="0" fontId="0" fillId="0" borderId="16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17" xfId="0" applyFont="1" applyBorder="1"/>
    <xf numFmtId="0" fontId="4" fillId="0" borderId="13" xfId="0" applyFont="1" applyBorder="1"/>
    <xf numFmtId="0" fontId="4" fillId="0" borderId="19" xfId="0" applyFont="1" applyBorder="1"/>
    <xf numFmtId="0" fontId="5" fillId="0" borderId="21" xfId="0" applyFont="1" applyBorder="1"/>
    <xf numFmtId="9" fontId="1" fillId="0" borderId="17" xfId="0" applyNumberFormat="1" applyFont="1" applyBorder="1"/>
    <xf numFmtId="42" fontId="1" fillId="0" borderId="20" xfId="0" applyNumberFormat="1" applyFont="1" applyBorder="1"/>
    <xf numFmtId="42" fontId="1" fillId="0" borderId="22" xfId="0" applyNumberFormat="1" applyFont="1" applyBorder="1"/>
    <xf numFmtId="0" fontId="0" fillId="0" borderId="21" xfId="0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11" fillId="0" borderId="3" xfId="0" applyFont="1" applyBorder="1"/>
    <xf numFmtId="0" fontId="13" fillId="0" borderId="17" xfId="2" applyBorder="1"/>
    <xf numFmtId="10" fontId="1" fillId="0" borderId="13" xfId="0" applyNumberFormat="1" applyFont="1" applyBorder="1"/>
    <xf numFmtId="0" fontId="0" fillId="0" borderId="25" xfId="0" applyBorder="1"/>
    <xf numFmtId="0" fontId="1" fillId="0" borderId="9" xfId="0" applyFont="1" applyBorder="1"/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/>
    </xf>
    <xf numFmtId="42" fontId="12" fillId="0" borderId="21" xfId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3" xfId="0" applyBorder="1"/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28" xfId="0" applyFont="1" applyBorder="1"/>
    <xf numFmtId="0" fontId="8" fillId="0" borderId="4" xfId="0" applyFont="1" applyBorder="1"/>
    <xf numFmtId="0" fontId="8" fillId="0" borderId="27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geprakg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 t="s">
        <v>41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42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43</v>
      </c>
      <c r="G6" s="19"/>
      <c r="H6" s="20"/>
    </row>
    <row r="7" spans="1:8" ht="19.5" thickBot="1" x14ac:dyDescent="0.35">
      <c r="A7" s="21" t="s">
        <v>15</v>
      </c>
      <c r="B7" s="13"/>
      <c r="C7" s="31" t="s">
        <v>35</v>
      </c>
      <c r="D7" s="13"/>
      <c r="E7" s="14"/>
      <c r="F7" s="28"/>
      <c r="G7" s="19"/>
      <c r="H7" s="20" t="s">
        <v>44</v>
      </c>
    </row>
    <row r="8" spans="1:8" ht="18.75" x14ac:dyDescent="0.3">
      <c r="A8" s="22" t="s">
        <v>9</v>
      </c>
      <c r="C8" s="25" t="s">
        <v>36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37</v>
      </c>
      <c r="D9" s="24"/>
      <c r="E9" s="25" t="s">
        <v>31</v>
      </c>
      <c r="F9" s="32" t="s">
        <v>0</v>
      </c>
      <c r="H9" s="33">
        <v>45786</v>
      </c>
    </row>
    <row r="10" spans="1:8" ht="18.75" x14ac:dyDescent="0.3">
      <c r="A10" s="22" t="s">
        <v>14</v>
      </c>
      <c r="C10" s="54" t="s">
        <v>38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39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40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53" t="s">
        <v>25</v>
      </c>
      <c r="B16" s="7"/>
    </row>
    <row r="17" spans="1:8" ht="15.75" thickBot="1" x14ac:dyDescent="0.3"/>
    <row r="18" spans="1:8" ht="15.75" thickBot="1" x14ac:dyDescent="0.3">
      <c r="A18" s="37" t="s">
        <v>32</v>
      </c>
      <c r="B18" s="63" t="s">
        <v>24</v>
      </c>
      <c r="C18" s="19"/>
      <c r="D18" s="6"/>
      <c r="E18" s="64" t="s">
        <v>20</v>
      </c>
      <c r="F18" s="37" t="s">
        <v>22</v>
      </c>
      <c r="G18" s="37" t="s">
        <v>21</v>
      </c>
      <c r="H18" s="51" t="s">
        <v>23</v>
      </c>
    </row>
    <row r="19" spans="1:8" ht="16.5" thickBot="1" x14ac:dyDescent="0.3">
      <c r="A19" s="65">
        <v>1</v>
      </c>
      <c r="B19" s="66" t="s">
        <v>45</v>
      </c>
      <c r="C19" s="67"/>
      <c r="D19" s="68"/>
      <c r="E19" s="60" t="s">
        <v>46</v>
      </c>
      <c r="F19" s="61">
        <v>75000</v>
      </c>
      <c r="G19" s="62">
        <v>2.5</v>
      </c>
      <c r="H19" s="52">
        <f>F19*G19</f>
        <v>187500</v>
      </c>
    </row>
    <row r="20" spans="1:8" ht="19.5" customHeight="1" x14ac:dyDescent="0.25">
      <c r="B20" s="38"/>
      <c r="C20" s="39"/>
      <c r="D20" s="40"/>
      <c r="E20" s="39"/>
      <c r="F20" s="39"/>
      <c r="G20" s="39"/>
      <c r="H20" s="40"/>
    </row>
    <row r="21" spans="1:8" ht="19.5" customHeight="1" thickBot="1" x14ac:dyDescent="0.3"/>
    <row r="22" spans="1:8" ht="19.5" customHeight="1" thickBot="1" x14ac:dyDescent="0.35">
      <c r="A22" s="58" t="s">
        <v>26</v>
      </c>
      <c r="B22" s="12" t="s">
        <v>50</v>
      </c>
      <c r="C22" s="13"/>
      <c r="D22" s="14"/>
      <c r="E22" s="13"/>
      <c r="F22" s="42" t="s">
        <v>47</v>
      </c>
      <c r="G22" s="13"/>
      <c r="H22" s="7"/>
    </row>
    <row r="23" spans="1:8" ht="19.5" customHeight="1" thickBot="1" x14ac:dyDescent="0.3">
      <c r="A23" s="59"/>
      <c r="B23" s="17" t="s">
        <v>51</v>
      </c>
      <c r="C23" s="4"/>
      <c r="D23" s="4"/>
      <c r="E23" s="43" t="s">
        <v>27</v>
      </c>
      <c r="F23" s="44"/>
      <c r="G23" s="26"/>
      <c r="H23" s="48">
        <f>SUM(H19:H19)</f>
        <v>187500</v>
      </c>
    </row>
    <row r="24" spans="1:8" ht="19.5" customHeight="1" x14ac:dyDescent="0.25">
      <c r="A24" s="27" t="s">
        <v>28</v>
      </c>
      <c r="B24" s="13"/>
      <c r="C24" s="13"/>
      <c r="D24" s="14"/>
      <c r="E24" s="3" t="s">
        <v>49</v>
      </c>
      <c r="F24" s="45"/>
      <c r="G24" s="47">
        <v>0.19</v>
      </c>
      <c r="H24" s="49">
        <f>H23*0.19</f>
        <v>35625</v>
      </c>
    </row>
    <row r="25" spans="1:8" ht="15.75" x14ac:dyDescent="0.25">
      <c r="A25" s="57" t="s">
        <v>33</v>
      </c>
      <c r="D25" s="16"/>
      <c r="E25" s="44" t="s">
        <v>29</v>
      </c>
      <c r="F25" s="44"/>
      <c r="G25" s="55">
        <v>2.5000000000000001E-2</v>
      </c>
      <c r="H25" s="49"/>
    </row>
    <row r="26" spans="1:8" ht="16.5" thickBot="1" x14ac:dyDescent="0.3">
      <c r="A26" s="57" t="s">
        <v>48</v>
      </c>
      <c r="D26" s="16"/>
      <c r="E26" s="56"/>
      <c r="F26" s="44"/>
      <c r="G26" s="26"/>
      <c r="H26" s="50"/>
    </row>
    <row r="27" spans="1:8" ht="19.5" thickBot="1" x14ac:dyDescent="0.35">
      <c r="A27" s="15" t="s">
        <v>34</v>
      </c>
      <c r="D27" s="16"/>
      <c r="F27" s="3"/>
      <c r="G27" s="46" t="s">
        <v>30</v>
      </c>
      <c r="H27" s="41">
        <f>H23+H24-H25</f>
        <v>223125</v>
      </c>
    </row>
    <row r="28" spans="1:8" ht="16.5" customHeight="1" thickBot="1" x14ac:dyDescent="0.3">
      <c r="A28" s="17"/>
      <c r="B28" s="4"/>
      <c r="C28" s="4"/>
      <c r="D28" s="18"/>
    </row>
    <row r="30" spans="1:8" x14ac:dyDescent="0.25">
      <c r="A30" t="s">
        <v>1</v>
      </c>
    </row>
    <row r="32" spans="1:8" ht="15.75" thickBot="1" x14ac:dyDescent="0.3"/>
    <row r="33" spans="1:8" ht="19.5" thickBot="1" x14ac:dyDescent="0.35">
      <c r="A33" s="28" t="s">
        <v>52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INGEPRAK GZ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2025-05-09T21:13:46Z</cp:lastPrinted>
  <dcterms:created xsi:type="dcterms:W3CDTF">2018-11-15T17:29:02Z</dcterms:created>
  <dcterms:modified xsi:type="dcterms:W3CDTF">2025-05-09T21:18:45Z</dcterms:modified>
</cp:coreProperties>
</file>