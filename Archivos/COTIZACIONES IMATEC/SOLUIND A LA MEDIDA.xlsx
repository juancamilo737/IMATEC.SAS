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000~4400\"/>
    </mc:Choice>
  </mc:AlternateContent>
  <xr:revisionPtr revIDLastSave="0" documentId="13_ncr:1_{4F43081B-F821-458C-B4A4-C64A38C28B0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MED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20" i="1"/>
  <c r="H19" i="1"/>
  <c r="H18" i="1"/>
  <c r="H17" i="1"/>
  <c r="H16" i="1" l="1"/>
  <c r="H26" i="1" l="1"/>
  <c r="H25" i="1"/>
  <c r="H29" i="1" s="1"/>
</calcChain>
</file>

<file path=xl/sharedStrings.xml><?xml version="1.0" encoding="utf-8"?>
<sst xmlns="http://schemas.openxmlformats.org/spreadsheetml/2006/main" count="65" uniqueCount="60">
  <si>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</si>
  <si>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</si>
  <si>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</si>
  <si>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</si>
  <si>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</si>
  <si>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</si>
  <si>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</si>
  <si>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</si>
  <si>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</si>
  <si>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</si>
  <si>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</si>
  <si>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</si>
  <si>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</si>
  <si>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</si>
  <si>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</si>
  <si>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</si>
  <si>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</si>
  <si>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</si>
  <si>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</si>
  <si>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</si>
  <si>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</si>
  <si>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</si>
  <si>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</si>
  <si>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</si>
  <si>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</si>
  <si>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</si>
  <si>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</si>
  <si>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</si>
  <si>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</si>
  <si>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</si>
  <si>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</si>
  <si>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</si>
  <si>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</si>
  <si>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</si>
  <si>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</si>
  <si>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</si>
  <si>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</si>
  <si>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</si>
  <si>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  17F - 56                           B/  LA FLORESTA             -   CALI    -                                       CEL.     321 7834969</t>
  </si>
  <si>
    <t xml:space="preserve">No.  1 </t>
  </si>
  <si>
    <t xml:space="preserve">           C O T I Z A C I O N</t>
  </si>
  <si>
    <t>10 DIAS</t>
  </si>
  <si>
    <t>901 751503</t>
  </si>
  <si>
    <t>CARRERA 47 A  No. 14 C - 45</t>
  </si>
  <si>
    <t>CALI</t>
  </si>
  <si>
    <t>gerenciatecnica@amedasesorias.com</t>
  </si>
  <si>
    <t>AMED S.A.S.</t>
  </si>
  <si>
    <t>320 6931797</t>
  </si>
  <si>
    <t>LUIS A. BENAVIDES</t>
  </si>
  <si>
    <t>ACOPLE CLAMP AC/INOX 304 1 1/2 " X 1/2 " HEMB</t>
  </si>
  <si>
    <t>ACOPLE CLAMP AC/INOX 304 1 1/2 " X 1/2 " MACHO</t>
  </si>
  <si>
    <t>ACOPLE CLAMP AC/INOX 304 1 1/2 " X 3/4 " HEMB</t>
  </si>
  <si>
    <t>ACOPLE CLAMP AC/INOX 304 1 1/2 " X 1 " HEMB</t>
  </si>
  <si>
    <t>ACOPLE CLAMP AC/INOX 304 1 1/2 " X 3/4 " MACHO</t>
  </si>
  <si>
    <t>ACOPLE CLAMP AC/INOX 304 1 1/2 " X 1  " MACHO</t>
  </si>
  <si>
    <t>FABRICACION</t>
  </si>
  <si>
    <t>UN MILLON SETECIENTOS CINCO MIL QUINIENTOS SESEN</t>
  </si>
  <si>
    <t>TA PESOS MDA / CTE</t>
  </si>
  <si>
    <t>ENTREGA EN CINCO DIAS POSTERIOR A ORDEN DE COMPRA</t>
  </si>
  <si>
    <t>SOLUCIONES INTEGRALES A LA MEDIDA DE SU EMPRESA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</si>
</sst>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tecnica@amedasesori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4"/>
  <sheetViews>
    <sheetView tabSelected="1" topLeftCell="A7" zoomScaleNormal="100" workbookViewId="0">
      <selection activeCell="J16" sqref="J1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2"/>
      <c r="H6" s="43"/>
    </row>
    <row r="7" spans="1:8" ht="19.5" thickBot="1" x14ac:dyDescent="0.35">
      <c r="A7" s="20" t="s">
        <v>14</v>
      </c>
      <c r="B7" s="12"/>
      <c r="C7" s="59" t="s">
        <v>59</v>
      </c>
      <c r="D7" s="12"/>
      <c r="E7" s="13"/>
      <c r="F7" s="37"/>
      <c r="G7" s="18"/>
      <c r="H7" s="19" t="s">
        <v>39</v>
      </c>
    </row>
    <row r="8" spans="1:8" ht="18.75" x14ac:dyDescent="0.3">
      <c r="A8" s="21" t="s">
        <v>8</v>
      </c>
      <c r="C8" s="63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 t="s">
        <v>44</v>
      </c>
      <c r="F9" s="30" t="s">
        <v>0</v>
      </c>
      <c r="H9" s="28">
        <v>45847</v>
      </c>
    </row>
    <row r="10" spans="1:8" ht="18.75" x14ac:dyDescent="0.3">
      <c r="A10" s="21" t="s">
        <v>13</v>
      </c>
      <c r="C10" s="64" t="s">
        <v>45</v>
      </c>
      <c r="E10" s="15"/>
      <c r="F10" s="30" t="s">
        <v>15</v>
      </c>
      <c r="H10" s="29" t="s">
        <v>41</v>
      </c>
    </row>
    <row r="11" spans="1:8" ht="18.75" x14ac:dyDescent="0.3">
      <c r="A11" s="21" t="s">
        <v>10</v>
      </c>
      <c r="C11" s="14" t="s">
        <v>46</v>
      </c>
      <c r="E11" s="15"/>
      <c r="F11" s="30" t="s">
        <v>16</v>
      </c>
      <c r="G11" s="30"/>
      <c r="H11" s="28">
        <v>45856</v>
      </c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49</v>
      </c>
      <c r="C16" s="67"/>
      <c r="D16" s="68"/>
      <c r="E16" s="65" t="s">
        <v>55</v>
      </c>
      <c r="F16" s="69">
        <v>58000</v>
      </c>
      <c r="G16" s="65">
        <v>4</v>
      </c>
      <c r="H16" s="38">
        <f t="shared" ref="H16" si="0">G16*F16</f>
        <v>232000</v>
      </c>
    </row>
    <row r="17" spans="1:8" ht="16.5" thickBot="1" x14ac:dyDescent="0.3">
      <c r="A17" s="65">
        <v>2</v>
      </c>
      <c r="B17" s="66" t="s">
        <v>51</v>
      </c>
      <c r="C17" s="67"/>
      <c r="D17" s="68"/>
      <c r="E17" s="65" t="s">
        <v>55</v>
      </c>
      <c r="F17" s="69">
        <v>60000</v>
      </c>
      <c r="G17" s="65">
        <v>4</v>
      </c>
      <c r="H17" s="38">
        <f t="shared" ref="H17:H21" si="1">G17*F17</f>
        <v>240000</v>
      </c>
    </row>
    <row r="18" spans="1:8" ht="16.5" thickBot="1" x14ac:dyDescent="0.3">
      <c r="A18" s="65">
        <v>3</v>
      </c>
      <c r="B18" s="66" t="s">
        <v>52</v>
      </c>
      <c r="C18" s="67"/>
      <c r="D18" s="68"/>
      <c r="E18" s="65" t="s">
        <v>55</v>
      </c>
      <c r="F18" s="69">
        <v>65000</v>
      </c>
      <c r="G18" s="65">
        <v>4</v>
      </c>
      <c r="H18" s="38">
        <f t="shared" si="1"/>
        <v>260000</v>
      </c>
    </row>
    <row r="19" spans="1:8" ht="16.5" thickBot="1" x14ac:dyDescent="0.3">
      <c r="A19" s="65">
        <v>4</v>
      </c>
      <c r="B19" s="66" t="s">
        <v>50</v>
      </c>
      <c r="C19" s="67"/>
      <c r="D19" s="68"/>
      <c r="E19" s="65" t="s">
        <v>55</v>
      </c>
      <c r="F19" s="69">
        <v>58000</v>
      </c>
      <c r="G19" s="65">
        <v>4</v>
      </c>
      <c r="H19" s="38">
        <f t="shared" si="1"/>
        <v>232000</v>
      </c>
    </row>
    <row r="20" spans="1:8" ht="16.5" thickBot="1" x14ac:dyDescent="0.3">
      <c r="A20" s="65">
        <v>5</v>
      </c>
      <c r="B20" s="66" t="s">
        <v>53</v>
      </c>
      <c r="C20" s="67"/>
      <c r="D20" s="68"/>
      <c r="E20" s="65" t="s">
        <v>55</v>
      </c>
      <c r="F20" s="69">
        <v>60000</v>
      </c>
      <c r="G20" s="65">
        <v>4</v>
      </c>
      <c r="H20" s="38">
        <f t="shared" si="1"/>
        <v>240000</v>
      </c>
    </row>
    <row r="21" spans="1:8" ht="16.5" thickBot="1" x14ac:dyDescent="0.3">
      <c r="A21" s="65">
        <v>6</v>
      </c>
      <c r="B21" s="66" t="s">
        <v>54</v>
      </c>
      <c r="C21" s="67"/>
      <c r="D21" s="68"/>
      <c r="E21" s="65" t="s">
        <v>55</v>
      </c>
      <c r="F21" s="69">
        <v>65000</v>
      </c>
      <c r="G21" s="65">
        <v>4</v>
      </c>
      <c r="H21" s="38">
        <f t="shared" si="1"/>
        <v>260000</v>
      </c>
    </row>
    <row r="22" spans="1:8" ht="19.5" customHeight="1" thickBot="1" x14ac:dyDescent="0.3">
      <c r="A22" s="47"/>
      <c r="B22" s="61"/>
      <c r="D22" s="62"/>
      <c r="E22" s="47"/>
      <c r="F22" s="47"/>
      <c r="G22" s="47"/>
    </row>
    <row r="23" spans="1:8" ht="19.5" customHeight="1" thickBot="1" x14ac:dyDescent="0.35">
      <c r="A23" s="60" t="s">
        <v>23</v>
      </c>
      <c r="B23" s="63" t="s">
        <v>56</v>
      </c>
      <c r="C23" s="12"/>
      <c r="D23" s="13"/>
      <c r="E23" s="48"/>
      <c r="F23" s="37" t="s">
        <v>37</v>
      </c>
      <c r="G23" s="6"/>
      <c r="H23" s="7"/>
    </row>
    <row r="24" spans="1:8" ht="19.5" customHeight="1" thickBot="1" x14ac:dyDescent="0.3">
      <c r="A24" s="39"/>
      <c r="B24" s="16" t="s">
        <v>57</v>
      </c>
      <c r="C24" s="4"/>
      <c r="D24" s="17"/>
      <c r="E24" s="51" t="s">
        <v>24</v>
      </c>
      <c r="F24" s="52"/>
      <c r="G24" s="44"/>
      <c r="H24" s="49">
        <f>SUM(H16:H21)</f>
        <v>1464000</v>
      </c>
    </row>
    <row r="25" spans="1:8" ht="19.5" customHeight="1" x14ac:dyDescent="0.25">
      <c r="A25" s="24" t="s">
        <v>25</v>
      </c>
      <c r="B25" s="12"/>
      <c r="C25" s="12"/>
      <c r="D25" s="12"/>
      <c r="E25" s="53" t="s">
        <v>29</v>
      </c>
      <c r="F25" s="23"/>
      <c r="G25" s="54">
        <v>0.19</v>
      </c>
      <c r="H25" s="40">
        <f>H24*G25</f>
        <v>278160</v>
      </c>
    </row>
    <row r="26" spans="1:8" ht="19.5" customHeight="1" x14ac:dyDescent="0.25">
      <c r="A26" s="14" t="s">
        <v>30</v>
      </c>
      <c r="E26" s="55" t="s">
        <v>26</v>
      </c>
      <c r="G26" s="58">
        <v>2.5000000000000001E-2</v>
      </c>
      <c r="H26" s="50">
        <f>H24*G26</f>
        <v>36600</v>
      </c>
    </row>
    <row r="27" spans="1:8" ht="15.75" x14ac:dyDescent="0.25">
      <c r="A27" s="14" t="s">
        <v>58</v>
      </c>
      <c r="E27" s="14"/>
      <c r="F27" s="33"/>
      <c r="G27" s="45"/>
      <c r="H27" s="15"/>
    </row>
    <row r="28" spans="1:8" ht="16.5" thickBot="1" x14ac:dyDescent="0.3">
      <c r="A28" s="14" t="s">
        <v>32</v>
      </c>
      <c r="E28" s="56" t="s">
        <v>27</v>
      </c>
      <c r="F28" s="57"/>
      <c r="G28" s="46"/>
      <c r="H28" s="17"/>
    </row>
    <row r="29" spans="1:8" ht="19.5" thickBot="1" x14ac:dyDescent="0.35">
      <c r="A29" s="16"/>
      <c r="B29" s="4"/>
      <c r="C29" s="4"/>
      <c r="D29" s="17"/>
      <c r="F29" s="3"/>
      <c r="G29" s="34" t="s">
        <v>28</v>
      </c>
      <c r="H29" s="36">
        <f>H24+H25-H26</f>
        <v>1705560</v>
      </c>
    </row>
    <row r="30" spans="1:8" ht="16.5" customHeight="1" x14ac:dyDescent="0.25"/>
    <row r="35" spans="1:8" ht="15.75" thickBot="1" x14ac:dyDescent="0.3"/>
    <row r="36" spans="1:8" ht="19.5" thickBot="1" x14ac:dyDescent="0.35">
      <c r="A36" s="25" t="s">
        <v>38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hyperlinks>
    <hyperlink ref="C10" r:id="rId1" xr:uid="{DD229F78-5D47-468B-97E8-9EE5AC04344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AMED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2025-06-09T19:45:03Z</cp:lastPrinted>
  <dcterms:created xsi:type="dcterms:W3CDTF">2018-11-15T17:29:02Z</dcterms:created>
  <dcterms:modified xsi:type="dcterms:W3CDTF">2025-08-25T17:49:54Z</dcterms:modified>
</cp:coreProperties>
</file>