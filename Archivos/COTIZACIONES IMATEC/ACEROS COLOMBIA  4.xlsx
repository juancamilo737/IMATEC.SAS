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94B2336-71F1-4A0D-B995-348E272F082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CEROS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30" i="1"/>
  <c r="H26" i="1"/>
  <c r="H25" i="1"/>
  <c r="H24" i="1"/>
  <c r="H23" i="1"/>
  <c r="H22" i="1"/>
  <c r="H21" i="1"/>
  <c r="H20" i="1"/>
  <c r="H18" i="1"/>
  <c r="H17" i="1"/>
  <c r="H16" i="1"/>
  <c r="H31" i="1" l="1"/>
  <c r="H35" i="1" s="1"/>
</calcChain>
</file>

<file path=xl/sharedStrings.xml><?xml version="1.0" encoding="utf-8"?>
<sst xmlns="http://schemas.openxmlformats.org/spreadsheetml/2006/main" count="74" uniqueCount="67">
  <si>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</si>
  <si>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</si>
  <si>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</si>
  <si>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</si>
  <si>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</si>
  <si>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</si>
  <si>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</si>
  <si>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</si>
  <si>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</si>
  <si>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</si>
  <si>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</si>
  <si>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</si>
  <si>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</si>
  <si>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</si>
  <si>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</si>
  <si>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</si>
  <si>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</si>
  <si>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</si>
  <si>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</si>
  <si>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</si>
  <si>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</si>
  <si>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</si>
  <si>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</si>
  <si>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</si>
  <si>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</si>
  <si>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</si>
  <si>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</si>
  <si>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</si>
  <si>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</si>
  <si>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</si>
  <si>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</si>
  <si>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</si>
  <si>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</si>
  <si>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</si>
  <si>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</si>
  <si>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</si>
  <si>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</si>
  <si>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</si>
  <si>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</si>
  <si>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</si>
  <si>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</si>
  <si>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ACEROS COLOMBIA S.A.S.</t>
  </si>
  <si>
    <t>ACEROSCOL S.A.S.</t>
  </si>
  <si>
    <t>890 310500</t>
  </si>
  <si>
    <t>CALLE 52  No. 1N-97</t>
  </si>
  <si>
    <t>CALI</t>
  </si>
  <si>
    <t>aceroscol@aceroscol.com</t>
  </si>
  <si>
    <t>602 4463613</t>
  </si>
  <si>
    <t>LUIS A. BENAVIDES</t>
  </si>
  <si>
    <t>ACCESORIO</t>
  </si>
  <si>
    <t>METRO LINEAL</t>
  </si>
  <si>
    <t>No. 4</t>
  </si>
  <si>
    <t>TUBERIA  AC/INOX 304 SCH 10  10 "</t>
  </si>
  <si>
    <t>TUBERIA  AC/INOX 304 SCH 10  6 "</t>
  </si>
  <si>
    <t xml:space="preserve">REDUCCION COPA CONCENTRICA AC/INOX 304   </t>
  </si>
  <si>
    <t>SCH 10  10 "  X  8 "</t>
  </si>
  <si>
    <t>SEMICODO AC/INOX  304 SCH 10  10 "</t>
  </si>
  <si>
    <t>SEMICODO AC/INOX  304 SCH 10  8 "</t>
  </si>
  <si>
    <t>CODO AC/INOX 304 SCH 10  8 "  X  90º</t>
  </si>
  <si>
    <t>BRIDA  A / C SLIP ON  10 "  X  150 LB SOLDAR</t>
  </si>
  <si>
    <t>BRIDA  A / C SLIP ON  8 "  X  150 LB SOLDAR</t>
  </si>
  <si>
    <t>STUB END  AC/INOX 304  SCH 10  10 "</t>
  </si>
  <si>
    <t>FABRICACION</t>
  </si>
  <si>
    <t>STUB END  AC/INOX 304  SCH 10  8 "</t>
  </si>
  <si>
    <t>CINCUENTA Y TRES MILLONES SETECIENTOS OCHENTA Y</t>
  </si>
  <si>
    <t>OCHO MIL CINCUENTA PESOS MDA / CTE</t>
  </si>
  <si>
    <t xml:space="preserve">FORMA DE PAGO : CREDITO A 30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</si>
</sst>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1" xfId="0" applyFont="1" applyBorder="1" applyAlignment="1">
      <alignment horizontal="center"/>
    </xf>
    <xf numFmtId="0" fontId="8" fillId="0" borderId="37" xfId="0" applyFont="1" applyBorder="1"/>
    <xf numFmtId="0" fontId="8" fillId="0" borderId="0" xfId="0" applyFont="1"/>
    <xf numFmtId="0" fontId="8" fillId="0" borderId="38" xfId="0" applyFont="1" applyBorder="1"/>
    <xf numFmtId="42" fontId="11" fillId="0" borderId="31" xfId="1" applyFont="1" applyBorder="1" applyAlignment="1">
      <alignment horizontal="center"/>
    </xf>
    <xf numFmtId="42" fontId="1" fillId="0" borderId="0" xfId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8" fillId="0" borderId="39" xfId="0" applyFont="1" applyBorder="1"/>
    <xf numFmtId="0" fontId="8" fillId="0" borderId="13" xfId="0" applyFont="1" applyBorder="1"/>
    <xf numFmtId="0" fontId="8" fillId="0" borderId="40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eroscol@aceros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0"/>
  <sheetViews>
    <sheetView tabSelected="1" topLeftCell="A20" zoomScaleNormal="100" workbookViewId="0">
      <selection activeCell="E37" sqref="E3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51</v>
      </c>
    </row>
    <row r="8" spans="1:8" ht="19.5" thickBot="1" x14ac:dyDescent="0.35">
      <c r="A8" s="21" t="s">
        <v>8</v>
      </c>
      <c r="C8" s="14" t="s">
        <v>43</v>
      </c>
      <c r="E8" s="15"/>
      <c r="H8" s="15"/>
    </row>
    <row r="9" spans="1:8" ht="18.75" customHeight="1" thickBot="1" x14ac:dyDescent="0.35">
      <c r="A9" s="21" t="s">
        <v>9</v>
      </c>
      <c r="C9" s="14" t="s">
        <v>44</v>
      </c>
      <c r="E9" s="72" t="s">
        <v>45</v>
      </c>
      <c r="F9" s="30" t="s">
        <v>0</v>
      </c>
      <c r="H9" s="28">
        <v>45593</v>
      </c>
    </row>
    <row r="10" spans="1:8" ht="18.75" x14ac:dyDescent="0.3">
      <c r="A10" s="21" t="s">
        <v>13</v>
      </c>
      <c r="C10" s="50" t="s">
        <v>46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 t="s">
        <v>42</v>
      </c>
      <c r="E11" s="15"/>
      <c r="F11" s="30" t="s">
        <v>16</v>
      </c>
      <c r="G11" s="30"/>
      <c r="H11" s="28">
        <v>45602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36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52</v>
      </c>
      <c r="C16" s="56"/>
      <c r="D16" s="57"/>
      <c r="E16" s="53" t="s">
        <v>50</v>
      </c>
      <c r="F16" s="59">
        <v>475000</v>
      </c>
      <c r="G16" s="53">
        <v>48</v>
      </c>
      <c r="H16" s="38">
        <f t="shared" ref="H16" si="0">G16*F16</f>
        <v>22800000</v>
      </c>
    </row>
    <row r="17" spans="1:8" ht="16.5" thickBot="1" x14ac:dyDescent="0.3">
      <c r="A17" s="79">
        <v>2</v>
      </c>
      <c r="B17" s="55" t="s">
        <v>53</v>
      </c>
      <c r="C17" s="81"/>
      <c r="D17" s="82"/>
      <c r="E17" s="79" t="s">
        <v>50</v>
      </c>
      <c r="F17" s="83">
        <v>245000</v>
      </c>
      <c r="G17" s="79">
        <v>12</v>
      </c>
      <c r="H17" s="38">
        <f t="shared" ref="H17:H18" si="1">G17*F17</f>
        <v>2940000</v>
      </c>
    </row>
    <row r="18" spans="1:8" ht="16.5" thickBot="1" x14ac:dyDescent="0.3">
      <c r="A18" s="53">
        <v>3</v>
      </c>
      <c r="B18" s="55" t="s">
        <v>54</v>
      </c>
      <c r="C18" s="56"/>
      <c r="D18" s="57"/>
      <c r="E18" s="53" t="s">
        <v>49</v>
      </c>
      <c r="F18" s="59">
        <v>220000</v>
      </c>
      <c r="G18" s="53">
        <v>4</v>
      </c>
      <c r="H18" s="38">
        <f t="shared" si="1"/>
        <v>880000</v>
      </c>
    </row>
    <row r="19" spans="1:8" ht="16.5" thickBot="1" x14ac:dyDescent="0.3">
      <c r="A19" s="53"/>
      <c r="B19" s="55" t="s">
        <v>55</v>
      </c>
      <c r="C19" s="56"/>
      <c r="D19" s="57"/>
      <c r="E19" s="53"/>
      <c r="F19" s="59"/>
      <c r="G19" s="53"/>
      <c r="H19" s="38"/>
    </row>
    <row r="20" spans="1:8" ht="16.5" thickBot="1" x14ac:dyDescent="0.3">
      <c r="A20" s="79">
        <v>4</v>
      </c>
      <c r="B20" s="80" t="s">
        <v>56</v>
      </c>
      <c r="C20" s="81"/>
      <c r="D20" s="82"/>
      <c r="E20" s="79" t="s">
        <v>49</v>
      </c>
      <c r="F20" s="83">
        <v>675000</v>
      </c>
      <c r="G20" s="79">
        <v>2</v>
      </c>
      <c r="H20" s="38">
        <f t="shared" ref="H20:H23" si="2">G20*F20</f>
        <v>1350000</v>
      </c>
    </row>
    <row r="21" spans="1:8" ht="16.5" thickBot="1" x14ac:dyDescent="0.3">
      <c r="A21" s="53">
        <v>5</v>
      </c>
      <c r="B21" s="80" t="s">
        <v>57</v>
      </c>
      <c r="C21" s="56"/>
      <c r="D21" s="57"/>
      <c r="E21" s="53" t="s">
        <v>49</v>
      </c>
      <c r="F21" s="59">
        <v>410000</v>
      </c>
      <c r="G21" s="53">
        <v>7</v>
      </c>
      <c r="H21" s="38">
        <f t="shared" si="2"/>
        <v>2870000</v>
      </c>
    </row>
    <row r="22" spans="1:8" ht="16.5" thickBot="1" x14ac:dyDescent="0.3">
      <c r="A22" s="79">
        <v>6</v>
      </c>
      <c r="B22" s="80" t="s">
        <v>58</v>
      </c>
      <c r="C22" s="81"/>
      <c r="D22" s="82"/>
      <c r="E22" s="79" t="s">
        <v>49</v>
      </c>
      <c r="F22" s="83">
        <v>557000</v>
      </c>
      <c r="G22" s="79">
        <v>10</v>
      </c>
      <c r="H22" s="38">
        <f t="shared" si="2"/>
        <v>5570000</v>
      </c>
    </row>
    <row r="23" spans="1:8" ht="16.5" thickBot="1" x14ac:dyDescent="0.3">
      <c r="A23" s="53">
        <v>7</v>
      </c>
      <c r="B23" s="55" t="s">
        <v>59</v>
      </c>
      <c r="C23" s="56"/>
      <c r="D23" s="57"/>
      <c r="E23" s="53" t="s">
        <v>49</v>
      </c>
      <c r="F23" s="59">
        <v>170000</v>
      </c>
      <c r="G23" s="53">
        <v>10</v>
      </c>
      <c r="H23" s="38">
        <f t="shared" si="2"/>
        <v>1700000</v>
      </c>
    </row>
    <row r="24" spans="1:8" ht="16.5" thickBot="1" x14ac:dyDescent="0.3">
      <c r="A24" s="79">
        <v>8</v>
      </c>
      <c r="B24" s="55" t="s">
        <v>60</v>
      </c>
      <c r="C24" s="81"/>
      <c r="D24" s="82"/>
      <c r="E24" s="79" t="s">
        <v>49</v>
      </c>
      <c r="F24" s="83">
        <v>120000</v>
      </c>
      <c r="G24" s="79">
        <v>26</v>
      </c>
      <c r="H24" s="38">
        <f t="shared" ref="H24:H25" si="3">G24*F24</f>
        <v>3120000</v>
      </c>
    </row>
    <row r="25" spans="1:8" ht="16.5" thickBot="1" x14ac:dyDescent="0.3">
      <c r="A25" s="53">
        <v>9</v>
      </c>
      <c r="B25" s="55" t="s">
        <v>61</v>
      </c>
      <c r="C25" s="56"/>
      <c r="D25" s="57"/>
      <c r="E25" s="53" t="s">
        <v>62</v>
      </c>
      <c r="F25" s="59">
        <v>195000</v>
      </c>
      <c r="G25" s="53">
        <v>10</v>
      </c>
      <c r="H25" s="38">
        <f t="shared" si="3"/>
        <v>1950000</v>
      </c>
    </row>
    <row r="26" spans="1:8" ht="16.5" thickBot="1" x14ac:dyDescent="0.3">
      <c r="A26" s="79">
        <v>10</v>
      </c>
      <c r="B26" s="80" t="s">
        <v>63</v>
      </c>
      <c r="C26" s="81"/>
      <c r="D26" s="82"/>
      <c r="E26" s="79" t="s">
        <v>62</v>
      </c>
      <c r="F26" s="83">
        <v>115000</v>
      </c>
      <c r="G26" s="79">
        <v>26</v>
      </c>
      <c r="H26" s="38">
        <f t="shared" ref="H26" si="4">G26*F26</f>
        <v>2990000</v>
      </c>
    </row>
    <row r="27" spans="1:8" ht="15.75" x14ac:dyDescent="0.25">
      <c r="A27" s="73"/>
      <c r="B27" s="74"/>
      <c r="C27" s="75"/>
      <c r="D27" s="76"/>
      <c r="E27" s="73"/>
      <c r="F27" s="77"/>
      <c r="G27" s="73"/>
      <c r="H27" s="78"/>
    </row>
    <row r="28" spans="1:8" ht="19.5" customHeight="1" thickBot="1" x14ac:dyDescent="0.3">
      <c r="A28" s="54"/>
      <c r="B28" s="45"/>
      <c r="C28" s="42"/>
      <c r="D28" s="58"/>
      <c r="E28" s="60"/>
      <c r="F28" s="60"/>
      <c r="G28" s="60"/>
    </row>
    <row r="29" spans="1:8" ht="19.5" customHeight="1" thickBot="1" x14ac:dyDescent="0.35">
      <c r="A29" s="52" t="s">
        <v>23</v>
      </c>
      <c r="B29" s="14" t="s">
        <v>64</v>
      </c>
      <c r="D29" s="15"/>
      <c r="E29" s="61"/>
      <c r="F29" s="37" t="s">
        <v>29</v>
      </c>
      <c r="G29" s="6"/>
      <c r="H29" s="7"/>
    </row>
    <row r="30" spans="1:8" ht="19.5" customHeight="1" thickBot="1" x14ac:dyDescent="0.3">
      <c r="A30" s="39"/>
      <c r="B30" s="16" t="s">
        <v>65</v>
      </c>
      <c r="C30" s="4"/>
      <c r="D30" s="4"/>
      <c r="E30" s="64" t="s">
        <v>24</v>
      </c>
      <c r="F30" s="65"/>
      <c r="G30" s="47"/>
      <c r="H30" s="62">
        <f>SUM(H16:H26)</f>
        <v>46170000</v>
      </c>
    </row>
    <row r="31" spans="1:8" ht="19.5" customHeight="1" x14ac:dyDescent="0.25">
      <c r="A31" s="24" t="s">
        <v>25</v>
      </c>
      <c r="B31" s="12"/>
      <c r="C31" s="12"/>
      <c r="D31" s="12"/>
      <c r="E31" s="66" t="s">
        <v>30</v>
      </c>
      <c r="F31" s="23"/>
      <c r="G31" s="67">
        <v>0.19</v>
      </c>
      <c r="H31" s="40">
        <f>H30*G31</f>
        <v>8772300</v>
      </c>
    </row>
    <row r="32" spans="1:8" ht="19.5" customHeight="1" x14ac:dyDescent="0.25">
      <c r="A32" s="14" t="s">
        <v>66</v>
      </c>
      <c r="E32" s="68" t="s">
        <v>26</v>
      </c>
      <c r="G32" s="71">
        <v>2.5000000000000001E-2</v>
      </c>
      <c r="H32" s="63">
        <f>H30*G32</f>
        <v>1154250</v>
      </c>
    </row>
    <row r="33" spans="1:8" ht="15.75" x14ac:dyDescent="0.25">
      <c r="A33" s="14" t="s">
        <v>37</v>
      </c>
      <c r="E33" s="14"/>
      <c r="F33" s="33"/>
      <c r="G33" s="48"/>
      <c r="H33" s="15"/>
    </row>
    <row r="34" spans="1:8" ht="16.5" thickBot="1" x14ac:dyDescent="0.3">
      <c r="A34" s="14" t="s">
        <v>33</v>
      </c>
      <c r="E34" s="69" t="s">
        <v>27</v>
      </c>
      <c r="F34" s="70"/>
      <c r="G34" s="49"/>
      <c r="H34" s="17"/>
    </row>
    <row r="35" spans="1:8" ht="19.5" thickBot="1" x14ac:dyDescent="0.35">
      <c r="A35" s="16"/>
      <c r="B35" s="4"/>
      <c r="C35" s="4"/>
      <c r="D35" s="17"/>
      <c r="F35" s="3"/>
      <c r="G35" s="34" t="s">
        <v>28</v>
      </c>
      <c r="H35" s="36">
        <f>H30+H31-H32</f>
        <v>53788050</v>
      </c>
    </row>
    <row r="36" spans="1:8" ht="16.5" customHeight="1" x14ac:dyDescent="0.25"/>
    <row r="41" spans="1:8" ht="15.75" thickBot="1" x14ac:dyDescent="0.3"/>
    <row r="42" spans="1:8" ht="19.5" thickBot="1" x14ac:dyDescent="0.35">
      <c r="A42" s="25" t="s">
        <v>34</v>
      </c>
      <c r="B42" s="6"/>
      <c r="C42" s="6"/>
      <c r="D42" s="6"/>
      <c r="E42" s="6"/>
      <c r="F42" s="6"/>
      <c r="G42" s="6"/>
      <c r="H42" s="7"/>
    </row>
    <row r="50" spans="1:1" ht="18.75" x14ac:dyDescent="0.3">
      <c r="A50" s="5"/>
    </row>
  </sheetData>
  <hyperlinks>
    <hyperlink ref="C10" r:id="rId1" xr:uid="{D7D38D1E-D192-46D4-A812-33D9E4872D70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ACEROSCOL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2024-10-28T16:26:42Z</dcterms:modified>
</cp:coreProperties>
</file>