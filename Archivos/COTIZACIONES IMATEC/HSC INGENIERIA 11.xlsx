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4E93818C-BB94-4A97-8835-EDC059F50FD8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HSC INGENIERI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6" i="1" l="1"/>
  <c r="H19" i="1" s="1"/>
  <c r="G20" i="1" l="1"/>
  <c r="H20" i="1" s="1"/>
  <c r="H22" i="1" l="1"/>
  <c r="H21" i="1"/>
  <c r="H24" i="1" s="1"/>
</calcChain>
</file>

<file path=xl/sharedStrings.xml><?xml version="1.0" encoding="utf-8"?>
<sst xmlns="http://schemas.openxmlformats.org/spreadsheetml/2006/main" count="55" uniqueCount="55">
  <si>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</si>
  <si>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</si>
  <si>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</si>
  <si>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</si>
  <si>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</si>
  <si>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</si>
  <si>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</si>
  <si>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</si>
  <si>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</si>
  <si>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</si>
  <si>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</si>
  <si>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</si>
  <si>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</si>
  <si>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</si>
  <si>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</si>
  <si>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</si>
  <si>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</si>
  <si>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</si>
  <si>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</si>
  <si>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</si>
  <si>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</si>
  <si>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</si>
  <si>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</si>
  <si>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</si>
  <si>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</si>
  <si>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</si>
  <si>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</si>
  <si>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</si>
  <si>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</si>
  <si>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</si>
  <si>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>FORMA DE PAGO : CONTADO</t>
  </si>
  <si>
    <t>10 DIAS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</si>
  <si>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</si>
  <si>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</si>
  <si>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</si>
  <si>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</si>
  <si>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</si>
  <si>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</si>
  <si>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 xml:space="preserve">           C O T I Z A C I O N</t>
  </si>
  <si>
    <t>HSC INGENIERIA DE SISTEMAS HIDRAULICOS S.A.S.</t>
  </si>
  <si>
    <t>800 215634</t>
  </si>
  <si>
    <t>CRA 38  No. 15-223</t>
  </si>
  <si>
    <t>YUMBO</t>
  </si>
  <si>
    <t>martha.paredes@hscingenieria.co</t>
  </si>
  <si>
    <t>602 6658464</t>
  </si>
  <si>
    <t>LUIS A. BENAVIDES</t>
  </si>
  <si>
    <t xml:space="preserve">  CALLE  33A  No. 17F - 56                         B/  LA FLORESTA             -   CALI    -                                   CEL.     321 7834969</t>
  </si>
  <si>
    <t>L I Q U I D A C I O N</t>
  </si>
  <si>
    <t>ENTREGA EN TRES DIAS A PARTIR DE ORDEN DE COMPRA</t>
  </si>
  <si>
    <t>DESCUENTO</t>
  </si>
  <si>
    <t>No. 11</t>
  </si>
  <si>
    <t xml:space="preserve">TUBERIA  A / C  SCH 80  1 1/2 " </t>
  </si>
  <si>
    <t>TUBO X 6 MTS</t>
  </si>
  <si>
    <t>UN MILLON CIENTO CINCUENTA Y TRES MIL TRESCIENTOS</t>
  </si>
  <si>
    <t>CINCUENTA PESOS MDA / CTE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</si>
</sst>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8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7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0" fillId="0" borderId="20" xfId="0" applyBorder="1"/>
    <xf numFmtId="0" fontId="0" fillId="0" borderId="23" xfId="0" applyBorder="1"/>
    <xf numFmtId="0" fontId="0" fillId="0" borderId="26" xfId="0" applyBorder="1"/>
    <xf numFmtId="0" fontId="0" fillId="0" borderId="27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0" fontId="4" fillId="0" borderId="18" xfId="0" applyFont="1" applyBorder="1"/>
    <xf numFmtId="0" fontId="4" fillId="0" borderId="19" xfId="0" applyFont="1" applyBorder="1"/>
    <xf numFmtId="9" fontId="1" fillId="0" borderId="21" xfId="3" applyFont="1" applyBorder="1"/>
    <xf numFmtId="0" fontId="4" fillId="0" borderId="25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0" fillId="0" borderId="13" xfId="0" applyBorder="1"/>
    <xf numFmtId="0" fontId="0" fillId="0" borderId="18" xfId="0" applyBorder="1"/>
    <xf numFmtId="0" fontId="0" fillId="0" borderId="19" xfId="0" applyBorder="1"/>
    <xf numFmtId="0" fontId="0" fillId="0" borderId="28" xfId="0" applyBorder="1"/>
    <xf numFmtId="0" fontId="0" fillId="0" borderId="21" xfId="0" applyBorder="1"/>
    <xf numFmtId="0" fontId="13" fillId="0" borderId="22" xfId="2" applyBorder="1"/>
    <xf numFmtId="0" fontId="0" fillId="0" borderId="22" xfId="0" applyBorder="1"/>
    <xf numFmtId="0" fontId="0" fillId="0" borderId="24" xfId="0" applyBorder="1"/>
    <xf numFmtId="0" fontId="0" fillId="0" borderId="25" xfId="0" applyBorder="1"/>
    <xf numFmtId="0" fontId="1" fillId="0" borderId="29" xfId="0" applyFont="1" applyBorder="1" applyAlignment="1">
      <alignment horizontal="center"/>
    </xf>
    <xf numFmtId="0" fontId="8" fillId="0" borderId="30" xfId="0" applyFont="1" applyBorder="1"/>
    <xf numFmtId="0" fontId="8" fillId="0" borderId="2" xfId="0" applyFont="1" applyBorder="1"/>
    <xf numFmtId="0" fontId="8" fillId="0" borderId="31" xfId="0" applyFont="1" applyBorder="1"/>
    <xf numFmtId="42" fontId="11" fillId="0" borderId="29" xfId="1" applyFont="1" applyBorder="1" applyAlignment="1">
      <alignment horizontal="center"/>
    </xf>
    <xf numFmtId="0" fontId="1" fillId="0" borderId="3" xfId="0" applyFont="1" applyBorder="1"/>
    <xf numFmtId="0" fontId="1" fillId="0" borderId="15" xfId="0" applyFont="1" applyBorder="1" applyAlignment="1">
      <alignment horizontal="left" vertical="top" wrapText="1"/>
    </xf>
    <xf numFmtId="0" fontId="0" fillId="0" borderId="32" xfId="0" applyBorder="1"/>
    <xf numFmtId="0" fontId="0" fillId="0" borderId="33" xfId="0" applyBorder="1"/>
    <xf numFmtId="0" fontId="0" fillId="0" borderId="6" xfId="0" applyBorder="1"/>
    <xf numFmtId="9" fontId="1" fillId="0" borderId="14" xfId="0" applyNumberFormat="1" applyFont="1" applyBorder="1"/>
    <xf numFmtId="42" fontId="1" fillId="0" borderId="14" xfId="0" applyNumberFormat="1" applyFont="1" applyBorder="1"/>
    <xf numFmtId="42" fontId="1" fillId="0" borderId="34" xfId="1" applyFont="1" applyBorder="1" applyAlignment="1">
      <alignment horizontal="left"/>
    </xf>
    <xf numFmtId="42" fontId="1" fillId="0" borderId="34" xfId="0" applyNumberFormat="1" applyFont="1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martha.paredes@hscingenieria.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39"/>
  <sheetViews>
    <sheetView tabSelected="1" topLeftCell="A4" zoomScaleNormal="100" workbookViewId="0">
      <selection activeCell="J17" sqref="J17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36</v>
      </c>
    </row>
    <row r="3" spans="1:8" ht="27" thickBot="1" x14ac:dyDescent="0.45">
      <c r="A3" s="11" t="s">
        <v>37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32</v>
      </c>
      <c r="E4" s="18"/>
      <c r="F4" s="19"/>
      <c r="G4" s="6"/>
      <c r="H4" s="7"/>
    </row>
    <row r="5" spans="1:8" ht="19.5" thickBot="1" x14ac:dyDescent="0.35">
      <c r="A5" s="37" t="s">
        <v>34</v>
      </c>
      <c r="B5" s="6"/>
      <c r="C5" s="6"/>
      <c r="D5" s="6"/>
      <c r="E5" s="6"/>
    </row>
    <row r="6" spans="1:8" ht="24.75" customHeight="1" thickBot="1" x14ac:dyDescent="0.45">
      <c r="F6" s="40" t="s">
        <v>38</v>
      </c>
      <c r="G6" s="41"/>
      <c r="H6" s="42"/>
    </row>
    <row r="7" spans="1:8" ht="19.5" thickBot="1" x14ac:dyDescent="0.35">
      <c r="A7" s="20" t="s">
        <v>14</v>
      </c>
      <c r="B7" s="12"/>
      <c r="C7" s="54" t="s">
        <v>39</v>
      </c>
      <c r="D7" s="12"/>
      <c r="E7" s="13"/>
      <c r="F7" s="37"/>
      <c r="G7" s="18"/>
      <c r="H7" s="19" t="s">
        <v>50</v>
      </c>
    </row>
    <row r="8" spans="1:8" ht="18.75" x14ac:dyDescent="0.3">
      <c r="A8" s="21" t="s">
        <v>8</v>
      </c>
      <c r="C8" s="56" t="s">
        <v>40</v>
      </c>
      <c r="D8" s="57"/>
      <c r="E8" s="43"/>
      <c r="H8" s="15"/>
    </row>
    <row r="9" spans="1:8" ht="18.75" customHeight="1" x14ac:dyDescent="0.3">
      <c r="A9" s="21" t="s">
        <v>9</v>
      </c>
      <c r="C9" s="58" t="s">
        <v>41</v>
      </c>
      <c r="D9" s="23"/>
      <c r="E9" s="59" t="s">
        <v>42</v>
      </c>
      <c r="F9" s="30" t="s">
        <v>0</v>
      </c>
      <c r="H9" s="28">
        <v>45852</v>
      </c>
    </row>
    <row r="10" spans="1:8" ht="18.75" x14ac:dyDescent="0.3">
      <c r="A10" s="21" t="s">
        <v>13</v>
      </c>
      <c r="C10" s="60" t="s">
        <v>43</v>
      </c>
      <c r="D10" s="55"/>
      <c r="E10" s="44"/>
      <c r="F10" s="30" t="s">
        <v>15</v>
      </c>
      <c r="H10" s="29" t="s">
        <v>31</v>
      </c>
    </row>
    <row r="11" spans="1:8" ht="18.75" x14ac:dyDescent="0.3">
      <c r="A11" s="21" t="s">
        <v>10</v>
      </c>
      <c r="C11" s="61"/>
      <c r="D11" s="55"/>
      <c r="E11" s="44"/>
      <c r="F11" s="30" t="s">
        <v>16</v>
      </c>
      <c r="G11" s="30"/>
      <c r="H11" s="28">
        <v>45861</v>
      </c>
    </row>
    <row r="12" spans="1:8" ht="18.75" x14ac:dyDescent="0.3">
      <c r="A12" s="21" t="s">
        <v>11</v>
      </c>
      <c r="C12" s="61" t="s">
        <v>44</v>
      </c>
      <c r="D12" s="55"/>
      <c r="E12" s="44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62" t="s">
        <v>45</v>
      </c>
      <c r="D13" s="63"/>
      <c r="E13" s="45"/>
      <c r="F13" s="4"/>
      <c r="G13" s="4"/>
      <c r="H13" s="17"/>
    </row>
    <row r="14" spans="1:8" ht="15.75" thickBot="1" x14ac:dyDescent="0.3"/>
    <row r="15" spans="1:8" ht="15.75" thickBot="1" x14ac:dyDescent="0.3">
      <c r="A15" s="32" t="s">
        <v>35</v>
      </c>
      <c r="B15" s="69" t="s">
        <v>22</v>
      </c>
      <c r="C15" s="18"/>
      <c r="D15" s="7"/>
      <c r="E15" s="32" t="s">
        <v>18</v>
      </c>
      <c r="F15" s="32" t="s">
        <v>20</v>
      </c>
      <c r="G15" s="32" t="s">
        <v>19</v>
      </c>
      <c r="H15" s="32" t="s">
        <v>21</v>
      </c>
    </row>
    <row r="16" spans="1:8" ht="16.5" thickBot="1" x14ac:dyDescent="0.3">
      <c r="A16" s="64">
        <v>1</v>
      </c>
      <c r="B16" s="65" t="s">
        <v>51</v>
      </c>
      <c r="C16" s="66"/>
      <c r="D16" s="67"/>
      <c r="E16" s="64" t="s">
        <v>52</v>
      </c>
      <c r="F16" s="68">
        <v>198000</v>
      </c>
      <c r="G16" s="64">
        <v>5</v>
      </c>
      <c r="H16" s="38">
        <f t="shared" ref="H16" si="0">G16*F16</f>
        <v>990000</v>
      </c>
    </row>
    <row r="17" spans="1:8" ht="19.5" customHeight="1" thickBot="1" x14ac:dyDescent="0.3">
      <c r="A17" s="46"/>
      <c r="B17" s="71"/>
      <c r="D17" s="72"/>
      <c r="E17" s="46"/>
      <c r="F17" s="46"/>
      <c r="G17" s="46"/>
    </row>
    <row r="18" spans="1:8" ht="19.5" customHeight="1" thickBot="1" x14ac:dyDescent="0.35">
      <c r="A18" s="70" t="s">
        <v>23</v>
      </c>
      <c r="B18" s="73" t="s">
        <v>53</v>
      </c>
      <c r="C18" s="12"/>
      <c r="D18" s="13"/>
      <c r="E18" s="47"/>
      <c r="F18" s="37" t="s">
        <v>47</v>
      </c>
      <c r="G18" s="6"/>
      <c r="H18" s="7"/>
    </row>
    <row r="19" spans="1:8" ht="19.5" customHeight="1" thickBot="1" x14ac:dyDescent="0.3">
      <c r="A19" s="39"/>
      <c r="B19" s="16" t="s">
        <v>54</v>
      </c>
      <c r="C19" s="4"/>
      <c r="D19" s="17"/>
      <c r="E19" s="49" t="s">
        <v>24</v>
      </c>
      <c r="F19" s="50"/>
      <c r="G19" s="43"/>
      <c r="H19" s="48">
        <f>SUM(H16:H18)</f>
        <v>990000</v>
      </c>
    </row>
    <row r="20" spans="1:8" ht="19.5" customHeight="1" x14ac:dyDescent="0.25">
      <c r="A20" s="24" t="s">
        <v>25</v>
      </c>
      <c r="B20" s="12"/>
      <c r="C20" s="12"/>
      <c r="D20" s="13"/>
      <c r="E20" s="3" t="s">
        <v>49</v>
      </c>
      <c r="F20" s="74">
        <v>0</v>
      </c>
      <c r="G20" s="75">
        <f>H19*F20</f>
        <v>0</v>
      </c>
      <c r="H20" s="75">
        <f>H19-G20</f>
        <v>990000</v>
      </c>
    </row>
    <row r="21" spans="1:8" ht="19.5" customHeight="1" x14ac:dyDescent="0.25">
      <c r="A21" s="14" t="s">
        <v>30</v>
      </c>
      <c r="D21" s="15"/>
      <c r="E21" s="3" t="s">
        <v>29</v>
      </c>
      <c r="F21" s="23"/>
      <c r="G21" s="51">
        <v>0.19</v>
      </c>
      <c r="H21" s="76">
        <f>H20*G21</f>
        <v>188100</v>
      </c>
    </row>
    <row r="22" spans="1:8" ht="15.75" x14ac:dyDescent="0.25">
      <c r="A22" s="14" t="s">
        <v>48</v>
      </c>
      <c r="D22" s="15"/>
      <c r="E22" s="33" t="s">
        <v>26</v>
      </c>
      <c r="G22" s="53">
        <v>2.5000000000000001E-2</v>
      </c>
      <c r="H22" s="77">
        <f>H20*G22</f>
        <v>24750</v>
      </c>
    </row>
    <row r="23" spans="1:8" ht="16.5" thickBot="1" x14ac:dyDescent="0.3">
      <c r="A23" s="14" t="s">
        <v>33</v>
      </c>
      <c r="D23" s="15"/>
      <c r="E23" s="52" t="s">
        <v>27</v>
      </c>
      <c r="F23" s="52"/>
      <c r="G23" s="45"/>
      <c r="H23" s="17"/>
    </row>
    <row r="24" spans="1:8" ht="19.5" thickBot="1" x14ac:dyDescent="0.35">
      <c r="A24" s="16"/>
      <c r="B24" s="4"/>
      <c r="C24" s="4"/>
      <c r="D24" s="17"/>
      <c r="F24" s="3"/>
      <c r="G24" s="34" t="s">
        <v>28</v>
      </c>
      <c r="H24" s="36">
        <f>H20+H21-H22</f>
        <v>1153350</v>
      </c>
    </row>
    <row r="25" spans="1:8" ht="16.5" customHeight="1" x14ac:dyDescent="0.25"/>
    <row r="30" spans="1:8" ht="15.75" thickBot="1" x14ac:dyDescent="0.3"/>
    <row r="31" spans="1:8" ht="19.5" thickBot="1" x14ac:dyDescent="0.35">
      <c r="A31" s="25" t="s">
        <v>46</v>
      </c>
      <c r="B31" s="6"/>
      <c r="C31" s="6"/>
      <c r="D31" s="6"/>
      <c r="E31" s="6"/>
      <c r="F31" s="6"/>
      <c r="G31" s="6"/>
      <c r="H31" s="7"/>
    </row>
    <row r="39" spans="1:1" ht="18.75" x14ac:dyDescent="0.3">
      <c r="A39" s="5"/>
    </row>
  </sheetData>
  <hyperlinks>
    <hyperlink ref="C10" r:id="rId1" xr:uid="{00000000-0004-0000-0000-000000000000}"/>
  </hyperlinks>
  <printOptions horizontalCentered="1"/>
  <pageMargins left="0.47244094488188981" right="0.31496062992125984" top="0.31496062992125984" bottom="0.39370078740157483" header="0.31496062992125984" footer="0.31496062992125984"/>
  <pageSetup scale="7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HSC INGENIERIA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2023-03-16T17:43:01Z</cp:lastPrinted>
  <dcterms:created xsi:type="dcterms:W3CDTF">2018-11-15T17:29:02Z</dcterms:created>
  <dcterms:modified xsi:type="dcterms:W3CDTF">2025-07-14T22:01:12Z</dcterms:modified>
</cp:coreProperties>
</file>