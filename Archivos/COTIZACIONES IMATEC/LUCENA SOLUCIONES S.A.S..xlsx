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7D0ACC2E-0890-44DF-A49A-E74377823380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LUCE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<sst xmlns="http://schemas.openxmlformats.org/spreadsheetml/2006/main" count="53" uniqueCount="53">
  <si>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</si>
  <si>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</si>
  <si>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</si>
  <si>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</si>
  <si>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</si>
  <si>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</si>
  <si>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</si>
  <si>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</si>
  <si>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</si>
  <si>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</si>
  <si>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</si>
  <si>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</si>
  <si>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</si>
  <si>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</si>
  <si>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</si>
  <si>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</si>
  <si>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</si>
  <si>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</si>
  <si>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</si>
  <si>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</si>
  <si>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</si>
  <si>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</si>
  <si>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</si>
  <si>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</si>
  <si>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</si>
  <si>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</si>
  <si>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</si>
  <si>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</si>
  <si>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</si>
  <si>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</si>
  <si>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</si>
  <si>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</si>
  <si>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</si>
  <si>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</si>
  <si>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</si>
  <si>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</si>
  <si>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</si>
  <si>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</si>
  <si>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</si>
  <si>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</si>
  <si>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</si>
  <si>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</si>
  <si>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LUCENA SOLUCIONES S.A.S.</t>
  </si>
  <si>
    <t>No. 2</t>
  </si>
  <si>
    <t>900 340890</t>
  </si>
  <si>
    <t>CARRERA 83 A  No. 15 - 125</t>
  </si>
  <si>
    <t>gerencia.lucenasoluciones@gmail.com</t>
  </si>
  <si>
    <t>602 3152770</t>
  </si>
  <si>
    <t>LUIS A. BENAVIDES</t>
  </si>
  <si>
    <t>VALVULA DE BOLA AC/INOX 316 4 TORNILLOS  3 "</t>
  </si>
  <si>
    <t>TRES MILLONES TRESCIENTOS CINCUENTA Y CINCO MIL</t>
  </si>
  <si>
    <t>DOSCIENTOS 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</si>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</sst>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.lucenasolucio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F28" sqref="F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9" t="s">
        <v>44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/>
      <c r="F9" s="30" t="s">
        <v>0</v>
      </c>
      <c r="H9" s="28">
        <v>45910</v>
      </c>
    </row>
    <row r="10" spans="1:8" ht="18.75" x14ac:dyDescent="0.3">
      <c r="A10" s="21" t="s">
        <v>13</v>
      </c>
      <c r="C10" s="70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45919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39</v>
      </c>
      <c r="F16" s="65">
        <v>720000</v>
      </c>
      <c r="G16" s="61">
        <v>4</v>
      </c>
      <c r="H16" s="38">
        <f t="shared" ref="H16" si="0">G16*F16</f>
        <v>2880000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23</v>
      </c>
      <c r="B18" s="69" t="s">
        <v>50</v>
      </c>
      <c r="C18" s="12"/>
      <c r="D18" s="13"/>
      <c r="E18" s="49"/>
      <c r="F18" s="37" t="s">
        <v>40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24</v>
      </c>
      <c r="F19" s="53"/>
      <c r="G19" s="44"/>
      <c r="H19" s="50">
        <f>SUM(H16:H18)</f>
        <v>2880000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29</v>
      </c>
      <c r="F20" s="23"/>
      <c r="G20" s="55">
        <v>0.19</v>
      </c>
      <c r="H20" s="40">
        <f>H19*G20</f>
        <v>547200</v>
      </c>
    </row>
    <row r="21" spans="1:8" ht="19.5" customHeight="1" x14ac:dyDescent="0.25">
      <c r="A21" s="14" t="s">
        <v>30</v>
      </c>
      <c r="E21" s="56" t="s">
        <v>26</v>
      </c>
      <c r="G21" s="59">
        <v>2.5000000000000001E-2</v>
      </c>
      <c r="H21" s="51">
        <f>H19*G21</f>
        <v>72000</v>
      </c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3355200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A504DAD-17EC-4921-ACC2-D065991CB63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LUCENA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2025-09-10T21:47:08Z</dcterms:modified>
</cp:coreProperties>
</file>