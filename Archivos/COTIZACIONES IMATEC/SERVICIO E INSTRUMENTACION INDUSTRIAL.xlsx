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6AF8B1F-12C1-4065-88E5-A9168710C23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. E INSTRUMENTAC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3" i="1"/>
  <c r="H19" i="1"/>
  <c r="H18" i="1"/>
  <c r="H17" i="1"/>
  <c r="H16" i="1"/>
  <c r="H24" i="1" l="1"/>
  <c r="H28" i="1" s="1"/>
</calcChain>
</file>

<file path=xl/sharedStrings.xml><?xml version="1.0" encoding="utf-8"?>
<sst xmlns="http://schemas.openxmlformats.org/spreadsheetml/2006/main" count="56" uniqueCount="53">
  <si>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</si>
  <si>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</si>
  <si>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</si>
  <si>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</si>
  <si>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</si>
  <si>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</si>
  <si>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</si>
  <si>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</si>
  <si>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</si>
  <si>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</si>
  <si>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</si>
  <si>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</si>
  <si>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</si>
  <si>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</si>
  <si>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</si>
  <si>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</si>
  <si>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</si>
  <si>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</si>
  <si>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</si>
  <si>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</si>
  <si>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</si>
  <si>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</si>
  <si>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</si>
  <si>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</si>
  <si>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</si>
  <si>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</si>
  <si>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</si>
  <si>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</si>
  <si>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</si>
  <si>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</si>
  <si>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</si>
  <si>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</si>
  <si>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</si>
  <si>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</si>
  <si>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</si>
  <si>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</si>
  <si>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</si>
  <si>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</si>
  <si>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</si>
  <si>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</si>
  <si>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</si>
  <si>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CALI</t>
  </si>
  <si>
    <t>ENTREGA INMEDIATA</t>
  </si>
  <si>
    <t>SERVICIO E INSTRUMENTACION INDUSTRIAL</t>
  </si>
  <si>
    <t>901 335308</t>
  </si>
  <si>
    <t>LUIS A. BENAVIDES</t>
  </si>
  <si>
    <t>TUBERIA HR ESTRUCTURAL 4 "  X  2 "  CAL 14</t>
  </si>
  <si>
    <t>METRO LINEAL</t>
  </si>
  <si>
    <t>TUBERIA HR ESTRUCTURAL  76mm  X  38mm  CAL 14</t>
  </si>
  <si>
    <t>CANAL EN U HR  3 "  X  4 "</t>
  </si>
  <si>
    <t>PLATINA HR  1/8 "  X  4 "</t>
  </si>
  <si>
    <t>UN MILLON NOVECIENTOS OCHENTA Y OCHO MIL</t>
  </si>
  <si>
    <t>SEISCIENTOS CINCUENTA Y 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</si>
</sst>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19" xfId="0" applyFont="1" applyBorder="1"/>
    <xf numFmtId="0" fontId="8" fillId="0" borderId="4" xfId="0" applyFont="1" applyBorder="1"/>
    <xf numFmtId="0" fontId="8" fillId="0" borderId="18" xfId="0" applyFont="1" applyBorder="1"/>
    <xf numFmtId="0" fontId="1" fillId="0" borderId="19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1" fillId="0" borderId="7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0" fillId="0" borderId="20" xfId="0" applyBorder="1"/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0" fillId="0" borderId="0" xfId="0" applyBorder="1"/>
    <xf numFmtId="0" fontId="4" fillId="0" borderId="21" xfId="0" applyFont="1" applyBorder="1"/>
    <xf numFmtId="0" fontId="4" fillId="0" borderId="22" xfId="0" applyFont="1" applyBorder="1"/>
    <xf numFmtId="0" fontId="0" fillId="0" borderId="23" xfId="0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26" xfId="0" applyBorder="1"/>
    <xf numFmtId="0" fontId="4" fillId="0" borderId="27" xfId="0" applyFont="1" applyBorder="1"/>
    <xf numFmtId="0" fontId="4" fillId="0" borderId="28" xfId="0" applyFont="1" applyBorder="1"/>
    <xf numFmtId="0" fontId="0" fillId="0" borderId="29" xfId="0" applyBorder="1"/>
    <xf numFmtId="0" fontId="0" fillId="0" borderId="21" xfId="0" applyBorder="1"/>
    <xf numFmtId="0" fontId="0" fillId="0" borderId="22" xfId="0" applyBorder="1"/>
    <xf numFmtId="0" fontId="0" fillId="0" borderId="30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4" zoomScaleNormal="100" workbookViewId="0">
      <selection activeCell="D25" sqref="D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1" t="s">
        <v>33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7</v>
      </c>
      <c r="B4" s="6"/>
      <c r="C4" s="6"/>
      <c r="D4" s="28" t="s">
        <v>37</v>
      </c>
      <c r="E4" s="18"/>
      <c r="F4" s="19"/>
      <c r="G4" s="6"/>
      <c r="H4" s="7"/>
    </row>
    <row r="5" spans="1:8" ht="19.5" thickBot="1" x14ac:dyDescent="0.35">
      <c r="A5" s="45" t="s">
        <v>40</v>
      </c>
      <c r="B5" s="6"/>
      <c r="C5" s="6"/>
      <c r="D5" s="6"/>
      <c r="E5" s="6"/>
    </row>
    <row r="6" spans="1:8" ht="24.75" customHeight="1" thickBot="1" x14ac:dyDescent="0.45">
      <c r="F6" s="11" t="s">
        <v>18</v>
      </c>
      <c r="G6" s="18"/>
      <c r="H6" s="19"/>
    </row>
    <row r="7" spans="1:8" ht="19.5" thickBot="1" x14ac:dyDescent="0.35">
      <c r="A7" s="20" t="s">
        <v>14</v>
      </c>
      <c r="B7" s="13"/>
      <c r="C7" s="29" t="s">
        <v>43</v>
      </c>
      <c r="D7" s="13"/>
      <c r="E7" s="14"/>
      <c r="F7" s="26"/>
      <c r="G7" s="18"/>
      <c r="H7" s="19"/>
    </row>
    <row r="8" spans="1:8" ht="18.75" x14ac:dyDescent="0.3">
      <c r="A8" s="21" t="s">
        <v>8</v>
      </c>
      <c r="C8" s="75" t="s">
        <v>44</v>
      </c>
      <c r="D8" s="76"/>
      <c r="E8" s="66"/>
      <c r="F8" s="12"/>
      <c r="G8" s="13"/>
      <c r="H8" s="14"/>
    </row>
    <row r="9" spans="1:8" ht="18.75" customHeight="1" x14ac:dyDescent="0.3">
      <c r="A9" s="21" t="s">
        <v>9</v>
      </c>
      <c r="C9" s="77"/>
      <c r="D9" s="23"/>
      <c r="E9" s="78" t="s">
        <v>41</v>
      </c>
      <c r="F9" s="30" t="s">
        <v>0</v>
      </c>
      <c r="H9" s="31">
        <v>45532</v>
      </c>
    </row>
    <row r="10" spans="1:8" ht="18.75" x14ac:dyDescent="0.3">
      <c r="A10" s="21" t="s">
        <v>13</v>
      </c>
      <c r="C10" s="79"/>
      <c r="D10" s="24"/>
      <c r="E10" s="71"/>
      <c r="F10" s="30" t="s">
        <v>15</v>
      </c>
      <c r="H10" s="32" t="s">
        <v>36</v>
      </c>
    </row>
    <row r="11" spans="1:8" ht="18.75" x14ac:dyDescent="0.3">
      <c r="A11" s="21" t="s">
        <v>10</v>
      </c>
      <c r="C11" s="79"/>
      <c r="D11" s="24"/>
      <c r="E11" s="71"/>
      <c r="F11" s="30" t="s">
        <v>16</v>
      </c>
      <c r="G11" s="33"/>
      <c r="H11" s="31">
        <v>45542</v>
      </c>
    </row>
    <row r="12" spans="1:8" ht="18.75" x14ac:dyDescent="0.3">
      <c r="A12" s="21" t="s">
        <v>11</v>
      </c>
      <c r="C12" s="80"/>
      <c r="D12" s="24"/>
      <c r="E12" s="71"/>
      <c r="F12" s="30" t="s">
        <v>17</v>
      </c>
      <c r="H12" s="34"/>
    </row>
    <row r="13" spans="1:8" ht="18.75" customHeight="1" thickBot="1" x14ac:dyDescent="0.35">
      <c r="A13" s="22" t="s">
        <v>12</v>
      </c>
      <c r="B13" s="4"/>
      <c r="C13" s="81" t="s">
        <v>45</v>
      </c>
      <c r="D13" s="82"/>
      <c r="E13" s="74"/>
      <c r="F13" s="16"/>
      <c r="G13" s="4"/>
      <c r="H13" s="17"/>
    </row>
    <row r="14" spans="1:8" ht="15.75" thickBot="1" x14ac:dyDescent="0.3"/>
    <row r="15" spans="1:8" ht="15.75" thickBot="1" x14ac:dyDescent="0.3">
      <c r="A15" s="49" t="s">
        <v>20</v>
      </c>
      <c r="B15" s="44" t="s">
        <v>25</v>
      </c>
      <c r="C15" s="18"/>
      <c r="D15" s="7"/>
      <c r="E15" s="35" t="s">
        <v>21</v>
      </c>
      <c r="F15" s="35" t="s">
        <v>23</v>
      </c>
      <c r="G15" s="35" t="s">
        <v>22</v>
      </c>
      <c r="H15" s="35" t="s">
        <v>24</v>
      </c>
    </row>
    <row r="16" spans="1:8" ht="16.5" thickBot="1" x14ac:dyDescent="0.3">
      <c r="A16" s="50">
        <v>1</v>
      </c>
      <c r="B16" s="51" t="s">
        <v>46</v>
      </c>
      <c r="C16" s="52"/>
      <c r="D16" s="53"/>
      <c r="E16" s="54" t="s">
        <v>47</v>
      </c>
      <c r="F16" s="55">
        <v>27000</v>
      </c>
      <c r="G16" s="50">
        <v>18</v>
      </c>
      <c r="H16" s="46">
        <f t="shared" ref="H16" si="0">G16*F16</f>
        <v>486000</v>
      </c>
    </row>
    <row r="17" spans="1:8" ht="16.5" thickBot="1" x14ac:dyDescent="0.3">
      <c r="A17" s="50">
        <v>2</v>
      </c>
      <c r="B17" s="51" t="s">
        <v>48</v>
      </c>
      <c r="C17" s="52"/>
      <c r="D17" s="53"/>
      <c r="E17" s="54" t="s">
        <v>47</v>
      </c>
      <c r="F17" s="55">
        <v>17500</v>
      </c>
      <c r="G17" s="50">
        <v>24</v>
      </c>
      <c r="H17" s="46">
        <f t="shared" ref="H17:H18" si="1">G17*F17</f>
        <v>420000</v>
      </c>
    </row>
    <row r="18" spans="1:8" ht="16.5" thickBot="1" x14ac:dyDescent="0.3">
      <c r="A18" s="50">
        <v>3</v>
      </c>
      <c r="B18" s="51" t="s">
        <v>49</v>
      </c>
      <c r="C18" s="52"/>
      <c r="D18" s="53"/>
      <c r="E18" s="54" t="s">
        <v>47</v>
      </c>
      <c r="F18" s="55">
        <v>31550</v>
      </c>
      <c r="G18" s="50">
        <v>18</v>
      </c>
      <c r="H18" s="46">
        <f t="shared" si="1"/>
        <v>567900</v>
      </c>
    </row>
    <row r="19" spans="1:8" ht="16.5" thickBot="1" x14ac:dyDescent="0.3">
      <c r="A19" s="50">
        <v>4</v>
      </c>
      <c r="B19" s="51" t="s">
        <v>50</v>
      </c>
      <c r="C19" s="52"/>
      <c r="D19" s="53"/>
      <c r="E19" s="54" t="s">
        <v>47</v>
      </c>
      <c r="F19" s="55">
        <v>12950</v>
      </c>
      <c r="G19" s="50">
        <v>18</v>
      </c>
      <c r="H19" s="46">
        <f t="shared" ref="H19" si="2">G19*F19</f>
        <v>233100</v>
      </c>
    </row>
    <row r="20" spans="1:8" ht="16.5" thickBot="1" x14ac:dyDescent="0.3">
      <c r="A20" s="56"/>
      <c r="B20" s="57"/>
      <c r="C20" s="57"/>
      <c r="D20" s="57"/>
      <c r="E20" s="56"/>
      <c r="F20" s="58"/>
      <c r="G20" s="56"/>
      <c r="H20" s="59"/>
    </row>
    <row r="21" spans="1:8" ht="16.5" thickBot="1" x14ac:dyDescent="0.3">
      <c r="A21" s="56"/>
      <c r="B21" s="57"/>
      <c r="C21" s="57"/>
      <c r="D21" s="57"/>
      <c r="E21" s="56"/>
      <c r="F21" s="58"/>
      <c r="G21" s="56"/>
      <c r="H21" s="59"/>
    </row>
    <row r="22" spans="1:8" ht="19.5" customHeight="1" thickBot="1" x14ac:dyDescent="0.35">
      <c r="A22" s="47" t="s">
        <v>26</v>
      </c>
      <c r="B22" s="12" t="s">
        <v>51</v>
      </c>
      <c r="C22" s="13"/>
      <c r="D22" s="14"/>
      <c r="E22" s="62"/>
      <c r="F22" s="45" t="s">
        <v>32</v>
      </c>
      <c r="G22" s="6"/>
      <c r="H22" s="7"/>
    </row>
    <row r="23" spans="1:8" ht="19.5" customHeight="1" thickBot="1" x14ac:dyDescent="0.3">
      <c r="A23" s="48"/>
      <c r="B23" s="16" t="s">
        <v>52</v>
      </c>
      <c r="C23" s="4"/>
      <c r="D23" s="4"/>
      <c r="E23" s="64" t="s">
        <v>27</v>
      </c>
      <c r="F23" s="65"/>
      <c r="G23" s="66"/>
      <c r="H23" s="61">
        <f>SUM(H16:H19)</f>
        <v>1707000</v>
      </c>
    </row>
    <row r="24" spans="1:8" ht="19.5" customHeight="1" x14ac:dyDescent="0.25">
      <c r="A24" s="25" t="s">
        <v>28</v>
      </c>
      <c r="B24" s="13"/>
      <c r="C24" s="13"/>
      <c r="D24" s="13"/>
      <c r="E24" s="67" t="s">
        <v>34</v>
      </c>
      <c r="F24" s="60"/>
      <c r="G24" s="68">
        <v>0.19</v>
      </c>
      <c r="H24" s="42">
        <f>H23*G24</f>
        <v>324330</v>
      </c>
    </row>
    <row r="25" spans="1:8" ht="19.5" customHeight="1" x14ac:dyDescent="0.25">
      <c r="A25" s="15" t="s">
        <v>35</v>
      </c>
      <c r="D25" s="63"/>
      <c r="E25" s="69" t="s">
        <v>29</v>
      </c>
      <c r="F25" s="63"/>
      <c r="G25" s="70">
        <v>2.5000000000000001E-2</v>
      </c>
      <c r="H25" s="38">
        <f>H23*G25</f>
        <v>42675</v>
      </c>
    </row>
    <row r="26" spans="1:8" ht="15.75" x14ac:dyDescent="0.25">
      <c r="A26" s="15" t="s">
        <v>42</v>
      </c>
      <c r="D26" s="63"/>
      <c r="E26" s="15"/>
      <c r="F26" s="36"/>
      <c r="G26" s="71"/>
      <c r="H26" s="39"/>
    </row>
    <row r="27" spans="1:8" ht="16.5" thickBot="1" x14ac:dyDescent="0.3">
      <c r="A27" s="15" t="s">
        <v>38</v>
      </c>
      <c r="D27" s="63"/>
      <c r="E27" s="72" t="s">
        <v>30</v>
      </c>
      <c r="F27" s="73"/>
      <c r="G27" s="74"/>
      <c r="H27" s="40"/>
    </row>
    <row r="28" spans="1:8" ht="19.5" thickBot="1" x14ac:dyDescent="0.35">
      <c r="A28" s="16"/>
      <c r="B28" s="4"/>
      <c r="C28" s="4"/>
      <c r="D28" s="17"/>
      <c r="F28" s="3"/>
      <c r="G28" s="37" t="s">
        <v>31</v>
      </c>
      <c r="H28" s="43">
        <f>H23+H24-H25</f>
        <v>1988655</v>
      </c>
    </row>
    <row r="29" spans="1:8" ht="16.5" customHeight="1" x14ac:dyDescent="0.25"/>
    <row r="34" spans="1:8" ht="15.75" thickBot="1" x14ac:dyDescent="0.3"/>
    <row r="35" spans="1:8" ht="19.5" thickBot="1" x14ac:dyDescent="0.35">
      <c r="A35" s="26" t="s">
        <v>39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SERV. E INSTRUMENTACION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2024-08-28T21:22:11Z</dcterms:modified>
</cp:coreProperties>
</file>