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COTIZACIONES  I M A T E C  SAS\"/>
    </mc:Choice>
  </mc:AlternateContent>
  <xr:revisionPtr revIDLastSave="0" documentId="13_ncr:1_{A4B3D090-C81A-456D-8A44-642797BC7BA2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CARLOS SAMUEL LUG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8" i="1"/>
  <c r="H21" i="1"/>
  <c r="H25" i="1" s="1"/>
</calcChain>
</file>

<file path=xl/sharedStrings.xml><?xml version="1.0" encoding="utf-8"?>
<sst xmlns="http://schemas.openxmlformats.org/spreadsheetml/2006/main" count="50" uniqueCount="50">
  <si>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</si>
  <si>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</si>
  <si>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</si>
  <si>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</si>
  <si>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</si>
  <si>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</si>
  <si>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</si>
  <si>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</si>
  <si>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</si>
  <si>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</si>
  <si>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</si>
  <si>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</si>
  <si>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</si>
  <si>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</si>
  <si>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</si>
  <si>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</si>
  <si>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</si>
  <si>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</si>
  <si>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</si>
  <si>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</si>
  <si>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</si>
  <si>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</si>
  <si>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</si>
  <si>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</si>
  <si>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</si>
  <si>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</si>
  <si>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</si>
  <si>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</si>
  <si>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</si>
  <si>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</si>
  <si>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</si>
  <si>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</si>
  <si>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</si>
  <si>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</si>
  <si>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LUIS BENAVIDEZ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</si>
  <si>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</si>
  <si>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</si>
  <si>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</si>
  <si>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</si>
  <si>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CALI</t>
  </si>
  <si>
    <t>ITEM</t>
  </si>
  <si>
    <t>ACCESORIO</t>
  </si>
  <si>
    <t>CARLOS SAMUEL LUGO MARIN</t>
  </si>
  <si>
    <t>CRA 23 No. 33C-62</t>
  </si>
  <si>
    <t>318 8132795</t>
  </si>
  <si>
    <t>lugomt@yahoo.com</t>
  </si>
  <si>
    <t>CODO GALVANIZADO  2 " X 90º</t>
  </si>
  <si>
    <t>DOSCIENTOS CINCUENTA Y TRES MIL CUATROCIENTOS SETENTA PESOS</t>
  </si>
  <si>
    <t>MDA / CTE</t>
  </si>
  <si>
    <t>CONTACTOS   310 8306118       319 7174165    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</si>
</sst>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0" fillId="0" borderId="16" xfId="0" applyBorder="1"/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8" xfId="0" applyFont="1" applyBorder="1"/>
    <xf numFmtId="9" fontId="1" fillId="0" borderId="14" xfId="0" applyNumberFormat="1" applyFont="1" applyBorder="1"/>
    <xf numFmtId="42" fontId="1" fillId="0" borderId="19" xfId="0" applyNumberFormat="1" applyFont="1" applyBorder="1"/>
    <xf numFmtId="0" fontId="0" fillId="0" borderId="19" xfId="0" applyBorder="1"/>
    <xf numFmtId="0" fontId="0" fillId="0" borderId="18" xfId="0" applyBorder="1"/>
    <xf numFmtId="0" fontId="11" fillId="0" borderId="0" xfId="0" applyFont="1" applyAlignment="1">
      <alignment horizontal="center"/>
    </xf>
    <xf numFmtId="0" fontId="12" fillId="0" borderId="14" xfId="2" applyBorder="1"/>
    <xf numFmtId="42" fontId="1" fillId="0" borderId="17" xfId="0" applyNumberFormat="1" applyFont="1" applyBorder="1" applyAlignment="1">
      <alignment horizontal="left"/>
    </xf>
    <xf numFmtId="42" fontId="1" fillId="0" borderId="19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0" fontId="5" fillId="0" borderId="4" xfId="0" applyFont="1" applyBorder="1"/>
    <xf numFmtId="0" fontId="4" fillId="0" borderId="20" xfId="0" applyFont="1" applyBorder="1"/>
    <xf numFmtId="42" fontId="1" fillId="0" borderId="21" xfId="1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42" fontId="0" fillId="0" borderId="0" xfId="1" applyFont="1"/>
    <xf numFmtId="0" fontId="8" fillId="0" borderId="0" xfId="0" applyFont="1"/>
    <xf numFmtId="0" fontId="1" fillId="0" borderId="3" xfId="0" applyFont="1" applyBorder="1"/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1152525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ugomt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5"/>
  <sheetViews>
    <sheetView tabSelected="1" topLeftCell="A16" zoomScaleNormal="100" workbookViewId="0">
      <selection activeCell="C24" sqref="C24"/>
    </sheetView>
  </sheetViews>
  <sheetFormatPr baseColWidth="10" defaultRowHeight="15" x14ac:dyDescent="0.25"/>
  <cols>
    <col min="1" max="1" width="15.5703125" customWidth="1"/>
    <col min="2" max="2" width="21.28515625" customWidth="1"/>
    <col min="3" max="3" width="15.7109375" customWidth="1"/>
    <col min="4" max="4" width="24.85546875" customWidth="1"/>
    <col min="5" max="8" width="15.7109375" customWidth="1"/>
  </cols>
  <sheetData>
    <row r="1" spans="1:8" ht="90.75" customHeight="1" thickBot="1" x14ac:dyDescent="1.4">
      <c r="A1" s="1"/>
      <c r="C1" s="7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9" t="s">
        <v>6</v>
      </c>
    </row>
    <row r="2" spans="1:8" ht="20.25" customHeight="1" thickBot="1" x14ac:dyDescent="0.4">
      <c r="D2" s="2"/>
      <c r="E2" s="45" t="s">
        <v>32</v>
      </c>
    </row>
    <row r="3" spans="1:8" ht="27" thickBot="1" x14ac:dyDescent="0.45">
      <c r="A3" s="10" t="s">
        <v>19</v>
      </c>
      <c r="B3" s="5"/>
      <c r="C3" s="5"/>
      <c r="D3" s="5"/>
      <c r="E3" s="5"/>
      <c r="F3" s="5"/>
      <c r="G3" s="5"/>
      <c r="H3" s="6"/>
    </row>
    <row r="4" spans="1:8" ht="21.75" thickBot="1" x14ac:dyDescent="0.4">
      <c r="A4" s="27" t="s">
        <v>7</v>
      </c>
      <c r="B4" s="5"/>
      <c r="C4" s="5"/>
      <c r="D4" s="28" t="s">
        <v>37</v>
      </c>
      <c r="E4" s="18"/>
      <c r="F4" s="19"/>
      <c r="G4" s="5"/>
      <c r="H4" s="6"/>
    </row>
    <row r="5" spans="1:8" ht="19.5" thickBot="1" x14ac:dyDescent="0.35">
      <c r="A5" s="51" t="s">
        <v>49</v>
      </c>
      <c r="B5" s="5"/>
      <c r="C5" s="5"/>
      <c r="D5" s="5"/>
      <c r="E5" s="5"/>
    </row>
    <row r="6" spans="1:8" ht="24.75" customHeight="1" thickBot="1" x14ac:dyDescent="0.45">
      <c r="F6" s="10" t="s">
        <v>18</v>
      </c>
      <c r="G6" s="18"/>
      <c r="H6" s="19"/>
    </row>
    <row r="7" spans="1:8" ht="19.5" thickBot="1" x14ac:dyDescent="0.35">
      <c r="A7" s="20" t="s">
        <v>14</v>
      </c>
      <c r="B7" s="12"/>
      <c r="C7" s="29" t="s">
        <v>42</v>
      </c>
      <c r="D7" s="12"/>
      <c r="E7" s="13"/>
      <c r="F7" s="26"/>
      <c r="G7" s="18"/>
      <c r="H7" s="19"/>
    </row>
    <row r="8" spans="1:8" ht="18.75" x14ac:dyDescent="0.3">
      <c r="A8" s="21" t="s">
        <v>8</v>
      </c>
      <c r="C8" s="24">
        <v>16468436</v>
      </c>
      <c r="D8" s="25"/>
      <c r="E8" s="25"/>
      <c r="F8" s="11"/>
      <c r="G8" s="12"/>
      <c r="H8" s="13"/>
    </row>
    <row r="9" spans="1:8" ht="18.75" customHeight="1" x14ac:dyDescent="0.3">
      <c r="A9" s="21" t="s">
        <v>9</v>
      </c>
      <c r="C9" s="23" t="s">
        <v>43</v>
      </c>
      <c r="D9" s="23"/>
      <c r="E9" s="24" t="s">
        <v>39</v>
      </c>
      <c r="F9" s="30" t="s">
        <v>0</v>
      </c>
      <c r="H9" s="31">
        <v>45455</v>
      </c>
    </row>
    <row r="10" spans="1:8" ht="18.75" x14ac:dyDescent="0.3">
      <c r="A10" s="21" t="s">
        <v>13</v>
      </c>
      <c r="C10" s="46" t="s">
        <v>45</v>
      </c>
      <c r="D10" s="25"/>
      <c r="E10" s="25"/>
      <c r="F10" s="30" t="s">
        <v>15</v>
      </c>
      <c r="H10" s="32" t="s">
        <v>36</v>
      </c>
    </row>
    <row r="11" spans="1:8" ht="18.75" x14ac:dyDescent="0.3">
      <c r="A11" s="21" t="s">
        <v>10</v>
      </c>
      <c r="C11" s="24"/>
      <c r="D11" s="25"/>
      <c r="E11" s="25"/>
      <c r="F11" s="30" t="s">
        <v>16</v>
      </c>
      <c r="G11" s="33"/>
      <c r="H11" s="31">
        <v>45465</v>
      </c>
    </row>
    <row r="12" spans="1:8" ht="18.75" x14ac:dyDescent="0.3">
      <c r="A12" s="21" t="s">
        <v>11</v>
      </c>
      <c r="C12" s="24" t="s">
        <v>44</v>
      </c>
      <c r="D12" s="25"/>
      <c r="E12" s="25"/>
      <c r="F12" s="30" t="s">
        <v>17</v>
      </c>
      <c r="H12" s="34"/>
    </row>
    <row r="13" spans="1:8" ht="18.75" customHeight="1" thickBot="1" x14ac:dyDescent="0.35">
      <c r="A13" s="22" t="s">
        <v>12</v>
      </c>
      <c r="B13" s="4"/>
      <c r="C13" s="24" t="s">
        <v>34</v>
      </c>
      <c r="D13" s="25"/>
      <c r="E13" s="25"/>
      <c r="F13" s="16"/>
      <c r="G13" s="4"/>
      <c r="H13" s="17"/>
    </row>
    <row r="16" spans="1:8" ht="15.75" thickBot="1" x14ac:dyDescent="0.3"/>
    <row r="17" spans="1:8" ht="15.75" thickBot="1" x14ac:dyDescent="0.3">
      <c r="A17" s="35" t="s">
        <v>40</v>
      </c>
      <c r="B17" s="58" t="s">
        <v>24</v>
      </c>
      <c r="C17" s="18"/>
      <c r="D17" s="6"/>
      <c r="E17" s="35" t="s">
        <v>20</v>
      </c>
      <c r="F17" s="35" t="s">
        <v>22</v>
      </c>
      <c r="G17" s="35" t="s">
        <v>21</v>
      </c>
      <c r="H17" s="35" t="s">
        <v>23</v>
      </c>
    </row>
    <row r="18" spans="1:8" ht="16.5" thickBot="1" x14ac:dyDescent="0.3">
      <c r="A18" s="54">
        <v>1</v>
      </c>
      <c r="B18" s="57" t="s">
        <v>46</v>
      </c>
      <c r="D18" s="36"/>
      <c r="E18" s="50" t="s">
        <v>41</v>
      </c>
      <c r="F18" s="56">
        <v>14200</v>
      </c>
      <c r="G18" s="50">
        <v>15</v>
      </c>
      <c r="H18" s="53">
        <f t="shared" ref="H18" si="0">G18*F18</f>
        <v>213000</v>
      </c>
    </row>
    <row r="19" spans="1:8" ht="19.5" customHeight="1" thickBot="1" x14ac:dyDescent="0.35">
      <c r="A19" s="59" t="s">
        <v>25</v>
      </c>
      <c r="B19" s="11" t="s">
        <v>47</v>
      </c>
      <c r="C19" s="12"/>
      <c r="D19" s="13"/>
      <c r="E19" s="12"/>
      <c r="F19" s="37" t="s">
        <v>31</v>
      </c>
      <c r="G19" s="12"/>
      <c r="H19" s="6"/>
    </row>
    <row r="20" spans="1:8" ht="19.5" customHeight="1" thickBot="1" x14ac:dyDescent="0.3">
      <c r="A20" s="60"/>
      <c r="B20" s="16" t="s">
        <v>48</v>
      </c>
      <c r="C20" s="4"/>
      <c r="D20" s="4"/>
      <c r="E20" s="38" t="s">
        <v>26</v>
      </c>
      <c r="F20" s="39"/>
      <c r="G20" s="25"/>
      <c r="H20" s="47">
        <f>H18</f>
        <v>213000</v>
      </c>
    </row>
    <row r="21" spans="1:8" ht="19.5" customHeight="1" thickBot="1" x14ac:dyDescent="0.3">
      <c r="A21" s="55" t="s">
        <v>27</v>
      </c>
      <c r="B21" s="12"/>
      <c r="C21" s="12"/>
      <c r="D21" s="13"/>
      <c r="E21" s="3" t="s">
        <v>33</v>
      </c>
      <c r="F21" s="52"/>
      <c r="G21" s="41">
        <v>0.19</v>
      </c>
      <c r="H21" s="48">
        <f>H20*G21</f>
        <v>40470</v>
      </c>
    </row>
    <row r="22" spans="1:8" ht="19.5" customHeight="1" thickTop="1" x14ac:dyDescent="0.25">
      <c r="A22" s="14" t="s">
        <v>35</v>
      </c>
      <c r="D22" s="15"/>
      <c r="E22" s="39" t="s">
        <v>28</v>
      </c>
      <c r="G22">
        <v>0</v>
      </c>
      <c r="H22" s="42"/>
    </row>
    <row r="23" spans="1:8" ht="19.5" customHeight="1" x14ac:dyDescent="0.25">
      <c r="A23" s="14" t="s">
        <v>38</v>
      </c>
      <c r="D23" s="15"/>
      <c r="F23" s="39"/>
      <c r="G23" s="25"/>
      <c r="H23" s="43"/>
    </row>
    <row r="24" spans="1:8" ht="16.5" thickBot="1" x14ac:dyDescent="0.3">
      <c r="D24" s="15"/>
      <c r="E24" s="39" t="s">
        <v>29</v>
      </c>
      <c r="F24" s="39"/>
      <c r="G24" s="25"/>
      <c r="H24" s="44"/>
    </row>
    <row r="25" spans="1:8" ht="16.5" customHeight="1" thickBot="1" x14ac:dyDescent="0.35">
      <c r="A25" s="16"/>
      <c r="B25" s="4"/>
      <c r="C25" s="4"/>
      <c r="D25" s="17"/>
      <c r="F25" s="3"/>
      <c r="G25" s="40" t="s">
        <v>30</v>
      </c>
      <c r="H25" s="49">
        <f>H20+H21</f>
        <v>253470</v>
      </c>
    </row>
  </sheetData>
  <mergeCells count="1">
    <mergeCell ref="A19:A20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CARLOS SAMUEL LUGO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2024-06-08T18:15:11Z</cp:lastPrinted>
  <dcterms:created xsi:type="dcterms:W3CDTF">2018-11-15T17:29:02Z</dcterms:created>
  <dcterms:modified xsi:type="dcterms:W3CDTF">2024-06-12T13:42:49Z</dcterms:modified>
</cp:coreProperties>
</file>