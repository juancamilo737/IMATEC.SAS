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0C5AACB0-38B0-497E-A61A-1805779E599B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FILTRO MOTOR'S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8" i="1" l="1"/>
  <c r="H19" i="1"/>
  <c r="H23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<sst xmlns="http://schemas.openxmlformats.org/spreadsheetml/2006/main" count="53" uniqueCount="53">
  <si>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</si>
  <si>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</si>
  <si>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</si>
  <si>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</si>
  <si>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</si>
  <si>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</si>
  <si>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</si>
  <si>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</si>
  <si>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</si>
  <si>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</si>
  <si>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</si>
  <si>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</si>
  <si>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</si>
  <si>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</si>
  <si>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</si>
  <si>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</si>
  <si>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</si>
  <si>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</si>
  <si>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</si>
  <si>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</si>
  <si>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</si>
  <si>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</si>
  <si>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</si>
  <si>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</si>
  <si>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</si>
  <si>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</si>
  <si>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</si>
  <si>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</si>
  <si>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</si>
  <si>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</si>
  <si>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</si>
  <si>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</si>
  <si>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</si>
  <si>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</si>
  <si>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</si>
  <si>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</si>
  <si>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</si>
  <si>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</si>
  <si>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</si>
  <si>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</si>
  <si>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contabilidad@watercol.com.co</t>
  </si>
  <si>
    <t>LUIS A. BENAVIDES</t>
  </si>
  <si>
    <t xml:space="preserve">              R E M I S I O N</t>
  </si>
  <si>
    <t>ENTREGA INMEDIATA</t>
  </si>
  <si>
    <t>TUBERIA AC/INOX SANITARIA 304  4 "</t>
  </si>
  <si>
    <t>METRO LINEAL</t>
  </si>
  <si>
    <t>SETENTA Y SIETE MIL TRESCIENTOS CINCUENTA PESOS</t>
  </si>
  <si>
    <t>MDA / CTE</t>
  </si>
  <si>
    <t>FILTRO MOTOR'S S.A.S.</t>
  </si>
  <si>
    <t>900 593208</t>
  </si>
  <si>
    <t>CALLE 31  No. 4B-47</t>
  </si>
  <si>
    <t>602 3797086</t>
  </si>
  <si>
    <t>CALI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</si>
</sst>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8" fillId="0" borderId="14" xfId="0" applyFont="1" applyBorder="1"/>
    <xf numFmtId="0" fontId="8" fillId="0" borderId="0" xfId="0" applyFont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8" xfId="0" applyFont="1" applyBorder="1"/>
    <xf numFmtId="9" fontId="1" fillId="0" borderId="15" xfId="0" applyNumberFormat="1" applyFont="1" applyBorder="1"/>
    <xf numFmtId="42" fontId="1" fillId="0" borderId="19" xfId="0" applyNumberFormat="1" applyFont="1" applyBorder="1"/>
    <xf numFmtId="0" fontId="0" fillId="0" borderId="19" xfId="0" applyBorder="1"/>
    <xf numFmtId="0" fontId="0" fillId="0" borderId="18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7" xfId="0" applyNumberFormat="1" applyFont="1" applyBorder="1" applyAlignment="1">
      <alignment horizontal="left"/>
    </xf>
    <xf numFmtId="42" fontId="1" fillId="0" borderId="19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0" xfId="0" applyFont="1" applyBorder="1"/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0" fontId="4" fillId="0" borderId="21" xfId="0" applyFont="1" applyBorder="1"/>
    <xf numFmtId="42" fontId="1" fillId="0" borderId="22" xfId="1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10" fontId="1" fillId="0" borderId="0" xfId="0" applyNumberFormat="1" applyFont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watercol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6"/>
  <sheetViews>
    <sheetView tabSelected="1" topLeftCell="A15" zoomScaleNormal="100" workbookViewId="0">
      <selection activeCell="E24" sqref="E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8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36</v>
      </c>
      <c r="E4" s="19"/>
      <c r="F4" s="20"/>
      <c r="G4" s="6"/>
      <c r="H4" s="7"/>
    </row>
    <row r="5" spans="1:8" ht="19.5" thickBot="1" x14ac:dyDescent="0.35">
      <c r="A5" s="57" t="s">
        <v>39</v>
      </c>
      <c r="B5" s="6"/>
      <c r="C5" s="6"/>
      <c r="D5" s="6"/>
      <c r="E5" s="6"/>
    </row>
    <row r="6" spans="1:8" ht="24.75" customHeight="1" thickBot="1" x14ac:dyDescent="0.45">
      <c r="F6" s="11" t="s">
        <v>42</v>
      </c>
      <c r="G6" s="19"/>
      <c r="H6" s="20"/>
    </row>
    <row r="7" spans="1:8" ht="19.5" thickBot="1" x14ac:dyDescent="0.35">
      <c r="A7" s="21" t="s">
        <v>14</v>
      </c>
      <c r="B7" s="13"/>
      <c r="C7" s="31" t="s">
        <v>48</v>
      </c>
      <c r="D7" s="13"/>
      <c r="E7" s="14"/>
      <c r="F7" s="28"/>
      <c r="G7" s="19"/>
      <c r="H7" s="20"/>
    </row>
    <row r="8" spans="1:8" ht="18.75" x14ac:dyDescent="0.3">
      <c r="A8" s="22" t="s">
        <v>8</v>
      </c>
      <c r="C8" s="25" t="s">
        <v>49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50</v>
      </c>
      <c r="D9" s="24"/>
      <c r="E9" s="25" t="s">
        <v>52</v>
      </c>
      <c r="F9" s="32" t="s">
        <v>0</v>
      </c>
      <c r="H9" s="33">
        <v>45499</v>
      </c>
    </row>
    <row r="10" spans="1:8" ht="18.75" x14ac:dyDescent="0.3">
      <c r="A10" s="22" t="s">
        <v>13</v>
      </c>
      <c r="C10" s="49" t="s">
        <v>40</v>
      </c>
      <c r="D10" s="26"/>
      <c r="E10" s="26"/>
      <c r="F10" s="32" t="s">
        <v>15</v>
      </c>
      <c r="H10" s="34" t="s">
        <v>35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45508</v>
      </c>
    </row>
    <row r="12" spans="1:8" ht="18.75" x14ac:dyDescent="0.3">
      <c r="A12" s="22" t="s">
        <v>11</v>
      </c>
      <c r="C12" s="25" t="s">
        <v>51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41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63" t="s">
        <v>19</v>
      </c>
      <c r="B15" s="53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54">
        <v>1</v>
      </c>
      <c r="B16" s="38" t="s">
        <v>44</v>
      </c>
      <c r="C16" s="39"/>
      <c r="D16" s="55"/>
      <c r="E16" s="60" t="s">
        <v>45</v>
      </c>
      <c r="F16" s="56">
        <v>130000</v>
      </c>
      <c r="G16" s="54">
        <v>0.5</v>
      </c>
      <c r="H16" s="59">
        <f t="shared" ref="H16" si="0">G16*F16</f>
        <v>65000</v>
      </c>
    </row>
    <row r="17" spans="1:8" ht="19.5" customHeight="1" thickBot="1" x14ac:dyDescent="0.35">
      <c r="A17" s="61" t="s">
        <v>25</v>
      </c>
      <c r="B17" s="12" t="s">
        <v>46</v>
      </c>
      <c r="C17" s="13"/>
      <c r="D17" s="14"/>
      <c r="E17" s="13"/>
      <c r="F17" s="40" t="s">
        <v>31</v>
      </c>
      <c r="G17" s="13"/>
      <c r="H17" s="7"/>
    </row>
    <row r="18" spans="1:8" ht="19.5" customHeight="1" thickBot="1" x14ac:dyDescent="0.3">
      <c r="A18" s="62"/>
      <c r="B18" s="17" t="s">
        <v>47</v>
      </c>
      <c r="C18" s="4"/>
      <c r="D18" s="4"/>
      <c r="E18" s="41" t="s">
        <v>26</v>
      </c>
      <c r="F18" s="42"/>
      <c r="G18" s="26"/>
      <c r="H18" s="50">
        <f>SUM(H16:H16)</f>
        <v>65000</v>
      </c>
    </row>
    <row r="19" spans="1:8" ht="16.5" thickBot="1" x14ac:dyDescent="0.3">
      <c r="A19" s="27" t="s">
        <v>27</v>
      </c>
      <c r="B19" s="13"/>
      <c r="C19" s="13"/>
      <c r="D19" s="14"/>
      <c r="E19" s="3" t="s">
        <v>33</v>
      </c>
      <c r="F19" s="58"/>
      <c r="G19" s="44">
        <v>0.19</v>
      </c>
      <c r="H19" s="51">
        <f>H18*G19</f>
        <v>12350</v>
      </c>
    </row>
    <row r="20" spans="1:8" ht="16.5" thickTop="1" x14ac:dyDescent="0.25">
      <c r="A20" s="15" t="s">
        <v>34</v>
      </c>
      <c r="D20" s="16"/>
      <c r="E20" s="42" t="s">
        <v>28</v>
      </c>
      <c r="G20" s="64">
        <v>2.5000000000000001E-2</v>
      </c>
      <c r="H20" s="45">
        <v>0</v>
      </c>
    </row>
    <row r="21" spans="1:8" ht="15.75" x14ac:dyDescent="0.25">
      <c r="A21" s="15" t="s">
        <v>43</v>
      </c>
      <c r="D21" s="16"/>
      <c r="F21" s="42"/>
      <c r="G21" s="26"/>
      <c r="H21" s="46"/>
    </row>
    <row r="22" spans="1:8" ht="16.5" customHeight="1" thickBot="1" x14ac:dyDescent="0.3">
      <c r="A22" s="15" t="s">
        <v>37</v>
      </c>
      <c r="D22" s="16"/>
      <c r="E22" s="42" t="s">
        <v>29</v>
      </c>
      <c r="F22" s="42"/>
      <c r="G22" s="26"/>
      <c r="H22" s="47"/>
    </row>
    <row r="23" spans="1:8" ht="19.5" thickBot="1" x14ac:dyDescent="0.35">
      <c r="A23" s="17"/>
      <c r="B23" s="4"/>
      <c r="C23" s="4"/>
      <c r="D23" s="18"/>
      <c r="F23" s="3"/>
      <c r="G23" s="43" t="s">
        <v>30</v>
      </c>
      <c r="H23" s="52">
        <f>H18+H19-H20</f>
        <v>77350</v>
      </c>
    </row>
    <row r="27" spans="1:8" ht="15.75" thickBot="1" x14ac:dyDescent="0.3"/>
    <row r="28" spans="1:8" ht="19.5" thickBot="1" x14ac:dyDescent="0.35">
      <c r="A28" s="28" t="s">
        <v>38</v>
      </c>
      <c r="B28" s="6"/>
      <c r="C28" s="6"/>
      <c r="D28" s="6"/>
      <c r="E28" s="6"/>
      <c r="F28" s="6"/>
      <c r="G28" s="6"/>
      <c r="H28" s="7"/>
    </row>
    <row r="36" spans="1:1" ht="18.75" x14ac:dyDescent="0.3">
      <c r="A36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FILTRO MOTOR'S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2024-07-26T14:58:53Z</dcterms:modified>
</cp:coreProperties>
</file>