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76898E6-CAF0-4537-83B0-E9B763C1546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ALCON DEL CAMPEST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3" i="1"/>
  <c r="H22" i="1"/>
  <c r="H16" i="1"/>
  <c r="H20" i="1" s="1"/>
  <c r="H21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<sst xmlns="http://schemas.openxmlformats.org/spreadsheetml/2006/main" count="55" uniqueCount="55">
  <si>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</si>
  <si>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</si>
  <si>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</si>
  <si>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</si>
  <si>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</si>
  <si>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</si>
  <si>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</si>
  <si>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</si>
  <si>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</si>
  <si>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</si>
  <si>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</si>
  <si>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</si>
  <si>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</si>
  <si>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</si>
  <si>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</si>
  <si>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</si>
  <si>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</si>
  <si>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</si>
  <si>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</si>
  <si>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</si>
  <si>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</si>
  <si>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</si>
  <si>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</si>
  <si>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</si>
  <si>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</si>
  <si>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</si>
  <si>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</si>
  <si>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</si>
  <si>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</si>
  <si>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</si>
  <si>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</si>
  <si>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</si>
  <si>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</si>
  <si>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</si>
  <si>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</si>
  <si>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</si>
  <si>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ACCESORIO</t>
  </si>
  <si>
    <t>CALI</t>
  </si>
  <si>
    <t>CONTACTOS   310 8306118    319 7174165    321 7834969</t>
  </si>
  <si>
    <t>ENTREGA EN 3 DIAS A PARTIR DE ORDEN DE COMPRA</t>
  </si>
  <si>
    <t>CONUNTO RESIDENCIAL BALCON DEL CAMPESTRE</t>
  </si>
  <si>
    <t>ITEM</t>
  </si>
  <si>
    <t>CRA 101 No. 11-50</t>
  </si>
  <si>
    <t>balcon.del.campestre@hotmail.com</t>
  </si>
  <si>
    <t>602 3155685</t>
  </si>
  <si>
    <t>LUIS A. BENAVIDES</t>
  </si>
  <si>
    <t xml:space="preserve">           C O T I Z A C I O N</t>
  </si>
  <si>
    <t>No.  2</t>
  </si>
  <si>
    <t>MOTOBOMBA SUMERGIBLE 3 "  TRIFASICA  220 V</t>
  </si>
  <si>
    <t xml:space="preserve">SEGÚN SUS REQUERIMIENTOS </t>
  </si>
  <si>
    <t xml:space="preserve">  RETEICA</t>
  </si>
  <si>
    <t>NUEVE MILLONES VEINTISEIS MIL NOVECIENTOS CUAREN</t>
  </si>
  <si>
    <t>TA PESOS  MDA / CTE</t>
  </si>
  <si>
    <t xml:space="preserve">  CALLE  33A  No. 17F - 56                                 B/  LA FLORESTA             -   CALI    -                                   CEL.     321 7834969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</si>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</sst>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21" xfId="1" applyFont="1" applyBorder="1" applyAlignment="1">
      <alignment horizontal="left"/>
    </xf>
    <xf numFmtId="0" fontId="8" fillId="0" borderId="17" xfId="0" applyFont="1" applyBorder="1"/>
    <xf numFmtId="0" fontId="1" fillId="0" borderId="19" xfId="0" applyFont="1" applyBorder="1" applyAlignment="1">
      <alignment horizontal="left" vertical="top" wrapText="1"/>
    </xf>
    <xf numFmtId="0" fontId="0" fillId="0" borderId="22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20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42" fontId="1" fillId="0" borderId="4" xfId="1" applyFont="1" applyBorder="1" applyAlignment="1">
      <alignment horizontal="left"/>
    </xf>
    <xf numFmtId="10" fontId="1" fillId="0" borderId="0" xfId="0" applyNumberFormat="1" applyFont="1"/>
    <xf numFmtId="0" fontId="1" fillId="0" borderId="5" xfId="0" applyFont="1" applyBorder="1" applyAlignment="1">
      <alignment horizontal="center"/>
    </xf>
    <xf numFmtId="0" fontId="1" fillId="0" borderId="13" xfId="0" applyFont="1" applyBorder="1"/>
    <xf numFmtId="0" fontId="0" fillId="0" borderId="14" xfId="0" applyFont="1" applyBorder="1"/>
    <xf numFmtId="0" fontId="1" fillId="0" borderId="3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8" xfId="0" applyBorder="1"/>
    <xf numFmtId="0" fontId="13" fillId="0" borderId="29" xfId="2" applyBorder="1"/>
    <xf numFmtId="0" fontId="0" fillId="0" borderId="34" xfId="0" applyBorder="1"/>
    <xf numFmtId="0" fontId="0" fillId="0" borderId="29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4" fillId="0" borderId="0" xfId="0" applyFont="1" applyFill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lcon.del.campestr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J27" sqref="J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4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34</v>
      </c>
      <c r="E4" s="19"/>
      <c r="F4" s="20"/>
      <c r="G4" s="6"/>
      <c r="H4" s="7"/>
    </row>
    <row r="5" spans="1:8" ht="19.5" thickBot="1" x14ac:dyDescent="0.35">
      <c r="A5" s="51" t="s">
        <v>38</v>
      </c>
      <c r="B5" s="6"/>
      <c r="C5" s="6"/>
      <c r="D5" s="6"/>
      <c r="E5" s="6"/>
    </row>
    <row r="6" spans="1:8" ht="24.75" customHeight="1" thickBot="1" x14ac:dyDescent="0.45">
      <c r="F6" s="11" t="s">
        <v>46</v>
      </c>
      <c r="G6" s="19"/>
      <c r="H6" s="20"/>
    </row>
    <row r="7" spans="1:8" ht="19.5" thickBot="1" x14ac:dyDescent="0.35">
      <c r="A7" s="21" t="s">
        <v>14</v>
      </c>
      <c r="B7" s="13"/>
      <c r="C7" s="30" t="s">
        <v>40</v>
      </c>
      <c r="D7" s="13"/>
      <c r="E7" s="14"/>
      <c r="F7" s="27"/>
      <c r="G7" s="19"/>
      <c r="H7" s="20" t="s">
        <v>47</v>
      </c>
    </row>
    <row r="8" spans="1:8" ht="18.75" x14ac:dyDescent="0.3">
      <c r="A8" s="22" t="s">
        <v>8</v>
      </c>
      <c r="C8" s="70">
        <v>805013650</v>
      </c>
      <c r="D8" s="71"/>
      <c r="E8" s="72"/>
      <c r="F8" s="12"/>
      <c r="G8" s="13"/>
      <c r="H8" s="14"/>
    </row>
    <row r="9" spans="1:8" ht="18.75" customHeight="1" x14ac:dyDescent="0.3">
      <c r="A9" s="22" t="s">
        <v>9</v>
      </c>
      <c r="C9" s="73" t="s">
        <v>42</v>
      </c>
      <c r="D9" s="24"/>
      <c r="E9" s="74" t="s">
        <v>37</v>
      </c>
      <c r="F9" s="31" t="s">
        <v>0</v>
      </c>
      <c r="H9" s="32">
        <v>45866</v>
      </c>
    </row>
    <row r="10" spans="1:8" ht="18.75" x14ac:dyDescent="0.3">
      <c r="A10" s="22" t="s">
        <v>13</v>
      </c>
      <c r="C10" s="75" t="s">
        <v>43</v>
      </c>
      <c r="D10" s="25"/>
      <c r="E10" s="76"/>
      <c r="F10" s="31" t="s">
        <v>15</v>
      </c>
      <c r="H10" s="33" t="s">
        <v>33</v>
      </c>
    </row>
    <row r="11" spans="1:8" ht="18.75" x14ac:dyDescent="0.3">
      <c r="A11" s="22" t="s">
        <v>10</v>
      </c>
      <c r="C11" s="77"/>
      <c r="D11" s="25"/>
      <c r="E11" s="76"/>
      <c r="F11" s="31" t="s">
        <v>16</v>
      </c>
      <c r="G11" s="34"/>
      <c r="H11" s="32">
        <v>45875</v>
      </c>
    </row>
    <row r="12" spans="1:8" ht="18.75" x14ac:dyDescent="0.3">
      <c r="A12" s="22" t="s">
        <v>11</v>
      </c>
      <c r="C12" s="77" t="s">
        <v>44</v>
      </c>
      <c r="D12" s="25"/>
      <c r="E12" s="76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78" t="s">
        <v>45</v>
      </c>
      <c r="D13" s="79"/>
      <c r="E13" s="80"/>
      <c r="F13" s="17"/>
      <c r="G13" s="4"/>
      <c r="H13" s="18"/>
    </row>
    <row r="14" spans="1:8" ht="15.75" thickBot="1" x14ac:dyDescent="0.3"/>
    <row r="15" spans="1:8" ht="15.75" thickBot="1" x14ac:dyDescent="0.3">
      <c r="A15" s="36" t="s">
        <v>41</v>
      </c>
      <c r="B15" s="69" t="s">
        <v>23</v>
      </c>
      <c r="C15" s="19"/>
      <c r="D15" s="7"/>
      <c r="E15" s="66" t="s">
        <v>19</v>
      </c>
      <c r="F15" s="36" t="s">
        <v>21</v>
      </c>
      <c r="G15" s="36" t="s">
        <v>20</v>
      </c>
      <c r="H15" s="36" t="s">
        <v>22</v>
      </c>
    </row>
    <row r="16" spans="1:8" ht="16.5" thickBot="1" x14ac:dyDescent="0.3">
      <c r="A16" s="59">
        <v>1</v>
      </c>
      <c r="B16" t="s">
        <v>48</v>
      </c>
      <c r="C16" s="56"/>
      <c r="D16" s="53"/>
      <c r="E16" s="48" t="s">
        <v>36</v>
      </c>
      <c r="F16" s="50">
        <v>7800000</v>
      </c>
      <c r="G16" s="48">
        <v>1</v>
      </c>
      <c r="H16" s="52">
        <f t="shared" ref="H16:H17" si="0">G16*F16</f>
        <v>7800000</v>
      </c>
    </row>
    <row r="17" spans="1:8" ht="16.5" thickBot="1" x14ac:dyDescent="0.3">
      <c r="A17" s="59"/>
      <c r="B17" s="68" t="s">
        <v>49</v>
      </c>
      <c r="C17" s="56"/>
      <c r="D17" s="53"/>
      <c r="E17" s="48"/>
      <c r="F17" s="49"/>
      <c r="G17" s="48"/>
      <c r="H17" s="64"/>
    </row>
    <row r="18" spans="1:8" ht="16.5" thickBot="1" x14ac:dyDescent="0.3">
      <c r="A18" s="60"/>
      <c r="B18" s="61"/>
      <c r="C18" s="62"/>
      <c r="D18" s="63"/>
      <c r="E18" s="48"/>
      <c r="F18" s="49"/>
      <c r="G18" s="48"/>
      <c r="H18" s="57"/>
    </row>
    <row r="19" spans="1:8" ht="19.5" customHeight="1" thickBot="1" x14ac:dyDescent="0.35">
      <c r="A19" s="58" t="s">
        <v>24</v>
      </c>
      <c r="B19" s="15" t="s">
        <v>51</v>
      </c>
      <c r="D19" s="16"/>
      <c r="E19" s="13"/>
      <c r="F19" s="37" t="s">
        <v>54</v>
      </c>
      <c r="G19" s="13"/>
      <c r="H19" s="7"/>
    </row>
    <row r="20" spans="1:8" ht="19.5" customHeight="1" thickBot="1" x14ac:dyDescent="0.3">
      <c r="A20" s="54"/>
      <c r="B20" s="17" t="s">
        <v>52</v>
      </c>
      <c r="C20" s="4"/>
      <c r="D20" s="4"/>
      <c r="E20" s="38" t="s">
        <v>25</v>
      </c>
      <c r="F20" s="39"/>
      <c r="G20" s="25"/>
      <c r="H20" s="45">
        <f>SUM(H16:H17)</f>
        <v>7800000</v>
      </c>
    </row>
    <row r="21" spans="1:8" ht="19.5" customHeight="1" x14ac:dyDescent="0.25">
      <c r="A21" s="26" t="s">
        <v>26</v>
      </c>
      <c r="B21" s="13"/>
      <c r="C21" s="13"/>
      <c r="D21" s="14"/>
      <c r="E21" s="3" t="s">
        <v>31</v>
      </c>
      <c r="F21" s="55"/>
      <c r="G21" s="41">
        <v>0.19</v>
      </c>
      <c r="H21" s="46">
        <f>H20*G21</f>
        <v>1482000</v>
      </c>
    </row>
    <row r="22" spans="1:8" ht="19.5" customHeight="1" x14ac:dyDescent="0.25">
      <c r="A22" s="15" t="s">
        <v>32</v>
      </c>
      <c r="D22" s="16"/>
      <c r="E22" s="39" t="s">
        <v>27</v>
      </c>
      <c r="G22" s="65">
        <v>2.5000000000000001E-2</v>
      </c>
      <c r="H22" s="42">
        <f>H20*G22</f>
        <v>195000</v>
      </c>
    </row>
    <row r="23" spans="1:8" ht="15.75" x14ac:dyDescent="0.25">
      <c r="A23" s="15" t="s">
        <v>39</v>
      </c>
      <c r="D23" s="16"/>
      <c r="E23" s="81" t="s">
        <v>50</v>
      </c>
      <c r="F23" s="39"/>
      <c r="G23" s="67">
        <v>7.7000000000000002E-3</v>
      </c>
      <c r="H23" s="42">
        <f>H20*G23</f>
        <v>60060</v>
      </c>
    </row>
    <row r="24" spans="1:8" ht="16.5" thickBot="1" x14ac:dyDescent="0.3">
      <c r="A24" s="15" t="s">
        <v>35</v>
      </c>
      <c r="D24" s="16"/>
      <c r="E24" s="39" t="s">
        <v>28</v>
      </c>
      <c r="F24" s="39"/>
      <c r="G24" s="25"/>
      <c r="H24" s="43"/>
    </row>
    <row r="25" spans="1:8" ht="19.5" thickBot="1" x14ac:dyDescent="0.35">
      <c r="A25" s="17"/>
      <c r="B25" s="4"/>
      <c r="C25" s="4"/>
      <c r="D25" s="18"/>
      <c r="F25" s="3"/>
      <c r="G25" s="40" t="s">
        <v>29</v>
      </c>
      <c r="H25" s="47">
        <f>H20+H21-H22-H23</f>
        <v>9026940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7" t="s">
        <v>53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BALCON DEL CAMPESTRE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2025-07-28T21:47:59Z</dcterms:modified>
</cp:coreProperties>
</file>