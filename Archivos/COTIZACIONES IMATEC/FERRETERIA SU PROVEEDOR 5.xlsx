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CF9F23B4-B370-439A-8FE6-7FB45B1DC0A2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SU 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<sst xmlns="http://schemas.openxmlformats.org/spreadsheetml/2006/main" count="53" uniqueCount="53">
  <si>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</si>
  <si>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</si>
  <si>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</si>
  <si>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</si>
  <si>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</si>
  <si>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</si>
  <si>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</si>
  <si>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</si>
  <si>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</si>
  <si>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</si>
  <si>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</si>
  <si>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</si>
  <si>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</si>
  <si>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</si>
  <si>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</si>
  <si>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</si>
  <si>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</si>
  <si>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</si>
  <si>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</si>
  <si>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</si>
  <si>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</si>
  <si>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</si>
  <si>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</si>
  <si>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</si>
  <si>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</si>
  <si>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</si>
  <si>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</si>
  <si>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</si>
  <si>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</si>
  <si>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</si>
  <si>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</si>
  <si>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</si>
  <si>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</si>
  <si>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</si>
  <si>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</si>
  <si>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</si>
  <si>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</si>
  <si>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</si>
  <si>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</si>
  <si>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</si>
  <si>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</si>
  <si>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FERRETERIA SUPROVEEDOR S.A.S.</t>
  </si>
  <si>
    <t>900 262123</t>
  </si>
  <si>
    <t>CRA 1 Nte  No. 50-224</t>
  </si>
  <si>
    <t>CALI</t>
  </si>
  <si>
    <t>ferresuproveedor@gmail.com</t>
  </si>
  <si>
    <t>602 5247788</t>
  </si>
  <si>
    <t>LUIS BENAVIDES</t>
  </si>
  <si>
    <t>FORMA DE PAGO : CREDITO A 30 DIAS</t>
  </si>
  <si>
    <t>ACCESORIO</t>
  </si>
  <si>
    <t>No. 5</t>
  </si>
  <si>
    <t>UNIVERSAL AC/INOX 304 2 1/2 "  X  150 LBS</t>
  </si>
  <si>
    <t>QUINIENTOS NOVENTA Y CINCO MIL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</si>
</sst>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13" xfId="0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3" zoomScaleNormal="100" workbookViewId="0">
      <selection activeCell="F27" sqref="F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3"/>
      <c r="H6" s="44"/>
    </row>
    <row r="7" spans="1:8" ht="19.5" thickBot="1" x14ac:dyDescent="0.35">
      <c r="A7" s="20" t="s">
        <v>14</v>
      </c>
      <c r="B7" s="12"/>
      <c r="C7" s="65" t="s">
        <v>41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6" t="s">
        <v>42</v>
      </c>
      <c r="D8" s="67"/>
      <c r="E8" s="46"/>
      <c r="H8" s="15"/>
    </row>
    <row r="9" spans="1:8" ht="18.75" customHeight="1" x14ac:dyDescent="0.3">
      <c r="A9" s="21" t="s">
        <v>9</v>
      </c>
      <c r="C9" s="68" t="s">
        <v>43</v>
      </c>
      <c r="D9" s="23"/>
      <c r="E9" s="69" t="s">
        <v>44</v>
      </c>
      <c r="F9" s="30" t="s">
        <v>0</v>
      </c>
      <c r="H9" s="28">
        <v>45603</v>
      </c>
    </row>
    <row r="10" spans="1:8" ht="18.75" x14ac:dyDescent="0.3">
      <c r="A10" s="21" t="s">
        <v>13</v>
      </c>
      <c r="C10" s="70" t="s">
        <v>45</v>
      </c>
      <c r="D10" s="71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71"/>
      <c r="E11" s="47"/>
      <c r="F11" s="30" t="s">
        <v>16</v>
      </c>
      <c r="G11" s="30"/>
      <c r="H11" s="28">
        <v>45612</v>
      </c>
    </row>
    <row r="12" spans="1:8" ht="18.75" x14ac:dyDescent="0.3">
      <c r="A12" s="21" t="s">
        <v>11</v>
      </c>
      <c r="C12" s="72" t="s">
        <v>46</v>
      </c>
      <c r="D12" s="71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47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51</v>
      </c>
      <c r="C16" s="77"/>
      <c r="D16" s="78"/>
      <c r="E16" s="75" t="s">
        <v>49</v>
      </c>
      <c r="F16" s="79">
        <v>125000</v>
      </c>
      <c r="G16" s="75">
        <v>4</v>
      </c>
      <c r="H16" s="38">
        <f t="shared" ref="H16" si="0">G16*F16</f>
        <v>500000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52</v>
      </c>
      <c r="D18" s="15"/>
      <c r="E18" s="54"/>
      <c r="F18" s="37" t="s">
        <v>29</v>
      </c>
      <c r="G18" s="6"/>
      <c r="H18" s="7"/>
    </row>
    <row r="19" spans="1:8" ht="19.5" customHeight="1" thickBot="1" x14ac:dyDescent="0.3">
      <c r="A19" s="39"/>
      <c r="B19" s="16"/>
      <c r="C19" s="4"/>
      <c r="D19" s="4"/>
      <c r="E19" s="57" t="s">
        <v>24</v>
      </c>
      <c r="F19" s="58"/>
      <c r="G19" s="46"/>
      <c r="H19" s="55">
        <f>SUM(H16:H18)</f>
        <v>500000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30</v>
      </c>
      <c r="F20" s="23"/>
      <c r="G20" s="60">
        <v>0.19</v>
      </c>
      <c r="H20" s="40">
        <f>H19*G20</f>
        <v>95000</v>
      </c>
    </row>
    <row r="21" spans="1:8" ht="19.5" customHeight="1" x14ac:dyDescent="0.25">
      <c r="A21" s="14" t="s">
        <v>48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37</v>
      </c>
      <c r="E22" s="14"/>
      <c r="F22" s="33"/>
      <c r="G22" s="47"/>
      <c r="H22" s="15"/>
    </row>
    <row r="23" spans="1:8" ht="16.5" thickBot="1" x14ac:dyDescent="0.3">
      <c r="A23" s="14" t="s">
        <v>33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595000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DE5E67A7-6BDC-41BB-BEBF-6CBBD2FA1642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 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2024-11-07T16:00:17Z</dcterms:modified>
</cp:coreProperties>
</file>