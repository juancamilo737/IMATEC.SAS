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987698D-8B2F-4D6F-BEA1-79882C4BCF9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 Q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7" i="1"/>
  <c r="H16" i="1"/>
  <c r="H21" i="1" l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<sst xmlns="http://schemas.openxmlformats.org/spreadsheetml/2006/main" count="56" uniqueCount="55">
  <si>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</si>
  <si>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</si>
  <si>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</si>
  <si>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</si>
  <si>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</si>
  <si>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</si>
  <si>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</si>
  <si>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</si>
  <si>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</si>
  <si>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</si>
  <si>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</si>
  <si>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</si>
  <si>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</si>
  <si>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</si>
  <si>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</si>
  <si>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</si>
  <si>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</si>
  <si>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</si>
  <si>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</si>
  <si>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</si>
  <si>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</si>
  <si>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</si>
  <si>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</si>
  <si>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</si>
  <si>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</si>
  <si>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</si>
  <si>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</si>
  <si>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</si>
  <si>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</si>
  <si>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</si>
  <si>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</si>
  <si>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</si>
  <si>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</si>
  <si>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</si>
  <si>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</si>
  <si>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</si>
  <si>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</si>
  <si>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</si>
  <si>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</si>
  <si>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</si>
  <si>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COMERCIALIZADORA C Q LTDA</t>
  </si>
  <si>
    <t>900 109577</t>
  </si>
  <si>
    <t>CALLE 7  No. 36A Bis -38</t>
  </si>
  <si>
    <t>CALI</t>
  </si>
  <si>
    <t>contabilidad@comercializadoracq.com</t>
  </si>
  <si>
    <t>602 5145875</t>
  </si>
  <si>
    <t>LUIS A. BENAVIDES</t>
  </si>
  <si>
    <t xml:space="preserve">  CALLE  33 A  No. 17 F - 56                         B/  LA FLORESTA             -   CALI    -                                   CEL.     321 7834969</t>
  </si>
  <si>
    <t>No. 5</t>
  </si>
  <si>
    <t>TUBO</t>
  </si>
  <si>
    <t>TUBERIA  A / C SCH 80  1/2 "   X   5,80 MTS</t>
  </si>
  <si>
    <t>TUBERIA  A / C SCH 80  1 "   X   5,80 MTS</t>
  </si>
  <si>
    <t>DOSCIENTOS CUARENTA Y CUATRO MIL DOSCIENTOS</t>
  </si>
  <si>
    <t>CINCUENTA Y NUEVE PESOS MDA / CTE</t>
  </si>
  <si>
    <t>L I Q U I D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</si>
</sst>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0" xfId="0" applyBorder="1"/>
    <xf numFmtId="0" fontId="0" fillId="0" borderId="31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comercializadorac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J20" sqref="J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2"/>
      <c r="H6" s="43"/>
    </row>
    <row r="7" spans="1:8" ht="19.5" thickBot="1" x14ac:dyDescent="0.35">
      <c r="A7" s="20" t="s">
        <v>14</v>
      </c>
      <c r="B7" s="12"/>
      <c r="C7" s="44" t="s">
        <v>40</v>
      </c>
      <c r="D7" s="6"/>
      <c r="E7" s="6"/>
      <c r="F7" s="37"/>
      <c r="G7" s="18"/>
      <c r="H7" s="19" t="s">
        <v>48</v>
      </c>
    </row>
    <row r="8" spans="1:8" ht="19.5" thickBot="1" x14ac:dyDescent="0.35">
      <c r="A8" s="21" t="s">
        <v>8</v>
      </c>
      <c r="C8" s="14" t="s">
        <v>41</v>
      </c>
      <c r="E8" s="15"/>
      <c r="H8" s="15"/>
    </row>
    <row r="9" spans="1:8" ht="18.75" customHeight="1" thickBot="1" x14ac:dyDescent="0.35">
      <c r="A9" s="21" t="s">
        <v>9</v>
      </c>
      <c r="C9" s="14" t="s">
        <v>42</v>
      </c>
      <c r="E9" s="62" t="s">
        <v>43</v>
      </c>
      <c r="F9" s="30" t="s">
        <v>0</v>
      </c>
      <c r="H9" s="28">
        <v>45797</v>
      </c>
    </row>
    <row r="10" spans="1:8" ht="18.75" x14ac:dyDescent="0.3">
      <c r="A10" s="21" t="s">
        <v>13</v>
      </c>
      <c r="C10" s="48" t="s">
        <v>44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45806</v>
      </c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63">
        <v>1</v>
      </c>
      <c r="B16" s="64" t="s">
        <v>50</v>
      </c>
      <c r="C16" s="65"/>
      <c r="D16" s="66"/>
      <c r="E16" s="63" t="s">
        <v>49</v>
      </c>
      <c r="F16" s="67">
        <v>76800</v>
      </c>
      <c r="G16" s="63">
        <v>1</v>
      </c>
      <c r="H16" s="38">
        <f t="shared" ref="H16" si="0">G16*F16</f>
        <v>76800</v>
      </c>
    </row>
    <row r="17" spans="1:8" ht="16.5" thickBot="1" x14ac:dyDescent="0.3">
      <c r="A17" s="63">
        <v>1</v>
      </c>
      <c r="B17" s="64" t="s">
        <v>51</v>
      </c>
      <c r="C17" s="65"/>
      <c r="D17" s="66"/>
      <c r="E17" s="63" t="s">
        <v>49</v>
      </c>
      <c r="F17" s="67">
        <v>128460</v>
      </c>
      <c r="G17" s="63">
        <v>1</v>
      </c>
      <c r="H17" s="38">
        <f t="shared" ref="H17" si="1">G17*F17</f>
        <v>128460</v>
      </c>
    </row>
    <row r="18" spans="1:8" ht="19.5" customHeight="1" thickBot="1" x14ac:dyDescent="0.3">
      <c r="A18" s="50"/>
      <c r="B18" s="69"/>
      <c r="C18" s="70"/>
      <c r="D18" s="71"/>
      <c r="E18" s="50"/>
      <c r="F18" s="50"/>
      <c r="G18" s="50"/>
    </row>
    <row r="19" spans="1:8" ht="19.5" customHeight="1" thickBot="1" x14ac:dyDescent="0.35">
      <c r="A19" s="68" t="s">
        <v>23</v>
      </c>
      <c r="B19" s="72" t="s">
        <v>52</v>
      </c>
      <c r="C19" s="12"/>
      <c r="D19" s="13"/>
      <c r="E19" s="51"/>
      <c r="F19" s="37" t="s">
        <v>54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17"/>
      <c r="E20" s="54" t="s">
        <v>24</v>
      </c>
      <c r="F20" s="55"/>
      <c r="G20" s="45"/>
      <c r="H20" s="52">
        <f>SUM(H16:H17)</f>
        <v>205260</v>
      </c>
    </row>
    <row r="21" spans="1:8" ht="19.5" customHeight="1" x14ac:dyDescent="0.25">
      <c r="A21" s="24" t="s">
        <v>25</v>
      </c>
      <c r="B21" s="12"/>
      <c r="C21" s="12"/>
      <c r="D21" s="12"/>
      <c r="E21" s="56" t="s">
        <v>29</v>
      </c>
      <c r="F21" s="23"/>
      <c r="G21" s="57">
        <v>0.19</v>
      </c>
      <c r="H21" s="40">
        <f>H20*G21</f>
        <v>38999.4</v>
      </c>
    </row>
    <row r="22" spans="1:8" ht="19.5" customHeight="1" x14ac:dyDescent="0.25">
      <c r="A22" s="14" t="s">
        <v>30</v>
      </c>
      <c r="E22" s="58" t="s">
        <v>26</v>
      </c>
      <c r="G22" s="61">
        <v>2.5000000000000001E-2</v>
      </c>
      <c r="H22" s="53"/>
    </row>
    <row r="23" spans="1:8" ht="15.75" x14ac:dyDescent="0.25">
      <c r="A23" s="14" t="s">
        <v>36</v>
      </c>
      <c r="E23" s="14"/>
      <c r="F23" s="33"/>
      <c r="G23" s="46"/>
      <c r="H23" s="15"/>
    </row>
    <row r="24" spans="1:8" ht="16.5" thickBot="1" x14ac:dyDescent="0.3">
      <c r="A24" s="14" t="s">
        <v>33</v>
      </c>
      <c r="E24" s="59" t="s">
        <v>27</v>
      </c>
      <c r="F24" s="60"/>
      <c r="G24" s="47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244259.4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47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F88B7EDA-51FA-4632-8D26-0DBEBC00AA1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 Q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2025-05-20T15:42:33Z</dcterms:modified>
</cp:coreProperties>
</file>