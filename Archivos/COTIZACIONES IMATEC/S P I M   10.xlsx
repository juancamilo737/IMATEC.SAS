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EED3794-F118-4579-9E83-7D933CE7A54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4" i="1"/>
  <c r="H23" i="1" l="1"/>
  <c r="H27" i="1" s="1"/>
</calcChain>
</file>

<file path=xl/sharedStrings.xml><?xml version="1.0" encoding="utf-8"?>
<sst xmlns="http://schemas.openxmlformats.org/spreadsheetml/2006/main" count="61" uniqueCount="58">
  <si>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</si>
  <si>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</si>
  <si>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</si>
  <si>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</si>
  <si>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</si>
  <si>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</si>
  <si>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</si>
  <si>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</si>
  <si>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</si>
  <si>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</si>
  <si>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</si>
  <si>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</si>
  <si>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</si>
  <si>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</si>
  <si>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</si>
  <si>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</si>
  <si>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</si>
  <si>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</si>
  <si>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</si>
  <si>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</si>
  <si>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</si>
  <si>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</si>
  <si>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</si>
  <si>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</si>
  <si>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</si>
  <si>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</si>
  <si>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</si>
  <si>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</si>
  <si>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</si>
  <si>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</si>
  <si>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</si>
  <si>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</si>
  <si>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</si>
  <si>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</si>
  <si>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</si>
  <si>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</si>
  <si>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</si>
  <si>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</si>
  <si>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</si>
  <si>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</si>
  <si>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</si>
  <si>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</si>
  <si>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</si>
  <si>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</si>
  <si>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</si>
  <si>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</si>
  <si>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</si>
  <si>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 xml:space="preserve">           C O T I Z A C I O N</t>
  </si>
  <si>
    <t>10 DIAS</t>
  </si>
  <si>
    <t>L I Q U I D A C I O N</t>
  </si>
  <si>
    <t>No. 10</t>
  </si>
  <si>
    <t>TUBERIA AC/INOX 316L TUBING CAL 1,65mm 3/8 "</t>
  </si>
  <si>
    <t>METRO LINEAL</t>
  </si>
  <si>
    <t>TUBERIA AC/INOX 316L TUBING CAL 1,65mm 1/2 "</t>
  </si>
  <si>
    <t>TUBERIA AC/INOX 316L BRT TUBING CAL 1,65m 3/8"</t>
  </si>
  <si>
    <t>TUBERIA AC/INOX 316L BRT TUBING CAL 1,65m 1/2"</t>
  </si>
  <si>
    <t>VEINTIDOS MILLONES SETECIENTOS CUARENTA Y UN MIL</t>
  </si>
  <si>
    <t>DOSCIENTOS SESENTA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</si>
</sst>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D28" sqref="D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 t="s">
        <v>44</v>
      </c>
      <c r="D11" s="60"/>
      <c r="E11" s="45"/>
      <c r="F11" s="30" t="s">
        <v>16</v>
      </c>
      <c r="G11" s="30"/>
      <c r="H11" s="28">
        <v>45801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52</v>
      </c>
      <c r="F16" s="73">
        <v>20830</v>
      </c>
      <c r="G16" s="69">
        <v>216</v>
      </c>
      <c r="H16" s="38">
        <f t="shared" ref="H16:H18" si="0">G16*F16</f>
        <v>4499280</v>
      </c>
    </row>
    <row r="17" spans="1:8" ht="16.5" thickBot="1" x14ac:dyDescent="0.3">
      <c r="A17" s="69">
        <v>2</v>
      </c>
      <c r="B17" s="70" t="s">
        <v>53</v>
      </c>
      <c r="C17" s="71"/>
      <c r="D17" s="72"/>
      <c r="E17" s="69" t="s">
        <v>52</v>
      </c>
      <c r="F17" s="73">
        <v>29670</v>
      </c>
      <c r="G17" s="69">
        <v>168</v>
      </c>
      <c r="H17" s="38">
        <f t="shared" si="0"/>
        <v>4984560</v>
      </c>
    </row>
    <row r="18" spans="1:8" ht="16.5" thickBot="1" x14ac:dyDescent="0.3">
      <c r="A18" s="69">
        <v>3</v>
      </c>
      <c r="B18" s="70" t="s">
        <v>54</v>
      </c>
      <c r="C18" s="71"/>
      <c r="D18" s="72"/>
      <c r="E18" s="69" t="s">
        <v>52</v>
      </c>
      <c r="F18" s="73">
        <v>22300</v>
      </c>
      <c r="G18" s="69">
        <v>216</v>
      </c>
      <c r="H18" s="38">
        <f t="shared" si="0"/>
        <v>4816800</v>
      </c>
    </row>
    <row r="19" spans="1:8" ht="16.5" thickBot="1" x14ac:dyDescent="0.3">
      <c r="A19" s="69">
        <v>4</v>
      </c>
      <c r="B19" s="70" t="s">
        <v>55</v>
      </c>
      <c r="C19" s="71"/>
      <c r="D19" s="72"/>
      <c r="E19" s="69" t="s">
        <v>52</v>
      </c>
      <c r="F19" s="73">
        <v>31070</v>
      </c>
      <c r="G19" s="69">
        <v>168</v>
      </c>
      <c r="H19" s="38">
        <f t="shared" ref="H19" si="1">G19*F19</f>
        <v>5219760</v>
      </c>
    </row>
    <row r="20" spans="1:8" ht="19.5" customHeight="1" thickBot="1" x14ac:dyDescent="0.3">
      <c r="A20" s="47"/>
      <c r="B20" s="76"/>
      <c r="D20" s="77"/>
      <c r="E20" s="47"/>
      <c r="F20" s="47"/>
      <c r="G20" s="47"/>
    </row>
    <row r="21" spans="1:8" ht="19.5" customHeight="1" thickBot="1" x14ac:dyDescent="0.35">
      <c r="A21" s="75" t="s">
        <v>23</v>
      </c>
      <c r="B21" s="78" t="s">
        <v>56</v>
      </c>
      <c r="C21" s="12"/>
      <c r="D21" s="13"/>
      <c r="E21" s="48"/>
      <c r="F21" s="37" t="s">
        <v>49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17"/>
      <c r="E22" s="51" t="s">
        <v>24</v>
      </c>
      <c r="F22" s="52"/>
      <c r="G22" s="44"/>
      <c r="H22" s="49">
        <f>SUM(H16:H19)</f>
        <v>19520400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29</v>
      </c>
      <c r="F23" s="23"/>
      <c r="G23" s="54">
        <v>0.19</v>
      </c>
      <c r="H23" s="40">
        <f>H22*G23</f>
        <v>3708876</v>
      </c>
    </row>
    <row r="24" spans="1:8" ht="19.5" customHeight="1" x14ac:dyDescent="0.25">
      <c r="A24" s="14" t="s">
        <v>46</v>
      </c>
      <c r="E24" s="55" t="s">
        <v>26</v>
      </c>
      <c r="G24" s="58">
        <v>2.5000000000000001E-2</v>
      </c>
      <c r="H24" s="50">
        <f>H22*G24</f>
        <v>488010</v>
      </c>
    </row>
    <row r="25" spans="1:8" ht="15.75" x14ac:dyDescent="0.25">
      <c r="A25" s="14" t="s">
        <v>34</v>
      </c>
      <c r="E25" s="14"/>
      <c r="F25" s="33"/>
      <c r="G25" s="45"/>
      <c r="H25" s="15"/>
    </row>
    <row r="26" spans="1:8" ht="16.5" thickBot="1" x14ac:dyDescent="0.3">
      <c r="A26" s="14" t="s">
        <v>31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22741266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2025-05-15T22:06:09Z</dcterms:modified>
</cp:coreProperties>
</file>