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FCC1C9-FFAA-490C-95E2-46060E1ABEB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I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<sst xmlns="http://schemas.openxmlformats.org/spreadsheetml/2006/main" count="55" uniqueCount="53">
  <si>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</si>
  <si>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</si>
  <si>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</si>
  <si>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</si>
  <si>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</si>
  <si>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</si>
  <si>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</si>
  <si>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</si>
  <si>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</si>
  <si>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</si>
  <si>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</si>
  <si>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</si>
  <si>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</si>
  <si>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</si>
  <si>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</si>
  <si>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</si>
  <si>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</si>
  <si>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</si>
  <si>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</si>
  <si>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</si>
  <si>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</si>
  <si>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</si>
  <si>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</si>
  <si>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</si>
  <si>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</si>
  <si>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</si>
  <si>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</si>
  <si>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</si>
  <si>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</si>
  <si>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</si>
  <si>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</si>
  <si>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</si>
  <si>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</si>
  <si>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</si>
  <si>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</si>
  <si>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</si>
  <si>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</si>
  <si>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</si>
  <si>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ENTREGA INMEDIATA</t>
  </si>
  <si>
    <t>O de C  No.</t>
  </si>
  <si>
    <t>MONTAJES JIG INGENIERIA Y CONSTRUCCIONES S.A.S.</t>
  </si>
  <si>
    <t>900 018376</t>
  </si>
  <si>
    <t>CRA 6  No. 13-01</t>
  </si>
  <si>
    <t>YUMBO</t>
  </si>
  <si>
    <t>montajesjig@hotmail.com</t>
  </si>
  <si>
    <t>602 6574584</t>
  </si>
  <si>
    <t>EDINSON CABEZAS</t>
  </si>
  <si>
    <t xml:space="preserve">           C O T I Z A C I O N</t>
  </si>
  <si>
    <t>10 DIAS</t>
  </si>
  <si>
    <t>TUBERIA  AC/INOX 304  SANITARIA 6 " X 2 mm</t>
  </si>
  <si>
    <t>METRO LINEAL</t>
  </si>
  <si>
    <t>DOS MILLONES CIENTO SESENTA Y OCHO MIL SETECIEN-</t>
  </si>
  <si>
    <t>TOS SESENTA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</si>
</sst>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4" fillId="0" borderId="3" xfId="0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tajesji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70" t="s">
        <v>40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71" t="s">
        <v>43</v>
      </c>
      <c r="F9" s="30" t="s">
        <v>0</v>
      </c>
      <c r="H9" s="28">
        <v>45757</v>
      </c>
    </row>
    <row r="10" spans="1:8" ht="18.75" x14ac:dyDescent="0.3">
      <c r="A10" s="21" t="s">
        <v>13</v>
      </c>
      <c r="C10" s="69" t="s">
        <v>44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45766</v>
      </c>
    </row>
    <row r="12" spans="1:8" ht="18.75" x14ac:dyDescent="0.3">
      <c r="A12" s="21" t="s">
        <v>11</v>
      </c>
      <c r="C12" s="14" t="s">
        <v>45</v>
      </c>
      <c r="E12" s="15"/>
      <c r="F12" s="30" t="s">
        <v>39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50</v>
      </c>
      <c r="F16" s="64">
        <v>221600</v>
      </c>
      <c r="G16" s="60">
        <v>6</v>
      </c>
      <c r="H16" s="38">
        <f t="shared" ref="H16" si="0">G16*F16</f>
        <v>1329600</v>
      </c>
    </row>
    <row r="17" spans="1:8" ht="16.5" thickBot="1" x14ac:dyDescent="0.3">
      <c r="A17" s="60">
        <v>2</v>
      </c>
      <c r="B17" s="61" t="s">
        <v>49</v>
      </c>
      <c r="C17" s="62"/>
      <c r="D17" s="63"/>
      <c r="E17" s="60" t="s">
        <v>50</v>
      </c>
      <c r="F17" s="64">
        <v>266000</v>
      </c>
      <c r="G17" s="60">
        <v>2</v>
      </c>
      <c r="H17" s="38">
        <f t="shared" ref="H17" si="1">G17*F17</f>
        <v>532000</v>
      </c>
    </row>
    <row r="18" spans="1:8" ht="19.5" customHeight="1" thickBot="1" x14ac:dyDescent="0.3">
      <c r="A18" s="48"/>
      <c r="B18" s="66"/>
      <c r="D18" s="67"/>
      <c r="E18" s="48"/>
      <c r="F18" s="48"/>
      <c r="G18" s="48"/>
    </row>
    <row r="19" spans="1:8" ht="19.5" customHeight="1" thickBot="1" x14ac:dyDescent="0.35">
      <c r="A19" s="65" t="s">
        <v>22</v>
      </c>
      <c r="B19" s="68" t="s">
        <v>51</v>
      </c>
      <c r="C19" s="12"/>
      <c r="D19" s="13"/>
      <c r="E19" s="49"/>
      <c r="F19" s="37" t="s">
        <v>36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17"/>
      <c r="E20" s="52" t="s">
        <v>23</v>
      </c>
      <c r="F20" s="53"/>
      <c r="G20" s="44"/>
      <c r="H20" s="50">
        <f>SUM(H16:H19)</f>
        <v>1861600</v>
      </c>
    </row>
    <row r="21" spans="1:8" ht="19.5" customHeight="1" x14ac:dyDescent="0.25">
      <c r="A21" s="24" t="s">
        <v>24</v>
      </c>
      <c r="B21" s="12"/>
      <c r="C21" s="12"/>
      <c r="D21" s="12"/>
      <c r="E21" s="54" t="s">
        <v>28</v>
      </c>
      <c r="F21" s="23"/>
      <c r="G21" s="55">
        <v>0.19</v>
      </c>
      <c r="H21" s="40">
        <f>H20*G21</f>
        <v>353704</v>
      </c>
    </row>
    <row r="22" spans="1:8" ht="19.5" customHeight="1" x14ac:dyDescent="0.25">
      <c r="A22" s="14" t="s">
        <v>29</v>
      </c>
      <c r="E22" s="56" t="s">
        <v>25</v>
      </c>
      <c r="G22" s="59">
        <v>2.5000000000000001E-2</v>
      </c>
      <c r="H22" s="51">
        <f>H20*G22</f>
        <v>46540</v>
      </c>
    </row>
    <row r="23" spans="1:8" ht="15.75" x14ac:dyDescent="0.25">
      <c r="A23" s="14" t="s">
        <v>38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7" t="s">
        <v>26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27</v>
      </c>
      <c r="H25" s="36">
        <f>H20+H21-H22</f>
        <v>2168764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D0713AE-3DA8-4B23-AF8F-65777F6F061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2025-04-10T22:07:41Z</dcterms:modified>
</cp:coreProperties>
</file>