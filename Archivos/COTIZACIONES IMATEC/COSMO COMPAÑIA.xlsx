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1F312561-B3C3-4080-B2EE-9F56DA42009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IA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  <c r="H28" i="1"/>
  <c r="H27" i="1"/>
  <c r="H26" i="1"/>
  <c r="H25" i="1" l="1"/>
  <c r="H24" i="1"/>
  <c r="H23" i="1"/>
  <c r="H22" i="1"/>
  <c r="H21" i="1"/>
  <c r="H20" i="1"/>
  <c r="H19" i="1"/>
  <c r="H18" i="1"/>
  <c r="H17" i="1"/>
  <c r="H16" i="1"/>
  <c r="H32" i="1" l="1"/>
  <c r="H34" i="1" s="1"/>
  <c r="H33" i="1"/>
  <c r="H37" i="1" s="1"/>
</calcChain>
</file>

<file path=xl/sharedStrings.xml><?xml version="1.0" encoding="utf-8"?>
<sst xmlns="http://schemas.openxmlformats.org/spreadsheetml/2006/main" count="79" uniqueCount="67">
  <si>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</si>
  <si>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</si>
  <si>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</si>
  <si>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</si>
  <si>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</si>
  <si>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</si>
  <si>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</si>
  <si>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</si>
  <si>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</si>
  <si>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</si>
  <si>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</si>
  <si>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</si>
  <si>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</si>
  <si>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</si>
  <si>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</si>
  <si>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</si>
  <si>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</si>
  <si>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</si>
  <si>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</si>
  <si>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</si>
  <si>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</si>
  <si>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</si>
  <si>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</si>
  <si>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</si>
  <si>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</si>
  <si>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</si>
  <si>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</si>
  <si>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</si>
  <si>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</si>
  <si>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</si>
  <si>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</si>
  <si>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</si>
  <si>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</si>
  <si>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</si>
  <si>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</si>
  <si>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</si>
  <si>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</si>
  <si>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</si>
  <si>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</si>
  <si>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</si>
  <si>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</si>
  <si>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</si>
  <si>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</si>
  <si>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</si>
  <si>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</si>
  <si>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</si>
  <si>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</si>
  <si>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</si>
  <si>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UNION AC/INOX 304 3/4 "</t>
  </si>
  <si>
    <t>ACCESORIO</t>
  </si>
  <si>
    <t>CHEQUE AC/INOX  304  3/4 "</t>
  </si>
  <si>
    <t>CODO AC/INOX 304  SCH 10  2 "  X  90º</t>
  </si>
  <si>
    <t>FERULA  AC/INOX 304  2 "</t>
  </si>
  <si>
    <t>ABRAZADERA  AC/INOX 304   2 "</t>
  </si>
  <si>
    <t>EMPAQUE  2 "</t>
  </si>
  <si>
    <t>NIPLE AC/INOX 3/4 "  X  10 CMTS</t>
  </si>
  <si>
    <t>VALVULA BOLA AC/INOX  3/4 "</t>
  </si>
  <si>
    <t>TEE AC/INOX 304  SCH 10  2 "</t>
  </si>
  <si>
    <t>TUBERIA AC/INOX  304  SCH 10  2 "</t>
  </si>
  <si>
    <t>METRO LINEAL</t>
  </si>
  <si>
    <t>CHEQUE CORTINA AC/INOX  2 "</t>
  </si>
  <si>
    <t>VALVULA BOLA AC/INOX  2 "</t>
  </si>
  <si>
    <t>NIPLE  AC/INOX  304  2 "  X  10 CMTS</t>
  </si>
  <si>
    <t>BRIDA  AC/INOX  304  2 "  X  150 ROSCADA</t>
  </si>
  <si>
    <t>CUATRO MILLONES OCHENTA Y OCHO MIL NOVECIEN-</t>
  </si>
  <si>
    <t>TOS CINCUENTA Y SIETE PESOS MDA / CTE</t>
  </si>
  <si>
    <t xml:space="preserve">           C O T I Z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</si>
</sst>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8" fillId="0" borderId="0" xfId="0" applyFont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0" fontId="0" fillId="0" borderId="38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2"/>
  <sheetViews>
    <sheetView tabSelected="1" topLeftCell="A7" zoomScaleNormal="100" workbookViewId="0">
      <selection activeCell="F7" sqref="F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66</v>
      </c>
      <c r="G6" s="43"/>
      <c r="H6" s="44"/>
    </row>
    <row r="7" spans="1:8" ht="19.5" thickBot="1" x14ac:dyDescent="0.35">
      <c r="A7" s="20" t="s">
        <v>14</v>
      </c>
      <c r="B7" s="12"/>
      <c r="C7" s="46" t="s">
        <v>41</v>
      </c>
      <c r="D7" s="6"/>
      <c r="E7" s="6"/>
      <c r="F7" s="37"/>
      <c r="G7" s="18"/>
      <c r="H7" s="19"/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77" t="s">
        <v>44</v>
      </c>
      <c r="F9" s="30" t="s">
        <v>0</v>
      </c>
      <c r="H9" s="28">
        <v>45551</v>
      </c>
    </row>
    <row r="10" spans="1:8" ht="18.75" x14ac:dyDescent="0.3">
      <c r="A10" s="21" t="s">
        <v>13</v>
      </c>
      <c r="C10" s="50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45561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2" t="s">
        <v>37</v>
      </c>
      <c r="B15" s="24" t="s">
        <v>22</v>
      </c>
      <c r="C15" s="43"/>
      <c r="D15" s="13"/>
      <c r="E15" s="52" t="s">
        <v>18</v>
      </c>
      <c r="F15" s="52" t="s">
        <v>20</v>
      </c>
      <c r="G15" s="52" t="s">
        <v>19</v>
      </c>
      <c r="H15" s="32" t="s">
        <v>21</v>
      </c>
    </row>
    <row r="16" spans="1:8" ht="16.5" thickBot="1" x14ac:dyDescent="0.3">
      <c r="A16" s="54">
        <v>1</v>
      </c>
      <c r="B16" s="57" t="s">
        <v>48</v>
      </c>
      <c r="C16" s="58"/>
      <c r="D16" s="59"/>
      <c r="E16" s="54" t="s">
        <v>49</v>
      </c>
      <c r="F16" s="63">
        <v>4300</v>
      </c>
      <c r="G16" s="54">
        <v>26</v>
      </c>
      <c r="H16" s="38">
        <f t="shared" ref="H16" si="0">G16*F16</f>
        <v>111800</v>
      </c>
    </row>
    <row r="17" spans="1:8" ht="16.5" thickBot="1" x14ac:dyDescent="0.3">
      <c r="A17" s="55">
        <v>2</v>
      </c>
      <c r="B17" s="60" t="s">
        <v>50</v>
      </c>
      <c r="C17" s="51"/>
      <c r="D17" s="61"/>
      <c r="E17" s="55" t="s">
        <v>49</v>
      </c>
      <c r="F17" s="64">
        <v>60300</v>
      </c>
      <c r="G17" s="55">
        <v>6</v>
      </c>
      <c r="H17" s="38">
        <f t="shared" ref="H17:H25" si="1">G17*F17</f>
        <v>361800</v>
      </c>
    </row>
    <row r="18" spans="1:8" ht="16.5" thickBot="1" x14ac:dyDescent="0.3">
      <c r="A18" s="55">
        <v>3</v>
      </c>
      <c r="B18" s="60" t="s">
        <v>51</v>
      </c>
      <c r="C18" s="51"/>
      <c r="D18" s="61"/>
      <c r="E18" s="55" t="s">
        <v>49</v>
      </c>
      <c r="F18" s="64">
        <v>21450</v>
      </c>
      <c r="G18" s="55">
        <v>20</v>
      </c>
      <c r="H18" s="38">
        <f t="shared" si="1"/>
        <v>429000</v>
      </c>
    </row>
    <row r="19" spans="1:8" ht="16.5" thickBot="1" x14ac:dyDescent="0.3">
      <c r="A19" s="55">
        <v>4</v>
      </c>
      <c r="B19" s="60" t="s">
        <v>52</v>
      </c>
      <c r="C19" s="51"/>
      <c r="D19" s="61"/>
      <c r="E19" s="55" t="s">
        <v>49</v>
      </c>
      <c r="F19" s="64">
        <v>8150</v>
      </c>
      <c r="G19" s="55">
        <v>24</v>
      </c>
      <c r="H19" s="38">
        <f t="shared" si="1"/>
        <v>195600</v>
      </c>
    </row>
    <row r="20" spans="1:8" ht="16.5" thickBot="1" x14ac:dyDescent="0.3">
      <c r="A20" s="55">
        <v>5</v>
      </c>
      <c r="B20" s="60" t="s">
        <v>53</v>
      </c>
      <c r="C20" s="51"/>
      <c r="D20" s="61"/>
      <c r="E20" s="55" t="s">
        <v>49</v>
      </c>
      <c r="F20" s="64">
        <v>20100</v>
      </c>
      <c r="G20" s="55">
        <v>12</v>
      </c>
      <c r="H20" s="38">
        <f t="shared" si="1"/>
        <v>241200</v>
      </c>
    </row>
    <row r="21" spans="1:8" ht="16.5" thickBot="1" x14ac:dyDescent="0.3">
      <c r="A21" s="55">
        <v>6</v>
      </c>
      <c r="B21" s="60" t="s">
        <v>54</v>
      </c>
      <c r="C21" s="51"/>
      <c r="D21" s="61"/>
      <c r="E21" s="55" t="s">
        <v>49</v>
      </c>
      <c r="F21" s="64">
        <v>2250</v>
      </c>
      <c r="G21" s="55">
        <v>12</v>
      </c>
      <c r="H21" s="38">
        <f t="shared" si="1"/>
        <v>27000</v>
      </c>
    </row>
    <row r="22" spans="1:8" ht="16.5" thickBot="1" x14ac:dyDescent="0.3">
      <c r="A22" s="55">
        <v>7</v>
      </c>
      <c r="B22" s="60" t="s">
        <v>55</v>
      </c>
      <c r="C22" s="51"/>
      <c r="D22" s="61"/>
      <c r="E22" s="55" t="s">
        <v>49</v>
      </c>
      <c r="F22" s="64">
        <v>7280</v>
      </c>
      <c r="G22" s="55">
        <v>46</v>
      </c>
      <c r="H22" s="38">
        <f t="shared" si="1"/>
        <v>334880</v>
      </c>
    </row>
    <row r="23" spans="1:8" ht="16.5" thickBot="1" x14ac:dyDescent="0.3">
      <c r="A23" s="55">
        <v>8</v>
      </c>
      <c r="B23" s="60" t="s">
        <v>56</v>
      </c>
      <c r="C23" s="51"/>
      <c r="D23" s="61"/>
      <c r="E23" s="55" t="s">
        <v>49</v>
      </c>
      <c r="F23" s="64">
        <v>24100</v>
      </c>
      <c r="G23" s="55">
        <v>5</v>
      </c>
      <c r="H23" s="38">
        <f t="shared" si="1"/>
        <v>120500</v>
      </c>
    </row>
    <row r="24" spans="1:8" ht="16.5" thickBot="1" x14ac:dyDescent="0.3">
      <c r="A24" s="55">
        <v>9</v>
      </c>
      <c r="B24" s="60" t="s">
        <v>57</v>
      </c>
      <c r="C24" s="51"/>
      <c r="D24" s="61"/>
      <c r="E24" s="55" t="s">
        <v>49</v>
      </c>
      <c r="F24" s="64">
        <v>36100</v>
      </c>
      <c r="G24" s="55">
        <v>2</v>
      </c>
      <c r="H24" s="38">
        <f t="shared" si="1"/>
        <v>72200</v>
      </c>
    </row>
    <row r="25" spans="1:8" ht="16.5" thickBot="1" x14ac:dyDescent="0.3">
      <c r="A25" s="55">
        <v>10</v>
      </c>
      <c r="B25" s="60" t="s">
        <v>58</v>
      </c>
      <c r="C25" s="51"/>
      <c r="D25" s="61"/>
      <c r="E25" s="55" t="s">
        <v>59</v>
      </c>
      <c r="F25" s="64">
        <v>69117</v>
      </c>
      <c r="G25" s="55">
        <v>12</v>
      </c>
      <c r="H25" s="38">
        <f t="shared" si="1"/>
        <v>829404</v>
      </c>
    </row>
    <row r="26" spans="1:8" ht="16.5" thickBot="1" x14ac:dyDescent="0.3">
      <c r="A26" s="55">
        <v>11</v>
      </c>
      <c r="B26" s="60" t="s">
        <v>60</v>
      </c>
      <c r="C26" s="51"/>
      <c r="D26" s="61"/>
      <c r="E26" s="55" t="s">
        <v>49</v>
      </c>
      <c r="F26" s="64">
        <v>180550</v>
      </c>
      <c r="G26" s="55">
        <v>1</v>
      </c>
      <c r="H26" s="38">
        <f t="shared" ref="H26:H29" si="2">G26*F26</f>
        <v>180550</v>
      </c>
    </row>
    <row r="27" spans="1:8" ht="16.5" thickBot="1" x14ac:dyDescent="0.3">
      <c r="A27" s="55">
        <v>12</v>
      </c>
      <c r="B27" s="60" t="s">
        <v>61</v>
      </c>
      <c r="C27" s="51"/>
      <c r="D27" s="61"/>
      <c r="E27" s="55" t="s">
        <v>49</v>
      </c>
      <c r="F27" s="64">
        <v>105550</v>
      </c>
      <c r="G27" s="55">
        <v>2</v>
      </c>
      <c r="H27" s="38">
        <f t="shared" si="2"/>
        <v>211100</v>
      </c>
    </row>
    <row r="28" spans="1:8" ht="16.5" thickBot="1" x14ac:dyDescent="0.3">
      <c r="A28" s="55">
        <v>13</v>
      </c>
      <c r="B28" s="60" t="s">
        <v>62</v>
      </c>
      <c r="C28" s="51"/>
      <c r="D28" s="61"/>
      <c r="E28" s="55" t="s">
        <v>49</v>
      </c>
      <c r="F28" s="64">
        <v>23400</v>
      </c>
      <c r="G28" s="55">
        <v>8</v>
      </c>
      <c r="H28" s="38">
        <f t="shared" si="2"/>
        <v>187200</v>
      </c>
    </row>
    <row r="29" spans="1:8" ht="16.5" thickBot="1" x14ac:dyDescent="0.3">
      <c r="A29" s="55">
        <v>14</v>
      </c>
      <c r="B29" s="60" t="s">
        <v>63</v>
      </c>
      <c r="C29" s="51"/>
      <c r="D29" s="61"/>
      <c r="E29" s="55" t="s">
        <v>49</v>
      </c>
      <c r="F29" s="64">
        <v>103800</v>
      </c>
      <c r="G29" s="55">
        <v>2</v>
      </c>
      <c r="H29" s="38">
        <f t="shared" si="2"/>
        <v>207600</v>
      </c>
    </row>
    <row r="30" spans="1:8" ht="19.5" customHeight="1" thickBot="1" x14ac:dyDescent="0.3">
      <c r="A30" s="56"/>
      <c r="B30" s="45"/>
      <c r="C30" s="42"/>
      <c r="D30" s="62"/>
      <c r="E30" s="65"/>
      <c r="F30" s="65"/>
      <c r="G30" s="65"/>
    </row>
    <row r="31" spans="1:8" ht="19.5" customHeight="1" thickBot="1" x14ac:dyDescent="0.35">
      <c r="A31" s="53" t="s">
        <v>23</v>
      </c>
      <c r="B31" s="14" t="s">
        <v>64</v>
      </c>
      <c r="D31" s="15"/>
      <c r="E31" s="66"/>
      <c r="F31" s="37" t="s">
        <v>29</v>
      </c>
      <c r="G31" s="6"/>
      <c r="H31" s="7"/>
    </row>
    <row r="32" spans="1:8" ht="19.5" customHeight="1" thickBot="1" x14ac:dyDescent="0.3">
      <c r="A32" s="39"/>
      <c r="B32" s="16" t="s">
        <v>65</v>
      </c>
      <c r="C32" s="4"/>
      <c r="D32" s="4"/>
      <c r="E32" s="69" t="s">
        <v>24</v>
      </c>
      <c r="F32" s="70"/>
      <c r="G32" s="47"/>
      <c r="H32" s="67">
        <f>SUM(H16:H29)</f>
        <v>3509834</v>
      </c>
    </row>
    <row r="33" spans="1:8" ht="19.5" customHeight="1" x14ac:dyDescent="0.25">
      <c r="A33" s="24" t="s">
        <v>25</v>
      </c>
      <c r="B33" s="12"/>
      <c r="C33" s="12"/>
      <c r="D33" s="12"/>
      <c r="E33" s="71" t="s">
        <v>30</v>
      </c>
      <c r="F33" s="23"/>
      <c r="G33" s="72">
        <v>0.19</v>
      </c>
      <c r="H33" s="40">
        <f>H32*G33</f>
        <v>666868.46</v>
      </c>
    </row>
    <row r="34" spans="1:8" ht="19.5" customHeight="1" x14ac:dyDescent="0.25">
      <c r="A34" s="14" t="s">
        <v>31</v>
      </c>
      <c r="E34" s="73" t="s">
        <v>26</v>
      </c>
      <c r="G34" s="76">
        <v>2.5000000000000001E-2</v>
      </c>
      <c r="H34" s="68">
        <f>H32*G34</f>
        <v>87745.85</v>
      </c>
    </row>
    <row r="35" spans="1:8" ht="15.75" x14ac:dyDescent="0.25">
      <c r="A35" s="14" t="s">
        <v>38</v>
      </c>
      <c r="E35" s="14"/>
      <c r="F35" s="33"/>
      <c r="G35" s="48"/>
      <c r="H35" s="15"/>
    </row>
    <row r="36" spans="1:8" ht="16.5" thickBot="1" x14ac:dyDescent="0.3">
      <c r="A36" s="14" t="s">
        <v>34</v>
      </c>
      <c r="E36" s="74" t="s">
        <v>27</v>
      </c>
      <c r="F36" s="75"/>
      <c r="G36" s="49"/>
      <c r="H36" s="17"/>
    </row>
    <row r="37" spans="1:8" ht="19.5" thickBot="1" x14ac:dyDescent="0.35">
      <c r="A37" s="78"/>
      <c r="B37" s="4"/>
      <c r="C37" s="4"/>
      <c r="D37" s="17"/>
      <c r="F37" s="3"/>
      <c r="G37" s="34" t="s">
        <v>28</v>
      </c>
      <c r="H37" s="36">
        <f>H32+H33-H34</f>
        <v>4088956.61</v>
      </c>
    </row>
    <row r="38" spans="1:8" ht="16.5" customHeight="1" x14ac:dyDescent="0.25"/>
    <row r="43" spans="1:8" ht="15.75" thickBot="1" x14ac:dyDescent="0.3"/>
    <row r="44" spans="1:8" ht="19.5" thickBot="1" x14ac:dyDescent="0.35">
      <c r="A44" s="25" t="s">
        <v>35</v>
      </c>
      <c r="B44" s="6"/>
      <c r="C44" s="6"/>
      <c r="D44" s="6"/>
      <c r="E44" s="6"/>
      <c r="F44" s="6"/>
      <c r="G44" s="6"/>
      <c r="H44" s="7"/>
    </row>
    <row r="52" spans="1:1" ht="18.75" x14ac:dyDescent="0.3">
      <c r="A52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CIA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2024-09-18T22:23:30Z</cp:lastPrinted>
  <dcterms:created xsi:type="dcterms:W3CDTF">2018-11-15T17:29:02Z</dcterms:created>
  <dcterms:modified xsi:type="dcterms:W3CDTF">2024-09-18T22:25:22Z</dcterms:modified>
</cp:coreProperties>
</file>