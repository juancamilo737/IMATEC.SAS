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D09608B-1913-41A5-9AEA-DBC4F560DAC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ANILL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6" i="1"/>
  <c r="H20" i="1"/>
  <c r="H19" i="1"/>
  <c r="H18" i="1"/>
  <c r="H17" i="1"/>
  <c r="H16" i="1"/>
  <c r="H24" i="1" s="1"/>
  <c r="H25" i="1" l="1"/>
</calcChain>
</file>

<file path=xl/sharedStrings.xml><?xml version="1.0" encoding="utf-8"?>
<sst xmlns="http://schemas.openxmlformats.org/spreadsheetml/2006/main" count="61" uniqueCount="57">
  <si>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</si>
  <si>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</si>
  <si>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</si>
  <si>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</si>
  <si>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</si>
  <si>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</si>
  <si>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</si>
  <si>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</si>
  <si>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</si>
  <si>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</si>
  <si>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</si>
  <si>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</si>
  <si>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</si>
  <si>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</si>
  <si>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</si>
  <si>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</si>
  <si>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</si>
  <si>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</si>
  <si>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</si>
  <si>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</si>
  <si>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</si>
  <si>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</si>
  <si>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</si>
  <si>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</si>
  <si>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</si>
  <si>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</si>
  <si>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</si>
  <si>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</si>
  <si>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</si>
  <si>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</si>
  <si>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</si>
  <si>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</si>
  <si>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</si>
  <si>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</si>
  <si>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</si>
  <si>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</si>
  <si>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</si>
  <si>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</si>
  <si>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</si>
  <si>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</si>
  <si>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</si>
  <si>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CONSTRUCTORA SOLANILLAS S.A.S.</t>
  </si>
  <si>
    <t>805 016128</t>
  </si>
  <si>
    <t>CRA 56  No. 1B-281</t>
  </si>
  <si>
    <t>JAMUNDI</t>
  </si>
  <si>
    <t>claudia.trochez@solanillas.com</t>
  </si>
  <si>
    <t>602 3877770</t>
  </si>
  <si>
    <t>EDINSON CABEZAS</t>
  </si>
  <si>
    <t>ABRAZADERA AJUSTABLE  6 "</t>
  </si>
  <si>
    <t>ACCESORIO</t>
  </si>
  <si>
    <t>ABRAZADERA AJUSTABLE  4 "</t>
  </si>
  <si>
    <t>ABRAZADERA AJUSTABLE  3 "</t>
  </si>
  <si>
    <t>SOPORTE TIPO PERA  3 "</t>
  </si>
  <si>
    <t>SOPORTE TIPO PERA  6 "</t>
  </si>
  <si>
    <t>UN MILLON OCHOCIENTOS TREINTA Y OCHO MIL CIENTO</t>
  </si>
  <si>
    <t>TREINTA Y SIETE PESOS MDA / CTE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</si>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</sst>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0" fillId="0" borderId="37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8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audia.trochez@solanill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10" zoomScaleNormal="100" workbookViewId="0">
      <selection activeCell="G33" sqref="G3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7"/>
      <c r="F7" s="37"/>
      <c r="G7" s="18"/>
      <c r="H7" s="19"/>
    </row>
    <row r="8" spans="1:8" ht="18.75" x14ac:dyDescent="0.3">
      <c r="A8" s="21" t="s">
        <v>8</v>
      </c>
      <c r="C8" s="77" t="s">
        <v>42</v>
      </c>
      <c r="D8" s="78"/>
      <c r="E8" s="47"/>
      <c r="H8" s="15"/>
    </row>
    <row r="9" spans="1:8" ht="18.75" customHeight="1" x14ac:dyDescent="0.3">
      <c r="A9" s="21" t="s">
        <v>9</v>
      </c>
      <c r="C9" s="79" t="s">
        <v>43</v>
      </c>
      <c r="D9" s="23"/>
      <c r="E9" s="80" t="s">
        <v>44</v>
      </c>
      <c r="F9" s="30" t="s">
        <v>0</v>
      </c>
      <c r="H9" s="28">
        <v>45554</v>
      </c>
    </row>
    <row r="10" spans="1:8" ht="18.75" x14ac:dyDescent="0.3">
      <c r="A10" s="21" t="s">
        <v>13</v>
      </c>
      <c r="C10" s="81" t="s">
        <v>45</v>
      </c>
      <c r="D10" s="76"/>
      <c r="E10" s="48"/>
      <c r="F10" s="30" t="s">
        <v>15</v>
      </c>
      <c r="H10" s="29" t="s">
        <v>31</v>
      </c>
    </row>
    <row r="11" spans="1:8" ht="18.75" x14ac:dyDescent="0.3">
      <c r="A11" s="21" t="s">
        <v>10</v>
      </c>
      <c r="C11" s="82"/>
      <c r="D11" s="76"/>
      <c r="E11" s="48"/>
      <c r="F11" s="30" t="s">
        <v>16</v>
      </c>
      <c r="G11" s="30"/>
      <c r="H11" s="28">
        <v>45564</v>
      </c>
    </row>
    <row r="12" spans="1:8" ht="18.75" x14ac:dyDescent="0.3">
      <c r="A12" s="21" t="s">
        <v>11</v>
      </c>
      <c r="C12" s="82" t="s">
        <v>46</v>
      </c>
      <c r="D12" s="76"/>
      <c r="E12" s="48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83" t="s">
        <v>47</v>
      </c>
      <c r="D13" s="84"/>
      <c r="E13" s="49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36</v>
      </c>
      <c r="B15" s="24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57" t="s">
        <v>48</v>
      </c>
      <c r="C16" s="57"/>
      <c r="D16" s="58"/>
      <c r="E16" s="54" t="s">
        <v>49</v>
      </c>
      <c r="F16" s="62">
        <v>7900</v>
      </c>
      <c r="G16" s="54">
        <v>28</v>
      </c>
      <c r="H16" s="38">
        <f t="shared" ref="H16" si="0">G16*F16</f>
        <v>221200</v>
      </c>
    </row>
    <row r="17" spans="1:8" ht="16.5" thickBot="1" x14ac:dyDescent="0.3">
      <c r="A17" s="55">
        <v>2</v>
      </c>
      <c r="B17" s="50" t="s">
        <v>50</v>
      </c>
      <c r="C17" s="50"/>
      <c r="D17" s="60"/>
      <c r="E17" s="55" t="s">
        <v>49</v>
      </c>
      <c r="F17" s="63">
        <v>4700</v>
      </c>
      <c r="G17" s="55">
        <v>18</v>
      </c>
      <c r="H17" s="38">
        <f t="shared" ref="H17:H20" si="1">G17*F17</f>
        <v>84600</v>
      </c>
    </row>
    <row r="18" spans="1:8" ht="16.5" thickBot="1" x14ac:dyDescent="0.3">
      <c r="A18" s="55">
        <v>3</v>
      </c>
      <c r="B18" s="50" t="s">
        <v>51</v>
      </c>
      <c r="C18" s="50"/>
      <c r="D18" s="60"/>
      <c r="E18" s="55" t="s">
        <v>49</v>
      </c>
      <c r="F18" s="63">
        <v>3400</v>
      </c>
      <c r="G18" s="55">
        <v>174</v>
      </c>
      <c r="H18" s="38">
        <f t="shared" si="1"/>
        <v>591600</v>
      </c>
    </row>
    <row r="19" spans="1:8" ht="16.5" thickBot="1" x14ac:dyDescent="0.3">
      <c r="A19" s="55">
        <v>4</v>
      </c>
      <c r="B19" s="59" t="s">
        <v>52</v>
      </c>
      <c r="C19" s="50"/>
      <c r="D19" s="60"/>
      <c r="E19" s="55" t="s">
        <v>49</v>
      </c>
      <c r="F19" s="63">
        <v>2950</v>
      </c>
      <c r="G19" s="55">
        <v>72</v>
      </c>
      <c r="H19" s="38">
        <f t="shared" si="1"/>
        <v>212400</v>
      </c>
    </row>
    <row r="20" spans="1:8" ht="16.5" thickBot="1" x14ac:dyDescent="0.3">
      <c r="A20" s="55">
        <v>5</v>
      </c>
      <c r="B20" s="59" t="s">
        <v>53</v>
      </c>
      <c r="C20" s="50"/>
      <c r="D20" s="60"/>
      <c r="E20" s="55" t="s">
        <v>49</v>
      </c>
      <c r="F20" s="63">
        <v>7800</v>
      </c>
      <c r="G20" s="55">
        <v>60</v>
      </c>
      <c r="H20" s="38">
        <f t="shared" si="1"/>
        <v>468000</v>
      </c>
    </row>
    <row r="21" spans="1:8" ht="15.75" x14ac:dyDescent="0.25">
      <c r="A21" s="55"/>
      <c r="B21" s="59"/>
      <c r="C21" s="50"/>
      <c r="D21" s="60"/>
      <c r="E21" s="55"/>
      <c r="F21" s="63"/>
      <c r="G21" s="55"/>
      <c r="H21" s="51"/>
    </row>
    <row r="22" spans="1:8" ht="19.5" customHeight="1" thickBot="1" x14ac:dyDescent="0.3">
      <c r="A22" s="56"/>
      <c r="B22" s="45"/>
      <c r="C22" s="42"/>
      <c r="D22" s="61"/>
      <c r="E22" s="64"/>
      <c r="F22" s="64"/>
      <c r="G22" s="64"/>
    </row>
    <row r="23" spans="1:8" ht="19.5" customHeight="1" thickBot="1" x14ac:dyDescent="0.35">
      <c r="A23" s="53" t="s">
        <v>23</v>
      </c>
      <c r="B23" s="14" t="s">
        <v>54</v>
      </c>
      <c r="D23" s="15"/>
      <c r="E23" s="65"/>
      <c r="F23" s="37" t="s">
        <v>29</v>
      </c>
      <c r="G23" s="6"/>
      <c r="H23" s="7"/>
    </row>
    <row r="24" spans="1:8" ht="19.5" customHeight="1" thickBot="1" x14ac:dyDescent="0.3">
      <c r="A24" s="39"/>
      <c r="B24" s="16" t="s">
        <v>55</v>
      </c>
      <c r="C24" s="4"/>
      <c r="D24" s="4"/>
      <c r="E24" s="68" t="s">
        <v>24</v>
      </c>
      <c r="F24" s="69"/>
      <c r="G24" s="47"/>
      <c r="H24" s="66">
        <f>SUM(H16:H23)</f>
        <v>1577800</v>
      </c>
    </row>
    <row r="25" spans="1:8" ht="19.5" customHeight="1" x14ac:dyDescent="0.25">
      <c r="A25" s="24" t="s">
        <v>25</v>
      </c>
      <c r="B25" s="12"/>
      <c r="C25" s="12"/>
      <c r="D25" s="12"/>
      <c r="E25" s="70" t="s">
        <v>30</v>
      </c>
      <c r="F25" s="23"/>
      <c r="G25" s="71">
        <v>0.19</v>
      </c>
      <c r="H25" s="40">
        <f>H24*G25</f>
        <v>299782</v>
      </c>
    </row>
    <row r="26" spans="1:8" ht="19.5" customHeight="1" x14ac:dyDescent="0.25">
      <c r="A26" s="14" t="s">
        <v>56</v>
      </c>
      <c r="E26" s="72" t="s">
        <v>26</v>
      </c>
      <c r="G26" s="75">
        <v>2.5000000000000001E-2</v>
      </c>
      <c r="H26" s="67">
        <f>H24*G26</f>
        <v>39445</v>
      </c>
    </row>
    <row r="27" spans="1:8" ht="15.75" x14ac:dyDescent="0.25">
      <c r="A27" s="14" t="s">
        <v>37</v>
      </c>
      <c r="E27" s="14"/>
      <c r="F27" s="33"/>
      <c r="G27" s="48"/>
      <c r="H27" s="15"/>
    </row>
    <row r="28" spans="1:8" ht="16.5" thickBot="1" x14ac:dyDescent="0.3">
      <c r="A28" s="14" t="s">
        <v>33</v>
      </c>
      <c r="E28" s="73" t="s">
        <v>27</v>
      </c>
      <c r="F28" s="74"/>
      <c r="G28" s="49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1838137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34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41800E86-5D96-4A03-9570-BED15941737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SOLANILLAS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2024-09-19T16:22:51Z</dcterms:modified>
</cp:coreProperties>
</file>