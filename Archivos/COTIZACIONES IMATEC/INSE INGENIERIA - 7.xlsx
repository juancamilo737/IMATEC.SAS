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54CE4389-815E-4E8E-BE81-F07A0DDB83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38" i="1" s="1"/>
  <c r="H21" i="1"/>
  <c r="H20" i="1"/>
  <c r="H19" i="1" l="1"/>
  <c r="H18" i="1" l="1"/>
  <c r="H17" i="1"/>
  <c r="H16" i="1" l="1"/>
  <c r="H41" i="1" l="1"/>
  <c r="H40" i="1"/>
  <c r="H39" i="1"/>
  <c r="H43" i="1" s="1"/>
</calcChain>
</file>

<file path=xl/sharedStrings.xml><?xml version="1.0" encoding="utf-8"?>
<sst xmlns="http://schemas.openxmlformats.org/spreadsheetml/2006/main" count="93" uniqueCount="75">
  <si>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</si>
  <si>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</si>
  <si>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</si>
  <si>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</si>
  <si>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</si>
  <si>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</si>
  <si>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</si>
  <si>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</si>
  <si>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</si>
  <si>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</si>
  <si>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</si>
  <si>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</si>
  <si>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</si>
  <si>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</si>
  <si>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</si>
  <si>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</si>
  <si>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</si>
  <si>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</si>
  <si>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</si>
  <si>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</si>
  <si>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</si>
  <si>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</si>
  <si>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</si>
  <si>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</si>
  <si>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</si>
  <si>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</si>
  <si>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</si>
  <si>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</si>
  <si>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</si>
  <si>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</si>
  <si>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</si>
  <si>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</si>
  <si>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</si>
  <si>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</si>
  <si>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</si>
  <si>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</si>
  <si>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</si>
  <si>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</si>
  <si>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</si>
  <si>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</si>
  <si>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INSE INGENIERIA Y SEGURIDAD S.A.S.</t>
  </si>
  <si>
    <t>900 748838</t>
  </si>
  <si>
    <t>CALLE  31 A  No. 15-36</t>
  </si>
  <si>
    <t>conta.inse@gmail.com</t>
  </si>
  <si>
    <t>602 3480998</t>
  </si>
  <si>
    <t>EDINSON CABEZAS</t>
  </si>
  <si>
    <t xml:space="preserve">           C O T I Z A C I O N</t>
  </si>
  <si>
    <t>10 DIAS</t>
  </si>
  <si>
    <t>CALI</t>
  </si>
  <si>
    <t xml:space="preserve">  RETEICA</t>
  </si>
  <si>
    <t>No. 7</t>
  </si>
  <si>
    <t xml:space="preserve">VALVULA DE BOLA AC/INOX 304  3/4 " </t>
  </si>
  <si>
    <t>NIPLE A / C  SCH 80  3/4 "  X  4 "</t>
  </si>
  <si>
    <t>FABRICACION</t>
  </si>
  <si>
    <t>TEE  HR  3/4 "  X  150  LBS ROSCADA</t>
  </si>
  <si>
    <t>RED BUSHING HR  2 "  X  1 1/2 " X  150  LBS</t>
  </si>
  <si>
    <t xml:space="preserve">VALVULA DE BOLA A / C 1/4 " </t>
  </si>
  <si>
    <t>MANOMETRO CARATULA 2 1/2 " 0 -300 PSI GLICER</t>
  </si>
  <si>
    <t>RED BUSHING HR  3/4 " X 1/4 "  X  150 LBS</t>
  </si>
  <si>
    <t>UNIVERSAL  HR  3/4 "  X  150  LBS</t>
  </si>
  <si>
    <t>MANOMETRO CARATULA 2 1/2 " 0 -30 PSI GLICER</t>
  </si>
  <si>
    <t>VALVULA DE BOLA AC/INOX 304  2 "</t>
  </si>
  <si>
    <t>RED BUSHING HR 2 "  X  1/4 "</t>
  </si>
  <si>
    <t>CODO HR  2 "  X  90 º  X  150 LBS ROSCADO</t>
  </si>
  <si>
    <t>UNION A / C  2 "  X  300  LBS</t>
  </si>
  <si>
    <t xml:space="preserve">TUBERIA  A / C  SCH 80  2 " </t>
  </si>
  <si>
    <t>METRO LINEAL</t>
  </si>
  <si>
    <t>UNIVERSAL HR  1 "  X  150 LBS ROSCADA</t>
  </si>
  <si>
    <t xml:space="preserve">TUBERIA  A / C  SCH 40  1 " </t>
  </si>
  <si>
    <t>CODO HR  1 "  X  90 º X 150 LBS ROSCADO</t>
  </si>
  <si>
    <t>TEE  HR  1 "  X  150  LBS  ROSCADA</t>
  </si>
  <si>
    <t>TEE  HR  2 "  X  150  LBS  ROSCADA</t>
  </si>
  <si>
    <t>ENTREGA EN TRES DIAS POSTERIOR A ORDEN DE COMPRA</t>
  </si>
  <si>
    <t>DOCE MILLONES DOSCIENTOS TREINTA Y UN MIL NOVE -</t>
  </si>
  <si>
    <t>CIENTOS CINCUENTA 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</si>
</sst>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.in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26" zoomScaleNormal="100" workbookViewId="0">
      <selection activeCell="J43" sqref="J4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48</v>
      </c>
      <c r="F9" s="30" t="s">
        <v>0</v>
      </c>
      <c r="H9" s="28">
        <v>45903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47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45912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37</v>
      </c>
      <c r="F16" s="79">
        <v>24800</v>
      </c>
      <c r="G16" s="75">
        <v>3</v>
      </c>
      <c r="H16" s="38">
        <f t="shared" ref="H16" si="0">G16*F16</f>
        <v>74400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53</v>
      </c>
      <c r="F17" s="79">
        <v>4500</v>
      </c>
      <c r="G17" s="75">
        <v>20</v>
      </c>
      <c r="H17" s="38">
        <f t="shared" ref="H17:H35" si="1">G17*F17</f>
        <v>90000</v>
      </c>
    </row>
    <row r="18" spans="1:8" ht="16.5" thickBot="1" x14ac:dyDescent="0.3">
      <c r="A18" s="75">
        <v>3</v>
      </c>
      <c r="B18" s="76" t="s">
        <v>54</v>
      </c>
      <c r="C18" s="77"/>
      <c r="D18" s="78"/>
      <c r="E18" s="75" t="s">
        <v>37</v>
      </c>
      <c r="F18" s="79">
        <v>3700</v>
      </c>
      <c r="G18" s="75">
        <v>5</v>
      </c>
      <c r="H18" s="38">
        <f t="shared" si="1"/>
        <v>18500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37</v>
      </c>
      <c r="F19" s="79">
        <v>7850</v>
      </c>
      <c r="G19" s="75">
        <v>1</v>
      </c>
      <c r="H19" s="38">
        <f t="shared" si="1"/>
        <v>7850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37</v>
      </c>
      <c r="F20" s="79">
        <v>24710</v>
      </c>
      <c r="G20" s="75">
        <v>2</v>
      </c>
      <c r="H20" s="38">
        <f t="shared" si="1"/>
        <v>49420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37</v>
      </c>
      <c r="F21" s="79">
        <v>45000</v>
      </c>
      <c r="G21" s="75">
        <v>1</v>
      </c>
      <c r="H21" s="38">
        <f t="shared" si="1"/>
        <v>45000</v>
      </c>
    </row>
    <row r="22" spans="1:8" ht="16.5" thickBot="1" x14ac:dyDescent="0.3">
      <c r="A22" s="75">
        <v>7</v>
      </c>
      <c r="B22" s="76" t="s">
        <v>58</v>
      </c>
      <c r="C22" s="77"/>
      <c r="D22" s="78"/>
      <c r="E22" s="75" t="s">
        <v>37</v>
      </c>
      <c r="F22" s="79">
        <v>1900</v>
      </c>
      <c r="G22" s="75">
        <v>2</v>
      </c>
      <c r="H22" s="38">
        <f t="shared" si="1"/>
        <v>3800</v>
      </c>
    </row>
    <row r="23" spans="1:8" ht="16.5" thickBot="1" x14ac:dyDescent="0.3">
      <c r="A23" s="75">
        <v>8</v>
      </c>
      <c r="B23" s="76" t="s">
        <v>59</v>
      </c>
      <c r="C23" s="77"/>
      <c r="D23" s="78"/>
      <c r="E23" s="75" t="s">
        <v>37</v>
      </c>
      <c r="F23" s="79">
        <v>12750</v>
      </c>
      <c r="G23" s="75">
        <v>2</v>
      </c>
      <c r="H23" s="38">
        <f t="shared" si="1"/>
        <v>25500</v>
      </c>
    </row>
    <row r="24" spans="1:8" ht="16.5" thickBot="1" x14ac:dyDescent="0.3">
      <c r="A24" s="75">
        <v>9</v>
      </c>
      <c r="B24" s="76" t="s">
        <v>60</v>
      </c>
      <c r="C24" s="77"/>
      <c r="D24" s="78"/>
      <c r="E24" s="75" t="s">
        <v>37</v>
      </c>
      <c r="F24" s="79">
        <v>45000</v>
      </c>
      <c r="G24" s="75">
        <v>2</v>
      </c>
      <c r="H24" s="38">
        <f t="shared" si="1"/>
        <v>90000</v>
      </c>
    </row>
    <row r="25" spans="1:8" ht="16.5" thickBot="1" x14ac:dyDescent="0.3">
      <c r="A25" s="75">
        <v>10</v>
      </c>
      <c r="B25" s="76" t="s">
        <v>61</v>
      </c>
      <c r="C25" s="77"/>
      <c r="D25" s="78"/>
      <c r="E25" s="75" t="s">
        <v>37</v>
      </c>
      <c r="F25" s="79">
        <v>93850</v>
      </c>
      <c r="G25" s="75">
        <v>1</v>
      </c>
      <c r="H25" s="38">
        <f t="shared" si="1"/>
        <v>93850</v>
      </c>
    </row>
    <row r="26" spans="1:8" ht="16.5" thickBot="1" x14ac:dyDescent="0.3">
      <c r="A26" s="75">
        <v>11</v>
      </c>
      <c r="B26" s="76" t="s">
        <v>62</v>
      </c>
      <c r="C26" s="77"/>
      <c r="D26" s="78"/>
      <c r="E26" s="75" t="s">
        <v>37</v>
      </c>
      <c r="F26" s="79">
        <v>10000</v>
      </c>
      <c r="G26" s="75">
        <v>1</v>
      </c>
      <c r="H26" s="38">
        <f t="shared" si="1"/>
        <v>10000</v>
      </c>
    </row>
    <row r="27" spans="1:8" ht="16.5" thickBot="1" x14ac:dyDescent="0.3">
      <c r="A27" s="75">
        <v>12</v>
      </c>
      <c r="B27" s="76" t="s">
        <v>63</v>
      </c>
      <c r="C27" s="77"/>
      <c r="D27" s="78"/>
      <c r="E27" s="75" t="s">
        <v>37</v>
      </c>
      <c r="F27" s="79">
        <v>13400</v>
      </c>
      <c r="G27" s="75">
        <v>16</v>
      </c>
      <c r="H27" s="38">
        <f t="shared" si="1"/>
        <v>214400</v>
      </c>
    </row>
    <row r="28" spans="1:8" ht="16.5" thickBot="1" x14ac:dyDescent="0.3">
      <c r="A28" s="75">
        <v>13</v>
      </c>
      <c r="B28" s="76" t="s">
        <v>64</v>
      </c>
      <c r="C28" s="77"/>
      <c r="D28" s="78"/>
      <c r="E28" s="75" t="s">
        <v>37</v>
      </c>
      <c r="F28" s="79">
        <v>11800</v>
      </c>
      <c r="G28" s="75">
        <v>12</v>
      </c>
      <c r="H28" s="38">
        <f t="shared" si="1"/>
        <v>141600</v>
      </c>
    </row>
    <row r="29" spans="1:8" ht="16.5" thickBot="1" x14ac:dyDescent="0.3">
      <c r="A29" s="75">
        <v>14</v>
      </c>
      <c r="B29" s="76" t="s">
        <v>65</v>
      </c>
      <c r="C29" s="77"/>
      <c r="D29" s="78"/>
      <c r="E29" s="75" t="s">
        <v>66</v>
      </c>
      <c r="F29" s="79">
        <v>57752</v>
      </c>
      <c r="G29" s="75">
        <v>150</v>
      </c>
      <c r="H29" s="38">
        <f t="shared" si="1"/>
        <v>8662800</v>
      </c>
    </row>
    <row r="30" spans="1:8" ht="16.5" thickBot="1" x14ac:dyDescent="0.3">
      <c r="A30" s="75">
        <v>15</v>
      </c>
      <c r="B30" s="76" t="s">
        <v>51</v>
      </c>
      <c r="C30" s="77"/>
      <c r="D30" s="78"/>
      <c r="E30" s="75" t="s">
        <v>37</v>
      </c>
      <c r="F30" s="79">
        <v>24800</v>
      </c>
      <c r="G30" s="75">
        <v>20</v>
      </c>
      <c r="H30" s="38">
        <f t="shared" si="1"/>
        <v>496000</v>
      </c>
    </row>
    <row r="31" spans="1:8" ht="16.5" thickBot="1" x14ac:dyDescent="0.3">
      <c r="A31" s="75">
        <v>16</v>
      </c>
      <c r="B31" s="76" t="s">
        <v>67</v>
      </c>
      <c r="C31" s="77"/>
      <c r="D31" s="78"/>
      <c r="E31" s="75" t="s">
        <v>37</v>
      </c>
      <c r="F31" s="79">
        <v>14750</v>
      </c>
      <c r="G31" s="75">
        <v>4</v>
      </c>
      <c r="H31" s="38">
        <f t="shared" si="1"/>
        <v>59000</v>
      </c>
    </row>
    <row r="32" spans="1:8" ht="16.5" thickBot="1" x14ac:dyDescent="0.3">
      <c r="A32" s="75">
        <v>17</v>
      </c>
      <c r="B32" s="76" t="s">
        <v>68</v>
      </c>
      <c r="C32" s="77"/>
      <c r="D32" s="78"/>
      <c r="E32" s="75" t="s">
        <v>66</v>
      </c>
      <c r="F32" s="79">
        <v>18612</v>
      </c>
      <c r="G32" s="75">
        <v>18</v>
      </c>
      <c r="H32" s="38">
        <f t="shared" si="1"/>
        <v>335016</v>
      </c>
    </row>
    <row r="33" spans="1:8" ht="16.5" thickBot="1" x14ac:dyDescent="0.3">
      <c r="A33" s="75">
        <v>18</v>
      </c>
      <c r="B33" s="76" t="s">
        <v>69</v>
      </c>
      <c r="C33" s="77"/>
      <c r="D33" s="78"/>
      <c r="E33" s="75" t="s">
        <v>37</v>
      </c>
      <c r="F33" s="79">
        <v>4650</v>
      </c>
      <c r="G33" s="75">
        <v>4</v>
      </c>
      <c r="H33" s="38">
        <f t="shared" si="1"/>
        <v>18600</v>
      </c>
    </row>
    <row r="34" spans="1:8" ht="16.5" thickBot="1" x14ac:dyDescent="0.3">
      <c r="A34" s="75">
        <v>19</v>
      </c>
      <c r="B34" s="76" t="s">
        <v>70</v>
      </c>
      <c r="C34" s="77"/>
      <c r="D34" s="78"/>
      <c r="E34" s="75" t="s">
        <v>37</v>
      </c>
      <c r="F34" s="79">
        <v>5850</v>
      </c>
      <c r="G34" s="75">
        <v>20</v>
      </c>
      <c r="H34" s="38">
        <f t="shared" si="1"/>
        <v>117000</v>
      </c>
    </row>
    <row r="35" spans="1:8" ht="16.5" thickBot="1" x14ac:dyDescent="0.3">
      <c r="A35" s="75">
        <v>20</v>
      </c>
      <c r="B35" s="76" t="s">
        <v>71</v>
      </c>
      <c r="C35" s="77"/>
      <c r="D35" s="78"/>
      <c r="E35" s="75" t="s">
        <v>37</v>
      </c>
      <c r="F35" s="79">
        <v>16650</v>
      </c>
      <c r="G35" s="75">
        <v>1</v>
      </c>
      <c r="H35" s="38">
        <f t="shared" si="1"/>
        <v>16650</v>
      </c>
    </row>
    <row r="36" spans="1:8" ht="19.5" customHeight="1" thickBot="1" x14ac:dyDescent="0.3">
      <c r="A36" s="51"/>
      <c r="B36" s="45"/>
      <c r="C36" s="42"/>
      <c r="D36" s="52"/>
      <c r="E36" s="53"/>
      <c r="F36" s="53"/>
      <c r="G36" s="53"/>
    </row>
    <row r="37" spans="1:8" ht="19.5" customHeight="1" thickBot="1" x14ac:dyDescent="0.35">
      <c r="A37" s="50" t="s">
        <v>23</v>
      </c>
      <c r="B37" s="14" t="s">
        <v>73</v>
      </c>
      <c r="D37" s="15"/>
      <c r="E37" s="54"/>
      <c r="F37" s="37" t="s">
        <v>38</v>
      </c>
      <c r="G37" s="6"/>
      <c r="H37" s="7"/>
    </row>
    <row r="38" spans="1:8" ht="19.5" customHeight="1" thickBot="1" x14ac:dyDescent="0.3">
      <c r="A38" s="39"/>
      <c r="B38" s="16" t="s">
        <v>74</v>
      </c>
      <c r="C38" s="4"/>
      <c r="D38" s="4"/>
      <c r="E38" s="57" t="s">
        <v>24</v>
      </c>
      <c r="F38" s="58"/>
      <c r="G38" s="46"/>
      <c r="H38" s="55">
        <f>SUM(H16:H35)</f>
        <v>10569386</v>
      </c>
    </row>
    <row r="39" spans="1:8" ht="19.5" customHeight="1" x14ac:dyDescent="0.25">
      <c r="A39" s="24" t="s">
        <v>25</v>
      </c>
      <c r="B39" s="12"/>
      <c r="C39" s="12"/>
      <c r="D39" s="12"/>
      <c r="E39" s="59" t="s">
        <v>29</v>
      </c>
      <c r="F39" s="23"/>
      <c r="G39" s="60">
        <v>0.19</v>
      </c>
      <c r="H39" s="40">
        <f>H38*G39</f>
        <v>2008183.34</v>
      </c>
    </row>
    <row r="40" spans="1:8" ht="19.5" customHeight="1" x14ac:dyDescent="0.25">
      <c r="A40" s="14" t="s">
        <v>30</v>
      </c>
      <c r="E40" s="61" t="s">
        <v>26</v>
      </c>
      <c r="G40" s="64">
        <v>2.5000000000000001E-2</v>
      </c>
      <c r="H40" s="56">
        <f>H38*G40</f>
        <v>264234.65000000002</v>
      </c>
    </row>
    <row r="41" spans="1:8" ht="15.75" x14ac:dyDescent="0.25">
      <c r="A41" s="14" t="s">
        <v>72</v>
      </c>
      <c r="E41" s="59" t="s">
        <v>49</v>
      </c>
      <c r="F41" s="33"/>
      <c r="G41" s="80">
        <v>7.7000000000000002E-3</v>
      </c>
      <c r="H41" s="56">
        <f>H38*G41</f>
        <v>81384.272200000007</v>
      </c>
    </row>
    <row r="42" spans="1:8" ht="16.5" thickBot="1" x14ac:dyDescent="0.3">
      <c r="A42" s="14" t="s">
        <v>32</v>
      </c>
      <c r="E42" s="62" t="s">
        <v>27</v>
      </c>
      <c r="F42" s="63"/>
      <c r="G42" s="48"/>
      <c r="H42" s="17"/>
    </row>
    <row r="43" spans="1:8" ht="19.5" thickBot="1" x14ac:dyDescent="0.35">
      <c r="A43" s="16"/>
      <c r="B43" s="4"/>
      <c r="C43" s="4"/>
      <c r="D43" s="17"/>
      <c r="F43" s="3"/>
      <c r="G43" s="34" t="s">
        <v>28</v>
      </c>
      <c r="H43" s="36">
        <f>H38+H39-H40-H41</f>
        <v>12231950.4178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39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F7B1ACE9-2238-4894-99AF-B1200B647D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2025-08-15T16:23:22Z</cp:lastPrinted>
  <dcterms:created xsi:type="dcterms:W3CDTF">2018-11-15T17:29:02Z</dcterms:created>
  <dcterms:modified xsi:type="dcterms:W3CDTF">2025-09-03T18:54:37Z</dcterms:modified>
</cp:coreProperties>
</file>