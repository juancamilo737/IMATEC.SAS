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3A22DEC4-8123-4BD6-9A4A-269A6D4DAE4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RTFRIG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/>
  <c r="H21" i="1" l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<sst xmlns="http://schemas.openxmlformats.org/spreadsheetml/2006/main" count="56" uniqueCount="55">
  <si>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</si>
  <si>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</si>
  <si>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</si>
  <si>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</si>
  <si>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</si>
  <si>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</si>
  <si>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</si>
  <si>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</si>
  <si>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</si>
  <si>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</si>
  <si>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</si>
  <si>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</si>
  <si>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</si>
  <si>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</si>
  <si>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</si>
  <si>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</si>
  <si>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</si>
  <si>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</si>
  <si>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</si>
  <si>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</si>
  <si>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</si>
  <si>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</si>
  <si>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</si>
  <si>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</si>
  <si>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</si>
  <si>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</si>
  <si>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</si>
  <si>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</si>
  <si>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</si>
  <si>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</si>
  <si>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</si>
  <si>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</si>
  <si>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</si>
  <si>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</si>
  <si>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</si>
  <si>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</si>
  <si>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</si>
  <si>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</si>
  <si>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</si>
  <si>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</si>
  <si>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PAULA CATALINA LEZAMA RAMIREZ</t>
  </si>
  <si>
    <t>1130 683587</t>
  </si>
  <si>
    <t>CRA 3 Nte.  No. 39N-19</t>
  </si>
  <si>
    <t>CALI</t>
  </si>
  <si>
    <t>artfrigorefrigeracion@gmail.com</t>
  </si>
  <si>
    <t xml:space="preserve">ARTFRIGO </t>
  </si>
  <si>
    <t>313 5709424</t>
  </si>
  <si>
    <t>EDINSON CABEZAS</t>
  </si>
  <si>
    <t>NIPLE AC/INOX  1 "  X  2 "</t>
  </si>
  <si>
    <t>ADAPTADOR HEMBRA PVC  1 "</t>
  </si>
  <si>
    <t xml:space="preserve">              R E M I S I O N </t>
  </si>
  <si>
    <t>No. 3</t>
  </si>
  <si>
    <t>ENTREGA  INMEDIATA</t>
  </si>
  <si>
    <t>CIENTO CUARENTA Y CUATRO MIL NOVECIENTOS CUA-</t>
  </si>
  <si>
    <t>RENTA Y DOS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</si>
</sst>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4" xfId="0" applyFont="1" applyBorder="1" applyAlignment="1">
      <alignment horizontal="center"/>
    </xf>
    <xf numFmtId="0" fontId="8" fillId="0" borderId="34" xfId="0" applyFont="1" applyBorder="1"/>
    <xf numFmtId="0" fontId="8" fillId="0" borderId="4" xfId="0" applyFont="1" applyBorder="1"/>
    <xf numFmtId="0" fontId="8" fillId="0" borderId="18" xfId="0" applyFont="1" applyBorder="1"/>
    <xf numFmtId="0" fontId="1" fillId="0" borderId="34" xfId="0" applyFont="1" applyBorder="1" applyAlignment="1">
      <alignment horizontal="center"/>
    </xf>
    <xf numFmtId="42" fontId="11" fillId="0" borderId="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rtfrigorefrigeraci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zoomScaleNormal="100" workbookViewId="0">
      <selection activeCell="J11" sqref="J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3"/>
      <c r="H6" s="44"/>
    </row>
    <row r="7" spans="1:8" ht="19.5" thickBot="1" x14ac:dyDescent="0.35">
      <c r="A7" s="20" t="s">
        <v>14</v>
      </c>
      <c r="B7" s="12"/>
      <c r="C7" s="65" t="s">
        <v>40</v>
      </c>
      <c r="D7" s="12"/>
      <c r="E7" s="13"/>
      <c r="F7" s="37"/>
      <c r="G7" s="18"/>
      <c r="H7" s="19" t="s">
        <v>51</v>
      </c>
    </row>
    <row r="8" spans="1:8" ht="18.75" x14ac:dyDescent="0.3">
      <c r="A8" s="21" t="s">
        <v>8</v>
      </c>
      <c r="C8" s="67" t="s">
        <v>41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42</v>
      </c>
      <c r="D9" s="23"/>
      <c r="E9" s="70" t="s">
        <v>43</v>
      </c>
      <c r="F9" s="30" t="s">
        <v>0</v>
      </c>
      <c r="H9" s="28">
        <v>45812</v>
      </c>
    </row>
    <row r="10" spans="1:8" ht="18.75" x14ac:dyDescent="0.3">
      <c r="A10" s="21" t="s">
        <v>13</v>
      </c>
      <c r="C10" s="71" t="s">
        <v>44</v>
      </c>
      <c r="D10" s="66"/>
      <c r="E10" s="47"/>
      <c r="F10" s="30" t="s">
        <v>15</v>
      </c>
      <c r="H10" s="29"/>
    </row>
    <row r="11" spans="1:8" ht="18.75" x14ac:dyDescent="0.3">
      <c r="A11" s="21" t="s">
        <v>10</v>
      </c>
      <c r="C11" s="71" t="s">
        <v>45</v>
      </c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46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47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48</v>
      </c>
      <c r="C16" s="77"/>
      <c r="D16" s="78"/>
      <c r="E16" s="79" t="s">
        <v>39</v>
      </c>
      <c r="F16" s="80">
        <v>8400</v>
      </c>
      <c r="G16" s="75">
        <v>12</v>
      </c>
      <c r="H16" s="38">
        <f t="shared" ref="H16:H17" si="0">G16*F16</f>
        <v>100800</v>
      </c>
    </row>
    <row r="17" spans="1:8" ht="16.5" thickBot="1" x14ac:dyDescent="0.3">
      <c r="A17" s="75">
        <v>2</v>
      </c>
      <c r="B17" s="76" t="s">
        <v>49</v>
      </c>
      <c r="C17" s="77"/>
      <c r="D17" s="78"/>
      <c r="E17" s="79" t="s">
        <v>39</v>
      </c>
      <c r="F17" s="80">
        <v>1750</v>
      </c>
      <c r="G17" s="75">
        <v>12</v>
      </c>
      <c r="H17" s="38">
        <f t="shared" si="0"/>
        <v>21000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53</v>
      </c>
      <c r="D19" s="15"/>
      <c r="E19" s="54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54</v>
      </c>
      <c r="C20" s="4"/>
      <c r="D20" s="4"/>
      <c r="E20" s="57" t="s">
        <v>24</v>
      </c>
      <c r="F20" s="58"/>
      <c r="G20" s="46"/>
      <c r="H20" s="55">
        <f>SUM(H16:H19)</f>
        <v>121800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30</v>
      </c>
      <c r="F21" s="23"/>
      <c r="G21" s="60">
        <v>0.19</v>
      </c>
      <c r="H21" s="40">
        <f>H20*G21</f>
        <v>23142</v>
      </c>
    </row>
    <row r="22" spans="1:8" ht="19.5" customHeight="1" x14ac:dyDescent="0.25">
      <c r="A22" s="14" t="s">
        <v>31</v>
      </c>
      <c r="E22" s="61" t="s">
        <v>26</v>
      </c>
      <c r="G22" s="64">
        <v>2.5000000000000001E-2</v>
      </c>
      <c r="H22" s="56"/>
    </row>
    <row r="23" spans="1:8" ht="15.75" x14ac:dyDescent="0.25">
      <c r="A23" s="14" t="s">
        <v>52</v>
      </c>
      <c r="E23" s="14"/>
      <c r="F23" s="33"/>
      <c r="G23" s="47"/>
      <c r="H23" s="15"/>
    </row>
    <row r="24" spans="1:8" ht="16.5" thickBot="1" x14ac:dyDescent="0.3">
      <c r="A24" s="14" t="s">
        <v>33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144942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34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8547933C-621A-41D6-8C64-C328B117E8F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ARTFRIGO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2025-06-04T21:52:41Z</cp:lastPrinted>
  <dcterms:created xsi:type="dcterms:W3CDTF">2018-11-15T17:29:02Z</dcterms:created>
  <dcterms:modified xsi:type="dcterms:W3CDTF">2025-06-04T22:24:25Z</dcterms:modified>
</cp:coreProperties>
</file>