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8EBE555-3A9C-4221-9DF6-A2354DE126D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G&amp;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29" i="1"/>
  <c r="H26" i="1"/>
  <c r="H25" i="1"/>
  <c r="H24" i="1"/>
  <c r="H23" i="1"/>
  <c r="H22" i="1"/>
  <c r="H21" i="1"/>
  <c r="H20" i="1"/>
  <c r="H19" i="1"/>
  <c r="H18" i="1"/>
  <c r="H17" i="1"/>
  <c r="H16" i="1"/>
  <c r="H31" i="1" s="1"/>
  <c r="H30" i="1" l="1"/>
</calcChain>
</file>

<file path=xl/sharedStrings.xml><?xml version="1.0" encoding="utf-8"?>
<sst xmlns="http://schemas.openxmlformats.org/spreadsheetml/2006/main" count="74" uniqueCount="66">
  <si>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</si>
  <si>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</si>
  <si>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</si>
  <si>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</si>
  <si>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</si>
  <si>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</si>
  <si>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</si>
  <si>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</si>
  <si>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</si>
  <si>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</si>
  <si>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</si>
  <si>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</si>
  <si>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</si>
  <si>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</si>
  <si>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</si>
  <si>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</si>
  <si>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</si>
  <si>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</si>
  <si>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</si>
  <si>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</si>
  <si>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</si>
  <si>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</si>
  <si>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</si>
  <si>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</si>
  <si>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</si>
  <si>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</si>
  <si>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</si>
  <si>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</si>
  <si>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</si>
  <si>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</si>
  <si>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</si>
  <si>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</si>
  <si>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</si>
  <si>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</si>
  <si>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</si>
  <si>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</si>
  <si>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</si>
  <si>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</si>
  <si>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</si>
  <si>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</si>
  <si>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 xml:space="preserve">SERVICIOS E INGENIERIA G&amp;M S.A.S. </t>
  </si>
  <si>
    <t>901 834582</t>
  </si>
  <si>
    <t>CALLE 44  No. 42-188</t>
  </si>
  <si>
    <t>PALMIRA</t>
  </si>
  <si>
    <t>serviciosingenieriagm@gmail.com</t>
  </si>
  <si>
    <t>317 3837697</t>
  </si>
  <si>
    <t>EDINSON CABEZAS</t>
  </si>
  <si>
    <t>L I Q U I D A C I O N</t>
  </si>
  <si>
    <t>ACCESORIO</t>
  </si>
  <si>
    <t>FABRICACION</t>
  </si>
  <si>
    <t>No. 4</t>
  </si>
  <si>
    <t>TUBERIA  AC/INOX 304  SCH 40  1 " X 6 MTS</t>
  </si>
  <si>
    <t>TUBERIA  AC/INOX 304  SCH 40  2 " X 6 MTS</t>
  </si>
  <si>
    <t>TUBERIA  AC/INOX 304  SCH 40  6 " X 6 MTS</t>
  </si>
  <si>
    <t>TUBO</t>
  </si>
  <si>
    <t>STUB END AC/INOX  304 SCH 40  6 "</t>
  </si>
  <si>
    <t>BRIDA AC/INOX  304  SLIP ON 6 "  X  150 LBS</t>
  </si>
  <si>
    <t>BRIDA AC/INOX  304  L J  6 "  X  150 LBS</t>
  </si>
  <si>
    <t>BRIDA AC/INOX  304  SLIP ON  2 "  X  150 LBS</t>
  </si>
  <si>
    <t>VALVULA DE BOLA  AC/INOX 316  2 " ROSCADA</t>
  </si>
  <si>
    <t>BRIDA A / C  SLIP ON  6 "  X  150  LBS</t>
  </si>
  <si>
    <t>BRIDA A / C  SLIP ON  2 "  X  150  LBS</t>
  </si>
  <si>
    <t>BRIDA A / C  L J  6 "  X  150  LBS</t>
  </si>
  <si>
    <t>DIECISEIS MILLONES CUATROCIENTOS OCHENTA Y CUA-</t>
  </si>
  <si>
    <t>TRO MIL CUATROCIENTOS CINCUENTA Y NUEVE PESOS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</si>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</sst>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ciosingenieriag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zoomScaleNormal="100" workbookViewId="0">
      <selection activeCell="C36" sqref="C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66"/>
      <c r="E9" s="70" t="s">
        <v>43</v>
      </c>
      <c r="F9" s="30" t="s">
        <v>0</v>
      </c>
      <c r="H9" s="28">
        <v>45804</v>
      </c>
    </row>
    <row r="10" spans="1:8" ht="18.75" x14ac:dyDescent="0.3">
      <c r="A10" s="21" t="s">
        <v>13</v>
      </c>
      <c r="C10" s="71" t="s">
        <v>44</v>
      </c>
      <c r="D10" s="65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5"/>
      <c r="E11" s="47"/>
      <c r="F11" s="30" t="s">
        <v>16</v>
      </c>
      <c r="G11" s="30"/>
      <c r="H11" s="28">
        <v>45813</v>
      </c>
    </row>
    <row r="12" spans="1:8" ht="18.75" x14ac:dyDescent="0.3">
      <c r="A12" s="21" t="s">
        <v>11</v>
      </c>
      <c r="C12" s="72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36</v>
      </c>
      <c r="B15" s="8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54</v>
      </c>
      <c r="F16" s="79">
        <v>298350</v>
      </c>
      <c r="G16" s="75">
        <v>10</v>
      </c>
      <c r="H16" s="38">
        <f t="shared" ref="H16" si="0">G16*F16</f>
        <v>2983500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54</v>
      </c>
      <c r="F17" s="79">
        <v>665550</v>
      </c>
      <c r="G17" s="75">
        <v>1</v>
      </c>
      <c r="H17" s="38">
        <f t="shared" ref="H17:H24" si="1">G17*F17</f>
        <v>665550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54</v>
      </c>
      <c r="F18" s="79">
        <v>3321000</v>
      </c>
      <c r="G18" s="75">
        <v>2</v>
      </c>
      <c r="H18" s="38">
        <f t="shared" si="1"/>
        <v>6642000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49</v>
      </c>
      <c r="F19" s="79">
        <v>145000</v>
      </c>
      <c r="G19" s="75">
        <v>1</v>
      </c>
      <c r="H19" s="38">
        <f t="shared" si="1"/>
        <v>145000</v>
      </c>
    </row>
    <row r="20" spans="1:8" ht="16.5" thickBot="1" x14ac:dyDescent="0.3">
      <c r="A20" s="75">
        <v>5</v>
      </c>
      <c r="B20" s="76" t="s">
        <v>56</v>
      </c>
      <c r="C20" s="77"/>
      <c r="D20" s="78"/>
      <c r="E20" s="75" t="s">
        <v>48</v>
      </c>
      <c r="F20" s="79">
        <v>232200</v>
      </c>
      <c r="G20" s="75">
        <v>8</v>
      </c>
      <c r="H20" s="38">
        <f t="shared" si="1"/>
        <v>1857600</v>
      </c>
    </row>
    <row r="21" spans="1:8" ht="16.5" thickBot="1" x14ac:dyDescent="0.3">
      <c r="A21" s="75">
        <v>6</v>
      </c>
      <c r="B21" s="76" t="s">
        <v>57</v>
      </c>
      <c r="C21" s="77"/>
      <c r="D21" s="78"/>
      <c r="E21" s="75" t="s">
        <v>48</v>
      </c>
      <c r="F21" s="79">
        <v>245000</v>
      </c>
      <c r="G21" s="75">
        <v>1</v>
      </c>
      <c r="H21" s="38">
        <f t="shared" si="1"/>
        <v>245000</v>
      </c>
    </row>
    <row r="22" spans="1:8" ht="16.5" thickBot="1" x14ac:dyDescent="0.3">
      <c r="A22" s="75">
        <v>7</v>
      </c>
      <c r="B22" s="76" t="s">
        <v>58</v>
      </c>
      <c r="C22" s="77"/>
      <c r="D22" s="78"/>
      <c r="E22" s="75" t="s">
        <v>48</v>
      </c>
      <c r="F22" s="79">
        <v>63600</v>
      </c>
      <c r="G22" s="75">
        <v>6</v>
      </c>
      <c r="H22" s="38">
        <f t="shared" si="1"/>
        <v>381600</v>
      </c>
    </row>
    <row r="23" spans="1:8" ht="16.5" thickBot="1" x14ac:dyDescent="0.3">
      <c r="A23" s="75">
        <v>8</v>
      </c>
      <c r="B23" s="76" t="s">
        <v>59</v>
      </c>
      <c r="C23" s="77"/>
      <c r="D23" s="78"/>
      <c r="E23" s="75" t="s">
        <v>48</v>
      </c>
      <c r="F23" s="79">
        <v>180500</v>
      </c>
      <c r="G23" s="75">
        <v>2</v>
      </c>
      <c r="H23" s="38">
        <f t="shared" si="1"/>
        <v>361000</v>
      </c>
    </row>
    <row r="24" spans="1:8" ht="16.5" thickBot="1" x14ac:dyDescent="0.3">
      <c r="A24" s="75">
        <v>9</v>
      </c>
      <c r="B24" s="76" t="s">
        <v>60</v>
      </c>
      <c r="C24" s="77"/>
      <c r="D24" s="78"/>
      <c r="E24" s="75" t="s">
        <v>48</v>
      </c>
      <c r="F24" s="79">
        <v>67500</v>
      </c>
      <c r="G24" s="75">
        <v>8</v>
      </c>
      <c r="H24" s="38">
        <f t="shared" si="1"/>
        <v>540000</v>
      </c>
    </row>
    <row r="25" spans="1:8" ht="16.5" thickBot="1" x14ac:dyDescent="0.3">
      <c r="A25" s="75">
        <v>10</v>
      </c>
      <c r="B25" s="76" t="s">
        <v>61</v>
      </c>
      <c r="C25" s="77"/>
      <c r="D25" s="78"/>
      <c r="E25" s="75" t="s">
        <v>48</v>
      </c>
      <c r="F25" s="79">
        <v>41000</v>
      </c>
      <c r="G25" s="75">
        <v>6</v>
      </c>
      <c r="H25" s="38">
        <f t="shared" ref="H25:H26" si="2">G25*F25</f>
        <v>246000</v>
      </c>
    </row>
    <row r="26" spans="1:8" ht="16.5" thickBot="1" x14ac:dyDescent="0.3">
      <c r="A26" s="75">
        <v>11</v>
      </c>
      <c r="B26" s="76" t="s">
        <v>62</v>
      </c>
      <c r="C26" s="77"/>
      <c r="D26" s="78"/>
      <c r="E26" s="75" t="s">
        <v>48</v>
      </c>
      <c r="F26" s="79">
        <v>82500</v>
      </c>
      <c r="G26" s="75">
        <v>1</v>
      </c>
      <c r="H26" s="38">
        <f t="shared" si="2"/>
        <v>82500</v>
      </c>
    </row>
    <row r="27" spans="1:8" ht="19.5" customHeight="1" thickBot="1" x14ac:dyDescent="0.3">
      <c r="A27" s="50"/>
      <c r="B27" s="45"/>
      <c r="C27" s="42"/>
      <c r="D27" s="51"/>
      <c r="E27" s="52"/>
      <c r="F27" s="52"/>
      <c r="G27" s="52"/>
    </row>
    <row r="28" spans="1:8" ht="19.5" customHeight="1" thickBot="1" x14ac:dyDescent="0.35">
      <c r="A28" s="49" t="s">
        <v>23</v>
      </c>
      <c r="B28" s="14" t="s">
        <v>63</v>
      </c>
      <c r="D28" s="15"/>
      <c r="E28" s="53"/>
      <c r="F28" s="37" t="s">
        <v>47</v>
      </c>
      <c r="G28" s="6"/>
      <c r="H28" s="7"/>
    </row>
    <row r="29" spans="1:8" ht="19.5" customHeight="1" thickBot="1" x14ac:dyDescent="0.3">
      <c r="A29" s="39"/>
      <c r="B29" s="16" t="s">
        <v>64</v>
      </c>
      <c r="C29" s="4"/>
      <c r="D29" s="4"/>
      <c r="E29" s="56" t="s">
        <v>24</v>
      </c>
      <c r="F29" s="57"/>
      <c r="G29" s="46"/>
      <c r="H29" s="54">
        <f>SUM(H16:H26)</f>
        <v>14149750</v>
      </c>
    </row>
    <row r="30" spans="1:8" ht="19.5" customHeight="1" x14ac:dyDescent="0.25">
      <c r="A30" s="24" t="s">
        <v>25</v>
      </c>
      <c r="B30" s="12"/>
      <c r="C30" s="12"/>
      <c r="D30" s="12"/>
      <c r="E30" s="58" t="s">
        <v>29</v>
      </c>
      <c r="F30" s="23"/>
      <c r="G30" s="59">
        <v>0.19</v>
      </c>
      <c r="H30" s="40">
        <f>H29*G30</f>
        <v>2688452.5</v>
      </c>
    </row>
    <row r="31" spans="1:8" ht="19.5" customHeight="1" x14ac:dyDescent="0.25">
      <c r="A31" s="14" t="s">
        <v>30</v>
      </c>
      <c r="E31" s="60" t="s">
        <v>26</v>
      </c>
      <c r="G31" s="63">
        <v>2.5000000000000001E-2</v>
      </c>
      <c r="H31" s="55">
        <f>H29*G31</f>
        <v>353743.75</v>
      </c>
    </row>
    <row r="32" spans="1:8" ht="15.75" x14ac:dyDescent="0.25">
      <c r="A32" s="14" t="s">
        <v>65</v>
      </c>
      <c r="E32" s="14"/>
      <c r="F32" s="33"/>
      <c r="G32" s="47"/>
      <c r="H32" s="15"/>
    </row>
    <row r="33" spans="1:8" ht="16.5" thickBot="1" x14ac:dyDescent="0.3">
      <c r="A33" s="14" t="s">
        <v>33</v>
      </c>
      <c r="E33" s="61" t="s">
        <v>27</v>
      </c>
      <c r="F33" s="62"/>
      <c r="G33" s="48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</f>
        <v>16484458.75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34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960ED5D1-ADF4-45AC-B8DE-6DEA507B4C4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2024-11-06T22:06:22Z</cp:lastPrinted>
  <dcterms:created xsi:type="dcterms:W3CDTF">2018-11-15T17:29:02Z</dcterms:created>
  <dcterms:modified xsi:type="dcterms:W3CDTF">2025-05-27T15:27:33Z</dcterms:modified>
</cp:coreProperties>
</file>