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E:\USB PLATEADA\COTIZACIONES COMERCIALIZADORA ACTUALIZADA\"/>
    </mc:Choice>
  </mc:AlternateContent>
  <xr:revisionPtr revIDLastSave="0" documentId="13_ncr:1_{78AFA71B-5000-4C64-8108-9658605F826F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AYC SOLUCIONE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9" i="1" l="1"/>
  <c r="H26" i="1"/>
  <c r="H25" i="1"/>
  <c r="H24" i="1"/>
  <c r="H23" i="1"/>
  <c r="H22" i="1"/>
  <c r="H21" i="1"/>
  <c r="H20" i="1"/>
  <c r="H19" i="1"/>
  <c r="H18" i="1"/>
  <c r="H17" i="1"/>
  <c r="H16" i="1"/>
  <c r="H30" i="1" l="1"/>
  <c r="H34" i="1" s="1"/>
</calcChain>
</file>

<file path=xl/sharedStrings.xml><?xml version="1.0" encoding="utf-8"?>
<sst xmlns="http://schemas.openxmlformats.org/spreadsheetml/2006/main" count="80" uniqueCount="66">
  <si>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</si>
  <si>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</si>
  <si>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</si>
  <si>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</si>
  <si>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</si>
  <si>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</si>
  <si>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</si>
  <si>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</si>
  <si>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</si>
  <si>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</si>
  <si>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</si>
  <si>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</si>
  <si>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</si>
  <si>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</si>
  <si>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</si>
  <si>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</si>
  <si>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</si>
  <si>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</si>
  <si>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</si>
  <si>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</si>
  <si>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</si>
  <si>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</si>
  <si>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</si>
  <si>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</si>
  <si>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</si>
  <si>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</si>
  <si>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</si>
  <si>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</si>
  <si>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</si>
  <si>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</si>
  <si>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>FORMA DE PAGO : CONTADO</t>
  </si>
  <si>
    <t xml:space="preserve">                                   JAVIER LOZANO TAMAYO C.C. 16´654.252</t>
  </si>
  <si>
    <t>ENTREGA EN LA CIUDAD DE CALI</t>
  </si>
  <si>
    <t xml:space="preserve">  CALLE  33B  No. 17C - 70  2o. PISO               B/  LA FLORESTA             -   CALI    -                                   CEL.     321 7834969</t>
  </si>
  <si>
    <t>CONTACTOS   310 8306118    319 7174165    321 7834969</t>
  </si>
  <si>
    <t>ITEM</t>
  </si>
  <si>
    <t>ENTREGA INMEDIATA</t>
  </si>
  <si>
    <t>FERRETERIA INDUSTRIAL</t>
  </si>
  <si>
    <t xml:space="preserve">                       INGENIERIA , MONTAJES  Y  ASISTENCIA  TECNICA  S A S</t>
  </si>
  <si>
    <t>AYC SOLUCIONES HIDROELECTRICAS SAS</t>
  </si>
  <si>
    <t>901 269341</t>
  </si>
  <si>
    <t>CALLE 23 No. 28-11</t>
  </si>
  <si>
    <t>CALI</t>
  </si>
  <si>
    <t>aycsolucioneshidroelectricas@gmail.com</t>
  </si>
  <si>
    <t>602 2830205</t>
  </si>
  <si>
    <t>ACCESORIO</t>
  </si>
  <si>
    <t>LUIS A. BENAVIDES</t>
  </si>
  <si>
    <t>L I Q U I D A C I O N</t>
  </si>
  <si>
    <t>FABRICACION</t>
  </si>
  <si>
    <t xml:space="preserve">           C O T I Z A C I O N</t>
  </si>
  <si>
    <t>No. 7</t>
  </si>
  <si>
    <t>10 DIAS</t>
  </si>
  <si>
    <t>TEE  AC/INOX 304  1 1/4 "  X  150  LBS</t>
  </si>
  <si>
    <t xml:space="preserve">CODO  AC/INOX 304  1 1/4 "  X  45 º </t>
  </si>
  <si>
    <t xml:space="preserve">UNION HD RANURADA 1 1/4 " </t>
  </si>
  <si>
    <t>COPA  HD  RANURADA  2 "  X  1 1/4 "</t>
  </si>
  <si>
    <t>VALVULA P/D BRONCE P/D  1 1/4 "</t>
  </si>
  <si>
    <t>NIPLE  AC/INOX 304 1 1/4 "  X</t>
  </si>
  <si>
    <t>2 "</t>
  </si>
  <si>
    <t>2 " ROS/RAN</t>
  </si>
  <si>
    <t>4 " ROS/RAN</t>
  </si>
  <si>
    <t>84  CMTS</t>
  </si>
  <si>
    <t>110 CMTS</t>
  </si>
  <si>
    <t>60 CMTS</t>
  </si>
  <si>
    <t>NOVECIENTOS CUARENTA Y SEIS MIL CUATROCIENTOS</t>
  </si>
  <si>
    <t>SETENTA Y OCHO PESOS MDA / CTE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</si>
</sst>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82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7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0" fillId="0" borderId="20" xfId="0" applyBorder="1"/>
    <xf numFmtId="0" fontId="0" fillId="0" borderId="23" xfId="0" applyBorder="1"/>
    <xf numFmtId="0" fontId="0" fillId="0" borderId="26" xfId="0" applyBorder="1"/>
    <xf numFmtId="0" fontId="1" fillId="0" borderId="15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8" fillId="0" borderId="29" xfId="0" applyFont="1" applyBorder="1"/>
    <xf numFmtId="0" fontId="8" fillId="0" borderId="30" xfId="0" applyFont="1" applyBorder="1"/>
    <xf numFmtId="0" fontId="8" fillId="0" borderId="31" xfId="0" applyFont="1" applyBorder="1"/>
    <xf numFmtId="42" fontId="11" fillId="0" borderId="27" xfId="1" applyFont="1" applyBorder="1" applyAlignment="1">
      <alignment horizontal="center"/>
    </xf>
    <xf numFmtId="0" fontId="0" fillId="0" borderId="28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18" xfId="0" applyFont="1" applyBorder="1"/>
    <xf numFmtId="0" fontId="4" fillId="0" borderId="19" xfId="0" applyFont="1" applyBorder="1"/>
    <xf numFmtId="0" fontId="4" fillId="0" borderId="9" xfId="0" applyFont="1" applyBorder="1"/>
    <xf numFmtId="9" fontId="1" fillId="0" borderId="21" xfId="3" applyFont="1" applyBorder="1"/>
    <xf numFmtId="0" fontId="4" fillId="0" borderId="22" xfId="0" applyFont="1" applyBorder="1"/>
    <xf numFmtId="0" fontId="4" fillId="0" borderId="24" xfId="0" applyFont="1" applyBorder="1"/>
    <xf numFmtId="0" fontId="4" fillId="0" borderId="25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0" fillId="0" borderId="13" xfId="0" applyBorder="1"/>
    <xf numFmtId="0" fontId="0" fillId="0" borderId="18" xfId="0" applyBorder="1"/>
    <xf numFmtId="0" fontId="0" fillId="0" borderId="19" xfId="0" applyBorder="1"/>
    <xf numFmtId="0" fontId="0" fillId="0" borderId="32" xfId="0" applyBorder="1"/>
    <xf numFmtId="0" fontId="0" fillId="0" borderId="21" xfId="0" applyBorder="1"/>
    <xf numFmtId="0" fontId="13" fillId="0" borderId="22" xfId="2" applyBorder="1"/>
    <xf numFmtId="0" fontId="0" fillId="0" borderId="22" xfId="0" applyBorder="1"/>
    <xf numFmtId="0" fontId="1" fillId="0" borderId="14" xfId="0" applyFont="1" applyBorder="1" applyAlignment="1">
      <alignment horizontal="center"/>
    </xf>
    <xf numFmtId="0" fontId="8" fillId="0" borderId="33" xfId="0" applyFont="1" applyBorder="1"/>
    <xf numFmtId="0" fontId="8" fillId="0" borderId="13" xfId="0" applyFont="1" applyBorder="1"/>
    <xf numFmtId="0" fontId="8" fillId="0" borderId="34" xfId="0" applyFont="1" applyBorder="1"/>
    <xf numFmtId="42" fontId="11" fillId="0" borderId="14" xfId="1" applyFont="1" applyBorder="1" applyAlignment="1">
      <alignment horizontal="center"/>
    </xf>
    <xf numFmtId="0" fontId="1" fillId="0" borderId="15" xfId="0" applyFont="1" applyBorder="1" applyAlignment="1">
      <alignment horizontal="left" vertical="top" wrapText="1"/>
    </xf>
    <xf numFmtId="0" fontId="8" fillId="0" borderId="35" xfId="0" applyFont="1" applyBorder="1"/>
    <xf numFmtId="0" fontId="0" fillId="0" borderId="36" xfId="0" applyBorder="1"/>
    <xf numFmtId="0" fontId="0" fillId="0" borderId="6" xfId="0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aycsolucioneshidroelectricas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49"/>
  <sheetViews>
    <sheetView tabSelected="1" topLeftCell="A13" zoomScaleNormal="100" workbookViewId="0">
      <selection activeCell="E34" sqref="E34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37</v>
      </c>
    </row>
    <row r="3" spans="1:8" ht="27" thickBot="1" x14ac:dyDescent="0.45">
      <c r="A3" s="11" t="s">
        <v>38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31</v>
      </c>
      <c r="E4" s="18"/>
      <c r="F4" s="19"/>
      <c r="G4" s="6"/>
      <c r="H4" s="7"/>
    </row>
    <row r="5" spans="1:8" ht="19.5" thickBot="1" x14ac:dyDescent="0.35">
      <c r="A5" s="37" t="s">
        <v>34</v>
      </c>
      <c r="B5" s="6"/>
      <c r="C5" s="6"/>
      <c r="D5" s="6"/>
      <c r="E5" s="6"/>
    </row>
    <row r="6" spans="1:8" ht="24.75" customHeight="1" thickBot="1" x14ac:dyDescent="0.45">
      <c r="F6" s="41" t="s">
        <v>49</v>
      </c>
      <c r="G6" s="42"/>
      <c r="H6" s="43"/>
    </row>
    <row r="7" spans="1:8" ht="19.5" thickBot="1" x14ac:dyDescent="0.35">
      <c r="A7" s="20" t="s">
        <v>14</v>
      </c>
      <c r="B7" s="12"/>
      <c r="C7" s="65" t="s">
        <v>39</v>
      </c>
      <c r="D7" s="12"/>
      <c r="E7" s="13"/>
      <c r="F7" s="37"/>
      <c r="G7" s="18"/>
      <c r="H7" s="19" t="s">
        <v>50</v>
      </c>
    </row>
    <row r="8" spans="1:8" ht="18.75" x14ac:dyDescent="0.3">
      <c r="A8" s="21" t="s">
        <v>8</v>
      </c>
      <c r="C8" s="67" t="s">
        <v>40</v>
      </c>
      <c r="D8" s="68"/>
      <c r="E8" s="44"/>
      <c r="H8" s="15"/>
    </row>
    <row r="9" spans="1:8" ht="18.75" customHeight="1" x14ac:dyDescent="0.3">
      <c r="A9" s="21" t="s">
        <v>9</v>
      </c>
      <c r="C9" s="69" t="s">
        <v>41</v>
      </c>
      <c r="D9" s="23"/>
      <c r="E9" s="70" t="s">
        <v>42</v>
      </c>
      <c r="F9" s="30" t="s">
        <v>0</v>
      </c>
      <c r="H9" s="28">
        <v>45796</v>
      </c>
    </row>
    <row r="10" spans="1:8" ht="18.75" x14ac:dyDescent="0.3">
      <c r="A10" s="21" t="s">
        <v>13</v>
      </c>
      <c r="C10" s="71" t="s">
        <v>43</v>
      </c>
      <c r="D10" s="66"/>
      <c r="E10" s="45"/>
      <c r="F10" s="30" t="s">
        <v>15</v>
      </c>
      <c r="H10" s="29" t="s">
        <v>51</v>
      </c>
    </row>
    <row r="11" spans="1:8" ht="18.75" x14ac:dyDescent="0.3">
      <c r="A11" s="21" t="s">
        <v>10</v>
      </c>
      <c r="C11" s="72"/>
      <c r="D11" s="66"/>
      <c r="E11" s="45"/>
      <c r="F11" s="30" t="s">
        <v>16</v>
      </c>
      <c r="G11" s="30"/>
      <c r="H11" s="28">
        <v>45805</v>
      </c>
    </row>
    <row r="12" spans="1:8" ht="18.75" x14ac:dyDescent="0.3">
      <c r="A12" s="21" t="s">
        <v>11</v>
      </c>
      <c r="C12" s="72" t="s">
        <v>44</v>
      </c>
      <c r="D12" s="66"/>
      <c r="E12" s="45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72" t="s">
        <v>46</v>
      </c>
      <c r="D13" s="66"/>
      <c r="E13" s="45"/>
      <c r="F13" s="4"/>
      <c r="G13" s="4"/>
      <c r="H13" s="17"/>
    </row>
    <row r="14" spans="1:8" ht="15.75" thickBot="1" x14ac:dyDescent="0.3">
      <c r="C14" s="16"/>
      <c r="D14" s="4"/>
      <c r="E14" s="17"/>
    </row>
    <row r="15" spans="1:8" ht="15.75" thickBot="1" x14ac:dyDescent="0.3">
      <c r="A15" s="47" t="s">
        <v>35</v>
      </c>
      <c r="B15" s="24" t="s">
        <v>22</v>
      </c>
      <c r="C15" s="42"/>
      <c r="D15" s="13"/>
      <c r="E15" s="47" t="s">
        <v>18</v>
      </c>
      <c r="F15" s="47" t="s">
        <v>20</v>
      </c>
      <c r="G15" s="47" t="s">
        <v>19</v>
      </c>
      <c r="H15" s="32" t="s">
        <v>21</v>
      </c>
    </row>
    <row r="16" spans="1:8" ht="16.5" thickBot="1" x14ac:dyDescent="0.3">
      <c r="A16" s="48">
        <v>1</v>
      </c>
      <c r="B16" s="49" t="s">
        <v>52</v>
      </c>
      <c r="C16" s="50"/>
      <c r="D16" s="51"/>
      <c r="E16" s="48" t="s">
        <v>45</v>
      </c>
      <c r="F16" s="52">
        <v>24000</v>
      </c>
      <c r="G16" s="48">
        <v>3</v>
      </c>
      <c r="H16" s="38">
        <f t="shared" ref="H16" si="0">G16*F16</f>
        <v>72000</v>
      </c>
    </row>
    <row r="17" spans="1:8" ht="16.5" thickBot="1" x14ac:dyDescent="0.3">
      <c r="A17" s="48">
        <v>2</v>
      </c>
      <c r="B17" s="49" t="s">
        <v>53</v>
      </c>
      <c r="C17" s="50"/>
      <c r="D17" s="51"/>
      <c r="E17" s="48" t="s">
        <v>45</v>
      </c>
      <c r="F17" s="52">
        <v>18150</v>
      </c>
      <c r="G17" s="48">
        <v>2</v>
      </c>
      <c r="H17" s="38">
        <f t="shared" ref="H17:H19" si="1">G17*F17</f>
        <v>36300</v>
      </c>
    </row>
    <row r="18" spans="1:8" ht="16.5" thickBot="1" x14ac:dyDescent="0.3">
      <c r="A18" s="48">
        <v>3</v>
      </c>
      <c r="B18" s="49" t="s">
        <v>54</v>
      </c>
      <c r="C18" s="50"/>
      <c r="D18" s="51"/>
      <c r="E18" s="48" t="s">
        <v>45</v>
      </c>
      <c r="F18" s="52">
        <v>13000</v>
      </c>
      <c r="G18" s="48">
        <v>3</v>
      </c>
      <c r="H18" s="38">
        <f t="shared" si="1"/>
        <v>39000</v>
      </c>
    </row>
    <row r="19" spans="1:8" ht="16.5" thickBot="1" x14ac:dyDescent="0.3">
      <c r="A19" s="73">
        <v>4</v>
      </c>
      <c r="B19" s="74" t="s">
        <v>55</v>
      </c>
      <c r="C19" s="75"/>
      <c r="D19" s="76"/>
      <c r="E19" s="73" t="s">
        <v>45</v>
      </c>
      <c r="F19" s="77">
        <v>8200</v>
      </c>
      <c r="G19" s="73">
        <v>1</v>
      </c>
      <c r="H19" s="38">
        <f t="shared" si="1"/>
        <v>8200</v>
      </c>
    </row>
    <row r="20" spans="1:8" ht="16.5" thickBot="1" x14ac:dyDescent="0.3">
      <c r="A20" s="73">
        <v>5</v>
      </c>
      <c r="B20" s="74" t="s">
        <v>56</v>
      </c>
      <c r="C20" s="75"/>
      <c r="D20" s="76"/>
      <c r="E20" s="73" t="s">
        <v>45</v>
      </c>
      <c r="F20" s="77">
        <v>130000</v>
      </c>
      <c r="G20" s="73">
        <v>2</v>
      </c>
      <c r="H20" s="38">
        <f t="shared" ref="H20:H26" si="2">G20*F20</f>
        <v>260000</v>
      </c>
    </row>
    <row r="21" spans="1:8" ht="16.5" thickBot="1" x14ac:dyDescent="0.3">
      <c r="A21" s="48">
        <v>6</v>
      </c>
      <c r="B21" s="49" t="s">
        <v>57</v>
      </c>
      <c r="C21" s="50"/>
      <c r="D21" s="51" t="s">
        <v>59</v>
      </c>
      <c r="E21" s="48" t="s">
        <v>48</v>
      </c>
      <c r="F21" s="52">
        <v>14500</v>
      </c>
      <c r="G21" s="48">
        <v>4</v>
      </c>
      <c r="H21" s="38">
        <f t="shared" si="2"/>
        <v>58000</v>
      </c>
    </row>
    <row r="22" spans="1:8" ht="16.5" thickBot="1" x14ac:dyDescent="0.3">
      <c r="A22" s="48">
        <v>7</v>
      </c>
      <c r="B22" s="49" t="s">
        <v>57</v>
      </c>
      <c r="C22" s="50"/>
      <c r="D22" s="51" t="s">
        <v>58</v>
      </c>
      <c r="E22" s="48" t="s">
        <v>48</v>
      </c>
      <c r="F22" s="52">
        <v>12500</v>
      </c>
      <c r="G22" s="48">
        <v>2</v>
      </c>
      <c r="H22" s="38">
        <f t="shared" si="2"/>
        <v>25000</v>
      </c>
    </row>
    <row r="23" spans="1:8" ht="16.5" thickBot="1" x14ac:dyDescent="0.3">
      <c r="A23" s="48">
        <v>8</v>
      </c>
      <c r="B23" s="49" t="s">
        <v>57</v>
      </c>
      <c r="C23" s="50"/>
      <c r="D23" s="51" t="s">
        <v>60</v>
      </c>
      <c r="E23" s="48" t="s">
        <v>48</v>
      </c>
      <c r="F23" s="52">
        <v>19000</v>
      </c>
      <c r="G23" s="48">
        <v>1</v>
      </c>
      <c r="H23" s="38">
        <f t="shared" si="2"/>
        <v>19000</v>
      </c>
    </row>
    <row r="24" spans="1:8" ht="16.5" thickBot="1" x14ac:dyDescent="0.3">
      <c r="A24" s="48">
        <v>9</v>
      </c>
      <c r="B24" s="49" t="s">
        <v>57</v>
      </c>
      <c r="C24" s="50"/>
      <c r="D24" s="51" t="s">
        <v>61</v>
      </c>
      <c r="E24" s="48" t="s">
        <v>48</v>
      </c>
      <c r="F24" s="52">
        <v>90000</v>
      </c>
      <c r="G24" s="48">
        <v>1</v>
      </c>
      <c r="H24" s="38">
        <f t="shared" si="2"/>
        <v>90000</v>
      </c>
    </row>
    <row r="25" spans="1:8" ht="16.5" thickBot="1" x14ac:dyDescent="0.3">
      <c r="A25" s="48">
        <v>10</v>
      </c>
      <c r="B25" s="49" t="s">
        <v>57</v>
      </c>
      <c r="C25" s="50"/>
      <c r="D25" s="51" t="s">
        <v>62</v>
      </c>
      <c r="E25" s="48" t="s">
        <v>48</v>
      </c>
      <c r="F25" s="52">
        <v>117860</v>
      </c>
      <c r="G25" s="48">
        <v>1</v>
      </c>
      <c r="H25" s="38">
        <f t="shared" si="2"/>
        <v>117860</v>
      </c>
    </row>
    <row r="26" spans="1:8" ht="16.5" thickBot="1" x14ac:dyDescent="0.3">
      <c r="A26" s="48">
        <v>11</v>
      </c>
      <c r="B26" s="49" t="s">
        <v>57</v>
      </c>
      <c r="C26" s="50"/>
      <c r="D26" s="51" t="s">
        <v>63</v>
      </c>
      <c r="E26" s="48" t="s">
        <v>48</v>
      </c>
      <c r="F26" s="52">
        <v>70000</v>
      </c>
      <c r="G26" s="48">
        <v>1</v>
      </c>
      <c r="H26" s="38">
        <f t="shared" si="2"/>
        <v>70000</v>
      </c>
    </row>
    <row r="27" spans="1:8" ht="19.5" customHeight="1" thickBot="1" x14ac:dyDescent="0.3">
      <c r="A27" s="53"/>
      <c r="B27" s="79"/>
      <c r="D27" s="80"/>
      <c r="E27" s="53"/>
      <c r="F27" s="53"/>
      <c r="G27" s="53"/>
    </row>
    <row r="28" spans="1:8" ht="19.5" customHeight="1" thickBot="1" x14ac:dyDescent="0.35">
      <c r="A28" s="78" t="s">
        <v>23</v>
      </c>
      <c r="B28" s="81" t="s">
        <v>64</v>
      </c>
      <c r="C28" s="12"/>
      <c r="D28" s="13"/>
      <c r="E28" s="54"/>
      <c r="F28" s="37" t="s">
        <v>47</v>
      </c>
      <c r="G28" s="6"/>
      <c r="H28" s="7"/>
    </row>
    <row r="29" spans="1:8" ht="19.5" customHeight="1" thickBot="1" x14ac:dyDescent="0.3">
      <c r="A29" s="39"/>
      <c r="B29" s="16" t="s">
        <v>65</v>
      </c>
      <c r="C29" s="4"/>
      <c r="D29" s="17"/>
      <c r="E29" s="57" t="s">
        <v>24</v>
      </c>
      <c r="F29" s="58"/>
      <c r="G29" s="44"/>
      <c r="H29" s="55">
        <f>SUM(H16:H26)</f>
        <v>795360</v>
      </c>
    </row>
    <row r="30" spans="1:8" ht="19.5" customHeight="1" x14ac:dyDescent="0.25">
      <c r="A30" s="24" t="s">
        <v>25</v>
      </c>
      <c r="B30" s="12"/>
      <c r="C30" s="12"/>
      <c r="D30" s="12"/>
      <c r="E30" s="59" t="s">
        <v>29</v>
      </c>
      <c r="F30" s="23"/>
      <c r="G30" s="60">
        <v>0.19</v>
      </c>
      <c r="H30" s="40">
        <f>H29*G30</f>
        <v>151118.39999999999</v>
      </c>
    </row>
    <row r="31" spans="1:8" ht="19.5" customHeight="1" x14ac:dyDescent="0.25">
      <c r="A31" s="14" t="s">
        <v>30</v>
      </c>
      <c r="E31" s="61" t="s">
        <v>26</v>
      </c>
      <c r="G31" s="64">
        <v>2.5000000000000001E-2</v>
      </c>
      <c r="H31" s="56"/>
    </row>
    <row r="32" spans="1:8" ht="15.75" x14ac:dyDescent="0.25">
      <c r="A32" s="14" t="s">
        <v>36</v>
      </c>
      <c r="E32" s="14"/>
      <c r="F32" s="33"/>
      <c r="G32" s="45"/>
      <c r="H32" s="15"/>
    </row>
    <row r="33" spans="1:8" ht="16.5" thickBot="1" x14ac:dyDescent="0.3">
      <c r="A33" s="14" t="s">
        <v>32</v>
      </c>
      <c r="E33" s="62" t="s">
        <v>27</v>
      </c>
      <c r="F33" s="63"/>
      <c r="G33" s="46"/>
      <c r="H33" s="17"/>
    </row>
    <row r="34" spans="1:8" ht="19.5" thickBot="1" x14ac:dyDescent="0.35">
      <c r="A34" s="16"/>
      <c r="B34" s="4"/>
      <c r="C34" s="4"/>
      <c r="D34" s="17"/>
      <c r="F34" s="3"/>
      <c r="G34" s="34" t="s">
        <v>28</v>
      </c>
      <c r="H34" s="36">
        <f>H29+H30-H31</f>
        <v>946478.4</v>
      </c>
    </row>
    <row r="35" spans="1:8" ht="16.5" customHeight="1" x14ac:dyDescent="0.25"/>
    <row r="40" spans="1:8" ht="15.75" thickBot="1" x14ac:dyDescent="0.3"/>
    <row r="41" spans="1:8" ht="19.5" thickBot="1" x14ac:dyDescent="0.35">
      <c r="A41" s="25" t="s">
        <v>33</v>
      </c>
      <c r="B41" s="6"/>
      <c r="C41" s="6"/>
      <c r="D41" s="6"/>
      <c r="E41" s="6"/>
      <c r="F41" s="6"/>
      <c r="G41" s="6"/>
      <c r="H41" s="7"/>
    </row>
    <row r="49" spans="1:1" ht="18.75" x14ac:dyDescent="0.3">
      <c r="A49" s="5"/>
    </row>
  </sheetData>
  <hyperlinks>
    <hyperlink ref="C10" r:id="rId1" xr:uid="{CE4586D5-0C34-4CBB-A163-3643D8919FDD}"/>
  </hyperlinks>
  <printOptions horizontalCentered="1"/>
  <pageMargins left="0.47244094488188981" right="0.31496062992125984" top="0.31496062992125984" bottom="0.39370078740157483" header="0.31496062992125984" footer="0.31496062992125984"/>
  <pageSetup scale="7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AYC SOLUCIONES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2023-03-16T17:43:01Z</cp:lastPrinted>
  <dcterms:created xsi:type="dcterms:W3CDTF">2018-11-15T17:29:02Z</dcterms:created>
  <dcterms:modified xsi:type="dcterms:W3CDTF">2025-05-19T22:06:46Z</dcterms:modified>
</cp:coreProperties>
</file>