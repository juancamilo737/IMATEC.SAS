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FBBFD78-C2E0-484C-B205-05E84E567D9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OLUCIONES NEUMATICA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<sst xmlns="http://schemas.openxmlformats.org/spreadsheetml/2006/main" count="52" uniqueCount="52">
  <si>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</si>
  <si>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</si>
  <si>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</si>
  <si>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</si>
  <si>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</si>
  <si>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</si>
  <si>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</si>
  <si>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</si>
  <si>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</si>
  <si>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</si>
  <si>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</si>
  <si>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</si>
  <si>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</si>
  <si>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</si>
  <si>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</si>
  <si>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</si>
  <si>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</si>
  <si>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</si>
  <si>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</si>
  <si>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</si>
  <si>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</si>
  <si>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</si>
  <si>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</si>
  <si>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</si>
  <si>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</si>
  <si>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</si>
  <si>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</si>
  <si>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</si>
  <si>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</si>
  <si>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</si>
  <si>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</si>
  <si>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</si>
  <si>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</si>
  <si>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</si>
  <si>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</si>
  <si>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</si>
  <si>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</si>
  <si>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</si>
  <si>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</si>
  <si>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 xml:space="preserve">              R E M I S I O N</t>
  </si>
  <si>
    <t>CALI</t>
  </si>
  <si>
    <t>ACCESORIO</t>
  </si>
  <si>
    <t>ENTREGA EN LA CIUDAD DE CALI</t>
  </si>
  <si>
    <t>SOLUCIONES NEUMATICAS S.A.S.</t>
  </si>
  <si>
    <t>CALLE 21  No. 1-21</t>
  </si>
  <si>
    <t>gerencia@solucionesneumaticas.com</t>
  </si>
  <si>
    <t>LUIS A. BENAVIDEZ</t>
  </si>
  <si>
    <t>602 3868614</t>
  </si>
  <si>
    <t>VALVULA GLOBO A / C FLANCHADA 6 "  X  150 LB</t>
  </si>
  <si>
    <t>ENTREGA EN 4 DIAS A PARTIR DE ORDEN DE COMPRA</t>
  </si>
  <si>
    <t>CINCO MILLONES NOVECIENTOS OCHENTA Y OCHO MIL</t>
  </si>
  <si>
    <t>CIEN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</si>
</sst>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8" fillId="0" borderId="0" xfId="0" applyFont="1"/>
    <xf numFmtId="0" fontId="4" fillId="0" borderId="13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20" xfId="0" applyBorder="1"/>
    <xf numFmtId="42" fontId="1" fillId="0" borderId="4" xfId="1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8" fillId="0" borderId="21" xfId="0" applyFont="1" applyBorder="1"/>
    <xf numFmtId="0" fontId="8" fillId="0" borderId="4" xfId="0" applyFont="1" applyBorder="1"/>
    <xf numFmtId="0" fontId="1" fillId="0" borderId="21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42" fontId="1" fillId="0" borderId="18" xfId="0" applyNumberFormat="1" applyFont="1" applyBorder="1" applyAlignment="1">
      <alignment horizontal="left"/>
    </xf>
    <xf numFmtId="0" fontId="0" fillId="0" borderId="3" xfId="0" applyBorder="1"/>
    <xf numFmtId="0" fontId="0" fillId="0" borderId="0" xfId="0" applyBorder="1"/>
    <xf numFmtId="0" fontId="4" fillId="0" borderId="22" xfId="0" applyFont="1" applyBorder="1"/>
    <xf numFmtId="0" fontId="4" fillId="0" borderId="23" xfId="0" applyFont="1" applyBorder="1"/>
    <xf numFmtId="0" fontId="0" fillId="0" borderId="24" xfId="0" applyBorder="1"/>
    <xf numFmtId="0" fontId="4" fillId="0" borderId="9" xfId="0" applyFont="1" applyBorder="1"/>
    <xf numFmtId="9" fontId="1" fillId="0" borderId="25" xfId="0" applyNumberFormat="1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27" xfId="0" applyBorder="1"/>
    <xf numFmtId="0" fontId="4" fillId="0" borderId="28" xfId="0" applyFont="1" applyBorder="1"/>
    <xf numFmtId="0" fontId="4" fillId="0" borderId="29" xfId="0" applyFont="1" applyBorder="1"/>
    <xf numFmtId="0" fontId="0" fillId="0" borderId="30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solucionesneumatic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6"/>
  <sheetViews>
    <sheetView tabSelected="1" topLeftCell="A4" zoomScaleNormal="100" workbookViewId="0">
      <selection activeCell="J14" sqref="J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3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36</v>
      </c>
      <c r="E4" s="18"/>
      <c r="F4" s="19"/>
      <c r="G4" s="6"/>
      <c r="H4" s="7"/>
    </row>
    <row r="5" spans="1:8" ht="19.5" thickBot="1" x14ac:dyDescent="0.35">
      <c r="A5" s="50" t="s">
        <v>38</v>
      </c>
      <c r="B5" s="6"/>
      <c r="C5" s="6"/>
      <c r="D5" s="6"/>
      <c r="E5" s="6"/>
    </row>
    <row r="6" spans="1:8" ht="24.75" customHeight="1" thickBot="1" x14ac:dyDescent="0.45">
      <c r="F6" s="11" t="s">
        <v>39</v>
      </c>
      <c r="G6" s="18"/>
      <c r="H6" s="19"/>
    </row>
    <row r="7" spans="1:8" ht="19.5" thickBot="1" x14ac:dyDescent="0.35">
      <c r="A7" s="20" t="s">
        <v>14</v>
      </c>
      <c r="B7" s="13"/>
      <c r="C7" s="30" t="s">
        <v>43</v>
      </c>
      <c r="D7" s="13"/>
      <c r="E7" s="14"/>
      <c r="F7" s="27"/>
      <c r="G7" s="18"/>
      <c r="H7" s="19"/>
    </row>
    <row r="8" spans="1:8" ht="18.75" x14ac:dyDescent="0.3">
      <c r="A8" s="21" t="s">
        <v>8</v>
      </c>
      <c r="C8" s="24">
        <v>805025821</v>
      </c>
      <c r="D8" s="25"/>
      <c r="E8" s="25"/>
      <c r="F8" s="12"/>
      <c r="G8" s="13"/>
      <c r="H8" s="14"/>
    </row>
    <row r="9" spans="1:8" ht="18.75" customHeight="1" x14ac:dyDescent="0.3">
      <c r="A9" s="21" t="s">
        <v>9</v>
      </c>
      <c r="C9" s="23" t="s">
        <v>44</v>
      </c>
      <c r="D9" s="23"/>
      <c r="E9" s="24" t="s">
        <v>40</v>
      </c>
      <c r="F9" s="31" t="s">
        <v>0</v>
      </c>
      <c r="H9" s="32">
        <v>45524</v>
      </c>
    </row>
    <row r="10" spans="1:8" ht="18.75" x14ac:dyDescent="0.3">
      <c r="A10" s="21" t="s">
        <v>13</v>
      </c>
      <c r="C10" s="44" t="s">
        <v>45</v>
      </c>
      <c r="D10" s="25"/>
      <c r="E10" s="25"/>
      <c r="F10" s="31" t="s">
        <v>15</v>
      </c>
      <c r="H10" s="33" t="s">
        <v>35</v>
      </c>
    </row>
    <row r="11" spans="1:8" ht="18.75" x14ac:dyDescent="0.3">
      <c r="A11" s="21" t="s">
        <v>10</v>
      </c>
      <c r="C11" s="24"/>
      <c r="D11" s="25"/>
      <c r="E11" s="25"/>
      <c r="F11" s="31" t="s">
        <v>16</v>
      </c>
      <c r="G11" s="34"/>
      <c r="H11" s="32">
        <v>45534</v>
      </c>
    </row>
    <row r="12" spans="1:8" ht="18.75" x14ac:dyDescent="0.3">
      <c r="A12" s="21" t="s">
        <v>11</v>
      </c>
      <c r="C12" s="24" t="s">
        <v>47</v>
      </c>
      <c r="D12" s="25"/>
      <c r="E12" s="25"/>
      <c r="F12" s="31" t="s">
        <v>17</v>
      </c>
      <c r="H12" s="35"/>
    </row>
    <row r="13" spans="1:8" ht="18.75" customHeight="1" thickBot="1" x14ac:dyDescent="0.35">
      <c r="A13" s="22" t="s">
        <v>12</v>
      </c>
      <c r="B13" s="4"/>
      <c r="C13" s="24" t="s">
        <v>46</v>
      </c>
      <c r="D13" s="25"/>
      <c r="E13" s="25"/>
      <c r="F13" s="16"/>
      <c r="G13" s="4"/>
      <c r="H13" s="17"/>
    </row>
    <row r="14" spans="1:8" ht="15.75" thickBot="1" x14ac:dyDescent="0.3"/>
    <row r="15" spans="1:8" ht="15.75" thickBot="1" x14ac:dyDescent="0.3">
      <c r="A15" s="54" t="s">
        <v>19</v>
      </c>
      <c r="B15" s="47" t="s">
        <v>24</v>
      </c>
      <c r="C15" s="18"/>
      <c r="D15" s="7"/>
      <c r="E15" s="36" t="s">
        <v>20</v>
      </c>
      <c r="F15" s="36" t="s">
        <v>22</v>
      </c>
      <c r="G15" s="36" t="s">
        <v>21</v>
      </c>
      <c r="H15" s="36" t="s">
        <v>23</v>
      </c>
    </row>
    <row r="16" spans="1:8" ht="16.5" thickBot="1" x14ac:dyDescent="0.3">
      <c r="A16" s="57">
        <v>1</v>
      </c>
      <c r="B16" s="58" t="s">
        <v>48</v>
      </c>
      <c r="C16" s="59"/>
      <c r="D16" s="6"/>
      <c r="E16" s="60" t="s">
        <v>41</v>
      </c>
      <c r="F16" s="61">
        <v>2570000</v>
      </c>
      <c r="G16" s="57">
        <v>2</v>
      </c>
      <c r="H16" s="51">
        <f t="shared" ref="H16" si="0">G16*F16</f>
        <v>5140000</v>
      </c>
    </row>
    <row r="17" spans="1:8" ht="16.5" thickBot="1" x14ac:dyDescent="0.3">
      <c r="A17" s="48"/>
      <c r="B17" s="37"/>
      <c r="C17" s="37"/>
      <c r="E17" s="48"/>
      <c r="F17" s="49"/>
      <c r="G17" s="48"/>
      <c r="H17" s="56"/>
    </row>
    <row r="18" spans="1:8" ht="19.5" customHeight="1" thickBot="1" x14ac:dyDescent="0.35">
      <c r="A18" s="52" t="s">
        <v>25</v>
      </c>
      <c r="B18" s="12" t="s">
        <v>50</v>
      </c>
      <c r="C18" s="13"/>
      <c r="D18" s="14"/>
      <c r="E18" s="63"/>
      <c r="F18" s="50" t="s">
        <v>31</v>
      </c>
      <c r="G18" s="6"/>
      <c r="H18" s="7"/>
    </row>
    <row r="19" spans="1:8" ht="16.5" thickBot="1" x14ac:dyDescent="0.3">
      <c r="A19" s="53"/>
      <c r="B19" s="16" t="s">
        <v>51</v>
      </c>
      <c r="C19" s="4"/>
      <c r="D19" s="4"/>
      <c r="E19" s="65" t="s">
        <v>26</v>
      </c>
      <c r="F19" s="66"/>
      <c r="G19" s="67"/>
      <c r="H19" s="62">
        <f>SUM(H16:H16)</f>
        <v>5140000</v>
      </c>
    </row>
    <row r="20" spans="1:8" ht="15.75" x14ac:dyDescent="0.25">
      <c r="A20" s="26" t="s">
        <v>27</v>
      </c>
      <c r="B20" s="13"/>
      <c r="C20" s="13"/>
      <c r="D20" s="13"/>
      <c r="E20" s="68" t="s">
        <v>33</v>
      </c>
      <c r="F20" s="55"/>
      <c r="G20" s="69">
        <v>0.19</v>
      </c>
      <c r="H20" s="45">
        <f>H19*G20</f>
        <v>976600</v>
      </c>
    </row>
    <row r="21" spans="1:8" ht="15.75" x14ac:dyDescent="0.25">
      <c r="A21" s="15" t="s">
        <v>34</v>
      </c>
      <c r="D21" s="64"/>
      <c r="E21" s="70" t="s">
        <v>28</v>
      </c>
      <c r="F21" s="64"/>
      <c r="G21" s="71">
        <v>2.5000000000000001E-2</v>
      </c>
      <c r="H21" s="40">
        <f>H19*G21</f>
        <v>128500</v>
      </c>
    </row>
    <row r="22" spans="1:8" ht="16.5" customHeight="1" x14ac:dyDescent="0.25">
      <c r="A22" s="15" t="s">
        <v>49</v>
      </c>
      <c r="D22" s="64"/>
      <c r="E22" s="15"/>
      <c r="F22" s="38"/>
      <c r="G22" s="72"/>
      <c r="H22" s="41"/>
    </row>
    <row r="23" spans="1:8" ht="16.5" thickBot="1" x14ac:dyDescent="0.3">
      <c r="A23" s="15" t="s">
        <v>42</v>
      </c>
      <c r="D23" s="64"/>
      <c r="E23" s="73" t="s">
        <v>29</v>
      </c>
      <c r="F23" s="74"/>
      <c r="G23" s="75"/>
      <c r="H23" s="42"/>
    </row>
    <row r="24" spans="1:8" ht="19.5" thickBot="1" x14ac:dyDescent="0.35">
      <c r="A24" s="16"/>
      <c r="B24" s="4"/>
      <c r="C24" s="4"/>
      <c r="D24" s="17"/>
      <c r="F24" s="3"/>
      <c r="G24" s="39" t="s">
        <v>30</v>
      </c>
      <c r="H24" s="46">
        <f>H19+H20-H21</f>
        <v>5988100</v>
      </c>
    </row>
    <row r="27" spans="1:8" ht="15.75" thickBot="1" x14ac:dyDescent="0.3"/>
    <row r="28" spans="1:8" ht="19.5" thickBot="1" x14ac:dyDescent="0.35">
      <c r="A28" s="27" t="s">
        <v>37</v>
      </c>
      <c r="B28" s="6"/>
      <c r="C28" s="6"/>
      <c r="D28" s="6"/>
      <c r="E28" s="6"/>
      <c r="F28" s="6"/>
      <c r="G28" s="6"/>
      <c r="H28" s="7"/>
    </row>
    <row r="36" spans="1:1" ht="18.75" x14ac:dyDescent="0.3">
      <c r="A36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SOLUCIONES NEUMATICAS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2024-08-02T16:16:22Z</cp:lastPrinted>
  <dcterms:created xsi:type="dcterms:W3CDTF">2018-11-15T17:29:02Z</dcterms:created>
  <dcterms:modified xsi:type="dcterms:W3CDTF">2024-08-20T22:07:47Z</dcterms:modified>
</cp:coreProperties>
</file>