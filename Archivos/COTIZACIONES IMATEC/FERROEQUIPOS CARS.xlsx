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38A0320-D952-48F7-9957-922CE41410E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21" i="1"/>
  <c r="H20" i="1"/>
  <c r="H19" i="1"/>
  <c r="H18" i="1"/>
  <c r="H17" i="1"/>
  <c r="H16" i="1" l="1"/>
  <c r="H27" i="1" l="1"/>
  <c r="H26" i="1"/>
  <c r="H30" i="1" s="1"/>
</calcChain>
</file>

<file path=xl/sharedStrings.xml><?xml version="1.0" encoding="utf-8"?>
<sst xmlns="http://schemas.openxmlformats.org/spreadsheetml/2006/main" count="73" uniqueCount="60">
  <si>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</si>
  <si>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</si>
  <si>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</si>
  <si>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</si>
  <si>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</si>
  <si>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</si>
  <si>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</si>
  <si>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</si>
  <si>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</si>
  <si>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</si>
  <si>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</si>
  <si>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</si>
  <si>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</si>
  <si>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</si>
  <si>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</si>
  <si>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</si>
  <si>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</si>
  <si>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</si>
  <si>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</si>
  <si>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</si>
  <si>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</si>
  <si>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</si>
  <si>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</si>
  <si>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</si>
  <si>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</si>
  <si>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</si>
  <si>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</si>
  <si>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</si>
  <si>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</si>
  <si>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</si>
  <si>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</si>
  <si>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</si>
  <si>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</si>
  <si>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</si>
  <si>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</si>
  <si>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</si>
  <si>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</si>
  <si>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</si>
  <si>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</si>
  <si>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</si>
  <si>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</si>
  <si>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>FERROEQUIPOS CARS S.A.S.</t>
  </si>
  <si>
    <t xml:space="preserve">          C O T I Z A C I O N</t>
  </si>
  <si>
    <t>901 786538</t>
  </si>
  <si>
    <t>CARRERA 13 A  No. 1 -27</t>
  </si>
  <si>
    <t>CALI</t>
  </si>
  <si>
    <t>ferroequiposcars@gmail.com</t>
  </si>
  <si>
    <t>322 5654082</t>
  </si>
  <si>
    <t>LUIS A. BENAVIDES</t>
  </si>
  <si>
    <t>10 DIAS</t>
  </si>
  <si>
    <t xml:space="preserve">UNION DRESSER HD </t>
  </si>
  <si>
    <t>3 "</t>
  </si>
  <si>
    <t xml:space="preserve">6 " </t>
  </si>
  <si>
    <t>8 "</t>
  </si>
  <si>
    <t xml:space="preserve">UNION UNIVERSAL HD R1  </t>
  </si>
  <si>
    <t>6 "</t>
  </si>
  <si>
    <t>4 "</t>
  </si>
  <si>
    <t xml:space="preserve"> CUATRO MILLONES TRESCIENTOS NUEVE MIL CUAREN-</t>
  </si>
  <si>
    <t>TA Y CUATRO PESOS MDA  / CTE</t>
  </si>
  <si>
    <t>ENTREGA EN 5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</si>
</sst>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oequiposcar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tabSelected="1" topLeftCell="A10" zoomScaleNormal="100" workbookViewId="0">
      <selection activeCell="L33" sqref="L32:L3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42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40</v>
      </c>
    </row>
    <row r="8" spans="1:8" ht="18.75" x14ac:dyDescent="0.3">
      <c r="A8" s="21" t="s">
        <v>8</v>
      </c>
      <c r="C8" s="63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45846</v>
      </c>
    </row>
    <row r="10" spans="1:8" ht="18.75" x14ac:dyDescent="0.3">
      <c r="A10" s="21" t="s">
        <v>13</v>
      </c>
      <c r="C10" s="64" t="s">
        <v>46</v>
      </c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45855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50</v>
      </c>
      <c r="C16" s="67"/>
      <c r="D16" s="68" t="s">
        <v>51</v>
      </c>
      <c r="E16" s="65" t="s">
        <v>37</v>
      </c>
      <c r="F16" s="69">
        <v>111500</v>
      </c>
      <c r="G16" s="65">
        <v>4</v>
      </c>
      <c r="H16" s="38">
        <f t="shared" ref="H16" si="0">G16*F16</f>
        <v>446000</v>
      </c>
    </row>
    <row r="17" spans="1:8" ht="16.5" thickBot="1" x14ac:dyDescent="0.3">
      <c r="A17" s="65">
        <v>2</v>
      </c>
      <c r="B17" s="66" t="s">
        <v>50</v>
      </c>
      <c r="C17" s="67"/>
      <c r="D17" s="68" t="s">
        <v>52</v>
      </c>
      <c r="E17" s="65" t="s">
        <v>37</v>
      </c>
      <c r="F17" s="69">
        <v>228000</v>
      </c>
      <c r="G17" s="65">
        <v>4</v>
      </c>
      <c r="H17" s="38">
        <f t="shared" ref="H17:H22" si="1">G17*F17</f>
        <v>912000</v>
      </c>
    </row>
    <row r="18" spans="1:8" ht="16.5" thickBot="1" x14ac:dyDescent="0.3">
      <c r="A18" s="65">
        <v>3</v>
      </c>
      <c r="B18" s="66" t="s">
        <v>50</v>
      </c>
      <c r="C18" s="67"/>
      <c r="D18" s="68" t="s">
        <v>53</v>
      </c>
      <c r="E18" s="65" t="s">
        <v>37</v>
      </c>
      <c r="F18" s="69">
        <v>324600</v>
      </c>
      <c r="G18" s="65">
        <v>2</v>
      </c>
      <c r="H18" s="38">
        <f t="shared" si="1"/>
        <v>649200</v>
      </c>
    </row>
    <row r="19" spans="1:8" ht="16.5" thickBot="1" x14ac:dyDescent="0.3">
      <c r="A19" s="65">
        <v>4</v>
      </c>
      <c r="B19" s="66" t="s">
        <v>54</v>
      </c>
      <c r="C19" s="67"/>
      <c r="D19" s="68" t="s">
        <v>51</v>
      </c>
      <c r="E19" s="65" t="s">
        <v>37</v>
      </c>
      <c r="F19" s="69">
        <v>114400</v>
      </c>
      <c r="G19" s="65">
        <v>2</v>
      </c>
      <c r="H19" s="38">
        <f t="shared" si="1"/>
        <v>228800</v>
      </c>
    </row>
    <row r="20" spans="1:8" ht="16.5" thickBot="1" x14ac:dyDescent="0.3">
      <c r="A20" s="65">
        <v>5</v>
      </c>
      <c r="B20" s="66" t="s">
        <v>54</v>
      </c>
      <c r="C20" s="67"/>
      <c r="D20" s="68" t="s">
        <v>55</v>
      </c>
      <c r="E20" s="65" t="s">
        <v>37</v>
      </c>
      <c r="F20" s="69">
        <v>198750</v>
      </c>
      <c r="G20" s="65">
        <v>3</v>
      </c>
      <c r="H20" s="38">
        <f t="shared" si="1"/>
        <v>596250</v>
      </c>
    </row>
    <row r="21" spans="1:8" ht="16.5" thickBot="1" x14ac:dyDescent="0.3">
      <c r="A21" s="65">
        <v>6</v>
      </c>
      <c r="B21" s="66" t="s">
        <v>54</v>
      </c>
      <c r="C21" s="67"/>
      <c r="D21" s="68" t="s">
        <v>53</v>
      </c>
      <c r="E21" s="65" t="s">
        <v>37</v>
      </c>
      <c r="F21" s="69">
        <v>306700</v>
      </c>
      <c r="G21" s="65">
        <v>2</v>
      </c>
      <c r="H21" s="38">
        <f t="shared" si="1"/>
        <v>613400</v>
      </c>
    </row>
    <row r="22" spans="1:8" ht="16.5" thickBot="1" x14ac:dyDescent="0.3">
      <c r="A22" s="65">
        <v>7</v>
      </c>
      <c r="B22" s="66" t="s">
        <v>54</v>
      </c>
      <c r="C22" s="67"/>
      <c r="D22" s="68" t="s">
        <v>56</v>
      </c>
      <c r="E22" s="65" t="s">
        <v>37</v>
      </c>
      <c r="F22" s="69">
        <v>126550</v>
      </c>
      <c r="G22" s="65">
        <v>2</v>
      </c>
      <c r="H22" s="38">
        <f t="shared" si="1"/>
        <v>253100</v>
      </c>
    </row>
    <row r="23" spans="1:8" ht="19.5" customHeight="1" thickBot="1" x14ac:dyDescent="0.3">
      <c r="A23" s="47"/>
      <c r="B23" s="61"/>
      <c r="D23" s="62"/>
      <c r="E23" s="47"/>
      <c r="F23" s="47"/>
      <c r="G23" s="47"/>
    </row>
    <row r="24" spans="1:8" ht="19.5" customHeight="1" thickBot="1" x14ac:dyDescent="0.35">
      <c r="A24" s="60" t="s">
        <v>23</v>
      </c>
      <c r="B24" s="63" t="s">
        <v>57</v>
      </c>
      <c r="C24" s="12"/>
      <c r="D24" s="13"/>
      <c r="E24" s="48"/>
      <c r="F24" s="37" t="s">
        <v>38</v>
      </c>
      <c r="G24" s="6"/>
      <c r="H24" s="7"/>
    </row>
    <row r="25" spans="1:8" ht="19.5" customHeight="1" thickBot="1" x14ac:dyDescent="0.3">
      <c r="A25" s="39"/>
      <c r="B25" s="16" t="s">
        <v>58</v>
      </c>
      <c r="C25" s="4"/>
      <c r="D25" s="17"/>
      <c r="E25" s="51" t="s">
        <v>24</v>
      </c>
      <c r="F25" s="52"/>
      <c r="G25" s="44"/>
      <c r="H25" s="49">
        <f>SUM(H16:H22)</f>
        <v>3698750</v>
      </c>
    </row>
    <row r="26" spans="1:8" ht="19.5" customHeight="1" x14ac:dyDescent="0.25">
      <c r="A26" s="24" t="s">
        <v>25</v>
      </c>
      <c r="B26" s="12"/>
      <c r="C26" s="12"/>
      <c r="D26" s="12"/>
      <c r="E26" s="53" t="s">
        <v>29</v>
      </c>
      <c r="F26" s="23"/>
      <c r="G26" s="54">
        <v>0.19</v>
      </c>
      <c r="H26" s="40">
        <f>H25*G26</f>
        <v>702762.5</v>
      </c>
    </row>
    <row r="27" spans="1:8" ht="19.5" customHeight="1" x14ac:dyDescent="0.25">
      <c r="A27" s="14" t="s">
        <v>30</v>
      </c>
      <c r="E27" s="55" t="s">
        <v>26</v>
      </c>
      <c r="G27" s="58">
        <v>2.5000000000000001E-2</v>
      </c>
      <c r="H27" s="50">
        <f>H25*G27</f>
        <v>92468.75</v>
      </c>
    </row>
    <row r="28" spans="1:8" ht="15.75" x14ac:dyDescent="0.25">
      <c r="A28" s="14" t="s">
        <v>59</v>
      </c>
      <c r="E28" s="14"/>
      <c r="F28" s="33"/>
      <c r="G28" s="45"/>
      <c r="H28" s="15"/>
    </row>
    <row r="29" spans="1:8" ht="16.5" thickBot="1" x14ac:dyDescent="0.3">
      <c r="A29" s="14" t="s">
        <v>32</v>
      </c>
      <c r="E29" s="56" t="s">
        <v>27</v>
      </c>
      <c r="F29" s="57"/>
      <c r="G29" s="46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H25+H26-H27</f>
        <v>4309043.75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39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800D76C5-2A96-4B62-9AD2-A7227F62A56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2025-07-08T17:24:23Z</dcterms:modified>
</cp:coreProperties>
</file>