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6F13BA59-E6A0-47C5-944A-FA317F538C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<sst xmlns="http://schemas.openxmlformats.org/spreadsheetml/2006/main" count="54" uniqueCount="54">
  <si>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</si>
  <si>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</si>
  <si>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</si>
  <si>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</si>
  <si>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</si>
  <si>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</si>
  <si>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</si>
  <si>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</si>
  <si>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</si>
  <si>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</si>
  <si>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</si>
  <si>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</si>
  <si>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</si>
  <si>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</si>
  <si>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</si>
  <si>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</si>
  <si>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</si>
  <si>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</si>
  <si>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</si>
  <si>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</si>
  <si>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</si>
  <si>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</si>
  <si>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</si>
  <si>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</si>
  <si>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</si>
  <si>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</si>
  <si>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</si>
  <si>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</si>
  <si>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</si>
  <si>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</si>
  <si>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</si>
  <si>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</si>
  <si>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</si>
  <si>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</si>
  <si>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</si>
  <si>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</si>
  <si>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</si>
  <si>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</si>
  <si>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CONTACTOS   310 8306118       319 7174165        321 7834969</t>
  </si>
  <si>
    <t xml:space="preserve">  CALLE  33B  No. 17C - 70  2º  PISO              B/  LA FLORESTA             -   CALI    -                                  CEL.     321 7834969</t>
  </si>
  <si>
    <t>FORMA DE PAGO : CONTADO</t>
  </si>
  <si>
    <t>ENTREGA INMEDIATA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</si>
  <si>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</si>
  <si>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</si>
  <si>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</si>
  <si>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</si>
  <si>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</si>
  <si>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</si>
  <si>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</si>
  <si>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ACCESORIO</t>
  </si>
  <si>
    <t>CTE</t>
  </si>
  <si>
    <t>FLEXO METALICO</t>
  </si>
  <si>
    <t xml:space="preserve">             C O T I Z A C I O N</t>
  </si>
  <si>
    <t xml:space="preserve">CIENTO SESENTA Y SEIS MIL SEISCIENTOS PESOS MDA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</si>
</sst>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0" fontId="0" fillId="0" borderId="19" xfId="0" applyBorder="1"/>
    <xf numFmtId="42" fontId="1" fillId="0" borderId="20" xfId="1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8" fillId="0" borderId="21" xfId="0" applyFont="1" applyBorder="1"/>
    <xf numFmtId="0" fontId="8" fillId="0" borderId="4" xfId="0" applyFont="1" applyBorder="1"/>
    <xf numFmtId="0" fontId="0" fillId="0" borderId="20" xfId="0" applyBorder="1"/>
    <xf numFmtId="42" fontId="11" fillId="0" borderId="4" xfId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1" fillId="0" borderId="7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5" fillId="0" borderId="5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8"/>
  <sheetViews>
    <sheetView tabSelected="1" topLeftCell="A4" zoomScaleNormal="100" workbookViewId="0">
      <selection activeCell="E26" sqref="E26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6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34</v>
      </c>
      <c r="E4" s="19"/>
      <c r="F4" s="20"/>
      <c r="G4" s="6"/>
      <c r="H4" s="7"/>
    </row>
    <row r="5" spans="1:8" ht="19.5" thickBot="1" x14ac:dyDescent="0.35">
      <c r="A5" s="52" t="s">
        <v>38</v>
      </c>
      <c r="B5" s="6"/>
      <c r="C5" s="6"/>
      <c r="D5" s="6"/>
      <c r="E5" s="6"/>
    </row>
    <row r="6" spans="1:8" ht="24.75" customHeight="1" thickBot="1" x14ac:dyDescent="0.45">
      <c r="F6" s="11" t="s">
        <v>52</v>
      </c>
      <c r="G6" s="19"/>
      <c r="H6" s="20"/>
    </row>
    <row r="7" spans="1:8" ht="19.5" thickBot="1" x14ac:dyDescent="0.35">
      <c r="A7" s="21" t="s">
        <v>15</v>
      </c>
      <c r="B7" s="13"/>
      <c r="C7" s="31" t="s">
        <v>42</v>
      </c>
      <c r="D7" s="13"/>
      <c r="E7" s="14"/>
      <c r="F7" s="28"/>
      <c r="G7" s="19"/>
      <c r="H7" s="66">
        <v>200824002</v>
      </c>
    </row>
    <row r="8" spans="1:8" ht="18.75" x14ac:dyDescent="0.3">
      <c r="A8" s="22" t="s">
        <v>9</v>
      </c>
      <c r="C8" s="25" t="s">
        <v>43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44</v>
      </c>
      <c r="D9" s="24"/>
      <c r="E9" s="25" t="s">
        <v>45</v>
      </c>
      <c r="F9" s="32" t="s">
        <v>0</v>
      </c>
      <c r="H9" s="33">
        <v>45524</v>
      </c>
    </row>
    <row r="10" spans="1:8" ht="18.75" x14ac:dyDescent="0.3">
      <c r="A10" s="22" t="s">
        <v>14</v>
      </c>
      <c r="C10" s="47" t="s">
        <v>46</v>
      </c>
      <c r="D10" s="26"/>
      <c r="E10" s="26"/>
      <c r="F10" s="32" t="s">
        <v>16</v>
      </c>
      <c r="H10" s="34" t="s">
        <v>36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45532</v>
      </c>
    </row>
    <row r="12" spans="1:8" ht="18.75" x14ac:dyDescent="0.3">
      <c r="A12" s="22" t="s">
        <v>12</v>
      </c>
      <c r="C12" s="25" t="s">
        <v>47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48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37</v>
      </c>
      <c r="B15" s="51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5">
        <v>1</v>
      </c>
      <c r="B16" s="56" t="s">
        <v>51</v>
      </c>
      <c r="C16" s="57"/>
      <c r="D16" s="58"/>
      <c r="E16" s="55" t="s">
        <v>49</v>
      </c>
      <c r="F16" s="59">
        <v>140000</v>
      </c>
      <c r="G16" s="55">
        <v>1</v>
      </c>
      <c r="H16" s="54">
        <f t="shared" ref="H16" si="0">G16*F16</f>
        <v>140000</v>
      </c>
    </row>
    <row r="17" spans="1:8" ht="16.5" thickBot="1" x14ac:dyDescent="0.3">
      <c r="A17" s="60"/>
      <c r="B17" s="61"/>
      <c r="C17" s="61"/>
      <c r="D17" s="13"/>
      <c r="E17" s="60"/>
      <c r="F17" s="62"/>
      <c r="G17" s="60"/>
      <c r="H17" s="63"/>
    </row>
    <row r="18" spans="1:8" ht="19.5" customHeight="1" thickBot="1" x14ac:dyDescent="0.35">
      <c r="A18" s="64" t="s">
        <v>25</v>
      </c>
      <c r="B18" s="12" t="s">
        <v>53</v>
      </c>
      <c r="C18" s="13"/>
      <c r="D18" s="14"/>
      <c r="E18" s="13"/>
      <c r="F18" s="38" t="s">
        <v>31</v>
      </c>
      <c r="G18" s="13"/>
      <c r="H18" s="7"/>
    </row>
    <row r="19" spans="1:8" ht="19.5" customHeight="1" thickBot="1" x14ac:dyDescent="0.3">
      <c r="A19" s="65"/>
      <c r="B19" s="17" t="s">
        <v>50</v>
      </c>
      <c r="C19" s="4"/>
      <c r="D19" s="4"/>
      <c r="E19" s="39" t="s">
        <v>26</v>
      </c>
      <c r="F19" s="40"/>
      <c r="G19" s="26"/>
      <c r="H19" s="48">
        <f>SUM(H16:H16)</f>
        <v>140000</v>
      </c>
    </row>
    <row r="20" spans="1:8" ht="19.5" customHeight="1" x14ac:dyDescent="0.25">
      <c r="A20" s="27" t="s">
        <v>27</v>
      </c>
      <c r="B20" s="13"/>
      <c r="C20" s="13"/>
      <c r="D20" s="14"/>
      <c r="E20" s="3" t="s">
        <v>33</v>
      </c>
      <c r="F20" s="53"/>
      <c r="G20" s="42">
        <v>0.19</v>
      </c>
      <c r="H20" s="49">
        <f>H19*G20</f>
        <v>26600</v>
      </c>
    </row>
    <row r="21" spans="1:8" ht="15.75" x14ac:dyDescent="0.25">
      <c r="A21" s="15" t="s">
        <v>40</v>
      </c>
      <c r="D21" s="16"/>
      <c r="E21" s="40" t="s">
        <v>28</v>
      </c>
      <c r="G21">
        <v>0</v>
      </c>
      <c r="H21" s="43"/>
    </row>
    <row r="22" spans="1:8" ht="15.75" x14ac:dyDescent="0.25">
      <c r="A22" s="15" t="s">
        <v>41</v>
      </c>
      <c r="D22" s="16"/>
      <c r="F22" s="40"/>
      <c r="G22" s="26"/>
      <c r="H22" s="44"/>
    </row>
    <row r="23" spans="1:8" ht="16.5" thickBot="1" x14ac:dyDescent="0.3">
      <c r="A23" s="15" t="s">
        <v>35</v>
      </c>
      <c r="D23" s="16"/>
      <c r="E23" s="40" t="s">
        <v>29</v>
      </c>
      <c r="F23" s="40"/>
      <c r="G23" s="26"/>
      <c r="H23" s="45"/>
    </row>
    <row r="24" spans="1:8" ht="16.5" customHeight="1" thickBot="1" x14ac:dyDescent="0.35">
      <c r="A24" s="17"/>
      <c r="B24" s="4"/>
      <c r="C24" s="4"/>
      <c r="D24" s="18"/>
      <c r="F24" s="3"/>
      <c r="G24" s="41" t="s">
        <v>30</v>
      </c>
      <c r="H24" s="50">
        <f>H19+H20</f>
        <v>166600</v>
      </c>
    </row>
    <row r="26" spans="1:8" x14ac:dyDescent="0.25">
      <c r="A26" t="s">
        <v>1</v>
      </c>
    </row>
    <row r="28" spans="1:8" ht="15.75" thickBot="1" x14ac:dyDescent="0.3"/>
    <row r="29" spans="1:8" ht="19.5" thickBot="1" x14ac:dyDescent="0.35">
      <c r="A29" s="28" t="s">
        <v>39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2024-07-31T20:51:41Z</cp:lastPrinted>
  <dcterms:created xsi:type="dcterms:W3CDTF">2018-11-15T17:29:02Z</dcterms:created>
  <dcterms:modified xsi:type="dcterms:W3CDTF">2024-08-20T16:44:50Z</dcterms:modified>
</cp:coreProperties>
</file>