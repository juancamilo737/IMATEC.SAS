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4FD8099-3B40-4361-8588-0B9E7DD479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5" i="1"/>
  <c r="H24" i="1" l="1"/>
  <c r="H22" i="1"/>
  <c r="H19" i="1"/>
  <c r="H18" i="1" l="1"/>
  <c r="H17" i="1"/>
  <c r="H16" i="1" l="1"/>
  <c r="H23" i="1" l="1"/>
</calcChain>
</file>

<file path=xl/sharedStrings.xml><?xml version="1.0" encoding="utf-8"?>
<sst xmlns="http://schemas.openxmlformats.org/spreadsheetml/2006/main" count="61" uniqueCount="59">
  <si>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</si>
  <si>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</si>
  <si>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</si>
  <si>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</si>
  <si>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</si>
  <si>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</si>
  <si>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</si>
  <si>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</si>
  <si>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</si>
  <si>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</si>
  <si>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</si>
  <si>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</si>
  <si>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</si>
  <si>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</si>
  <si>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</si>
  <si>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</si>
  <si>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</si>
  <si>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</si>
  <si>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</si>
  <si>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</si>
  <si>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</si>
  <si>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</si>
  <si>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</si>
  <si>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</si>
  <si>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</si>
  <si>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</si>
  <si>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</si>
  <si>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</si>
  <si>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</si>
  <si>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</si>
  <si>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</si>
  <si>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</si>
  <si>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</si>
  <si>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</si>
  <si>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</si>
  <si>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</si>
  <si>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</si>
  <si>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</si>
  <si>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</si>
  <si>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</si>
  <si>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</si>
  <si>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</si>
  <si>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</si>
  <si>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</si>
  <si>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</si>
  <si>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</si>
  <si>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>ENTREGA INMEDIATA</t>
  </si>
  <si>
    <t>No. 6</t>
  </si>
  <si>
    <t xml:space="preserve">           C O T I Z A C I O N</t>
  </si>
  <si>
    <t>10 DIAS</t>
  </si>
  <si>
    <t xml:space="preserve">TUBERIA  A / C  SCH 40  4 " </t>
  </si>
  <si>
    <t>TUBO X 6 MTS</t>
  </si>
  <si>
    <t>CODO  A / C  SCH 40  4 "  X  90 º P/S</t>
  </si>
  <si>
    <t>BRIDA A / C  SLIP ON  4 "  X  150 LBS</t>
  </si>
  <si>
    <t>EMPAQUE FLEXITALICO  4 "  X  1500  LBS</t>
  </si>
  <si>
    <t>CALI</t>
  </si>
  <si>
    <t xml:space="preserve">  RETEICA</t>
  </si>
  <si>
    <t>TRES MILLONES QUINIENTOS TREINTA Y UN MIL OCHO-</t>
  </si>
  <si>
    <t>CIENTOS CUARENTA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</si>
</sst>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55</v>
      </c>
      <c r="F9" s="30" t="s">
        <v>0</v>
      </c>
      <c r="H9" s="28">
        <v>45889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49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45898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708500</v>
      </c>
      <c r="G16" s="75">
        <v>4</v>
      </c>
      <c r="H16" s="38">
        <f t="shared" ref="H16" si="0">G16*F16</f>
        <v>2834000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37</v>
      </c>
      <c r="F17" s="79">
        <v>32500</v>
      </c>
      <c r="G17" s="75">
        <v>3</v>
      </c>
      <c r="H17" s="38">
        <f t="shared" ref="H17:H19" si="1">G17*F17</f>
        <v>97500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37</v>
      </c>
      <c r="F18" s="79">
        <v>48500</v>
      </c>
      <c r="G18" s="75">
        <v>2</v>
      </c>
      <c r="H18" s="38">
        <f t="shared" si="1"/>
        <v>97000</v>
      </c>
    </row>
    <row r="19" spans="1:8" ht="16.5" thickBot="1" x14ac:dyDescent="0.3">
      <c r="A19" s="75">
        <v>1</v>
      </c>
      <c r="B19" s="76" t="s">
        <v>54</v>
      </c>
      <c r="C19" s="77"/>
      <c r="D19" s="78"/>
      <c r="E19" s="75" t="s">
        <v>37</v>
      </c>
      <c r="F19" s="79">
        <v>11650</v>
      </c>
      <c r="G19" s="75">
        <v>2</v>
      </c>
      <c r="H19" s="38">
        <f t="shared" si="1"/>
        <v>23300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57</v>
      </c>
      <c r="D21" s="15"/>
      <c r="E21" s="54"/>
      <c r="F21" s="37" t="s">
        <v>38</v>
      </c>
      <c r="G21" s="6"/>
      <c r="H21" s="7"/>
    </row>
    <row r="22" spans="1:8" ht="19.5" customHeight="1" thickBot="1" x14ac:dyDescent="0.3">
      <c r="A22" s="39"/>
      <c r="B22" s="16" t="s">
        <v>58</v>
      </c>
      <c r="C22" s="4"/>
      <c r="D22" s="4"/>
      <c r="E22" s="57" t="s">
        <v>24</v>
      </c>
      <c r="F22" s="58"/>
      <c r="G22" s="46"/>
      <c r="H22" s="55">
        <f>SUM(H16:H19)</f>
        <v>3051800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579842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>
        <f>H22*G24</f>
        <v>76295</v>
      </c>
    </row>
    <row r="25" spans="1:8" ht="15.75" x14ac:dyDescent="0.25">
      <c r="A25" s="14" t="s">
        <v>46</v>
      </c>
      <c r="E25" s="59" t="s">
        <v>56</v>
      </c>
      <c r="F25" s="33"/>
      <c r="G25" s="80">
        <v>7.7000000000000002E-3</v>
      </c>
      <c r="H25" s="56">
        <f>H22*G25</f>
        <v>23498.86</v>
      </c>
    </row>
    <row r="26" spans="1:8" ht="16.5" thickBot="1" x14ac:dyDescent="0.3">
      <c r="A26" s="14" t="s">
        <v>32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H22+H23-H24-H25</f>
        <v>3531848.14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2025-08-15T16:23:22Z</cp:lastPrinted>
  <dcterms:created xsi:type="dcterms:W3CDTF">2018-11-15T17:29:02Z</dcterms:created>
  <dcterms:modified xsi:type="dcterms:W3CDTF">2025-08-20T16:40:04Z</dcterms:modified>
</cp:coreProperties>
</file>