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86AEEA5-4722-47F8-9D1C-1FA481DBFC5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URTIPIE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22" i="1"/>
  <c r="H19" i="1"/>
  <c r="H18" i="1"/>
  <c r="H17" i="1"/>
  <c r="H16" i="1"/>
  <c r="H23" i="1" l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<sst xmlns="http://schemas.openxmlformats.org/spreadsheetml/2006/main" count="59" uniqueCount="57">
  <si>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</si>
  <si>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</si>
  <si>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</si>
  <si>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</si>
  <si>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</si>
  <si>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</si>
  <si>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</si>
  <si>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</si>
  <si>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</si>
  <si>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</si>
  <si>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</si>
  <si>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</si>
  <si>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</si>
  <si>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</si>
  <si>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</si>
  <si>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</si>
  <si>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</si>
  <si>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</si>
  <si>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</si>
  <si>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</si>
  <si>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</si>
  <si>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</si>
  <si>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</si>
  <si>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</si>
  <si>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</si>
  <si>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</si>
  <si>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</si>
  <si>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</si>
  <si>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</si>
  <si>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</si>
  <si>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</si>
  <si>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</si>
  <si>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</si>
  <si>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</si>
  <si>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</si>
  <si>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</si>
  <si>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</si>
  <si>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CURTIPIELES S.A.S.</t>
  </si>
  <si>
    <t>900 085026</t>
  </si>
  <si>
    <t>CALLE 8  No. 20-15</t>
  </si>
  <si>
    <t>EL CERRITO</t>
  </si>
  <si>
    <t>contabilidadcurti@gmail.com</t>
  </si>
  <si>
    <t>602 2565774</t>
  </si>
  <si>
    <t>EDINSON  CABEZAS</t>
  </si>
  <si>
    <t>ENTREGA INMEDIATA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</si>
  <si>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</si>
  <si>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</si>
  <si>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</si>
  <si>
    <t>No. 3</t>
  </si>
  <si>
    <t>TUBERIA  A / C  SCH 80  2 "  X  3  MTS</t>
  </si>
  <si>
    <t>TRAMO</t>
  </si>
  <si>
    <t>TEE  A / C  2 "  X  3000 LBS ROSCADA</t>
  </si>
  <si>
    <t>ACCESORIO</t>
  </si>
  <si>
    <t>CODO  A / C  2 "  X  90 º  X  3000 LBS  ROSCADO</t>
  </si>
  <si>
    <t>UNIVERSAL  A / C  2 "  X  30000 LBS ROSCADA</t>
  </si>
  <si>
    <t>UN MILLON DOSCIENTOS UN MIL SEISCIENTOS NOVENTA</t>
  </si>
  <si>
    <t>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</si>
</sst>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cur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K21" sqref="K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45836</v>
      </c>
    </row>
    <row r="10" spans="1:8" ht="18.75" x14ac:dyDescent="0.3">
      <c r="A10" s="21" t="s">
        <v>13</v>
      </c>
      <c r="C10" s="71" t="s">
        <v>41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42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211500</v>
      </c>
      <c r="G16" s="75">
        <v>1</v>
      </c>
      <c r="H16" s="38">
        <f t="shared" ref="H16" si="0">G16*F16</f>
        <v>211500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52</v>
      </c>
      <c r="F17" s="79">
        <v>140000</v>
      </c>
      <c r="G17" s="75">
        <v>2</v>
      </c>
      <c r="H17" s="38">
        <f t="shared" ref="H17:H19" si="1">G17*F17</f>
        <v>280000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52</v>
      </c>
      <c r="F18" s="79">
        <v>110000</v>
      </c>
      <c r="G18" s="75">
        <v>3</v>
      </c>
      <c r="H18" s="38">
        <f t="shared" si="1"/>
        <v>330000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52</v>
      </c>
      <c r="F19" s="79">
        <v>105000</v>
      </c>
      <c r="G19" s="75">
        <v>2</v>
      </c>
      <c r="H19" s="38">
        <f t="shared" si="1"/>
        <v>210000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55</v>
      </c>
      <c r="D21" s="15"/>
      <c r="E21" s="54"/>
      <c r="F21" s="37" t="s">
        <v>45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4"/>
      <c r="E22" s="57" t="s">
        <v>24</v>
      </c>
      <c r="F22" s="58"/>
      <c r="G22" s="46"/>
      <c r="H22" s="55">
        <f>SUM(H16:H19)</f>
        <v>1031500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195985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>
        <f>H22*G24</f>
        <v>25787.5</v>
      </c>
    </row>
    <row r="25" spans="1:8" ht="15.75" x14ac:dyDescent="0.25">
      <c r="A25" s="14" t="s">
        <v>44</v>
      </c>
      <c r="E25" s="14"/>
      <c r="F25" s="33"/>
      <c r="G25" s="47"/>
      <c r="H25" s="15"/>
    </row>
    <row r="26" spans="1:8" ht="16.5" thickBot="1" x14ac:dyDescent="0.3">
      <c r="A26" s="14" t="s">
        <v>32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1201697.5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46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8AF0173B-C5F2-454A-BFCD-7F69D793046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CURTIPIELES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2025-06-28T16:21:22Z</dcterms:modified>
</cp:coreProperties>
</file>