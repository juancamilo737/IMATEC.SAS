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E:\USB PLATEADA\COTIZACIONES COMERCIALIZADORA ACTUALIZADA\"/>
    </mc:Choice>
  </mc:AlternateContent>
  <xr:revisionPtr revIDLastSave="0" documentId="13_ncr:1_{AD10A5B9-A073-474A-9876-22E5AEEC931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ARE SERVICIOS S.A.S.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21" i="1" l="1"/>
  <c r="H17" i="1"/>
  <c r="H18" i="1"/>
  <c r="H16" i="1"/>
  <c r="H22" i="1" l="1"/>
  <c r="H26" i="1" s="1"/>
</calcChain>
</file>

<file path=xl/sharedStrings.xml><?xml version="1.0" encoding="utf-8"?>
<sst xmlns="http://schemas.openxmlformats.org/spreadsheetml/2006/main" count="58" uniqueCount="57">
  <si>
    <t>FECHA</t>
  </si>
  <si>
    <t>I</t>
  </si>
  <si>
    <t>M</t>
  </si>
  <si>
    <t>A</t>
  </si>
  <si>
    <t>T</t>
  </si>
  <si>
    <t>E</t>
  </si>
  <si>
    <t>C</t>
  </si>
  <si>
    <t>NIT  901 341363 - 1</t>
  </si>
  <si>
    <t>CEDULA / NIT</t>
  </si>
  <si>
    <t>DIRECCION</t>
  </si>
  <si>
    <t>REFERENCIA</t>
  </si>
  <si>
    <t>TELEFONO</t>
  </si>
  <si>
    <t>VENDEDOR</t>
  </si>
  <si>
    <t>CORREO ELECTRONICO</t>
  </si>
  <si>
    <t>NOMBRE CLIENTE</t>
  </si>
  <si>
    <t>PLAZO</t>
  </si>
  <si>
    <t>VENCE</t>
  </si>
  <si>
    <t>ORDEN No.</t>
  </si>
  <si>
    <t>UNIDAD</t>
  </si>
  <si>
    <t>CANTIDAD</t>
  </si>
  <si>
    <t>VR. UNIDAD</t>
  </si>
  <si>
    <t>VR. TOTAL</t>
  </si>
  <si>
    <t xml:space="preserve">                                      DESCRIPCION</t>
  </si>
  <si>
    <t xml:space="preserve">SON  : </t>
  </si>
  <si>
    <t>SUBTOTAL</t>
  </si>
  <si>
    <t>OBSERVACIONES</t>
  </si>
  <si>
    <t>- RETEFUENTE</t>
  </si>
  <si>
    <t>AUTORETENCION</t>
  </si>
  <si>
    <t>TOTAL</t>
  </si>
  <si>
    <t>IVA</t>
  </si>
  <si>
    <t>FORMA DE PAGO : CONTADO</t>
  </si>
  <si>
    <t xml:space="preserve">                                   JAVIER LOZANO TAMAYO C.C. 16´654.252</t>
  </si>
  <si>
    <t>ENTREGA EN LA CIUDAD DE CALI</t>
  </si>
  <si>
    <t>CONTACTOS   310 8306118    319 7174165    321 7834969</t>
  </si>
  <si>
    <t>ITEM</t>
  </si>
  <si>
    <t>ENTREGA INMEDIATA</t>
  </si>
  <si>
    <t>FERRETERIA INDUSTRIAL</t>
  </si>
  <si>
    <t xml:space="preserve">                       INGENIERIA , MONTAJES  Y  ASISTENCIA  TECNICA  S A S</t>
  </si>
  <si>
    <t>ARE SERVICIOS S.A.S.</t>
  </si>
  <si>
    <t>901 248521</t>
  </si>
  <si>
    <t>CRA 71D  No. 64C-41</t>
  </si>
  <si>
    <t>BOGOTÁ</t>
  </si>
  <si>
    <t>facturacionelectronica@areservicios.com</t>
  </si>
  <si>
    <t>317 685821</t>
  </si>
  <si>
    <t>EDINSON CABEZAS</t>
  </si>
  <si>
    <t>ACCESORIO</t>
  </si>
  <si>
    <t>L I Q U I D A C I O N</t>
  </si>
  <si>
    <t xml:space="preserve">  CALLE  33A  No. 17F - 56                          B/  LA FLORESTA             -   CALI    -                                   CEL.     321 7834969</t>
  </si>
  <si>
    <t>FABRICACION</t>
  </si>
  <si>
    <t>CTO. COSTOS</t>
  </si>
  <si>
    <t>No. 17</t>
  </si>
  <si>
    <t>10 DIAS</t>
  </si>
  <si>
    <t>NIPLE  A / C SCH 40 1 1/2 "  X  8  CMTS</t>
  </si>
  <si>
    <t>CODO  HR  1 1/2 "  X  90 º  X  150 LBS ROSCADO</t>
  </si>
  <si>
    <t>VALVULA DE BOLA  A / C  1 1/2 "  X  1000 LBS ROSC</t>
  </si>
  <si>
    <t>CIENTO OCHENTA Y OCHO MIL VEINTE PESOS MDA / CTE</t>
  </si>
  <si>
    <t xml:space="preserve">           C O T I Z A C I O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</si>
</sst>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2" formatCode="_-&quot;$&quot;\ * #,##0_-;\-&quot;$&quot;\ * #,##0_-;_-&quot;$&quot;\ * &quot;-&quot;_-;_-@_-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Aharoni"/>
      <charset val="177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42" fontId="6" fillId="0" borderId="0" applyFont="0" applyFill="0" applyBorder="0" applyAlignment="0" applyProtection="0"/>
    <xf numFmtId="0" fontId="13" fillId="0" borderId="0" applyNumberFormat="0" applyFill="0" applyBorder="0" applyAlignment="0" applyProtection="0"/>
    <xf numFmtId="9" fontId="6" fillId="0" borderId="0" applyFont="0" applyFill="0" applyBorder="0" applyAlignment="0" applyProtection="0"/>
  </cellStyleXfs>
  <cellXfs count="81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2" xfId="0" applyBorder="1"/>
    <xf numFmtId="0" fontId="5" fillId="0" borderId="0" xfId="0" applyFont="1"/>
    <xf numFmtId="0" fontId="0" fillId="0" borderId="4" xfId="0" applyBorder="1"/>
    <xf numFmtId="0" fontId="0" fillId="0" borderId="5" xfId="0" applyBorder="1"/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7" fillId="0" borderId="3" xfId="0" applyFon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1" fillId="0" borderId="4" xfId="0" applyFont="1" applyBorder="1"/>
    <xf numFmtId="0" fontId="1" fillId="0" borderId="5" xfId="0" applyFont="1" applyBorder="1"/>
    <xf numFmtId="0" fontId="9" fillId="0" borderId="6" xfId="0" applyFont="1" applyBorder="1"/>
    <xf numFmtId="0" fontId="9" fillId="0" borderId="9" xfId="0" applyFont="1" applyBorder="1"/>
    <xf numFmtId="0" fontId="9" fillId="0" borderId="11" xfId="0" applyFont="1" applyBorder="1"/>
    <xf numFmtId="0" fontId="0" fillId="0" borderId="14" xfId="0" applyBorder="1"/>
    <xf numFmtId="0" fontId="1" fillId="0" borderId="6" xfId="0" applyFont="1" applyBorder="1"/>
    <xf numFmtId="0" fontId="5" fillId="0" borderId="3" xfId="0" applyFont="1" applyBorder="1"/>
    <xf numFmtId="0" fontId="3" fillId="0" borderId="1" xfId="0" applyFont="1" applyBorder="1"/>
    <xf numFmtId="0" fontId="3" fillId="0" borderId="4" xfId="0" applyFont="1" applyBorder="1"/>
    <xf numFmtId="14" fontId="8" fillId="0" borderId="10" xfId="0" applyNumberFormat="1" applyFont="1" applyBorder="1"/>
    <xf numFmtId="0" fontId="10" fillId="0" borderId="10" xfId="0" applyFont="1" applyBorder="1" applyAlignment="1">
      <alignment horizontal="right"/>
    </xf>
    <xf numFmtId="0" fontId="10" fillId="0" borderId="0" xfId="0" applyFont="1"/>
    <xf numFmtId="0" fontId="10" fillId="0" borderId="10" xfId="0" applyFont="1" applyBorder="1"/>
    <xf numFmtId="0" fontId="1" fillId="0" borderId="1" xfId="0" applyFont="1" applyBorder="1" applyAlignment="1">
      <alignment horizontal="center"/>
    </xf>
    <xf numFmtId="0" fontId="4" fillId="0" borderId="13" xfId="0" applyFont="1" applyBorder="1"/>
    <xf numFmtId="0" fontId="5" fillId="0" borderId="15" xfId="0" applyFont="1" applyBorder="1"/>
    <xf numFmtId="0" fontId="12" fillId="0" borderId="0" xfId="0" applyFont="1" applyAlignment="1">
      <alignment horizontal="center"/>
    </xf>
    <xf numFmtId="42" fontId="1" fillId="0" borderId="1" xfId="0" applyNumberFormat="1" applyFont="1" applyBorder="1" applyAlignment="1">
      <alignment horizontal="left"/>
    </xf>
    <xf numFmtId="0" fontId="5" fillId="0" borderId="4" xfId="0" applyFont="1" applyBorder="1"/>
    <xf numFmtId="42" fontId="1" fillId="0" borderId="16" xfId="1" applyFont="1" applyBorder="1" applyAlignment="1">
      <alignment horizontal="left"/>
    </xf>
    <xf numFmtId="0" fontId="1" fillId="0" borderId="15" xfId="0" applyFont="1" applyBorder="1" applyAlignment="1">
      <alignment horizontal="left" vertical="top" wrapText="1"/>
    </xf>
    <xf numFmtId="42" fontId="1" fillId="0" borderId="10" xfId="1" applyFont="1" applyBorder="1" applyAlignment="1">
      <alignment horizontal="left"/>
    </xf>
    <xf numFmtId="0" fontId="7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0" fillId="0" borderId="19" xfId="0" applyBorder="1"/>
    <xf numFmtId="0" fontId="0" fillId="0" borderId="22" xfId="0" applyBorder="1"/>
    <xf numFmtId="0" fontId="0" fillId="0" borderId="25" xfId="0" applyBorder="1"/>
    <xf numFmtId="0" fontId="0" fillId="0" borderId="26" xfId="0" applyBorder="1"/>
    <xf numFmtId="0" fontId="0" fillId="0" borderId="3" xfId="0" applyBorder="1"/>
    <xf numFmtId="42" fontId="1" fillId="0" borderId="10" xfId="0" applyNumberFormat="1" applyFont="1" applyBorder="1" applyAlignment="1">
      <alignment horizontal="left"/>
    </xf>
    <xf numFmtId="42" fontId="1" fillId="0" borderId="10" xfId="0" applyNumberFormat="1" applyFont="1" applyBorder="1"/>
    <xf numFmtId="0" fontId="4" fillId="0" borderId="17" xfId="0" applyFont="1" applyBorder="1"/>
    <xf numFmtId="0" fontId="4" fillId="0" borderId="18" xfId="0" applyFont="1" applyBorder="1"/>
    <xf numFmtId="0" fontId="4" fillId="0" borderId="9" xfId="0" applyFont="1" applyBorder="1"/>
    <xf numFmtId="9" fontId="1" fillId="0" borderId="20" xfId="3" applyFont="1" applyBorder="1"/>
    <xf numFmtId="0" fontId="4" fillId="0" borderId="21" xfId="0" applyFont="1" applyBorder="1"/>
    <xf numFmtId="0" fontId="4" fillId="0" borderId="23" xfId="0" applyFont="1" applyBorder="1"/>
    <xf numFmtId="0" fontId="4" fillId="0" borderId="24" xfId="0" applyFont="1" applyBorder="1"/>
    <xf numFmtId="10" fontId="1" fillId="0" borderId="10" xfId="0" applyNumberFormat="1" applyFont="1" applyBorder="1"/>
    <xf numFmtId="0" fontId="4" fillId="0" borderId="6" xfId="0" applyFont="1" applyBorder="1"/>
    <xf numFmtId="0" fontId="0" fillId="0" borderId="13" xfId="0" applyBorder="1"/>
    <xf numFmtId="0" fontId="0" fillId="0" borderId="17" xfId="0" applyBorder="1"/>
    <xf numFmtId="0" fontId="0" fillId="0" borderId="18" xfId="0" applyBorder="1"/>
    <xf numFmtId="0" fontId="0" fillId="0" borderId="27" xfId="0" applyBorder="1"/>
    <xf numFmtId="0" fontId="0" fillId="0" borderId="20" xfId="0" applyBorder="1"/>
    <xf numFmtId="0" fontId="13" fillId="0" borderId="21" xfId="2" applyBorder="1"/>
    <xf numFmtId="0" fontId="0" fillId="0" borderId="21" xfId="0" applyBorder="1"/>
    <xf numFmtId="0" fontId="0" fillId="0" borderId="23" xfId="0" applyBorder="1"/>
    <xf numFmtId="0" fontId="0" fillId="0" borderId="24" xfId="0" applyBorder="1"/>
    <xf numFmtId="0" fontId="4" fillId="0" borderId="5" xfId="0" applyFont="1" applyBorder="1"/>
    <xf numFmtId="0" fontId="1" fillId="0" borderId="28" xfId="0" applyFont="1" applyBorder="1" applyAlignment="1">
      <alignment horizontal="center"/>
    </xf>
    <xf numFmtId="0" fontId="8" fillId="0" borderId="29" xfId="0" applyFont="1" applyBorder="1"/>
    <xf numFmtId="0" fontId="8" fillId="0" borderId="2" xfId="0" applyFont="1" applyBorder="1"/>
    <xf numFmtId="0" fontId="8" fillId="0" borderId="30" xfId="0" applyFont="1" applyBorder="1"/>
    <xf numFmtId="42" fontId="11" fillId="0" borderId="28" xfId="1" applyFont="1" applyBorder="1" applyAlignment="1">
      <alignment horizontal="center"/>
    </xf>
    <xf numFmtId="0" fontId="1" fillId="0" borderId="3" xfId="0" applyFont="1" applyBorder="1"/>
    <xf numFmtId="0" fontId="1" fillId="0" borderId="33" xfId="0" applyFont="1" applyBorder="1" applyAlignment="1">
      <alignment horizontal="left" vertical="top" wrapText="1"/>
    </xf>
    <xf numFmtId="0" fontId="0" fillId="0" borderId="31" xfId="0" applyBorder="1"/>
    <xf numFmtId="0" fontId="0" fillId="0" borderId="32" xfId="0" applyBorder="1"/>
    <xf numFmtId="0" fontId="0" fillId="0" borderId="6" xfId="0" applyBorder="1"/>
    <xf numFmtId="0" fontId="8" fillId="0" borderId="3" xfId="0" applyFont="1" applyBorder="1"/>
  </cellXfs>
  <cellStyles count="4">
    <cellStyle name="Hipervínculo" xfId="2" builtinId="8"/>
    <cellStyle name="Moneda [0]" xfId="1" builtinId="7"/>
    <cellStyle name="Normal" xfId="0" builtinId="0"/>
    <cellStyle name="Porcentaje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9525</xdr:rowOff>
    </xdr:from>
    <xdr:to>
      <xdr:col>1</xdr:col>
      <xdr:colOff>1133476</xdr:colOff>
      <xdr:row>1</xdr:row>
      <xdr:rowOff>9524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FD4266F-677D-41CF-7BBB-C073CD0FB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0" y="9525"/>
          <a:ext cx="2171701" cy="115252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facturacionelectronica@areservicio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H41"/>
  <sheetViews>
    <sheetView tabSelected="1" topLeftCell="A4" zoomScaleNormal="100" workbookViewId="0">
      <selection activeCell="K16" sqref="K16"/>
    </sheetView>
  </sheetViews>
  <sheetFormatPr baseColWidth="10" defaultRowHeight="15" x14ac:dyDescent="0.25"/>
  <cols>
    <col min="1" max="1" width="15.5703125" customWidth="1"/>
    <col min="2" max="2" width="17.140625" customWidth="1"/>
    <col min="3" max="3" width="15.7109375" customWidth="1"/>
    <col min="4" max="4" width="16.42578125" customWidth="1"/>
    <col min="5" max="8" width="15.7109375" customWidth="1"/>
  </cols>
  <sheetData>
    <row r="1" spans="1:8" ht="90.75" customHeight="1" thickBot="1" x14ac:dyDescent="1.4">
      <c r="A1" s="1"/>
      <c r="C1" s="8" t="s">
        <v>1</v>
      </c>
      <c r="D1" s="9" t="s">
        <v>2</v>
      </c>
      <c r="E1" s="9" t="s">
        <v>3</v>
      </c>
      <c r="F1" s="9" t="s">
        <v>4</v>
      </c>
      <c r="G1" s="9" t="s">
        <v>5</v>
      </c>
      <c r="H1" s="10" t="s">
        <v>6</v>
      </c>
    </row>
    <row r="2" spans="1:8" ht="20.25" customHeight="1" thickBot="1" x14ac:dyDescent="0.4">
      <c r="D2" s="2"/>
      <c r="E2" s="35" t="s">
        <v>36</v>
      </c>
    </row>
    <row r="3" spans="1:8" ht="27" thickBot="1" x14ac:dyDescent="0.45">
      <c r="A3" s="11" t="s">
        <v>37</v>
      </c>
      <c r="B3" s="6"/>
      <c r="C3" s="6"/>
      <c r="D3" s="6"/>
      <c r="E3" s="6"/>
      <c r="F3" s="6"/>
      <c r="G3" s="6"/>
      <c r="H3" s="7"/>
    </row>
    <row r="4" spans="1:8" ht="21.75" thickBot="1" x14ac:dyDescent="0.4">
      <c r="A4" s="26" t="s">
        <v>7</v>
      </c>
      <c r="B4" s="6"/>
      <c r="C4" s="6"/>
      <c r="D4" s="27" t="s">
        <v>31</v>
      </c>
      <c r="E4" s="18"/>
      <c r="F4" s="19"/>
      <c r="G4" s="6"/>
      <c r="H4" s="7"/>
    </row>
    <row r="5" spans="1:8" ht="19.5" thickBot="1" x14ac:dyDescent="0.35">
      <c r="A5" s="37" t="s">
        <v>33</v>
      </c>
      <c r="B5" s="6"/>
      <c r="C5" s="6"/>
      <c r="D5" s="6"/>
      <c r="E5" s="6"/>
    </row>
    <row r="6" spans="1:8" ht="24.75" customHeight="1" thickBot="1" x14ac:dyDescent="0.45">
      <c r="F6" s="41" t="s">
        <v>56</v>
      </c>
      <c r="G6" s="42"/>
      <c r="H6" s="43"/>
    </row>
    <row r="7" spans="1:8" ht="19.5" thickBot="1" x14ac:dyDescent="0.35">
      <c r="A7" s="20" t="s">
        <v>14</v>
      </c>
      <c r="B7" s="12"/>
      <c r="C7" s="59" t="s">
        <v>38</v>
      </c>
      <c r="D7" s="12"/>
      <c r="E7" s="13"/>
      <c r="F7" s="37"/>
      <c r="G7" s="18"/>
      <c r="H7" s="69" t="s">
        <v>50</v>
      </c>
    </row>
    <row r="8" spans="1:8" ht="18.75" x14ac:dyDescent="0.3">
      <c r="A8" s="21" t="s">
        <v>8</v>
      </c>
      <c r="C8" s="61" t="s">
        <v>39</v>
      </c>
      <c r="D8" s="62"/>
      <c r="E8" s="44"/>
      <c r="H8" s="15"/>
    </row>
    <row r="9" spans="1:8" ht="18.75" customHeight="1" x14ac:dyDescent="0.3">
      <c r="A9" s="21" t="s">
        <v>9</v>
      </c>
      <c r="C9" s="63" t="s">
        <v>40</v>
      </c>
      <c r="D9" s="23"/>
      <c r="E9" s="64" t="s">
        <v>41</v>
      </c>
      <c r="F9" s="30" t="s">
        <v>0</v>
      </c>
      <c r="H9" s="28">
        <v>45866</v>
      </c>
    </row>
    <row r="10" spans="1:8" ht="18.75" x14ac:dyDescent="0.3">
      <c r="A10" s="21" t="s">
        <v>13</v>
      </c>
      <c r="C10" s="65" t="s">
        <v>42</v>
      </c>
      <c r="D10" s="60"/>
      <c r="E10" s="45"/>
      <c r="F10" s="30" t="s">
        <v>15</v>
      </c>
      <c r="H10" s="29" t="s">
        <v>51</v>
      </c>
    </row>
    <row r="11" spans="1:8" ht="18.75" x14ac:dyDescent="0.3">
      <c r="A11" s="21" t="s">
        <v>10</v>
      </c>
      <c r="C11" s="66"/>
      <c r="D11" s="60"/>
      <c r="E11" s="45"/>
      <c r="F11" s="30" t="s">
        <v>16</v>
      </c>
      <c r="G11" s="30"/>
      <c r="H11" s="28">
        <v>45875</v>
      </c>
    </row>
    <row r="12" spans="1:8" ht="19.5" thickBot="1" x14ac:dyDescent="0.35">
      <c r="A12" s="21" t="s">
        <v>11</v>
      </c>
      <c r="C12" s="66" t="s">
        <v>43</v>
      </c>
      <c r="D12" s="60"/>
      <c r="E12" s="45"/>
      <c r="F12" s="30" t="s">
        <v>17</v>
      </c>
      <c r="H12" s="31"/>
    </row>
    <row r="13" spans="1:8" ht="18.75" customHeight="1" thickBot="1" x14ac:dyDescent="0.35">
      <c r="A13" s="22" t="s">
        <v>12</v>
      </c>
      <c r="B13" s="4"/>
      <c r="C13" s="67" t="s">
        <v>44</v>
      </c>
      <c r="D13" s="68"/>
      <c r="E13" s="46"/>
      <c r="F13" s="4" t="s">
        <v>49</v>
      </c>
      <c r="G13" s="80"/>
      <c r="H13" s="7"/>
    </row>
    <row r="14" spans="1:8" ht="15.75" thickBot="1" x14ac:dyDescent="0.3"/>
    <row r="15" spans="1:8" ht="15.75" thickBot="1" x14ac:dyDescent="0.3">
      <c r="A15" s="32" t="s">
        <v>34</v>
      </c>
      <c r="B15" s="75" t="s">
        <v>22</v>
      </c>
      <c r="C15" s="18"/>
      <c r="D15" s="7"/>
      <c r="E15" s="32" t="s">
        <v>18</v>
      </c>
      <c r="F15" s="32" t="s">
        <v>20</v>
      </c>
      <c r="G15" s="32" t="s">
        <v>19</v>
      </c>
      <c r="H15" s="32" t="s">
        <v>21</v>
      </c>
    </row>
    <row r="16" spans="1:8" ht="16.5" thickBot="1" x14ac:dyDescent="0.3">
      <c r="A16" s="70">
        <v>1</v>
      </c>
      <c r="B16" s="71" t="s">
        <v>52</v>
      </c>
      <c r="C16" s="72"/>
      <c r="D16" s="73"/>
      <c r="E16" s="70" t="s">
        <v>48</v>
      </c>
      <c r="F16" s="74">
        <v>7100</v>
      </c>
      <c r="G16" s="70">
        <v>4</v>
      </c>
      <c r="H16" s="38">
        <f t="shared" ref="H16:H18" si="0">G16*F16</f>
        <v>28400</v>
      </c>
    </row>
    <row r="17" spans="1:8" ht="16.5" thickBot="1" x14ac:dyDescent="0.3">
      <c r="A17" s="70">
        <v>2</v>
      </c>
      <c r="B17" s="71" t="s">
        <v>53</v>
      </c>
      <c r="C17" s="72"/>
      <c r="D17" s="73"/>
      <c r="E17" s="70" t="s">
        <v>45</v>
      </c>
      <c r="F17" s="74">
        <v>9800</v>
      </c>
      <c r="G17" s="70">
        <v>2</v>
      </c>
      <c r="H17" s="38">
        <f t="shared" si="0"/>
        <v>19600</v>
      </c>
    </row>
    <row r="18" spans="1:8" ht="16.5" thickBot="1" x14ac:dyDescent="0.3">
      <c r="A18" s="70">
        <v>3</v>
      </c>
      <c r="B18" s="71" t="s">
        <v>54</v>
      </c>
      <c r="C18" s="72"/>
      <c r="D18" s="73"/>
      <c r="E18" s="70" t="s">
        <v>45</v>
      </c>
      <c r="F18" s="74">
        <v>110000</v>
      </c>
      <c r="G18" s="70">
        <v>1</v>
      </c>
      <c r="H18" s="38">
        <f t="shared" si="0"/>
        <v>110000</v>
      </c>
    </row>
    <row r="19" spans="1:8" ht="19.5" customHeight="1" thickBot="1" x14ac:dyDescent="0.3">
      <c r="A19" s="47"/>
      <c r="B19" s="77"/>
      <c r="D19" s="78"/>
      <c r="E19" s="47"/>
      <c r="F19" s="47"/>
      <c r="G19" s="47"/>
    </row>
    <row r="20" spans="1:8" ht="19.5" customHeight="1" thickBot="1" x14ac:dyDescent="0.35">
      <c r="A20" s="76" t="s">
        <v>23</v>
      </c>
      <c r="B20" s="79" t="s">
        <v>55</v>
      </c>
      <c r="C20" s="12"/>
      <c r="D20" s="13"/>
      <c r="E20" s="48"/>
      <c r="F20" s="37" t="s">
        <v>46</v>
      </c>
      <c r="G20" s="6"/>
      <c r="H20" s="7"/>
    </row>
    <row r="21" spans="1:8" ht="19.5" customHeight="1" thickBot="1" x14ac:dyDescent="0.3">
      <c r="A21" s="39"/>
      <c r="B21" s="16"/>
      <c r="C21" s="4"/>
      <c r="D21" s="17"/>
      <c r="E21" s="51" t="s">
        <v>24</v>
      </c>
      <c r="F21" s="52"/>
      <c r="G21" s="44"/>
      <c r="H21" s="49">
        <f>SUM(H16:H20)</f>
        <v>158000</v>
      </c>
    </row>
    <row r="22" spans="1:8" ht="19.5" customHeight="1" x14ac:dyDescent="0.25">
      <c r="A22" s="24" t="s">
        <v>25</v>
      </c>
      <c r="B22" s="12"/>
      <c r="C22" s="12"/>
      <c r="D22" s="12"/>
      <c r="E22" s="53" t="s">
        <v>29</v>
      </c>
      <c r="F22" s="23"/>
      <c r="G22" s="54">
        <v>0.19</v>
      </c>
      <c r="H22" s="40">
        <f>H21*G22</f>
        <v>30020</v>
      </c>
    </row>
    <row r="23" spans="1:8" ht="19.5" customHeight="1" x14ac:dyDescent="0.25">
      <c r="A23" s="14" t="s">
        <v>30</v>
      </c>
      <c r="E23" s="55" t="s">
        <v>26</v>
      </c>
      <c r="G23" s="58">
        <v>2.5000000000000001E-2</v>
      </c>
      <c r="H23" s="50"/>
    </row>
    <row r="24" spans="1:8" ht="15.75" x14ac:dyDescent="0.25">
      <c r="A24" s="14" t="s">
        <v>35</v>
      </c>
      <c r="E24" s="14"/>
      <c r="F24" s="33"/>
      <c r="G24" s="45"/>
      <c r="H24" s="15"/>
    </row>
    <row r="25" spans="1:8" ht="16.5" thickBot="1" x14ac:dyDescent="0.3">
      <c r="A25" s="14" t="s">
        <v>32</v>
      </c>
      <c r="E25" s="56" t="s">
        <v>27</v>
      </c>
      <c r="F25" s="57"/>
      <c r="G25" s="46"/>
      <c r="H25" s="17"/>
    </row>
    <row r="26" spans="1:8" ht="19.5" thickBot="1" x14ac:dyDescent="0.35">
      <c r="A26" s="16"/>
      <c r="B26" s="4"/>
      <c r="C26" s="4"/>
      <c r="D26" s="17"/>
      <c r="F26" s="3"/>
      <c r="G26" s="34" t="s">
        <v>28</v>
      </c>
      <c r="H26" s="36">
        <f>H21+H22</f>
        <v>188020</v>
      </c>
    </row>
    <row r="27" spans="1:8" ht="16.5" customHeight="1" x14ac:dyDescent="0.25"/>
    <row r="32" spans="1:8" ht="15.75" thickBot="1" x14ac:dyDescent="0.3"/>
    <row r="33" spans="1:8" ht="19.5" thickBot="1" x14ac:dyDescent="0.35">
      <c r="A33" s="25" t="s">
        <v>47</v>
      </c>
      <c r="B33" s="6"/>
      <c r="C33" s="6"/>
      <c r="D33" s="6"/>
      <c r="E33" s="6"/>
      <c r="F33" s="6"/>
      <c r="G33" s="6"/>
      <c r="H33" s="7"/>
    </row>
    <row r="41" spans="1:8" ht="18.75" x14ac:dyDescent="0.3">
      <c r="A41" s="5"/>
    </row>
  </sheetData>
  <hyperlinks>
    <hyperlink ref="C10" r:id="rId1" xr:uid="{4778937E-3C8A-4F72-A87C-3574AB5EA751}"/>
  </hyperlinks>
  <printOptions horizontalCentered="1"/>
  <pageMargins left="0.47244094488188981" right="0.31496062992125984" top="0.31496062992125984" bottom="0.39370078740157483" header="0.31496062992125984" footer="0.31496062992125984"/>
  <pageSetup scale="76"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ARE SERVICIOS S.A.S.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Junior Lozano</dc:creator>
  <cp:lastModifiedBy>Gerencia</cp:lastModifiedBy>
  <cp:lastPrinted>2025-05-15T14:54:40Z</cp:lastPrinted>
  <dcterms:created xsi:type="dcterms:W3CDTF">2018-11-15T17:29:02Z</dcterms:created>
  <dcterms:modified xsi:type="dcterms:W3CDTF">2025-07-28T18:21:02Z</dcterms:modified>
</cp:coreProperties>
</file>