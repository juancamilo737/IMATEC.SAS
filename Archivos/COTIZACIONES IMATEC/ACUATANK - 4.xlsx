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0917F64-779B-46FF-BF3D-A4A68257E48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UATAN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H27" i="1"/>
  <c r="H25" i="1"/>
  <c r="H23" i="1"/>
  <c r="H21" i="1"/>
  <c r="H19" i="1"/>
  <c r="H17" i="1"/>
  <c r="H26" i="1"/>
  <c r="H24" i="1"/>
  <c r="H22" i="1"/>
  <c r="H20" i="1"/>
  <c r="H18" i="1"/>
  <c r="H16" i="1"/>
  <c r="H31" i="1" l="1"/>
  <c r="H35" i="1" s="1"/>
</calcChain>
</file>

<file path=xl/sharedStrings.xml><?xml version="1.0" encoding="utf-8"?>
<sst xmlns="http://schemas.openxmlformats.org/spreadsheetml/2006/main" count="75" uniqueCount="65">
  <si>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</si>
  <si>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</si>
  <si>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</si>
  <si>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</si>
  <si>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</si>
  <si>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</si>
  <si>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</si>
  <si>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</si>
  <si>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</si>
  <si>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</si>
  <si>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</si>
  <si>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</si>
  <si>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</si>
  <si>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</si>
  <si>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</si>
  <si>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</si>
  <si>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</si>
  <si>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</si>
  <si>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</si>
  <si>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</si>
  <si>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</si>
  <si>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</si>
  <si>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</si>
  <si>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</si>
  <si>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</si>
  <si>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</si>
  <si>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</si>
  <si>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</si>
  <si>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</si>
  <si>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</si>
  <si>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</si>
  <si>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</si>
  <si>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</si>
  <si>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</si>
  <si>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</si>
  <si>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</si>
  <si>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</si>
  <si>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</si>
  <si>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</si>
  <si>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ACCESORIO</t>
  </si>
  <si>
    <t>CALI</t>
  </si>
  <si>
    <t>METRO LINEAL</t>
  </si>
  <si>
    <t>EDINSON CABEZAS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</si>
  <si>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</si>
  <si>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</si>
  <si>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 xml:space="preserve">ACUATANK </t>
  </si>
  <si>
    <t>900 639330</t>
  </si>
  <si>
    <t>info@acuatank.com</t>
  </si>
  <si>
    <t>CARRERA 37 No. 12A-22</t>
  </si>
  <si>
    <t>313 7502559</t>
  </si>
  <si>
    <t xml:space="preserve">TUBERIA  A/INOX  304  SCH 10  2 " </t>
  </si>
  <si>
    <t xml:space="preserve">TUBERIA A/INOX  304  SCH 10   3 " </t>
  </si>
  <si>
    <t>VALVULA PIE BRONCE  3 "</t>
  </si>
  <si>
    <t>CODO INOX ROSCAR 3 "  X  90º  NPT</t>
  </si>
  <si>
    <t>COPA HD RANURADA  3 " X  2 "</t>
  </si>
  <si>
    <t>CHEQUE CORTINA INOX  2 "</t>
  </si>
  <si>
    <t>VALVULA CORTINA INOX  2 "</t>
  </si>
  <si>
    <t>UNION HD RANURADA  2 "</t>
  </si>
  <si>
    <t>UNION HD RANURADA  23"</t>
  </si>
  <si>
    <t>CODO HD RANURADO  2 "  X  90º</t>
  </si>
  <si>
    <t>TEE HD RANURADA  3 "</t>
  </si>
  <si>
    <t>NIPLE INOX  3 "  X  30  CMTS  NPT</t>
  </si>
  <si>
    <t>DOS MILLONES NOVECIENTOS TREINTA Y NUEVE MIL</t>
  </si>
  <si>
    <t>CUATROCIENTOS SETENTA Y NUEVE PESOS MDA / CTE</t>
  </si>
  <si>
    <t>ENTREGA EN 2 DIAS A PARTIR DE 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</si>
</sst>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1" xfId="0" applyFont="1" applyBorder="1"/>
    <xf numFmtId="42" fontId="1" fillId="0" borderId="21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4" fillId="0" borderId="22" xfId="0" applyFont="1" applyBorder="1"/>
    <xf numFmtId="42" fontId="1" fillId="0" borderId="23" xfId="1" applyFont="1" applyBorder="1" applyAlignment="1">
      <alignment horizontal="left"/>
    </xf>
    <xf numFmtId="0" fontId="8" fillId="0" borderId="17" xfId="0" applyFont="1" applyBorder="1"/>
    <xf numFmtId="42" fontId="1" fillId="0" borderId="17" xfId="1" applyFont="1" applyBorder="1"/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cua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0"/>
  <sheetViews>
    <sheetView tabSelected="1" topLeftCell="A3" zoomScaleNormal="100" workbookViewId="0">
      <selection activeCell="E37" sqref="E3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50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37</v>
      </c>
      <c r="E4" s="19"/>
      <c r="F4" s="20"/>
      <c r="G4" s="6"/>
      <c r="H4" s="7"/>
    </row>
    <row r="5" spans="1:8" ht="19.5" thickBot="1" x14ac:dyDescent="0.35">
      <c r="A5" s="61" t="s">
        <v>44</v>
      </c>
      <c r="B5" s="6"/>
      <c r="C5" s="6"/>
      <c r="D5" s="6"/>
      <c r="E5" s="6"/>
    </row>
    <row r="6" spans="1:8" ht="24.75" customHeight="1" thickBot="1" x14ac:dyDescent="0.45">
      <c r="F6" s="11" t="s">
        <v>18</v>
      </c>
      <c r="G6" s="19"/>
      <c r="H6" s="20"/>
    </row>
    <row r="7" spans="1:8" ht="19.5" thickBot="1" x14ac:dyDescent="0.35">
      <c r="A7" s="21" t="s">
        <v>14</v>
      </c>
      <c r="B7" s="13"/>
      <c r="C7" s="31" t="s">
        <v>45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46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48</v>
      </c>
      <c r="D9" s="24"/>
      <c r="E9" s="25" t="s">
        <v>40</v>
      </c>
      <c r="F9" s="32" t="s">
        <v>0</v>
      </c>
      <c r="H9" s="33">
        <v>45454</v>
      </c>
    </row>
    <row r="10" spans="1:8" ht="18.75" x14ac:dyDescent="0.3">
      <c r="A10" s="22" t="s">
        <v>13</v>
      </c>
      <c r="C10" s="51" t="s">
        <v>47</v>
      </c>
      <c r="D10" s="26"/>
      <c r="E10" s="26"/>
      <c r="F10" s="32" t="s">
        <v>15</v>
      </c>
      <c r="H10" s="34" t="s">
        <v>36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45464</v>
      </c>
    </row>
    <row r="12" spans="1:8" ht="18.75" x14ac:dyDescent="0.3">
      <c r="A12" s="22" t="s">
        <v>11</v>
      </c>
      <c r="C12" s="25" t="s">
        <v>49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42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69" t="s">
        <v>20</v>
      </c>
      <c r="B15" s="55" t="s">
        <v>25</v>
      </c>
      <c r="C15" s="19"/>
      <c r="D15" s="7"/>
      <c r="E15" s="37" t="s">
        <v>21</v>
      </c>
      <c r="F15" s="37" t="s">
        <v>23</v>
      </c>
      <c r="G15" s="37" t="s">
        <v>22</v>
      </c>
      <c r="H15" s="37" t="s">
        <v>24</v>
      </c>
    </row>
    <row r="16" spans="1:8" ht="16.5" thickBot="1" x14ac:dyDescent="0.3">
      <c r="A16" s="56">
        <v>1</v>
      </c>
      <c r="B16" s="40" t="s">
        <v>50</v>
      </c>
      <c r="C16" s="41"/>
      <c r="D16" s="57"/>
      <c r="E16" s="66" t="s">
        <v>41</v>
      </c>
      <c r="F16" s="60">
        <v>78650</v>
      </c>
      <c r="G16" s="56">
        <v>6</v>
      </c>
      <c r="H16" s="63">
        <f t="shared" ref="H16:H25" si="0">G16*F16</f>
        <v>471900</v>
      </c>
    </row>
    <row r="17" spans="1:10" ht="16.5" thickBot="1" x14ac:dyDescent="0.3">
      <c r="A17" s="70">
        <v>2</v>
      </c>
      <c r="B17" s="40" t="s">
        <v>51</v>
      </c>
      <c r="D17" s="39"/>
      <c r="E17" s="66" t="s">
        <v>41</v>
      </c>
      <c r="F17" s="59">
        <v>122000</v>
      </c>
      <c r="G17" s="56">
        <v>6</v>
      </c>
      <c r="H17" s="63">
        <f t="shared" si="0"/>
        <v>732000</v>
      </c>
    </row>
    <row r="18" spans="1:10" ht="16.5" thickBot="1" x14ac:dyDescent="0.3">
      <c r="A18" s="56">
        <v>3</v>
      </c>
      <c r="B18" s="40" t="s">
        <v>52</v>
      </c>
      <c r="C18" s="41"/>
      <c r="D18" s="64"/>
      <c r="E18" s="66" t="s">
        <v>39</v>
      </c>
      <c r="F18" s="59">
        <v>542000</v>
      </c>
      <c r="G18" s="56">
        <v>1</v>
      </c>
      <c r="H18" s="63">
        <f t="shared" si="0"/>
        <v>542000</v>
      </c>
    </row>
    <row r="19" spans="1:10" ht="16.5" thickBot="1" x14ac:dyDescent="0.3">
      <c r="A19" s="56">
        <v>4</v>
      </c>
      <c r="B19" s="40" t="s">
        <v>53</v>
      </c>
      <c r="C19" s="41"/>
      <c r="D19" s="64"/>
      <c r="E19" s="66" t="s">
        <v>39</v>
      </c>
      <c r="F19" s="59">
        <v>147000</v>
      </c>
      <c r="G19" s="56">
        <v>1</v>
      </c>
      <c r="H19" s="63">
        <f t="shared" si="0"/>
        <v>147000</v>
      </c>
    </row>
    <row r="20" spans="1:10" ht="16.5" thickBot="1" x14ac:dyDescent="0.3">
      <c r="A20" s="56">
        <v>5</v>
      </c>
      <c r="B20" s="40" t="s">
        <v>54</v>
      </c>
      <c r="C20" s="41"/>
      <c r="D20" s="64"/>
      <c r="E20" s="66" t="s">
        <v>39</v>
      </c>
      <c r="F20" s="59">
        <v>18200</v>
      </c>
      <c r="G20" s="56">
        <v>1</v>
      </c>
      <c r="H20" s="63">
        <f t="shared" si="0"/>
        <v>18200</v>
      </c>
      <c r="I20" s="38"/>
      <c r="J20" s="38"/>
    </row>
    <row r="21" spans="1:10" ht="16.5" thickBot="1" x14ac:dyDescent="0.3">
      <c r="A21" s="56">
        <v>6</v>
      </c>
      <c r="B21" s="40" t="s">
        <v>55</v>
      </c>
      <c r="C21" s="41"/>
      <c r="D21" s="64"/>
      <c r="E21" s="56" t="s">
        <v>39</v>
      </c>
      <c r="F21" s="59">
        <v>172000</v>
      </c>
      <c r="G21" s="56">
        <v>1</v>
      </c>
      <c r="H21" s="65">
        <f t="shared" si="0"/>
        <v>172000</v>
      </c>
      <c r="I21" s="38"/>
      <c r="J21" s="38"/>
    </row>
    <row r="22" spans="1:10" ht="16.5" thickBot="1" x14ac:dyDescent="0.3">
      <c r="A22" s="56">
        <v>7</v>
      </c>
      <c r="B22" s="40" t="s">
        <v>56</v>
      </c>
      <c r="C22" s="41"/>
      <c r="D22" s="64"/>
      <c r="E22" s="56" t="s">
        <v>39</v>
      </c>
      <c r="F22" s="59">
        <v>180000</v>
      </c>
      <c r="G22" s="56">
        <v>1</v>
      </c>
      <c r="H22" s="63">
        <f t="shared" si="0"/>
        <v>180000</v>
      </c>
      <c r="I22" s="38"/>
      <c r="J22" s="38"/>
    </row>
    <row r="23" spans="1:10" ht="16.5" thickBot="1" x14ac:dyDescent="0.3">
      <c r="A23" s="56">
        <v>8</v>
      </c>
      <c r="B23" s="40" t="s">
        <v>57</v>
      </c>
      <c r="C23" s="41"/>
      <c r="D23" s="64"/>
      <c r="E23" s="56" t="s">
        <v>39</v>
      </c>
      <c r="F23" s="59">
        <v>13000</v>
      </c>
      <c r="G23" s="56">
        <v>1</v>
      </c>
      <c r="H23" s="65">
        <f t="shared" si="0"/>
        <v>13000</v>
      </c>
      <c r="I23" s="38"/>
      <c r="J23" s="38"/>
    </row>
    <row r="24" spans="1:10" ht="16.5" thickBot="1" x14ac:dyDescent="0.3">
      <c r="A24" s="56">
        <v>9</v>
      </c>
      <c r="B24" s="40" t="s">
        <v>58</v>
      </c>
      <c r="C24" s="41"/>
      <c r="D24" s="64"/>
      <c r="E24" s="56" t="s">
        <v>39</v>
      </c>
      <c r="F24" s="59">
        <v>15200</v>
      </c>
      <c r="G24" s="56">
        <v>1</v>
      </c>
      <c r="H24" s="58">
        <f t="shared" si="0"/>
        <v>15200</v>
      </c>
      <c r="I24" s="38"/>
      <c r="J24" s="38"/>
    </row>
    <row r="25" spans="1:10" ht="16.5" thickBot="1" x14ac:dyDescent="0.3">
      <c r="A25" s="56">
        <v>10</v>
      </c>
      <c r="B25" s="40" t="s">
        <v>59</v>
      </c>
      <c r="C25" s="41"/>
      <c r="D25" s="64"/>
      <c r="E25" s="56" t="s">
        <v>39</v>
      </c>
      <c r="F25" s="59">
        <v>17550</v>
      </c>
      <c r="G25" s="56">
        <v>1</v>
      </c>
      <c r="H25" s="58">
        <f t="shared" si="0"/>
        <v>17550</v>
      </c>
      <c r="I25" s="38"/>
      <c r="J25" s="38"/>
    </row>
    <row r="26" spans="1:10" ht="16.5" thickBot="1" x14ac:dyDescent="0.3">
      <c r="A26" s="56">
        <v>11</v>
      </c>
      <c r="B26" s="40" t="s">
        <v>60</v>
      </c>
      <c r="C26" s="41"/>
      <c r="D26" s="41"/>
      <c r="E26" s="66" t="s">
        <v>39</v>
      </c>
      <c r="F26" s="59">
        <v>47300</v>
      </c>
      <c r="G26" s="56">
        <v>1</v>
      </c>
      <c r="H26" s="58">
        <f t="shared" ref="H26:H27" si="1">G26*F26</f>
        <v>47300</v>
      </c>
      <c r="I26" s="38"/>
      <c r="J26" s="38"/>
    </row>
    <row r="27" spans="1:10" ht="16.5" customHeight="1" x14ac:dyDescent="0.25">
      <c r="A27" s="56">
        <v>12</v>
      </c>
      <c r="B27" s="40" t="s">
        <v>61</v>
      </c>
      <c r="C27" s="41"/>
      <c r="D27" s="41"/>
      <c r="E27" s="66" t="s">
        <v>39</v>
      </c>
      <c r="F27" s="59">
        <v>114000</v>
      </c>
      <c r="G27" s="56">
        <v>1</v>
      </c>
      <c r="H27" s="58">
        <f t="shared" si="1"/>
        <v>114000</v>
      </c>
      <c r="I27" s="38"/>
      <c r="J27" s="38"/>
    </row>
    <row r="28" spans="1:10" ht="19.5" customHeight="1" thickBot="1" x14ac:dyDescent="0.3"/>
    <row r="29" spans="1:10" ht="19.5" customHeight="1" thickBot="1" x14ac:dyDescent="0.35">
      <c r="A29" s="67" t="s">
        <v>26</v>
      </c>
      <c r="B29" s="12" t="s">
        <v>62</v>
      </c>
      <c r="C29" s="13"/>
      <c r="D29" s="14"/>
      <c r="E29" s="13"/>
      <c r="F29" s="42" t="s">
        <v>32</v>
      </c>
      <c r="G29" s="13"/>
      <c r="H29" s="7"/>
    </row>
    <row r="30" spans="1:10" ht="19.5" customHeight="1" thickBot="1" x14ac:dyDescent="0.3">
      <c r="A30" s="68"/>
      <c r="B30" s="17" t="s">
        <v>63</v>
      </c>
      <c r="C30" s="4"/>
      <c r="D30" s="4"/>
      <c r="E30" s="43" t="s">
        <v>27</v>
      </c>
      <c r="F30" s="44"/>
      <c r="G30" s="26"/>
      <c r="H30" s="52">
        <f>SUM(H16:H29)</f>
        <v>2470150</v>
      </c>
    </row>
    <row r="31" spans="1:10" ht="19.5" customHeight="1" thickBot="1" x14ac:dyDescent="0.3">
      <c r="A31" s="27" t="s">
        <v>28</v>
      </c>
      <c r="B31" s="13"/>
      <c r="C31" s="13"/>
      <c r="D31" s="14"/>
      <c r="E31" s="3" t="s">
        <v>34</v>
      </c>
      <c r="F31" s="62"/>
      <c r="G31" s="46">
        <v>0.19</v>
      </c>
      <c r="H31" s="53">
        <f>H30*G31</f>
        <v>469328.5</v>
      </c>
    </row>
    <row r="32" spans="1:10" ht="19.5" customHeight="1" thickTop="1" x14ac:dyDescent="0.25">
      <c r="A32" s="15" t="s">
        <v>35</v>
      </c>
      <c r="D32" s="16"/>
      <c r="E32" s="44" t="s">
        <v>29</v>
      </c>
      <c r="G32">
        <v>0</v>
      </c>
      <c r="H32" s="47"/>
    </row>
    <row r="33" spans="1:8" ht="15.75" x14ac:dyDescent="0.25">
      <c r="A33" s="15" t="s">
        <v>64</v>
      </c>
      <c r="D33" s="16"/>
      <c r="F33" s="44"/>
      <c r="G33" s="26"/>
      <c r="H33" s="48"/>
    </row>
    <row r="34" spans="1:8" ht="16.5" thickBot="1" x14ac:dyDescent="0.3">
      <c r="A34" s="15" t="s">
        <v>38</v>
      </c>
      <c r="D34" s="16"/>
      <c r="E34" s="44" t="s">
        <v>30</v>
      </c>
      <c r="F34" s="44"/>
      <c r="G34" s="26"/>
      <c r="H34" s="49"/>
    </row>
    <row r="35" spans="1:8" ht="19.5" thickBot="1" x14ac:dyDescent="0.35">
      <c r="A35" s="17"/>
      <c r="B35" s="4"/>
      <c r="C35" s="4"/>
      <c r="D35" s="18"/>
      <c r="F35" s="3"/>
      <c r="G35" s="45" t="s">
        <v>31</v>
      </c>
      <c r="H35" s="54">
        <f>H30+H31</f>
        <v>2939478.5</v>
      </c>
    </row>
    <row r="36" spans="1:8" ht="16.5" customHeight="1" x14ac:dyDescent="0.25"/>
    <row r="41" spans="1:8" ht="15.75" thickBot="1" x14ac:dyDescent="0.3"/>
    <row r="42" spans="1:8" ht="19.5" thickBot="1" x14ac:dyDescent="0.35">
      <c r="A42" s="28" t="s">
        <v>43</v>
      </c>
      <c r="B42" s="6"/>
      <c r="C42" s="6"/>
      <c r="D42" s="6"/>
      <c r="E42" s="6"/>
      <c r="F42" s="6"/>
      <c r="G42" s="6"/>
      <c r="H42" s="7"/>
    </row>
    <row r="50" spans="1:1" ht="18.75" x14ac:dyDescent="0.3">
      <c r="A50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ACUATANK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2024-09-20T15:14:38Z</dcterms:modified>
</cp:coreProperties>
</file>