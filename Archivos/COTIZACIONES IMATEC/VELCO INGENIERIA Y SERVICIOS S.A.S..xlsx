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A64C157D-1E81-49EE-B73C-D869434D07D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22" i="1" s="1"/>
  <c r="H17" i="1"/>
  <c r="H16" i="1"/>
  <c r="H23" i="1" l="1"/>
  <c r="H27" i="1" s="1"/>
</calcChain>
</file>

<file path=xl/sharedStrings.xml><?xml version="1.0" encoding="utf-8"?>
<sst xmlns="http://schemas.openxmlformats.org/spreadsheetml/2006/main" count="59" uniqueCount="56">
  <si>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</si>
  <si>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</si>
  <si>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</si>
  <si>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</si>
  <si>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</si>
  <si>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</si>
  <si>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</si>
  <si>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</si>
  <si>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</si>
  <si>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</si>
  <si>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</si>
  <si>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</si>
  <si>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</si>
  <si>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</si>
  <si>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</si>
  <si>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</si>
  <si>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</si>
  <si>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</si>
  <si>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</si>
  <si>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</si>
  <si>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</si>
  <si>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</si>
  <si>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</si>
  <si>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</si>
  <si>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</si>
  <si>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</si>
  <si>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</si>
  <si>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</si>
  <si>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</si>
  <si>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</si>
  <si>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</si>
  <si>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</si>
  <si>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</si>
  <si>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</si>
  <si>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</si>
  <si>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</si>
  <si>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</si>
  <si>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</si>
  <si>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</si>
  <si>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</si>
  <si>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</si>
  <si>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</si>
  <si>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VELCO INGENIERIA Y SERVICIOS S.A.S.</t>
  </si>
  <si>
    <t>901 827384</t>
  </si>
  <si>
    <t>CARRERA 23 A BIS  No. 26 - 105</t>
  </si>
  <si>
    <t>CALI</t>
  </si>
  <si>
    <t>velcoingenieriayservicios@gmail.com</t>
  </si>
  <si>
    <t>324 4714767</t>
  </si>
  <si>
    <t>LUIS  A.  BENAVIDES</t>
  </si>
  <si>
    <t>SIFON COLA DE MARRANO AC/INOX 304  1/4 "</t>
  </si>
  <si>
    <t>UNION  AC/INOX  304  1/4 "</t>
  </si>
  <si>
    <t>MANOMETRO CARATULA 2 1/2" INOX  0-100 PSI</t>
  </si>
  <si>
    <t>BUSHING AC/INOX 304  1 "  X  1/4 "</t>
  </si>
  <si>
    <t xml:space="preserve">DOSCIENTOS DIECIOCHO MIL NOVECIENTOS SESENTA 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</si>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</sst>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lcoingenieriayservici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zoomScaleNormal="100" workbookViewId="0">
      <selection activeCell="A26" sqref="A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45916</v>
      </c>
    </row>
    <row r="10" spans="1:8" ht="18.75" x14ac:dyDescent="0.3">
      <c r="A10" s="21" t="s">
        <v>13</v>
      </c>
      <c r="C10" s="70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45925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39</v>
      </c>
      <c r="F16" s="65">
        <v>28000</v>
      </c>
      <c r="G16" s="61">
        <v>2</v>
      </c>
      <c r="H16" s="38">
        <f t="shared" ref="H16" si="0">G16*F16</f>
        <v>56000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39</v>
      </c>
      <c r="F17" s="65">
        <v>6000</v>
      </c>
      <c r="G17" s="61">
        <v>2</v>
      </c>
      <c r="H17" s="38">
        <f t="shared" ref="H17:H19" si="1">G17*F17</f>
        <v>12000</v>
      </c>
    </row>
    <row r="18" spans="1:8" ht="16.5" thickBot="1" x14ac:dyDescent="0.3">
      <c r="A18" s="61">
        <v>3</v>
      </c>
      <c r="B18" s="62" t="s">
        <v>51</v>
      </c>
      <c r="C18" s="63"/>
      <c r="D18" s="64"/>
      <c r="E18" s="61" t="s">
        <v>39</v>
      </c>
      <c r="F18" s="65">
        <v>47000</v>
      </c>
      <c r="G18" s="61">
        <v>2</v>
      </c>
      <c r="H18" s="38">
        <f t="shared" si="1"/>
        <v>94000</v>
      </c>
    </row>
    <row r="19" spans="1:8" ht="16.5" thickBot="1" x14ac:dyDescent="0.3">
      <c r="A19" s="61">
        <v>4</v>
      </c>
      <c r="B19" s="62" t="s">
        <v>52</v>
      </c>
      <c r="C19" s="63"/>
      <c r="D19" s="64"/>
      <c r="E19" s="61" t="s">
        <v>39</v>
      </c>
      <c r="F19" s="65">
        <v>11000</v>
      </c>
      <c r="G19" s="61">
        <v>2</v>
      </c>
      <c r="H19" s="38">
        <f t="shared" si="1"/>
        <v>22000</v>
      </c>
    </row>
    <row r="20" spans="1:8" ht="19.5" customHeight="1" thickBot="1" x14ac:dyDescent="0.3">
      <c r="A20" s="48"/>
      <c r="B20" s="67"/>
      <c r="D20" s="68"/>
      <c r="E20" s="48"/>
      <c r="F20" s="48"/>
      <c r="G20" s="48"/>
    </row>
    <row r="21" spans="1:8" ht="19.5" customHeight="1" thickBot="1" x14ac:dyDescent="0.35">
      <c r="A21" s="66" t="s">
        <v>23</v>
      </c>
      <c r="B21" s="69" t="s">
        <v>53</v>
      </c>
      <c r="C21" s="12"/>
      <c r="D21" s="13"/>
      <c r="E21" s="49"/>
      <c r="F21" s="37" t="s">
        <v>40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17"/>
      <c r="E22" s="52" t="s">
        <v>24</v>
      </c>
      <c r="F22" s="53"/>
      <c r="G22" s="44"/>
      <c r="H22" s="50">
        <f>SUM(H16:H19)</f>
        <v>184000</v>
      </c>
    </row>
    <row r="23" spans="1:8" ht="19.5" customHeight="1" x14ac:dyDescent="0.25">
      <c r="A23" s="24" t="s">
        <v>25</v>
      </c>
      <c r="B23" s="12"/>
      <c r="C23" s="12"/>
      <c r="D23" s="12"/>
      <c r="E23" s="54" t="s">
        <v>29</v>
      </c>
      <c r="F23" s="23"/>
      <c r="G23" s="55">
        <v>0.19</v>
      </c>
      <c r="H23" s="40">
        <f>H22*G23</f>
        <v>34960</v>
      </c>
    </row>
    <row r="24" spans="1:8" ht="19.5" customHeight="1" x14ac:dyDescent="0.25">
      <c r="A24" s="14" t="s">
        <v>30</v>
      </c>
      <c r="E24" s="56" t="s">
        <v>26</v>
      </c>
      <c r="G24" s="59">
        <v>2.5000000000000001E-2</v>
      </c>
      <c r="H24" s="51"/>
    </row>
    <row r="25" spans="1:8" ht="15.75" x14ac:dyDescent="0.25">
      <c r="A25" s="14" t="s">
        <v>55</v>
      </c>
      <c r="E25" s="14"/>
      <c r="F25" s="33"/>
      <c r="G25" s="45"/>
      <c r="H25" s="15"/>
    </row>
    <row r="26" spans="1:8" ht="16.5" thickBot="1" x14ac:dyDescent="0.3">
      <c r="A26" s="14" t="s">
        <v>33</v>
      </c>
      <c r="E26" s="57" t="s">
        <v>27</v>
      </c>
      <c r="F26" s="58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218960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41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1DA0BBA8-98FD-4503-B458-F3CA6A882EB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2025-09-16T15:34:16Z</dcterms:modified>
</cp:coreProperties>
</file>