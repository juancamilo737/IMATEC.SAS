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D843A89-997A-49A9-9084-E7C891305766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FERRETERIA REI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4" i="1"/>
  <c r="H21" i="1"/>
  <c r="H20" i="1"/>
  <c r="H19" i="1"/>
  <c r="H18" i="1"/>
  <c r="H17" i="1"/>
  <c r="H16" i="1"/>
  <c r="H26" i="1" l="1"/>
  <c r="H25" i="1"/>
</calcChain>
</file>

<file path=xl/sharedStrings.xml><?xml version="1.0" encoding="utf-8"?>
<sst xmlns="http://schemas.openxmlformats.org/spreadsheetml/2006/main" count="63" uniqueCount="60">
  <si>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</si>
  <si>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</si>
  <si>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</si>
  <si>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</si>
  <si>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</si>
  <si>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</si>
  <si>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</si>
  <si>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</si>
  <si>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</si>
  <si>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</si>
  <si>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</si>
  <si>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</si>
  <si>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</si>
  <si>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</si>
  <si>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</si>
  <si>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</si>
  <si>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</si>
  <si>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</si>
  <si>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</si>
  <si>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</si>
  <si>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</si>
  <si>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</si>
  <si>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</si>
  <si>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</si>
  <si>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</si>
  <si>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</si>
  <si>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</si>
  <si>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</si>
  <si>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</si>
  <si>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</si>
  <si>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</si>
  <si>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</si>
  <si>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</si>
  <si>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</si>
  <si>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</si>
  <si>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</si>
  <si>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</si>
  <si>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</si>
  <si>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</si>
  <si>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</si>
  <si>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</si>
  <si>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FERRETERIA REINA  S. A.</t>
  </si>
  <si>
    <t>860 001607</t>
  </si>
  <si>
    <t>CALI</t>
  </si>
  <si>
    <t>CRA 1  No. 46N-07</t>
  </si>
  <si>
    <t>LUIS A. BENAVIDES</t>
  </si>
  <si>
    <t>310 5034035</t>
  </si>
  <si>
    <t>ENTREGA EN TRES DIAS A PARTIR DE ORDEN DE COMPRA</t>
  </si>
  <si>
    <t>TUBO</t>
  </si>
  <si>
    <t>FORMA DE PAGO : CREDITO A 60 DIAS</t>
  </si>
  <si>
    <t>No. 4</t>
  </si>
  <si>
    <t>TUBERIA  AC/INOX 304 SCH 10  14 " X 6 MTS</t>
  </si>
  <si>
    <t>BRIDA A / C  L J  16 "</t>
  </si>
  <si>
    <t>BRIDA  A / C  L J  20</t>
  </si>
  <si>
    <t>STUB END AC/INOX 304  SCH 40 10 "</t>
  </si>
  <si>
    <t>FABRICACION</t>
  </si>
  <si>
    <t>STUB END AC/INOX 304  SCH 10 16 "</t>
  </si>
  <si>
    <t>STUB END AC/INOX 304  SCH 10 18 "</t>
  </si>
  <si>
    <t>TREINTA Y CINCO MILLONES CUATROCIENTOS CUAREN-</t>
  </si>
  <si>
    <t>TA MIL CUATROCIENTOS SESENTA Y CINCO PESOS M/CTE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</si>
</sst>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43</v>
      </c>
      <c r="F9" s="30" t="s">
        <v>0</v>
      </c>
      <c r="H9" s="28">
        <v>45735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30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45718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48</v>
      </c>
      <c r="F16" s="79">
        <v>4490500</v>
      </c>
      <c r="G16" s="75">
        <v>2</v>
      </c>
      <c r="H16" s="38">
        <f t="shared" ref="H16" si="0">G16*F16</f>
        <v>8981000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38</v>
      </c>
      <c r="F17" s="79">
        <v>690000</v>
      </c>
      <c r="G17" s="75">
        <v>4</v>
      </c>
      <c r="H17" s="38">
        <f t="shared" ref="H17:H21" si="1">G17*F17</f>
        <v>2760000</v>
      </c>
    </row>
    <row r="18" spans="1:8" ht="16.5" thickBot="1" x14ac:dyDescent="0.3">
      <c r="A18" s="75">
        <v>3</v>
      </c>
      <c r="B18" s="76" t="s">
        <v>53</v>
      </c>
      <c r="C18" s="77"/>
      <c r="D18" s="78"/>
      <c r="E18" s="75" t="s">
        <v>38</v>
      </c>
      <c r="F18" s="79">
        <v>980000</v>
      </c>
      <c r="G18" s="75">
        <v>2</v>
      </c>
      <c r="H18" s="38">
        <f t="shared" si="1"/>
        <v>1960000</v>
      </c>
    </row>
    <row r="19" spans="1:8" ht="16.5" thickBot="1" x14ac:dyDescent="0.3">
      <c r="A19" s="75">
        <v>4</v>
      </c>
      <c r="B19" s="76" t="s">
        <v>54</v>
      </c>
      <c r="C19" s="77"/>
      <c r="D19" s="78"/>
      <c r="E19" s="75" t="s">
        <v>55</v>
      </c>
      <c r="F19" s="79">
        <v>650000</v>
      </c>
      <c r="G19" s="75">
        <v>12</v>
      </c>
      <c r="H19" s="38">
        <f t="shared" si="1"/>
        <v>7800000</v>
      </c>
    </row>
    <row r="20" spans="1:8" ht="16.5" thickBot="1" x14ac:dyDescent="0.3">
      <c r="A20" s="75">
        <v>5</v>
      </c>
      <c r="B20" s="76" t="s">
        <v>56</v>
      </c>
      <c r="C20" s="77"/>
      <c r="D20" s="78"/>
      <c r="E20" s="75" t="s">
        <v>55</v>
      </c>
      <c r="F20" s="79">
        <v>680000</v>
      </c>
      <c r="G20" s="75">
        <v>4</v>
      </c>
      <c r="H20" s="38">
        <f t="shared" si="1"/>
        <v>2720000</v>
      </c>
    </row>
    <row r="21" spans="1:8" ht="16.5" thickBot="1" x14ac:dyDescent="0.3">
      <c r="A21" s="75">
        <v>6</v>
      </c>
      <c r="B21" s="76" t="s">
        <v>57</v>
      </c>
      <c r="C21" s="77"/>
      <c r="D21" s="78"/>
      <c r="E21" s="75" t="s">
        <v>55</v>
      </c>
      <c r="F21" s="79">
        <v>1550000</v>
      </c>
      <c r="G21" s="75">
        <v>4</v>
      </c>
      <c r="H21" s="38">
        <f t="shared" si="1"/>
        <v>6200000</v>
      </c>
    </row>
    <row r="22" spans="1:8" ht="19.5" customHeight="1" thickBot="1" x14ac:dyDescent="0.3">
      <c r="A22" s="51"/>
      <c r="B22" s="45"/>
      <c r="C22" s="42"/>
      <c r="D22" s="52"/>
      <c r="E22" s="53"/>
      <c r="F22" s="53"/>
      <c r="G22" s="53"/>
    </row>
    <row r="23" spans="1:8" ht="19.5" customHeight="1" thickBot="1" x14ac:dyDescent="0.35">
      <c r="A23" s="50" t="s">
        <v>23</v>
      </c>
      <c r="B23" s="14" t="s">
        <v>58</v>
      </c>
      <c r="D23" s="15"/>
      <c r="E23" s="54"/>
      <c r="F23" s="37" t="s">
        <v>39</v>
      </c>
      <c r="G23" s="6"/>
      <c r="H23" s="7"/>
    </row>
    <row r="24" spans="1:8" ht="19.5" customHeight="1" thickBot="1" x14ac:dyDescent="0.3">
      <c r="A24" s="39"/>
      <c r="B24" s="16" t="s">
        <v>59</v>
      </c>
      <c r="C24" s="4"/>
      <c r="D24" s="4"/>
      <c r="E24" s="57" t="s">
        <v>24</v>
      </c>
      <c r="F24" s="58"/>
      <c r="G24" s="46"/>
      <c r="H24" s="55">
        <f>SUM(H16:H21)</f>
        <v>30421000</v>
      </c>
    </row>
    <row r="25" spans="1:8" ht="19.5" customHeight="1" x14ac:dyDescent="0.25">
      <c r="A25" s="24" t="s">
        <v>25</v>
      </c>
      <c r="B25" s="12"/>
      <c r="C25" s="12"/>
      <c r="D25" s="12"/>
      <c r="E25" s="59" t="s">
        <v>29</v>
      </c>
      <c r="F25" s="23"/>
      <c r="G25" s="60">
        <v>0.19</v>
      </c>
      <c r="H25" s="40">
        <f>H24*G25</f>
        <v>5779990</v>
      </c>
    </row>
    <row r="26" spans="1:8" ht="19.5" customHeight="1" x14ac:dyDescent="0.25">
      <c r="A26" s="14" t="s">
        <v>49</v>
      </c>
      <c r="E26" s="61" t="s">
        <v>26</v>
      </c>
      <c r="G26" s="64">
        <v>2.5000000000000001E-2</v>
      </c>
      <c r="H26" s="56">
        <f>H24*G26</f>
        <v>760525</v>
      </c>
    </row>
    <row r="27" spans="1:8" ht="15.75" x14ac:dyDescent="0.25">
      <c r="A27" s="14" t="s">
        <v>47</v>
      </c>
      <c r="E27" s="14"/>
      <c r="F27" s="33"/>
      <c r="G27" s="47"/>
      <c r="H27" s="15"/>
    </row>
    <row r="28" spans="1:8" ht="16.5" thickBot="1" x14ac:dyDescent="0.3">
      <c r="A28" s="14" t="s">
        <v>32</v>
      </c>
      <c r="E28" s="62" t="s">
        <v>27</v>
      </c>
      <c r="F28" s="63"/>
      <c r="G28" s="48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35440465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40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REINA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2025-03-19T20:44:29Z</dcterms:modified>
</cp:coreProperties>
</file>