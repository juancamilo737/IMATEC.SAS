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FCAD0ED-47D0-4E48-902D-F38BC9C3255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QUA VITRUBIO 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6" i="1"/>
  <c r="H21" i="1"/>
  <c r="H20" i="1"/>
  <c r="H18" i="1"/>
  <c r="H16" i="1"/>
  <c r="H24" i="1" s="1"/>
  <c r="H25" i="1" l="1"/>
</calcChain>
</file>

<file path=xl/sharedStrings.xml><?xml version="1.0" encoding="utf-8"?>
<sst xmlns="http://schemas.openxmlformats.org/spreadsheetml/2006/main" count="62" uniqueCount="58">
  <si>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</si>
  <si>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</si>
  <si>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</si>
  <si>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</si>
  <si>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</si>
  <si>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</si>
  <si>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</si>
  <si>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</si>
  <si>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</si>
  <si>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</si>
  <si>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</si>
  <si>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</si>
  <si>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</si>
  <si>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</si>
  <si>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</si>
  <si>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</si>
  <si>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</si>
  <si>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</si>
  <si>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</si>
  <si>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</si>
  <si>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</si>
  <si>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</si>
  <si>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</si>
  <si>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</si>
  <si>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</si>
  <si>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</si>
  <si>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</si>
  <si>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</si>
  <si>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</si>
  <si>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</si>
  <si>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</si>
  <si>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</si>
  <si>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</si>
  <si>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</si>
  <si>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</si>
  <si>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</si>
  <si>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</si>
  <si>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</si>
  <si>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</si>
  <si>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</si>
  <si>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</si>
  <si>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ACQUA VITRUVIO SAS</t>
  </si>
  <si>
    <t>900 881379</t>
  </si>
  <si>
    <t>CALLE 3  No. 4-300</t>
  </si>
  <si>
    <t>PALMIRA</t>
  </si>
  <si>
    <t>j-gaitan@hotmail.com</t>
  </si>
  <si>
    <t>602 6669102</t>
  </si>
  <si>
    <t>EDINSON CABEZAS</t>
  </si>
  <si>
    <t>No. 4</t>
  </si>
  <si>
    <t>VALVULA MARIPOSA CUERPO HR DISCO AC/INOX</t>
  </si>
  <si>
    <t>8 "  X  150  LB</t>
  </si>
  <si>
    <t>ACCESORIO</t>
  </si>
  <si>
    <t>10 "  X  150  LB</t>
  </si>
  <si>
    <t>BRIDA  AC/INOX 304  10  "  X  150 LB  ROSCADA</t>
  </si>
  <si>
    <t>BRIDA  AC/INOX 304   8 "  X  150 LB  ROSCADA</t>
  </si>
  <si>
    <t>SON :</t>
  </si>
  <si>
    <t>ONCE MILLONES SETECIENTOS OCHENTA MIL</t>
  </si>
  <si>
    <t>CUATROCIENTOS OCHENTA PESOS MDA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</si>
</sst>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" fillId="0" borderId="1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42" fontId="11" fillId="0" borderId="26" xfId="1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33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8" fillId="0" borderId="0" xfId="0" applyFont="1" applyBorder="1"/>
    <xf numFmtId="0" fontId="0" fillId="0" borderId="0" xfId="0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5" fillId="0" borderId="15" xfId="0" applyFont="1" applyBorder="1" applyAlignment="1">
      <alignment horizontal="right"/>
    </xf>
    <xf numFmtId="0" fontId="0" fillId="0" borderId="31" xfId="0" applyBorder="1"/>
    <xf numFmtId="0" fontId="0" fillId="0" borderId="32" xfId="0" applyBorder="1"/>
    <xf numFmtId="42" fontId="1" fillId="0" borderId="34" xfId="1" applyFont="1" applyBorder="1" applyAlignment="1">
      <alignment horizontal="left"/>
    </xf>
    <xf numFmtId="42" fontId="1" fillId="0" borderId="35" xfId="1" applyFont="1" applyBorder="1" applyAlignment="1">
      <alignment horizontal="left"/>
    </xf>
    <xf numFmtId="42" fontId="1" fillId="0" borderId="36" xfId="1" applyFont="1" applyBorder="1" applyAlignment="1">
      <alignment horizontal="left"/>
    </xf>
    <xf numFmtId="0" fontId="8" fillId="0" borderId="1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4" zoomScaleNormal="100" workbookViewId="0">
      <selection activeCell="E32" sqref="E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6" t="s">
        <v>35</v>
      </c>
      <c r="B5" s="6"/>
      <c r="C5" s="6"/>
      <c r="D5" s="6"/>
      <c r="E5" s="6"/>
    </row>
    <row r="6" spans="1:8" ht="24.75" customHeight="1" thickBot="1" x14ac:dyDescent="0.45">
      <c r="F6" s="39" t="s">
        <v>40</v>
      </c>
      <c r="G6" s="40"/>
      <c r="H6" s="41"/>
    </row>
    <row r="7" spans="1:8" ht="19.5" thickBot="1" x14ac:dyDescent="0.35">
      <c r="A7" s="20" t="s">
        <v>14</v>
      </c>
      <c r="B7" s="12"/>
      <c r="C7" s="67" t="s">
        <v>41</v>
      </c>
      <c r="D7" s="12"/>
      <c r="E7" s="13"/>
      <c r="F7" s="36"/>
      <c r="G7" s="18"/>
      <c r="H7" s="19" t="s">
        <v>48</v>
      </c>
    </row>
    <row r="8" spans="1:8" ht="18.75" x14ac:dyDescent="0.3">
      <c r="A8" s="21" t="s">
        <v>8</v>
      </c>
      <c r="C8" s="69" t="s">
        <v>42</v>
      </c>
      <c r="D8" s="70"/>
      <c r="E8" s="42"/>
      <c r="H8" s="15"/>
    </row>
    <row r="9" spans="1:8" ht="18.75" customHeight="1" x14ac:dyDescent="0.3">
      <c r="A9" s="21" t="s">
        <v>9</v>
      </c>
      <c r="C9" s="71" t="s">
        <v>43</v>
      </c>
      <c r="D9" s="23"/>
      <c r="E9" s="72" t="s">
        <v>44</v>
      </c>
      <c r="F9" s="30" t="s">
        <v>0</v>
      </c>
      <c r="H9" s="28">
        <v>45581</v>
      </c>
    </row>
    <row r="10" spans="1:8" ht="18.75" x14ac:dyDescent="0.3">
      <c r="A10" s="21" t="s">
        <v>13</v>
      </c>
      <c r="C10" s="73" t="s">
        <v>45</v>
      </c>
      <c r="D10" s="68"/>
      <c r="E10" s="43"/>
      <c r="F10" s="30" t="s">
        <v>15</v>
      </c>
      <c r="H10" s="29" t="s">
        <v>31</v>
      </c>
    </row>
    <row r="11" spans="1:8" ht="18.75" x14ac:dyDescent="0.3">
      <c r="A11" s="21" t="s">
        <v>10</v>
      </c>
      <c r="C11" s="74"/>
      <c r="D11" s="68"/>
      <c r="E11" s="43"/>
      <c r="F11" s="30" t="s">
        <v>16</v>
      </c>
      <c r="G11" s="30"/>
      <c r="H11" s="28">
        <v>45590</v>
      </c>
    </row>
    <row r="12" spans="1:8" ht="18.75" x14ac:dyDescent="0.3">
      <c r="A12" s="21" t="s">
        <v>11</v>
      </c>
      <c r="C12" s="74" t="s">
        <v>46</v>
      </c>
      <c r="D12" s="68"/>
      <c r="E12" s="43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5" t="s">
        <v>47</v>
      </c>
      <c r="D13" s="76"/>
      <c r="E13" s="44"/>
      <c r="F13" s="4"/>
      <c r="G13" s="4"/>
      <c r="H13" s="17"/>
    </row>
    <row r="14" spans="1:8" ht="15.75" thickBot="1" x14ac:dyDescent="0.3"/>
    <row r="15" spans="1:8" x14ac:dyDescent="0.25">
      <c r="A15" s="45" t="s">
        <v>36</v>
      </c>
      <c r="B15" s="24" t="s">
        <v>22</v>
      </c>
      <c r="C15" s="40"/>
      <c r="D15" s="13"/>
      <c r="E15" s="45" t="s">
        <v>18</v>
      </c>
      <c r="F15" s="45" t="s">
        <v>20</v>
      </c>
      <c r="G15" s="45" t="s">
        <v>19</v>
      </c>
      <c r="H15" s="45" t="s">
        <v>21</v>
      </c>
    </row>
    <row r="16" spans="1:8" ht="16.5" thickBot="1" x14ac:dyDescent="0.3">
      <c r="A16" s="46">
        <v>1</v>
      </c>
      <c r="B16" s="48" t="s">
        <v>49</v>
      </c>
      <c r="C16" s="49"/>
      <c r="D16" s="50"/>
      <c r="E16" s="46" t="s">
        <v>51</v>
      </c>
      <c r="F16" s="53">
        <v>550000</v>
      </c>
      <c r="G16" s="46">
        <v>2</v>
      </c>
      <c r="H16" s="85">
        <f t="shared" ref="H16" si="0">G16*F16</f>
        <v>1100000</v>
      </c>
    </row>
    <row r="17" spans="1:8" ht="15.75" thickBot="1" x14ac:dyDescent="0.3">
      <c r="A17" s="55"/>
      <c r="B17" s="83" t="s">
        <v>50</v>
      </c>
      <c r="C17" s="78"/>
      <c r="D17" s="84"/>
      <c r="E17" s="55"/>
      <c r="F17" s="55"/>
      <c r="G17" s="55"/>
      <c r="H17" s="55"/>
    </row>
    <row r="18" spans="1:8" ht="16.5" thickBot="1" x14ac:dyDescent="0.3">
      <c r="A18" s="47">
        <v>2</v>
      </c>
      <c r="B18" s="51" t="s">
        <v>49</v>
      </c>
      <c r="C18" s="77"/>
      <c r="D18" s="52"/>
      <c r="E18" s="47" t="s">
        <v>51</v>
      </c>
      <c r="F18" s="54">
        <v>1430000</v>
      </c>
      <c r="G18" s="47">
        <v>1</v>
      </c>
      <c r="H18" s="86">
        <f t="shared" ref="H18" si="1">G18*F18</f>
        <v>1430000</v>
      </c>
    </row>
    <row r="19" spans="1:8" ht="15.75" thickBot="1" x14ac:dyDescent="0.3">
      <c r="A19" s="55"/>
      <c r="B19" s="83" t="s">
        <v>52</v>
      </c>
      <c r="C19" s="78"/>
      <c r="D19" s="84"/>
      <c r="E19" s="55"/>
      <c r="F19" s="55"/>
      <c r="G19" s="55"/>
      <c r="H19" s="55"/>
    </row>
    <row r="20" spans="1:8" ht="16.5" thickBot="1" x14ac:dyDescent="0.3">
      <c r="A20" s="47">
        <v>3</v>
      </c>
      <c r="B20" s="51" t="s">
        <v>54</v>
      </c>
      <c r="C20" s="77"/>
      <c r="D20" s="52"/>
      <c r="E20" s="47" t="s">
        <v>51</v>
      </c>
      <c r="F20" s="54">
        <v>615000</v>
      </c>
      <c r="G20" s="47">
        <v>4</v>
      </c>
      <c r="H20" s="86">
        <f>G20*F20</f>
        <v>2460000</v>
      </c>
    </row>
    <row r="21" spans="1:8" ht="16.5" thickBot="1" x14ac:dyDescent="0.3">
      <c r="A21" s="47">
        <v>4</v>
      </c>
      <c r="B21" s="51" t="s">
        <v>53</v>
      </c>
      <c r="C21" s="77"/>
      <c r="D21" s="52"/>
      <c r="E21" s="47" t="s">
        <v>51</v>
      </c>
      <c r="F21" s="54">
        <v>2561000</v>
      </c>
      <c r="G21" s="47">
        <v>2</v>
      </c>
      <c r="H21" s="86">
        <f>G21*F21</f>
        <v>5122000</v>
      </c>
    </row>
    <row r="22" spans="1:8" ht="15.75" thickBot="1" x14ac:dyDescent="0.3">
      <c r="A22" s="55"/>
      <c r="B22" s="83"/>
      <c r="C22" s="78"/>
      <c r="D22" s="84"/>
      <c r="E22" s="47"/>
      <c r="F22" s="54"/>
      <c r="G22" s="47"/>
      <c r="H22" s="87"/>
    </row>
    <row r="23" spans="1:8" ht="19.5" customHeight="1" thickBot="1" x14ac:dyDescent="0.35">
      <c r="A23" s="82" t="s">
        <v>55</v>
      </c>
      <c r="B23" s="79" t="s">
        <v>56</v>
      </c>
      <c r="C23" s="80"/>
      <c r="D23" s="81"/>
      <c r="E23" s="56"/>
      <c r="F23" s="36" t="s">
        <v>28</v>
      </c>
      <c r="G23" s="6"/>
      <c r="H23" s="7"/>
    </row>
    <row r="24" spans="1:8" ht="19.5" customHeight="1" thickBot="1" x14ac:dyDescent="0.3">
      <c r="A24" s="37"/>
      <c r="B24" s="88" t="s">
        <v>57</v>
      </c>
      <c r="C24" s="4"/>
      <c r="D24" s="17"/>
      <c r="E24" s="59" t="s">
        <v>23</v>
      </c>
      <c r="F24" s="60"/>
      <c r="G24" s="42"/>
      <c r="H24" s="57">
        <f>SUM(H16:H23)</f>
        <v>10112000</v>
      </c>
    </row>
    <row r="25" spans="1:8" ht="19.5" customHeight="1" x14ac:dyDescent="0.25">
      <c r="A25" s="24" t="s">
        <v>24</v>
      </c>
      <c r="B25" s="12"/>
      <c r="C25" s="12"/>
      <c r="D25" s="12"/>
      <c r="E25" s="61" t="s">
        <v>29</v>
      </c>
      <c r="F25" s="23"/>
      <c r="G25" s="62">
        <v>0.19</v>
      </c>
      <c r="H25" s="38">
        <f>H24*G25</f>
        <v>1921280</v>
      </c>
    </row>
    <row r="26" spans="1:8" ht="19.5" customHeight="1" x14ac:dyDescent="0.25">
      <c r="A26" s="14" t="s">
        <v>30</v>
      </c>
      <c r="E26" s="63" t="s">
        <v>25</v>
      </c>
      <c r="G26" s="66">
        <v>2.5000000000000001E-2</v>
      </c>
      <c r="H26" s="58">
        <f>H24*G26</f>
        <v>252800</v>
      </c>
    </row>
    <row r="27" spans="1:8" ht="15.75" x14ac:dyDescent="0.25">
      <c r="A27" s="14" t="s">
        <v>37</v>
      </c>
      <c r="E27" s="14"/>
      <c r="F27" s="32"/>
      <c r="G27" s="43"/>
      <c r="H27" s="15"/>
    </row>
    <row r="28" spans="1:8" ht="16.5" thickBot="1" x14ac:dyDescent="0.3">
      <c r="A28" s="14" t="s">
        <v>33</v>
      </c>
      <c r="E28" s="64" t="s">
        <v>26</v>
      </c>
      <c r="F28" s="65"/>
      <c r="G28" s="44"/>
      <c r="H28" s="17"/>
    </row>
    <row r="29" spans="1:8" ht="19.5" thickBot="1" x14ac:dyDescent="0.35">
      <c r="A29" s="16"/>
      <c r="B29" s="4"/>
      <c r="C29" s="4"/>
      <c r="D29" s="17"/>
      <c r="F29" s="3"/>
      <c r="G29" s="33" t="s">
        <v>27</v>
      </c>
      <c r="H29" s="35">
        <f>H24+H25-H26</f>
        <v>11780480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34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14C24653-42CB-438B-B43F-E936C87CE05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VITRUBIO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2024-10-16T17:00:09Z</dcterms:modified>
</cp:coreProperties>
</file>