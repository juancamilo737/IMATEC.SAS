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44A0D50-2C59-493D-BEB1-F41C1983EB8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Y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8" i="1"/>
  <c r="H17" i="1"/>
  <c r="H16" i="1"/>
  <c r="H23" i="1" s="1"/>
  <c r="H22" i="1" l="1"/>
  <c r="H26" i="1" s="1"/>
</calcChain>
</file>

<file path=xl/sharedStrings.xml><?xml version="1.0" encoding="utf-8"?>
<sst xmlns="http://schemas.openxmlformats.org/spreadsheetml/2006/main" count="58" uniqueCount="58">
  <si>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</si>
  <si>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</si>
  <si>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</si>
  <si>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</si>
  <si>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</si>
  <si>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</si>
  <si>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</si>
  <si>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</si>
  <si>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</si>
  <si>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</si>
  <si>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</si>
  <si>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</si>
  <si>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</si>
  <si>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</si>
  <si>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</si>
  <si>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</si>
  <si>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</si>
  <si>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</si>
  <si>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</si>
  <si>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</si>
  <si>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</si>
  <si>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</si>
  <si>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</si>
  <si>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</si>
  <si>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</si>
  <si>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</si>
  <si>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</si>
  <si>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</si>
  <si>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</si>
  <si>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</si>
  <si>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</si>
  <si>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</si>
  <si>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</si>
  <si>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</si>
  <si>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</si>
  <si>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</si>
  <si>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</si>
  <si>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</si>
  <si>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</si>
  <si>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AYA INGENIERIA FABRICACION Y MONTAJES METALMECANICAS S.A.S</t>
  </si>
  <si>
    <t>901 888388</t>
  </si>
  <si>
    <t>CALLE 44  No. 3N-09</t>
  </si>
  <si>
    <t>CALI</t>
  </si>
  <si>
    <t>contablidad@ayaingenieria.com.co</t>
  </si>
  <si>
    <t>317 8913305</t>
  </si>
  <si>
    <t>EDINSON CABEZAS</t>
  </si>
  <si>
    <t>ACCESORIO</t>
  </si>
  <si>
    <t xml:space="preserve">           C O T I Z A C I O N</t>
  </si>
  <si>
    <t>10 DIAS</t>
  </si>
  <si>
    <t>No. 10</t>
  </si>
  <si>
    <t>TUBERIA  A / C ESTANDAR  14   "  X  40  CMTS</t>
  </si>
  <si>
    <t>TRAMO</t>
  </si>
  <si>
    <t>TUBERIA  A / C  SCH 80  4   "  X  6  MTS</t>
  </si>
  <si>
    <t>TUBO</t>
  </si>
  <si>
    <t>BRIDA AC/INOX 304  6 "  X  150  LBS</t>
  </si>
  <si>
    <t>DOS MILLONES SETECIENTOS OCHO MIL CIENTO CIN-</t>
  </si>
  <si>
    <t>CUENTA Y NUEVE PESOS  MDA / CTE</t>
  </si>
  <si>
    <t>ENTREGA EN UN DIA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</si>
</sst>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8" fillId="0" borderId="20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lidad@ayaingenieri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7" zoomScaleNormal="100" workbookViewId="0">
      <selection activeCell="I22" sqref="I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3"/>
      <c r="H6" s="44"/>
    </row>
    <row r="7" spans="1:8" ht="19.5" thickBot="1" x14ac:dyDescent="0.35">
      <c r="A7" s="20" t="s">
        <v>14</v>
      </c>
      <c r="B7" s="12"/>
      <c r="C7" s="64" t="s">
        <v>39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6" t="s">
        <v>40</v>
      </c>
      <c r="D8" s="67"/>
      <c r="E8" s="45"/>
      <c r="H8" s="15"/>
    </row>
    <row r="9" spans="1:8" ht="18.75" customHeight="1" x14ac:dyDescent="0.3">
      <c r="A9" s="21" t="s">
        <v>9</v>
      </c>
      <c r="C9" s="68" t="s">
        <v>41</v>
      </c>
      <c r="D9" s="23"/>
      <c r="E9" s="69" t="s">
        <v>42</v>
      </c>
      <c r="F9" s="30" t="s">
        <v>0</v>
      </c>
      <c r="H9" s="28">
        <v>45840</v>
      </c>
    </row>
    <row r="10" spans="1:8" ht="18.75" x14ac:dyDescent="0.3">
      <c r="A10" s="21" t="s">
        <v>13</v>
      </c>
      <c r="C10" s="70" t="s">
        <v>43</v>
      </c>
      <c r="D10" s="65"/>
      <c r="E10" s="46"/>
      <c r="F10" s="30" t="s">
        <v>15</v>
      </c>
      <c r="H10" s="29" t="s">
        <v>48</v>
      </c>
    </row>
    <row r="11" spans="1:8" ht="18.75" x14ac:dyDescent="0.3">
      <c r="A11" s="21" t="s">
        <v>10</v>
      </c>
      <c r="C11" s="71"/>
      <c r="D11" s="65"/>
      <c r="E11" s="46"/>
      <c r="F11" s="30" t="s">
        <v>16</v>
      </c>
      <c r="G11" s="30"/>
      <c r="H11" s="28">
        <v>45849</v>
      </c>
    </row>
    <row r="12" spans="1:8" ht="18.75" x14ac:dyDescent="0.3">
      <c r="A12" s="21" t="s">
        <v>11</v>
      </c>
      <c r="C12" s="71" t="s">
        <v>44</v>
      </c>
      <c r="D12" s="65"/>
      <c r="E12" s="46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45</v>
      </c>
      <c r="D13" s="73"/>
      <c r="E13" s="47"/>
      <c r="F13" s="4"/>
      <c r="G13" s="4"/>
      <c r="H13" s="17"/>
    </row>
    <row r="14" spans="1:8" ht="15.75" thickBot="1" x14ac:dyDescent="0.3"/>
    <row r="15" spans="1:8" ht="15.75" thickBot="1" x14ac:dyDescent="0.3">
      <c r="A15" s="48" t="s">
        <v>34</v>
      </c>
      <c r="B15" s="24" t="s">
        <v>22</v>
      </c>
      <c r="C15" s="43"/>
      <c r="D15" s="13"/>
      <c r="E15" s="48" t="s">
        <v>18</v>
      </c>
      <c r="F15" s="48" t="s">
        <v>20</v>
      </c>
      <c r="G15" s="48" t="s">
        <v>19</v>
      </c>
      <c r="H15" s="32" t="s">
        <v>21</v>
      </c>
    </row>
    <row r="16" spans="1:8" ht="16.5" thickBot="1" x14ac:dyDescent="0.3">
      <c r="A16" s="74">
        <v>1</v>
      </c>
      <c r="B16" s="75" t="s">
        <v>50</v>
      </c>
      <c r="C16" s="76"/>
      <c r="D16" s="77"/>
      <c r="E16" s="74" t="s">
        <v>51</v>
      </c>
      <c r="F16" s="78">
        <v>980000</v>
      </c>
      <c r="G16" s="74">
        <v>1</v>
      </c>
      <c r="H16" s="38">
        <f t="shared" ref="H16" si="0">G16*F16</f>
        <v>980000</v>
      </c>
    </row>
    <row r="17" spans="1:8" ht="16.5" thickBot="1" x14ac:dyDescent="0.3">
      <c r="A17" s="74">
        <v>2</v>
      </c>
      <c r="B17" s="75" t="s">
        <v>52</v>
      </c>
      <c r="C17" s="76"/>
      <c r="D17" s="77"/>
      <c r="E17" s="74" t="s">
        <v>53</v>
      </c>
      <c r="F17" s="78">
        <v>1039500</v>
      </c>
      <c r="G17" s="74">
        <v>1</v>
      </c>
      <c r="H17" s="38">
        <f t="shared" ref="H17:H18" si="1">G17*F17</f>
        <v>1039500</v>
      </c>
    </row>
    <row r="18" spans="1:8" ht="16.5" thickBot="1" x14ac:dyDescent="0.3">
      <c r="A18" s="74">
        <v>3</v>
      </c>
      <c r="B18" s="75" t="s">
        <v>54</v>
      </c>
      <c r="C18" s="76"/>
      <c r="D18" s="77"/>
      <c r="E18" s="74" t="s">
        <v>46</v>
      </c>
      <c r="F18" s="78">
        <v>305100</v>
      </c>
      <c r="G18" s="74">
        <v>1</v>
      </c>
      <c r="H18" s="38">
        <f t="shared" si="1"/>
        <v>305100</v>
      </c>
    </row>
    <row r="19" spans="1:8" ht="19.5" customHeight="1" thickBot="1" x14ac:dyDescent="0.3">
      <c r="A19" s="50"/>
      <c r="B19" s="79"/>
      <c r="C19" s="42"/>
      <c r="D19" s="51"/>
      <c r="E19" s="52"/>
      <c r="F19" s="52"/>
      <c r="G19" s="52"/>
    </row>
    <row r="20" spans="1:8" ht="19.5" customHeight="1" thickBot="1" x14ac:dyDescent="0.35">
      <c r="A20" s="49" t="s">
        <v>23</v>
      </c>
      <c r="B20" s="14" t="s">
        <v>55</v>
      </c>
      <c r="D20" s="15"/>
      <c r="E20" s="53"/>
      <c r="F20" s="37" t="s">
        <v>37</v>
      </c>
      <c r="G20" s="6"/>
      <c r="H20" s="7"/>
    </row>
    <row r="21" spans="1:8" ht="19.5" customHeight="1" thickBot="1" x14ac:dyDescent="0.3">
      <c r="A21" s="39"/>
      <c r="B21" s="16" t="s">
        <v>56</v>
      </c>
      <c r="C21" s="4"/>
      <c r="D21" s="4"/>
      <c r="E21" s="56" t="s">
        <v>24</v>
      </c>
      <c r="F21" s="57"/>
      <c r="G21" s="45"/>
      <c r="H21" s="54">
        <f>SUM(H16:H18)</f>
        <v>2324600</v>
      </c>
    </row>
    <row r="22" spans="1:8" ht="19.5" customHeight="1" x14ac:dyDescent="0.25">
      <c r="A22" s="24" t="s">
        <v>25</v>
      </c>
      <c r="B22" s="12"/>
      <c r="C22" s="12"/>
      <c r="D22" s="12"/>
      <c r="E22" s="58" t="s">
        <v>29</v>
      </c>
      <c r="F22" s="23"/>
      <c r="G22" s="59">
        <v>0.19</v>
      </c>
      <c r="H22" s="40">
        <f>H21*G22</f>
        <v>441674</v>
      </c>
    </row>
    <row r="23" spans="1:8" ht="19.5" customHeight="1" x14ac:dyDescent="0.25">
      <c r="A23" s="14" t="s">
        <v>30</v>
      </c>
      <c r="E23" s="60" t="s">
        <v>26</v>
      </c>
      <c r="G23" s="63">
        <v>2.5000000000000001E-2</v>
      </c>
      <c r="H23" s="55">
        <f>H21*G23</f>
        <v>58115</v>
      </c>
    </row>
    <row r="24" spans="1:8" ht="15.75" x14ac:dyDescent="0.25">
      <c r="A24" s="14" t="s">
        <v>57</v>
      </c>
      <c r="E24" s="14"/>
      <c r="F24" s="33"/>
      <c r="G24" s="46"/>
      <c r="H24" s="15"/>
    </row>
    <row r="25" spans="1:8" ht="16.5" thickBot="1" x14ac:dyDescent="0.3">
      <c r="A25" s="14" t="s">
        <v>32</v>
      </c>
      <c r="E25" s="61" t="s">
        <v>27</v>
      </c>
      <c r="F25" s="62"/>
      <c r="G25" s="47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2708159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38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608CA974-7AE2-4051-9FAA-D1F45E90EBF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2025-06-20T18:10:47Z</cp:lastPrinted>
  <dcterms:created xsi:type="dcterms:W3CDTF">2018-11-15T17:29:02Z</dcterms:created>
  <dcterms:modified xsi:type="dcterms:W3CDTF">2025-07-02T16:18:02Z</dcterms:modified>
</cp:coreProperties>
</file>