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4488289-298A-4CAC-907E-25BACD211F2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2" l="1"/>
  <c r="H16" i="2"/>
  <c r="H20" i="2" s="1"/>
  <c r="H22" i="2" s="1"/>
  <c r="H21" i="2" l="1"/>
  <c r="H25" i="2" s="1"/>
</calcChain>
</file>

<file path=xl/sharedStrings.xml><?xml version="1.0" encoding="utf-8"?>
<sst xmlns="http://schemas.openxmlformats.org/spreadsheetml/2006/main" count="60" uniqueCount="59">
  <si>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</si>
  <si>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</si>
  <si>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</si>
  <si>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</si>
  <si>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</si>
  <si>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</si>
  <si>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</si>
  <si>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</si>
  <si>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</si>
  <si>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</si>
  <si>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</si>
  <si>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</si>
  <si>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</si>
  <si>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</si>
  <si>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</si>
  <si>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</si>
  <si>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</si>
  <si>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</si>
  <si>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</si>
  <si>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</si>
  <si>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</si>
  <si>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</si>
  <si>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</si>
  <si>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</si>
  <si>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</si>
  <si>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</si>
  <si>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</si>
  <si>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</si>
  <si>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</si>
  <si>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</si>
  <si>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</si>
  <si>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</si>
  <si>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</si>
  <si>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</si>
  <si>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</si>
  <si>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</si>
  <si>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</si>
  <si>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</si>
  <si>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</si>
  <si>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</si>
  <si>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</si>
  <si>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</si>
  <si>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</si>
  <si>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</si>
  <si>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</si>
  <si>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</si>
  <si>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</si>
  <si>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>ACCESORIO</t>
  </si>
  <si>
    <t>ENTREGA EN DOS DIAS POSTERIOR A ORDEN DE COMPRA</t>
  </si>
  <si>
    <t>No.  66</t>
  </si>
  <si>
    <t xml:space="preserve">               R E M I S I O N</t>
  </si>
  <si>
    <t>30 DIAS</t>
  </si>
  <si>
    <t>ABRAZADERA GALVANIZADA VARILLA 3/8 " EN U  16 "</t>
  </si>
  <si>
    <t>ABRAZADERA GALVANIZADA VARILLA 3/8 " EN U  10 "</t>
  </si>
  <si>
    <t>UNILEVER</t>
  </si>
  <si>
    <t>AUTORIZA</t>
  </si>
  <si>
    <t>KAREN</t>
  </si>
  <si>
    <t>UN MILLON OCHOCIENTOS CATORCE MIL CUATRO-</t>
  </si>
  <si>
    <t>CIENTOS OCHENTA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</si>
</sst>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11" xfId="0" applyFont="1" applyBorder="1"/>
    <xf numFmtId="0" fontId="8" fillId="0" borderId="6" xfId="0" applyFont="1" applyBorder="1"/>
    <xf numFmtId="0" fontId="11" fillId="0" borderId="0" xfId="0" applyFont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0"/>
  <sheetViews>
    <sheetView tabSelected="1" topLeftCell="A7" zoomScaleNormal="100" workbookViewId="0">
      <selection activeCell="I21" sqref="I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6" t="s">
        <v>31</v>
      </c>
      <c r="B5" s="6"/>
      <c r="C5" s="6"/>
      <c r="D5" s="6"/>
      <c r="E5" s="6"/>
    </row>
    <row r="6" spans="1:8" ht="24.75" customHeight="1" thickBot="1" x14ac:dyDescent="0.45">
      <c r="F6" s="40" t="s">
        <v>50</v>
      </c>
      <c r="G6" s="41"/>
      <c r="H6" s="42"/>
    </row>
    <row r="7" spans="1:8" ht="19.5" thickBot="1" x14ac:dyDescent="0.35">
      <c r="A7" s="20" t="s">
        <v>14</v>
      </c>
      <c r="B7" s="12"/>
      <c r="C7" s="43" t="s">
        <v>35</v>
      </c>
      <c r="D7" s="6"/>
      <c r="E7" s="6"/>
      <c r="F7" s="36"/>
      <c r="G7" s="18"/>
      <c r="H7" s="61" t="s">
        <v>49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8" t="s">
        <v>38</v>
      </c>
      <c r="F9" s="30" t="s">
        <v>0</v>
      </c>
      <c r="H9" s="28">
        <v>45864</v>
      </c>
    </row>
    <row r="10" spans="1:8" ht="18.75" x14ac:dyDescent="0.3">
      <c r="A10" s="21" t="s">
        <v>13</v>
      </c>
      <c r="C10" s="47" t="s">
        <v>39</v>
      </c>
      <c r="E10" s="15"/>
      <c r="F10" s="30" t="s">
        <v>15</v>
      </c>
      <c r="H10" s="29" t="s">
        <v>51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45894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3" t="s">
        <v>55</v>
      </c>
      <c r="H12" s="29" t="s">
        <v>56</v>
      </c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68" t="s">
        <v>54</v>
      </c>
    </row>
    <row r="14" spans="1:8" ht="15.75" thickBot="1" x14ac:dyDescent="0.3"/>
    <row r="15" spans="1:8" ht="15.75" thickBot="1" x14ac:dyDescent="0.3">
      <c r="A15" s="48" t="s">
        <v>32</v>
      </c>
      <c r="B15" s="24" t="s">
        <v>21</v>
      </c>
      <c r="C15" s="41"/>
      <c r="D15" s="13"/>
      <c r="E15" s="48" t="s">
        <v>17</v>
      </c>
      <c r="F15" s="31" t="s">
        <v>19</v>
      </c>
      <c r="G15" s="31" t="s">
        <v>18</v>
      </c>
      <c r="H15" s="31" t="s">
        <v>20</v>
      </c>
    </row>
    <row r="16" spans="1:8" ht="15.75" thickBot="1" x14ac:dyDescent="0.3">
      <c r="A16" s="64">
        <v>1</v>
      </c>
      <c r="B16" s="65" t="s">
        <v>52</v>
      </c>
      <c r="C16" s="66"/>
      <c r="D16" s="44"/>
      <c r="E16" s="67" t="s">
        <v>47</v>
      </c>
      <c r="F16" s="69">
        <v>47500</v>
      </c>
      <c r="G16" s="70">
        <v>15</v>
      </c>
      <c r="H16" s="37">
        <f>F16*G16</f>
        <v>712500</v>
      </c>
    </row>
    <row r="17" spans="1:8" ht="15.75" thickBot="1" x14ac:dyDescent="0.3">
      <c r="A17" s="64">
        <v>2</v>
      </c>
      <c r="B17" s="65" t="s">
        <v>53</v>
      </c>
      <c r="C17" s="66"/>
      <c r="D17" s="44"/>
      <c r="E17" s="67" t="s">
        <v>47</v>
      </c>
      <c r="F17" s="69">
        <v>33800</v>
      </c>
      <c r="G17" s="70">
        <v>25</v>
      </c>
      <c r="H17" s="37">
        <f t="shared" ref="H17" si="0">F17*G17</f>
        <v>845000</v>
      </c>
    </row>
    <row r="18" spans="1:8" ht="15.75" thickBot="1" x14ac:dyDescent="0.3">
      <c r="B18" s="16"/>
      <c r="C18" s="4"/>
      <c r="D18" s="17"/>
      <c r="F18" s="63"/>
      <c r="G18" s="63"/>
    </row>
    <row r="19" spans="1:8" ht="19.5" customHeight="1" thickBot="1" x14ac:dyDescent="0.35">
      <c r="A19" s="60" t="s">
        <v>22</v>
      </c>
      <c r="B19" s="72" t="s">
        <v>57</v>
      </c>
      <c r="C19" s="12"/>
      <c r="D19" s="13"/>
      <c r="E19" s="62"/>
      <c r="F19" s="36" t="s">
        <v>43</v>
      </c>
      <c r="G19" s="6"/>
      <c r="H19" s="7"/>
    </row>
    <row r="20" spans="1:8" ht="19.5" customHeight="1" thickBot="1" x14ac:dyDescent="0.3">
      <c r="A20" s="38"/>
      <c r="B20" s="71" t="s">
        <v>58</v>
      </c>
      <c r="C20" s="4"/>
      <c r="D20" s="17"/>
      <c r="E20" s="51" t="s">
        <v>23</v>
      </c>
      <c r="F20" s="51"/>
      <c r="G20" s="44"/>
      <c r="H20" s="49">
        <f>SUM(H16:H17)</f>
        <v>1557500</v>
      </c>
    </row>
    <row r="21" spans="1:8" ht="19.5" customHeight="1" x14ac:dyDescent="0.25">
      <c r="A21" s="24" t="s">
        <v>24</v>
      </c>
      <c r="E21" s="52" t="s">
        <v>28</v>
      </c>
      <c r="F21" s="23"/>
      <c r="G21" s="53">
        <v>0.19</v>
      </c>
      <c r="H21" s="39">
        <f>H20*G21</f>
        <v>295925</v>
      </c>
    </row>
    <row r="22" spans="1:8" ht="19.5" customHeight="1" x14ac:dyDescent="0.25">
      <c r="A22" s="14" t="s">
        <v>42</v>
      </c>
      <c r="E22" s="54" t="s">
        <v>25</v>
      </c>
      <c r="G22" s="57">
        <v>2.5000000000000001E-2</v>
      </c>
      <c r="H22" s="50">
        <f>H20*G22</f>
        <v>38937.5</v>
      </c>
    </row>
    <row r="23" spans="1:8" ht="15.75" x14ac:dyDescent="0.25">
      <c r="A23" s="14" t="s">
        <v>48</v>
      </c>
      <c r="E23" s="14"/>
      <c r="F23" s="32"/>
      <c r="G23" s="45"/>
      <c r="H23" s="15"/>
    </row>
    <row r="24" spans="1:8" ht="16.5" thickBot="1" x14ac:dyDescent="0.3">
      <c r="A24" s="14" t="s">
        <v>30</v>
      </c>
      <c r="E24" s="55" t="s">
        <v>26</v>
      </c>
      <c r="F24" s="56"/>
      <c r="G24" s="46"/>
      <c r="H24" s="17"/>
    </row>
    <row r="25" spans="1:8" ht="19.5" thickBot="1" x14ac:dyDescent="0.35">
      <c r="A25" s="59"/>
      <c r="B25" s="4"/>
      <c r="C25" s="4"/>
      <c r="D25" s="17"/>
      <c r="F25" s="3"/>
      <c r="G25" s="33" t="s">
        <v>27</v>
      </c>
      <c r="H25" s="35">
        <f>H20+H21-H22</f>
        <v>1814487.5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2025-07-11T17:21:53Z</cp:lastPrinted>
  <dcterms:created xsi:type="dcterms:W3CDTF">2018-11-15T17:29:02Z</dcterms:created>
  <dcterms:modified xsi:type="dcterms:W3CDTF">2025-07-26T14:56:14Z</dcterms:modified>
</cp:coreProperties>
</file>