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019D5E3C-C2EE-4F43-8529-AA49D94EB5DF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AIRE CONFOR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1" l="1"/>
  <c r="H22" i="1"/>
  <c r="H17" i="1"/>
  <c r="H16" i="1"/>
  <c r="H20" i="1" s="1"/>
  <c r="H21" i="1" l="1"/>
</calcChain>
</file>

<file path=xl/sharedStrings.xml><?xml version="1.0" encoding="utf-8"?>
<sst xmlns="http://schemas.openxmlformats.org/spreadsheetml/2006/main" count="55" uniqueCount="54">
  <si>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</si>
  <si>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</si>
  <si>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</si>
  <si>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</si>
  <si>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</si>
  <si>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</si>
  <si>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</si>
  <si>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</si>
  <si>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</si>
  <si>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</si>
  <si>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</si>
  <si>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</si>
  <si>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</si>
  <si>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</si>
  <si>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</si>
  <si>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</si>
  <si>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</si>
  <si>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</si>
  <si>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</si>
  <si>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</si>
  <si>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</si>
  <si>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</si>
  <si>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</si>
  <si>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</si>
  <si>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</si>
  <si>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</si>
  <si>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</si>
  <si>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</si>
  <si>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</si>
  <si>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</si>
  <si>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</si>
  <si>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</si>
  <si>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</si>
  <si>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</si>
  <si>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</si>
  <si>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</si>
  <si>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</si>
  <si>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</si>
  <si>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</si>
  <si>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</si>
  <si>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</si>
  <si>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ACCESORIO</t>
  </si>
  <si>
    <t>AIRE CONFORT JC S.A.S.</t>
  </si>
  <si>
    <t>900 606989</t>
  </si>
  <si>
    <t>CRA 57  No. 2A-125 LOCAL 100</t>
  </si>
  <si>
    <t>CALI</t>
  </si>
  <si>
    <t>compras@ireconfortcolombia.com</t>
  </si>
  <si>
    <t>602 5532121</t>
  </si>
  <si>
    <t>LUIS A. BENAVIDES</t>
  </si>
  <si>
    <t>JUNTA ANTI VIBRATORIA 6 "</t>
  </si>
  <si>
    <t>FILTRO HG FLANCHADO 6 "</t>
  </si>
  <si>
    <t>UN MILLON NOVECIENTOS OCHENTA Y UN MIL SEISCIEN</t>
  </si>
  <si>
    <t>TOS SESENTA Y CINCO PESOS MDA / CTE</t>
  </si>
  <si>
    <t>ENTREGA EN 3 DIAS A PARTIR DE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</si>
</sst>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mpras@ireconfortcolombi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9" zoomScaleNormal="100" workbookViewId="0">
      <selection activeCell="F26" sqref="F26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38</v>
      </c>
    </row>
    <row r="3" spans="1:8" ht="27" thickBot="1" x14ac:dyDescent="0.45">
      <c r="A3" s="11" t="s">
        <v>39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40</v>
      </c>
      <c r="G6" s="43"/>
      <c r="H6" s="44"/>
    </row>
    <row r="7" spans="1:8" ht="19.5" thickBot="1" x14ac:dyDescent="0.35">
      <c r="A7" s="20" t="s">
        <v>14</v>
      </c>
      <c r="B7" s="12"/>
      <c r="C7" s="65" t="s">
        <v>42</v>
      </c>
      <c r="D7" s="12"/>
      <c r="E7" s="13"/>
      <c r="F7" s="37"/>
      <c r="G7" s="18"/>
      <c r="H7" s="19"/>
    </row>
    <row r="8" spans="1:8" ht="18.75" x14ac:dyDescent="0.3">
      <c r="A8" s="21" t="s">
        <v>8</v>
      </c>
      <c r="C8" s="67" t="s">
        <v>43</v>
      </c>
      <c r="D8" s="68"/>
      <c r="E8" s="46"/>
      <c r="H8" s="15"/>
    </row>
    <row r="9" spans="1:8" ht="18.75" customHeight="1" x14ac:dyDescent="0.3">
      <c r="A9" s="21" t="s">
        <v>9</v>
      </c>
      <c r="C9" s="69" t="s">
        <v>44</v>
      </c>
      <c r="D9" s="23"/>
      <c r="E9" s="70" t="s">
        <v>45</v>
      </c>
      <c r="F9" s="30" t="s">
        <v>0</v>
      </c>
      <c r="H9" s="28">
        <v>45603</v>
      </c>
    </row>
    <row r="10" spans="1:8" ht="18.75" x14ac:dyDescent="0.3">
      <c r="A10" s="21" t="s">
        <v>13</v>
      </c>
      <c r="C10" s="71" t="s">
        <v>46</v>
      </c>
      <c r="D10" s="66"/>
      <c r="E10" s="47"/>
      <c r="F10" s="30" t="s">
        <v>15</v>
      </c>
      <c r="H10" s="29" t="s">
        <v>32</v>
      </c>
    </row>
    <row r="11" spans="1:8" ht="18.75" x14ac:dyDescent="0.3">
      <c r="A11" s="21" t="s">
        <v>10</v>
      </c>
      <c r="C11" s="72"/>
      <c r="D11" s="66"/>
      <c r="E11" s="47"/>
      <c r="F11" s="30" t="s">
        <v>16</v>
      </c>
      <c r="G11" s="30"/>
      <c r="H11" s="28">
        <v>45612</v>
      </c>
    </row>
    <row r="12" spans="1:8" ht="18.75" x14ac:dyDescent="0.3">
      <c r="A12" s="21" t="s">
        <v>11</v>
      </c>
      <c r="C12" s="72" t="s">
        <v>47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48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37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5">
        <v>1</v>
      </c>
      <c r="B16" s="76" t="s">
        <v>49</v>
      </c>
      <c r="C16" s="77"/>
      <c r="D16" s="78"/>
      <c r="E16" s="75" t="s">
        <v>41</v>
      </c>
      <c r="F16" s="79">
        <v>353000</v>
      </c>
      <c r="G16" s="75">
        <v>2</v>
      </c>
      <c r="H16" s="38">
        <f t="shared" ref="H16" si="0">G16*F16</f>
        <v>706000</v>
      </c>
    </row>
    <row r="17" spans="1:8" ht="16.5" thickBot="1" x14ac:dyDescent="0.3">
      <c r="A17" s="75">
        <v>1</v>
      </c>
      <c r="B17" s="76" t="s">
        <v>50</v>
      </c>
      <c r="C17" s="77"/>
      <c r="D17" s="78"/>
      <c r="E17" s="75" t="s">
        <v>41</v>
      </c>
      <c r="F17" s="79">
        <v>995000</v>
      </c>
      <c r="G17" s="75">
        <v>1</v>
      </c>
      <c r="H17" s="38">
        <f t="shared" ref="H17" si="1">G17*F17</f>
        <v>995000</v>
      </c>
    </row>
    <row r="18" spans="1:8" ht="19.5" customHeight="1" thickBot="1" x14ac:dyDescent="0.3">
      <c r="A18" s="51"/>
      <c r="B18" s="45"/>
      <c r="C18" s="42"/>
      <c r="D18" s="52"/>
      <c r="E18" s="53"/>
      <c r="F18" s="53"/>
      <c r="G18" s="53"/>
    </row>
    <row r="19" spans="1:8" ht="19.5" customHeight="1" thickBot="1" x14ac:dyDescent="0.35">
      <c r="A19" s="50" t="s">
        <v>23</v>
      </c>
      <c r="B19" s="14" t="s">
        <v>51</v>
      </c>
      <c r="D19" s="15"/>
      <c r="E19" s="54"/>
      <c r="F19" s="37" t="s">
        <v>29</v>
      </c>
      <c r="G19" s="6"/>
      <c r="H19" s="7"/>
    </row>
    <row r="20" spans="1:8" ht="19.5" customHeight="1" thickBot="1" x14ac:dyDescent="0.3">
      <c r="A20" s="39"/>
      <c r="B20" s="16" t="s">
        <v>52</v>
      </c>
      <c r="C20" s="4"/>
      <c r="D20" s="4"/>
      <c r="E20" s="57" t="s">
        <v>24</v>
      </c>
      <c r="F20" s="58"/>
      <c r="G20" s="46"/>
      <c r="H20" s="55">
        <f>SUM(H16:H19)</f>
        <v>1701000</v>
      </c>
    </row>
    <row r="21" spans="1:8" ht="19.5" customHeight="1" x14ac:dyDescent="0.25">
      <c r="A21" s="24" t="s">
        <v>25</v>
      </c>
      <c r="B21" s="12"/>
      <c r="C21" s="12"/>
      <c r="D21" s="12"/>
      <c r="E21" s="59" t="s">
        <v>30</v>
      </c>
      <c r="F21" s="23"/>
      <c r="G21" s="60">
        <v>0.19</v>
      </c>
      <c r="H21" s="40">
        <f>H20*G21</f>
        <v>323190</v>
      </c>
    </row>
    <row r="22" spans="1:8" ht="19.5" customHeight="1" x14ac:dyDescent="0.25">
      <c r="A22" s="14" t="s">
        <v>31</v>
      </c>
      <c r="E22" s="61" t="s">
        <v>26</v>
      </c>
      <c r="G22" s="64">
        <v>2.5000000000000001E-2</v>
      </c>
      <c r="H22" s="56">
        <f>H20*G22</f>
        <v>42525</v>
      </c>
    </row>
    <row r="23" spans="1:8" ht="15.75" x14ac:dyDescent="0.25">
      <c r="A23" s="14" t="s">
        <v>53</v>
      </c>
      <c r="E23" s="14"/>
      <c r="F23" s="33"/>
      <c r="G23" s="47"/>
      <c r="H23" s="15"/>
    </row>
    <row r="24" spans="1:8" ht="16.5" thickBot="1" x14ac:dyDescent="0.3">
      <c r="A24" s="14" t="s">
        <v>34</v>
      </c>
      <c r="E24" s="62" t="s">
        <v>27</v>
      </c>
      <c r="F24" s="63"/>
      <c r="G24" s="48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H20+H21-H22</f>
        <v>1981665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35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4DC0813D-6B3E-491E-B7AF-4D6CC0BA6287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AIRE CONFORT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2024-11-07T15:36:34Z</dcterms:modified>
</cp:coreProperties>
</file>