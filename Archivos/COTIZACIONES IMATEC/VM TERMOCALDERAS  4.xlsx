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2548F62-F812-459F-B7EB-C8433285DE5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 M TERMOCALDER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l="1"/>
  <c r="H23" i="1"/>
  <c r="H27" i="1" s="1"/>
</calcChain>
</file>

<file path=xl/sharedStrings.xml><?xml version="1.0" encoding="utf-8"?>
<sst xmlns="http://schemas.openxmlformats.org/spreadsheetml/2006/main" count="61" uniqueCount="58">
  <si>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</si>
  <si>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</si>
  <si>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</si>
  <si>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</si>
  <si>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</si>
  <si>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</si>
  <si>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</si>
  <si>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</si>
  <si>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</si>
  <si>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</si>
  <si>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</si>
  <si>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</si>
  <si>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</si>
  <si>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</si>
  <si>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</si>
  <si>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</si>
  <si>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</si>
  <si>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</si>
  <si>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</si>
  <si>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</si>
  <si>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</si>
  <si>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</si>
  <si>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</si>
  <si>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</si>
  <si>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</si>
  <si>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</si>
  <si>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</si>
  <si>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</si>
  <si>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</si>
  <si>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</si>
  <si>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</si>
  <si>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</si>
  <si>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</si>
  <si>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</si>
  <si>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</si>
  <si>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</si>
  <si>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</si>
  <si>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</si>
  <si>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ACCESORIO</t>
  </si>
  <si>
    <t>V M TERMOCLADERAS S.A.S.</t>
  </si>
  <si>
    <t>901 360107</t>
  </si>
  <si>
    <t>CALLE 47 B  No. 30B-10</t>
  </si>
  <si>
    <t>PALMIRA</t>
  </si>
  <si>
    <t>vmtermocladeras.contabilidad@gmail.com</t>
  </si>
  <si>
    <t>314 7238455</t>
  </si>
  <si>
    <t>EDINSON CABEZAS</t>
  </si>
  <si>
    <t>FORMA DE PAGO : CONTADO</t>
  </si>
  <si>
    <t xml:space="preserve">          C O T I Z A C I O N</t>
  </si>
  <si>
    <t xml:space="preserve">  RETEICA</t>
  </si>
  <si>
    <t xml:space="preserve">  CALLE  33A  No. 17F - 56                              B/  LA FLORESTA             -   CALI    -                                   CEL.     321 7834969</t>
  </si>
  <si>
    <t>No.  4</t>
  </si>
  <si>
    <t>VALVULA DE ALIVIO BRONCE 3/4 " X 150 LBS HELBERT</t>
  </si>
  <si>
    <t>VALVULA DE AGUJA A / C  1/2 "  X  10000 LBS H/H</t>
  </si>
  <si>
    <t>VALVULA GLOBO EN Y  1 " X 1500 LBS SW VIZA</t>
  </si>
  <si>
    <t>VALVULA DE AGUJA A / C  1/2 "  X  10000 LBS H/M</t>
  </si>
  <si>
    <t>CUATRO MILLONES DOSCIENTOS OCHENTA MIL DOSCIEN</t>
  </si>
  <si>
    <t>TOS DIEZ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</si>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</sst>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9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19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" fillId="0" borderId="4" xfId="1" applyFont="1" applyBorder="1" applyAlignment="1">
      <alignment horizontal="left"/>
    </xf>
    <xf numFmtId="0" fontId="0" fillId="0" borderId="20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6" xfId="2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28" xfId="0" applyFont="1" applyBorder="1"/>
    <xf numFmtId="0" fontId="4" fillId="0" borderId="29" xfId="0" applyFont="1" applyBorder="1"/>
    <xf numFmtId="0" fontId="1" fillId="0" borderId="27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mtermocladeras.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topLeftCell="A4" zoomScaleNormal="100" workbookViewId="0">
      <selection activeCell="L20" sqref="L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35</v>
      </c>
      <c r="E4" s="18"/>
      <c r="F4" s="19"/>
      <c r="G4" s="6"/>
      <c r="H4" s="7"/>
    </row>
    <row r="5" spans="1:8" ht="19.5" thickBot="1" x14ac:dyDescent="0.35">
      <c r="A5" s="43" t="s">
        <v>37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8"/>
      <c r="H6" s="19"/>
    </row>
    <row r="7" spans="1:8" ht="19.5" thickBot="1" x14ac:dyDescent="0.35">
      <c r="A7" s="20" t="s">
        <v>14</v>
      </c>
      <c r="B7" s="13"/>
      <c r="C7" s="58" t="s">
        <v>39</v>
      </c>
      <c r="D7" s="6"/>
      <c r="E7" s="7"/>
      <c r="F7" s="26"/>
      <c r="G7" s="18"/>
      <c r="H7" s="19" t="s">
        <v>50</v>
      </c>
    </row>
    <row r="8" spans="1:8" ht="18.75" x14ac:dyDescent="0.3">
      <c r="A8" s="21" t="s">
        <v>8</v>
      </c>
      <c r="C8" s="59" t="s">
        <v>40</v>
      </c>
      <c r="D8" s="60"/>
      <c r="E8" s="61"/>
      <c r="F8" s="12"/>
      <c r="G8" s="13"/>
      <c r="H8" s="14"/>
    </row>
    <row r="9" spans="1:8" ht="18.75" customHeight="1" x14ac:dyDescent="0.3">
      <c r="A9" s="21" t="s">
        <v>9</v>
      </c>
      <c r="C9" s="62" t="s">
        <v>41</v>
      </c>
      <c r="D9" s="23"/>
      <c r="E9" s="63" t="s">
        <v>42</v>
      </c>
      <c r="F9" s="29" t="s">
        <v>0</v>
      </c>
      <c r="H9" s="30">
        <v>45859</v>
      </c>
    </row>
    <row r="10" spans="1:8" ht="18.75" x14ac:dyDescent="0.3">
      <c r="A10" s="21" t="s">
        <v>13</v>
      </c>
      <c r="C10" s="64" t="s">
        <v>43</v>
      </c>
      <c r="D10" s="24"/>
      <c r="E10" s="65"/>
      <c r="F10" s="29" t="s">
        <v>15</v>
      </c>
      <c r="H10" s="31" t="s">
        <v>34</v>
      </c>
    </row>
    <row r="11" spans="1:8" ht="18.75" x14ac:dyDescent="0.3">
      <c r="A11" s="21" t="s">
        <v>10</v>
      </c>
      <c r="C11" s="66"/>
      <c r="D11" s="24"/>
      <c r="E11" s="65"/>
      <c r="F11" s="29" t="s">
        <v>16</v>
      </c>
      <c r="G11" s="32"/>
      <c r="H11" s="30">
        <v>45868</v>
      </c>
    </row>
    <row r="12" spans="1:8" ht="18.75" x14ac:dyDescent="0.3">
      <c r="A12" s="21" t="s">
        <v>11</v>
      </c>
      <c r="C12" s="66" t="s">
        <v>44</v>
      </c>
      <c r="D12" s="24"/>
      <c r="E12" s="65"/>
      <c r="F12" s="29" t="s">
        <v>17</v>
      </c>
      <c r="H12" s="33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69"/>
      <c r="F13" s="16"/>
      <c r="G13" s="4"/>
      <c r="H13" s="17"/>
    </row>
    <row r="14" spans="1:8" ht="15.75" thickBot="1" x14ac:dyDescent="0.3"/>
    <row r="15" spans="1:8" ht="15.75" thickBot="1" x14ac:dyDescent="0.3">
      <c r="A15" s="47" t="s">
        <v>19</v>
      </c>
      <c r="B15" s="42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48">
        <v>1</v>
      </c>
      <c r="B16" s="49" t="s">
        <v>51</v>
      </c>
      <c r="C16" s="50"/>
      <c r="D16" s="51"/>
      <c r="E16" s="52" t="s">
        <v>38</v>
      </c>
      <c r="F16" s="53">
        <v>456000</v>
      </c>
      <c r="G16" s="48">
        <v>1</v>
      </c>
      <c r="H16" s="44">
        <f t="shared" ref="H16" si="0">G16*F16</f>
        <v>456000</v>
      </c>
    </row>
    <row r="17" spans="1:8" ht="15.75" customHeight="1" thickBot="1" x14ac:dyDescent="0.3">
      <c r="A17" s="48">
        <v>2</v>
      </c>
      <c r="B17" s="49" t="s">
        <v>52</v>
      </c>
      <c r="C17" s="50"/>
      <c r="D17" s="51"/>
      <c r="E17" s="52" t="s">
        <v>38</v>
      </c>
      <c r="F17" s="53">
        <v>238000</v>
      </c>
      <c r="G17" s="48">
        <v>6</v>
      </c>
      <c r="H17" s="44">
        <f t="shared" ref="H17:H18" si="1">G17*F17</f>
        <v>1428000</v>
      </c>
    </row>
    <row r="18" spans="1:8" ht="16.5" thickBot="1" x14ac:dyDescent="0.3">
      <c r="A18" s="48">
        <v>3</v>
      </c>
      <c r="B18" s="49" t="s">
        <v>53</v>
      </c>
      <c r="C18" s="50"/>
      <c r="D18" s="51"/>
      <c r="E18" s="52" t="s">
        <v>38</v>
      </c>
      <c r="F18" s="53">
        <v>1300000</v>
      </c>
      <c r="G18" s="48">
        <v>1</v>
      </c>
      <c r="H18" s="44">
        <f t="shared" si="1"/>
        <v>1300000</v>
      </c>
    </row>
    <row r="19" spans="1:8" ht="15.75" customHeight="1" thickBot="1" x14ac:dyDescent="0.3">
      <c r="A19" s="48">
        <v>2</v>
      </c>
      <c r="B19" s="49" t="s">
        <v>54</v>
      </c>
      <c r="C19" s="50"/>
      <c r="D19" s="51"/>
      <c r="E19" s="52" t="s">
        <v>38</v>
      </c>
      <c r="F19" s="53">
        <v>245000</v>
      </c>
      <c r="G19" s="48">
        <v>2</v>
      </c>
      <c r="H19" s="44">
        <f t="shared" ref="H19" si="2">G19*F19</f>
        <v>490000</v>
      </c>
    </row>
    <row r="20" spans="1:8" ht="16.5" thickBot="1" x14ac:dyDescent="0.3">
      <c r="A20" s="54"/>
      <c r="B20" s="55"/>
      <c r="C20" s="55"/>
      <c r="D20" s="55"/>
      <c r="E20" s="48"/>
      <c r="F20" s="53"/>
      <c r="G20" s="48"/>
      <c r="H20" s="56"/>
    </row>
    <row r="21" spans="1:8" ht="19.5" customHeight="1" thickBot="1" x14ac:dyDescent="0.35">
      <c r="A21" s="45" t="s">
        <v>25</v>
      </c>
      <c r="B21" s="12" t="s">
        <v>55</v>
      </c>
      <c r="C21" s="13"/>
      <c r="D21" s="14"/>
      <c r="E21" s="71"/>
      <c r="F21" s="43" t="s">
        <v>31</v>
      </c>
      <c r="G21" s="6"/>
      <c r="H21" s="7"/>
    </row>
    <row r="22" spans="1:8" ht="19.5" customHeight="1" thickBot="1" x14ac:dyDescent="0.3">
      <c r="A22" s="46"/>
      <c r="B22" s="16" t="s">
        <v>56</v>
      </c>
      <c r="C22" s="4"/>
      <c r="D22" s="4"/>
      <c r="E22" s="72" t="s">
        <v>26</v>
      </c>
      <c r="F22" s="73"/>
      <c r="G22" s="61"/>
      <c r="H22" s="70">
        <f>SUM(H16:H19)</f>
        <v>3674000</v>
      </c>
    </row>
    <row r="23" spans="1:8" ht="19.5" customHeight="1" x14ac:dyDescent="0.25">
      <c r="A23" s="25" t="s">
        <v>27</v>
      </c>
      <c r="B23" s="13"/>
      <c r="C23" s="13"/>
      <c r="D23" s="13"/>
      <c r="E23" s="74" t="s">
        <v>33</v>
      </c>
      <c r="F23" s="57"/>
      <c r="G23" s="75">
        <v>0.19</v>
      </c>
      <c r="H23" s="40">
        <f>H22*G23</f>
        <v>698060</v>
      </c>
    </row>
    <row r="24" spans="1:8" ht="19.5" customHeight="1" x14ac:dyDescent="0.25">
      <c r="A24" s="15" t="s">
        <v>46</v>
      </c>
      <c r="E24" s="76" t="s">
        <v>28</v>
      </c>
      <c r="G24" s="77">
        <v>2.5000000000000001E-2</v>
      </c>
      <c r="H24" s="37">
        <f>H22*G24</f>
        <v>91850</v>
      </c>
    </row>
    <row r="25" spans="1:8" ht="15.75" x14ac:dyDescent="0.25">
      <c r="A25" s="15" t="s">
        <v>57</v>
      </c>
      <c r="E25" s="74" t="s">
        <v>48</v>
      </c>
      <c r="F25" s="35"/>
      <c r="G25" s="80">
        <v>7.7000000000000002E-3</v>
      </c>
      <c r="H25" s="37"/>
    </row>
    <row r="26" spans="1:8" ht="16.5" thickBot="1" x14ac:dyDescent="0.3">
      <c r="A26" s="15" t="s">
        <v>36</v>
      </c>
      <c r="E26" s="78" t="s">
        <v>29</v>
      </c>
      <c r="F26" s="79"/>
      <c r="G26" s="69"/>
      <c r="H26" s="38"/>
    </row>
    <row r="27" spans="1:8" ht="19.5" thickBot="1" x14ac:dyDescent="0.35">
      <c r="A27" s="16"/>
      <c r="B27" s="4"/>
      <c r="C27" s="4"/>
      <c r="D27" s="17"/>
      <c r="F27" s="3"/>
      <c r="G27" s="36" t="s">
        <v>30</v>
      </c>
      <c r="H27" s="41">
        <f>H22+H23-H24-H25</f>
        <v>4280210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6" t="s">
        <v>49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 M TERMOCALDERAS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2025-07-21T15:13:27Z</dcterms:modified>
</cp:coreProperties>
</file>