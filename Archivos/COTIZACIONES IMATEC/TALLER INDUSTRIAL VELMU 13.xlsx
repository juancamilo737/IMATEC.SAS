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FC00C508-FB74-402E-BB8C-8BA24E38B8D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VELMU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2" i="1" l="1"/>
  <c r="H21" i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<sst xmlns="http://schemas.openxmlformats.org/spreadsheetml/2006/main" count="55" uniqueCount="54">
  <si>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</si>
  <si>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</si>
  <si>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</si>
  <si>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</si>
  <si>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</si>
  <si>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</si>
  <si>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</si>
  <si>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</si>
  <si>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</si>
  <si>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</si>
  <si>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</si>
  <si>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</si>
  <si>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</si>
  <si>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</si>
  <si>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</si>
  <si>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</si>
  <si>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</si>
  <si>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</si>
  <si>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</si>
  <si>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</si>
  <si>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</si>
  <si>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</si>
  <si>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</si>
  <si>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</si>
  <si>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</si>
  <si>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</si>
  <si>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</si>
  <si>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</si>
  <si>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</si>
  <si>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</si>
  <si>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</si>
  <si>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</si>
  <si>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</si>
  <si>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</si>
  <si>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</si>
  <si>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</si>
  <si>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</si>
  <si>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</si>
  <si>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</si>
  <si>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>CALI</t>
  </si>
  <si>
    <t>TALLER INDUSTRIAL VELMU S.A.S.</t>
  </si>
  <si>
    <t>800 043326</t>
  </si>
  <si>
    <t>CALLE  18  No.  4 - 54</t>
  </si>
  <si>
    <t>tallerve@hotmail.com</t>
  </si>
  <si>
    <t>314 6770377</t>
  </si>
  <si>
    <t>LUIS  A. BENAVIDES</t>
  </si>
  <si>
    <t>ENTREGA INMEDIATA</t>
  </si>
  <si>
    <t>TRAMO</t>
  </si>
  <si>
    <t>No.  13</t>
  </si>
  <si>
    <t xml:space="preserve">              R E M I S I O N</t>
  </si>
  <si>
    <t>TUBERIA  AC/INOX 304  SANITARIO 1 1/2 " X 2 MTS</t>
  </si>
  <si>
    <t>TUBERIA  AC/INOX 304  SANITARIO 1  " X  1 MT</t>
  </si>
  <si>
    <t>CIENTO VEINTIOCHO MIL CIENTO CINCUENTA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</si>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</sst>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llerv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zoomScaleNormal="100" workbookViewId="0">
      <selection activeCell="G30" sqref="G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3" t="s">
        <v>41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42</v>
      </c>
      <c r="E9" s="15" t="s">
        <v>39</v>
      </c>
      <c r="F9" s="30" t="s">
        <v>0</v>
      </c>
      <c r="H9" s="28">
        <v>45904</v>
      </c>
    </row>
    <row r="10" spans="1:8" ht="18.75" x14ac:dyDescent="0.3">
      <c r="A10" s="21" t="s">
        <v>13</v>
      </c>
      <c r="C10" s="64" t="s">
        <v>43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50</v>
      </c>
      <c r="C16" s="67"/>
      <c r="D16" s="68"/>
      <c r="E16" s="65" t="s">
        <v>47</v>
      </c>
      <c r="F16" s="69">
        <v>80000</v>
      </c>
      <c r="G16" s="65">
        <v>1</v>
      </c>
      <c r="H16" s="38">
        <f t="shared" ref="H16" si="0">G16*F16</f>
        <v>80000</v>
      </c>
    </row>
    <row r="17" spans="1:8" ht="16.5" thickBot="1" x14ac:dyDescent="0.3">
      <c r="A17" s="65">
        <v>2</v>
      </c>
      <c r="B17" s="66" t="s">
        <v>51</v>
      </c>
      <c r="C17" s="67"/>
      <c r="D17" s="68"/>
      <c r="E17" s="65" t="s">
        <v>47</v>
      </c>
      <c r="F17" s="69">
        <v>30000</v>
      </c>
      <c r="G17" s="65">
        <v>1</v>
      </c>
      <c r="H17" s="38">
        <f t="shared" ref="H17" si="1">G17*F17</f>
        <v>30000</v>
      </c>
    </row>
    <row r="18" spans="1:8" ht="19.5" customHeight="1" thickBot="1" x14ac:dyDescent="0.3">
      <c r="A18" s="47"/>
      <c r="B18" s="61"/>
      <c r="D18" s="62"/>
      <c r="E18" s="47"/>
      <c r="F18" s="47"/>
      <c r="G18" s="47"/>
    </row>
    <row r="19" spans="1:8" ht="19.5" customHeight="1" thickBot="1" x14ac:dyDescent="0.35">
      <c r="A19" s="60" t="s">
        <v>23</v>
      </c>
      <c r="B19" s="63" t="s">
        <v>52</v>
      </c>
      <c r="C19" s="12"/>
      <c r="D19" s="13"/>
      <c r="E19" s="48"/>
      <c r="F19" s="37" t="s">
        <v>37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17"/>
      <c r="E20" s="51" t="s">
        <v>24</v>
      </c>
      <c r="F20" s="52"/>
      <c r="G20" s="44"/>
      <c r="H20" s="49">
        <f>SUM(H16:H19)</f>
        <v>110000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20900</v>
      </c>
    </row>
    <row r="22" spans="1:8" ht="19.5" customHeight="1" x14ac:dyDescent="0.25">
      <c r="A22" s="14" t="s">
        <v>30</v>
      </c>
      <c r="E22" s="55" t="s">
        <v>26</v>
      </c>
      <c r="G22" s="58">
        <v>2.5000000000000001E-2</v>
      </c>
      <c r="H22" s="50">
        <f>H20*G22</f>
        <v>2750</v>
      </c>
    </row>
    <row r="23" spans="1:8" ht="15.75" x14ac:dyDescent="0.25">
      <c r="A23" s="14" t="s">
        <v>46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128150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38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VELMUT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2025-09-04T22:04:06Z</dcterms:modified>
</cp:coreProperties>
</file>