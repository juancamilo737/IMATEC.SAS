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FE61E05-580D-4A5F-858D-390C84B962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8" i="1"/>
  <c r="H17" i="1"/>
  <c r="H16" i="1"/>
  <c r="H22" i="1" l="1"/>
  <c r="H26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<sst xmlns="http://schemas.openxmlformats.org/spreadsheetml/2006/main" count="57" uniqueCount="57">
  <si>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</si>
  <si>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</si>
  <si>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</si>
  <si>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</si>
  <si>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</si>
  <si>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</si>
  <si>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</si>
  <si>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</si>
  <si>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</si>
  <si>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</si>
  <si>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</si>
  <si>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</si>
  <si>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</si>
  <si>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</si>
  <si>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</si>
  <si>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</si>
  <si>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</si>
  <si>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</si>
  <si>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</si>
  <si>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</si>
  <si>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</si>
  <si>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</si>
  <si>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</si>
  <si>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</si>
  <si>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</si>
  <si>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</si>
  <si>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</si>
  <si>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</si>
  <si>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</si>
  <si>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</si>
  <si>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</si>
  <si>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</si>
  <si>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</si>
  <si>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</si>
  <si>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</si>
  <si>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</si>
  <si>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</si>
  <si>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</si>
  <si>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</si>
  <si>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</si>
  <si>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</si>
  <si>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</si>
  <si>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</si>
  <si>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</si>
  <si>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</si>
  <si>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</si>
  <si>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>L I Q U I D A C I O N</t>
  </si>
  <si>
    <t xml:space="preserve">  CALLE  33A  No. 17F - 56                              B/  LA FLORESTA             -   CALI    -                                   CEL.     321 7834969</t>
  </si>
  <si>
    <t>No. 11</t>
  </si>
  <si>
    <t xml:space="preserve">              R E M I S I O N</t>
  </si>
  <si>
    <t>CODO AC/INOX 304  SCH 10  4 "  X 90 º</t>
  </si>
  <si>
    <t>TUBERIA  AC/INOX 304  SCH 10  4 " X 35  CMTS</t>
  </si>
  <si>
    <t>SERVICIO</t>
  </si>
  <si>
    <t>SOLDADURA ARGON EN 4 "</t>
  </si>
  <si>
    <t>TRAMO</t>
  </si>
  <si>
    <t>SESENTA PESOS MDA / CTE</t>
  </si>
  <si>
    <t>CUATROCIENTOS SESENTA Y OCHO MIL OCHOCIENTOS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</si>
</sst>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33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4" xfId="0" applyFont="1" applyBorder="1"/>
    <xf numFmtId="0" fontId="0" fillId="0" borderId="35" xfId="0" applyBorder="1"/>
    <xf numFmtId="0" fontId="0" fillId="0" borderId="6" xfId="0" applyBorder="1"/>
    <xf numFmtId="0" fontId="8" fillId="0" borderId="3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45884</v>
      </c>
    </row>
    <row r="10" spans="1:8" ht="18.75" x14ac:dyDescent="0.3">
      <c r="A10" s="21" t="s">
        <v>13</v>
      </c>
      <c r="C10" s="71" t="s">
        <v>42</v>
      </c>
      <c r="D10" s="66"/>
      <c r="E10" s="45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43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51</v>
      </c>
      <c r="C16" s="50"/>
      <c r="D16" s="51"/>
      <c r="E16" s="48" t="s">
        <v>54</v>
      </c>
      <c r="F16" s="52">
        <v>74000</v>
      </c>
      <c r="G16" s="48">
        <v>2</v>
      </c>
      <c r="H16" s="38">
        <f t="shared" ref="H16" si="0">G16*F16</f>
        <v>148000</v>
      </c>
    </row>
    <row r="17" spans="1:8" ht="16.5" thickBot="1" x14ac:dyDescent="0.3">
      <c r="A17" s="48">
        <v>2</v>
      </c>
      <c r="B17" s="49" t="s">
        <v>50</v>
      </c>
      <c r="C17" s="50"/>
      <c r="D17" s="51"/>
      <c r="E17" s="48" t="s">
        <v>44</v>
      </c>
      <c r="F17" s="52">
        <v>78000</v>
      </c>
      <c r="G17" s="48">
        <v>2</v>
      </c>
      <c r="H17" s="38">
        <f t="shared" ref="H17:H18" si="1">G17*F17</f>
        <v>156000</v>
      </c>
    </row>
    <row r="18" spans="1:8" ht="16.5" thickBot="1" x14ac:dyDescent="0.3">
      <c r="A18" s="73">
        <v>3</v>
      </c>
      <c r="B18" s="81" t="s">
        <v>53</v>
      </c>
      <c r="C18" s="74"/>
      <c r="D18" s="75"/>
      <c r="E18" s="73" t="s">
        <v>52</v>
      </c>
      <c r="F18" s="76">
        <v>45000</v>
      </c>
      <c r="G18" s="73">
        <v>2</v>
      </c>
      <c r="H18" s="38">
        <f t="shared" si="1"/>
        <v>90000</v>
      </c>
    </row>
    <row r="19" spans="1:8" ht="19.5" customHeight="1" thickBot="1" x14ac:dyDescent="0.3">
      <c r="A19" s="53"/>
      <c r="B19" s="78"/>
      <c r="D19" s="79"/>
      <c r="E19" s="53"/>
      <c r="F19" s="53"/>
      <c r="G19" s="53"/>
    </row>
    <row r="20" spans="1:8" ht="19.5" customHeight="1" thickBot="1" x14ac:dyDescent="0.35">
      <c r="A20" s="77" t="s">
        <v>23</v>
      </c>
      <c r="B20" s="80" t="s">
        <v>56</v>
      </c>
      <c r="C20" s="12"/>
      <c r="D20" s="13"/>
      <c r="E20" s="54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7" t="s">
        <v>24</v>
      </c>
      <c r="F21" s="58"/>
      <c r="G21" s="44"/>
      <c r="H21" s="55">
        <f>SUM(H16:H18)</f>
        <v>394000</v>
      </c>
    </row>
    <row r="22" spans="1:8" ht="19.5" customHeight="1" x14ac:dyDescent="0.25">
      <c r="A22" s="24" t="s">
        <v>25</v>
      </c>
      <c r="B22" s="12"/>
      <c r="C22" s="12"/>
      <c r="D22" s="12"/>
      <c r="E22" s="59" t="s">
        <v>29</v>
      </c>
      <c r="F22" s="23"/>
      <c r="G22" s="60">
        <v>0.19</v>
      </c>
      <c r="H22" s="40">
        <f>H21*G22</f>
        <v>74860</v>
      </c>
    </row>
    <row r="23" spans="1:8" ht="19.5" customHeight="1" x14ac:dyDescent="0.25">
      <c r="A23" s="14" t="s">
        <v>30</v>
      </c>
      <c r="E23" s="61" t="s">
        <v>26</v>
      </c>
      <c r="G23" s="64">
        <v>2.5000000000000001E-2</v>
      </c>
      <c r="H23" s="56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62" t="s">
        <v>27</v>
      </c>
      <c r="F25" s="63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468860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2025-08-15T21:57:20Z</dcterms:modified>
</cp:coreProperties>
</file>