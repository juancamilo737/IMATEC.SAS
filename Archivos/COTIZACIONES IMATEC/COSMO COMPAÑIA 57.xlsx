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95609D8-3FDC-4DD7-A40A-C00C9459382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2" l="1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33" i="2" l="1"/>
  <c r="H32" i="2"/>
  <c r="H36" i="2" s="1"/>
</calcChain>
</file>

<file path=xl/sharedStrings.xml><?xml version="1.0" encoding="utf-8"?>
<sst xmlns="http://schemas.openxmlformats.org/spreadsheetml/2006/main" count="80" uniqueCount="70">
  <si>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</si>
  <si>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</si>
  <si>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</si>
  <si>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</si>
  <si>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</si>
  <si>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</si>
  <si>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</si>
  <si>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</si>
  <si>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</si>
  <si>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</si>
  <si>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</si>
  <si>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</si>
  <si>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</si>
  <si>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</si>
  <si>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</si>
  <si>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</si>
  <si>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</si>
  <si>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</si>
  <si>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</si>
  <si>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</si>
  <si>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</si>
  <si>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</si>
  <si>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</si>
  <si>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</si>
  <si>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</si>
  <si>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</si>
  <si>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</si>
  <si>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</si>
  <si>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</si>
  <si>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</si>
  <si>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</si>
  <si>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</si>
  <si>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</si>
  <si>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</si>
  <si>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</si>
  <si>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</si>
  <si>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</si>
  <si>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</si>
  <si>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</si>
  <si>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</si>
  <si>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</si>
  <si>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</si>
  <si>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</si>
  <si>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</si>
  <si>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</si>
  <si>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 xml:space="preserve">O de C  No. </t>
  </si>
  <si>
    <t>CTO. DE COSTOS</t>
  </si>
  <si>
    <t>FABRICACION</t>
  </si>
  <si>
    <t>ACCESORIO</t>
  </si>
  <si>
    <t>ENTREGA EN TRES DIAS  A PARTIR DE ORDEN DE COMPRA</t>
  </si>
  <si>
    <t>No.  57</t>
  </si>
  <si>
    <t xml:space="preserve">              R E M I S I O N</t>
  </si>
  <si>
    <t>30 DIAS</t>
  </si>
  <si>
    <t>TORNILLO AC/INOX  5/8 "  X  3 1/2 "</t>
  </si>
  <si>
    <t>CODO SANITARIO AC/INOX 316 L  2 "</t>
  </si>
  <si>
    <t>ABRAZADERA 2 "</t>
  </si>
  <si>
    <t>TEE SANITARIA AC/INOX 316 L  2 "</t>
  </si>
  <si>
    <t>CHEQUE SANITARIO AC/INOX 316 L 2 " CLAMP</t>
  </si>
  <si>
    <t>TUBERIA  A /  C  SCH N80  2 "  X  3  MTS</t>
  </si>
  <si>
    <t>TRAMO</t>
  </si>
  <si>
    <t>BRIDA SLIP ON A / C 2 "  X  300 LBS</t>
  </si>
  <si>
    <t>EMPAQUE FLEXITALICO 2 "  X  300 LBS</t>
  </si>
  <si>
    <t>TORNILLO A / C  3/4 "  X  2 1/2 " COMPLETO</t>
  </si>
  <si>
    <t>TORNILLO  A / C  3/4 "  X  2 1/2  "</t>
  </si>
  <si>
    <t>NIPLE ROSCADO  A / C SCH 40  1 1/2 "  X  150 mm</t>
  </si>
  <si>
    <t>NIPLE ROSCADO  A / C SCH 40  2 1/2 "  X  150 mm</t>
  </si>
  <si>
    <t>CODO A / C  SCH 80   1 1/2 "  SOLDAR</t>
  </si>
  <si>
    <t>DOS MILLONES DIEZ MIL NOVECIENTOS SESENTA Y</t>
  </si>
  <si>
    <t>CINCO PESOS MDA / CTE</t>
  </si>
  <si>
    <t>FLORA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</si>
</sst>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51"/>
  <sheetViews>
    <sheetView tabSelected="1" topLeftCell="A5" zoomScaleNormal="100" workbookViewId="0">
      <selection activeCell="J14" sqref="J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45840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 t="s">
        <v>52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45869</v>
      </c>
    </row>
    <row r="12" spans="1:8" ht="18.75" x14ac:dyDescent="0.3">
      <c r="A12" s="21" t="s">
        <v>11</v>
      </c>
      <c r="C12" s="14" t="s">
        <v>40</v>
      </c>
      <c r="E12" s="15"/>
      <c r="F12" s="30" t="s">
        <v>45</v>
      </c>
      <c r="G12" s="73"/>
      <c r="H12" s="31">
        <v>2577</v>
      </c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46</v>
      </c>
      <c r="G13" s="4"/>
      <c r="H13" s="72" t="s">
        <v>69</v>
      </c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49" t="s">
        <v>19</v>
      </c>
      <c r="G15" s="49" t="s">
        <v>18</v>
      </c>
      <c r="H15" s="32" t="s">
        <v>20</v>
      </c>
    </row>
    <row r="16" spans="1:8" ht="15.75" thickBot="1" x14ac:dyDescent="0.3">
      <c r="A16" s="68">
        <v>1</v>
      </c>
      <c r="B16" s="69" t="s">
        <v>53</v>
      </c>
      <c r="C16" s="70"/>
      <c r="D16" s="45"/>
      <c r="E16" s="71" t="s">
        <v>48</v>
      </c>
      <c r="F16" s="66">
        <v>8500</v>
      </c>
      <c r="G16" s="67">
        <v>8</v>
      </c>
      <c r="H16" s="38">
        <f>F16*G16</f>
        <v>68000</v>
      </c>
    </row>
    <row r="17" spans="1:8" ht="15.75" thickBot="1" x14ac:dyDescent="0.3">
      <c r="A17" s="68">
        <v>2</v>
      </c>
      <c r="B17" s="69" t="s">
        <v>54</v>
      </c>
      <c r="C17" s="70"/>
      <c r="D17" s="45"/>
      <c r="E17" s="71" t="s">
        <v>48</v>
      </c>
      <c r="F17" s="66">
        <v>32300</v>
      </c>
      <c r="G17" s="67">
        <v>8</v>
      </c>
      <c r="H17" s="38">
        <f t="shared" ref="H17:H18" si="0">F17*G17</f>
        <v>258400</v>
      </c>
    </row>
    <row r="18" spans="1:8" ht="15.75" thickBot="1" x14ac:dyDescent="0.3">
      <c r="A18" s="68">
        <v>3</v>
      </c>
      <c r="B18" s="69" t="s">
        <v>55</v>
      </c>
      <c r="C18" s="70"/>
      <c r="D18" s="45"/>
      <c r="E18" s="71" t="s">
        <v>48</v>
      </c>
      <c r="F18" s="66">
        <v>10800</v>
      </c>
      <c r="G18" s="67">
        <v>11</v>
      </c>
      <c r="H18" s="38">
        <f t="shared" si="0"/>
        <v>118800</v>
      </c>
    </row>
    <row r="19" spans="1:8" ht="15.75" thickBot="1" x14ac:dyDescent="0.3">
      <c r="A19" s="68">
        <v>4</v>
      </c>
      <c r="B19" s="69" t="s">
        <v>56</v>
      </c>
      <c r="C19" s="70"/>
      <c r="D19" s="45"/>
      <c r="E19" s="71" t="s">
        <v>48</v>
      </c>
      <c r="F19" s="66">
        <v>82700</v>
      </c>
      <c r="G19" s="67">
        <v>3</v>
      </c>
      <c r="H19" s="38">
        <f t="shared" ref="H19:H28" si="1">F19*G19</f>
        <v>248100</v>
      </c>
    </row>
    <row r="20" spans="1:8" ht="15.75" thickBot="1" x14ac:dyDescent="0.3">
      <c r="A20" s="68">
        <v>5</v>
      </c>
      <c r="B20" s="69" t="s">
        <v>57</v>
      </c>
      <c r="C20" s="70"/>
      <c r="D20" s="45"/>
      <c r="E20" s="71" t="s">
        <v>48</v>
      </c>
      <c r="F20" s="66">
        <v>320700</v>
      </c>
      <c r="G20" s="67">
        <v>1</v>
      </c>
      <c r="H20" s="38">
        <f t="shared" si="1"/>
        <v>320700</v>
      </c>
    </row>
    <row r="21" spans="1:8" ht="15.75" thickBot="1" x14ac:dyDescent="0.3">
      <c r="A21" s="68">
        <v>6</v>
      </c>
      <c r="B21" s="69" t="s">
        <v>58</v>
      </c>
      <c r="C21" s="70"/>
      <c r="D21" s="45"/>
      <c r="E21" s="71" t="s">
        <v>59</v>
      </c>
      <c r="F21" s="66">
        <v>236400</v>
      </c>
      <c r="G21" s="67">
        <v>1</v>
      </c>
      <c r="H21" s="38">
        <f t="shared" si="1"/>
        <v>236400</v>
      </c>
    </row>
    <row r="22" spans="1:8" ht="15.75" thickBot="1" x14ac:dyDescent="0.3">
      <c r="A22" s="68">
        <v>7</v>
      </c>
      <c r="B22" s="69" t="s">
        <v>60</v>
      </c>
      <c r="C22" s="70"/>
      <c r="D22" s="45"/>
      <c r="E22" s="71" t="s">
        <v>48</v>
      </c>
      <c r="F22" s="66">
        <v>45000</v>
      </c>
      <c r="G22" s="67">
        <v>6</v>
      </c>
      <c r="H22" s="38">
        <f t="shared" si="1"/>
        <v>270000</v>
      </c>
    </row>
    <row r="23" spans="1:8" ht="15.75" thickBot="1" x14ac:dyDescent="0.3">
      <c r="A23" s="68">
        <v>8</v>
      </c>
      <c r="B23" s="69" t="s">
        <v>61</v>
      </c>
      <c r="C23" s="70"/>
      <c r="D23" s="45"/>
      <c r="E23" s="71" t="s">
        <v>48</v>
      </c>
      <c r="F23" s="66">
        <v>6700</v>
      </c>
      <c r="G23" s="67">
        <v>6</v>
      </c>
      <c r="H23" s="38">
        <f t="shared" si="1"/>
        <v>40200</v>
      </c>
    </row>
    <row r="24" spans="1:8" ht="15.75" thickBot="1" x14ac:dyDescent="0.3">
      <c r="A24" s="68">
        <v>9</v>
      </c>
      <c r="B24" s="69" t="s">
        <v>62</v>
      </c>
      <c r="C24" s="70"/>
      <c r="D24" s="45"/>
      <c r="E24" s="71" t="s">
        <v>48</v>
      </c>
      <c r="F24" s="66">
        <v>3500</v>
      </c>
      <c r="G24" s="67">
        <v>12</v>
      </c>
      <c r="H24" s="38">
        <f t="shared" si="1"/>
        <v>42000</v>
      </c>
    </row>
    <row r="25" spans="1:8" ht="15.75" thickBot="1" x14ac:dyDescent="0.3">
      <c r="A25" s="68">
        <v>10</v>
      </c>
      <c r="B25" s="69" t="s">
        <v>65</v>
      </c>
      <c r="C25" s="70"/>
      <c r="D25" s="45"/>
      <c r="E25" s="71" t="s">
        <v>47</v>
      </c>
      <c r="F25" s="66">
        <v>20900</v>
      </c>
      <c r="G25" s="67">
        <v>1</v>
      </c>
      <c r="H25" s="38">
        <f t="shared" si="1"/>
        <v>20900</v>
      </c>
    </row>
    <row r="26" spans="1:8" ht="15.75" thickBot="1" x14ac:dyDescent="0.3">
      <c r="A26" s="68">
        <v>11</v>
      </c>
      <c r="B26" s="69" t="s">
        <v>63</v>
      </c>
      <c r="C26" s="70"/>
      <c r="D26" s="45"/>
      <c r="E26" s="71" t="s">
        <v>48</v>
      </c>
      <c r="F26" s="66">
        <v>2900</v>
      </c>
      <c r="G26" s="67">
        <v>10</v>
      </c>
      <c r="H26" s="38">
        <f t="shared" si="1"/>
        <v>29000</v>
      </c>
    </row>
    <row r="27" spans="1:8" ht="15.75" thickBot="1" x14ac:dyDescent="0.3">
      <c r="A27" s="68">
        <v>12</v>
      </c>
      <c r="B27" s="69" t="s">
        <v>64</v>
      </c>
      <c r="C27" s="70"/>
      <c r="D27" s="45"/>
      <c r="E27" s="71" t="s">
        <v>48</v>
      </c>
      <c r="F27" s="66">
        <v>23400</v>
      </c>
      <c r="G27" s="67">
        <v>2</v>
      </c>
      <c r="H27" s="38">
        <f t="shared" si="1"/>
        <v>46800</v>
      </c>
    </row>
    <row r="28" spans="1:8" ht="15.75" thickBot="1" x14ac:dyDescent="0.3">
      <c r="A28" s="68">
        <v>13</v>
      </c>
      <c r="B28" s="69" t="s">
        <v>66</v>
      </c>
      <c r="C28" s="70"/>
      <c r="D28" s="45"/>
      <c r="E28" s="71" t="s">
        <v>48</v>
      </c>
      <c r="F28" s="66">
        <v>8950</v>
      </c>
      <c r="G28" s="67">
        <v>3</v>
      </c>
      <c r="H28" s="38">
        <f t="shared" si="1"/>
        <v>26850</v>
      </c>
    </row>
    <row r="29" spans="1:8" ht="15.75" thickBot="1" x14ac:dyDescent="0.3">
      <c r="B29" s="16"/>
      <c r="C29" s="4"/>
      <c r="D29" s="17"/>
      <c r="F29" s="65"/>
      <c r="G29" s="65"/>
    </row>
    <row r="30" spans="1:8" ht="19.5" customHeight="1" thickBot="1" x14ac:dyDescent="0.35">
      <c r="A30" s="62" t="s">
        <v>22</v>
      </c>
      <c r="B30" s="61" t="s">
        <v>67</v>
      </c>
      <c r="C30" s="12"/>
      <c r="D30" s="13"/>
      <c r="E30" s="64"/>
      <c r="F30" s="37" t="s">
        <v>43</v>
      </c>
      <c r="G30" s="6"/>
      <c r="H30" s="7"/>
    </row>
    <row r="31" spans="1:8" ht="19.5" customHeight="1" thickBot="1" x14ac:dyDescent="0.3">
      <c r="A31" s="39"/>
      <c r="B31" s="16" t="s">
        <v>68</v>
      </c>
      <c r="C31" s="4"/>
      <c r="D31" s="17"/>
      <c r="E31" s="52" t="s">
        <v>23</v>
      </c>
      <c r="F31" s="52"/>
      <c r="G31" s="45"/>
      <c r="H31" s="50">
        <f>SUM(H16:H28)</f>
        <v>1726150</v>
      </c>
    </row>
    <row r="32" spans="1:8" ht="19.5" customHeight="1" x14ac:dyDescent="0.25">
      <c r="A32" s="24" t="s">
        <v>24</v>
      </c>
      <c r="E32" s="53" t="s">
        <v>28</v>
      </c>
      <c r="F32" s="23"/>
      <c r="G32" s="54">
        <v>0.19</v>
      </c>
      <c r="H32" s="40">
        <f>H31*G32</f>
        <v>327968.5</v>
      </c>
    </row>
    <row r="33" spans="1:8" ht="19.5" customHeight="1" x14ac:dyDescent="0.25">
      <c r="A33" s="14" t="s">
        <v>42</v>
      </c>
      <c r="E33" s="55" t="s">
        <v>25</v>
      </c>
      <c r="G33" s="58">
        <v>2.5000000000000001E-2</v>
      </c>
      <c r="H33" s="51">
        <f>H31*G33</f>
        <v>43153.75</v>
      </c>
    </row>
    <row r="34" spans="1:8" ht="15.75" x14ac:dyDescent="0.25">
      <c r="A34" s="14" t="s">
        <v>49</v>
      </c>
      <c r="E34" s="14"/>
      <c r="F34" s="33"/>
      <c r="G34" s="46"/>
      <c r="H34" s="15"/>
    </row>
    <row r="35" spans="1:8" ht="16.5" thickBot="1" x14ac:dyDescent="0.3">
      <c r="A35" s="14" t="s">
        <v>30</v>
      </c>
      <c r="E35" s="56" t="s">
        <v>26</v>
      </c>
      <c r="F35" s="57"/>
      <c r="G35" s="47"/>
      <c r="H35" s="17"/>
    </row>
    <row r="36" spans="1:8" ht="19.5" thickBot="1" x14ac:dyDescent="0.35">
      <c r="A36" s="60"/>
      <c r="B36" s="4"/>
      <c r="C36" s="4"/>
      <c r="D36" s="17"/>
      <c r="F36" s="3"/>
      <c r="G36" s="34" t="s">
        <v>27</v>
      </c>
      <c r="H36" s="36">
        <f>H31+H32-H33</f>
        <v>2010964.75</v>
      </c>
    </row>
    <row r="37" spans="1:8" ht="16.5" customHeight="1" x14ac:dyDescent="0.25"/>
    <row r="42" spans="1:8" ht="15.75" thickBot="1" x14ac:dyDescent="0.3"/>
    <row r="43" spans="1:8" ht="19.5" thickBot="1" x14ac:dyDescent="0.35">
      <c r="A43" s="25" t="s">
        <v>44</v>
      </c>
      <c r="B43" s="6"/>
      <c r="C43" s="6"/>
      <c r="D43" s="6"/>
      <c r="E43" s="6"/>
      <c r="F43" s="6"/>
      <c r="G43" s="6"/>
      <c r="H43" s="7"/>
    </row>
    <row r="51" spans="1:1" ht="18.75" x14ac:dyDescent="0.3">
      <c r="A51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2025-07-02T15:34:18Z</dcterms:modified>
</cp:coreProperties>
</file>