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CC17DDF-3AED-492D-986D-41DA97B2AF4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INECOL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<sst xmlns="http://schemas.openxmlformats.org/spreadsheetml/2006/main" count="53" uniqueCount="53">
  <si>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</si>
  <si>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</si>
  <si>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</si>
  <si>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</si>
  <si>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</si>
  <si>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</si>
  <si>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</si>
  <si>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</si>
  <si>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</si>
  <si>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</si>
  <si>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</si>
  <si>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</si>
  <si>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</si>
  <si>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</si>
  <si>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</si>
  <si>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</si>
  <si>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</si>
  <si>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</si>
  <si>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</si>
  <si>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</si>
  <si>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</si>
  <si>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</si>
  <si>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</si>
  <si>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</si>
  <si>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</si>
  <si>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</si>
  <si>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</si>
  <si>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</si>
  <si>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</si>
  <si>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</si>
  <si>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</si>
  <si>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</si>
  <si>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</si>
  <si>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</si>
  <si>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</si>
  <si>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</si>
  <si>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</si>
  <si>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</si>
  <si>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</si>
  <si>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</si>
  <si>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</si>
  <si>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</si>
  <si>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CALDERAS INECOLMA S.A.S.</t>
  </si>
  <si>
    <t>901 474380</t>
  </si>
  <si>
    <t>CRA 23  No. 58-04</t>
  </si>
  <si>
    <t>CALI</t>
  </si>
  <si>
    <t>facturas@calderasinecolma.com</t>
  </si>
  <si>
    <t>602 3726628</t>
  </si>
  <si>
    <t>EDINSON CABEZAS</t>
  </si>
  <si>
    <t>ACCESORIO</t>
  </si>
  <si>
    <t>CHEQUE CORTINA BRONCE  1 "  X  125 LB HELMAN</t>
  </si>
  <si>
    <t>CIENTO OCHO MIL DOSCIENTOS NOVENTA PESOS MDA /</t>
  </si>
  <si>
    <t>CYE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</si>
</sst>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37" xfId="0" applyBorder="1"/>
    <xf numFmtId="0" fontId="0" fillId="0" borderId="13" xfId="0" applyBorder="1"/>
    <xf numFmtId="0" fontId="13" fillId="0" borderId="37" xfId="2" applyBorder="1"/>
    <xf numFmtId="0" fontId="0" fillId="0" borderId="38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calderasinecol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70" t="s">
        <v>42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71" t="s">
        <v>43</v>
      </c>
      <c r="D8" s="72"/>
      <c r="E8" s="72"/>
      <c r="H8" s="15"/>
    </row>
    <row r="9" spans="1:8" ht="18.75" customHeight="1" x14ac:dyDescent="0.3">
      <c r="A9" s="21" t="s">
        <v>9</v>
      </c>
      <c r="C9" s="23" t="s">
        <v>44</v>
      </c>
      <c r="D9" s="23"/>
      <c r="E9" s="71" t="s">
        <v>45</v>
      </c>
      <c r="F9" s="30" t="s">
        <v>0</v>
      </c>
      <c r="H9" s="28">
        <v>45586</v>
      </c>
    </row>
    <row r="10" spans="1:8" ht="18.75" x14ac:dyDescent="0.3">
      <c r="A10" s="21" t="s">
        <v>13</v>
      </c>
      <c r="C10" s="73" t="s">
        <v>46</v>
      </c>
      <c r="D10" s="72"/>
      <c r="E10" s="72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/>
      <c r="D11" s="72"/>
      <c r="E11" s="72"/>
      <c r="F11" s="30" t="s">
        <v>16</v>
      </c>
      <c r="G11" s="30"/>
      <c r="H11" s="28">
        <v>45595</v>
      </c>
    </row>
    <row r="12" spans="1:8" ht="18.75" x14ac:dyDescent="0.3">
      <c r="A12" s="21" t="s">
        <v>11</v>
      </c>
      <c r="C12" s="71" t="s">
        <v>47</v>
      </c>
      <c r="D12" s="72"/>
      <c r="E12" s="72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4" t="s">
        <v>48</v>
      </c>
      <c r="D13" s="75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50</v>
      </c>
      <c r="C16" s="54"/>
      <c r="D16" s="55"/>
      <c r="E16" s="51" t="s">
        <v>49</v>
      </c>
      <c r="F16" s="57">
        <v>91000</v>
      </c>
      <c r="G16" s="51">
        <v>1</v>
      </c>
      <c r="H16" s="38">
        <f t="shared" ref="H16" si="0">G16*F16</f>
        <v>91000</v>
      </c>
    </row>
    <row r="17" spans="1:8" ht="19.5" customHeight="1" thickBot="1" x14ac:dyDescent="0.3">
      <c r="A17" s="52"/>
      <c r="B17" s="45"/>
      <c r="C17" s="42"/>
      <c r="D17" s="56"/>
      <c r="E17" s="58"/>
      <c r="F17" s="58"/>
      <c r="G17" s="58"/>
    </row>
    <row r="18" spans="1:8" ht="19.5" customHeight="1" thickBot="1" x14ac:dyDescent="0.35">
      <c r="A18" s="50" t="s">
        <v>23</v>
      </c>
      <c r="B18" s="14" t="s">
        <v>51</v>
      </c>
      <c r="D18" s="15"/>
      <c r="E18" s="5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62" t="s">
        <v>24</v>
      </c>
      <c r="F19" s="63"/>
      <c r="G19" s="46"/>
      <c r="H19" s="60">
        <f>SUM(H16:H18)</f>
        <v>91000</v>
      </c>
    </row>
    <row r="20" spans="1:8" ht="19.5" customHeight="1" x14ac:dyDescent="0.25">
      <c r="A20" s="24" t="s">
        <v>25</v>
      </c>
      <c r="B20" s="12"/>
      <c r="C20" s="12"/>
      <c r="D20" s="12"/>
      <c r="E20" s="64" t="s">
        <v>30</v>
      </c>
      <c r="F20" s="23"/>
      <c r="G20" s="65">
        <v>0.19</v>
      </c>
      <c r="H20" s="40">
        <f>H19*G20</f>
        <v>17290</v>
      </c>
    </row>
    <row r="21" spans="1:8" ht="19.5" customHeight="1" x14ac:dyDescent="0.25">
      <c r="A21" s="14" t="s">
        <v>31</v>
      </c>
      <c r="E21" s="66" t="s">
        <v>26</v>
      </c>
      <c r="G21" s="69">
        <v>2.5000000000000001E-2</v>
      </c>
      <c r="H21" s="61"/>
    </row>
    <row r="22" spans="1:8" ht="15.75" x14ac:dyDescent="0.25">
      <c r="A22" s="14" t="s">
        <v>38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7" t="s">
        <v>27</v>
      </c>
      <c r="F23" s="68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108290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949205D-511F-43CA-8320-E4F1477E0F9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INECOLMA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2024-10-21T22:08:29Z</dcterms:modified>
</cp:coreProperties>
</file>