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04B73FA8-5A01-4A6E-AB01-136D9D668881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CERPLAST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30" i="1"/>
  <c r="H28" i="1"/>
  <c r="H26" i="1"/>
  <c r="H24" i="1"/>
  <c r="H22" i="1"/>
  <c r="H20" i="1"/>
  <c r="H18" i="1"/>
  <c r="H16" i="1"/>
  <c r="H38" i="1" l="1"/>
  <c r="H42" i="1" s="1"/>
</calcChain>
</file>

<file path=xl/sharedStrings.xml><?xml version="1.0" encoding="utf-8"?>
<sst xmlns="http://schemas.openxmlformats.org/spreadsheetml/2006/main" count="67" uniqueCount="61">
  <si>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</si>
  <si>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</si>
  <si>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</si>
  <si>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</si>
  <si>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</si>
  <si>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</si>
  <si>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</si>
  <si>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</si>
  <si>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</si>
  <si>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</si>
  <si>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</si>
  <si>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</si>
  <si>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</si>
  <si>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</si>
  <si>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</si>
  <si>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</si>
  <si>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</si>
  <si>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</si>
  <si>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</si>
  <si>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</si>
  <si>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</si>
  <si>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</si>
  <si>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</si>
  <si>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</si>
  <si>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</si>
  <si>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</si>
  <si>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</si>
  <si>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</si>
  <si>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</si>
  <si>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</si>
  <si>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</si>
  <si>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</si>
  <si>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</si>
  <si>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</si>
  <si>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</si>
  <si>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</si>
  <si>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</si>
  <si>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8 DIAS</t>
  </si>
  <si>
    <t>FORMA DE PAGO : CONTADO</t>
  </si>
  <si>
    <t>ENTREGA INMEDIATA</t>
  </si>
  <si>
    <t>ENTREGA EN CALI</t>
  </si>
  <si>
    <t>ACCESORIO</t>
  </si>
  <si>
    <t>METRO LINEAL</t>
  </si>
  <si>
    <t xml:space="preserve">  CALLE  33B  No. 17C - 70     2º PISO            B/  LA FLORESTA             -   CALI    -                               CEL.     321 7834969</t>
  </si>
  <si>
    <t>CALI</t>
  </si>
  <si>
    <t>TUBERIA INOX 304 SCH 40 1/2 "</t>
  </si>
  <si>
    <t>BUSHING INOX  3/4 " X 1/2 "</t>
  </si>
  <si>
    <t>CODO INOX ROSCADO  1/2"  90º</t>
  </si>
  <si>
    <t>VALVULA INOX 1/2 "</t>
  </si>
  <si>
    <t>SEMICODO INOX ROSCADO 1/2"</t>
  </si>
  <si>
    <t>UNION INOX 3/4 "</t>
  </si>
  <si>
    <t>ITEM</t>
  </si>
  <si>
    <t>UNION INOX 1/2 "</t>
  </si>
  <si>
    <t>UNIVERSAL INOX 1/2 "</t>
  </si>
  <si>
    <t>VEINTISIETE PESOS MDA / CTE</t>
  </si>
  <si>
    <t>CUATROCIENTOS TREINTA Y TRES MIL TRESCIENTOS</t>
  </si>
  <si>
    <t>ACERPLAST SAS</t>
  </si>
  <si>
    <t>900 437332</t>
  </si>
  <si>
    <t>CALLE 43 No. 4-37</t>
  </si>
  <si>
    <t>comarcerplast.7@gmail.com</t>
  </si>
  <si>
    <t>602 3450369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</si>
</sst>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7" xfId="0" applyBorder="1"/>
    <xf numFmtId="0" fontId="0" fillId="0" borderId="21" xfId="0" applyBorder="1"/>
    <xf numFmtId="0" fontId="0" fillId="0" borderId="20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2" xfId="0" applyBorder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42" fontId="12" fillId="0" borderId="1" xfId="1" applyFont="1" applyBorder="1" applyAlignment="1">
      <alignment horizontal="center"/>
    </xf>
    <xf numFmtId="0" fontId="0" fillId="0" borderId="15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0" xfId="0" applyFont="1" applyBorder="1"/>
    <xf numFmtId="0" fontId="4" fillId="0" borderId="14" xfId="0" applyFont="1" applyBorder="1"/>
    <xf numFmtId="0" fontId="5" fillId="0" borderId="24" xfId="0" applyFont="1" applyBorder="1"/>
    <xf numFmtId="9" fontId="1" fillId="0" borderId="20" xfId="0" applyNumberFormat="1" applyFont="1" applyBorder="1"/>
    <xf numFmtId="42" fontId="1" fillId="0" borderId="25" xfId="1" applyFont="1" applyBorder="1"/>
    <xf numFmtId="42" fontId="1" fillId="0" borderId="25" xfId="0" applyNumberFormat="1" applyFont="1" applyBorder="1"/>
    <xf numFmtId="0" fontId="0" fillId="0" borderId="25" xfId="0" applyBorder="1"/>
    <xf numFmtId="0" fontId="0" fillId="0" borderId="24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2" xfId="0" applyFont="1" applyBorder="1"/>
    <xf numFmtId="0" fontId="13" fillId="0" borderId="0" xfId="0" applyFont="1" applyAlignment="1">
      <alignment horizontal="center"/>
    </xf>
    <xf numFmtId="0" fontId="14" fillId="0" borderId="20" xfId="2" applyBorder="1"/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42" fontId="1" fillId="0" borderId="21" xfId="0" applyNumberFormat="1" applyFont="1" applyBorder="1"/>
    <xf numFmtId="0" fontId="4" fillId="0" borderId="31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arcerplast.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9"/>
  <sheetViews>
    <sheetView tabSelected="1" topLeftCell="A30" zoomScaleNormal="100" workbookViewId="0">
      <selection activeCell="D31" sqref="D3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7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56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57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58</v>
      </c>
      <c r="D9" s="25"/>
      <c r="E9" s="26" t="s">
        <v>44</v>
      </c>
      <c r="F9" s="33" t="s">
        <v>0</v>
      </c>
      <c r="H9" s="34">
        <v>45449</v>
      </c>
    </row>
    <row r="10" spans="1:8" ht="18.75" x14ac:dyDescent="0.3">
      <c r="A10" s="22" t="s">
        <v>14</v>
      </c>
      <c r="C10" s="68" t="s">
        <v>59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68"/>
      <c r="D11" s="27"/>
      <c r="E11" s="27"/>
      <c r="F11" s="33" t="s">
        <v>17</v>
      </c>
      <c r="G11" s="36"/>
      <c r="H11" s="34">
        <v>45457</v>
      </c>
    </row>
    <row r="12" spans="1:8" ht="18.75" x14ac:dyDescent="0.3">
      <c r="A12" s="22" t="s">
        <v>12</v>
      </c>
      <c r="C12" s="26" t="s">
        <v>60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51</v>
      </c>
      <c r="B15" s="28" t="s">
        <v>26</v>
      </c>
      <c r="C15" s="41"/>
      <c r="D15" s="13"/>
      <c r="E15" s="61" t="s">
        <v>22</v>
      </c>
      <c r="F15" s="62" t="s">
        <v>24</v>
      </c>
      <c r="G15" s="62" t="s">
        <v>23</v>
      </c>
      <c r="H15" s="63" t="s">
        <v>25</v>
      </c>
    </row>
    <row r="16" spans="1:8" ht="16.5" thickBot="1" x14ac:dyDescent="0.3">
      <c r="A16" s="71">
        <v>1</v>
      </c>
      <c r="B16" s="42" t="s">
        <v>45</v>
      </c>
      <c r="C16" s="43"/>
      <c r="D16" s="43"/>
      <c r="E16" s="64" t="s">
        <v>42</v>
      </c>
      <c r="F16" s="49">
        <v>30000</v>
      </c>
      <c r="G16" s="38">
        <v>6</v>
      </c>
      <c r="H16" s="65">
        <f>G16*F16</f>
        <v>180000</v>
      </c>
    </row>
    <row r="17" spans="1:10" ht="16.5" thickBot="1" x14ac:dyDescent="0.3">
      <c r="A17" s="71"/>
      <c r="B17" s="44"/>
      <c r="C17" s="45"/>
      <c r="D17" s="45"/>
      <c r="E17" s="50"/>
      <c r="F17" s="39"/>
      <c r="H17" s="66"/>
    </row>
    <row r="18" spans="1:10" ht="16.5" thickBot="1" x14ac:dyDescent="0.3">
      <c r="A18" s="71">
        <v>2</v>
      </c>
      <c r="B18" s="44" t="s">
        <v>46</v>
      </c>
      <c r="C18" s="45"/>
      <c r="D18" s="45"/>
      <c r="E18" s="64" t="s">
        <v>41</v>
      </c>
      <c r="F18" s="49">
        <v>4470</v>
      </c>
      <c r="G18" s="38">
        <v>2</v>
      </c>
      <c r="H18" s="65">
        <f>G18*F18</f>
        <v>8940</v>
      </c>
    </row>
    <row r="19" spans="1:10" ht="16.5" thickBot="1" x14ac:dyDescent="0.3">
      <c r="A19" s="71"/>
      <c r="B19" s="44"/>
      <c r="C19" s="45"/>
      <c r="D19" s="45"/>
      <c r="E19" s="50"/>
      <c r="F19" s="39"/>
      <c r="H19" s="66"/>
    </row>
    <row r="20" spans="1:10" ht="16.5" thickBot="1" x14ac:dyDescent="0.3">
      <c r="A20" s="71">
        <v>3</v>
      </c>
      <c r="B20" s="44" t="s">
        <v>47</v>
      </c>
      <c r="C20" s="45"/>
      <c r="D20" s="45"/>
      <c r="E20" s="64" t="s">
        <v>41</v>
      </c>
      <c r="F20" s="49">
        <v>5500</v>
      </c>
      <c r="G20" s="38">
        <v>10</v>
      </c>
      <c r="H20" s="65">
        <f>G20*F20</f>
        <v>55000</v>
      </c>
      <c r="I20" s="39"/>
      <c r="J20" s="39"/>
    </row>
    <row r="21" spans="1:10" ht="16.5" thickBot="1" x14ac:dyDescent="0.3">
      <c r="A21" s="71"/>
      <c r="B21" s="44"/>
      <c r="C21" s="45"/>
      <c r="D21" s="45"/>
      <c r="E21" s="50"/>
      <c r="F21" s="39"/>
      <c r="H21" s="66"/>
      <c r="I21" s="39"/>
      <c r="J21" s="39"/>
    </row>
    <row r="22" spans="1:10" ht="16.5" thickBot="1" x14ac:dyDescent="0.3">
      <c r="A22" s="71">
        <v>4</v>
      </c>
      <c r="B22" s="44" t="s">
        <v>48</v>
      </c>
      <c r="C22" s="45"/>
      <c r="D22" s="45"/>
      <c r="E22" s="64" t="s">
        <v>41</v>
      </c>
      <c r="F22" s="49">
        <v>30000</v>
      </c>
      <c r="G22" s="38">
        <v>2</v>
      </c>
      <c r="H22" s="65">
        <f>G22*F22</f>
        <v>60000</v>
      </c>
      <c r="I22" s="39"/>
      <c r="J22" s="39"/>
    </row>
    <row r="23" spans="1:10" ht="16.5" thickBot="1" x14ac:dyDescent="0.3">
      <c r="A23" s="71"/>
      <c r="B23" s="44"/>
      <c r="C23" s="45"/>
      <c r="D23" s="45"/>
      <c r="E23" s="50"/>
      <c r="F23" s="39"/>
      <c r="H23" s="66"/>
      <c r="I23" s="39"/>
      <c r="J23" s="39"/>
    </row>
    <row r="24" spans="1:10" ht="16.5" thickBot="1" x14ac:dyDescent="0.3">
      <c r="A24" s="71">
        <v>5</v>
      </c>
      <c r="B24" s="44" t="s">
        <v>49</v>
      </c>
      <c r="C24" s="45"/>
      <c r="D24" s="45"/>
      <c r="E24" s="64" t="s">
        <v>41</v>
      </c>
      <c r="F24" s="49">
        <v>5400</v>
      </c>
      <c r="G24" s="38">
        <v>2</v>
      </c>
      <c r="H24" s="65">
        <f>G24*F24</f>
        <v>10800</v>
      </c>
      <c r="I24" s="39"/>
      <c r="J24" s="39"/>
    </row>
    <row r="25" spans="1:10" ht="19.5" customHeight="1" thickBot="1" x14ac:dyDescent="0.3">
      <c r="A25" s="71"/>
      <c r="B25" s="44"/>
      <c r="C25" s="45"/>
      <c r="D25" s="45"/>
      <c r="E25" s="50"/>
      <c r="F25" s="39"/>
      <c r="H25" s="66"/>
      <c r="I25" s="39"/>
      <c r="J25" s="39"/>
    </row>
    <row r="26" spans="1:10" ht="19.5" customHeight="1" thickBot="1" x14ac:dyDescent="0.3">
      <c r="A26" s="71">
        <v>6</v>
      </c>
      <c r="B26" s="44" t="s">
        <v>50</v>
      </c>
      <c r="C26" s="45"/>
      <c r="D26" s="45"/>
      <c r="E26" s="64" t="s">
        <v>41</v>
      </c>
      <c r="F26" s="49">
        <v>8700</v>
      </c>
      <c r="G26" s="38">
        <v>2</v>
      </c>
      <c r="H26" s="65">
        <f>G26*F26</f>
        <v>17400</v>
      </c>
      <c r="I26" s="39"/>
      <c r="J26" s="39"/>
    </row>
    <row r="27" spans="1:10" ht="19.5" customHeight="1" thickBot="1" x14ac:dyDescent="0.3">
      <c r="A27" s="71"/>
      <c r="B27" s="44"/>
      <c r="C27" s="45"/>
      <c r="D27" s="45"/>
      <c r="E27" s="50"/>
      <c r="F27" s="39"/>
      <c r="H27" s="66"/>
      <c r="I27" s="39"/>
      <c r="J27" s="39"/>
    </row>
    <row r="28" spans="1:10" ht="19.5" customHeight="1" thickBot="1" x14ac:dyDescent="0.3">
      <c r="A28" s="71">
        <v>7</v>
      </c>
      <c r="B28" s="44" t="s">
        <v>52</v>
      </c>
      <c r="C28" s="45"/>
      <c r="D28" s="45"/>
      <c r="E28" s="64" t="s">
        <v>41</v>
      </c>
      <c r="F28" s="49">
        <v>5000</v>
      </c>
      <c r="G28" s="38">
        <v>2</v>
      </c>
      <c r="H28" s="65">
        <f>G28*F28</f>
        <v>10000</v>
      </c>
      <c r="I28" s="39"/>
      <c r="J28" s="39"/>
    </row>
    <row r="29" spans="1:10" ht="19.5" customHeight="1" thickBot="1" x14ac:dyDescent="0.3">
      <c r="B29" s="44"/>
      <c r="C29" s="45"/>
      <c r="D29" s="45"/>
      <c r="E29" s="50"/>
      <c r="H29" s="40"/>
      <c r="I29" s="39"/>
      <c r="J29" s="39"/>
    </row>
    <row r="30" spans="1:10" ht="19.5" customHeight="1" thickBot="1" x14ac:dyDescent="0.3">
      <c r="A30" s="71">
        <v>8</v>
      </c>
      <c r="B30" s="44" t="s">
        <v>53</v>
      </c>
      <c r="C30" s="45"/>
      <c r="D30" s="45"/>
      <c r="E30" s="64" t="s">
        <v>41</v>
      </c>
      <c r="F30" s="49">
        <v>11000</v>
      </c>
      <c r="G30" s="38">
        <v>2</v>
      </c>
      <c r="H30" s="65">
        <f>G30*F30</f>
        <v>22000</v>
      </c>
      <c r="I30" s="39"/>
      <c r="J30" s="39"/>
    </row>
    <row r="31" spans="1:10" ht="19.5" customHeight="1" x14ac:dyDescent="0.25">
      <c r="B31" s="44"/>
      <c r="E31" s="50"/>
      <c r="H31" s="40"/>
      <c r="I31" s="39"/>
      <c r="J31" s="39"/>
    </row>
    <row r="32" spans="1:10" ht="19.5" customHeight="1" x14ac:dyDescent="0.25">
      <c r="B32" s="44"/>
      <c r="E32" s="50"/>
      <c r="H32" s="40"/>
    </row>
    <row r="33" spans="1:8" ht="19.5" customHeight="1" x14ac:dyDescent="0.25">
      <c r="B33" s="44"/>
      <c r="E33" s="50"/>
      <c r="H33" s="40"/>
    </row>
    <row r="34" spans="1:8" ht="19.5" customHeight="1" x14ac:dyDescent="0.25">
      <c r="B34" s="46"/>
      <c r="C34" s="47"/>
      <c r="D34" s="47"/>
      <c r="E34" s="24"/>
      <c r="F34" s="47"/>
      <c r="G34" s="47"/>
      <c r="H34" s="48"/>
    </row>
    <row r="35" spans="1:8" ht="19.5" customHeight="1" thickBot="1" x14ac:dyDescent="0.3"/>
    <row r="36" spans="1:8" ht="19.5" customHeight="1" x14ac:dyDescent="0.3">
      <c r="A36" s="69" t="s">
        <v>27</v>
      </c>
      <c r="B36" s="12" t="s">
        <v>55</v>
      </c>
      <c r="C36" s="13"/>
      <c r="D36" s="14"/>
      <c r="E36" s="13"/>
      <c r="F36" s="52" t="s">
        <v>33</v>
      </c>
      <c r="G36" s="13"/>
      <c r="H36" s="14"/>
    </row>
    <row r="37" spans="1:8" ht="19.5" customHeight="1" thickBot="1" x14ac:dyDescent="0.3">
      <c r="A37" s="70"/>
      <c r="B37" s="17" t="s">
        <v>54</v>
      </c>
      <c r="C37" s="4"/>
      <c r="D37" s="4"/>
      <c r="E37" s="53" t="s">
        <v>28</v>
      </c>
      <c r="F37" s="54"/>
      <c r="G37" s="27"/>
      <c r="H37" s="72">
        <f>SUM(H16:H30)</f>
        <v>364140</v>
      </c>
    </row>
    <row r="38" spans="1:8" ht="19.5" customHeight="1" x14ac:dyDescent="0.25">
      <c r="A38" s="28" t="s">
        <v>29</v>
      </c>
      <c r="B38" s="13"/>
      <c r="C38" s="13"/>
      <c r="D38" s="14"/>
      <c r="E38" s="3" t="s">
        <v>35</v>
      </c>
      <c r="F38" s="73"/>
      <c r="G38" s="56">
        <v>0.19</v>
      </c>
      <c r="H38" s="57">
        <f>H37*G38</f>
        <v>69186.600000000006</v>
      </c>
    </row>
    <row r="39" spans="1:8" ht="19.5" customHeight="1" x14ac:dyDescent="0.25">
      <c r="A39" s="15" t="s">
        <v>38</v>
      </c>
      <c r="D39" s="16"/>
      <c r="E39" s="54" t="s">
        <v>30</v>
      </c>
      <c r="G39">
        <v>0</v>
      </c>
      <c r="H39" s="58"/>
    </row>
    <row r="40" spans="1:8" ht="19.5" customHeight="1" x14ac:dyDescent="0.25">
      <c r="A40" s="15" t="s">
        <v>39</v>
      </c>
      <c r="D40" s="16"/>
      <c r="F40" s="54"/>
      <c r="G40" s="27"/>
      <c r="H40" s="59"/>
    </row>
    <row r="41" spans="1:8" ht="19.5" customHeight="1" thickBot="1" x14ac:dyDescent="0.3">
      <c r="A41" s="15" t="s">
        <v>40</v>
      </c>
      <c r="D41" s="16"/>
      <c r="E41" s="54" t="s">
        <v>31</v>
      </c>
      <c r="F41" s="54"/>
      <c r="G41" s="27"/>
      <c r="H41" s="60"/>
    </row>
    <row r="42" spans="1:8" ht="19.5" thickBot="1" x14ac:dyDescent="0.35">
      <c r="A42" s="17"/>
      <c r="B42" s="4"/>
      <c r="C42" s="4"/>
      <c r="D42" s="18"/>
      <c r="F42" s="3"/>
      <c r="G42" s="55" t="s">
        <v>32</v>
      </c>
      <c r="H42" s="51">
        <f>H37+H38</f>
        <v>433326.6</v>
      </c>
    </row>
    <row r="44" spans="1:8" x14ac:dyDescent="0.25">
      <c r="A44" t="s">
        <v>1</v>
      </c>
    </row>
    <row r="45" spans="1:8" ht="16.5" customHeight="1" x14ac:dyDescent="0.25"/>
    <row r="46" spans="1:8" ht="15.75" thickBot="1" x14ac:dyDescent="0.3"/>
    <row r="47" spans="1:8" ht="19.5" thickBot="1" x14ac:dyDescent="0.35">
      <c r="A47" s="29" t="s">
        <v>43</v>
      </c>
      <c r="B47" s="6"/>
      <c r="C47" s="6"/>
      <c r="D47" s="6"/>
      <c r="E47" s="6"/>
      <c r="F47" s="6"/>
      <c r="G47" s="6"/>
      <c r="H47" s="7"/>
    </row>
    <row r="59" spans="1:1" ht="18.75" x14ac:dyDescent="0.3">
      <c r="A5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ACERPLAST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2024-06-06T16:25:29Z</dcterms:modified>
</cp:coreProperties>
</file>