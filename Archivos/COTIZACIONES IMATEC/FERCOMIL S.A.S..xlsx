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EEAAD053-A3EA-45AB-AB83-162271D77C58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COMI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16" i="1"/>
  <c r="H39" i="1" s="1"/>
  <c r="H38" i="1" l="1"/>
  <c r="H42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<sst xmlns="http://schemas.openxmlformats.org/spreadsheetml/2006/main" count="54" uniqueCount="54">
  <si>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</si>
  <si>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</si>
  <si>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</si>
  <si>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</si>
  <si>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</si>
  <si>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</si>
  <si>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</si>
  <si>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</si>
  <si>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</si>
  <si>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</si>
  <si>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</si>
  <si>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</si>
  <si>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</si>
  <si>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</si>
  <si>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</si>
  <si>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</si>
  <si>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</si>
  <si>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</si>
  <si>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</si>
  <si>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</si>
  <si>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</si>
  <si>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</si>
  <si>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</si>
  <si>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</si>
  <si>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</si>
  <si>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</si>
  <si>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</si>
  <si>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</si>
  <si>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</si>
  <si>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</si>
  <si>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</si>
  <si>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</si>
  <si>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</si>
  <si>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</si>
  <si>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</si>
  <si>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</si>
  <si>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</si>
  <si>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</si>
  <si>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</si>
  <si>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>ENTREGA INMEDIATA</t>
  </si>
  <si>
    <t xml:space="preserve">              R E M I S I O N</t>
  </si>
  <si>
    <t xml:space="preserve"> CALLE  33B  No. 17C - 70     2º PISO              B/  LA FLORESTA             -   CALI    -                                  CEL.     321 7834969</t>
  </si>
  <si>
    <t>FERCOMIL SAS</t>
  </si>
  <si>
    <t>900 704297</t>
  </si>
  <si>
    <t>CRA 25  No. 12B-26</t>
  </si>
  <si>
    <t>BOGOTÁ</t>
  </si>
  <si>
    <t>fercomil@hotmail.com</t>
  </si>
  <si>
    <t>601 7019823</t>
  </si>
  <si>
    <t>EDINSON CABEZAS</t>
  </si>
  <si>
    <t>TUBERIA AC/INOX 316  SCH 40  1 "</t>
  </si>
  <si>
    <t>METRO LINEAL</t>
  </si>
  <si>
    <t>VEINTINUEVE MILLONES SEISCIENTOS DIEZ MIL OCHO-</t>
  </si>
  <si>
    <t>CIENTOS NOVENTA Y OCHO PESOS MDA / CTE</t>
  </si>
  <si>
    <t>FORMA DE PAGO : ANTICIPO 50 %  SALDO A TREINTA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</si>
</sst>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10" fontId="1" fillId="0" borderId="0" xfId="0" applyNumberFormat="1" applyFont="1"/>
    <xf numFmtId="0" fontId="8" fillId="0" borderId="0" xfId="0" applyFont="1" applyAlignment="1">
      <alignment horizontal="left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0" fillId="0" borderId="26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comi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24" zoomScaleNormal="100" workbookViewId="0">
      <selection activeCell="E34" sqref="E34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8" ht="19.5" thickBot="1" x14ac:dyDescent="0.35">
      <c r="A5" s="70" t="s">
        <v>38</v>
      </c>
      <c r="B5" s="6"/>
      <c r="C5" s="6"/>
      <c r="D5" s="6"/>
      <c r="E5" s="6"/>
    </row>
    <row r="6" spans="1:8" ht="24.75" customHeight="1" thickBot="1" x14ac:dyDescent="0.45">
      <c r="F6" s="11" t="s">
        <v>40</v>
      </c>
      <c r="G6" s="19"/>
      <c r="H6" s="20"/>
    </row>
    <row r="7" spans="1:8" ht="19.5" thickBot="1" x14ac:dyDescent="0.35">
      <c r="A7" s="21" t="s">
        <v>15</v>
      </c>
      <c r="B7" s="13"/>
      <c r="C7" s="32" t="s">
        <v>42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43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44</v>
      </c>
      <c r="D9" s="25"/>
      <c r="E9" s="26" t="s">
        <v>45</v>
      </c>
      <c r="F9" s="33" t="s">
        <v>0</v>
      </c>
      <c r="H9" s="34">
        <v>45486</v>
      </c>
    </row>
    <row r="10" spans="1:8" ht="18.75" x14ac:dyDescent="0.3">
      <c r="A10" s="22" t="s">
        <v>14</v>
      </c>
      <c r="C10" s="57" t="s">
        <v>46</v>
      </c>
      <c r="D10" s="27"/>
      <c r="E10" s="27"/>
      <c r="F10" s="33" t="s">
        <v>16</v>
      </c>
      <c r="H10" s="35" t="s">
        <v>36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45494</v>
      </c>
    </row>
    <row r="12" spans="1:8" ht="18.75" x14ac:dyDescent="0.3">
      <c r="A12" s="22" t="s">
        <v>12</v>
      </c>
      <c r="C12" s="26" t="s">
        <v>47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48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37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49</v>
      </c>
      <c r="C16" s="42"/>
      <c r="D16" s="63"/>
      <c r="E16" s="62" t="s">
        <v>50</v>
      </c>
      <c r="F16" s="66">
        <v>81465</v>
      </c>
      <c r="G16" s="62">
        <v>312</v>
      </c>
      <c r="H16" s="64">
        <f>G16*F16</f>
        <v>25417080</v>
      </c>
    </row>
    <row r="17" spans="1:10" ht="15.75" x14ac:dyDescent="0.25">
      <c r="A17" s="40"/>
      <c r="B17" s="73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1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4" t="s">
        <v>25</v>
      </c>
      <c r="B36" s="12" t="s">
        <v>51</v>
      </c>
      <c r="C36" s="13"/>
      <c r="D36" s="14"/>
      <c r="E36" s="13"/>
      <c r="F36" s="47" t="s">
        <v>31</v>
      </c>
      <c r="G36" s="13"/>
      <c r="H36" s="7"/>
    </row>
    <row r="37" spans="1:8" ht="19.5" customHeight="1" thickBot="1" x14ac:dyDescent="0.3">
      <c r="A37" s="75"/>
      <c r="B37" s="17" t="s">
        <v>52</v>
      </c>
      <c r="C37" s="4"/>
      <c r="D37" s="4"/>
      <c r="E37" s="48" t="s">
        <v>26</v>
      </c>
      <c r="F37" s="49"/>
      <c r="G37" s="27"/>
      <c r="H37" s="58">
        <f>H16</f>
        <v>25417080</v>
      </c>
    </row>
    <row r="38" spans="1:8" ht="19.5" customHeight="1" x14ac:dyDescent="0.25">
      <c r="A38" s="28" t="s">
        <v>27</v>
      </c>
      <c r="B38" s="13"/>
      <c r="C38" s="13"/>
      <c r="D38" s="14"/>
      <c r="E38" s="3" t="s">
        <v>33</v>
      </c>
      <c r="F38" s="76"/>
      <c r="G38" s="51">
        <v>0.19</v>
      </c>
      <c r="H38" s="59">
        <f>H37*G38</f>
        <v>4829245.2</v>
      </c>
    </row>
    <row r="39" spans="1:8" ht="15.75" x14ac:dyDescent="0.25">
      <c r="A39" s="15" t="s">
        <v>53</v>
      </c>
      <c r="D39" s="16"/>
      <c r="E39" s="49" t="s">
        <v>28</v>
      </c>
      <c r="G39" s="72">
        <v>2.5000000000000001E-2</v>
      </c>
      <c r="H39" s="52">
        <f>H37*G39</f>
        <v>635427</v>
      </c>
    </row>
    <row r="40" spans="1:8" ht="15.75" x14ac:dyDescent="0.25">
      <c r="A40" s="15" t="s">
        <v>39</v>
      </c>
      <c r="D40" s="16"/>
      <c r="F40" s="49"/>
      <c r="G40" s="27"/>
      <c r="H40" s="53"/>
    </row>
    <row r="41" spans="1:8" ht="16.5" thickBot="1" x14ac:dyDescent="0.3">
      <c r="A41" s="15" t="s">
        <v>35</v>
      </c>
      <c r="D41" s="16"/>
      <c r="E41" s="49" t="s">
        <v>29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30</v>
      </c>
      <c r="H42" s="60">
        <f>H37+H38-H39</f>
        <v>29610898.199999999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41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FERCOMIL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2024-07-04T12:50:58Z</cp:lastPrinted>
  <dcterms:created xsi:type="dcterms:W3CDTF">2018-11-15T17:29:02Z</dcterms:created>
  <dcterms:modified xsi:type="dcterms:W3CDTF">2024-07-13T16:02:44Z</dcterms:modified>
</cp:coreProperties>
</file>