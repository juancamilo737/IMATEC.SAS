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33A1A184-2600-4AC8-A769-0F923FC868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.A. EMPAQU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" l="1"/>
  <c r="H32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4" i="1" l="1"/>
  <c r="H35" i="1" s="1"/>
  <c r="H38" i="1"/>
</calcChain>
</file>

<file path=xl/sharedStrings.xml><?xml version="1.0" encoding="utf-8"?>
<sst xmlns="http://schemas.openxmlformats.org/spreadsheetml/2006/main" count="82" uniqueCount="69">
  <si>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</si>
  <si>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</si>
  <si>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</si>
  <si>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</si>
  <si>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</si>
  <si>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</si>
  <si>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</si>
  <si>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</si>
  <si>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</si>
  <si>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</si>
  <si>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</si>
  <si>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</si>
  <si>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</si>
  <si>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</si>
  <si>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</si>
  <si>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</si>
  <si>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</si>
  <si>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</si>
  <si>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</si>
  <si>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</si>
  <si>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</si>
  <si>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</si>
  <si>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</si>
  <si>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</si>
  <si>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</si>
  <si>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</si>
  <si>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</si>
  <si>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</si>
  <si>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</si>
  <si>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</si>
  <si>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</si>
  <si>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</si>
  <si>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</si>
  <si>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</si>
  <si>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</si>
  <si>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</si>
  <si>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</si>
  <si>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METRO LINEAL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</si>
  <si>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</si>
  <si>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</si>
  <si>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 xml:space="preserve">              R E M I S I O N</t>
  </si>
  <si>
    <t>EDINSON CABEZAS</t>
  </si>
  <si>
    <t>ENTREGA EN LA CIUDAD DE CALI</t>
  </si>
  <si>
    <t>ACCESORIO</t>
  </si>
  <si>
    <t>INSUMO</t>
  </si>
  <si>
    <t>ENTREGA EN 1 DIA POSTERIOR A ORDEN DE COMPRA</t>
  </si>
  <si>
    <t>W.A. EMPAQUES S.A.S.</t>
  </si>
  <si>
    <t>900 690988</t>
  </si>
  <si>
    <t>CRA 36  No. 10-95</t>
  </si>
  <si>
    <t>YUMBO</t>
  </si>
  <si>
    <t>factturaelectronica@waempaques.com</t>
  </si>
  <si>
    <t>316 0238810</t>
  </si>
  <si>
    <t>BRIDA PVC SCH 80  2 1/2 "</t>
  </si>
  <si>
    <t>TEE PVC  SCH 80  2 1/2 "</t>
  </si>
  <si>
    <t>BUJE  PVC  SCH 80  2 "  X  1 "</t>
  </si>
  <si>
    <t>BUJE PVC SCH 80  2 1/2 "  X  2 "</t>
  </si>
  <si>
    <t>BUJE  PVC  SCH 80  2 "  X  3/4 "</t>
  </si>
  <si>
    <t>BUSHING AC/INOX 304  3/4 "  X  1/2 "</t>
  </si>
  <si>
    <t>NIPLE  AC/INOX 304 2 1/2 "  X  4 "</t>
  </si>
  <si>
    <t>BRIDA A / C  2 1/2 "  X  150  LB NPT</t>
  </si>
  <si>
    <t>BUJE PVC SCH 80  4 "  X  2 1/2 "</t>
  </si>
  <si>
    <t>VALVULA MARIPOSA  4 " CUERPO HIERRO DISCO IN</t>
  </si>
  <si>
    <t>BRIDA  A / C SLIP ON  4 "  X  150 LB</t>
  </si>
  <si>
    <t>VALVULA MARIPOSA PVC  2 1/2 "</t>
  </si>
  <si>
    <t>TUBERIA  PVC  SCH 80  2 1/2 "</t>
  </si>
  <si>
    <t>SOLDADURA PVC AMERICANA  1/4 GALON</t>
  </si>
  <si>
    <t xml:space="preserve">UNION A / C 2 1/2 </t>
  </si>
  <si>
    <t>TRES MILLONES DOSCIENTOS NOVENTA Y SIETE MIL</t>
  </si>
  <si>
    <t>SEISCIENTOS CUARENTA Y NUEVE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</si>
</sst>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8" fillId="0" borderId="14" xfId="0" applyFont="1" applyBorder="1"/>
    <xf numFmtId="0" fontId="8" fillId="0" borderId="0" xfId="0" applyFont="1"/>
    <xf numFmtId="0" fontId="5" fillId="0" borderId="18" xfId="0" applyFont="1" applyBorder="1"/>
    <xf numFmtId="42" fontId="1" fillId="0" borderId="19" xfId="0" applyNumberFormat="1" applyFont="1" applyBorder="1"/>
    <xf numFmtId="0" fontId="0" fillId="0" borderId="18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7" xfId="0" applyNumberFormat="1" applyFont="1" applyBorder="1" applyAlignment="1">
      <alignment horizontal="left"/>
    </xf>
    <xf numFmtId="42" fontId="1" fillId="0" borderId="19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0" xfId="0" applyFont="1" applyBorder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21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2" xfId="0" applyBorder="1"/>
    <xf numFmtId="0" fontId="0" fillId="0" borderId="3" xfId="0" applyBorder="1"/>
    <xf numFmtId="0" fontId="4" fillId="0" borderId="23" xfId="0" applyFont="1" applyBorder="1"/>
    <xf numFmtId="0" fontId="4" fillId="0" borderId="24" xfId="0" applyFont="1" applyBorder="1"/>
    <xf numFmtId="0" fontId="0" fillId="0" borderId="25" xfId="0" applyBorder="1"/>
    <xf numFmtId="0" fontId="4" fillId="0" borderId="9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27" xfId="0" applyFont="1" applyBorder="1"/>
    <xf numFmtId="0" fontId="4" fillId="0" borderId="28" xfId="0" applyFont="1" applyBorder="1"/>
    <xf numFmtId="0" fontId="0" fillId="0" borderId="29" xfId="0" applyBorder="1"/>
    <xf numFmtId="9" fontId="1" fillId="0" borderId="10" xfId="0" applyNumberFormat="1" applyFont="1" applyBorder="1"/>
    <xf numFmtId="9" fontId="1" fillId="0" borderId="30" xfId="0" applyNumberFormat="1" applyFont="1" applyBorder="1"/>
    <xf numFmtId="0" fontId="0" fillId="0" borderId="31" xfId="0" applyBorder="1"/>
    <xf numFmtId="0" fontId="4" fillId="0" borderId="1" xfId="0" applyFont="1" applyBorder="1" applyAlignment="1">
      <alignment horizontal="right"/>
    </xf>
    <xf numFmtId="42" fontId="1" fillId="0" borderId="18" xfId="0" applyNumberFormat="1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turaelectronica@waempaqu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9"/>
  <sheetViews>
    <sheetView tabSelected="1" topLeftCell="A10" zoomScaleNormal="100" workbookViewId="0">
      <selection activeCell="G42" sqref="G4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2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36</v>
      </c>
      <c r="E4" s="18"/>
      <c r="F4" s="19"/>
      <c r="G4" s="6"/>
      <c r="H4" s="7"/>
    </row>
    <row r="5" spans="1:8" ht="19.5" thickBot="1" x14ac:dyDescent="0.35">
      <c r="A5" s="51" t="s">
        <v>39</v>
      </c>
      <c r="B5" s="6"/>
      <c r="C5" s="6"/>
      <c r="D5" s="6"/>
      <c r="E5" s="6"/>
    </row>
    <row r="6" spans="1:8" ht="24.75" customHeight="1" thickBot="1" x14ac:dyDescent="0.45">
      <c r="F6" s="11" t="s">
        <v>40</v>
      </c>
      <c r="G6" s="18"/>
      <c r="H6" s="19"/>
    </row>
    <row r="7" spans="1:8" ht="19.5" thickBot="1" x14ac:dyDescent="0.35">
      <c r="A7" s="20" t="s">
        <v>14</v>
      </c>
      <c r="B7" s="13"/>
      <c r="C7" s="30" t="s">
        <v>46</v>
      </c>
      <c r="D7" s="13"/>
      <c r="E7" s="14"/>
      <c r="F7" s="27"/>
      <c r="G7" s="18"/>
      <c r="H7" s="19"/>
    </row>
    <row r="8" spans="1:8" ht="18.75" x14ac:dyDescent="0.3">
      <c r="A8" s="21" t="s">
        <v>8</v>
      </c>
      <c r="C8" s="24" t="s">
        <v>47</v>
      </c>
      <c r="D8" s="25"/>
      <c r="E8" s="25"/>
      <c r="F8" s="12"/>
      <c r="G8" s="13"/>
      <c r="H8" s="14"/>
    </row>
    <row r="9" spans="1:8" ht="18.75" customHeight="1" x14ac:dyDescent="0.3">
      <c r="A9" s="21" t="s">
        <v>9</v>
      </c>
      <c r="C9" s="23" t="s">
        <v>48</v>
      </c>
      <c r="D9" s="23"/>
      <c r="E9" s="24" t="s">
        <v>49</v>
      </c>
      <c r="F9" s="31" t="s">
        <v>0</v>
      </c>
      <c r="H9" s="32">
        <v>45532</v>
      </c>
    </row>
    <row r="10" spans="1:8" ht="18.75" x14ac:dyDescent="0.3">
      <c r="A10" s="21" t="s">
        <v>13</v>
      </c>
      <c r="C10" s="43" t="s">
        <v>50</v>
      </c>
      <c r="D10" s="25"/>
      <c r="E10" s="25"/>
      <c r="F10" s="31" t="s">
        <v>15</v>
      </c>
      <c r="H10" s="33" t="s">
        <v>35</v>
      </c>
    </row>
    <row r="11" spans="1:8" ht="18.75" x14ac:dyDescent="0.3">
      <c r="A11" s="21" t="s">
        <v>10</v>
      </c>
      <c r="C11" s="24"/>
      <c r="D11" s="25"/>
      <c r="E11" s="25"/>
      <c r="F11" s="31" t="s">
        <v>16</v>
      </c>
      <c r="G11" s="34"/>
      <c r="H11" s="32">
        <v>45541</v>
      </c>
    </row>
    <row r="12" spans="1:8" ht="18.75" x14ac:dyDescent="0.3">
      <c r="A12" s="21" t="s">
        <v>11</v>
      </c>
      <c r="C12" s="24" t="s">
        <v>51</v>
      </c>
      <c r="D12" s="25"/>
      <c r="E12" s="25"/>
      <c r="F12" s="31" t="s">
        <v>17</v>
      </c>
      <c r="H12" s="35"/>
    </row>
    <row r="13" spans="1:8" ht="18.75" customHeight="1" thickBot="1" x14ac:dyDescent="0.35">
      <c r="A13" s="22" t="s">
        <v>12</v>
      </c>
      <c r="B13" s="4"/>
      <c r="C13" s="24" t="s">
        <v>41</v>
      </c>
      <c r="D13" s="25"/>
      <c r="E13" s="25"/>
      <c r="F13" s="16"/>
      <c r="G13" s="4"/>
      <c r="H13" s="17"/>
    </row>
    <row r="14" spans="1:8" ht="15.75" thickBot="1" x14ac:dyDescent="0.3"/>
    <row r="15" spans="1:8" ht="15.75" thickBot="1" x14ac:dyDescent="0.3">
      <c r="A15" s="56" t="s">
        <v>19</v>
      </c>
      <c r="B15" s="47" t="s">
        <v>24</v>
      </c>
      <c r="C15" s="18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6.5" thickBot="1" x14ac:dyDescent="0.3">
      <c r="A16" s="48">
        <v>1</v>
      </c>
      <c r="B16" s="37" t="s">
        <v>52</v>
      </c>
      <c r="C16" s="38"/>
      <c r="D16" s="49"/>
      <c r="E16" s="53" t="s">
        <v>43</v>
      </c>
      <c r="F16" s="50">
        <v>67500</v>
      </c>
      <c r="G16" s="48">
        <v>6</v>
      </c>
      <c r="H16" s="52">
        <f t="shared" ref="H16" si="0">G16*F16</f>
        <v>405000</v>
      </c>
    </row>
    <row r="17" spans="1:8" ht="16.5" thickBot="1" x14ac:dyDescent="0.3">
      <c r="A17" s="48">
        <v>2</v>
      </c>
      <c r="B17" s="37" t="s">
        <v>53</v>
      </c>
      <c r="C17" s="38"/>
      <c r="E17" s="53" t="s">
        <v>43</v>
      </c>
      <c r="F17" s="50">
        <v>49000</v>
      </c>
      <c r="G17" s="48">
        <v>2</v>
      </c>
      <c r="H17" s="52">
        <f t="shared" ref="H17:H29" si="1">G17*F17</f>
        <v>98000</v>
      </c>
    </row>
    <row r="18" spans="1:8" ht="16.5" thickBot="1" x14ac:dyDescent="0.3">
      <c r="A18" s="48">
        <v>3</v>
      </c>
      <c r="B18" s="37" t="s">
        <v>55</v>
      </c>
      <c r="C18" s="38"/>
      <c r="E18" s="53" t="s">
        <v>43</v>
      </c>
      <c r="F18" s="50">
        <v>29000</v>
      </c>
      <c r="G18" s="48">
        <v>2</v>
      </c>
      <c r="H18" s="52">
        <f t="shared" si="1"/>
        <v>58000</v>
      </c>
    </row>
    <row r="19" spans="1:8" ht="16.5" thickBot="1" x14ac:dyDescent="0.3">
      <c r="A19" s="48">
        <v>4</v>
      </c>
      <c r="B19" s="37" t="s">
        <v>54</v>
      </c>
      <c r="C19" s="38"/>
      <c r="E19" s="53" t="s">
        <v>43</v>
      </c>
      <c r="F19" s="50">
        <v>17600</v>
      </c>
      <c r="G19" s="48">
        <v>2</v>
      </c>
      <c r="H19" s="52">
        <f t="shared" si="1"/>
        <v>35200</v>
      </c>
    </row>
    <row r="20" spans="1:8" ht="16.5" thickBot="1" x14ac:dyDescent="0.3">
      <c r="A20" s="48">
        <v>5</v>
      </c>
      <c r="B20" s="37" t="s">
        <v>56</v>
      </c>
      <c r="C20" s="38"/>
      <c r="E20" s="53" t="s">
        <v>43</v>
      </c>
      <c r="F20" s="50">
        <v>15500</v>
      </c>
      <c r="G20" s="48">
        <v>2</v>
      </c>
      <c r="H20" s="52">
        <f t="shared" si="1"/>
        <v>31000</v>
      </c>
    </row>
    <row r="21" spans="1:8" ht="16.5" thickBot="1" x14ac:dyDescent="0.3">
      <c r="A21" s="48">
        <v>6</v>
      </c>
      <c r="B21" s="37" t="s">
        <v>57</v>
      </c>
      <c r="C21" s="38"/>
      <c r="E21" s="53" t="s">
        <v>43</v>
      </c>
      <c r="F21" s="50">
        <v>6500</v>
      </c>
      <c r="G21" s="48">
        <v>2</v>
      </c>
      <c r="H21" s="52">
        <f t="shared" si="1"/>
        <v>13000</v>
      </c>
    </row>
    <row r="22" spans="1:8" ht="16.5" thickBot="1" x14ac:dyDescent="0.3">
      <c r="A22" s="48">
        <v>7</v>
      </c>
      <c r="B22" s="37" t="s">
        <v>58</v>
      </c>
      <c r="C22" s="38"/>
      <c r="E22" s="53" t="s">
        <v>43</v>
      </c>
      <c r="F22" s="50">
        <v>15000</v>
      </c>
      <c r="G22" s="48">
        <v>2</v>
      </c>
      <c r="H22" s="52">
        <f t="shared" si="1"/>
        <v>30000</v>
      </c>
    </row>
    <row r="23" spans="1:8" ht="16.5" thickBot="1" x14ac:dyDescent="0.3">
      <c r="A23" s="48">
        <v>8</v>
      </c>
      <c r="B23" s="37" t="s">
        <v>59</v>
      </c>
      <c r="C23" s="38"/>
      <c r="E23" s="53" t="s">
        <v>43</v>
      </c>
      <c r="F23" s="50">
        <v>60000</v>
      </c>
      <c r="G23" s="48">
        <v>2</v>
      </c>
      <c r="H23" s="52">
        <f t="shared" si="1"/>
        <v>120000</v>
      </c>
    </row>
    <row r="24" spans="1:8" ht="16.5" thickBot="1" x14ac:dyDescent="0.3">
      <c r="A24" s="48">
        <v>9</v>
      </c>
      <c r="B24" s="37" t="s">
        <v>60</v>
      </c>
      <c r="C24" s="38"/>
      <c r="E24" s="53" t="s">
        <v>43</v>
      </c>
      <c r="F24" s="50">
        <v>56000</v>
      </c>
      <c r="G24" s="48">
        <v>2</v>
      </c>
      <c r="H24" s="52">
        <f t="shared" si="1"/>
        <v>112000</v>
      </c>
    </row>
    <row r="25" spans="1:8" ht="16.5" thickBot="1" x14ac:dyDescent="0.3">
      <c r="A25" s="48">
        <v>10</v>
      </c>
      <c r="B25" s="37" t="s">
        <v>61</v>
      </c>
      <c r="C25" s="38"/>
      <c r="E25" s="53" t="s">
        <v>43</v>
      </c>
      <c r="F25" s="50">
        <v>240000</v>
      </c>
      <c r="G25" s="48">
        <v>2</v>
      </c>
      <c r="H25" s="52">
        <f t="shared" si="1"/>
        <v>480000</v>
      </c>
    </row>
    <row r="26" spans="1:8" ht="16.5" thickBot="1" x14ac:dyDescent="0.3">
      <c r="A26" s="48">
        <v>11</v>
      </c>
      <c r="B26" s="37" t="s">
        <v>62</v>
      </c>
      <c r="C26" s="38"/>
      <c r="E26" s="53" t="s">
        <v>43</v>
      </c>
      <c r="F26" s="50">
        <v>68000</v>
      </c>
      <c r="G26" s="48">
        <v>4</v>
      </c>
      <c r="H26" s="52">
        <f t="shared" si="1"/>
        <v>272000</v>
      </c>
    </row>
    <row r="27" spans="1:8" ht="16.5" thickBot="1" x14ac:dyDescent="0.3">
      <c r="A27" s="48">
        <v>12</v>
      </c>
      <c r="B27" s="37" t="s">
        <v>63</v>
      </c>
      <c r="C27" s="38"/>
      <c r="E27" s="53" t="s">
        <v>43</v>
      </c>
      <c r="F27" s="50">
        <v>226700</v>
      </c>
      <c r="G27" s="48">
        <v>2</v>
      </c>
      <c r="H27" s="52">
        <f t="shared" si="1"/>
        <v>453400</v>
      </c>
    </row>
    <row r="28" spans="1:8" ht="16.5" thickBot="1" x14ac:dyDescent="0.3">
      <c r="A28" s="48">
        <v>13</v>
      </c>
      <c r="B28" s="37" t="s">
        <v>64</v>
      </c>
      <c r="C28" s="38"/>
      <c r="E28" s="53" t="s">
        <v>37</v>
      </c>
      <c r="F28" s="50">
        <v>97500</v>
      </c>
      <c r="G28" s="48">
        <v>6</v>
      </c>
      <c r="H28" s="52">
        <f t="shared" si="1"/>
        <v>585000</v>
      </c>
    </row>
    <row r="29" spans="1:8" ht="16.5" thickBot="1" x14ac:dyDescent="0.3">
      <c r="A29" s="48">
        <v>14</v>
      </c>
      <c r="B29" s="37" t="s">
        <v>65</v>
      </c>
      <c r="C29" s="38"/>
      <c r="E29" s="53" t="s">
        <v>44</v>
      </c>
      <c r="F29" s="50">
        <v>88000</v>
      </c>
      <c r="G29" s="48">
        <v>1</v>
      </c>
      <c r="H29" s="52">
        <f t="shared" si="1"/>
        <v>88000</v>
      </c>
    </row>
    <row r="30" spans="1:8" ht="16.5" thickBot="1" x14ac:dyDescent="0.3">
      <c r="A30" s="48">
        <v>15</v>
      </c>
      <c r="B30" s="37" t="s">
        <v>66</v>
      </c>
      <c r="C30" s="38"/>
      <c r="E30" s="53" t="s">
        <v>43</v>
      </c>
      <c r="F30" s="50">
        <v>25000</v>
      </c>
      <c r="G30" s="48">
        <v>2</v>
      </c>
      <c r="H30" s="52">
        <f t="shared" ref="H30" si="2">G30*F30</f>
        <v>50000</v>
      </c>
    </row>
    <row r="31" spans="1:8" ht="19.5" customHeight="1" thickBot="1" x14ac:dyDescent="0.35">
      <c r="A31" s="54" t="s">
        <v>25</v>
      </c>
      <c r="B31" s="12" t="s">
        <v>67</v>
      </c>
      <c r="C31" s="13"/>
      <c r="D31" s="14"/>
      <c r="E31" s="58"/>
      <c r="F31" s="51" t="s">
        <v>31</v>
      </c>
      <c r="G31" s="7"/>
      <c r="H31" s="7"/>
    </row>
    <row r="32" spans="1:8" ht="16.5" thickBot="1" x14ac:dyDescent="0.3">
      <c r="A32" s="55"/>
      <c r="B32" s="16" t="s">
        <v>68</v>
      </c>
      <c r="C32" s="4"/>
      <c r="D32" s="4"/>
      <c r="E32" s="59" t="s">
        <v>26</v>
      </c>
      <c r="F32" s="60"/>
      <c r="G32" s="61"/>
      <c r="H32" s="44">
        <f>SUM(H16:H30)</f>
        <v>2830600</v>
      </c>
    </row>
    <row r="33" spans="1:8" ht="16.5" thickBot="1" x14ac:dyDescent="0.3">
      <c r="A33" s="26" t="s">
        <v>27</v>
      </c>
      <c r="B33" s="13"/>
      <c r="C33" s="13"/>
      <c r="D33" s="13"/>
      <c r="E33" s="63"/>
      <c r="F33" s="25"/>
      <c r="G33" s="68"/>
      <c r="H33" s="72"/>
    </row>
    <row r="34" spans="1:8" ht="16.5" thickBot="1" x14ac:dyDescent="0.3">
      <c r="A34" s="15" t="s">
        <v>34</v>
      </c>
      <c r="E34" s="70"/>
      <c r="G34" s="71" t="s">
        <v>26</v>
      </c>
      <c r="H34" s="40">
        <f>H32-H33</f>
        <v>2830600</v>
      </c>
    </row>
    <row r="35" spans="1:8" ht="16.5" customHeight="1" x14ac:dyDescent="0.25">
      <c r="A35" s="15" t="s">
        <v>45</v>
      </c>
      <c r="E35" s="62" t="s">
        <v>33</v>
      </c>
      <c r="F35" s="57"/>
      <c r="G35" s="69">
        <v>0.19</v>
      </c>
      <c r="H35" s="45">
        <f>H34*G35</f>
        <v>537814</v>
      </c>
    </row>
    <row r="36" spans="1:8" ht="15.75" x14ac:dyDescent="0.25">
      <c r="A36" s="15" t="s">
        <v>42</v>
      </c>
      <c r="E36" s="63" t="s">
        <v>28</v>
      </c>
      <c r="G36" s="64">
        <v>2.5000000000000001E-2</v>
      </c>
      <c r="H36" s="40">
        <f>H34*G36</f>
        <v>70765</v>
      </c>
    </row>
    <row r="37" spans="1:8" ht="16.5" thickBot="1" x14ac:dyDescent="0.3">
      <c r="A37" s="16"/>
      <c r="B37" s="4"/>
      <c r="C37" s="4"/>
      <c r="D37" s="4"/>
      <c r="E37" s="65" t="s">
        <v>29</v>
      </c>
      <c r="F37" s="66"/>
      <c r="G37" s="67"/>
      <c r="H37" s="41"/>
    </row>
    <row r="38" spans="1:8" ht="19.5" thickBot="1" x14ac:dyDescent="0.35">
      <c r="F38" s="3"/>
      <c r="G38" s="39" t="s">
        <v>30</v>
      </c>
      <c r="H38" s="46">
        <f>H32-H33+H35-H36</f>
        <v>3297649</v>
      </c>
    </row>
    <row r="40" spans="1:8" ht="15.75" thickBot="1" x14ac:dyDescent="0.3"/>
    <row r="41" spans="1:8" ht="19.5" thickBot="1" x14ac:dyDescent="0.35">
      <c r="A41" s="27" t="s">
        <v>38</v>
      </c>
      <c r="B41" s="6"/>
      <c r="C41" s="6"/>
      <c r="D41" s="6"/>
      <c r="E41" s="6"/>
      <c r="F41" s="6"/>
      <c r="G41" s="6"/>
      <c r="H41" s="7"/>
    </row>
    <row r="49" spans="1:1" ht="18.75" x14ac:dyDescent="0.3">
      <c r="A4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W.A. EMPAQUES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2024-08-16T20:08:01Z</cp:lastPrinted>
  <dcterms:created xsi:type="dcterms:W3CDTF">2018-11-15T17:29:02Z</dcterms:created>
  <dcterms:modified xsi:type="dcterms:W3CDTF">2024-08-28T15:39:52Z</dcterms:modified>
</cp:coreProperties>
</file>