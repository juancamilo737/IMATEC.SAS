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0212E96-C88B-428C-BA26-12DC9763883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18" i="2" l="1"/>
  <c r="H17" i="2"/>
  <c r="H16" i="2"/>
  <c r="H22" i="2" l="1"/>
  <c r="H26" i="2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<sst xmlns="http://schemas.openxmlformats.org/spreadsheetml/2006/main" count="58" uniqueCount="57">
  <si>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</si>
  <si>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</si>
  <si>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</si>
  <si>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</si>
  <si>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</si>
  <si>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</si>
  <si>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</si>
  <si>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</si>
  <si>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</si>
  <si>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</si>
  <si>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</si>
  <si>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</si>
  <si>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</si>
  <si>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</si>
  <si>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</si>
  <si>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</si>
  <si>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</si>
  <si>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</si>
  <si>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</si>
  <si>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</si>
  <si>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</si>
  <si>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</si>
  <si>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</si>
  <si>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</si>
  <si>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</si>
  <si>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</si>
  <si>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</si>
  <si>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</si>
  <si>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</si>
  <si>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</si>
  <si>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</si>
  <si>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</si>
  <si>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</si>
  <si>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</si>
  <si>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</si>
  <si>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</si>
  <si>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</si>
  <si>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</si>
  <si>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</si>
  <si>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</si>
  <si>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</si>
  <si>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</si>
  <si>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</si>
  <si>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</si>
  <si>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</si>
  <si>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</si>
  <si>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 xml:space="preserve">               R E M I S I O N</t>
  </si>
  <si>
    <t>No.  28</t>
  </si>
  <si>
    <t>NIPLE A / C  1 1/4 "  X  4 "</t>
  </si>
  <si>
    <t>FABRICACION</t>
  </si>
  <si>
    <t>COPA REDUCCION HR  1 1/2  "  X  1 1/4 " X 150 LB ROS</t>
  </si>
  <si>
    <t>COPA REDUCCION A/C  SCH 40 11/2" X 1 1/4 " SOLDAR</t>
  </si>
  <si>
    <t>FORMA DE PAGO : CONTADO</t>
  </si>
  <si>
    <t>ENTREGA INMEDIATA</t>
  </si>
  <si>
    <t xml:space="preserve">  CALLE  33B  No. 17C - 70  2o. PISO               B/  LA FLORESTA             -   CALI    -                         CEL.     321 7834969</t>
  </si>
  <si>
    <t xml:space="preserve">TREINTA Y UN MIL DOSCIENTOS NOVENTA Y SIETE 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</si>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</sst>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1"/>
  <sheetViews>
    <sheetView tabSelected="1" topLeftCell="A13" zoomScale="106" zoomScaleNormal="106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47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45633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45642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48</v>
      </c>
      <c r="C16" s="12"/>
      <c r="D16" s="13"/>
      <c r="E16" s="65" t="s">
        <v>49</v>
      </c>
      <c r="F16" s="66">
        <v>7000</v>
      </c>
      <c r="G16" s="67">
        <v>1</v>
      </c>
      <c r="H16" s="38">
        <f t="shared" ref="H16" si="0">G16*F16</f>
        <v>7000</v>
      </c>
    </row>
    <row r="17" spans="1:8" ht="15.75" thickBot="1" x14ac:dyDescent="0.3">
      <c r="A17" s="64">
        <v>2</v>
      </c>
      <c r="B17" s="61" t="s">
        <v>50</v>
      </c>
      <c r="C17" s="12"/>
      <c r="D17" s="13"/>
      <c r="E17" s="65" t="s">
        <v>45</v>
      </c>
      <c r="F17" s="66">
        <v>10800</v>
      </c>
      <c r="G17" s="67">
        <v>1</v>
      </c>
      <c r="H17" s="38">
        <f t="shared" ref="H17" si="1">G17*F17</f>
        <v>10800</v>
      </c>
    </row>
    <row r="18" spans="1:8" ht="15.75" thickBot="1" x14ac:dyDescent="0.3">
      <c r="A18" s="70">
        <v>3</v>
      </c>
      <c r="B18" s="68" t="s">
        <v>51</v>
      </c>
      <c r="C18" s="6"/>
      <c r="D18" s="7"/>
      <c r="E18" s="71" t="s">
        <v>45</v>
      </c>
      <c r="F18" s="72">
        <v>8500</v>
      </c>
      <c r="G18" s="73">
        <v>1</v>
      </c>
      <c r="H18" s="38">
        <f t="shared" ref="H18" si="2">G18*F18</f>
        <v>8500</v>
      </c>
    </row>
    <row r="19" spans="1:8" ht="15.75" thickBot="1" x14ac:dyDescent="0.3">
      <c r="B19" s="16"/>
      <c r="C19" s="4"/>
      <c r="D19" s="17"/>
      <c r="F19" s="69"/>
      <c r="G19" s="69"/>
    </row>
    <row r="20" spans="1:8" ht="19.5" customHeight="1" thickBot="1" x14ac:dyDescent="0.35">
      <c r="A20" s="62" t="s">
        <v>23</v>
      </c>
      <c r="B20" s="61" t="s">
        <v>55</v>
      </c>
      <c r="C20" s="12"/>
      <c r="D20" s="13"/>
      <c r="E20" s="68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2" t="s">
        <v>24</v>
      </c>
      <c r="F21" s="52"/>
      <c r="G21" s="45"/>
      <c r="H21" s="50">
        <f>SUM(H16:H20)</f>
        <v>26300</v>
      </c>
    </row>
    <row r="22" spans="1:8" ht="19.5" customHeight="1" x14ac:dyDescent="0.25">
      <c r="A22" s="24" t="s">
        <v>25</v>
      </c>
      <c r="E22" s="53" t="s">
        <v>30</v>
      </c>
      <c r="F22" s="23"/>
      <c r="G22" s="54">
        <v>0.19</v>
      </c>
      <c r="H22" s="40">
        <f>H21*G22</f>
        <v>4997</v>
      </c>
    </row>
    <row r="23" spans="1:8" ht="19.5" customHeight="1" x14ac:dyDescent="0.25">
      <c r="A23" s="14" t="s">
        <v>52</v>
      </c>
      <c r="E23" s="55" t="s">
        <v>26</v>
      </c>
      <c r="G23" s="58">
        <v>2.5000000000000001E-2</v>
      </c>
      <c r="H23" s="51"/>
    </row>
    <row r="24" spans="1:8" ht="15.75" x14ac:dyDescent="0.25">
      <c r="A24" s="14" t="s">
        <v>53</v>
      </c>
      <c r="E24" s="14"/>
      <c r="F24" s="33"/>
      <c r="G24" s="46"/>
      <c r="H24" s="15"/>
    </row>
    <row r="25" spans="1:8" ht="16.5" thickBot="1" x14ac:dyDescent="0.3">
      <c r="A25" s="14" t="s">
        <v>33</v>
      </c>
      <c r="E25" s="56" t="s">
        <v>27</v>
      </c>
      <c r="F25" s="57"/>
      <c r="G25" s="47"/>
      <c r="H25" s="17"/>
    </row>
    <row r="26" spans="1:8" ht="19.5" thickBot="1" x14ac:dyDescent="0.35">
      <c r="A26" s="60"/>
      <c r="B26" s="4"/>
      <c r="C26" s="4"/>
      <c r="D26" s="17"/>
      <c r="F26" s="3"/>
      <c r="G26" s="34" t="s">
        <v>28</v>
      </c>
      <c r="H26" s="36">
        <f>H21+H22-H23</f>
        <v>31297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54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2024-12-09T16:24:45Z</dcterms:modified>
</cp:coreProperties>
</file>