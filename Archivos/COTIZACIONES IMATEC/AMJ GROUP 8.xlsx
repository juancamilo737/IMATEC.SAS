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C7A1A00-D59A-48C7-BDAE-8F7285042311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22" i="1" s="1"/>
  <c r="H23" i="1" l="1"/>
  <c r="H27" i="1" s="1"/>
</calcChain>
</file>

<file path=xl/sharedStrings.xml><?xml version="1.0" encoding="utf-8"?>
<sst xmlns="http://schemas.openxmlformats.org/spreadsheetml/2006/main" count="60" uniqueCount="57">
  <si>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</si>
  <si>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</si>
  <si>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</si>
  <si>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</si>
  <si>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</si>
  <si>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</si>
  <si>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</si>
  <si>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</si>
  <si>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</si>
  <si>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</si>
  <si>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</si>
  <si>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</si>
  <si>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</si>
  <si>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</si>
  <si>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</si>
  <si>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</si>
  <si>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</si>
  <si>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</si>
  <si>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</si>
  <si>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</si>
  <si>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</si>
  <si>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</si>
  <si>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</si>
  <si>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</si>
  <si>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</si>
  <si>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</si>
  <si>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</si>
  <si>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</si>
  <si>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</si>
  <si>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</si>
  <si>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</si>
  <si>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</si>
  <si>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</si>
  <si>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</si>
  <si>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</si>
  <si>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</si>
  <si>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</si>
  <si>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</si>
  <si>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</si>
  <si>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</si>
  <si>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</si>
  <si>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</si>
  <si>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</si>
  <si>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</si>
  <si>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</si>
  <si>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 xml:space="preserve">  CALLE  33A  No. 17F - 56               B/  LA FLORESTA             -   CALI    -                                   CEL.     321 7834969</t>
  </si>
  <si>
    <t xml:space="preserve">              R E M I S I O N</t>
  </si>
  <si>
    <t>CALLE  33 A  No.  11C-59</t>
  </si>
  <si>
    <t>ENTREGA INMEDIATA</t>
  </si>
  <si>
    <t>No. 8</t>
  </si>
  <si>
    <t>10 DIAS</t>
  </si>
  <si>
    <t>BRIDA PVC SCH 80  3 "</t>
  </si>
  <si>
    <t>TEE PVC  SCH 80  3 "</t>
  </si>
  <si>
    <t>UNION PVC SCH 80  3 "</t>
  </si>
  <si>
    <t>BUJE PVC  SCH 80  3 "  X  2 "</t>
  </si>
  <si>
    <t>TA PESOS MDA / CTE</t>
  </si>
  <si>
    <t>SETECIENTOS TREINTA Y UN MIL OCHOCIENTOS CINCUEN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</si>
</sst>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C24" sqref="C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49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47</v>
      </c>
      <c r="E9" s="60" t="s">
        <v>39</v>
      </c>
      <c r="F9" s="29" t="s">
        <v>0</v>
      </c>
      <c r="H9" s="27">
        <v>45735</v>
      </c>
    </row>
    <row r="10" spans="1:8" ht="18.75" x14ac:dyDescent="0.3">
      <c r="A10" s="20" t="s">
        <v>13</v>
      </c>
      <c r="C10" s="47" t="s">
        <v>40</v>
      </c>
      <c r="E10" s="14"/>
      <c r="F10" s="29" t="s">
        <v>15</v>
      </c>
      <c r="H10" s="28" t="s">
        <v>50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45744</v>
      </c>
    </row>
    <row r="12" spans="1:8" ht="18.75" x14ac:dyDescent="0.3">
      <c r="A12" s="20" t="s">
        <v>11</v>
      </c>
      <c r="C12" s="13" t="s">
        <v>41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42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51</v>
      </c>
      <c r="C16" s="64"/>
      <c r="D16" s="65"/>
      <c r="E16" s="62" t="s">
        <v>43</v>
      </c>
      <c r="F16" s="66">
        <v>157000</v>
      </c>
      <c r="G16" s="62">
        <v>2</v>
      </c>
      <c r="H16" s="37">
        <f t="shared" ref="H16" si="0">G16*F16</f>
        <v>314000</v>
      </c>
    </row>
    <row r="17" spans="1:8" ht="16.5" thickBot="1" x14ac:dyDescent="0.3">
      <c r="A17" s="62">
        <v>2</v>
      </c>
      <c r="B17" s="63" t="s">
        <v>52</v>
      </c>
      <c r="C17" s="64"/>
      <c r="D17" s="65"/>
      <c r="E17" s="62" t="s">
        <v>43</v>
      </c>
      <c r="F17" s="66">
        <v>58000</v>
      </c>
      <c r="G17" s="62">
        <v>2</v>
      </c>
      <c r="H17" s="37">
        <f t="shared" ref="H17:H19" si="1">G17*F17</f>
        <v>116000</v>
      </c>
    </row>
    <row r="18" spans="1:8" ht="16.5" thickBot="1" x14ac:dyDescent="0.3">
      <c r="A18" s="62">
        <v>3</v>
      </c>
      <c r="B18" s="63" t="s">
        <v>53</v>
      </c>
      <c r="C18" s="64"/>
      <c r="D18" s="65"/>
      <c r="E18" s="62" t="s">
        <v>43</v>
      </c>
      <c r="F18" s="66">
        <v>47500</v>
      </c>
      <c r="G18" s="62">
        <v>2</v>
      </c>
      <c r="H18" s="37">
        <f t="shared" si="1"/>
        <v>95000</v>
      </c>
    </row>
    <row r="19" spans="1:8" ht="16.5" thickBot="1" x14ac:dyDescent="0.3">
      <c r="A19" s="62">
        <v>4</v>
      </c>
      <c r="B19" s="63" t="s">
        <v>54</v>
      </c>
      <c r="C19" s="64"/>
      <c r="D19" s="65"/>
      <c r="E19" s="62" t="s">
        <v>43</v>
      </c>
      <c r="F19" s="66">
        <v>45000</v>
      </c>
      <c r="G19" s="62">
        <v>2</v>
      </c>
      <c r="H19" s="37">
        <f t="shared" si="1"/>
        <v>90000</v>
      </c>
    </row>
    <row r="20" spans="1:8" ht="19.5" customHeight="1" thickBot="1" x14ac:dyDescent="0.3">
      <c r="A20" s="48"/>
      <c r="B20" s="68"/>
      <c r="D20" s="69"/>
      <c r="E20" s="48"/>
      <c r="F20" s="48"/>
      <c r="G20" s="48"/>
    </row>
    <row r="21" spans="1:8" ht="19.5" customHeight="1" thickBot="1" x14ac:dyDescent="0.35">
      <c r="A21" s="67" t="s">
        <v>23</v>
      </c>
      <c r="B21" s="70" t="s">
        <v>56</v>
      </c>
      <c r="C21" s="12"/>
      <c r="D21" s="71"/>
      <c r="E21" s="49"/>
      <c r="F21" s="36" t="s">
        <v>44</v>
      </c>
      <c r="G21" s="6"/>
      <c r="H21" s="7"/>
    </row>
    <row r="22" spans="1:8" ht="19.5" customHeight="1" thickBot="1" x14ac:dyDescent="0.3">
      <c r="A22" s="38"/>
      <c r="B22" s="15" t="s">
        <v>55</v>
      </c>
      <c r="C22" s="4"/>
      <c r="D22" s="16"/>
      <c r="E22" s="52" t="s">
        <v>24</v>
      </c>
      <c r="F22" s="53"/>
      <c r="G22" s="44"/>
      <c r="H22" s="50">
        <f>SUM(H16:H19)</f>
        <v>615000</v>
      </c>
    </row>
    <row r="23" spans="1:8" ht="19.5" customHeight="1" x14ac:dyDescent="0.25">
      <c r="A23" s="23" t="s">
        <v>25</v>
      </c>
      <c r="B23" s="12"/>
      <c r="C23" s="12"/>
      <c r="D23" s="12"/>
      <c r="E23" s="54" t="s">
        <v>29</v>
      </c>
      <c r="F23" s="22"/>
      <c r="G23" s="55">
        <v>0.19</v>
      </c>
      <c r="H23" s="39">
        <f>H22*G23</f>
        <v>116850</v>
      </c>
    </row>
    <row r="24" spans="1:8" ht="19.5" customHeight="1" x14ac:dyDescent="0.25">
      <c r="A24" s="13" t="s">
        <v>30</v>
      </c>
      <c r="E24" s="56" t="s">
        <v>26</v>
      </c>
      <c r="G24" s="59">
        <v>2.5000000000000001E-2</v>
      </c>
      <c r="H24" s="51"/>
    </row>
    <row r="25" spans="1:8" ht="15.75" x14ac:dyDescent="0.25">
      <c r="A25" s="13" t="s">
        <v>48</v>
      </c>
      <c r="E25" s="13"/>
      <c r="F25" s="32"/>
      <c r="G25" s="45"/>
      <c r="H25" s="14"/>
    </row>
    <row r="26" spans="1:8" ht="16.5" thickBot="1" x14ac:dyDescent="0.3">
      <c r="A26" s="13" t="s">
        <v>32</v>
      </c>
      <c r="E26" s="57" t="s">
        <v>27</v>
      </c>
      <c r="F26" s="58"/>
      <c r="G26" s="46"/>
      <c r="H26" s="16"/>
    </row>
    <row r="27" spans="1:8" ht="19.5" thickBot="1" x14ac:dyDescent="0.35">
      <c r="A27" s="15"/>
      <c r="B27" s="4"/>
      <c r="C27" s="4"/>
      <c r="D27" s="16"/>
      <c r="F27" s="3"/>
      <c r="G27" s="33" t="s">
        <v>28</v>
      </c>
      <c r="H27" s="35">
        <f>H22+H23</f>
        <v>731850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4" t="s">
        <v>45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2025-03-21T16:30:27Z</cp:lastPrinted>
  <dcterms:created xsi:type="dcterms:W3CDTF">2018-11-15T17:29:02Z</dcterms:created>
  <dcterms:modified xsi:type="dcterms:W3CDTF">2025-03-21T16:45:23Z</dcterms:modified>
</cp:coreProperties>
</file>