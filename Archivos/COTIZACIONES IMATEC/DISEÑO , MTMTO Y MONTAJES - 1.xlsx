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04C51F5-D2E8-4DC9-B737-B04083D2E48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MAN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25" i="1" l="1"/>
  <c r="H24" i="1"/>
  <c r="H28" i="1" s="1"/>
</calcChain>
</file>

<file path=xl/sharedStrings.xml><?xml version="1.0" encoding="utf-8"?>
<sst xmlns="http://schemas.openxmlformats.org/spreadsheetml/2006/main" count="56" uniqueCount="54">
  <si>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</si>
  <si>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</si>
  <si>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</si>
  <si>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</si>
  <si>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</si>
  <si>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</si>
  <si>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</si>
  <si>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</si>
  <si>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</si>
  <si>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</si>
  <si>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</si>
  <si>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</si>
  <si>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</si>
  <si>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</si>
  <si>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</si>
  <si>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</si>
  <si>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</si>
  <si>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</si>
  <si>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</si>
  <si>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</si>
  <si>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</si>
  <si>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</si>
  <si>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</si>
  <si>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</si>
  <si>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</si>
  <si>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</si>
  <si>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</si>
  <si>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</si>
  <si>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</si>
  <si>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</si>
  <si>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</si>
  <si>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</si>
  <si>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</si>
  <si>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</si>
  <si>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</si>
  <si>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</si>
  <si>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ITEM</t>
  </si>
  <si>
    <t>LUIS A. BENAVIDES</t>
  </si>
  <si>
    <t>FORMA DE PAGO : CONTADO</t>
  </si>
  <si>
    <t>CONTACTOS   310 8306118          321 7834969</t>
  </si>
  <si>
    <t xml:space="preserve">            C O T I Z A C I O N</t>
  </si>
  <si>
    <t>DISEÑO , MANTENIMIENTO Y MONTAJES S.A.S.</t>
  </si>
  <si>
    <t>900 475479</t>
  </si>
  <si>
    <t>CALLE 58 A  No. 3A-11</t>
  </si>
  <si>
    <t>facturacion@dimansas.com</t>
  </si>
  <si>
    <t>TUBERIA  A / C SCH 80  4 "</t>
  </si>
  <si>
    <t>METRO LINEAL</t>
  </si>
  <si>
    <t>TUBERIA  A / C SCH 80  6 "</t>
  </si>
  <si>
    <t>TUBERIA  A / C SCH 80  8 "</t>
  </si>
  <si>
    <t xml:space="preserve">CUATRO MILLONES SEISCIENTOS MIL QUINIENTOS OCHENTA Y CINCO </t>
  </si>
  <si>
    <t>PESOS MDA / CTE</t>
  </si>
  <si>
    <t>312 6833828</t>
  </si>
  <si>
    <t>CALI</t>
  </si>
  <si>
    <t>PLAZO PARA ENTREGA :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</si>
</sst>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8" fillId="0" borderId="24" xfId="0" applyFont="1" applyBorder="1"/>
    <xf numFmtId="0" fontId="8" fillId="0" borderId="25" xfId="0" applyFont="1" applyBorder="1"/>
    <xf numFmtId="0" fontId="8" fillId="0" borderId="20" xfId="0" applyFont="1" applyBorder="1"/>
    <xf numFmtId="10" fontId="1" fillId="0" borderId="0" xfId="0" applyNumberFormat="1" applyFont="1"/>
    <xf numFmtId="0" fontId="0" fillId="0" borderId="26" xfId="0" applyBorder="1"/>
    <xf numFmtId="0" fontId="1" fillId="0" borderId="18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1152525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diman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8"/>
  <sheetViews>
    <sheetView tabSelected="1" topLeftCell="A4" zoomScale="96" zoomScaleNormal="96" workbookViewId="0">
      <selection activeCell="I26" sqref="I26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0" t="s">
        <v>18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7" t="s">
        <v>7</v>
      </c>
      <c r="B4" s="5"/>
      <c r="C4" s="5"/>
      <c r="D4" s="28" t="s">
        <v>34</v>
      </c>
      <c r="E4" s="18"/>
      <c r="F4" s="19"/>
      <c r="G4" s="5"/>
      <c r="H4" s="6"/>
    </row>
    <row r="5" spans="1:8" ht="19.5" thickBot="1" x14ac:dyDescent="0.35">
      <c r="A5" s="53" t="s">
        <v>39</v>
      </c>
      <c r="B5" s="5"/>
      <c r="C5" s="5"/>
      <c r="D5" s="5"/>
      <c r="E5" s="5"/>
    </row>
    <row r="6" spans="1:8" ht="24.75" customHeight="1" thickBot="1" x14ac:dyDescent="0.45">
      <c r="F6" s="10" t="s">
        <v>40</v>
      </c>
      <c r="G6" s="18"/>
      <c r="H6" s="19"/>
    </row>
    <row r="7" spans="1:8" ht="19.5" thickBot="1" x14ac:dyDescent="0.35">
      <c r="A7" s="20" t="s">
        <v>14</v>
      </c>
      <c r="B7" s="12"/>
      <c r="C7" s="29" t="s">
        <v>41</v>
      </c>
      <c r="D7" s="12"/>
      <c r="E7" s="13"/>
      <c r="F7" s="26"/>
      <c r="G7" s="18"/>
      <c r="H7" s="19"/>
    </row>
    <row r="8" spans="1:8" ht="18.75" x14ac:dyDescent="0.3">
      <c r="A8" s="21" t="s">
        <v>8</v>
      </c>
      <c r="C8" s="24" t="s">
        <v>42</v>
      </c>
      <c r="D8" s="25"/>
      <c r="E8" s="25"/>
      <c r="F8" s="11"/>
      <c r="G8" s="12"/>
      <c r="H8" s="13"/>
    </row>
    <row r="9" spans="1:8" ht="18.75" customHeight="1" x14ac:dyDescent="0.3">
      <c r="A9" s="21" t="s">
        <v>9</v>
      </c>
      <c r="C9" s="23" t="s">
        <v>43</v>
      </c>
      <c r="D9" s="23"/>
      <c r="E9" s="24" t="s">
        <v>52</v>
      </c>
      <c r="F9" s="30" t="s">
        <v>0</v>
      </c>
      <c r="H9" s="31">
        <v>45520</v>
      </c>
    </row>
    <row r="10" spans="1:8" ht="18.75" x14ac:dyDescent="0.3">
      <c r="A10" s="21" t="s">
        <v>13</v>
      </c>
      <c r="C10" s="46" t="s">
        <v>44</v>
      </c>
      <c r="D10" s="25"/>
      <c r="E10" s="25"/>
      <c r="F10" s="30" t="s">
        <v>15</v>
      </c>
      <c r="H10" s="32" t="s">
        <v>33</v>
      </c>
    </row>
    <row r="11" spans="1:8" ht="18.75" x14ac:dyDescent="0.3">
      <c r="A11" s="21" t="s">
        <v>10</v>
      </c>
      <c r="C11" s="24"/>
      <c r="D11" s="25"/>
      <c r="E11" s="25"/>
      <c r="F11" s="30" t="s">
        <v>16</v>
      </c>
      <c r="G11" s="33"/>
      <c r="H11" s="31">
        <v>45530</v>
      </c>
    </row>
    <row r="12" spans="1:8" ht="18.75" x14ac:dyDescent="0.3">
      <c r="A12" s="21" t="s">
        <v>11</v>
      </c>
      <c r="C12" s="24" t="s">
        <v>51</v>
      </c>
      <c r="D12" s="25"/>
      <c r="E12" s="25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24" t="s">
        <v>37</v>
      </c>
      <c r="D13" s="25"/>
      <c r="E13" s="25"/>
      <c r="F13" s="16"/>
      <c r="G13" s="4"/>
      <c r="H13" s="17"/>
    </row>
    <row r="16" spans="1:8" ht="15.75" thickBot="1" x14ac:dyDescent="0.3"/>
    <row r="17" spans="1:10" ht="15.75" thickBot="1" x14ac:dyDescent="0.3">
      <c r="A17" s="58" t="s">
        <v>36</v>
      </c>
      <c r="B17" s="56" t="s">
        <v>23</v>
      </c>
      <c r="C17" s="57"/>
      <c r="D17" s="13"/>
      <c r="E17" s="35" t="s">
        <v>19</v>
      </c>
      <c r="F17" s="35" t="s">
        <v>21</v>
      </c>
      <c r="G17" s="35" t="s">
        <v>20</v>
      </c>
      <c r="H17" s="35" t="s">
        <v>22</v>
      </c>
    </row>
    <row r="18" spans="1:10" ht="15.75" thickBot="1" x14ac:dyDescent="0.3">
      <c r="A18" s="59">
        <v>1</v>
      </c>
      <c r="B18" s="24" t="s">
        <v>45</v>
      </c>
      <c r="C18" s="25"/>
      <c r="D18" s="66"/>
      <c r="E18" s="50" t="s">
        <v>46</v>
      </c>
      <c r="F18" s="52">
        <v>232000</v>
      </c>
      <c r="G18" s="50">
        <v>2</v>
      </c>
      <c r="H18" s="54">
        <f t="shared" ref="H18:H20" si="0">G18*F18</f>
        <v>464000</v>
      </c>
    </row>
    <row r="19" spans="1:10" ht="15.75" thickBot="1" x14ac:dyDescent="0.3">
      <c r="A19" s="60">
        <v>2</v>
      </c>
      <c r="B19" s="24" t="s">
        <v>47</v>
      </c>
      <c r="C19" s="25"/>
      <c r="D19" s="66"/>
      <c r="E19" s="50" t="s">
        <v>46</v>
      </c>
      <c r="F19" s="51">
        <v>565000</v>
      </c>
      <c r="G19" s="50">
        <v>2</v>
      </c>
      <c r="H19" s="54">
        <f t="shared" si="0"/>
        <v>1130000</v>
      </c>
      <c r="I19" s="36"/>
      <c r="J19" s="36"/>
    </row>
    <row r="20" spans="1:10" ht="15.75" thickBot="1" x14ac:dyDescent="0.3">
      <c r="A20" s="60">
        <v>3</v>
      </c>
      <c r="B20" s="24" t="s">
        <v>48</v>
      </c>
      <c r="C20" s="25"/>
      <c r="D20" s="66"/>
      <c r="E20" s="50" t="s">
        <v>46</v>
      </c>
      <c r="F20" s="51">
        <v>785000</v>
      </c>
      <c r="G20" s="50">
        <v>3</v>
      </c>
      <c r="H20" s="54">
        <f t="shared" si="0"/>
        <v>2355000</v>
      </c>
      <c r="I20" s="36"/>
      <c r="J20" s="36"/>
    </row>
    <row r="21" spans="1:10" ht="19.5" customHeight="1" thickBot="1" x14ac:dyDescent="0.3">
      <c r="A21" s="61"/>
      <c r="B21" s="62"/>
      <c r="C21" s="63"/>
      <c r="D21" s="64"/>
      <c r="E21" s="50"/>
      <c r="F21" s="51"/>
      <c r="G21" s="50"/>
      <c r="H21" s="54"/>
      <c r="I21" s="36"/>
      <c r="J21" s="36"/>
    </row>
    <row r="22" spans="1:10" ht="19.5" thickBot="1" x14ac:dyDescent="0.35">
      <c r="A22" s="67" t="s">
        <v>24</v>
      </c>
      <c r="B22" s="14" t="s">
        <v>49</v>
      </c>
      <c r="D22" s="15"/>
      <c r="E22" s="12"/>
      <c r="F22" s="37" t="s">
        <v>30</v>
      </c>
      <c r="G22" s="12"/>
      <c r="H22" s="17"/>
    </row>
    <row r="23" spans="1:10" ht="16.5" thickBot="1" x14ac:dyDescent="0.3">
      <c r="A23" s="68"/>
      <c r="B23" s="16" t="s">
        <v>50</v>
      </c>
      <c r="C23" s="4"/>
      <c r="D23" s="4"/>
      <c r="E23" s="38" t="s">
        <v>25</v>
      </c>
      <c r="F23" s="39"/>
      <c r="G23" s="25"/>
      <c r="H23" s="47">
        <f>SUM(H18:H20)</f>
        <v>3949000</v>
      </c>
    </row>
    <row r="24" spans="1:10" ht="15.75" x14ac:dyDescent="0.25">
      <c r="A24" s="55" t="s">
        <v>26</v>
      </c>
      <c r="B24" s="12"/>
      <c r="C24" s="12"/>
      <c r="D24" s="13"/>
      <c r="E24" s="3" t="s">
        <v>32</v>
      </c>
      <c r="F24" s="66"/>
      <c r="G24" s="41">
        <v>0.19</v>
      </c>
      <c r="H24" s="48">
        <f>H23*G24</f>
        <v>750310</v>
      </c>
    </row>
    <row r="25" spans="1:10" ht="15.75" x14ac:dyDescent="0.25">
      <c r="A25" s="14" t="s">
        <v>38</v>
      </c>
      <c r="D25" s="15"/>
      <c r="E25" s="39" t="s">
        <v>27</v>
      </c>
      <c r="G25" s="65">
        <v>2.5000000000000001E-2</v>
      </c>
      <c r="H25" s="42">
        <f>H23*G25</f>
        <v>98725</v>
      </c>
    </row>
    <row r="26" spans="1:10" ht="15.75" x14ac:dyDescent="0.25">
      <c r="A26" s="14" t="s">
        <v>35</v>
      </c>
      <c r="D26" s="15"/>
      <c r="F26" s="39"/>
      <c r="G26" s="25"/>
      <c r="H26" s="43"/>
    </row>
    <row r="27" spans="1:10" ht="16.5" thickBot="1" x14ac:dyDescent="0.3">
      <c r="A27" t="s">
        <v>53</v>
      </c>
      <c r="D27" s="15"/>
      <c r="E27" s="39" t="s">
        <v>28</v>
      </c>
      <c r="F27" s="39"/>
      <c r="G27" s="25"/>
      <c r="H27" s="44"/>
    </row>
    <row r="28" spans="1:10" ht="19.5" thickBot="1" x14ac:dyDescent="0.35">
      <c r="A28" s="16"/>
      <c r="B28" s="4"/>
      <c r="C28" s="4"/>
      <c r="D28" s="17"/>
      <c r="F28" s="3"/>
      <c r="G28" s="40" t="s">
        <v>29</v>
      </c>
      <c r="H28" s="49">
        <f>H23+H24-H25</f>
        <v>4600585</v>
      </c>
    </row>
  </sheetData>
  <mergeCells count="1">
    <mergeCell ref="A22:A23"/>
  </mergeCells>
  <hyperlinks>
    <hyperlink ref="C10" r:id="rId1" xr:uid="{383CBE6A-4BD3-4DA7-A58C-40E032C37F34}"/>
  </hyperlinks>
  <printOptions horizontalCentered="1"/>
  <pageMargins left="0.47244094488188981" right="0.31496062992125984" top="0.31496062992125984" bottom="0.39370078740157483" header="0.31496062992125984" footer="0.31496062992125984"/>
  <pageSetup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DIMANSAS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2024-05-22T22:27:19Z</cp:lastPrinted>
  <dcterms:created xsi:type="dcterms:W3CDTF">2018-11-15T17:29:02Z</dcterms:created>
  <dcterms:modified xsi:type="dcterms:W3CDTF">2024-08-16T14:13:07Z</dcterms:modified>
</cp:coreProperties>
</file>