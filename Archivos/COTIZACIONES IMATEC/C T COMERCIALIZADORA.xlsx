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xr:revisionPtr revIDLastSave="0" documentId="13_ncr:1_{C1B9CFD4-39B5-400B-9DEE-D1016309749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 T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<sst xmlns="http://schemas.openxmlformats.org/spreadsheetml/2006/main" count="53" uniqueCount="53">
  <si>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</si>
  <si>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</si>
  <si>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</si>
  <si>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</si>
  <si>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</si>
  <si>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</si>
  <si>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</si>
  <si>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</si>
  <si>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</si>
  <si>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</si>
  <si>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</si>
  <si>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</si>
  <si>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</si>
  <si>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</si>
  <si>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</si>
  <si>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</si>
  <si>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</si>
  <si>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</si>
  <si>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</si>
  <si>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</si>
  <si>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</si>
  <si>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</si>
  <si>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</si>
  <si>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</si>
  <si>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</si>
  <si>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</si>
  <si>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</si>
  <si>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</si>
  <si>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</si>
  <si>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</si>
  <si>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</si>
  <si>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</si>
  <si>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</si>
  <si>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</si>
  <si>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</si>
  <si>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</si>
  <si>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</si>
  <si>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</si>
  <si>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</si>
  <si>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</si>
  <si>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</si>
  <si>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ENTREGA INMEDIATA</t>
  </si>
  <si>
    <t>EDINSON CABEZAS</t>
  </si>
  <si>
    <t>C T LTDA COMERCIALIZADORA TECNICA</t>
  </si>
  <si>
    <t>805 023272</t>
  </si>
  <si>
    <t>CRA 67  No. 2C-36</t>
  </si>
  <si>
    <t>comercializadoract.ltda@gmail.com</t>
  </si>
  <si>
    <t>602 4028532</t>
  </si>
  <si>
    <t>CALI</t>
  </si>
  <si>
    <t>VALVULA DE BOLA BRONCE CROMADA 4 " X 150 LB</t>
  </si>
  <si>
    <t>ACCESORIO</t>
  </si>
  <si>
    <t>DOS MILLONES DOSCIENTOS NOVENTA Y DOS MIL CIEN-</t>
  </si>
  <si>
    <t>TO TREINTA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</si>
</sst>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izadoract.lt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D26" sqref="D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37</v>
      </c>
      <c r="E4" s="19"/>
      <c r="F4" s="20"/>
      <c r="G4" s="6"/>
      <c r="H4" s="7"/>
    </row>
    <row r="5" spans="1:8" ht="19.5" thickBot="1" x14ac:dyDescent="0.35">
      <c r="A5" s="52" t="s">
        <v>40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43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44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45</v>
      </c>
      <c r="D9" s="24"/>
      <c r="E9" s="25" t="s">
        <v>48</v>
      </c>
      <c r="F9" s="32" t="s">
        <v>0</v>
      </c>
      <c r="H9" s="33">
        <v>45516</v>
      </c>
    </row>
    <row r="10" spans="1:8" ht="18.75" x14ac:dyDescent="0.3">
      <c r="A10" s="22" t="s">
        <v>13</v>
      </c>
      <c r="C10" s="47" t="s">
        <v>46</v>
      </c>
      <c r="D10" s="26"/>
      <c r="E10" s="26"/>
      <c r="F10" s="32" t="s">
        <v>15</v>
      </c>
      <c r="H10" s="34" t="s">
        <v>36</v>
      </c>
    </row>
    <row r="11" spans="1:8" ht="18.75" x14ac:dyDescent="0.3">
      <c r="A11" s="22" t="s">
        <v>10</v>
      </c>
      <c r="C11" s="47"/>
      <c r="D11" s="26"/>
      <c r="E11" s="26"/>
      <c r="F11" s="32" t="s">
        <v>16</v>
      </c>
      <c r="G11" s="35"/>
      <c r="H11" s="33">
        <v>45526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42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20</v>
      </c>
      <c r="B15" s="51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6.5" thickBot="1" x14ac:dyDescent="0.3">
      <c r="A16" s="58">
        <v>1</v>
      </c>
      <c r="B16" s="59" t="s">
        <v>49</v>
      </c>
      <c r="C16" s="60"/>
      <c r="D16" s="61"/>
      <c r="E16" s="62" t="s">
        <v>50</v>
      </c>
      <c r="F16" s="63">
        <v>393500</v>
      </c>
      <c r="G16" s="58">
        <v>5</v>
      </c>
      <c r="H16" s="53">
        <f t="shared" ref="H16" si="0">G16*F16</f>
        <v>1967500</v>
      </c>
    </row>
    <row r="17" spans="1:8" ht="16.5" thickBot="1" x14ac:dyDescent="0.3">
      <c r="A17" s="64"/>
      <c r="B17" s="65"/>
      <c r="C17" s="65"/>
      <c r="D17" s="65"/>
      <c r="E17" s="64"/>
      <c r="F17" s="66"/>
      <c r="G17" s="64"/>
      <c r="H17" s="67"/>
    </row>
    <row r="18" spans="1:8" ht="19.5" customHeight="1" thickBot="1" x14ac:dyDescent="0.35">
      <c r="A18" s="54" t="s">
        <v>26</v>
      </c>
      <c r="B18" s="12" t="s">
        <v>51</v>
      </c>
      <c r="C18" s="13"/>
      <c r="D18" s="14"/>
      <c r="E18" s="13"/>
      <c r="F18" s="38" t="s">
        <v>32</v>
      </c>
      <c r="G18" s="13"/>
      <c r="H18" s="7"/>
    </row>
    <row r="19" spans="1:8" ht="19.5" customHeight="1" thickBot="1" x14ac:dyDescent="0.3">
      <c r="A19" s="55"/>
      <c r="B19" s="17" t="s">
        <v>52</v>
      </c>
      <c r="C19" s="4"/>
      <c r="D19" s="4"/>
      <c r="E19" s="39" t="s">
        <v>27</v>
      </c>
      <c r="F19" s="40"/>
      <c r="G19" s="26"/>
      <c r="H19" s="48">
        <f>SUM(H16:H16)</f>
        <v>1967500</v>
      </c>
    </row>
    <row r="20" spans="1:8" ht="19.5" customHeight="1" x14ac:dyDescent="0.25">
      <c r="A20" s="27" t="s">
        <v>28</v>
      </c>
      <c r="B20" s="13"/>
      <c r="C20" s="13"/>
      <c r="D20" s="14"/>
      <c r="E20" s="3" t="s">
        <v>34</v>
      </c>
      <c r="F20" s="68"/>
      <c r="G20" s="42">
        <v>0.19</v>
      </c>
      <c r="H20" s="49">
        <f>H19*G20</f>
        <v>373825</v>
      </c>
    </row>
    <row r="21" spans="1:8" ht="19.5" customHeight="1" x14ac:dyDescent="0.25">
      <c r="A21" s="15" t="s">
        <v>35</v>
      </c>
      <c r="D21" s="16"/>
      <c r="E21" s="40" t="s">
        <v>29</v>
      </c>
      <c r="G21" s="57">
        <v>2.5000000000000001E-2</v>
      </c>
      <c r="H21" s="43">
        <f>H19*G21</f>
        <v>49187.5</v>
      </c>
    </row>
    <row r="22" spans="1:8" ht="15.75" x14ac:dyDescent="0.25">
      <c r="A22" s="15" t="s">
        <v>41</v>
      </c>
      <c r="D22" s="16"/>
      <c r="F22" s="40"/>
      <c r="G22" s="26"/>
      <c r="H22" s="44"/>
    </row>
    <row r="23" spans="1:8" ht="16.5" thickBot="1" x14ac:dyDescent="0.3">
      <c r="A23" s="15" t="s">
        <v>38</v>
      </c>
      <c r="D23" s="16"/>
      <c r="E23" s="40" t="s">
        <v>30</v>
      </c>
      <c r="F23" s="40"/>
      <c r="G23" s="26"/>
      <c r="H23" s="45"/>
    </row>
    <row r="24" spans="1:8" ht="19.5" thickBot="1" x14ac:dyDescent="0.35">
      <c r="A24" s="17"/>
      <c r="B24" s="4"/>
      <c r="C24" s="4"/>
      <c r="D24" s="18"/>
      <c r="F24" s="3"/>
      <c r="G24" s="41" t="s">
        <v>31</v>
      </c>
      <c r="H24" s="50">
        <f>H19+H20-H21</f>
        <v>2292137.5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8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T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2024-08-12T17:02:34Z</dcterms:modified>
</cp:coreProperties>
</file>