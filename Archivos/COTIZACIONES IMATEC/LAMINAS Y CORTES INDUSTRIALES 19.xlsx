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3964C5C-7B20-4BB5-A900-80F20E64D3C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21" i="1" l="1"/>
  <c r="H22" i="1"/>
  <c r="H26" i="1" l="1"/>
</calcChain>
</file>

<file path=xl/sharedStrings.xml><?xml version="1.0" encoding="utf-8"?>
<sst xmlns="http://schemas.openxmlformats.org/spreadsheetml/2006/main" count="61" uniqueCount="59">
  <si>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</si>
  <si>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</si>
  <si>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</si>
  <si>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</si>
  <si>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</si>
  <si>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</si>
  <si>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</si>
  <si>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</si>
  <si>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</si>
  <si>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</si>
  <si>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</si>
  <si>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</si>
  <si>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</si>
  <si>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</si>
  <si>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</si>
  <si>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</si>
  <si>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</si>
  <si>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</si>
  <si>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</si>
  <si>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</si>
  <si>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</si>
  <si>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</si>
  <si>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</si>
  <si>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</si>
  <si>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</si>
  <si>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</si>
  <si>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</si>
  <si>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</si>
  <si>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</si>
  <si>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</si>
  <si>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</si>
  <si>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</si>
  <si>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</si>
  <si>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</si>
  <si>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</si>
  <si>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</si>
  <si>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</si>
  <si>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</si>
  <si>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</si>
  <si>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</si>
  <si>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</si>
  <si>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</si>
  <si>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</si>
  <si>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</si>
  <si>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</si>
  <si>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</si>
  <si>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</si>
  <si>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</si>
  <si>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</si>
  <si>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>ACCESORIO</t>
  </si>
  <si>
    <t>No. 19</t>
  </si>
  <si>
    <t xml:space="preserve">NIPLE  AC/INOX 304  3/4 "  X  2 " </t>
  </si>
  <si>
    <t>FABRICACION</t>
  </si>
  <si>
    <t xml:space="preserve">NIPLE  AC/INOX 304  3/4 "  X  4 " </t>
  </si>
  <si>
    <t>CODO AC/INOX 304  3/4  "  X  90 º  X  150 LBS ROSC</t>
  </si>
  <si>
    <t>UNION AC/INOX 304  1/2 "</t>
  </si>
  <si>
    <t>CIENTO QUINCE MIL CIENTO NOVENTA Y DOS PESOS</t>
  </si>
  <si>
    <t>MDA / CTE</t>
  </si>
  <si>
    <t xml:space="preserve"> 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</si>
</sst>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8" fillId="0" borderId="4" xfId="0" applyFont="1" applyBorder="1"/>
    <xf numFmtId="0" fontId="8" fillId="0" borderId="20" xfId="0" applyFont="1" applyBorder="1"/>
    <xf numFmtId="0" fontId="1" fillId="0" borderId="4" xfId="0" applyFont="1" applyBorder="1" applyAlignment="1">
      <alignment horizontal="center"/>
    </xf>
    <xf numFmtId="42" fontId="12" fillId="0" borderId="34" xfId="1" applyFont="1" applyBorder="1" applyAlignment="1">
      <alignment horizontal="center"/>
    </xf>
    <xf numFmtId="42" fontId="1" fillId="0" borderId="20" xfId="1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abSelected="1" topLeftCell="A7" zoomScaleNormal="100" workbookViewId="0">
      <selection activeCell="K16" sqref="K1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58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50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45756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/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/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51</v>
      </c>
      <c r="C15" s="53"/>
      <c r="D15" s="54"/>
      <c r="E15" s="55" t="s">
        <v>52</v>
      </c>
      <c r="F15" s="76">
        <v>6550</v>
      </c>
      <c r="G15" s="77">
        <v>4</v>
      </c>
      <c r="H15" s="56">
        <f t="shared" ref="H15" si="0">F15*G15</f>
        <v>26200</v>
      </c>
      <c r="I15" s="37"/>
      <c r="J15" s="37"/>
    </row>
    <row r="16" spans="1:10" ht="19.5" customHeight="1" thickBot="1" x14ac:dyDescent="0.3">
      <c r="A16" s="52">
        <v>2</v>
      </c>
      <c r="B16" s="53" t="s">
        <v>53</v>
      </c>
      <c r="C16" s="53"/>
      <c r="D16" s="54"/>
      <c r="E16" s="55" t="s">
        <v>52</v>
      </c>
      <c r="F16" s="76">
        <v>10350</v>
      </c>
      <c r="G16" s="77">
        <v>2</v>
      </c>
      <c r="H16" s="56">
        <f t="shared" ref="H16:H18" si="1">F16*G16</f>
        <v>20700</v>
      </c>
      <c r="I16" s="37"/>
      <c r="J16" s="37"/>
    </row>
    <row r="17" spans="1:10" ht="19.5" customHeight="1" thickBot="1" x14ac:dyDescent="0.3">
      <c r="A17" s="52">
        <v>3</v>
      </c>
      <c r="B17" s="53" t="s">
        <v>54</v>
      </c>
      <c r="C17" s="53"/>
      <c r="D17" s="54"/>
      <c r="E17" s="55" t="s">
        <v>49</v>
      </c>
      <c r="F17" s="76">
        <v>8450</v>
      </c>
      <c r="G17" s="77">
        <v>2</v>
      </c>
      <c r="H17" s="56">
        <f t="shared" si="1"/>
        <v>16900</v>
      </c>
      <c r="I17" s="37"/>
      <c r="J17" s="37"/>
    </row>
    <row r="18" spans="1:10" ht="19.5" customHeight="1" thickBot="1" x14ac:dyDescent="0.3">
      <c r="A18" s="78">
        <v>4</v>
      </c>
      <c r="B18" s="79" t="s">
        <v>55</v>
      </c>
      <c r="C18" s="79"/>
      <c r="D18" s="80"/>
      <c r="E18" s="81" t="s">
        <v>49</v>
      </c>
      <c r="F18" s="82">
        <v>5500</v>
      </c>
      <c r="G18" s="78">
        <v>6</v>
      </c>
      <c r="H18" s="83">
        <f t="shared" si="1"/>
        <v>33000</v>
      </c>
      <c r="I18" s="37"/>
      <c r="J18" s="37"/>
    </row>
    <row r="19" spans="1:10" ht="15.75" thickBot="1" x14ac:dyDescent="0.3">
      <c r="A19" s="51"/>
      <c r="D19" s="38"/>
      <c r="H19" s="38"/>
    </row>
    <row r="20" spans="1:10" ht="19.5" customHeight="1" thickBot="1" x14ac:dyDescent="0.35">
      <c r="A20" s="84" t="s">
        <v>25</v>
      </c>
      <c r="B20" s="12" t="s">
        <v>56</v>
      </c>
      <c r="C20" s="13"/>
      <c r="D20" s="14"/>
      <c r="E20" s="48"/>
      <c r="F20" s="57" t="s">
        <v>44</v>
      </c>
      <c r="G20" s="6"/>
      <c r="H20" s="7"/>
    </row>
    <row r="21" spans="1:10" ht="19.5" customHeight="1" thickBot="1" x14ac:dyDescent="0.3">
      <c r="A21" s="85"/>
      <c r="B21" s="17" t="s">
        <v>57</v>
      </c>
      <c r="C21" s="4"/>
      <c r="D21" s="18"/>
      <c r="E21" s="58" t="s">
        <v>26</v>
      </c>
      <c r="F21" s="59"/>
      <c r="G21" s="60"/>
      <c r="H21" s="43">
        <f>SUM(H15:H18)</f>
        <v>96800</v>
      </c>
    </row>
    <row r="22" spans="1:10" ht="19.5" customHeight="1" x14ac:dyDescent="0.25">
      <c r="A22" s="26" t="s">
        <v>27</v>
      </c>
      <c r="B22" s="13"/>
      <c r="C22" s="13"/>
      <c r="D22" s="14"/>
      <c r="E22" s="61" t="s">
        <v>41</v>
      </c>
      <c r="F22" s="41"/>
      <c r="G22" s="62">
        <v>0.19</v>
      </c>
      <c r="H22" s="43">
        <f>H21*0.19</f>
        <v>18392</v>
      </c>
    </row>
    <row r="23" spans="1:10" ht="15.75" x14ac:dyDescent="0.25">
      <c r="A23" s="46" t="s">
        <v>47</v>
      </c>
      <c r="D23" s="16"/>
      <c r="E23" s="63" t="s">
        <v>28</v>
      </c>
      <c r="F23" s="40"/>
      <c r="G23" s="64">
        <v>2.5000000000000001E-2</v>
      </c>
      <c r="H23" s="43"/>
    </row>
    <row r="24" spans="1:10" ht="15.75" x14ac:dyDescent="0.25">
      <c r="A24" s="46" t="s">
        <v>48</v>
      </c>
      <c r="D24" s="16"/>
      <c r="E24" s="61" t="s">
        <v>45</v>
      </c>
      <c r="G24" s="75">
        <v>7.7000000000000002E-3</v>
      </c>
      <c r="H24" s="43"/>
    </row>
    <row r="25" spans="1:10" ht="16.5" thickBot="1" x14ac:dyDescent="0.3">
      <c r="A25" s="15" t="s">
        <v>31</v>
      </c>
      <c r="D25" s="16"/>
      <c r="E25" s="66"/>
      <c r="F25" s="67"/>
      <c r="G25" s="68"/>
      <c r="H25" s="44"/>
    </row>
    <row r="26" spans="1:10" ht="16.5" customHeight="1" thickBot="1" x14ac:dyDescent="0.35">
      <c r="A26" s="17"/>
      <c r="B26" s="4"/>
      <c r="C26" s="4"/>
      <c r="D26" s="18"/>
      <c r="F26" s="3"/>
      <c r="G26" s="42" t="s">
        <v>29</v>
      </c>
      <c r="H26" s="39">
        <f>H21+H22-H23-H24</f>
        <v>115192</v>
      </c>
    </row>
    <row r="28" spans="1:10" x14ac:dyDescent="0.25">
      <c r="A28" t="s">
        <v>1</v>
      </c>
    </row>
    <row r="30" spans="1:10" ht="15.75" thickBot="1" x14ac:dyDescent="0.3"/>
    <row r="31" spans="1:10" ht="19.5" thickBot="1" x14ac:dyDescent="0.35">
      <c r="A31" s="27" t="s">
        <v>46</v>
      </c>
      <c r="B31" s="6"/>
      <c r="C31" s="6"/>
      <c r="D31" s="6"/>
      <c r="E31" s="6"/>
      <c r="F31" s="6"/>
      <c r="G31" s="6"/>
      <c r="H31" s="7"/>
    </row>
    <row r="40" spans="1:1" ht="18.75" x14ac:dyDescent="0.3">
      <c r="A40" s="5"/>
    </row>
  </sheetData>
  <mergeCells count="1">
    <mergeCell ref="A20:A21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2025-04-09T16:56:40Z</dcterms:modified>
</cp:coreProperties>
</file>