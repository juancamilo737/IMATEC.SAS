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2858DB85-CCEB-4C5A-8FF4-FD5D405539A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QUARRIEGO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21" i="1" s="1"/>
  <c r="H22" i="1" l="1"/>
  <c r="H26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<sst xmlns="http://schemas.openxmlformats.org/spreadsheetml/2006/main" count="52" uniqueCount="52">
  <si>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</si>
  <si>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</si>
  <si>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</si>
  <si>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</si>
  <si>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</si>
  <si>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</si>
  <si>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</si>
  <si>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</si>
  <si>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</si>
  <si>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</si>
  <si>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</si>
  <si>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</si>
  <si>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</si>
  <si>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</si>
  <si>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</si>
  <si>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</si>
  <si>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</si>
  <si>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</si>
  <si>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</si>
  <si>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</si>
  <si>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</si>
  <si>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</si>
  <si>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</si>
  <si>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</si>
  <si>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</si>
  <si>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</si>
  <si>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</si>
  <si>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</si>
  <si>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</si>
  <si>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</si>
  <si>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</si>
  <si>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</si>
  <si>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10 DIAS</t>
  </si>
  <si>
    <t xml:space="preserve">                                   JAVIER LOZANO TAMAYO C.C. 16´654.252</t>
  </si>
  <si>
    <t>ENTREGA EN LA CIUDAD DE CALI</t>
  </si>
  <si>
    <t>ITEM</t>
  </si>
  <si>
    <t>ACCESORIO</t>
  </si>
  <si>
    <t xml:space="preserve">          C O T I Z A C I O N</t>
  </si>
  <si>
    <t>CONTACTOS   310 8306118        319 7714165        321 7834969</t>
  </si>
  <si>
    <t xml:space="preserve">                        INGENIERIA , MONTAJES  Y  ASISTENCIA  TECNICA  S A S</t>
  </si>
  <si>
    <t>CALLE 33 B  No.  17C-70        2º  PISO                        B/  LA FLORESTA   -   CALI   -                                321 7834969</t>
  </si>
  <si>
    <t>LUIS A. BENAVIDES</t>
  </si>
  <si>
    <t>AQUASERVICIOS S.A. E.S.P.</t>
  </si>
  <si>
    <t>815 000329</t>
  </si>
  <si>
    <t>KMT 5 VIA CANDELARIA</t>
  </si>
  <si>
    <t>CANDELARIA</t>
  </si>
  <si>
    <t>dian@aquaservicios.com</t>
  </si>
  <si>
    <t>316 8309518</t>
  </si>
  <si>
    <t>UNION DRESSER  12 "</t>
  </si>
  <si>
    <t>SETECIENTOS CATORCE MIL PESOS  MDA / CTE</t>
  </si>
  <si>
    <t>FORMA DE PAGO : CONTADO</t>
  </si>
  <si>
    <t>PLAZO PARA ENTREGA :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</si>
</sst>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42" fontId="11" fillId="0" borderId="0" xfId="1" applyFont="1"/>
    <xf numFmtId="0" fontId="5" fillId="0" borderId="4" xfId="0" applyFont="1" applyBorder="1"/>
    <xf numFmtId="42" fontId="1" fillId="0" borderId="19" xfId="1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8" fillId="0" borderId="22" xfId="0" applyFont="1" applyBorder="1"/>
    <xf numFmtId="0" fontId="8" fillId="0" borderId="23" xfId="0" applyFont="1" applyBorder="1"/>
    <xf numFmtId="0" fontId="8" fillId="0" borderId="20" xfId="0" applyFont="1" applyBorder="1"/>
    <xf numFmtId="10" fontId="1" fillId="0" borderId="0" xfId="0" applyNumberFormat="1" applyFont="1"/>
    <xf numFmtId="0" fontId="0" fillId="0" borderId="24" xfId="0" applyBorder="1"/>
    <xf numFmtId="0" fontId="1" fillId="0" borderId="2" xfId="0" applyFont="1" applyBorder="1" applyAlignment="1">
      <alignment horizontal="center"/>
    </xf>
    <xf numFmtId="42" fontId="11" fillId="0" borderId="2" xfId="1" applyFont="1" applyBorder="1" applyAlignment="1">
      <alignment horizontal="center"/>
    </xf>
    <xf numFmtId="0" fontId="14" fillId="0" borderId="0" xfId="0" applyFont="1"/>
    <xf numFmtId="0" fontId="3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1" fillId="0" borderId="18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1" fillId="0" borderId="3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1152525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an@aquaservici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1"/>
  <sheetViews>
    <sheetView tabSelected="1" topLeftCell="A4" zoomScale="96" zoomScaleNormal="96" workbookViewId="0">
      <selection activeCell="J24" sqref="J24"/>
    </sheetView>
  </sheetViews>
  <sheetFormatPr baseColWidth="10" defaultRowHeight="15" x14ac:dyDescent="0.25"/>
  <cols>
    <col min="1" max="1" width="15.5703125" customWidth="1"/>
    <col min="2" max="2" width="21.28515625" customWidth="1"/>
    <col min="3" max="3" width="15.7109375" customWidth="1"/>
    <col min="4" max="4" width="24.85546875" customWidth="1"/>
    <col min="5" max="8" width="15.7109375" customWidth="1"/>
  </cols>
  <sheetData>
    <row r="1" spans="1:8" ht="90.75" customHeight="1" thickBot="1" x14ac:dyDescent="1.4">
      <c r="A1" s="1"/>
      <c r="C1" s="7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9" t="s">
        <v>6</v>
      </c>
    </row>
    <row r="2" spans="1:8" ht="20.25" customHeight="1" thickBot="1" x14ac:dyDescent="0.4">
      <c r="D2" s="2"/>
      <c r="E2" s="45" t="s">
        <v>30</v>
      </c>
    </row>
    <row r="3" spans="1:8" ht="27" thickBot="1" x14ac:dyDescent="0.45">
      <c r="A3" s="10" t="s">
        <v>39</v>
      </c>
      <c r="B3" s="5"/>
      <c r="C3" s="5"/>
      <c r="D3" s="5"/>
      <c r="E3" s="5"/>
      <c r="F3" s="5"/>
      <c r="G3" s="5"/>
      <c r="H3" s="6"/>
    </row>
    <row r="4" spans="1:8" ht="21.75" thickBot="1" x14ac:dyDescent="0.4">
      <c r="A4" s="27" t="s">
        <v>7</v>
      </c>
      <c r="B4" s="5"/>
      <c r="C4" s="5"/>
      <c r="D4" s="28" t="s">
        <v>33</v>
      </c>
      <c r="E4" s="18"/>
      <c r="F4" s="19"/>
      <c r="G4" s="5"/>
      <c r="H4" s="6"/>
    </row>
    <row r="5" spans="1:8" ht="19.5" thickBot="1" x14ac:dyDescent="0.35">
      <c r="A5" s="52" t="s">
        <v>38</v>
      </c>
      <c r="B5" s="5"/>
      <c r="C5" s="5"/>
      <c r="D5" s="5"/>
      <c r="E5" s="5"/>
    </row>
    <row r="6" spans="1:8" ht="24.75" customHeight="1" thickBot="1" x14ac:dyDescent="0.45">
      <c r="F6" s="10" t="s">
        <v>37</v>
      </c>
      <c r="G6" s="18"/>
      <c r="H6" s="19"/>
    </row>
    <row r="7" spans="1:8" ht="19.5" thickBot="1" x14ac:dyDescent="0.35">
      <c r="A7" s="20" t="s">
        <v>14</v>
      </c>
      <c r="B7" s="12"/>
      <c r="C7" s="29" t="s">
        <v>42</v>
      </c>
      <c r="D7" s="12"/>
      <c r="E7" s="13"/>
      <c r="F7" s="26"/>
      <c r="G7" s="18"/>
      <c r="H7" s="19"/>
    </row>
    <row r="8" spans="1:8" ht="18.75" x14ac:dyDescent="0.3">
      <c r="A8" s="21" t="s">
        <v>8</v>
      </c>
      <c r="C8" s="24" t="s">
        <v>43</v>
      </c>
      <c r="D8" s="25"/>
      <c r="E8" s="25"/>
      <c r="F8" s="11"/>
      <c r="G8" s="12"/>
      <c r="H8" s="13"/>
    </row>
    <row r="9" spans="1:8" ht="18.75" customHeight="1" x14ac:dyDescent="0.3">
      <c r="A9" s="21" t="s">
        <v>9</v>
      </c>
      <c r="C9" s="23" t="s">
        <v>44</v>
      </c>
      <c r="D9" s="23"/>
      <c r="E9" s="24" t="s">
        <v>45</v>
      </c>
      <c r="F9" s="30" t="s">
        <v>0</v>
      </c>
      <c r="H9" s="31">
        <v>45539</v>
      </c>
    </row>
    <row r="10" spans="1:8" ht="18.75" x14ac:dyDescent="0.3">
      <c r="A10" s="21" t="s">
        <v>13</v>
      </c>
      <c r="C10" s="46" t="s">
        <v>46</v>
      </c>
      <c r="D10" s="25"/>
      <c r="E10" s="25"/>
      <c r="F10" s="30" t="s">
        <v>15</v>
      </c>
      <c r="H10" s="32" t="s">
        <v>32</v>
      </c>
    </row>
    <row r="11" spans="1:8" ht="18.75" x14ac:dyDescent="0.3">
      <c r="A11" s="21" t="s">
        <v>10</v>
      </c>
      <c r="C11" s="24"/>
      <c r="D11" s="25"/>
      <c r="E11" s="25"/>
      <c r="F11" s="30" t="s">
        <v>16</v>
      </c>
      <c r="G11" s="33"/>
      <c r="H11" s="31">
        <v>45549</v>
      </c>
    </row>
    <row r="12" spans="1:8" ht="18.75" x14ac:dyDescent="0.3">
      <c r="A12" s="21" t="s">
        <v>11</v>
      </c>
      <c r="C12" s="24" t="s">
        <v>47</v>
      </c>
      <c r="D12" s="25"/>
      <c r="E12" s="25"/>
      <c r="F12" s="30" t="s">
        <v>17</v>
      </c>
      <c r="H12" s="34"/>
    </row>
    <row r="13" spans="1:8" ht="18.75" customHeight="1" thickBot="1" x14ac:dyDescent="0.35">
      <c r="A13" s="22" t="s">
        <v>12</v>
      </c>
      <c r="B13" s="4"/>
      <c r="C13" s="24" t="s">
        <v>41</v>
      </c>
      <c r="D13" s="25"/>
      <c r="E13" s="25"/>
      <c r="F13" s="16"/>
      <c r="G13" s="4"/>
      <c r="H13" s="17"/>
    </row>
    <row r="16" spans="1:8" ht="15.75" thickBot="1" x14ac:dyDescent="0.3"/>
    <row r="17" spans="1:10" ht="15.75" thickBot="1" x14ac:dyDescent="0.3">
      <c r="A17" s="35" t="s">
        <v>35</v>
      </c>
      <c r="B17" s="72" t="s">
        <v>22</v>
      </c>
      <c r="C17" s="18"/>
      <c r="D17" s="6"/>
      <c r="E17" s="35" t="s">
        <v>18</v>
      </c>
      <c r="F17" s="35" t="s">
        <v>20</v>
      </c>
      <c r="G17" s="35" t="s">
        <v>19</v>
      </c>
      <c r="H17" s="35" t="s">
        <v>21</v>
      </c>
    </row>
    <row r="18" spans="1:10" ht="15.75" thickBot="1" x14ac:dyDescent="0.3">
      <c r="A18" s="69">
        <v>1</v>
      </c>
      <c r="B18" s="70" t="s">
        <v>48</v>
      </c>
      <c r="C18" s="4"/>
      <c r="D18" s="71"/>
      <c r="E18" s="61" t="s">
        <v>36</v>
      </c>
      <c r="F18" s="62">
        <v>600000</v>
      </c>
      <c r="G18" s="61">
        <v>1</v>
      </c>
      <c r="H18" s="53">
        <f t="shared" ref="H18" si="0">G18*F18</f>
        <v>600000</v>
      </c>
    </row>
    <row r="19" spans="1:10" ht="19.5" customHeight="1" thickBot="1" x14ac:dyDescent="0.3">
      <c r="A19" s="55"/>
      <c r="B19" s="56"/>
      <c r="C19" s="57"/>
      <c r="D19" s="58"/>
      <c r="E19" s="50"/>
      <c r="F19" s="51"/>
      <c r="G19" s="50"/>
      <c r="H19" s="53"/>
      <c r="I19" s="36"/>
      <c r="J19" s="36"/>
    </row>
    <row r="20" spans="1:10" ht="19.5" thickBot="1" x14ac:dyDescent="0.35">
      <c r="A20" s="67" t="s">
        <v>23</v>
      </c>
      <c r="B20" s="14" t="s">
        <v>49</v>
      </c>
      <c r="D20" s="15"/>
      <c r="E20" s="12"/>
      <c r="F20" s="37" t="s">
        <v>29</v>
      </c>
      <c r="G20" s="12"/>
      <c r="H20" s="17"/>
    </row>
    <row r="21" spans="1:10" ht="16.5" thickBot="1" x14ac:dyDescent="0.3">
      <c r="A21" s="68"/>
      <c r="B21" s="16"/>
      <c r="C21" s="4"/>
      <c r="D21" s="4"/>
      <c r="E21" s="38" t="s">
        <v>24</v>
      </c>
      <c r="F21" s="39"/>
      <c r="G21" s="25"/>
      <c r="H21" s="47">
        <f>SUM(H18:H20)</f>
        <v>600000</v>
      </c>
    </row>
    <row r="22" spans="1:10" ht="15.75" x14ac:dyDescent="0.25">
      <c r="A22" s="54" t="s">
        <v>25</v>
      </c>
      <c r="B22" s="12"/>
      <c r="C22" s="12"/>
      <c r="D22" s="13"/>
      <c r="E22" s="3" t="s">
        <v>31</v>
      </c>
      <c r="F22" s="60"/>
      <c r="G22" s="41">
        <v>0.19</v>
      </c>
      <c r="H22" s="48">
        <f>H21*G22</f>
        <v>114000</v>
      </c>
    </row>
    <row r="23" spans="1:10" ht="15.75" x14ac:dyDescent="0.25">
      <c r="A23" s="14" t="s">
        <v>50</v>
      </c>
      <c r="D23" s="15"/>
      <c r="E23" s="39" t="s">
        <v>26</v>
      </c>
      <c r="G23" s="59">
        <v>2.5000000000000001E-2</v>
      </c>
      <c r="H23" s="42"/>
    </row>
    <row r="24" spans="1:10" ht="15.75" x14ac:dyDescent="0.25">
      <c r="A24" s="14" t="s">
        <v>34</v>
      </c>
      <c r="D24" s="15"/>
      <c r="F24" s="39"/>
      <c r="G24" s="25"/>
      <c r="H24" s="43"/>
    </row>
    <row r="25" spans="1:10" ht="16.5" thickBot="1" x14ac:dyDescent="0.3">
      <c r="A25" t="s">
        <v>51</v>
      </c>
      <c r="D25" s="15"/>
      <c r="E25" s="39" t="s">
        <v>27</v>
      </c>
      <c r="F25" s="39"/>
      <c r="G25" s="25"/>
      <c r="H25" s="44"/>
    </row>
    <row r="26" spans="1:10" ht="19.5" thickBot="1" x14ac:dyDescent="0.35">
      <c r="A26" s="16"/>
      <c r="B26" s="4"/>
      <c r="C26" s="4"/>
      <c r="D26" s="17"/>
      <c r="F26" s="3"/>
      <c r="G26" s="40" t="s">
        <v>28</v>
      </c>
      <c r="H26" s="49">
        <f>H21+H22-H23</f>
        <v>714000</v>
      </c>
    </row>
    <row r="30" spans="1:10" ht="15.75" thickBot="1" x14ac:dyDescent="0.3"/>
    <row r="31" spans="1:10" s="63" customFormat="1" ht="21.75" thickBot="1" x14ac:dyDescent="0.4">
      <c r="A31" s="64" t="s">
        <v>40</v>
      </c>
      <c r="B31" s="65"/>
      <c r="C31" s="65"/>
      <c r="D31" s="65"/>
      <c r="E31" s="65"/>
      <c r="F31" s="65"/>
      <c r="G31" s="65"/>
      <c r="H31" s="66"/>
    </row>
  </sheetData>
  <mergeCells count="1">
    <mergeCell ref="A20:A21"/>
  </mergeCells>
  <hyperlinks>
    <hyperlink ref="C10" r:id="rId1" xr:uid="{383CBE6A-4BD3-4DA7-A58C-40E032C37F34}"/>
  </hyperlinks>
  <printOptions horizontalCentered="1"/>
  <pageMargins left="0.47244094488188981" right="0.31496062992125984" top="0.31496062992125984" bottom="0.39370078740157483" header="0.31496062992125984" footer="0.31496062992125984"/>
  <pageSetup scale="6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AQUARRIEGO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2024-05-22T22:27:19Z</cp:lastPrinted>
  <dcterms:created xsi:type="dcterms:W3CDTF">2018-11-15T17:29:02Z</dcterms:created>
  <dcterms:modified xsi:type="dcterms:W3CDTF">2024-09-04T15:06:31Z</dcterms:modified>
</cp:coreProperties>
</file>