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E:\USB PLATEADA\PLANTILLA PARA COTIZACIONES\COTIZACIONES  I M A T E C  COMERCIALIZADORA\"/>
    </mc:Choice>
  </mc:AlternateContent>
  <xr:revisionPtr revIDLastSave="0" documentId="13_ncr:1_{0EE71D71-E841-4B89-BCD5-07A595C06730}" xr6:coauthVersionLast="47" xr6:coauthVersionMax="47" xr10:uidLastSave="{00000000-0000-0000-0000-000000000000}"/>
  <bookViews>
    <workbookView xWindow="-120" yWindow="-120" windowWidth="19440" windowHeight="14040" xr2:uid="{00000000-000D-0000-FFFF-FFFF00000000}"/>
  </bookViews>
  <sheets>
    <sheet name="ACQUA - VITRUVI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43" i="1" l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45" i="1"/>
  <c r="H44" i="1" l="1"/>
  <c r="H48" i="1" s="1"/>
</calcChain>
</file>

<file path=xl/sharedStrings.xml><?xml version="1.0" encoding="utf-8"?>
<sst xmlns="http://schemas.openxmlformats.org/spreadsheetml/2006/main" count="103" uniqueCount="80">
  <si>
    <t>FECHA</t>
  </si>
  <si>
    <t xml:space="preserve"> 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</si>
  <si>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</si>
  <si>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</si>
  <si>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</si>
  <si>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</si>
  <si>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</si>
  <si>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</si>
  <si>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</si>
  <si>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</si>
  <si>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</si>
  <si>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</si>
  <si>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</si>
  <si>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</si>
  <si>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</si>
  <si>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</si>
  <si>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</si>
  <si>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</si>
  <si>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</si>
  <si>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 xml:space="preserve">             INGENIERIA , MONTAJES  Y  ASISTENCIA  TECNICA  S A S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</si>
  <si>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</si>
  <si>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</si>
  <si>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</si>
  <si>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</si>
  <si>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</si>
  <si>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</si>
  <si>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</si>
  <si>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</si>
  <si>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</si>
  <si>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</si>
  <si>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</si>
  <si>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L I Q U I D A C  I O N</t>
  </si>
  <si>
    <t>LINEA COMERCIALIZACION</t>
  </si>
  <si>
    <t>IVA</t>
  </si>
  <si>
    <t xml:space="preserve">                                   JAVIER LOZANO TAMAYO C.C. 16´654.252</t>
  </si>
  <si>
    <t>ENTREGA EN LA CIUDAD DE CALI</t>
  </si>
  <si>
    <t>EDINSON CABEZAS</t>
  </si>
  <si>
    <t>8 DIAS</t>
  </si>
  <si>
    <t>ITEM</t>
  </si>
  <si>
    <t>ACCESORIO</t>
  </si>
  <si>
    <t>CONTACTOS   310 8306118       319 7174165        321 7834969</t>
  </si>
  <si>
    <t>ACQUA VITRUVIO SAS</t>
  </si>
  <si>
    <t>900 881379</t>
  </si>
  <si>
    <t>CALLE 3  No. 4-300</t>
  </si>
  <si>
    <t>PALMIRA</t>
  </si>
  <si>
    <t>j-gaitan@hotmail.com</t>
  </si>
  <si>
    <t>602 6669102</t>
  </si>
  <si>
    <t>FORMA DE PAGO : CONTADO</t>
  </si>
  <si>
    <t xml:space="preserve">           C O T I Z A C I O N</t>
  </si>
  <si>
    <t xml:space="preserve">  CALLE  33A  No. 17F - 56                          B/  LA FLORESTA             -   CALI    -                                  CEL.     321 7834969</t>
  </si>
  <si>
    <t>NIPLE AC/INOX 304  3 "  X  12 "</t>
  </si>
  <si>
    <t>FABRICACION</t>
  </si>
  <si>
    <t>FILTRO EN Y  AC/INOX 304 3 "  X  150 LBS ROSCAD</t>
  </si>
  <si>
    <t>UNION EN AC/INOX  304  3 "  X  150 ROSCADA</t>
  </si>
  <si>
    <t>NIPLE PASAMURO  3 "  X  30  CMTS RUANA CENTRO</t>
  </si>
  <si>
    <t>VALVULA REGULADORA DE PRESION 3 " BRIDADA</t>
  </si>
  <si>
    <t>VALVULA DE BOLA  AC/INOX 304  3 " ROSCADA</t>
  </si>
  <si>
    <t>VALVULA DE PIE ALUMINIO ROSCADA  6 "</t>
  </si>
  <si>
    <t xml:space="preserve">JUNTA FLEXIBLE BRIDADA 6 " </t>
  </si>
  <si>
    <t xml:space="preserve">JUNTA FLEXIBLE BRIDADA 4 " </t>
  </si>
  <si>
    <t>NIPLE PASAMURO  4 "  X  40  CMTS RUANA CENTRO</t>
  </si>
  <si>
    <t>COLA MARRANO  AC/INOX 304  1/4  "</t>
  </si>
  <si>
    <t>SOPORTE TIPO PERA 6 "</t>
  </si>
  <si>
    <t>VENTILACION CUELLO CISNE A / C  4 "</t>
  </si>
  <si>
    <t>VALVULA GLOBO  AC/INOX  1 1/2 " ROSCADA</t>
  </si>
  <si>
    <t>VALVULA P/D VASTAGO ASCENDENTE 2 " BRIDADA</t>
  </si>
  <si>
    <t>VALVULA P/D VASTAGO ASCENDENTE 4 " BRIDADA</t>
  </si>
  <si>
    <t>REDUCCION COPA EXCENTRICA HR 6 " X 3 " RANUR</t>
  </si>
  <si>
    <t xml:space="preserve">ABRAZADERA TECNA  1 1/2 " </t>
  </si>
  <si>
    <t>VALVULA FLOTADOR BRONCE COMPLEGTA  3/4 "</t>
  </si>
  <si>
    <t>CABEZAL DE PRUEBA 4 " X 2 SALIDAS DE 2 1/2 "</t>
  </si>
  <si>
    <t>CHEQUE VERTICAL BRONCE 3 " ROSCADO</t>
  </si>
  <si>
    <t>UNION DRESSER  3 "</t>
  </si>
  <si>
    <t>VALVULA MARIPOSA RANURADA SUPERVISADA 2 "</t>
  </si>
  <si>
    <t>CHEQUE RANURADO 2 "</t>
  </si>
  <si>
    <t>ABRAZADERA TIPO PERA  2 "</t>
  </si>
  <si>
    <t>DIECISEIS MILLONES SETECIENTOS DIECISIETE MIL DOS-</t>
  </si>
  <si>
    <t>CIENTOS VEINTISEIS PESOS MDA / CTE</t>
  </si>
  <si>
    <t>ENTREGA EN 3 DIAS A PARTIR DE ORDEN DE COMPRA</t>
  </si>
  <si>
    <t>No.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</si>
</sst>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6" xfId="0" applyBorder="1"/>
    <xf numFmtId="0" fontId="0" fillId="0" borderId="15" xfId="0" applyBorder="1"/>
    <xf numFmtId="0" fontId="0" fillId="0" borderId="13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0" fontId="4" fillId="0" borderId="6" xfId="0" applyFont="1" applyBorder="1"/>
    <xf numFmtId="0" fontId="10" fillId="0" borderId="9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11" fillId="0" borderId="0" xfId="0" applyFont="1"/>
    <xf numFmtId="0" fontId="0" fillId="0" borderId="17" xfId="0" applyBorder="1"/>
    <xf numFmtId="0" fontId="8" fillId="0" borderId="14" xfId="0" applyFont="1" applyBorder="1"/>
    <xf numFmtId="0" fontId="8" fillId="0" borderId="0" xfId="0" applyFont="1"/>
    <xf numFmtId="0" fontId="5" fillId="0" borderId="7" xfId="0" applyFont="1" applyBorder="1"/>
    <xf numFmtId="0" fontId="4" fillId="0" borderId="15" xfId="0" applyFont="1" applyBorder="1"/>
    <xf numFmtId="0" fontId="4" fillId="0" borderId="13" xfId="0" applyFont="1" applyBorder="1"/>
    <xf numFmtId="0" fontId="5" fillId="0" borderId="19" xfId="0" applyFont="1" applyBorder="1"/>
    <xf numFmtId="9" fontId="1" fillId="0" borderId="15" xfId="0" applyNumberFormat="1" applyFont="1" applyBorder="1"/>
    <xf numFmtId="42" fontId="1" fillId="0" borderId="20" xfId="0" applyNumberFormat="1" applyFont="1" applyBorder="1"/>
    <xf numFmtId="0" fontId="0" fillId="0" borderId="20" xfId="0" applyBorder="1"/>
    <xf numFmtId="0" fontId="0" fillId="0" borderId="19" xfId="0" applyBorder="1"/>
    <xf numFmtId="0" fontId="12" fillId="0" borderId="0" xfId="0" applyFont="1" applyAlignment="1">
      <alignment horizontal="center"/>
    </xf>
    <xf numFmtId="0" fontId="13" fillId="0" borderId="15" xfId="2" applyBorder="1"/>
    <xf numFmtId="42" fontId="1" fillId="0" borderId="18" xfId="0" applyNumberFormat="1" applyFont="1" applyBorder="1" applyAlignment="1">
      <alignment horizontal="left"/>
    </xf>
    <xf numFmtId="42" fontId="1" fillId="0" borderId="20" xfId="1" applyFont="1" applyBorder="1" applyAlignment="1">
      <alignment horizontal="left"/>
    </xf>
    <xf numFmtId="42" fontId="1" fillId="0" borderId="1" xfId="0" applyNumberFormat="1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center"/>
    </xf>
    <xf numFmtId="42" fontId="1" fillId="0" borderId="21" xfId="1" applyFont="1" applyBorder="1" applyAlignment="1">
      <alignment horizontal="left"/>
    </xf>
    <xf numFmtId="42" fontId="11" fillId="0" borderId="0" xfId="1" applyFont="1" applyBorder="1" applyAlignment="1">
      <alignment horizontal="center"/>
    </xf>
    <xf numFmtId="0" fontId="0" fillId="0" borderId="22" xfId="0" applyBorder="1"/>
    <xf numFmtId="0" fontId="5" fillId="0" borderId="4" xfId="0" applyFont="1" applyBorder="1"/>
    <xf numFmtId="0" fontId="0" fillId="0" borderId="23" xfId="0" applyBorder="1"/>
    <xf numFmtId="10" fontId="1" fillId="0" borderId="0" xfId="0" applyNumberFormat="1" applyFont="1"/>
    <xf numFmtId="0" fontId="1" fillId="0" borderId="11" xfId="0" applyFont="1" applyBorder="1"/>
    <xf numFmtId="42" fontId="1" fillId="0" borderId="24" xfId="1" applyFont="1" applyBorder="1" applyAlignment="1">
      <alignment horizontal="left"/>
    </xf>
    <xf numFmtId="0" fontId="1" fillId="0" borderId="18" xfId="0" applyFont="1" applyBorder="1" applyAlignment="1">
      <alignment horizontal="left" vertical="top" wrapText="1"/>
    </xf>
    <xf numFmtId="0" fontId="1" fillId="0" borderId="19" xfId="0" applyFont="1" applyBorder="1" applyAlignment="1">
      <alignment horizontal="left" vertical="top" wrapText="1"/>
    </xf>
  </cellXfs>
  <cellStyles count="3">
    <cellStyle name="Hipervínculo" xfId="2" builtinId="8"/>
    <cellStyle name="Moneda [0]" xfId="1" builtinId="7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2</xdr:col>
      <xdr:colOff>9525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525"/>
          <a:ext cx="2190750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j-gaitan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62"/>
  <sheetViews>
    <sheetView tabSelected="1" topLeftCell="A5" zoomScaleNormal="100" workbookViewId="0">
      <selection activeCell="K23" sqref="K23"/>
    </sheetView>
  </sheetViews>
  <sheetFormatPr baseColWidth="10" defaultRowHeight="15" x14ac:dyDescent="0.25"/>
  <cols>
    <col min="1" max="1" width="15.5703125" customWidth="1"/>
    <col min="2" max="2" width="17.140625" customWidth="1"/>
    <col min="3" max="8" width="15.7109375" customWidth="1"/>
  </cols>
  <sheetData>
    <row r="1" spans="1:10" ht="90.75" customHeight="1" thickBot="1" x14ac:dyDescent="1.4">
      <c r="A1" s="1"/>
      <c r="C1" s="8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10" t="s">
        <v>7</v>
      </c>
    </row>
    <row r="2" spans="1:10" ht="20.25" customHeight="1" thickBot="1" x14ac:dyDescent="0.4">
      <c r="D2" s="2"/>
      <c r="E2" s="50" t="s">
        <v>32</v>
      </c>
    </row>
    <row r="3" spans="1:10" ht="27" thickBot="1" x14ac:dyDescent="0.45">
      <c r="A3" s="11" t="s">
        <v>19</v>
      </c>
      <c r="B3" s="6"/>
      <c r="C3" s="6"/>
      <c r="D3" s="6"/>
      <c r="E3" s="6"/>
      <c r="F3" s="6"/>
      <c r="G3" s="6"/>
      <c r="H3" s="7"/>
    </row>
    <row r="4" spans="1:10" ht="21.75" thickBot="1" x14ac:dyDescent="0.4">
      <c r="A4" s="29" t="s">
        <v>8</v>
      </c>
      <c r="B4" s="6"/>
      <c r="C4" s="6"/>
      <c r="D4" s="30" t="s">
        <v>34</v>
      </c>
      <c r="E4" s="19"/>
      <c r="F4" s="20"/>
      <c r="G4" s="6"/>
      <c r="H4" s="7"/>
    </row>
    <row r="5" spans="1:10" ht="19.5" thickBot="1" x14ac:dyDescent="0.35">
      <c r="A5" s="60" t="s">
        <v>40</v>
      </c>
      <c r="B5" s="6"/>
      <c r="C5" s="6"/>
      <c r="D5" s="6"/>
      <c r="E5" s="6"/>
    </row>
    <row r="6" spans="1:10" ht="24.75" customHeight="1" thickBot="1" x14ac:dyDescent="0.45">
      <c r="F6" s="11" t="s">
        <v>48</v>
      </c>
      <c r="G6" s="19"/>
      <c r="H6" s="20"/>
    </row>
    <row r="7" spans="1:10" ht="19.5" thickBot="1" x14ac:dyDescent="0.35">
      <c r="A7" s="21" t="s">
        <v>15</v>
      </c>
      <c r="B7" s="13"/>
      <c r="C7" s="31" t="s">
        <v>41</v>
      </c>
      <c r="D7" s="13"/>
      <c r="E7" s="14"/>
      <c r="F7" s="28"/>
      <c r="G7" s="19"/>
      <c r="H7" s="20" t="s">
        <v>79</v>
      </c>
    </row>
    <row r="8" spans="1:10" ht="18.75" x14ac:dyDescent="0.3">
      <c r="A8" s="22" t="s">
        <v>9</v>
      </c>
      <c r="C8" s="25" t="s">
        <v>42</v>
      </c>
      <c r="D8" s="26"/>
      <c r="E8" s="26"/>
      <c r="F8" s="12"/>
      <c r="G8" s="13"/>
      <c r="H8" s="14"/>
    </row>
    <row r="9" spans="1:10" ht="18.75" customHeight="1" x14ac:dyDescent="0.3">
      <c r="A9" s="22" t="s">
        <v>10</v>
      </c>
      <c r="C9" s="24" t="s">
        <v>43</v>
      </c>
      <c r="D9" s="24"/>
      <c r="E9" s="25" t="s">
        <v>44</v>
      </c>
      <c r="F9" s="32" t="s">
        <v>0</v>
      </c>
      <c r="H9" s="33">
        <v>45727</v>
      </c>
    </row>
    <row r="10" spans="1:10" ht="18.75" x14ac:dyDescent="0.3">
      <c r="A10" s="22" t="s">
        <v>14</v>
      </c>
      <c r="C10" s="51" t="s">
        <v>45</v>
      </c>
      <c r="D10" s="26"/>
      <c r="E10" s="26"/>
      <c r="F10" s="32" t="s">
        <v>16</v>
      </c>
      <c r="H10" s="34" t="s">
        <v>37</v>
      </c>
    </row>
    <row r="11" spans="1:10" ht="18.75" x14ac:dyDescent="0.3">
      <c r="A11" s="22" t="s">
        <v>11</v>
      </c>
      <c r="C11" s="25"/>
      <c r="D11" s="26"/>
      <c r="E11" s="26"/>
      <c r="F11" s="32" t="s">
        <v>17</v>
      </c>
      <c r="G11" s="35"/>
      <c r="H11" s="33">
        <v>45736</v>
      </c>
    </row>
    <row r="12" spans="1:10" ht="18.75" x14ac:dyDescent="0.3">
      <c r="A12" s="22" t="s">
        <v>12</v>
      </c>
      <c r="C12" s="25" t="s">
        <v>46</v>
      </c>
      <c r="D12" s="26"/>
      <c r="E12" s="26"/>
      <c r="F12" s="32" t="s">
        <v>18</v>
      </c>
      <c r="H12" s="36"/>
    </row>
    <row r="13" spans="1:10" ht="18.75" customHeight="1" thickBot="1" x14ac:dyDescent="0.35">
      <c r="A13" s="23" t="s">
        <v>13</v>
      </c>
      <c r="B13" s="4"/>
      <c r="C13" s="25" t="s">
        <v>36</v>
      </c>
      <c r="D13" s="26"/>
      <c r="E13" s="26"/>
      <c r="F13" s="17"/>
      <c r="G13" s="4"/>
      <c r="H13" s="18"/>
    </row>
    <row r="14" spans="1:10" ht="15.75" thickBot="1" x14ac:dyDescent="0.3"/>
    <row r="15" spans="1:10" ht="15.75" thickBot="1" x14ac:dyDescent="0.3">
      <c r="A15" s="37" t="s">
        <v>38</v>
      </c>
      <c r="B15" s="55" t="s">
        <v>24</v>
      </c>
      <c r="C15" s="19"/>
      <c r="D15" s="7"/>
      <c r="E15" s="37" t="s">
        <v>20</v>
      </c>
      <c r="F15" s="37" t="s">
        <v>22</v>
      </c>
      <c r="G15" s="37" t="s">
        <v>21</v>
      </c>
      <c r="H15" s="37" t="s">
        <v>23</v>
      </c>
    </row>
    <row r="16" spans="1:10" ht="16.5" thickBot="1" x14ac:dyDescent="0.3">
      <c r="A16" s="56">
        <v>1</v>
      </c>
      <c r="B16" s="40" t="s">
        <v>50</v>
      </c>
      <c r="C16" s="41"/>
      <c r="D16" s="39"/>
      <c r="E16" s="56" t="s">
        <v>51</v>
      </c>
      <c r="F16" s="58">
        <v>159300</v>
      </c>
      <c r="G16" s="56">
        <v>1</v>
      </c>
      <c r="H16" s="57">
        <f>G16*F16</f>
        <v>159300</v>
      </c>
      <c r="I16" s="38"/>
      <c r="J16" s="38"/>
    </row>
    <row r="17" spans="1:10" ht="16.5" thickBot="1" x14ac:dyDescent="0.3">
      <c r="A17" s="56">
        <v>2</v>
      </c>
      <c r="B17" s="40" t="s">
        <v>52</v>
      </c>
      <c r="C17" s="41"/>
      <c r="D17" s="39"/>
      <c r="E17" s="56" t="s">
        <v>39</v>
      </c>
      <c r="F17" s="58">
        <v>677500</v>
      </c>
      <c r="G17" s="56">
        <v>1</v>
      </c>
      <c r="H17" s="64">
        <f>G17*F17</f>
        <v>677500</v>
      </c>
    </row>
    <row r="18" spans="1:10" ht="16.5" thickBot="1" x14ac:dyDescent="0.3">
      <c r="A18" s="56">
        <v>3</v>
      </c>
      <c r="B18" s="40" t="s">
        <v>53</v>
      </c>
      <c r="C18" s="41"/>
      <c r="D18" s="39"/>
      <c r="E18" s="56" t="s">
        <v>39</v>
      </c>
      <c r="F18" s="58">
        <v>29800</v>
      </c>
      <c r="G18" s="56">
        <v>1</v>
      </c>
      <c r="H18" s="57">
        <f t="shared" ref="H18:H40" si="0">G18*F18</f>
        <v>29800</v>
      </c>
      <c r="I18" s="38"/>
      <c r="J18" s="38"/>
    </row>
    <row r="19" spans="1:10" ht="16.5" thickBot="1" x14ac:dyDescent="0.3">
      <c r="A19" s="56">
        <v>4</v>
      </c>
      <c r="B19" s="40" t="s">
        <v>54</v>
      </c>
      <c r="C19" s="41"/>
      <c r="D19" s="39"/>
      <c r="E19" s="56" t="s">
        <v>51</v>
      </c>
      <c r="F19" s="58">
        <v>405000</v>
      </c>
      <c r="G19" s="56">
        <v>2</v>
      </c>
      <c r="H19" s="57">
        <f t="shared" si="0"/>
        <v>810000</v>
      </c>
      <c r="I19" s="38"/>
      <c r="J19" s="38"/>
    </row>
    <row r="20" spans="1:10" ht="16.5" thickBot="1" x14ac:dyDescent="0.3">
      <c r="A20" s="56">
        <v>5</v>
      </c>
      <c r="B20" s="40" t="s">
        <v>55</v>
      </c>
      <c r="C20" s="41"/>
      <c r="D20" s="39"/>
      <c r="E20" s="56" t="s">
        <v>39</v>
      </c>
      <c r="F20" s="58">
        <v>4128600</v>
      </c>
      <c r="G20" s="56">
        <v>1</v>
      </c>
      <c r="H20" s="57">
        <f t="shared" si="0"/>
        <v>4128600</v>
      </c>
      <c r="I20" s="38"/>
      <c r="J20" s="38"/>
    </row>
    <row r="21" spans="1:10" ht="16.5" thickBot="1" x14ac:dyDescent="0.3">
      <c r="A21" s="56">
        <v>6</v>
      </c>
      <c r="B21" s="40" t="s">
        <v>56</v>
      </c>
      <c r="C21" s="41"/>
      <c r="D21" s="39"/>
      <c r="E21" s="56" t="s">
        <v>39</v>
      </c>
      <c r="F21" s="58">
        <v>573800</v>
      </c>
      <c r="G21" s="56">
        <v>1</v>
      </c>
      <c r="H21" s="57">
        <f t="shared" si="0"/>
        <v>573800</v>
      </c>
      <c r="I21" s="38"/>
      <c r="J21" s="38"/>
    </row>
    <row r="22" spans="1:10" ht="16.5" thickBot="1" x14ac:dyDescent="0.3">
      <c r="A22" s="56">
        <v>7</v>
      </c>
      <c r="B22" s="40" t="s">
        <v>57</v>
      </c>
      <c r="C22" s="41"/>
      <c r="D22" s="39"/>
      <c r="E22" s="56" t="s">
        <v>39</v>
      </c>
      <c r="F22" s="58">
        <v>420000</v>
      </c>
      <c r="G22" s="56">
        <v>1</v>
      </c>
      <c r="H22" s="57">
        <f t="shared" si="0"/>
        <v>420000</v>
      </c>
      <c r="I22" s="38"/>
      <c r="J22" s="38"/>
    </row>
    <row r="23" spans="1:10" ht="16.5" thickBot="1" x14ac:dyDescent="0.3">
      <c r="A23" s="56">
        <v>8</v>
      </c>
      <c r="B23" s="40" t="s">
        <v>58</v>
      </c>
      <c r="C23" s="41"/>
      <c r="D23" s="39"/>
      <c r="E23" s="56" t="s">
        <v>39</v>
      </c>
      <c r="F23" s="58">
        <v>493500</v>
      </c>
      <c r="G23" s="56">
        <v>1</v>
      </c>
      <c r="H23" s="57">
        <f t="shared" si="0"/>
        <v>493500</v>
      </c>
      <c r="I23" s="38"/>
      <c r="J23" s="38"/>
    </row>
    <row r="24" spans="1:10" ht="16.5" thickBot="1" x14ac:dyDescent="0.3">
      <c r="A24" s="56">
        <v>9</v>
      </c>
      <c r="B24" s="40" t="s">
        <v>59</v>
      </c>
      <c r="C24" s="41"/>
      <c r="D24" s="39"/>
      <c r="E24" s="56" t="s">
        <v>39</v>
      </c>
      <c r="F24" s="58">
        <v>275500</v>
      </c>
      <c r="G24" s="56">
        <v>1</v>
      </c>
      <c r="H24" s="57">
        <f t="shared" si="0"/>
        <v>275500</v>
      </c>
      <c r="I24" s="38"/>
      <c r="J24" s="38"/>
    </row>
    <row r="25" spans="1:10" ht="16.5" thickBot="1" x14ac:dyDescent="0.3">
      <c r="A25" s="56">
        <v>10</v>
      </c>
      <c r="B25" s="40" t="s">
        <v>60</v>
      </c>
      <c r="C25" s="41"/>
      <c r="D25" s="39"/>
      <c r="E25" s="56" t="s">
        <v>39</v>
      </c>
      <c r="F25" s="58">
        <v>459900</v>
      </c>
      <c r="G25" s="56">
        <v>2</v>
      </c>
      <c r="H25" s="57">
        <f t="shared" si="0"/>
        <v>919800</v>
      </c>
      <c r="I25" s="38"/>
      <c r="J25" s="38"/>
    </row>
    <row r="26" spans="1:10" ht="16.5" thickBot="1" x14ac:dyDescent="0.3">
      <c r="A26" s="56">
        <v>11</v>
      </c>
      <c r="B26" s="40" t="s">
        <v>61</v>
      </c>
      <c r="C26" s="41"/>
      <c r="D26" s="39"/>
      <c r="E26" s="56" t="s">
        <v>39</v>
      </c>
      <c r="F26" s="58">
        <v>45000</v>
      </c>
      <c r="G26" s="56">
        <v>1</v>
      </c>
      <c r="H26" s="57">
        <f t="shared" si="0"/>
        <v>45000</v>
      </c>
      <c r="I26" s="38"/>
      <c r="J26" s="38"/>
    </row>
    <row r="27" spans="1:10" ht="16.5" thickBot="1" x14ac:dyDescent="0.3">
      <c r="A27" s="56">
        <v>12</v>
      </c>
      <c r="B27" s="40" t="s">
        <v>62</v>
      </c>
      <c r="C27" s="41"/>
      <c r="D27" s="39"/>
      <c r="E27" s="56" t="s">
        <v>39</v>
      </c>
      <c r="F27" s="58">
        <v>8250</v>
      </c>
      <c r="G27" s="56">
        <v>2</v>
      </c>
      <c r="H27" s="57">
        <f t="shared" si="0"/>
        <v>16500</v>
      </c>
      <c r="I27" s="38"/>
      <c r="J27" s="38"/>
    </row>
    <row r="28" spans="1:10" ht="16.5" thickBot="1" x14ac:dyDescent="0.3">
      <c r="A28" s="56">
        <v>13</v>
      </c>
      <c r="B28" s="40" t="s">
        <v>63</v>
      </c>
      <c r="C28" s="41"/>
      <c r="D28" s="39"/>
      <c r="E28" s="56" t="s">
        <v>51</v>
      </c>
      <c r="F28" s="58">
        <v>240000</v>
      </c>
      <c r="G28" s="56">
        <v>2</v>
      </c>
      <c r="H28" s="57">
        <f t="shared" si="0"/>
        <v>480000</v>
      </c>
      <c r="I28" s="38"/>
      <c r="J28" s="38"/>
    </row>
    <row r="29" spans="1:10" ht="16.5" thickBot="1" x14ac:dyDescent="0.3">
      <c r="A29" s="56">
        <v>14</v>
      </c>
      <c r="B29" s="40" t="s">
        <v>64</v>
      </c>
      <c r="C29" s="41"/>
      <c r="D29" s="39"/>
      <c r="E29" s="56" t="s">
        <v>39</v>
      </c>
      <c r="F29" s="58">
        <v>165000</v>
      </c>
      <c r="G29" s="56">
        <v>1</v>
      </c>
      <c r="H29" s="57">
        <f t="shared" si="0"/>
        <v>165000</v>
      </c>
      <c r="I29" s="38"/>
      <c r="J29" s="38"/>
    </row>
    <row r="30" spans="1:10" ht="16.5" thickBot="1" x14ac:dyDescent="0.3">
      <c r="A30" s="56">
        <v>15</v>
      </c>
      <c r="B30" s="40" t="s">
        <v>65</v>
      </c>
      <c r="C30" s="41"/>
      <c r="D30" s="39"/>
      <c r="E30" s="56" t="s">
        <v>39</v>
      </c>
      <c r="F30" s="58">
        <v>699000</v>
      </c>
      <c r="G30" s="56">
        <v>1</v>
      </c>
      <c r="H30" s="57">
        <f t="shared" si="0"/>
        <v>699000</v>
      </c>
      <c r="I30" s="38"/>
      <c r="J30" s="38"/>
    </row>
    <row r="31" spans="1:10" ht="16.5" thickBot="1" x14ac:dyDescent="0.3">
      <c r="A31" s="56">
        <v>16</v>
      </c>
      <c r="B31" s="40" t="s">
        <v>66</v>
      </c>
      <c r="C31" s="41"/>
      <c r="D31" s="39"/>
      <c r="E31" s="56" t="s">
        <v>39</v>
      </c>
      <c r="F31" s="58">
        <v>1146000</v>
      </c>
      <c r="G31" s="56">
        <v>1</v>
      </c>
      <c r="H31" s="57">
        <f t="shared" si="0"/>
        <v>1146000</v>
      </c>
      <c r="I31" s="38"/>
      <c r="J31" s="38"/>
    </row>
    <row r="32" spans="1:10" ht="16.5" thickBot="1" x14ac:dyDescent="0.3">
      <c r="A32" s="56">
        <v>17</v>
      </c>
      <c r="B32" s="40" t="s">
        <v>67</v>
      </c>
      <c r="C32" s="41"/>
      <c r="D32" s="39"/>
      <c r="E32" s="56" t="s">
        <v>39</v>
      </c>
      <c r="F32" s="58">
        <v>114600</v>
      </c>
      <c r="G32" s="56">
        <v>1</v>
      </c>
      <c r="H32" s="57">
        <f t="shared" si="0"/>
        <v>114600</v>
      </c>
      <c r="I32" s="38"/>
      <c r="J32" s="38"/>
    </row>
    <row r="33" spans="1:10" ht="16.5" thickBot="1" x14ac:dyDescent="0.3">
      <c r="A33" s="56">
        <v>18</v>
      </c>
      <c r="B33" s="40" t="s">
        <v>68</v>
      </c>
      <c r="C33" s="41"/>
      <c r="D33" s="39"/>
      <c r="E33" s="56" t="s">
        <v>39</v>
      </c>
      <c r="F33" s="58">
        <v>1700</v>
      </c>
      <c r="G33" s="56">
        <v>1</v>
      </c>
      <c r="H33" s="57">
        <f t="shared" si="0"/>
        <v>1700</v>
      </c>
      <c r="I33" s="38"/>
      <c r="J33" s="38"/>
    </row>
    <row r="34" spans="1:10" ht="16.5" thickBot="1" x14ac:dyDescent="0.3">
      <c r="A34" s="56">
        <v>19</v>
      </c>
      <c r="B34" s="40" t="s">
        <v>69</v>
      </c>
      <c r="C34" s="41"/>
      <c r="D34" s="39"/>
      <c r="E34" s="56" t="s">
        <v>39</v>
      </c>
      <c r="F34" s="58">
        <v>99500</v>
      </c>
      <c r="G34" s="56">
        <v>1</v>
      </c>
      <c r="H34" s="57">
        <f t="shared" si="0"/>
        <v>99500</v>
      </c>
      <c r="I34" s="38"/>
      <c r="J34" s="38"/>
    </row>
    <row r="35" spans="1:10" ht="16.5" thickBot="1" x14ac:dyDescent="0.3">
      <c r="A35" s="56">
        <v>20</v>
      </c>
      <c r="B35" s="40" t="s">
        <v>70</v>
      </c>
      <c r="C35" s="41"/>
      <c r="D35" s="39"/>
      <c r="E35" s="56" t="s">
        <v>39</v>
      </c>
      <c r="F35" s="58">
        <v>711000</v>
      </c>
      <c r="G35" s="56">
        <v>1</v>
      </c>
      <c r="H35" s="57">
        <f t="shared" si="0"/>
        <v>711000</v>
      </c>
      <c r="I35" s="38"/>
      <c r="J35" s="38"/>
    </row>
    <row r="36" spans="1:10" ht="16.5" thickBot="1" x14ac:dyDescent="0.3">
      <c r="A36" s="56">
        <v>21</v>
      </c>
      <c r="B36" s="40" t="s">
        <v>71</v>
      </c>
      <c r="C36" s="41"/>
      <c r="D36" s="39"/>
      <c r="E36" s="56" t="s">
        <v>39</v>
      </c>
      <c r="F36" s="58">
        <v>734000</v>
      </c>
      <c r="G36" s="56">
        <v>2</v>
      </c>
      <c r="H36" s="57">
        <f t="shared" si="0"/>
        <v>1468000</v>
      </c>
      <c r="I36" s="38"/>
      <c r="J36" s="38"/>
    </row>
    <row r="37" spans="1:10" ht="16.5" thickBot="1" x14ac:dyDescent="0.3">
      <c r="A37" s="56">
        <v>22</v>
      </c>
      <c r="B37" s="40" t="s">
        <v>72</v>
      </c>
      <c r="C37" s="41"/>
      <c r="D37" s="39"/>
      <c r="E37" s="56" t="s">
        <v>39</v>
      </c>
      <c r="F37" s="58">
        <v>120700</v>
      </c>
      <c r="G37" s="56">
        <v>2</v>
      </c>
      <c r="H37" s="57">
        <f t="shared" si="0"/>
        <v>241400</v>
      </c>
      <c r="I37" s="38"/>
      <c r="J37" s="38"/>
    </row>
    <row r="38" spans="1:10" ht="16.5" thickBot="1" x14ac:dyDescent="0.3">
      <c r="A38" s="56">
        <v>23</v>
      </c>
      <c r="B38" s="40" t="s">
        <v>73</v>
      </c>
      <c r="C38" s="41"/>
      <c r="D38" s="39"/>
      <c r="E38" s="56" t="s">
        <v>39</v>
      </c>
      <c r="F38" s="58">
        <v>431800</v>
      </c>
      <c r="G38" s="56">
        <v>1</v>
      </c>
      <c r="H38" s="57">
        <f t="shared" si="0"/>
        <v>431800</v>
      </c>
      <c r="I38" s="38"/>
      <c r="J38" s="38"/>
    </row>
    <row r="39" spans="1:10" ht="16.5" thickBot="1" x14ac:dyDescent="0.3">
      <c r="A39" s="56">
        <v>24</v>
      </c>
      <c r="B39" s="40" t="s">
        <v>74</v>
      </c>
      <c r="C39" s="41"/>
      <c r="D39" s="39"/>
      <c r="E39" s="56" t="s">
        <v>39</v>
      </c>
      <c r="F39" s="58">
        <v>239000</v>
      </c>
      <c r="G39" s="56">
        <v>1</v>
      </c>
      <c r="H39" s="57">
        <f t="shared" si="0"/>
        <v>239000</v>
      </c>
      <c r="I39" s="38"/>
      <c r="J39" s="38"/>
    </row>
    <row r="40" spans="1:10" ht="15.75" x14ac:dyDescent="0.25">
      <c r="A40" s="56">
        <v>25</v>
      </c>
      <c r="B40" s="40" t="s">
        <v>75</v>
      </c>
      <c r="C40" s="41"/>
      <c r="D40" s="39"/>
      <c r="E40" s="56" t="s">
        <v>39</v>
      </c>
      <c r="F40" s="58">
        <v>3250</v>
      </c>
      <c r="G40" s="56">
        <v>1</v>
      </c>
      <c r="H40" s="57">
        <f t="shared" si="0"/>
        <v>3250</v>
      </c>
      <c r="I40" s="38"/>
      <c r="J40" s="38"/>
    </row>
    <row r="41" spans="1:10" ht="19.5" customHeight="1" thickBot="1" x14ac:dyDescent="0.3">
      <c r="H41" s="59"/>
    </row>
    <row r="42" spans="1:10" ht="19.5" customHeight="1" thickBot="1" x14ac:dyDescent="0.35">
      <c r="A42" s="65" t="s">
        <v>25</v>
      </c>
      <c r="B42" s="12" t="s">
        <v>76</v>
      </c>
      <c r="C42" s="13"/>
      <c r="D42" s="14"/>
      <c r="E42" s="13"/>
      <c r="F42" s="42" t="s">
        <v>31</v>
      </c>
      <c r="G42" s="13"/>
      <c r="H42" s="7"/>
    </row>
    <row r="43" spans="1:10" ht="19.5" customHeight="1" thickBot="1" x14ac:dyDescent="0.3">
      <c r="A43" s="66"/>
      <c r="B43" s="17" t="s">
        <v>77</v>
      </c>
      <c r="C43" s="4"/>
      <c r="D43" s="4"/>
      <c r="E43" s="43" t="s">
        <v>26</v>
      </c>
      <c r="F43" s="44"/>
      <c r="G43" s="26"/>
      <c r="H43" s="52">
        <f>SUM(H16:H40)</f>
        <v>14349550</v>
      </c>
    </row>
    <row r="44" spans="1:10" ht="19.5" customHeight="1" x14ac:dyDescent="0.25">
      <c r="A44" s="27" t="s">
        <v>27</v>
      </c>
      <c r="B44" s="13"/>
      <c r="C44" s="13"/>
      <c r="D44" s="14"/>
      <c r="E44" s="3" t="s">
        <v>33</v>
      </c>
      <c r="F44" s="61"/>
      <c r="G44" s="46">
        <v>0.19</v>
      </c>
      <c r="H44" s="53">
        <f>H43*G44</f>
        <v>2726414.5</v>
      </c>
    </row>
    <row r="45" spans="1:10" ht="15.75" x14ac:dyDescent="0.25">
      <c r="A45" s="15" t="s">
        <v>47</v>
      </c>
      <c r="D45" s="16"/>
      <c r="E45" s="44" t="s">
        <v>28</v>
      </c>
      <c r="G45" s="62">
        <v>2.5000000000000001E-2</v>
      </c>
      <c r="H45" s="47">
        <f>H43*G45</f>
        <v>358738.75</v>
      </c>
    </row>
    <row r="46" spans="1:10" ht="15.75" x14ac:dyDescent="0.25">
      <c r="A46" s="15" t="s">
        <v>78</v>
      </c>
      <c r="D46" s="16"/>
      <c r="F46" s="44"/>
      <c r="G46" s="26"/>
      <c r="H46" s="48"/>
    </row>
    <row r="47" spans="1:10" ht="16.5" thickBot="1" x14ac:dyDescent="0.3">
      <c r="A47" s="15" t="s">
        <v>35</v>
      </c>
      <c r="D47" s="16"/>
      <c r="E47" s="44" t="s">
        <v>29</v>
      </c>
      <c r="F47" s="44"/>
      <c r="G47" s="26"/>
      <c r="H47" s="49"/>
    </row>
    <row r="48" spans="1:10" ht="16.5" customHeight="1" thickBot="1" x14ac:dyDescent="0.35">
      <c r="A48" s="63"/>
      <c r="B48" s="4"/>
      <c r="C48" s="4"/>
      <c r="D48" s="18"/>
      <c r="F48" s="3"/>
      <c r="G48" s="45" t="s">
        <v>30</v>
      </c>
      <c r="H48" s="54">
        <f>H43+H44-H45</f>
        <v>16717225.75</v>
      </c>
    </row>
    <row r="50" spans="1:8" x14ac:dyDescent="0.25">
      <c r="A50" t="s">
        <v>1</v>
      </c>
    </row>
    <row r="52" spans="1:8" ht="15.75" thickBot="1" x14ac:dyDescent="0.3"/>
    <row r="53" spans="1:8" ht="19.5" thickBot="1" x14ac:dyDescent="0.35">
      <c r="A53" s="28" t="s">
        <v>49</v>
      </c>
      <c r="B53" s="6"/>
      <c r="C53" s="6"/>
      <c r="D53" s="6"/>
      <c r="E53" s="6"/>
      <c r="F53" s="6"/>
      <c r="G53" s="6"/>
      <c r="H53" s="7"/>
    </row>
    <row r="62" spans="1:8" ht="18.75" x14ac:dyDescent="0.3">
      <c r="A62" s="5"/>
    </row>
  </sheetData>
  <mergeCells count="1">
    <mergeCell ref="A42:A43"/>
  </mergeCells>
  <hyperlinks>
    <hyperlink ref="C10" r:id="rId1" xr:uid="{07822929-D5BC-4F55-9D94-D7FDBA20A4A7}"/>
  </hyperlinks>
  <printOptions horizontalCentered="1"/>
  <pageMargins left="0.47244094488188981" right="0.31496062992125984" top="0.31496062992125984" bottom="0.39370078740157483" header="0.31496062992125984" footer="0.31496062992125984"/>
  <pageSetup scale="77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ACQUA - VITRUVIO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2024-11-08T14:14:19Z</cp:lastPrinted>
  <dcterms:created xsi:type="dcterms:W3CDTF">2018-11-15T17:29:02Z</dcterms:created>
  <dcterms:modified xsi:type="dcterms:W3CDTF">2025-03-11T14:40:30Z</dcterms:modified>
</cp:coreProperties>
</file>