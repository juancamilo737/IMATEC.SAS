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8756AFD8-0981-4D4E-A86C-5E2649D2F0C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UASU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1" l="1"/>
  <c r="H30" i="1"/>
  <c r="H28" i="1"/>
  <c r="H27" i="1"/>
  <c r="H26" i="1"/>
  <c r="H25" i="1"/>
  <c r="H24" i="1"/>
  <c r="H23" i="1"/>
  <c r="H22" i="1"/>
  <c r="H21" i="1"/>
  <c r="H20" i="1"/>
  <c r="H19" i="1"/>
  <c r="H18" i="1"/>
  <c r="H31" i="1" l="1"/>
  <c r="H35" i="1" s="1"/>
</calcChain>
</file>

<file path=xl/sharedStrings.xml><?xml version="1.0" encoding="utf-8"?>
<sst xmlns="http://schemas.openxmlformats.org/spreadsheetml/2006/main" count="73" uniqueCount="64">
  <si>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</si>
  <si>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</si>
  <si>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</si>
  <si>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</si>
  <si>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</si>
  <si>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</si>
  <si>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</si>
  <si>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</si>
  <si>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</si>
  <si>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</si>
  <si>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</si>
  <si>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</si>
  <si>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</si>
  <si>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</si>
  <si>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</si>
  <si>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</si>
  <si>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</si>
  <si>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</si>
  <si>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</si>
  <si>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</si>
  <si>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</si>
  <si>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</si>
  <si>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</si>
  <si>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</si>
  <si>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</si>
  <si>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</si>
  <si>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</si>
  <si>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</si>
  <si>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</si>
  <si>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</si>
  <si>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</si>
  <si>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</si>
  <si>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</si>
  <si>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10 DIAS</t>
  </si>
  <si>
    <t xml:space="preserve">                                   JAVIER LOZANO TAMAYO C.C. 16´654.252</t>
  </si>
  <si>
    <t>ENTREGA EN LA CIUDAD DE CALI</t>
  </si>
  <si>
    <t>ITEM</t>
  </si>
  <si>
    <t>ACCESORIO</t>
  </si>
  <si>
    <t>900 054411</t>
  </si>
  <si>
    <t>JAMUNDI</t>
  </si>
  <si>
    <t>602 5599110</t>
  </si>
  <si>
    <t>ACUEDUCTOS DEL SUR SAS ESP</t>
  </si>
  <si>
    <t xml:space="preserve">KMT 21 VIA CALI-JAMUNDI </t>
  </si>
  <si>
    <t>acsur@hotmail.com</t>
  </si>
  <si>
    <t>EDINSON CABEZAS</t>
  </si>
  <si>
    <t>FORMA DE PAGO : CREDITO A TREINTA DIAS</t>
  </si>
  <si>
    <t>BRIDA  PVC  4 "</t>
  </si>
  <si>
    <t>LLAVE DE BOLA PVC  1/2 "</t>
  </si>
  <si>
    <t>LLAVE GALVANIZADA  1/2 "</t>
  </si>
  <si>
    <t>CODO  PVC  1/2 "  X  45º</t>
  </si>
  <si>
    <t>CODO PVC  3/4 "  X  45º</t>
  </si>
  <si>
    <t>ADAPTADOR HEMBRA  PVC PAVCO 1/2 "</t>
  </si>
  <si>
    <t>BUJE PVC  PAVCO   3/4 "  X  1/2 "</t>
  </si>
  <si>
    <t>UNION PVC PAVCO 1/2 " SOLDAR</t>
  </si>
  <si>
    <t>ADAPTADOR MACHO PVC PAVCO  4 "</t>
  </si>
  <si>
    <t>CINTA TEFLON USO INDUSTRIAL</t>
  </si>
  <si>
    <t>INSUMO</t>
  </si>
  <si>
    <t>DOS MILLONES DIEZ MIL SEISCIENTOS SETENTA Y OCHO PESOS MDA / CTE</t>
  </si>
  <si>
    <t>CONTACTOS        310 8306118       319 7714165        321 7834969</t>
  </si>
  <si>
    <t>PLAZO PARA ENTREGA : 2 DIAS</t>
  </si>
  <si>
    <t>PLAZO DE ENTREGA CONDICIONADO A SITUACION DE ORDEN PUBLICO</t>
  </si>
  <si>
    <t>UNIVERSAL PVC SCH 40  4 "  SOLDAR</t>
  </si>
  <si>
    <t xml:space="preserve">          C O T I Z A C I O N</t>
  </si>
  <si>
    <t>No.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</si>
</sst>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8" fillId="0" borderId="6" xfId="0" applyFont="1" applyBorder="1"/>
    <xf numFmtId="0" fontId="8" fillId="0" borderId="9" xfId="0" applyFont="1" applyBorder="1"/>
    <xf numFmtId="0" fontId="8" fillId="0" borderId="11" xfId="0" applyFont="1" applyBorder="1"/>
    <xf numFmtId="0" fontId="0" fillId="0" borderId="15" xfId="0" applyBorder="1"/>
    <xf numFmtId="0" fontId="0" fillId="0" borderId="13" xfId="0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9" fillId="0" borderId="9" xfId="0" applyFont="1" applyBorder="1"/>
    <xf numFmtId="0" fontId="9" fillId="0" borderId="10" xfId="0" applyFont="1" applyBorder="1" applyAlignment="1">
      <alignment horizontal="right"/>
    </xf>
    <xf numFmtId="0" fontId="9" fillId="0" borderId="0" xfId="0" applyFont="1"/>
    <xf numFmtId="0" fontId="9" fillId="0" borderId="10" xfId="0" applyFont="1" applyBorder="1"/>
    <xf numFmtId="0" fontId="1" fillId="0" borderId="1" xfId="0" applyFont="1" applyBorder="1" applyAlignment="1">
      <alignment horizontal="center"/>
    </xf>
    <xf numFmtId="0" fontId="10" fillId="0" borderId="0" xfId="0" applyFont="1"/>
    <xf numFmtId="0" fontId="0" fillId="0" borderId="16" xfId="0" applyBorder="1"/>
    <xf numFmtId="0" fontId="4" fillId="0" borderId="13" xfId="0" applyFont="1" applyBorder="1"/>
    <xf numFmtId="0" fontId="5" fillId="0" borderId="18" xfId="0" applyFont="1" applyBorder="1"/>
    <xf numFmtId="42" fontId="1" fillId="0" borderId="19" xfId="0" applyNumberFormat="1" applyFont="1" applyBorder="1"/>
    <xf numFmtId="0" fontId="0" fillId="0" borderId="19" xfId="0" applyBorder="1"/>
    <xf numFmtId="0" fontId="0" fillId="0" borderId="18" xfId="0" applyBorder="1"/>
    <xf numFmtId="0" fontId="11" fillId="0" borderId="0" xfId="0" applyFont="1" applyAlignment="1">
      <alignment horizontal="center"/>
    </xf>
    <xf numFmtId="42" fontId="1" fillId="0" borderId="19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42" fontId="10" fillId="0" borderId="0" xfId="1" applyFont="1"/>
    <xf numFmtId="42" fontId="10" fillId="0" borderId="0" xfId="1" applyFont="1" applyBorder="1" applyAlignment="1">
      <alignment horizontal="center"/>
    </xf>
    <xf numFmtId="0" fontId="5" fillId="0" borderId="4" xfId="0" applyFont="1" applyBorder="1"/>
    <xf numFmtId="42" fontId="1" fillId="0" borderId="20" xfId="1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14" xfId="0" applyBorder="1"/>
    <xf numFmtId="0" fontId="0" fillId="0" borderId="22" xfId="0" applyBorder="1"/>
    <xf numFmtId="0" fontId="1" fillId="0" borderId="3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2" fillId="0" borderId="23" xfId="2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42" fontId="1" fillId="0" borderId="19" xfId="0" applyNumberFormat="1" applyFont="1" applyBorder="1" applyAlignment="1">
      <alignment horizontal="left"/>
    </xf>
    <xf numFmtId="0" fontId="0" fillId="0" borderId="3" xfId="0" applyBorder="1"/>
    <xf numFmtId="0" fontId="4" fillId="0" borderId="30" xfId="0" applyFont="1" applyBorder="1"/>
    <xf numFmtId="0" fontId="4" fillId="0" borderId="31" xfId="0" applyFont="1" applyBorder="1"/>
    <xf numFmtId="0" fontId="0" fillId="0" borderId="32" xfId="0" applyBorder="1"/>
    <xf numFmtId="0" fontId="4" fillId="0" borderId="9" xfId="0" applyFont="1" applyBorder="1"/>
    <xf numFmtId="9" fontId="1" fillId="0" borderId="26" xfId="0" applyNumberFormat="1" applyFont="1" applyBorder="1"/>
    <xf numFmtId="0" fontId="4" fillId="0" borderId="23" xfId="0" applyFont="1" applyBorder="1"/>
    <xf numFmtId="10" fontId="1" fillId="0" borderId="10" xfId="0" applyNumberFormat="1" applyFont="1" applyBorder="1"/>
    <xf numFmtId="0" fontId="4" fillId="0" borderId="27" xfId="0" applyFont="1" applyBorder="1"/>
    <xf numFmtId="0" fontId="4" fillId="0" borderId="28" xfId="0" applyFont="1" applyBorder="1"/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0" fillId="0" borderId="30" xfId="0" applyBorder="1"/>
    <xf numFmtId="0" fontId="0" fillId="0" borderId="31" xfId="0" applyBorder="1"/>
    <xf numFmtId="14" fontId="9" fillId="0" borderId="10" xfId="0" applyNumberFormat="1" applyFont="1" applyBorder="1"/>
    <xf numFmtId="0" fontId="5" fillId="0" borderId="5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1152525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su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5"/>
  <sheetViews>
    <sheetView tabSelected="1" zoomScale="96" zoomScaleNormal="96" workbookViewId="0">
      <selection activeCell="L12" sqref="L12"/>
    </sheetView>
  </sheetViews>
  <sheetFormatPr baseColWidth="10" defaultRowHeight="15" x14ac:dyDescent="0.25"/>
  <cols>
    <col min="1" max="1" width="15.5703125" customWidth="1"/>
    <col min="2" max="2" width="21.28515625" customWidth="1"/>
    <col min="3" max="3" width="15.7109375" customWidth="1"/>
    <col min="4" max="4" width="24.85546875" customWidth="1"/>
    <col min="5" max="8" width="15.7109375" customWidth="1"/>
  </cols>
  <sheetData>
    <row r="1" spans="1:8" ht="90.75" customHeight="1" thickBot="1" x14ac:dyDescent="1.4">
      <c r="A1" s="1"/>
      <c r="C1" s="7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9" t="s">
        <v>6</v>
      </c>
    </row>
    <row r="2" spans="1:8" ht="20.25" customHeight="1" thickBot="1" x14ac:dyDescent="0.4">
      <c r="D2" s="2"/>
      <c r="E2" s="41" t="s">
        <v>31</v>
      </c>
    </row>
    <row r="3" spans="1:8" ht="27" thickBot="1" x14ac:dyDescent="0.45">
      <c r="A3" s="10" t="s">
        <v>18</v>
      </c>
      <c r="B3" s="5"/>
      <c r="C3" s="5"/>
      <c r="D3" s="5"/>
      <c r="E3" s="5"/>
      <c r="F3" s="5"/>
      <c r="G3" s="5"/>
      <c r="H3" s="6"/>
    </row>
    <row r="4" spans="1:8" ht="21.75" thickBot="1" x14ac:dyDescent="0.4">
      <c r="A4" s="26" t="s">
        <v>7</v>
      </c>
      <c r="B4" s="5"/>
      <c r="C4" s="5"/>
      <c r="D4" s="27" t="s">
        <v>34</v>
      </c>
      <c r="E4" s="18"/>
      <c r="F4" s="19"/>
      <c r="G4" s="5"/>
      <c r="H4" s="6"/>
    </row>
    <row r="5" spans="1:8" ht="19.5" thickBot="1" x14ac:dyDescent="0.35">
      <c r="A5" s="47" t="s">
        <v>58</v>
      </c>
      <c r="B5" s="5"/>
      <c r="C5" s="5"/>
      <c r="D5" s="5"/>
      <c r="E5" s="5"/>
    </row>
    <row r="6" spans="1:8" ht="24.75" customHeight="1" thickBot="1" x14ac:dyDescent="0.45">
      <c r="F6" s="10" t="s">
        <v>62</v>
      </c>
      <c r="G6" s="18"/>
      <c r="H6" s="19"/>
    </row>
    <row r="7" spans="1:8" ht="19.5" thickBot="1" x14ac:dyDescent="0.35">
      <c r="A7" s="20" t="s">
        <v>14</v>
      </c>
      <c r="B7" s="12"/>
      <c r="C7" s="28" t="s">
        <v>41</v>
      </c>
      <c r="D7" s="12"/>
      <c r="E7" s="13"/>
      <c r="F7" s="25"/>
      <c r="G7" s="18"/>
      <c r="H7" s="78" t="s">
        <v>63</v>
      </c>
    </row>
    <row r="8" spans="1:8" ht="18.75" x14ac:dyDescent="0.3">
      <c r="A8" s="21" t="s">
        <v>8</v>
      </c>
      <c r="C8" s="75" t="s">
        <v>38</v>
      </c>
      <c r="D8" s="76"/>
      <c r="E8" s="66"/>
      <c r="F8" s="11"/>
      <c r="G8" s="12"/>
      <c r="H8" s="13"/>
    </row>
    <row r="9" spans="1:8" ht="18.75" customHeight="1" x14ac:dyDescent="0.3">
      <c r="A9" s="21" t="s">
        <v>9</v>
      </c>
      <c r="C9" s="56" t="s">
        <v>42</v>
      </c>
      <c r="D9" s="23"/>
      <c r="E9" s="57" t="s">
        <v>39</v>
      </c>
      <c r="F9" s="29" t="s">
        <v>0</v>
      </c>
      <c r="H9" s="77">
        <v>45563</v>
      </c>
    </row>
    <row r="10" spans="1:8" ht="18.75" x14ac:dyDescent="0.3">
      <c r="A10" s="21" t="s">
        <v>13</v>
      </c>
      <c r="C10" s="58" t="s">
        <v>43</v>
      </c>
      <c r="D10" s="24"/>
      <c r="E10" s="55"/>
      <c r="F10" s="29" t="s">
        <v>15</v>
      </c>
      <c r="H10" s="30" t="s">
        <v>33</v>
      </c>
    </row>
    <row r="11" spans="1:8" ht="18.75" x14ac:dyDescent="0.3">
      <c r="A11" s="21" t="s">
        <v>10</v>
      </c>
      <c r="C11" s="54"/>
      <c r="D11" s="24"/>
      <c r="E11" s="55"/>
      <c r="F11" s="29" t="s">
        <v>16</v>
      </c>
      <c r="G11" s="31"/>
      <c r="H11" s="77">
        <v>45572</v>
      </c>
    </row>
    <row r="12" spans="1:8" ht="18.75" x14ac:dyDescent="0.3">
      <c r="A12" s="21" t="s">
        <v>11</v>
      </c>
      <c r="C12" s="54" t="s">
        <v>40</v>
      </c>
      <c r="D12" s="24"/>
      <c r="E12" s="55"/>
      <c r="F12" s="29" t="s">
        <v>17</v>
      </c>
      <c r="H12" s="32"/>
    </row>
    <row r="13" spans="1:8" ht="18.75" customHeight="1" thickBot="1" x14ac:dyDescent="0.35">
      <c r="A13" s="22" t="s">
        <v>12</v>
      </c>
      <c r="B13" s="4"/>
      <c r="C13" s="59" t="s">
        <v>44</v>
      </c>
      <c r="D13" s="60"/>
      <c r="E13" s="61"/>
      <c r="F13" s="16"/>
      <c r="G13" s="4"/>
      <c r="H13" s="17"/>
    </row>
    <row r="16" spans="1:8" ht="15.75" thickBot="1" x14ac:dyDescent="0.3"/>
    <row r="17" spans="1:10" ht="15.75" thickBot="1" x14ac:dyDescent="0.3">
      <c r="A17" s="33" t="s">
        <v>36</v>
      </c>
      <c r="B17" s="53" t="s">
        <v>23</v>
      </c>
      <c r="C17" s="18"/>
      <c r="D17" s="6"/>
      <c r="E17" s="33" t="s">
        <v>19</v>
      </c>
      <c r="F17" s="33" t="s">
        <v>21</v>
      </c>
      <c r="G17" s="33" t="s">
        <v>20</v>
      </c>
      <c r="H17" s="33" t="s">
        <v>22</v>
      </c>
    </row>
    <row r="18" spans="1:10" ht="15.75" thickBot="1" x14ac:dyDescent="0.3">
      <c r="A18" s="50">
        <v>1</v>
      </c>
      <c r="B18" s="51" t="s">
        <v>46</v>
      </c>
      <c r="D18" s="35"/>
      <c r="E18" s="44" t="s">
        <v>37</v>
      </c>
      <c r="F18" s="46">
        <v>36500</v>
      </c>
      <c r="G18" s="44">
        <v>12</v>
      </c>
      <c r="H18" s="48">
        <f t="shared" ref="H18:H27" si="0">G18*F18</f>
        <v>438000</v>
      </c>
    </row>
    <row r="19" spans="1:10" ht="15.75" thickBot="1" x14ac:dyDescent="0.3">
      <c r="A19" s="50">
        <v>2</v>
      </c>
      <c r="B19" s="51" t="s">
        <v>47</v>
      </c>
      <c r="D19" s="35"/>
      <c r="E19" s="44" t="s">
        <v>37</v>
      </c>
      <c r="F19" s="45">
        <v>9700</v>
      </c>
      <c r="G19" s="44">
        <v>12</v>
      </c>
      <c r="H19" s="48">
        <f t="shared" si="0"/>
        <v>116400</v>
      </c>
      <c r="I19" s="34"/>
      <c r="J19" s="34"/>
    </row>
    <row r="20" spans="1:10" ht="15.75" thickBot="1" x14ac:dyDescent="0.3">
      <c r="A20" s="50">
        <v>3</v>
      </c>
      <c r="B20" s="51" t="s">
        <v>48</v>
      </c>
      <c r="D20" s="35"/>
      <c r="E20" s="44" t="s">
        <v>37</v>
      </c>
      <c r="F20" s="45">
        <v>10150</v>
      </c>
      <c r="G20" s="44">
        <v>8</v>
      </c>
      <c r="H20" s="48">
        <f t="shared" si="0"/>
        <v>81200</v>
      </c>
      <c r="I20" s="34"/>
      <c r="J20" s="34"/>
    </row>
    <row r="21" spans="1:10" ht="15.75" thickBot="1" x14ac:dyDescent="0.3">
      <c r="A21" s="50">
        <v>4</v>
      </c>
      <c r="B21" s="51" t="s">
        <v>49</v>
      </c>
      <c r="D21" s="35"/>
      <c r="E21" s="44" t="s">
        <v>37</v>
      </c>
      <c r="F21" s="45">
        <v>960</v>
      </c>
      <c r="G21" s="44">
        <v>24</v>
      </c>
      <c r="H21" s="48">
        <f t="shared" si="0"/>
        <v>23040</v>
      </c>
      <c r="I21" s="34"/>
      <c r="J21" s="34"/>
    </row>
    <row r="22" spans="1:10" ht="15.75" thickBot="1" x14ac:dyDescent="0.3">
      <c r="A22" s="50">
        <v>5</v>
      </c>
      <c r="B22" s="51" t="s">
        <v>50</v>
      </c>
      <c r="D22" s="35"/>
      <c r="E22" s="44" t="s">
        <v>37</v>
      </c>
      <c r="F22" s="45">
        <v>1550</v>
      </c>
      <c r="G22" s="44">
        <v>24</v>
      </c>
      <c r="H22" s="48">
        <f t="shared" si="0"/>
        <v>37200</v>
      </c>
      <c r="I22" s="34"/>
      <c r="J22" s="34"/>
    </row>
    <row r="23" spans="1:10" ht="15.75" thickBot="1" x14ac:dyDescent="0.3">
      <c r="A23" s="50">
        <v>6</v>
      </c>
      <c r="B23" s="51" t="s">
        <v>51</v>
      </c>
      <c r="D23" s="35"/>
      <c r="E23" s="44" t="s">
        <v>37</v>
      </c>
      <c r="F23" s="45">
        <v>452</v>
      </c>
      <c r="G23" s="44">
        <v>24</v>
      </c>
      <c r="H23" s="48">
        <f t="shared" si="0"/>
        <v>10848</v>
      </c>
      <c r="I23" s="34"/>
      <c r="J23" s="34"/>
    </row>
    <row r="24" spans="1:10" ht="15.75" thickBot="1" x14ac:dyDescent="0.3">
      <c r="A24" s="50">
        <v>7</v>
      </c>
      <c r="B24" s="51" t="s">
        <v>52</v>
      </c>
      <c r="D24" s="35"/>
      <c r="E24" s="44" t="s">
        <v>37</v>
      </c>
      <c r="F24" s="45">
        <v>452</v>
      </c>
      <c r="G24" s="44">
        <v>24</v>
      </c>
      <c r="H24" s="48">
        <f t="shared" si="0"/>
        <v>10848</v>
      </c>
      <c r="I24" s="34"/>
      <c r="J24" s="34"/>
    </row>
    <row r="25" spans="1:10" ht="15.75" thickBot="1" x14ac:dyDescent="0.3">
      <c r="A25" s="50">
        <v>8</v>
      </c>
      <c r="B25" s="51" t="s">
        <v>53</v>
      </c>
      <c r="D25" s="35"/>
      <c r="E25" s="44" t="s">
        <v>37</v>
      </c>
      <c r="F25" s="45">
        <v>372</v>
      </c>
      <c r="G25" s="44">
        <v>24</v>
      </c>
      <c r="H25" s="48">
        <f t="shared" si="0"/>
        <v>8928</v>
      </c>
      <c r="I25" s="34"/>
      <c r="J25" s="34"/>
    </row>
    <row r="26" spans="1:10" ht="15.75" thickBot="1" x14ac:dyDescent="0.3">
      <c r="A26" s="50">
        <v>9</v>
      </c>
      <c r="B26" s="51" t="s">
        <v>54</v>
      </c>
      <c r="D26" s="35"/>
      <c r="E26" s="44" t="s">
        <v>37</v>
      </c>
      <c r="F26" s="45">
        <v>38600</v>
      </c>
      <c r="G26" s="44">
        <v>24</v>
      </c>
      <c r="H26" s="48">
        <f t="shared" si="0"/>
        <v>926400</v>
      </c>
      <c r="I26" s="34"/>
      <c r="J26" s="34"/>
    </row>
    <row r="27" spans="1:10" ht="15.75" thickBot="1" x14ac:dyDescent="0.3">
      <c r="A27" s="50">
        <v>10</v>
      </c>
      <c r="B27" s="51" t="s">
        <v>55</v>
      </c>
      <c r="D27" s="35"/>
      <c r="E27" s="44" t="s">
        <v>56</v>
      </c>
      <c r="F27" s="45">
        <v>3000</v>
      </c>
      <c r="G27" s="44">
        <v>12</v>
      </c>
      <c r="H27" s="48">
        <f t="shared" si="0"/>
        <v>36000</v>
      </c>
      <c r="I27" s="34"/>
      <c r="J27" s="34"/>
    </row>
    <row r="28" spans="1:10" ht="15.75" thickBot="1" x14ac:dyDescent="0.3">
      <c r="A28" s="50">
        <v>11</v>
      </c>
      <c r="B28" s="51" t="s">
        <v>61</v>
      </c>
      <c r="D28" s="35"/>
      <c r="E28" s="44" t="s">
        <v>37</v>
      </c>
      <c r="F28" s="45">
        <v>65000</v>
      </c>
      <c r="G28" s="44">
        <v>5</v>
      </c>
      <c r="H28" s="48">
        <f t="shared" ref="H28" si="1">G28*F28</f>
        <v>325000</v>
      </c>
      <c r="I28" s="34"/>
      <c r="J28" s="34"/>
    </row>
    <row r="29" spans="1:10" ht="19.5" thickBot="1" x14ac:dyDescent="0.35">
      <c r="A29" s="73" t="s">
        <v>24</v>
      </c>
      <c r="B29" s="11" t="s">
        <v>57</v>
      </c>
      <c r="C29" s="12"/>
      <c r="D29" s="13"/>
      <c r="E29" s="63"/>
      <c r="F29" s="47" t="s">
        <v>30</v>
      </c>
      <c r="G29" s="5"/>
      <c r="H29" s="6"/>
    </row>
    <row r="30" spans="1:10" ht="16.5" thickBot="1" x14ac:dyDescent="0.3">
      <c r="A30" s="74"/>
      <c r="B30" s="16"/>
      <c r="C30" s="4"/>
      <c r="D30" s="17"/>
      <c r="E30" s="64" t="s">
        <v>25</v>
      </c>
      <c r="F30" s="65"/>
      <c r="G30" s="66"/>
      <c r="H30" s="62">
        <f>SUM(H18:H28)</f>
        <v>2013864</v>
      </c>
    </row>
    <row r="31" spans="1:10" ht="15.75" x14ac:dyDescent="0.25">
      <c r="A31" s="49" t="s">
        <v>26</v>
      </c>
      <c r="B31" s="12"/>
      <c r="C31" s="12"/>
      <c r="D31" s="13"/>
      <c r="E31" s="67" t="s">
        <v>32</v>
      </c>
      <c r="F31" s="52"/>
      <c r="G31" s="68">
        <v>0.19</v>
      </c>
      <c r="H31" s="42">
        <f>H30*G31</f>
        <v>382634.16000000003</v>
      </c>
    </row>
    <row r="32" spans="1:10" ht="15.75" x14ac:dyDescent="0.25">
      <c r="A32" s="14" t="s">
        <v>45</v>
      </c>
      <c r="D32" s="15"/>
      <c r="E32" s="69" t="s">
        <v>27</v>
      </c>
      <c r="G32" s="70">
        <v>2.5000000000000001E-2</v>
      </c>
      <c r="H32" s="38">
        <f>H30*G32</f>
        <v>50346.600000000006</v>
      </c>
    </row>
    <row r="33" spans="1:8" ht="15.75" x14ac:dyDescent="0.25">
      <c r="A33" s="14" t="s">
        <v>35</v>
      </c>
      <c r="D33" s="15"/>
      <c r="E33" s="14"/>
      <c r="F33" s="36"/>
      <c r="G33" s="55"/>
      <c r="H33" s="39"/>
    </row>
    <row r="34" spans="1:8" ht="16.5" thickBot="1" x14ac:dyDescent="0.3">
      <c r="A34" s="14" t="s">
        <v>59</v>
      </c>
      <c r="D34" s="15"/>
      <c r="E34" s="71" t="s">
        <v>28</v>
      </c>
      <c r="F34" s="72"/>
      <c r="G34" s="61"/>
      <c r="H34" s="40"/>
    </row>
    <row r="35" spans="1:8" ht="19.5" thickBot="1" x14ac:dyDescent="0.35">
      <c r="A35" s="16" t="s">
        <v>60</v>
      </c>
      <c r="B35" s="4"/>
      <c r="C35" s="4"/>
      <c r="D35" s="17"/>
      <c r="F35" s="3"/>
      <c r="G35" s="37" t="s">
        <v>29</v>
      </c>
      <c r="H35" s="43">
        <f>H30+H31-H32</f>
        <v>2346151.56</v>
      </c>
    </row>
  </sheetData>
  <mergeCells count="1">
    <mergeCell ref="A29:A30"/>
  </mergeCells>
  <hyperlinks>
    <hyperlink ref="C10" r:id="rId1" xr:uid="{383CBE6A-4BD3-4DA7-A58C-40E032C37F34}"/>
  </hyperlinks>
  <printOptions horizontalCentered="1"/>
  <pageMargins left="0.47244094488188981" right="0.31496062992125984" top="0.31496062992125984" bottom="0.39370078740157483" header="0.31496062992125984" footer="0.31496062992125984"/>
  <pageSetup scale="7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2024-09-13T14:21:11Z</cp:lastPrinted>
  <dcterms:created xsi:type="dcterms:W3CDTF">2018-11-15T17:29:02Z</dcterms:created>
  <dcterms:modified xsi:type="dcterms:W3CDTF">2024-09-28T20:31:28Z</dcterms:modified>
</cp:coreProperties>
</file>