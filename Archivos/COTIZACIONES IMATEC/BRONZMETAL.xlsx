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26BC43C5-6FA8-491A-9BDE-5FACCF4E24A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BRONZMETAL S A 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1" l="1"/>
  <c r="H31" i="1" s="1"/>
  <c r="H32" i="1"/>
  <c r="H35" i="1" l="1"/>
</calcChain>
</file>

<file path=xl/sharedStrings.xml><?xml version="1.0" encoding="utf-8"?>
<sst xmlns="http://schemas.openxmlformats.org/spreadsheetml/2006/main" count="50" uniqueCount="50">
  <si>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</si>
  <si>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</si>
  <si>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</si>
  <si>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</si>
  <si>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</si>
  <si>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</si>
  <si>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</si>
  <si>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</si>
  <si>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</si>
  <si>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</si>
  <si>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</si>
  <si>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</si>
  <si>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</si>
  <si>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</si>
  <si>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</si>
  <si>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</si>
  <si>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</si>
  <si>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10 DIAS</t>
  </si>
  <si>
    <t>VENCE</t>
  </si>
  <si>
    <t>ORDEN No.</t>
  </si>
  <si>
    <t xml:space="preserve">             INGENIERIA , MONTAJES  Y  ASISTENCIA  TECNICA  S A S</t>
  </si>
  <si>
    <t xml:space="preserve">                   JAVIER LOZANO TAMAYO C.C. 16´654.252</t>
  </si>
  <si>
    <t>UNIDAD</t>
  </si>
  <si>
    <t>CANTIDAD</t>
  </si>
  <si>
    <t>VR. UNIDAD</t>
  </si>
  <si>
    <t>VR. TOTAL</t>
  </si>
  <si>
    <t xml:space="preserve">                                      DESCRIPCION</t>
  </si>
  <si>
    <t>UBICACIÓN OBRA COTIZADA :</t>
  </si>
  <si>
    <t xml:space="preserve">SON  : </t>
  </si>
  <si>
    <t>SUBTOTAL</t>
  </si>
  <si>
    <t>OBSERVACIONES</t>
  </si>
  <si>
    <t>- RETEFUENTE</t>
  </si>
  <si>
    <t>TOTAL</t>
  </si>
  <si>
    <t>L I Q U I D A C  I O N</t>
  </si>
  <si>
    <t>ITEM</t>
  </si>
  <si>
    <t>PAGO DE CONTADO</t>
  </si>
  <si>
    <t>LUIS BENAVIDEZ</t>
  </si>
  <si>
    <t xml:space="preserve">MAS IVA </t>
  </si>
  <si>
    <t>ENTREGA INMEDIATA</t>
  </si>
  <si>
    <t>CALI</t>
  </si>
  <si>
    <t>ACCESORIO</t>
  </si>
  <si>
    <t>BRONZMETAL</t>
  </si>
  <si>
    <t>900 091665</t>
  </si>
  <si>
    <t>bronzmetal@hotmail.com</t>
  </si>
  <si>
    <t>CRA 1  No. 42-75</t>
  </si>
  <si>
    <t>301 6744976</t>
  </si>
  <si>
    <t>EMPAQUE TEFLON SANITARIA  3 "</t>
  </si>
  <si>
    <t xml:space="preserve">              R E M I S I O N</t>
  </si>
  <si>
    <t>CIENTO UN MIL CIENTO CINCUENTA PESOS MDA / CTE</t>
  </si>
  <si>
    <t xml:space="preserve">  CALLE  33B  No. 17C - 70   2º  PISO               B/  LA FLORESTA             -   CALI    -                                  CEL.     321 7834969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</si>
</sst>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haroni"/>
      <charset val="177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9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0" xfId="0" applyBorder="1"/>
    <xf numFmtId="0" fontId="8" fillId="0" borderId="14" xfId="0" applyFont="1" applyBorder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42" fontId="13" fillId="0" borderId="1" xfId="1" applyFont="1" applyBorder="1" applyAlignment="1">
      <alignment horizontal="center"/>
    </xf>
    <xf numFmtId="0" fontId="0" fillId="0" borderId="14" xfId="0" applyBorder="1"/>
    <xf numFmtId="42" fontId="1" fillId="0" borderId="1" xfId="0" applyNumberFormat="1" applyFont="1" applyBorder="1"/>
    <xf numFmtId="0" fontId="5" fillId="0" borderId="7" xfId="0" applyFont="1" applyBorder="1"/>
    <xf numFmtId="0" fontId="4" fillId="0" borderId="18" xfId="0" applyFont="1" applyBorder="1"/>
    <xf numFmtId="0" fontId="4" fillId="0" borderId="13" xfId="0" applyFont="1" applyBorder="1"/>
    <xf numFmtId="0" fontId="4" fillId="0" borderId="20" xfId="0" applyFont="1" applyBorder="1"/>
    <xf numFmtId="0" fontId="5" fillId="0" borderId="22" xfId="0" applyFont="1" applyBorder="1"/>
    <xf numFmtId="9" fontId="1" fillId="0" borderId="18" xfId="0" applyNumberFormat="1" applyFont="1" applyBorder="1"/>
    <xf numFmtId="42" fontId="1" fillId="0" borderId="21" xfId="0" applyNumberFormat="1" applyFont="1" applyBorder="1"/>
    <xf numFmtId="42" fontId="1" fillId="0" borderId="23" xfId="0" applyNumberFormat="1" applyFont="1" applyBorder="1"/>
    <xf numFmtId="0" fontId="0" fillId="0" borderId="22" xfId="0" applyBorder="1"/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42" fontId="1" fillId="0" borderId="27" xfId="1" applyFont="1" applyBorder="1" applyAlignment="1">
      <alignment horizontal="center"/>
    </xf>
    <xf numFmtId="0" fontId="12" fillId="0" borderId="3" xfId="0" applyFont="1" applyBorder="1"/>
    <xf numFmtId="0" fontId="14" fillId="0" borderId="18" xfId="2" applyBorder="1"/>
    <xf numFmtId="10" fontId="1" fillId="0" borderId="13" xfId="0" applyNumberFormat="1" applyFont="1" applyBorder="1"/>
    <xf numFmtId="0" fontId="0" fillId="0" borderId="28" xfId="0" applyBorder="1"/>
    <xf numFmtId="0" fontId="1" fillId="0" borderId="9" xfId="0" applyFont="1" applyBorder="1"/>
    <xf numFmtId="0" fontId="1" fillId="0" borderId="5" xfId="0" applyFont="1" applyBorder="1" applyAlignment="1">
      <alignment horizontal="center"/>
    </xf>
    <xf numFmtId="0" fontId="8" fillId="0" borderId="0" xfId="0" applyFont="1"/>
    <xf numFmtId="0" fontId="8" fillId="0" borderId="20" xfId="0" applyFont="1" applyBorder="1"/>
    <xf numFmtId="0" fontId="0" fillId="0" borderId="3" xfId="0" applyBorder="1"/>
    <xf numFmtId="0" fontId="0" fillId="0" borderId="29" xfId="0" applyBorder="1"/>
    <xf numFmtId="0" fontId="1" fillId="0" borderId="4" xfId="0" applyFont="1" applyBorder="1" applyAlignment="1">
      <alignment horizontal="center"/>
    </xf>
    <xf numFmtId="0" fontId="8" fillId="0" borderId="30" xfId="0" applyFont="1" applyBorder="1"/>
    <xf numFmtId="0" fontId="8" fillId="0" borderId="4" xfId="0" applyFont="1" applyBorder="1"/>
    <xf numFmtId="0" fontId="8" fillId="0" borderId="29" xfId="0" applyFont="1" applyBorder="1"/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ronzmetal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0"/>
  <sheetViews>
    <sheetView tabSelected="1" zoomScaleNormal="100" workbookViewId="0">
      <selection activeCell="J9" sqref="J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8" width="16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8" t="s">
        <v>8</v>
      </c>
      <c r="B4" s="6"/>
      <c r="C4" s="6"/>
      <c r="D4" s="29" t="s">
        <v>21</v>
      </c>
      <c r="E4" s="18"/>
      <c r="F4" s="19"/>
      <c r="G4" s="6"/>
      <c r="H4" s="7"/>
    </row>
    <row r="5" spans="1:8" ht="15.75" thickBot="1" x14ac:dyDescent="0.3"/>
    <row r="6" spans="1:8" ht="24.75" customHeight="1" thickBot="1" x14ac:dyDescent="0.45">
      <c r="F6" s="11" t="s">
        <v>47</v>
      </c>
      <c r="G6" s="18"/>
      <c r="H6" s="19"/>
    </row>
    <row r="7" spans="1:8" ht="19.5" thickBot="1" x14ac:dyDescent="0.35">
      <c r="A7" s="20" t="s">
        <v>15</v>
      </c>
      <c r="B7" s="13"/>
      <c r="C7" s="30" t="s">
        <v>41</v>
      </c>
      <c r="D7" s="13"/>
      <c r="E7" s="14"/>
      <c r="F7" s="27"/>
      <c r="G7" s="18"/>
      <c r="H7" s="19"/>
    </row>
    <row r="8" spans="1:8" ht="18.75" x14ac:dyDescent="0.3">
      <c r="A8" s="21" t="s">
        <v>9</v>
      </c>
      <c r="C8" s="24" t="s">
        <v>42</v>
      </c>
      <c r="D8" s="25"/>
      <c r="E8" s="25"/>
      <c r="F8" s="12"/>
      <c r="G8" s="13"/>
      <c r="H8" s="14"/>
    </row>
    <row r="9" spans="1:8" ht="18.75" customHeight="1" x14ac:dyDescent="0.3">
      <c r="A9" s="21" t="s">
        <v>10</v>
      </c>
      <c r="C9" s="23" t="s">
        <v>44</v>
      </c>
      <c r="D9" s="23"/>
      <c r="E9" s="24" t="s">
        <v>39</v>
      </c>
      <c r="F9" s="31" t="s">
        <v>0</v>
      </c>
      <c r="H9" s="32">
        <v>45518</v>
      </c>
    </row>
    <row r="10" spans="1:8" ht="18.75" x14ac:dyDescent="0.3">
      <c r="A10" s="21" t="s">
        <v>14</v>
      </c>
      <c r="C10" s="60" t="s">
        <v>43</v>
      </c>
      <c r="D10" s="25"/>
      <c r="E10" s="25"/>
      <c r="F10" s="31" t="s">
        <v>16</v>
      </c>
      <c r="H10" s="33" t="s">
        <v>17</v>
      </c>
    </row>
    <row r="11" spans="1:8" ht="18.75" x14ac:dyDescent="0.3">
      <c r="A11" s="21" t="s">
        <v>11</v>
      </c>
      <c r="C11" s="24"/>
      <c r="D11" s="25"/>
      <c r="E11" s="25"/>
      <c r="F11" s="31" t="s">
        <v>18</v>
      </c>
      <c r="G11" s="34"/>
      <c r="H11" s="32">
        <v>45528</v>
      </c>
    </row>
    <row r="12" spans="1:8" ht="18.75" x14ac:dyDescent="0.3">
      <c r="A12" s="21" t="s">
        <v>12</v>
      </c>
      <c r="C12" s="24" t="s">
        <v>45</v>
      </c>
      <c r="D12" s="25"/>
      <c r="E12" s="25"/>
      <c r="F12" s="31" t="s">
        <v>19</v>
      </c>
      <c r="H12" s="35"/>
    </row>
    <row r="13" spans="1:8" ht="18.75" customHeight="1" thickBot="1" x14ac:dyDescent="0.35">
      <c r="A13" s="22" t="s">
        <v>13</v>
      </c>
      <c r="B13" s="4"/>
      <c r="C13" s="24" t="s">
        <v>36</v>
      </c>
      <c r="D13" s="25"/>
      <c r="E13" s="25"/>
      <c r="F13" s="16"/>
      <c r="G13" s="4"/>
      <c r="H13" s="17"/>
    </row>
    <row r="15" spans="1:8" ht="15.75" thickBot="1" x14ac:dyDescent="0.3"/>
    <row r="16" spans="1:8" ht="16.5" thickBot="1" x14ac:dyDescent="0.3">
      <c r="A16" s="59" t="s">
        <v>27</v>
      </c>
      <c r="B16" s="7"/>
    </row>
    <row r="17" spans="1:10" ht="15.75" thickBot="1" x14ac:dyDescent="0.3"/>
    <row r="18" spans="1:10" ht="15.75" thickBot="1" x14ac:dyDescent="0.3">
      <c r="A18" s="36" t="s">
        <v>34</v>
      </c>
      <c r="B18" s="67" t="s">
        <v>26</v>
      </c>
      <c r="C18" s="18"/>
      <c r="D18" s="68"/>
      <c r="E18" s="55" t="s">
        <v>22</v>
      </c>
      <c r="F18" s="56" t="s">
        <v>24</v>
      </c>
      <c r="G18" s="56" t="s">
        <v>23</v>
      </c>
      <c r="H18" s="57" t="s">
        <v>25</v>
      </c>
    </row>
    <row r="19" spans="1:10" ht="16.5" thickBot="1" x14ac:dyDescent="0.3">
      <c r="A19" s="69">
        <v>1</v>
      </c>
      <c r="B19" s="70" t="s">
        <v>46</v>
      </c>
      <c r="C19" s="71"/>
      <c r="D19" s="72"/>
      <c r="E19" s="64" t="s">
        <v>40</v>
      </c>
      <c r="F19" s="43">
        <v>8500</v>
      </c>
      <c r="G19" s="36">
        <v>10</v>
      </c>
      <c r="H19" s="58">
        <f>F19*G19</f>
        <v>85000</v>
      </c>
      <c r="I19" s="37"/>
      <c r="J19" s="37"/>
    </row>
    <row r="21" spans="1:10" x14ac:dyDescent="0.25">
      <c r="B21" s="44"/>
      <c r="D21" s="38"/>
      <c r="H21" s="38"/>
      <c r="I21" s="37"/>
      <c r="J21" s="37"/>
    </row>
    <row r="22" spans="1:10" x14ac:dyDescent="0.25">
      <c r="A22" s="38"/>
      <c r="D22" s="38"/>
      <c r="H22" s="38"/>
    </row>
    <row r="23" spans="1:10" ht="19.5" customHeight="1" x14ac:dyDescent="0.25">
      <c r="B23" s="39"/>
      <c r="C23" s="65"/>
      <c r="D23" s="66"/>
      <c r="H23" s="38"/>
    </row>
    <row r="24" spans="1:10" ht="19.5" customHeight="1" x14ac:dyDescent="0.25">
      <c r="B24" s="39"/>
      <c r="C24" s="65"/>
      <c r="D24" s="66"/>
      <c r="H24" s="38"/>
    </row>
    <row r="25" spans="1:10" ht="19.5" customHeight="1" x14ac:dyDescent="0.25">
      <c r="B25" s="39"/>
      <c r="D25" s="38"/>
      <c r="H25" s="38"/>
    </row>
    <row r="26" spans="1:10" ht="19.5" customHeight="1" x14ac:dyDescent="0.25">
      <c r="B26" s="39"/>
      <c r="D26" s="38"/>
      <c r="H26" s="38"/>
    </row>
    <row r="27" spans="1:10" ht="19.5" customHeight="1" x14ac:dyDescent="0.25">
      <c r="B27" s="39"/>
      <c r="D27" s="38"/>
      <c r="H27" s="38"/>
    </row>
    <row r="28" spans="1:10" ht="19.5" customHeight="1" x14ac:dyDescent="0.25">
      <c r="B28" s="40"/>
      <c r="C28" s="41"/>
      <c r="D28" s="42"/>
      <c r="E28" s="41"/>
      <c r="F28" s="41"/>
      <c r="G28" s="41"/>
      <c r="H28" s="42"/>
    </row>
    <row r="29" spans="1:10" ht="19.5" customHeight="1" thickBot="1" x14ac:dyDescent="0.3"/>
    <row r="30" spans="1:10" ht="19.5" customHeight="1" thickBot="1" x14ac:dyDescent="0.35">
      <c r="A30" s="73" t="s">
        <v>28</v>
      </c>
      <c r="B30" s="12" t="s">
        <v>48</v>
      </c>
      <c r="C30" s="13"/>
      <c r="D30" s="14"/>
      <c r="E30" s="13"/>
      <c r="F30" s="46" t="s">
        <v>33</v>
      </c>
      <c r="G30" s="13"/>
      <c r="H30" s="7"/>
    </row>
    <row r="31" spans="1:10" ht="19.5" customHeight="1" thickBot="1" x14ac:dyDescent="0.3">
      <c r="A31" s="74"/>
      <c r="B31" s="16"/>
      <c r="C31" s="4"/>
      <c r="D31" s="4"/>
      <c r="E31" s="47" t="s">
        <v>29</v>
      </c>
      <c r="F31" s="48"/>
      <c r="G31" s="25"/>
      <c r="H31" s="52">
        <f>SUM(H19:H19)</f>
        <v>85000</v>
      </c>
    </row>
    <row r="32" spans="1:10" ht="19.5" customHeight="1" x14ac:dyDescent="0.25">
      <c r="A32" s="26" t="s">
        <v>30</v>
      </c>
      <c r="B32" s="13"/>
      <c r="C32" s="13"/>
      <c r="D32" s="14"/>
      <c r="E32" s="3" t="s">
        <v>37</v>
      </c>
      <c r="F32" s="49"/>
      <c r="G32" s="51">
        <v>0.19</v>
      </c>
      <c r="H32" s="53">
        <f>H31*G32</f>
        <v>16150</v>
      </c>
    </row>
    <row r="33" spans="1:8" ht="15.75" x14ac:dyDescent="0.25">
      <c r="A33" s="63" t="s">
        <v>35</v>
      </c>
      <c r="D33" s="15"/>
      <c r="E33" s="48" t="s">
        <v>31</v>
      </c>
      <c r="F33" s="48"/>
      <c r="G33" s="61">
        <v>2.5000000000000001E-2</v>
      </c>
      <c r="H33" s="53"/>
    </row>
    <row r="34" spans="1:8" ht="16.5" thickBot="1" x14ac:dyDescent="0.3">
      <c r="A34" s="63" t="s">
        <v>38</v>
      </c>
      <c r="D34" s="15"/>
      <c r="E34" s="62"/>
      <c r="F34" s="48"/>
      <c r="G34" s="25"/>
      <c r="H34" s="54"/>
    </row>
    <row r="35" spans="1:8" ht="19.5" thickBot="1" x14ac:dyDescent="0.35">
      <c r="A35" s="16"/>
      <c r="B35" s="4"/>
      <c r="C35" s="4"/>
      <c r="D35" s="17"/>
      <c r="F35" s="3"/>
      <c r="G35" s="50" t="s">
        <v>32</v>
      </c>
      <c r="H35" s="45">
        <f>H31+H32-H33</f>
        <v>101150</v>
      </c>
    </row>
    <row r="36" spans="1:8" ht="16.5" customHeight="1" x14ac:dyDescent="0.25"/>
    <row r="38" spans="1:8" x14ac:dyDescent="0.25">
      <c r="A38" t="s">
        <v>1</v>
      </c>
    </row>
    <row r="40" spans="1:8" ht="15.75" thickBot="1" x14ac:dyDescent="0.3"/>
    <row r="41" spans="1:8" ht="19.5" thickBot="1" x14ac:dyDescent="0.35">
      <c r="A41" s="27" t="s">
        <v>49</v>
      </c>
      <c r="B41" s="6"/>
      <c r="C41" s="6"/>
      <c r="D41" s="6"/>
      <c r="E41" s="6"/>
      <c r="F41" s="6"/>
      <c r="G41" s="6"/>
      <c r="H41" s="7"/>
    </row>
    <row r="50" spans="1:1" ht="18.75" x14ac:dyDescent="0.3">
      <c r="A50" s="5"/>
    </row>
  </sheetData>
  <mergeCells count="1">
    <mergeCell ref="A30:A31"/>
  </mergeCells>
  <hyperlinks>
    <hyperlink ref="C10" r:id="rId1" xr:uid="{6984D6AB-6EC6-48F3-8D33-0853C9932D2E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BRONZMETAL S A 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2024-08-14T20:19:50Z</cp:lastPrinted>
  <dcterms:created xsi:type="dcterms:W3CDTF">2018-11-15T17:29:02Z</dcterms:created>
  <dcterms:modified xsi:type="dcterms:W3CDTF">2024-08-14T20:22:02Z</dcterms:modified>
</cp:coreProperties>
</file>