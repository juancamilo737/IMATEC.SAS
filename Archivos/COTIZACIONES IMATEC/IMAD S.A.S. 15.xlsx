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2BE3F03-5F07-4BD9-BE10-B5DEDC19704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M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2" i="1" l="1"/>
  <c r="H21" i="1"/>
  <c r="H20" i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<sst xmlns="http://schemas.openxmlformats.org/spreadsheetml/2006/main" count="55" uniqueCount="55">
  <si>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</si>
  <si>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</si>
  <si>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</si>
  <si>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</si>
  <si>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</si>
  <si>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</si>
  <si>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</si>
  <si>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</si>
  <si>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</si>
  <si>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</si>
  <si>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</si>
  <si>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</si>
  <si>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</si>
  <si>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</si>
  <si>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</si>
  <si>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</si>
  <si>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</si>
  <si>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</si>
  <si>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</si>
  <si>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</si>
  <si>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</si>
  <si>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</si>
  <si>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</si>
  <si>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</si>
  <si>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</si>
  <si>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</si>
  <si>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</si>
  <si>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</si>
  <si>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</si>
  <si>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</si>
  <si>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</si>
  <si>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</si>
  <si>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</si>
  <si>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</si>
  <si>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</si>
  <si>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</si>
  <si>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IMAD S.A.S.</t>
  </si>
  <si>
    <t>805 018755</t>
  </si>
  <si>
    <t>CRA 15  No. 31-33</t>
  </si>
  <si>
    <t>CALI</t>
  </si>
  <si>
    <t>contabilidad2@imad.com.co</t>
  </si>
  <si>
    <t>602 4027773</t>
  </si>
  <si>
    <t>EDINSON CABEZAS</t>
  </si>
  <si>
    <t>L I Q U I D A C I O N</t>
  </si>
  <si>
    <t xml:space="preserve">  CALLE  33A  No. 17F - 56                          B/  LA FLORESTA             -   CALI    -                                   CEL.     321 7834969</t>
  </si>
  <si>
    <t>10 DIAS</t>
  </si>
  <si>
    <t xml:space="preserve">           C O T I Z A C I O N</t>
  </si>
  <si>
    <t xml:space="preserve">   RETEICA</t>
  </si>
  <si>
    <t>No. 15</t>
  </si>
  <si>
    <t xml:space="preserve">TUBERIA CR REDONDA 1 1/4 " CAL 18 </t>
  </si>
  <si>
    <t>TUBO X 6 MTS</t>
  </si>
  <si>
    <t xml:space="preserve">SIETE MILLONES TRESCIENTOS SETENTA Y OCHO MIL </t>
  </si>
  <si>
    <t>CUATROCIENTOS OCHENTA Y DOS PESOS MDA / CTE</t>
  </si>
  <si>
    <t>ENTREGA INMEDIATA</t>
  </si>
  <si>
    <t>FORMA DE PAGO : ANTICIPO 50 % SALDO CREDITO A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</si>
</sst>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25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2@imad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3"/>
      <c r="H6" s="44"/>
    </row>
    <row r="7" spans="1:8" ht="19.5" thickBot="1" x14ac:dyDescent="0.35">
      <c r="A7" s="20" t="s">
        <v>14</v>
      </c>
      <c r="B7" s="12"/>
      <c r="C7" s="64" t="s">
        <v>36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6" t="s">
        <v>37</v>
      </c>
      <c r="D8" s="67"/>
      <c r="E8" s="46"/>
      <c r="H8" s="15"/>
    </row>
    <row r="9" spans="1:8" ht="18.75" customHeight="1" x14ac:dyDescent="0.3">
      <c r="A9" s="21" t="s">
        <v>9</v>
      </c>
      <c r="C9" s="68" t="s">
        <v>38</v>
      </c>
      <c r="D9" s="23"/>
      <c r="E9" s="69" t="s">
        <v>39</v>
      </c>
      <c r="F9" s="30" t="s">
        <v>0</v>
      </c>
      <c r="H9" s="28">
        <v>45855</v>
      </c>
    </row>
    <row r="10" spans="1:8" ht="18.75" x14ac:dyDescent="0.3">
      <c r="A10" s="21" t="s">
        <v>13</v>
      </c>
      <c r="C10" s="70" t="s">
        <v>40</v>
      </c>
      <c r="D10" s="65"/>
      <c r="E10" s="47"/>
      <c r="F10" s="30" t="s">
        <v>15</v>
      </c>
      <c r="H10" s="29" t="s">
        <v>45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45864</v>
      </c>
    </row>
    <row r="12" spans="1:8" ht="18.75" x14ac:dyDescent="0.3">
      <c r="A12" s="21" t="s">
        <v>11</v>
      </c>
      <c r="C12" s="71" t="s">
        <v>41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42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5.75" customHeight="1" thickBot="1" x14ac:dyDescent="0.3">
      <c r="A16" s="74">
        <v>1</v>
      </c>
      <c r="B16" s="75" t="s">
        <v>49</v>
      </c>
      <c r="C16" s="76"/>
      <c r="D16" s="77"/>
      <c r="E16" s="74" t="s">
        <v>50</v>
      </c>
      <c r="F16" s="78">
        <v>31878</v>
      </c>
      <c r="G16" s="74">
        <v>200</v>
      </c>
      <c r="H16" s="38">
        <f t="shared" ref="H16" si="0">G16*F16</f>
        <v>6375600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51</v>
      </c>
      <c r="D18" s="15"/>
      <c r="E18" s="53"/>
      <c r="F18" s="37" t="s">
        <v>43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6" t="s">
        <v>24</v>
      </c>
      <c r="F19" s="57"/>
      <c r="G19" s="46"/>
      <c r="H19" s="54">
        <f>SUM(H16:H16)</f>
        <v>6375600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29</v>
      </c>
      <c r="F20" s="23"/>
      <c r="G20" s="59">
        <v>0.19</v>
      </c>
      <c r="H20" s="40">
        <f>H19*G20</f>
        <v>1211364</v>
      </c>
    </row>
    <row r="21" spans="1:8" ht="19.5" customHeight="1" x14ac:dyDescent="0.25">
      <c r="A21" s="14" t="s">
        <v>54</v>
      </c>
      <c r="E21" s="60" t="s">
        <v>26</v>
      </c>
      <c r="G21" s="63">
        <v>2.5000000000000001E-2</v>
      </c>
      <c r="H21" s="55">
        <f>H19*G21</f>
        <v>159390</v>
      </c>
    </row>
    <row r="22" spans="1:8" ht="15.75" x14ac:dyDescent="0.25">
      <c r="A22" s="14" t="s">
        <v>53</v>
      </c>
      <c r="E22" s="58" t="s">
        <v>47</v>
      </c>
      <c r="F22" s="33"/>
      <c r="G22" s="80">
        <v>7.7000000000000002E-3</v>
      </c>
      <c r="H22" s="55">
        <f>H19*G22</f>
        <v>49092.12</v>
      </c>
    </row>
    <row r="23" spans="1:8" ht="16.5" thickBot="1" x14ac:dyDescent="0.3">
      <c r="A23" s="14" t="s">
        <v>31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7378481.8799999999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476046D-6B2D-43C3-8278-9FB3483352E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2025-06-04T22:05:57Z</cp:lastPrinted>
  <dcterms:created xsi:type="dcterms:W3CDTF">2018-11-15T17:29:02Z</dcterms:created>
  <dcterms:modified xsi:type="dcterms:W3CDTF">2025-07-17T16:11:27Z</dcterms:modified>
</cp:coreProperties>
</file>