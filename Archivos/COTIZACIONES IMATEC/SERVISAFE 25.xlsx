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EF6FC610-B87F-4598-98D8-860D92319CC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1" i="1" s="1"/>
  <c r="H22" i="1" l="1"/>
  <c r="H26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<sst xmlns="http://schemas.openxmlformats.org/spreadsheetml/2006/main" count="55" uniqueCount="54">
  <si>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</si>
  <si>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</si>
  <si>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</si>
  <si>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</si>
  <si>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</si>
  <si>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</si>
  <si>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</si>
  <si>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</si>
  <si>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</si>
  <si>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</si>
  <si>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</si>
  <si>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</si>
  <si>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</si>
  <si>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</si>
  <si>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</si>
  <si>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</si>
  <si>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</si>
  <si>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</si>
  <si>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</si>
  <si>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</si>
  <si>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</si>
  <si>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</si>
  <si>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</si>
  <si>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</si>
  <si>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</si>
  <si>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</si>
  <si>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</si>
  <si>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</si>
  <si>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</si>
  <si>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</si>
  <si>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</si>
  <si>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</si>
  <si>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</si>
  <si>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</si>
  <si>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</si>
  <si>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</si>
  <si>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</si>
  <si>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</si>
  <si>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</si>
  <si>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</si>
  <si>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</si>
  <si>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</si>
  <si>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</si>
  <si>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</si>
  <si>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</si>
  <si>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</si>
  <si>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</si>
  <si>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>ACCESORIO</t>
  </si>
  <si>
    <t>DESCUENTO</t>
  </si>
  <si>
    <t>MDA / CTE</t>
  </si>
  <si>
    <t>No. 25</t>
  </si>
  <si>
    <t>CODO  AC/INOX 304  SCH 10 1 "  X  90 º</t>
  </si>
  <si>
    <t xml:space="preserve">              R E M I S I O N</t>
  </si>
  <si>
    <t>CUARENTA Y DOS MIL OCHOCIENTOS CUARENTA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</si>
</sst>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4" fillId="0" borderId="17" xfId="0" applyFont="1" applyBorder="1"/>
    <xf numFmtId="9" fontId="1" fillId="0" borderId="35" xfId="0" applyNumberFormat="1" applyFont="1" applyBorder="1"/>
    <xf numFmtId="42" fontId="1" fillId="0" borderId="36" xfId="0" applyNumberFormat="1" applyFont="1" applyBorder="1" applyAlignment="1">
      <alignment horizontal="left"/>
    </xf>
    <xf numFmtId="16" fontId="10" fillId="0" borderId="10" xfId="0" applyNumberFormat="1" applyFont="1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I12" sqref="I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52</v>
      </c>
      <c r="G6" s="41"/>
      <c r="H6" s="42"/>
    </row>
    <row r="7" spans="1:8" ht="19.5" thickBot="1" x14ac:dyDescent="0.35">
      <c r="A7" s="20" t="s">
        <v>14</v>
      </c>
      <c r="B7" s="12"/>
      <c r="C7" s="58" t="s">
        <v>39</v>
      </c>
      <c r="D7" s="12"/>
      <c r="E7" s="13"/>
      <c r="F7" s="36"/>
      <c r="G7" s="18"/>
      <c r="H7" s="19" t="s">
        <v>50</v>
      </c>
    </row>
    <row r="8" spans="1:8" ht="18.75" x14ac:dyDescent="0.3">
      <c r="A8" s="21" t="s">
        <v>8</v>
      </c>
      <c r="C8" s="60" t="s">
        <v>40</v>
      </c>
      <c r="D8" s="61"/>
      <c r="E8" s="43"/>
      <c r="H8" s="15"/>
    </row>
    <row r="9" spans="1:8" ht="18.75" customHeight="1" x14ac:dyDescent="0.3">
      <c r="A9" s="21" t="s">
        <v>9</v>
      </c>
      <c r="C9" s="62" t="s">
        <v>41</v>
      </c>
      <c r="D9" s="23"/>
      <c r="E9" s="63" t="s">
        <v>42</v>
      </c>
      <c r="F9" s="29" t="s">
        <v>0</v>
      </c>
      <c r="H9" s="28">
        <v>45908</v>
      </c>
    </row>
    <row r="10" spans="1:8" ht="18.75" x14ac:dyDescent="0.3">
      <c r="A10" s="21" t="s">
        <v>13</v>
      </c>
      <c r="C10" s="64" t="s">
        <v>43</v>
      </c>
      <c r="D10" s="59"/>
      <c r="E10" s="44"/>
      <c r="F10" s="29" t="s">
        <v>15</v>
      </c>
      <c r="H10" s="81"/>
    </row>
    <row r="11" spans="1:8" ht="18.75" x14ac:dyDescent="0.3">
      <c r="A11" s="21" t="s">
        <v>10</v>
      </c>
      <c r="C11" s="65"/>
      <c r="D11" s="59"/>
      <c r="E11" s="44"/>
      <c r="F11" s="29" t="s">
        <v>16</v>
      </c>
      <c r="G11" s="29"/>
      <c r="H11" s="28"/>
    </row>
    <row r="12" spans="1:8" ht="18.75" x14ac:dyDescent="0.3">
      <c r="A12" s="21" t="s">
        <v>11</v>
      </c>
      <c r="C12" s="65" t="s">
        <v>44</v>
      </c>
      <c r="D12" s="59"/>
      <c r="E12" s="44"/>
      <c r="F12" s="29" t="s">
        <v>17</v>
      </c>
      <c r="H12" s="30"/>
    </row>
    <row r="13" spans="1:8" ht="18.75" customHeight="1" thickBot="1" x14ac:dyDescent="0.35">
      <c r="A13" s="22" t="s">
        <v>12</v>
      </c>
      <c r="B13" s="4"/>
      <c r="C13" s="66" t="s">
        <v>45</v>
      </c>
      <c r="D13" s="67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34</v>
      </c>
      <c r="B15" s="73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8">
        <v>1</v>
      </c>
      <c r="B16" s="69" t="s">
        <v>51</v>
      </c>
      <c r="C16" s="70"/>
      <c r="D16" s="71"/>
      <c r="E16" s="68" t="s">
        <v>47</v>
      </c>
      <c r="F16" s="72">
        <v>18000</v>
      </c>
      <c r="G16" s="68">
        <v>2</v>
      </c>
      <c r="H16" s="37">
        <f t="shared" ref="H16" si="0">G16*F16</f>
        <v>36000</v>
      </c>
    </row>
    <row r="17" spans="1:8" ht="19.5" customHeight="1" thickBot="1" x14ac:dyDescent="0.3">
      <c r="A17" s="46"/>
      <c r="B17" s="75"/>
      <c r="D17" s="76"/>
      <c r="E17" s="46"/>
      <c r="F17" s="46"/>
      <c r="G17" s="46"/>
    </row>
    <row r="18" spans="1:8" ht="19.5" customHeight="1" thickBot="1" x14ac:dyDescent="0.35">
      <c r="A18" s="74" t="s">
        <v>23</v>
      </c>
      <c r="B18" s="77" t="s">
        <v>53</v>
      </c>
      <c r="C18" s="12"/>
      <c r="D18" s="13"/>
      <c r="E18" s="47"/>
      <c r="F18" s="36" t="s">
        <v>37</v>
      </c>
      <c r="G18" s="6"/>
      <c r="H18" s="7"/>
    </row>
    <row r="19" spans="1:8" ht="19.5" customHeight="1" thickBot="1" x14ac:dyDescent="0.3">
      <c r="A19" s="38"/>
      <c r="B19" s="16" t="s">
        <v>49</v>
      </c>
      <c r="C19" s="4"/>
      <c r="D19" s="17"/>
      <c r="E19" s="50" t="s">
        <v>24</v>
      </c>
      <c r="F19" s="51"/>
      <c r="G19" s="43"/>
      <c r="H19" s="48">
        <f>SUM(H16:H18)</f>
        <v>36000</v>
      </c>
    </row>
    <row r="20" spans="1:8" ht="19.5" customHeight="1" thickBot="1" x14ac:dyDescent="0.3">
      <c r="A20" s="24" t="s">
        <v>25</v>
      </c>
      <c r="B20" s="12"/>
      <c r="C20" s="12"/>
      <c r="D20" s="12"/>
      <c r="E20" s="54" t="s">
        <v>48</v>
      </c>
      <c r="F20" s="78"/>
      <c r="G20" s="79">
        <v>0</v>
      </c>
      <c r="H20" s="80">
        <f>H19*G20</f>
        <v>0</v>
      </c>
    </row>
    <row r="21" spans="1:8" ht="19.5" customHeight="1" thickTop="1" x14ac:dyDescent="0.25">
      <c r="A21" s="14" t="s">
        <v>30</v>
      </c>
      <c r="E21" s="52" t="s">
        <v>24</v>
      </c>
      <c r="F21" s="78"/>
      <c r="G21" s="79"/>
      <c r="H21" s="48">
        <f>H19-H20</f>
        <v>36000</v>
      </c>
    </row>
    <row r="22" spans="1:8" ht="15.75" x14ac:dyDescent="0.25">
      <c r="A22" s="14" t="s">
        <v>46</v>
      </c>
      <c r="E22" s="52" t="s">
        <v>29</v>
      </c>
      <c r="F22" s="23"/>
      <c r="G22" s="53">
        <v>0.19</v>
      </c>
      <c r="H22" s="39">
        <f>(H19-H20)*0.19</f>
        <v>6840</v>
      </c>
    </row>
    <row r="23" spans="1:8" ht="15.75" x14ac:dyDescent="0.25">
      <c r="A23" s="14" t="s">
        <v>32</v>
      </c>
      <c r="E23" s="54" t="s">
        <v>26</v>
      </c>
      <c r="G23" s="57">
        <v>2.5000000000000001E-2</v>
      </c>
      <c r="H23" s="49"/>
    </row>
    <row r="24" spans="1:8" ht="16.5" thickBot="1" x14ac:dyDescent="0.3">
      <c r="A24" s="16"/>
      <c r="B24" s="4"/>
      <c r="C24" s="4"/>
      <c r="D24" s="17"/>
      <c r="E24" s="14"/>
      <c r="F24" s="32"/>
      <c r="G24" s="44"/>
      <c r="H24" s="15"/>
    </row>
    <row r="25" spans="1:8" ht="16.5" customHeight="1" thickBot="1" x14ac:dyDescent="0.3">
      <c r="E25" s="55" t="s">
        <v>27</v>
      </c>
      <c r="F25" s="56"/>
      <c r="G25" s="45"/>
      <c r="H25" s="17"/>
    </row>
    <row r="26" spans="1:8" ht="19.5" thickBot="1" x14ac:dyDescent="0.35">
      <c r="F26" s="3"/>
      <c r="G26" s="33" t="s">
        <v>28</v>
      </c>
      <c r="H26" s="35">
        <f>H19-H20+H22-H23</f>
        <v>42840</v>
      </c>
    </row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2025-07-12T14:03:56Z</cp:lastPrinted>
  <dcterms:created xsi:type="dcterms:W3CDTF">2018-11-15T17:29:02Z</dcterms:created>
  <dcterms:modified xsi:type="dcterms:W3CDTF">2025-09-08T21:13:05Z</dcterms:modified>
</cp:coreProperties>
</file>