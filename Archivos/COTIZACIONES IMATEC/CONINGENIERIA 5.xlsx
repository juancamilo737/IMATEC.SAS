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B7B8B0B-DC40-48EC-8CC5-D375E0C84D6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N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8" i="1" l="1"/>
  <c r="H37" i="1"/>
  <c r="H36" i="1"/>
  <c r="H40" i="1" s="1"/>
</calcChain>
</file>

<file path=xl/sharedStrings.xml><?xml version="1.0" encoding="utf-8"?>
<sst xmlns="http://schemas.openxmlformats.org/spreadsheetml/2006/main" count="88" uniqueCount="74">
  <si>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</si>
  <si>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</si>
  <si>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</si>
  <si>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</si>
  <si>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</si>
  <si>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</si>
  <si>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</si>
  <si>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</si>
  <si>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</si>
  <si>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</si>
  <si>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</si>
  <si>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</si>
  <si>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</si>
  <si>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</si>
  <si>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</si>
  <si>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</si>
  <si>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</si>
  <si>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</si>
  <si>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</si>
  <si>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</si>
  <si>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</si>
  <si>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</si>
  <si>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</si>
  <si>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</si>
  <si>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</si>
  <si>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</si>
  <si>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</si>
  <si>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</si>
  <si>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</si>
  <si>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</si>
  <si>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</si>
  <si>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</si>
  <si>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</si>
  <si>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</si>
  <si>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</si>
  <si>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</si>
  <si>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</si>
  <si>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</si>
  <si>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</si>
  <si>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</si>
  <si>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</si>
  <si>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</si>
  <si>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CONINGENIERIA SAS</t>
  </si>
  <si>
    <t>805 030454-9</t>
  </si>
  <si>
    <t>AVENIDA 6a.  No. 14N-31</t>
  </si>
  <si>
    <t>auxmec.coningenieria@gmail.com</t>
  </si>
  <si>
    <t>DIANA</t>
  </si>
  <si>
    <t>316 0172690</t>
  </si>
  <si>
    <t>LUIS BENAVIDEZ</t>
  </si>
  <si>
    <t>ACCESORIO</t>
  </si>
  <si>
    <t>CALI</t>
  </si>
  <si>
    <t>No. 6</t>
  </si>
  <si>
    <t>ADAPTADOR MACHO PVC PRESION 4 "</t>
  </si>
  <si>
    <t>VALVULA DE BOLA PVC  4 "</t>
  </si>
  <si>
    <t>BRIDA PVC SCH 80  4 2</t>
  </si>
  <si>
    <t>SILLA YEE  PVC SANITARIA 6 "  X  4 "</t>
  </si>
  <si>
    <t>TUBO PVC RD21 6 "</t>
  </si>
  <si>
    <t>TUBO X 6 MTS</t>
  </si>
  <si>
    <t>CODO PVC SCH 40  6 "  X  45 º</t>
  </si>
  <si>
    <t>VALVULA DE BOLA PVC  6 "</t>
  </si>
  <si>
    <t>BUJE PVC  SCH 40  6 "  X  4 "</t>
  </si>
  <si>
    <t>TAPON PVC ROSCAR  6 "</t>
  </si>
  <si>
    <t>ADAPTADOR HEMBRA PVC PRESION  6 "</t>
  </si>
  <si>
    <t>BRIDA PVC  SCH 80  8 "</t>
  </si>
  <si>
    <t>SOLDADURA PVC</t>
  </si>
  <si>
    <t>1/4 GALON</t>
  </si>
  <si>
    <t xml:space="preserve">LIMPIADOR PVC </t>
  </si>
  <si>
    <t xml:space="preserve">  RETEICA</t>
  </si>
  <si>
    <t>CHEQUE PVC  TIPO UNIVERSAL 4 "</t>
  </si>
  <si>
    <t>EMPAQUE NEOPRENO PARA BRIDA 4 "</t>
  </si>
  <si>
    <t>EMPAQUE NEOPRENO PARA BRIDA  6 "</t>
  </si>
  <si>
    <t>EMPAQUE NEOPRENO PARA BRIDA 8 "</t>
  </si>
  <si>
    <t>TRES MILLONES QUINIENTOS CUARENTA Y UN MIL DOS-</t>
  </si>
  <si>
    <t>CIENTOS VEINTIDOS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</si>
</sst>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9" xfId="0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39" xfId="0" applyBorder="1"/>
    <xf numFmtId="0" fontId="0" fillId="0" borderId="13" xfId="0" applyBorder="1"/>
    <xf numFmtId="0" fontId="13" fillId="0" borderId="39" xfId="2" applyBorder="1"/>
    <xf numFmtId="0" fontId="1" fillId="0" borderId="26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xmec.coningenie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5"/>
  <sheetViews>
    <sheetView tabSelected="1" topLeftCell="A18" zoomScaleNormal="100" workbookViewId="0">
      <selection activeCell="K37" sqref="K3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74" t="s">
        <v>42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75" t="s">
        <v>43</v>
      </c>
      <c r="D8" s="76"/>
      <c r="E8" s="76"/>
      <c r="H8" s="15"/>
    </row>
    <row r="9" spans="1:8" ht="18.75" customHeight="1" x14ac:dyDescent="0.3">
      <c r="A9" s="21" t="s">
        <v>9</v>
      </c>
      <c r="C9" s="23" t="s">
        <v>44</v>
      </c>
      <c r="D9" s="23"/>
      <c r="E9" s="75" t="s">
        <v>50</v>
      </c>
      <c r="F9" s="30" t="s">
        <v>0</v>
      </c>
      <c r="H9" s="28">
        <v>45856</v>
      </c>
    </row>
    <row r="10" spans="1:8" ht="18.75" x14ac:dyDescent="0.3">
      <c r="A10" s="21" t="s">
        <v>13</v>
      </c>
      <c r="C10" s="77" t="s">
        <v>45</v>
      </c>
      <c r="D10" s="76"/>
      <c r="E10" s="76"/>
      <c r="F10" s="30" t="s">
        <v>15</v>
      </c>
      <c r="H10" s="29" t="s">
        <v>32</v>
      </c>
    </row>
    <row r="11" spans="1:8" ht="18.75" x14ac:dyDescent="0.3">
      <c r="A11" s="21" t="s">
        <v>10</v>
      </c>
      <c r="C11" s="75" t="s">
        <v>46</v>
      </c>
      <c r="D11" s="76"/>
      <c r="E11" s="76"/>
      <c r="F11" s="30" t="s">
        <v>16</v>
      </c>
      <c r="G11" s="30"/>
      <c r="H11" s="28">
        <v>45865</v>
      </c>
    </row>
    <row r="12" spans="1:8" ht="18.75" x14ac:dyDescent="0.3">
      <c r="A12" s="21" t="s">
        <v>11</v>
      </c>
      <c r="C12" s="75" t="s">
        <v>47</v>
      </c>
      <c r="D12" s="76"/>
      <c r="E12" s="7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5" t="s">
        <v>48</v>
      </c>
      <c r="D13" s="76"/>
      <c r="E13" s="76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4" t="s">
        <v>52</v>
      </c>
      <c r="C16" s="55"/>
      <c r="D16" s="56"/>
      <c r="E16" s="51" t="s">
        <v>49</v>
      </c>
      <c r="F16" s="60">
        <v>19000</v>
      </c>
      <c r="G16" s="51">
        <v>1</v>
      </c>
      <c r="H16" s="38">
        <f t="shared" ref="H16" si="0">G16*F16</f>
        <v>19000</v>
      </c>
    </row>
    <row r="17" spans="1:8" ht="16.5" thickBot="1" x14ac:dyDescent="0.3">
      <c r="A17" s="52">
        <v>2</v>
      </c>
      <c r="B17" s="57" t="s">
        <v>53</v>
      </c>
      <c r="C17" s="48"/>
      <c r="D17" s="58"/>
      <c r="E17" s="52" t="s">
        <v>49</v>
      </c>
      <c r="F17" s="61">
        <v>120000</v>
      </c>
      <c r="G17" s="52">
        <v>1</v>
      </c>
      <c r="H17" s="38">
        <f t="shared" ref="H17:H18" si="1">G17*F17</f>
        <v>120000</v>
      </c>
    </row>
    <row r="18" spans="1:8" ht="16.5" thickBot="1" x14ac:dyDescent="0.3">
      <c r="A18" s="52">
        <v>3</v>
      </c>
      <c r="B18" s="57" t="s">
        <v>54</v>
      </c>
      <c r="C18" s="48"/>
      <c r="D18" s="58"/>
      <c r="E18" s="52" t="s">
        <v>49</v>
      </c>
      <c r="F18" s="61">
        <v>60000</v>
      </c>
      <c r="G18" s="52">
        <v>1</v>
      </c>
      <c r="H18" s="38">
        <f t="shared" si="1"/>
        <v>60000</v>
      </c>
    </row>
    <row r="19" spans="1:8" ht="16.5" thickBot="1" x14ac:dyDescent="0.3">
      <c r="A19" s="52">
        <v>4</v>
      </c>
      <c r="B19" s="57" t="s">
        <v>55</v>
      </c>
      <c r="C19" s="48"/>
      <c r="D19" s="58"/>
      <c r="E19" s="52" t="s">
        <v>49</v>
      </c>
      <c r="F19" s="61">
        <v>95000</v>
      </c>
      <c r="G19" s="52">
        <v>1</v>
      </c>
      <c r="H19" s="38">
        <f t="shared" ref="H19:H28" si="2">G19*F19</f>
        <v>95000</v>
      </c>
    </row>
    <row r="20" spans="1:8" ht="16.5" thickBot="1" x14ac:dyDescent="0.3">
      <c r="A20" s="52">
        <v>5</v>
      </c>
      <c r="B20" s="57" t="s">
        <v>56</v>
      </c>
      <c r="C20" s="48"/>
      <c r="D20" s="58"/>
      <c r="E20" s="52" t="s">
        <v>57</v>
      </c>
      <c r="F20" s="61">
        <v>680000</v>
      </c>
      <c r="G20" s="52">
        <v>1</v>
      </c>
      <c r="H20" s="38">
        <f t="shared" si="2"/>
        <v>680000</v>
      </c>
    </row>
    <row r="21" spans="1:8" ht="16.5" thickBot="1" x14ac:dyDescent="0.3">
      <c r="A21" s="52">
        <v>6</v>
      </c>
      <c r="B21" s="57" t="s">
        <v>58</v>
      </c>
      <c r="C21" s="48"/>
      <c r="D21" s="58"/>
      <c r="E21" s="52" t="s">
        <v>49</v>
      </c>
      <c r="F21" s="61">
        <v>89000</v>
      </c>
      <c r="G21" s="52">
        <v>1</v>
      </c>
      <c r="H21" s="38">
        <f t="shared" si="2"/>
        <v>89000</v>
      </c>
    </row>
    <row r="22" spans="1:8" ht="16.5" thickBot="1" x14ac:dyDescent="0.3">
      <c r="A22" s="52">
        <v>7</v>
      </c>
      <c r="B22" s="57" t="s">
        <v>59</v>
      </c>
      <c r="C22" s="48"/>
      <c r="D22" s="58"/>
      <c r="E22" s="52" t="s">
        <v>49</v>
      </c>
      <c r="F22" s="61">
        <v>480000</v>
      </c>
      <c r="G22" s="52">
        <v>1</v>
      </c>
      <c r="H22" s="38">
        <f t="shared" si="2"/>
        <v>480000</v>
      </c>
    </row>
    <row r="23" spans="1:8" ht="16.5" thickBot="1" x14ac:dyDescent="0.3">
      <c r="A23" s="52">
        <v>8</v>
      </c>
      <c r="B23" s="57" t="s">
        <v>60</v>
      </c>
      <c r="C23" s="48"/>
      <c r="D23" s="58"/>
      <c r="E23" s="52" t="s">
        <v>49</v>
      </c>
      <c r="F23" s="61">
        <v>45000</v>
      </c>
      <c r="G23" s="52">
        <v>1</v>
      </c>
      <c r="H23" s="38">
        <f t="shared" si="2"/>
        <v>45000</v>
      </c>
    </row>
    <row r="24" spans="1:8" ht="16.5" thickBot="1" x14ac:dyDescent="0.3">
      <c r="A24" s="52">
        <v>9</v>
      </c>
      <c r="B24" s="57" t="s">
        <v>61</v>
      </c>
      <c r="C24" s="48"/>
      <c r="D24" s="58"/>
      <c r="E24" s="52" t="s">
        <v>49</v>
      </c>
      <c r="F24" s="61">
        <v>88900</v>
      </c>
      <c r="G24" s="52">
        <v>1</v>
      </c>
      <c r="H24" s="38">
        <f t="shared" si="2"/>
        <v>88900</v>
      </c>
    </row>
    <row r="25" spans="1:8" ht="16.5" thickBot="1" x14ac:dyDescent="0.3">
      <c r="A25" s="52">
        <v>10</v>
      </c>
      <c r="B25" s="57" t="s">
        <v>62</v>
      </c>
      <c r="C25" s="48"/>
      <c r="D25" s="58"/>
      <c r="E25" s="52" t="s">
        <v>49</v>
      </c>
      <c r="F25" s="61">
        <v>112000</v>
      </c>
      <c r="G25" s="52">
        <v>1</v>
      </c>
      <c r="H25" s="38">
        <f t="shared" si="2"/>
        <v>112000</v>
      </c>
    </row>
    <row r="26" spans="1:8" ht="16.5" thickBot="1" x14ac:dyDescent="0.3">
      <c r="A26" s="52">
        <v>11</v>
      </c>
      <c r="B26" s="57" t="s">
        <v>63</v>
      </c>
      <c r="C26" s="48"/>
      <c r="D26" s="58"/>
      <c r="E26" s="52" t="s">
        <v>49</v>
      </c>
      <c r="F26" s="61">
        <v>236000</v>
      </c>
      <c r="G26" s="52">
        <v>1</v>
      </c>
      <c r="H26" s="38">
        <f t="shared" si="2"/>
        <v>236000</v>
      </c>
    </row>
    <row r="27" spans="1:8" ht="16.5" thickBot="1" x14ac:dyDescent="0.3">
      <c r="A27" s="52">
        <v>12</v>
      </c>
      <c r="B27" s="57" t="s">
        <v>64</v>
      </c>
      <c r="C27" s="48"/>
      <c r="D27" s="58"/>
      <c r="E27" s="52" t="s">
        <v>65</v>
      </c>
      <c r="F27" s="61">
        <v>95000</v>
      </c>
      <c r="G27" s="52">
        <v>1</v>
      </c>
      <c r="H27" s="38">
        <f t="shared" si="2"/>
        <v>95000</v>
      </c>
    </row>
    <row r="28" spans="1:8" ht="16.5" thickBot="1" x14ac:dyDescent="0.3">
      <c r="A28" s="52">
        <v>13</v>
      </c>
      <c r="B28" s="57" t="s">
        <v>66</v>
      </c>
      <c r="C28" s="48"/>
      <c r="D28" s="58"/>
      <c r="E28" s="52" t="s">
        <v>65</v>
      </c>
      <c r="F28" s="61">
        <v>90000</v>
      </c>
      <c r="G28" s="52">
        <v>1</v>
      </c>
      <c r="H28" s="38">
        <f t="shared" si="2"/>
        <v>90000</v>
      </c>
    </row>
    <row r="29" spans="1:8" ht="16.5" thickBot="1" x14ac:dyDescent="0.3">
      <c r="A29" s="52">
        <v>14</v>
      </c>
      <c r="B29" s="57" t="s">
        <v>68</v>
      </c>
      <c r="C29" s="48"/>
      <c r="D29" s="58"/>
      <c r="E29" s="52" t="s">
        <v>49</v>
      </c>
      <c r="F29" s="61">
        <v>780000</v>
      </c>
      <c r="G29" s="52">
        <v>1</v>
      </c>
      <c r="H29" s="38">
        <f t="shared" ref="H29:H32" si="3">G29*F29</f>
        <v>780000</v>
      </c>
    </row>
    <row r="30" spans="1:8" ht="16.5" thickBot="1" x14ac:dyDescent="0.3">
      <c r="A30" s="52">
        <v>15</v>
      </c>
      <c r="B30" s="57" t="s">
        <v>69</v>
      </c>
      <c r="C30" s="48"/>
      <c r="D30" s="58"/>
      <c r="E30" s="52" t="s">
        <v>49</v>
      </c>
      <c r="F30" s="61">
        <v>15000</v>
      </c>
      <c r="G30" s="52">
        <v>1</v>
      </c>
      <c r="H30" s="38">
        <f t="shared" si="3"/>
        <v>15000</v>
      </c>
    </row>
    <row r="31" spans="1:8" ht="16.5" thickBot="1" x14ac:dyDescent="0.3">
      <c r="A31" s="52">
        <v>16</v>
      </c>
      <c r="B31" s="57" t="s">
        <v>70</v>
      </c>
      <c r="C31" s="48"/>
      <c r="D31" s="58"/>
      <c r="E31" s="52" t="s">
        <v>49</v>
      </c>
      <c r="F31" s="61">
        <v>22000</v>
      </c>
      <c r="G31" s="52">
        <v>1</v>
      </c>
      <c r="H31" s="38">
        <f t="shared" si="3"/>
        <v>22000</v>
      </c>
    </row>
    <row r="32" spans="1:8" ht="16.5" thickBot="1" x14ac:dyDescent="0.3">
      <c r="A32" s="52">
        <v>17</v>
      </c>
      <c r="B32" s="57" t="s">
        <v>71</v>
      </c>
      <c r="C32" s="48"/>
      <c r="D32" s="58"/>
      <c r="E32" s="52" t="s">
        <v>49</v>
      </c>
      <c r="F32" s="61">
        <v>33000</v>
      </c>
      <c r="G32" s="52">
        <v>1</v>
      </c>
      <c r="H32" s="38">
        <f t="shared" si="3"/>
        <v>33000</v>
      </c>
    </row>
    <row r="33" spans="1:8" ht="19.5" customHeight="1" thickBot="1" x14ac:dyDescent="0.3">
      <c r="A33" s="53"/>
      <c r="B33" s="45"/>
      <c r="C33" s="42"/>
      <c r="D33" s="59"/>
      <c r="E33" s="62"/>
      <c r="F33" s="62"/>
      <c r="G33" s="62"/>
    </row>
    <row r="34" spans="1:8" ht="19.5" customHeight="1" thickBot="1" x14ac:dyDescent="0.35">
      <c r="A34" s="50" t="s">
        <v>23</v>
      </c>
      <c r="B34" s="14" t="s">
        <v>72</v>
      </c>
      <c r="D34" s="15"/>
      <c r="E34" s="63"/>
      <c r="F34" s="37" t="s">
        <v>29</v>
      </c>
      <c r="G34" s="6"/>
      <c r="H34" s="7"/>
    </row>
    <row r="35" spans="1:8" ht="19.5" customHeight="1" thickBot="1" x14ac:dyDescent="0.3">
      <c r="A35" s="39"/>
      <c r="B35" s="16" t="s">
        <v>73</v>
      </c>
      <c r="C35" s="4"/>
      <c r="D35" s="4"/>
      <c r="E35" s="66" t="s">
        <v>24</v>
      </c>
      <c r="F35" s="67"/>
      <c r="G35" s="46"/>
      <c r="H35" s="64">
        <f>SUM(H16:H32)</f>
        <v>3059900</v>
      </c>
    </row>
    <row r="36" spans="1:8" ht="19.5" customHeight="1" x14ac:dyDescent="0.25">
      <c r="A36" s="24" t="s">
        <v>25</v>
      </c>
      <c r="B36" s="12"/>
      <c r="C36" s="12"/>
      <c r="D36" s="12"/>
      <c r="E36" s="68" t="s">
        <v>30</v>
      </c>
      <c r="F36" s="23"/>
      <c r="G36" s="69">
        <v>0.19</v>
      </c>
      <c r="H36" s="40">
        <f>H35*G36</f>
        <v>581381</v>
      </c>
    </row>
    <row r="37" spans="1:8" ht="19.5" customHeight="1" x14ac:dyDescent="0.25">
      <c r="A37" s="14" t="s">
        <v>31</v>
      </c>
      <c r="E37" s="70" t="s">
        <v>26</v>
      </c>
      <c r="G37" s="73">
        <v>2.5000000000000001E-2</v>
      </c>
      <c r="H37" s="65">
        <f>H35*G37</f>
        <v>76497.5</v>
      </c>
    </row>
    <row r="38" spans="1:8" ht="15.75" x14ac:dyDescent="0.25">
      <c r="A38" s="14" t="s">
        <v>38</v>
      </c>
      <c r="E38" s="68" t="s">
        <v>67</v>
      </c>
      <c r="F38" s="33"/>
      <c r="G38" s="78">
        <v>7.7000000000000002E-3</v>
      </c>
      <c r="H38" s="65">
        <f>H35*G38</f>
        <v>23561.23</v>
      </c>
    </row>
    <row r="39" spans="1:8" ht="16.5" thickBot="1" x14ac:dyDescent="0.3">
      <c r="A39" s="14" t="s">
        <v>34</v>
      </c>
      <c r="E39" s="71" t="s">
        <v>27</v>
      </c>
      <c r="F39" s="72"/>
      <c r="G39" s="47"/>
      <c r="H39" s="17"/>
    </row>
    <row r="40" spans="1:8" ht="19.5" thickBot="1" x14ac:dyDescent="0.35">
      <c r="A40" s="16"/>
      <c r="B40" s="4"/>
      <c r="C40" s="4"/>
      <c r="D40" s="17"/>
      <c r="F40" s="3"/>
      <c r="G40" s="34" t="s">
        <v>28</v>
      </c>
      <c r="H40" s="36">
        <f>H35+H36-H37-H38</f>
        <v>3541222.27</v>
      </c>
    </row>
    <row r="41" spans="1:8" ht="16.5" customHeight="1" x14ac:dyDescent="0.25"/>
    <row r="46" spans="1:8" ht="15.75" thickBot="1" x14ac:dyDescent="0.3"/>
    <row r="47" spans="1:8" ht="19.5" thickBot="1" x14ac:dyDescent="0.35">
      <c r="A47" s="25" t="s">
        <v>35</v>
      </c>
      <c r="B47" s="6"/>
      <c r="C47" s="6"/>
      <c r="D47" s="6"/>
      <c r="E47" s="6"/>
      <c r="F47" s="6"/>
      <c r="G47" s="6"/>
      <c r="H47" s="7"/>
    </row>
    <row r="55" spans="1:1" ht="18.75" x14ac:dyDescent="0.3">
      <c r="A55" s="5"/>
    </row>
  </sheetData>
  <hyperlinks>
    <hyperlink ref="C10" r:id="rId1" xr:uid="{0BD68E56-F31D-4E5D-89E9-B86C03ECBDD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2025-07-18T21:37:07Z</dcterms:modified>
</cp:coreProperties>
</file>