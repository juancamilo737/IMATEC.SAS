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F5DDD5E-B5D9-4941-A7A8-878D4F5B6C3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2" l="1"/>
  <c r="H32" i="2"/>
  <c r="H31" i="2"/>
  <c r="H30" i="2"/>
  <c r="H29" i="2"/>
  <c r="H35" i="2" s="1"/>
  <c r="H28" i="2"/>
  <c r="H27" i="2"/>
  <c r="H26" i="2"/>
  <c r="H25" i="2"/>
  <c r="H24" i="2"/>
  <c r="H23" i="2"/>
  <c r="H21" i="2"/>
  <c r="H20" i="2"/>
  <c r="H19" i="2"/>
  <c r="H18" i="2"/>
  <c r="H17" i="2"/>
  <c r="H16" i="2"/>
  <c r="H36" i="2" l="1"/>
  <c r="H40" i="2" s="1"/>
</calcChain>
</file>

<file path=xl/sharedStrings.xml><?xml version="1.0" encoding="utf-8"?>
<sst xmlns="http://schemas.openxmlformats.org/spreadsheetml/2006/main" count="85" uniqueCount="72">
  <si>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</si>
  <si>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</si>
  <si>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</si>
  <si>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</si>
  <si>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</si>
  <si>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</si>
  <si>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</si>
  <si>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</si>
  <si>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</si>
  <si>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</si>
  <si>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</si>
  <si>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</si>
  <si>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</si>
  <si>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</si>
  <si>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</si>
  <si>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</si>
  <si>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</si>
  <si>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</si>
  <si>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</si>
  <si>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</si>
  <si>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</si>
  <si>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</si>
  <si>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</si>
  <si>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</si>
  <si>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</si>
  <si>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</si>
  <si>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</si>
  <si>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</si>
  <si>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</si>
  <si>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</si>
  <si>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</si>
  <si>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</si>
  <si>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</si>
  <si>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</si>
  <si>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</si>
  <si>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</si>
  <si>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</si>
  <si>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</si>
  <si>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</si>
  <si>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</si>
  <si>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</si>
  <si>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</si>
  <si>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</si>
  <si>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</si>
  <si>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</si>
  <si>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</si>
  <si>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</si>
  <si>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>FORMA DE PAGO : CREDITO A 30 DIAS</t>
  </si>
  <si>
    <t xml:space="preserve">               R E M I S I O N </t>
  </si>
  <si>
    <t>No.  25</t>
  </si>
  <si>
    <t>TUBERIA  A / C SCH 40  6 "</t>
  </si>
  <si>
    <t>METRO LINEAL</t>
  </si>
  <si>
    <t>REDUCCION COPA CONCENTRICA A/C SCH 40 6 "  X  4 "</t>
  </si>
  <si>
    <t>TEE A / C  SCH 40 6 " SOLDAR</t>
  </si>
  <si>
    <t>BRIDA SLIP ON  A / C  6 "  X  150 LBS SOLDAR</t>
  </si>
  <si>
    <t>EMPAQUE FLEXITALICO  6 "  X  150 LBS</t>
  </si>
  <si>
    <t>VALVULA MARIPOSA CUERPO EN HIERRO DISCO EN</t>
  </si>
  <si>
    <t>AC/INOX  6 "  X  150 LBS</t>
  </si>
  <si>
    <t>VALVULA P/D  A / C 4 "  X  150 LBS BRIDADA</t>
  </si>
  <si>
    <t>VALVULA DE BOLA  A / C  1 "  X  1000 LBS ROSCADA</t>
  </si>
  <si>
    <t>VALVULA  DE BOLA  AC/INOX  1/2 " X 1000 LBS</t>
  </si>
  <si>
    <t>COLA DE MARRANO AC/INOX 1/2 "</t>
  </si>
  <si>
    <t>FILTRO A / C  EN Y 6 "  X  150 LBS BRIDADO</t>
  </si>
  <si>
    <t>TUBERIA  A / C SCH 40  8 "</t>
  </si>
  <si>
    <t>CODO A / C SCH 40  8 "  X  90 º SOLDAR</t>
  </si>
  <si>
    <t>BRIDA SLIP ON  A / C  8 "  X  150 LBS</t>
  </si>
  <si>
    <t>NIPLE A / C  SCH 40   1 "  X  4 "</t>
  </si>
  <si>
    <t>FABRICACION</t>
  </si>
  <si>
    <t>NIPLE A / C  SCH 40   1/2 "  X  8 CMTS</t>
  </si>
  <si>
    <t>DIECISIETE MILLONES SEISCIENTOS SESENTAYTRES MIL</t>
  </si>
  <si>
    <t>QUINIENTOS CINCUENTA Y TRES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</si>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</sst>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5"/>
  <sheetViews>
    <sheetView tabSelected="1" zoomScale="106" zoomScaleNormal="106" workbookViewId="0">
      <selection activeCell="E6" sqref="E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45614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45623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50</v>
      </c>
      <c r="C16" s="12"/>
      <c r="D16" s="13"/>
      <c r="E16" s="65" t="s">
        <v>51</v>
      </c>
      <c r="F16" s="66">
        <v>164000</v>
      </c>
      <c r="G16" s="67">
        <v>24</v>
      </c>
      <c r="H16" s="38">
        <f t="shared" ref="H16" si="0">G16*F16</f>
        <v>3936000</v>
      </c>
    </row>
    <row r="17" spans="1:8" ht="15.75" thickBot="1" x14ac:dyDescent="0.3">
      <c r="A17" s="64">
        <v>2</v>
      </c>
      <c r="B17" s="61" t="s">
        <v>52</v>
      </c>
      <c r="C17" s="12"/>
      <c r="D17" s="13"/>
      <c r="E17" s="65" t="s">
        <v>46</v>
      </c>
      <c r="F17" s="66">
        <v>43000</v>
      </c>
      <c r="G17" s="67">
        <v>5</v>
      </c>
      <c r="H17" s="38">
        <f t="shared" ref="H17:H32" si="1">G17*F17</f>
        <v>215000</v>
      </c>
    </row>
    <row r="18" spans="1:8" ht="15.75" thickBot="1" x14ac:dyDescent="0.3">
      <c r="A18" s="64">
        <v>3</v>
      </c>
      <c r="B18" s="61" t="s">
        <v>53</v>
      </c>
      <c r="C18" s="12"/>
      <c r="D18" s="13"/>
      <c r="E18" s="65" t="s">
        <v>46</v>
      </c>
      <c r="F18" s="66">
        <v>133550</v>
      </c>
      <c r="G18" s="67">
        <v>1</v>
      </c>
      <c r="H18" s="38">
        <f t="shared" si="1"/>
        <v>133550</v>
      </c>
    </row>
    <row r="19" spans="1:8" ht="15.75" thickBot="1" x14ac:dyDescent="0.3">
      <c r="A19" s="64">
        <v>4</v>
      </c>
      <c r="B19" s="61" t="s">
        <v>54</v>
      </c>
      <c r="C19" s="12"/>
      <c r="D19" s="13"/>
      <c r="E19" s="65" t="s">
        <v>46</v>
      </c>
      <c r="F19" s="66">
        <v>71263</v>
      </c>
      <c r="G19" s="67">
        <v>14</v>
      </c>
      <c r="H19" s="38">
        <f t="shared" si="1"/>
        <v>997682</v>
      </c>
    </row>
    <row r="20" spans="1:8" ht="15.75" thickBot="1" x14ac:dyDescent="0.3">
      <c r="A20" s="64">
        <v>5</v>
      </c>
      <c r="B20" s="61" t="s">
        <v>55</v>
      </c>
      <c r="C20" s="12"/>
      <c r="D20" s="13"/>
      <c r="E20" s="65" t="s">
        <v>46</v>
      </c>
      <c r="F20" s="66">
        <v>6000</v>
      </c>
      <c r="G20" s="67">
        <v>14</v>
      </c>
      <c r="H20" s="38">
        <f t="shared" si="1"/>
        <v>84000</v>
      </c>
    </row>
    <row r="21" spans="1:8" ht="15.75" thickBot="1" x14ac:dyDescent="0.3">
      <c r="A21" s="64">
        <v>6</v>
      </c>
      <c r="B21" s="61" t="s">
        <v>56</v>
      </c>
      <c r="C21" s="12"/>
      <c r="D21" s="13"/>
      <c r="E21" s="65" t="s">
        <v>46</v>
      </c>
      <c r="F21" s="66">
        <v>342000</v>
      </c>
      <c r="G21" s="67">
        <v>5</v>
      </c>
      <c r="H21" s="38">
        <f t="shared" si="1"/>
        <v>1710000</v>
      </c>
    </row>
    <row r="22" spans="1:8" ht="15.75" thickBot="1" x14ac:dyDescent="0.3">
      <c r="A22" s="64"/>
      <c r="B22" s="61" t="s">
        <v>57</v>
      </c>
      <c r="C22" s="12"/>
      <c r="D22" s="13"/>
      <c r="E22" s="65"/>
      <c r="F22" s="66"/>
      <c r="G22" s="67"/>
      <c r="H22" s="38"/>
    </row>
    <row r="23" spans="1:8" ht="15.75" thickBot="1" x14ac:dyDescent="0.3">
      <c r="A23" s="64">
        <v>7</v>
      </c>
      <c r="B23" s="61" t="s">
        <v>58</v>
      </c>
      <c r="C23" s="12"/>
      <c r="D23" s="13"/>
      <c r="E23" s="65" t="s">
        <v>46</v>
      </c>
      <c r="F23" s="66">
        <v>2203860</v>
      </c>
      <c r="G23" s="67">
        <v>2</v>
      </c>
      <c r="H23" s="38">
        <f t="shared" si="1"/>
        <v>4407720</v>
      </c>
    </row>
    <row r="24" spans="1:8" ht="15.75" thickBot="1" x14ac:dyDescent="0.3">
      <c r="A24" s="64">
        <v>8</v>
      </c>
      <c r="B24" s="61" t="s">
        <v>59</v>
      </c>
      <c r="C24" s="12"/>
      <c r="D24" s="13"/>
      <c r="E24" s="65" t="s">
        <v>46</v>
      </c>
      <c r="F24" s="66">
        <v>34100</v>
      </c>
      <c r="G24" s="67">
        <v>3</v>
      </c>
      <c r="H24" s="38">
        <f t="shared" si="1"/>
        <v>102300</v>
      </c>
    </row>
    <row r="25" spans="1:8" ht="15.75" thickBot="1" x14ac:dyDescent="0.3">
      <c r="A25" s="64">
        <v>9</v>
      </c>
      <c r="B25" s="61" t="s">
        <v>60</v>
      </c>
      <c r="C25" s="12"/>
      <c r="D25" s="13"/>
      <c r="E25" s="65" t="s">
        <v>46</v>
      </c>
      <c r="F25" s="66">
        <v>24700</v>
      </c>
      <c r="G25" s="67">
        <v>3</v>
      </c>
      <c r="H25" s="38">
        <f t="shared" si="1"/>
        <v>74100</v>
      </c>
    </row>
    <row r="26" spans="1:8" ht="15.75" thickBot="1" x14ac:dyDescent="0.3">
      <c r="A26" s="64">
        <v>10</v>
      </c>
      <c r="B26" s="61" t="s">
        <v>61</v>
      </c>
      <c r="C26" s="12"/>
      <c r="D26" s="13"/>
      <c r="E26" s="65" t="s">
        <v>46</v>
      </c>
      <c r="F26" s="66">
        <v>84500</v>
      </c>
      <c r="G26" s="67">
        <v>3</v>
      </c>
      <c r="H26" s="38">
        <f t="shared" si="1"/>
        <v>253500</v>
      </c>
    </row>
    <row r="27" spans="1:8" ht="15.75" thickBot="1" x14ac:dyDescent="0.3">
      <c r="A27" s="64">
        <v>11</v>
      </c>
      <c r="B27" s="61" t="s">
        <v>62</v>
      </c>
      <c r="C27" s="12"/>
      <c r="D27" s="13"/>
      <c r="E27" s="65" t="s">
        <v>46</v>
      </c>
      <c r="F27" s="66">
        <v>1071000</v>
      </c>
      <c r="G27" s="67">
        <v>1</v>
      </c>
      <c r="H27" s="38">
        <f t="shared" si="1"/>
        <v>1071000</v>
      </c>
    </row>
    <row r="28" spans="1:8" ht="15.75" thickBot="1" x14ac:dyDescent="0.3">
      <c r="A28" s="64">
        <v>12</v>
      </c>
      <c r="B28" s="61" t="s">
        <v>63</v>
      </c>
      <c r="C28" s="12"/>
      <c r="D28" s="13"/>
      <c r="E28" s="65" t="s">
        <v>51</v>
      </c>
      <c r="F28" s="66">
        <v>252250</v>
      </c>
      <c r="G28" s="67">
        <v>6</v>
      </c>
      <c r="H28" s="38">
        <f t="shared" si="1"/>
        <v>1513500</v>
      </c>
    </row>
    <row r="29" spans="1:8" ht="15.75" thickBot="1" x14ac:dyDescent="0.3">
      <c r="A29" s="64">
        <v>13</v>
      </c>
      <c r="B29" s="61" t="s">
        <v>64</v>
      </c>
      <c r="C29" s="12"/>
      <c r="D29" s="13"/>
      <c r="E29" s="65" t="s">
        <v>46</v>
      </c>
      <c r="F29" s="66">
        <v>167700</v>
      </c>
      <c r="G29" s="67">
        <v>3</v>
      </c>
      <c r="H29" s="38">
        <f t="shared" si="1"/>
        <v>503100</v>
      </c>
    </row>
    <row r="30" spans="1:8" ht="15.75" thickBot="1" x14ac:dyDescent="0.3">
      <c r="A30" s="64">
        <v>14</v>
      </c>
      <c r="B30" s="61" t="s">
        <v>65</v>
      </c>
      <c r="C30" s="12"/>
      <c r="D30" s="13"/>
      <c r="E30" s="65" t="s">
        <v>46</v>
      </c>
      <c r="F30" s="66">
        <v>116100</v>
      </c>
      <c r="G30" s="67">
        <v>1</v>
      </c>
      <c r="H30" s="38">
        <f t="shared" si="1"/>
        <v>116100</v>
      </c>
    </row>
    <row r="31" spans="1:8" ht="15.75" thickBot="1" x14ac:dyDescent="0.3">
      <c r="A31" s="64">
        <v>15</v>
      </c>
      <c r="B31" s="61" t="s">
        <v>66</v>
      </c>
      <c r="C31" s="12"/>
      <c r="D31" s="13"/>
      <c r="E31" s="65" t="s">
        <v>67</v>
      </c>
      <c r="F31" s="66">
        <v>4262</v>
      </c>
      <c r="G31" s="67">
        <v>8</v>
      </c>
      <c r="H31" s="38">
        <f t="shared" si="1"/>
        <v>34096</v>
      </c>
    </row>
    <row r="32" spans="1:8" ht="15.75" thickBot="1" x14ac:dyDescent="0.3">
      <c r="A32" s="70">
        <v>16</v>
      </c>
      <c r="B32" s="68" t="s">
        <v>68</v>
      </c>
      <c r="C32" s="6"/>
      <c r="D32" s="7"/>
      <c r="E32" s="71" t="s">
        <v>67</v>
      </c>
      <c r="F32" s="72">
        <v>1700</v>
      </c>
      <c r="G32" s="73">
        <v>6</v>
      </c>
      <c r="H32" s="38">
        <f t="shared" si="1"/>
        <v>10200</v>
      </c>
    </row>
    <row r="33" spans="1:8" ht="15.75" thickBot="1" x14ac:dyDescent="0.3">
      <c r="B33" s="16"/>
      <c r="C33" s="4"/>
      <c r="D33" s="17"/>
      <c r="F33" s="69"/>
      <c r="G33" s="69"/>
    </row>
    <row r="34" spans="1:8" ht="19.5" customHeight="1" thickBot="1" x14ac:dyDescent="0.35">
      <c r="A34" s="62" t="s">
        <v>23</v>
      </c>
      <c r="B34" s="61" t="s">
        <v>69</v>
      </c>
      <c r="C34" s="12"/>
      <c r="D34" s="13"/>
      <c r="E34" s="68"/>
      <c r="F34" s="37" t="s">
        <v>29</v>
      </c>
      <c r="G34" s="6"/>
      <c r="H34" s="7"/>
    </row>
    <row r="35" spans="1:8" ht="19.5" customHeight="1" thickBot="1" x14ac:dyDescent="0.3">
      <c r="A35" s="39"/>
      <c r="B35" s="16" t="s">
        <v>70</v>
      </c>
      <c r="C35" s="4"/>
      <c r="D35" s="17"/>
      <c r="E35" s="52" t="s">
        <v>24</v>
      </c>
      <c r="F35" s="52"/>
      <c r="G35" s="45"/>
      <c r="H35" s="50">
        <f>SUM(H16:H32)</f>
        <v>15161848</v>
      </c>
    </row>
    <row r="36" spans="1:8" ht="19.5" customHeight="1" x14ac:dyDescent="0.25">
      <c r="A36" s="24" t="s">
        <v>25</v>
      </c>
      <c r="E36" s="53" t="s">
        <v>30</v>
      </c>
      <c r="F36" s="23"/>
      <c r="G36" s="54">
        <v>0.19</v>
      </c>
      <c r="H36" s="40">
        <f>H35*G36</f>
        <v>2880751.12</v>
      </c>
    </row>
    <row r="37" spans="1:8" ht="19.5" customHeight="1" x14ac:dyDescent="0.25">
      <c r="A37" s="14" t="s">
        <v>47</v>
      </c>
      <c r="E37" s="55" t="s">
        <v>26</v>
      </c>
      <c r="G37" s="58">
        <v>2.5000000000000001E-2</v>
      </c>
      <c r="H37" s="51">
        <f>H35*G37</f>
        <v>379046.2</v>
      </c>
    </row>
    <row r="38" spans="1:8" ht="15.75" x14ac:dyDescent="0.25">
      <c r="A38" s="14" t="s">
        <v>71</v>
      </c>
      <c r="E38" s="14"/>
      <c r="F38" s="33"/>
      <c r="G38" s="46"/>
      <c r="H38" s="15"/>
    </row>
    <row r="39" spans="1:8" ht="16.5" thickBot="1" x14ac:dyDescent="0.3">
      <c r="A39" s="14" t="s">
        <v>33</v>
      </c>
      <c r="E39" s="56" t="s">
        <v>27</v>
      </c>
      <c r="F39" s="57"/>
      <c r="G39" s="47"/>
      <c r="H39" s="17"/>
    </row>
    <row r="40" spans="1:8" ht="19.5" thickBot="1" x14ac:dyDescent="0.35">
      <c r="A40" s="60"/>
      <c r="B40" s="4"/>
      <c r="C40" s="4"/>
      <c r="D40" s="17"/>
      <c r="F40" s="3"/>
      <c r="G40" s="34" t="s">
        <v>28</v>
      </c>
      <c r="H40" s="36">
        <f>H35+H36-H37</f>
        <v>17663552.920000002</v>
      </c>
    </row>
    <row r="41" spans="1:8" ht="16.5" customHeight="1" x14ac:dyDescent="0.25"/>
    <row r="46" spans="1:8" ht="15.75" thickBot="1" x14ac:dyDescent="0.3"/>
    <row r="47" spans="1:8" ht="19.5" thickBot="1" x14ac:dyDescent="0.35">
      <c r="A47" s="25" t="s">
        <v>34</v>
      </c>
      <c r="B47" s="6"/>
      <c r="C47" s="6"/>
      <c r="D47" s="6"/>
      <c r="E47" s="6"/>
      <c r="F47" s="6"/>
      <c r="G47" s="6"/>
      <c r="H47" s="7"/>
    </row>
    <row r="55" spans="1:1" ht="18.75" x14ac:dyDescent="0.3">
      <c r="A55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2024-11-09T13:40:25Z</cp:lastPrinted>
  <dcterms:created xsi:type="dcterms:W3CDTF">2018-11-15T17:29:02Z</dcterms:created>
  <dcterms:modified xsi:type="dcterms:W3CDTF">2024-11-18T22:05:00Z</dcterms:modified>
</cp:coreProperties>
</file>