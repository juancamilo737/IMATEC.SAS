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057184E-B4F8-47AA-AC33-3AA25BEA2F3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M INDUSTR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<sst xmlns="http://schemas.openxmlformats.org/spreadsheetml/2006/main" count="56" uniqueCount="55">
  <si>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</si>
  <si>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</si>
  <si>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</si>
  <si>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</si>
  <si>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</si>
  <si>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</si>
  <si>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</si>
  <si>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</si>
  <si>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</si>
  <si>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</si>
  <si>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</si>
  <si>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</si>
  <si>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</si>
  <si>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</si>
  <si>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</si>
  <si>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</si>
  <si>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</si>
  <si>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</si>
  <si>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</si>
  <si>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</si>
  <si>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</si>
  <si>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</si>
  <si>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</si>
  <si>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</si>
  <si>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</si>
  <si>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</si>
  <si>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</si>
  <si>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</si>
  <si>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</si>
  <si>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</si>
  <si>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</si>
  <si>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</si>
  <si>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</si>
  <si>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</si>
  <si>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</si>
  <si>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</si>
  <si>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</si>
  <si>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</si>
  <si>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</si>
  <si>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</si>
  <si>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BM INDUSTRIAS METALMECANICAS SAS</t>
  </si>
  <si>
    <t>901 052545</t>
  </si>
  <si>
    <t>CRA 40 No. 13-45</t>
  </si>
  <si>
    <t>YUMBO</t>
  </si>
  <si>
    <t>bmindustrias5@gmail.com</t>
  </si>
  <si>
    <t>JHONIER QUINTERO</t>
  </si>
  <si>
    <t>602 3844059</t>
  </si>
  <si>
    <t>EDINSON CABEZAS</t>
  </si>
  <si>
    <t xml:space="preserve">              R E M I S I O N </t>
  </si>
  <si>
    <t>TUBERIA  AC/INOX  SCH 40  1 1/4 "  X  62 CMTS</t>
  </si>
  <si>
    <t>TRAMO</t>
  </si>
  <si>
    <t>TUBERIA  A / C  SCH 80  1/2"  X  1.50  MTS</t>
  </si>
  <si>
    <t>NOVENTA Y SEIS MIL NOVECIENTOS VEINTISEIS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</si>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</sst>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28" xfId="0" applyBorder="1"/>
    <xf numFmtId="0" fontId="13" fillId="0" borderId="28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mindustrias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41</v>
      </c>
      <c r="D8" s="61"/>
      <c r="E8" s="61"/>
      <c r="H8" s="15"/>
    </row>
    <row r="9" spans="1:8" ht="18.75" customHeight="1" x14ac:dyDescent="0.3">
      <c r="A9" s="21" t="s">
        <v>9</v>
      </c>
      <c r="C9" s="23" t="s">
        <v>42</v>
      </c>
      <c r="D9" s="23"/>
      <c r="E9" s="67" t="s">
        <v>43</v>
      </c>
      <c r="F9" s="30" t="s">
        <v>0</v>
      </c>
      <c r="H9" s="28">
        <v>45666</v>
      </c>
    </row>
    <row r="10" spans="1:8" ht="18.75" x14ac:dyDescent="0.3">
      <c r="A10" s="21" t="s">
        <v>13</v>
      </c>
      <c r="C10" s="68" t="s">
        <v>44</v>
      </c>
      <c r="D10" s="61"/>
      <c r="E10" s="61"/>
      <c r="F10" s="30" t="s">
        <v>15</v>
      </c>
      <c r="H10" s="29" t="s">
        <v>32</v>
      </c>
    </row>
    <row r="11" spans="1:8" ht="18.75" x14ac:dyDescent="0.3">
      <c r="A11" s="21" t="s">
        <v>10</v>
      </c>
      <c r="C11" s="67" t="s">
        <v>45</v>
      </c>
      <c r="D11" s="61"/>
      <c r="E11" s="61"/>
      <c r="F11" s="30" t="s">
        <v>16</v>
      </c>
      <c r="G11" s="30"/>
      <c r="H11" s="28">
        <v>45675</v>
      </c>
    </row>
    <row r="12" spans="1:8" ht="18.75" x14ac:dyDescent="0.3">
      <c r="A12" s="21" t="s">
        <v>11</v>
      </c>
      <c r="C12" s="67" t="s">
        <v>46</v>
      </c>
      <c r="D12" s="61"/>
      <c r="E12" s="61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47</v>
      </c>
      <c r="D13" s="61"/>
      <c r="E13" s="61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50</v>
      </c>
      <c r="F16" s="66">
        <v>58500</v>
      </c>
      <c r="G16" s="62">
        <v>1</v>
      </c>
      <c r="H16" s="38">
        <f t="shared" ref="H16" si="0">G16*F16</f>
        <v>58500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50</v>
      </c>
      <c r="F17" s="66">
        <v>22950</v>
      </c>
      <c r="G17" s="62">
        <v>1</v>
      </c>
      <c r="H17" s="38">
        <f t="shared" ref="H17" si="1">G17*F17</f>
        <v>22950</v>
      </c>
    </row>
    <row r="18" spans="1:8" ht="19.5" customHeight="1" thickBot="1" x14ac:dyDescent="0.35">
      <c r="A18" s="48" t="s">
        <v>23</v>
      </c>
      <c r="B18" s="14" t="s">
        <v>52</v>
      </c>
      <c r="D18" s="15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2" t="s">
        <v>24</v>
      </c>
      <c r="F19" s="53"/>
      <c r="G19" s="44"/>
      <c r="H19" s="50">
        <f>SUM(H16:H18)</f>
        <v>81450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15475.5</v>
      </c>
    </row>
    <row r="21" spans="1:8" ht="19.5" customHeight="1" x14ac:dyDescent="0.25">
      <c r="A21" s="14" t="s">
        <v>31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54</v>
      </c>
      <c r="E22" s="14"/>
      <c r="F22" s="33"/>
      <c r="G22" s="45"/>
      <c r="H22" s="15"/>
    </row>
    <row r="23" spans="1:8" ht="16.5" thickBot="1" x14ac:dyDescent="0.3">
      <c r="A23" s="14" t="s">
        <v>34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96925.5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1061D90-C1AE-4074-B471-72B8CF8B686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BM INDUSTRIAS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2025-01-09T21:58:26Z</dcterms:modified>
</cp:coreProperties>
</file>