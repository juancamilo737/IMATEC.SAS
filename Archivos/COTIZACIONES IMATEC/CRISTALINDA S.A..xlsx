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FAD3A54-0B92-40DF-B5BF-67B974A505B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RISTALINDA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3" i="1" l="1"/>
  <c r="H60" i="1"/>
  <c r="H58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59" i="1" l="1"/>
</calcChain>
</file>

<file path=xl/sharedStrings.xml><?xml version="1.0" encoding="utf-8"?>
<sst xmlns="http://schemas.openxmlformats.org/spreadsheetml/2006/main" count="129" uniqueCount="95">
  <si>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</si>
  <si>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</si>
  <si>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</si>
  <si>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</si>
  <si>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</si>
  <si>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</si>
  <si>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</si>
  <si>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</si>
  <si>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</si>
  <si>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</si>
  <si>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</si>
  <si>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</si>
  <si>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</si>
  <si>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</si>
  <si>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</si>
  <si>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</si>
  <si>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</si>
  <si>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</si>
  <si>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</si>
  <si>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</si>
  <si>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</si>
  <si>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</si>
  <si>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</si>
  <si>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</si>
  <si>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</si>
  <si>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</si>
  <si>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</si>
  <si>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</si>
  <si>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</si>
  <si>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</si>
  <si>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</si>
  <si>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</si>
  <si>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</si>
  <si>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</si>
  <si>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</si>
  <si>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</si>
  <si>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</si>
  <si>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</si>
  <si>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</si>
  <si>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</si>
  <si>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</si>
  <si>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</si>
  <si>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CRISTALINDA S.A.</t>
  </si>
  <si>
    <t>890 311196</t>
  </si>
  <si>
    <t>CALI</t>
  </si>
  <si>
    <t>contabilidad-lamorelia@reservadecristales.com</t>
  </si>
  <si>
    <t>602 8927272</t>
  </si>
  <si>
    <t>EDINSON CABEZAS</t>
  </si>
  <si>
    <t>TUBERIA PVC PRESION RDE 13,5  1 "</t>
  </si>
  <si>
    <t>METRO LINEAL</t>
  </si>
  <si>
    <t>TUBERIA PVC PRESION RDE 13,5  3/4  "</t>
  </si>
  <si>
    <t>TUBERIA PVC PRESION RDE 13,5  1/2 "</t>
  </si>
  <si>
    <t>VALVULA MARIPOSA AC/INOX 304 1 "</t>
  </si>
  <si>
    <t>ACCESORIO</t>
  </si>
  <si>
    <t>VALVULA CHEQUE HORIZONTAL AC/INOX  1 "</t>
  </si>
  <si>
    <t>VALVULA MARIPOSA AC/INOX 304  3/4 "</t>
  </si>
  <si>
    <t>VALVULA CHEQUE HORIZONTAL AC/INOX 304  3/4 "</t>
  </si>
  <si>
    <t>ADAPTADOR MACHO PVC PRESION  1 "</t>
  </si>
  <si>
    <t>ADAPTADOR MACHO PVC PRESION 3/4 "</t>
  </si>
  <si>
    <t>CODO PVC PRESION  1 "  X  90 º</t>
  </si>
  <si>
    <t>CODO PVC PRESION  1 "  X  45 º</t>
  </si>
  <si>
    <t>CODO PVC PRESION  3/4 "  X  90º</t>
  </si>
  <si>
    <t>TEE PVC PRESION 1/2 "</t>
  </si>
  <si>
    <t>BUJE  PV PRESION 1 "  X  1/2 "</t>
  </si>
  <si>
    <t>FLANCHE PARA TANQUE   HEMBRA-MACHO 1  "</t>
  </si>
  <si>
    <t>FLANCHE PARA TANQUE   HEMBRA-MACHO 1 1/2  "</t>
  </si>
  <si>
    <t>SILLA YEE PVC SANITARIO  8 "  X  2 "</t>
  </si>
  <si>
    <t xml:space="preserve">BUJE PVC SANITARIO  2 "  X  1 1/2 " </t>
  </si>
  <si>
    <t>TUBERIA  PVC SANITARIA  1 1/2 "</t>
  </si>
  <si>
    <t>CODO PVC SANITARIO C X C 1 1/2 "  X  45º</t>
  </si>
  <si>
    <t>ADAPTADOR MACHO  PVC PRESION 1 1/2 "</t>
  </si>
  <si>
    <t>VALVULA FLOTADOR  BRONCE  1 1/2 "</t>
  </si>
  <si>
    <t>VALVULA DE BOLA PVC TRABAJO PESADO  1 1/2 "</t>
  </si>
  <si>
    <t>SOLDADURA PVC  1/8 GALON</t>
  </si>
  <si>
    <t>INSUMO</t>
  </si>
  <si>
    <t>LIMPIADOR PVC  1/8 GALON</t>
  </si>
  <si>
    <t>KILO</t>
  </si>
  <si>
    <t xml:space="preserve">WAYPE  X  0,2 </t>
  </si>
  <si>
    <t>CINTA TEFLON INDUSTRIAL 3/4 "  X  50 MTS</t>
  </si>
  <si>
    <t>SELLA ROSCA SHELLAC</t>
  </si>
  <si>
    <t>SEGUETA</t>
  </si>
  <si>
    <t>HOJA</t>
  </si>
  <si>
    <t>SOPORTE TIPO PERA  1 "</t>
  </si>
  <si>
    <t>CHAZO MULTIUSO  3/8 "</t>
  </si>
  <si>
    <t>VARILLA ROSCADA GALVANIZADA  3/8 "</t>
  </si>
  <si>
    <t>RIEL CHANNEL  2 "  X  4 "</t>
  </si>
  <si>
    <t>ABRAZADERA AJUSTABLE UNISTRUT  1 "</t>
  </si>
  <si>
    <t>CHAZO EXPANSIVO METALICO  2 "  X  3/8 "</t>
  </si>
  <si>
    <t>DISCO DE CORTE METAL  4 1/2 "</t>
  </si>
  <si>
    <t>DISCO DE CORTE CONCRETO CONTINUO  4 1/2 "</t>
  </si>
  <si>
    <t>BROCA  PARA METAL 3/8 "</t>
  </si>
  <si>
    <t>BROCA TUGSTENO PARA CONCRETO  3/8 "</t>
  </si>
  <si>
    <t>UN MILLON SEISCIENTOS QUINCE MIL TRESCIENTOS</t>
  </si>
  <si>
    <t>TREINTA Y NUEVE PESOS MDA / CTE</t>
  </si>
  <si>
    <t>CALLE 11 OESTE AV CIRCUNV 36-86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</si>
</sst>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0" fillId="0" borderId="37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8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42" fontId="11" fillId="0" borderId="36" xfId="1" applyFont="1" applyBorder="1" applyAlignment="1">
      <alignment horizontal="center"/>
    </xf>
    <xf numFmtId="0" fontId="1" fillId="0" borderId="21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-lamorelia@reservadecristal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78"/>
  <sheetViews>
    <sheetView tabSelected="1" topLeftCell="A7" zoomScale="85" zoomScaleNormal="85" workbookViewId="0">
      <selection activeCell="I30" sqref="I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46" t="s">
        <v>42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43</v>
      </c>
      <c r="E8" s="15"/>
      <c r="H8" s="15"/>
    </row>
    <row r="9" spans="1:8" ht="18.75" customHeight="1" thickBot="1" x14ac:dyDescent="0.35">
      <c r="A9" s="21" t="s">
        <v>9</v>
      </c>
      <c r="C9" s="14" t="s">
        <v>94</v>
      </c>
      <c r="E9" s="76" t="s">
        <v>44</v>
      </c>
      <c r="F9" s="30" t="s">
        <v>0</v>
      </c>
      <c r="H9" s="28">
        <v>45563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45572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2" t="s">
        <v>37</v>
      </c>
      <c r="B15" s="81" t="s">
        <v>22</v>
      </c>
      <c r="C15" s="43"/>
      <c r="D15" s="13"/>
      <c r="E15" s="52" t="s">
        <v>18</v>
      </c>
      <c r="F15" s="52" t="s">
        <v>20</v>
      </c>
      <c r="G15" s="52" t="s">
        <v>19</v>
      </c>
      <c r="H15" s="32" t="s">
        <v>21</v>
      </c>
    </row>
    <row r="16" spans="1:8" ht="16.5" thickBot="1" x14ac:dyDescent="0.3">
      <c r="A16" s="54">
        <v>1</v>
      </c>
      <c r="B16" s="77" t="s">
        <v>48</v>
      </c>
      <c r="C16" s="57"/>
      <c r="D16" s="58"/>
      <c r="E16" s="54" t="s">
        <v>49</v>
      </c>
      <c r="F16" s="62">
        <v>5484</v>
      </c>
      <c r="G16" s="54">
        <v>12</v>
      </c>
      <c r="H16" s="38">
        <f t="shared" ref="H16" si="0">G16*F16</f>
        <v>65808</v>
      </c>
    </row>
    <row r="17" spans="1:8" ht="16.5" thickBot="1" x14ac:dyDescent="0.3">
      <c r="A17" s="55">
        <v>2</v>
      </c>
      <c r="B17" s="77" t="s">
        <v>51</v>
      </c>
      <c r="C17" s="51"/>
      <c r="D17" s="60"/>
      <c r="E17" s="55" t="s">
        <v>49</v>
      </c>
      <c r="F17" s="63">
        <v>3013</v>
      </c>
      <c r="G17" s="55">
        <v>6</v>
      </c>
      <c r="H17" s="38">
        <f t="shared" ref="H17:H26" si="1">G17*F17</f>
        <v>18078</v>
      </c>
    </row>
    <row r="18" spans="1:8" ht="16.5" thickBot="1" x14ac:dyDescent="0.3">
      <c r="A18" s="55">
        <v>3</v>
      </c>
      <c r="B18" s="77" t="s">
        <v>50</v>
      </c>
      <c r="C18" s="51"/>
      <c r="D18" s="60"/>
      <c r="E18" s="55" t="s">
        <v>49</v>
      </c>
      <c r="F18" s="63">
        <v>4050</v>
      </c>
      <c r="G18" s="55">
        <v>12</v>
      </c>
      <c r="H18" s="38">
        <f t="shared" si="1"/>
        <v>48600</v>
      </c>
    </row>
    <row r="19" spans="1:8" ht="16.5" thickBot="1" x14ac:dyDescent="0.3">
      <c r="A19" s="55">
        <v>4</v>
      </c>
      <c r="B19" s="59" t="s">
        <v>52</v>
      </c>
      <c r="C19" s="51"/>
      <c r="D19" s="60"/>
      <c r="E19" s="55" t="s">
        <v>53</v>
      </c>
      <c r="F19" s="63">
        <v>69000</v>
      </c>
      <c r="G19" s="55">
        <v>1</v>
      </c>
      <c r="H19" s="38">
        <f t="shared" si="1"/>
        <v>69000</v>
      </c>
    </row>
    <row r="20" spans="1:8" ht="16.5" thickBot="1" x14ac:dyDescent="0.3">
      <c r="A20" s="55">
        <v>5</v>
      </c>
      <c r="B20" s="59" t="s">
        <v>54</v>
      </c>
      <c r="C20" s="51"/>
      <c r="D20" s="60"/>
      <c r="E20" s="55" t="s">
        <v>53</v>
      </c>
      <c r="F20" s="63">
        <v>58150</v>
      </c>
      <c r="G20" s="55">
        <v>1</v>
      </c>
      <c r="H20" s="38">
        <f t="shared" si="1"/>
        <v>58150</v>
      </c>
    </row>
    <row r="21" spans="1:8" ht="16.5" thickBot="1" x14ac:dyDescent="0.3">
      <c r="A21" s="55">
        <v>6</v>
      </c>
      <c r="B21" s="59" t="s">
        <v>55</v>
      </c>
      <c r="C21" s="51"/>
      <c r="D21" s="60"/>
      <c r="E21" s="55" t="s">
        <v>53</v>
      </c>
      <c r="F21" s="63">
        <v>60750</v>
      </c>
      <c r="G21" s="55">
        <v>1</v>
      </c>
      <c r="H21" s="38">
        <f t="shared" si="1"/>
        <v>60750</v>
      </c>
    </row>
    <row r="22" spans="1:8" ht="16.5" thickBot="1" x14ac:dyDescent="0.3">
      <c r="A22" s="55">
        <v>7</v>
      </c>
      <c r="B22" s="59" t="s">
        <v>56</v>
      </c>
      <c r="C22" s="51"/>
      <c r="D22" s="60"/>
      <c r="E22" s="55" t="s">
        <v>53</v>
      </c>
      <c r="F22" s="63">
        <v>45860</v>
      </c>
      <c r="G22" s="55">
        <v>1</v>
      </c>
      <c r="H22" s="38">
        <f t="shared" si="1"/>
        <v>45860</v>
      </c>
    </row>
    <row r="23" spans="1:8" ht="16.5" thickBot="1" x14ac:dyDescent="0.3">
      <c r="A23" s="55">
        <v>8</v>
      </c>
      <c r="B23" s="59" t="s">
        <v>57</v>
      </c>
      <c r="C23" s="51"/>
      <c r="D23" s="60"/>
      <c r="E23" s="55" t="s">
        <v>53</v>
      </c>
      <c r="F23" s="63">
        <v>1303</v>
      </c>
      <c r="G23" s="55">
        <v>8</v>
      </c>
      <c r="H23" s="38">
        <f t="shared" si="1"/>
        <v>10424</v>
      </c>
    </row>
    <row r="24" spans="1:8" ht="16.5" thickBot="1" x14ac:dyDescent="0.3">
      <c r="A24" s="55">
        <v>9</v>
      </c>
      <c r="B24" s="59" t="s">
        <v>58</v>
      </c>
      <c r="C24" s="51"/>
      <c r="D24" s="60"/>
      <c r="E24" s="55" t="s">
        <v>53</v>
      </c>
      <c r="F24" s="63">
        <v>624</v>
      </c>
      <c r="G24" s="55">
        <v>6</v>
      </c>
      <c r="H24" s="38">
        <f t="shared" si="1"/>
        <v>3744</v>
      </c>
    </row>
    <row r="25" spans="1:8" ht="16.5" thickBot="1" x14ac:dyDescent="0.3">
      <c r="A25" s="55">
        <v>10</v>
      </c>
      <c r="B25" s="59" t="s">
        <v>59</v>
      </c>
      <c r="C25" s="51"/>
      <c r="D25" s="60"/>
      <c r="E25" s="55" t="s">
        <v>53</v>
      </c>
      <c r="F25" s="63">
        <v>1570</v>
      </c>
      <c r="G25" s="55">
        <v>10</v>
      </c>
      <c r="H25" s="38">
        <f t="shared" si="1"/>
        <v>15700</v>
      </c>
    </row>
    <row r="26" spans="1:8" ht="16.5" thickBot="1" x14ac:dyDescent="0.3">
      <c r="A26" s="79">
        <v>11</v>
      </c>
      <c r="B26" s="77" t="s">
        <v>60</v>
      </c>
      <c r="C26" s="77"/>
      <c r="D26" s="60"/>
      <c r="E26" s="55" t="s">
        <v>53</v>
      </c>
      <c r="F26" s="80">
        <v>3560</v>
      </c>
      <c r="G26" s="79">
        <v>10</v>
      </c>
      <c r="H26" s="38">
        <f t="shared" si="1"/>
        <v>35600</v>
      </c>
    </row>
    <row r="27" spans="1:8" ht="16.5" thickBot="1" x14ac:dyDescent="0.3">
      <c r="A27" s="55">
        <v>12</v>
      </c>
      <c r="B27" s="77" t="s">
        <v>61</v>
      </c>
      <c r="C27" s="51"/>
      <c r="D27" s="60"/>
      <c r="E27" s="55" t="s">
        <v>53</v>
      </c>
      <c r="F27" s="63">
        <v>1319</v>
      </c>
      <c r="G27" s="55">
        <v>6</v>
      </c>
      <c r="H27" s="38">
        <f t="shared" ref="H27:H55" si="2">G27*F27</f>
        <v>7914</v>
      </c>
    </row>
    <row r="28" spans="1:8" ht="16.5" thickBot="1" x14ac:dyDescent="0.3">
      <c r="A28" s="55">
        <v>13</v>
      </c>
      <c r="B28" s="77" t="s">
        <v>62</v>
      </c>
      <c r="C28" s="51"/>
      <c r="D28" s="60"/>
      <c r="E28" s="55" t="s">
        <v>53</v>
      </c>
      <c r="F28" s="63">
        <v>658</v>
      </c>
      <c r="G28" s="55">
        <v>1</v>
      </c>
      <c r="H28" s="38">
        <f t="shared" si="2"/>
        <v>658</v>
      </c>
    </row>
    <row r="29" spans="1:8" ht="16.5" thickBot="1" x14ac:dyDescent="0.3">
      <c r="A29" s="55">
        <v>14</v>
      </c>
      <c r="B29" s="59" t="s">
        <v>63</v>
      </c>
      <c r="C29" s="51"/>
      <c r="D29" s="60"/>
      <c r="E29" s="55" t="s">
        <v>53</v>
      </c>
      <c r="F29" s="63">
        <v>963</v>
      </c>
      <c r="G29" s="55">
        <v>2</v>
      </c>
      <c r="H29" s="38">
        <f t="shared" si="2"/>
        <v>1926</v>
      </c>
    </row>
    <row r="30" spans="1:8" ht="16.5" thickBot="1" x14ac:dyDescent="0.3">
      <c r="A30" s="55">
        <v>15</v>
      </c>
      <c r="B30" s="59" t="s">
        <v>64</v>
      </c>
      <c r="C30" s="51"/>
      <c r="D30" s="60"/>
      <c r="E30" s="55" t="s">
        <v>53</v>
      </c>
      <c r="F30" s="63">
        <v>17000</v>
      </c>
      <c r="G30" s="55">
        <v>1</v>
      </c>
      <c r="H30" s="38">
        <f t="shared" si="2"/>
        <v>17000</v>
      </c>
    </row>
    <row r="31" spans="1:8" ht="16.5" thickBot="1" x14ac:dyDescent="0.3">
      <c r="A31" s="55">
        <v>16</v>
      </c>
      <c r="B31" s="59" t="s">
        <v>65</v>
      </c>
      <c r="C31" s="51"/>
      <c r="D31" s="60"/>
      <c r="E31" s="55" t="s">
        <v>53</v>
      </c>
      <c r="F31" s="63">
        <v>33100</v>
      </c>
      <c r="G31" s="55">
        <v>3</v>
      </c>
      <c r="H31" s="38">
        <f t="shared" si="2"/>
        <v>99300</v>
      </c>
    </row>
    <row r="32" spans="1:8" ht="16.5" thickBot="1" x14ac:dyDescent="0.3">
      <c r="A32" s="55">
        <v>17</v>
      </c>
      <c r="B32" s="59" t="s">
        <v>66</v>
      </c>
      <c r="C32" s="51"/>
      <c r="D32" s="60"/>
      <c r="E32" s="55" t="s">
        <v>53</v>
      </c>
      <c r="F32" s="63">
        <v>131000</v>
      </c>
      <c r="G32" s="55">
        <v>1</v>
      </c>
      <c r="H32" s="38">
        <f t="shared" si="2"/>
        <v>131000</v>
      </c>
    </row>
    <row r="33" spans="1:8" ht="16.5" thickBot="1" x14ac:dyDescent="0.3">
      <c r="A33" s="55">
        <v>18</v>
      </c>
      <c r="B33" s="59" t="s">
        <v>67</v>
      </c>
      <c r="C33" s="51"/>
      <c r="D33" s="60"/>
      <c r="E33" s="55" t="s">
        <v>53</v>
      </c>
      <c r="F33" s="63">
        <v>2100</v>
      </c>
      <c r="G33" s="55">
        <v>1</v>
      </c>
      <c r="H33" s="38">
        <f t="shared" si="2"/>
        <v>2100</v>
      </c>
    </row>
    <row r="34" spans="1:8" ht="16.5" thickBot="1" x14ac:dyDescent="0.3">
      <c r="A34" s="55">
        <v>19</v>
      </c>
      <c r="B34" s="59" t="s">
        <v>68</v>
      </c>
      <c r="C34" s="51"/>
      <c r="D34" s="60"/>
      <c r="E34" s="55" t="s">
        <v>49</v>
      </c>
      <c r="F34" s="63">
        <v>7770</v>
      </c>
      <c r="G34" s="55">
        <v>6</v>
      </c>
      <c r="H34" s="38">
        <f t="shared" si="2"/>
        <v>46620</v>
      </c>
    </row>
    <row r="35" spans="1:8" ht="16.5" thickBot="1" x14ac:dyDescent="0.3">
      <c r="A35" s="55">
        <v>20</v>
      </c>
      <c r="B35" s="59" t="s">
        <v>69</v>
      </c>
      <c r="C35" s="51"/>
      <c r="D35" s="60"/>
      <c r="E35" s="55" t="s">
        <v>53</v>
      </c>
      <c r="F35" s="63">
        <v>2550</v>
      </c>
      <c r="G35" s="55">
        <v>3</v>
      </c>
      <c r="H35" s="38">
        <f t="shared" si="2"/>
        <v>7650</v>
      </c>
    </row>
    <row r="36" spans="1:8" ht="16.5" thickBot="1" x14ac:dyDescent="0.3">
      <c r="A36" s="79">
        <v>21</v>
      </c>
      <c r="B36" s="77" t="s">
        <v>70</v>
      </c>
      <c r="C36" s="77"/>
      <c r="D36" s="60"/>
      <c r="E36" s="55" t="s">
        <v>53</v>
      </c>
      <c r="F36" s="80">
        <v>3250</v>
      </c>
      <c r="G36" s="79">
        <v>1</v>
      </c>
      <c r="H36" s="38">
        <f t="shared" si="2"/>
        <v>3250</v>
      </c>
    </row>
    <row r="37" spans="1:8" ht="16.5" thickBot="1" x14ac:dyDescent="0.3">
      <c r="A37" s="55">
        <v>22</v>
      </c>
      <c r="B37" s="77" t="s">
        <v>71</v>
      </c>
      <c r="C37" s="51"/>
      <c r="D37" s="60"/>
      <c r="E37" s="55" t="s">
        <v>53</v>
      </c>
      <c r="F37" s="63">
        <v>339500</v>
      </c>
      <c r="G37" s="55">
        <v>1</v>
      </c>
      <c r="H37" s="38">
        <f t="shared" si="2"/>
        <v>339500</v>
      </c>
    </row>
    <row r="38" spans="1:8" ht="16.5" thickBot="1" x14ac:dyDescent="0.3">
      <c r="A38" s="55">
        <v>23</v>
      </c>
      <c r="B38" s="77" t="s">
        <v>72</v>
      </c>
      <c r="C38" s="51"/>
      <c r="D38" s="60"/>
      <c r="E38" s="55" t="s">
        <v>53</v>
      </c>
      <c r="F38" s="63">
        <v>60100</v>
      </c>
      <c r="G38" s="55">
        <v>1</v>
      </c>
      <c r="H38" s="38">
        <f t="shared" si="2"/>
        <v>60100</v>
      </c>
    </row>
    <row r="39" spans="1:8" ht="16.5" thickBot="1" x14ac:dyDescent="0.3">
      <c r="A39" s="55">
        <v>24</v>
      </c>
      <c r="B39" s="59" t="s">
        <v>73</v>
      </c>
      <c r="C39" s="51"/>
      <c r="D39" s="60"/>
      <c r="E39" s="55" t="s">
        <v>74</v>
      </c>
      <c r="F39" s="63">
        <v>38600</v>
      </c>
      <c r="G39" s="55">
        <v>1</v>
      </c>
      <c r="H39" s="38">
        <f t="shared" si="2"/>
        <v>38600</v>
      </c>
    </row>
    <row r="40" spans="1:8" ht="16.5" thickBot="1" x14ac:dyDescent="0.3">
      <c r="A40" s="55">
        <v>25</v>
      </c>
      <c r="B40" s="59" t="s">
        <v>75</v>
      </c>
      <c r="C40" s="51"/>
      <c r="D40" s="60"/>
      <c r="E40" s="55" t="s">
        <v>74</v>
      </c>
      <c r="F40" s="63">
        <v>10600</v>
      </c>
      <c r="G40" s="55">
        <v>1</v>
      </c>
      <c r="H40" s="38">
        <f t="shared" si="2"/>
        <v>10600</v>
      </c>
    </row>
    <row r="41" spans="1:8" ht="16.5" thickBot="1" x14ac:dyDescent="0.3">
      <c r="A41" s="55">
        <v>26</v>
      </c>
      <c r="B41" s="59" t="s">
        <v>77</v>
      </c>
      <c r="C41" s="51"/>
      <c r="D41" s="60"/>
      <c r="E41" s="55" t="s">
        <v>76</v>
      </c>
      <c r="F41" s="63">
        <v>4875</v>
      </c>
      <c r="G41" s="55">
        <v>1</v>
      </c>
      <c r="H41" s="38">
        <f t="shared" si="2"/>
        <v>4875</v>
      </c>
    </row>
    <row r="42" spans="1:8" ht="16.5" thickBot="1" x14ac:dyDescent="0.3">
      <c r="A42" s="55">
        <v>27</v>
      </c>
      <c r="B42" s="59" t="s">
        <v>78</v>
      </c>
      <c r="C42" s="51"/>
      <c r="D42" s="60"/>
      <c r="E42" s="55" t="s">
        <v>74</v>
      </c>
      <c r="F42" s="63">
        <v>4900</v>
      </c>
      <c r="G42" s="55">
        <v>2</v>
      </c>
      <c r="H42" s="38">
        <f t="shared" si="2"/>
        <v>9800</v>
      </c>
    </row>
    <row r="43" spans="1:8" ht="16.5" thickBot="1" x14ac:dyDescent="0.3">
      <c r="A43" s="55">
        <v>28</v>
      </c>
      <c r="B43" s="59" t="s">
        <v>79</v>
      </c>
      <c r="C43" s="51"/>
      <c r="D43" s="60"/>
      <c r="E43" s="55" t="s">
        <v>74</v>
      </c>
      <c r="F43" s="63">
        <v>16000</v>
      </c>
      <c r="G43" s="55">
        <v>2</v>
      </c>
      <c r="H43" s="38">
        <f t="shared" si="2"/>
        <v>32000</v>
      </c>
    </row>
    <row r="44" spans="1:8" ht="16.5" thickBot="1" x14ac:dyDescent="0.3">
      <c r="A44" s="55">
        <v>29</v>
      </c>
      <c r="B44" s="59" t="s">
        <v>80</v>
      </c>
      <c r="C44" s="51"/>
      <c r="D44" s="60"/>
      <c r="E44" s="55" t="s">
        <v>81</v>
      </c>
      <c r="F44" s="63">
        <v>3650</v>
      </c>
      <c r="G44" s="55">
        <v>2</v>
      </c>
      <c r="H44" s="38">
        <f t="shared" si="2"/>
        <v>7300</v>
      </c>
    </row>
    <row r="45" spans="1:8" ht="16.5" thickBot="1" x14ac:dyDescent="0.3">
      <c r="A45" s="55">
        <v>30</v>
      </c>
      <c r="B45" s="59" t="s">
        <v>82</v>
      </c>
      <c r="C45" s="51"/>
      <c r="D45" s="60"/>
      <c r="E45" s="55" t="s">
        <v>53</v>
      </c>
      <c r="F45" s="63">
        <v>1950</v>
      </c>
      <c r="G45" s="55">
        <v>10</v>
      </c>
      <c r="H45" s="38">
        <f t="shared" si="2"/>
        <v>19500</v>
      </c>
    </row>
    <row r="46" spans="1:8" ht="16.5" thickBot="1" x14ac:dyDescent="0.3">
      <c r="A46" s="79">
        <v>31</v>
      </c>
      <c r="B46" s="77" t="s">
        <v>83</v>
      </c>
      <c r="C46" s="77"/>
      <c r="D46" s="60"/>
      <c r="E46" s="79" t="s">
        <v>74</v>
      </c>
      <c r="F46" s="80">
        <v>355</v>
      </c>
      <c r="G46" s="78">
        <v>10</v>
      </c>
      <c r="H46" s="38">
        <f t="shared" si="2"/>
        <v>3550</v>
      </c>
    </row>
    <row r="47" spans="1:8" ht="16.5" thickBot="1" x14ac:dyDescent="0.3">
      <c r="A47" s="55">
        <v>32</v>
      </c>
      <c r="B47" s="77" t="s">
        <v>84</v>
      </c>
      <c r="C47" s="51"/>
      <c r="D47" s="60"/>
      <c r="E47" s="55" t="s">
        <v>74</v>
      </c>
      <c r="F47" s="63">
        <v>2980</v>
      </c>
      <c r="G47" s="55">
        <v>5</v>
      </c>
      <c r="H47" s="38">
        <f t="shared" si="2"/>
        <v>14900</v>
      </c>
    </row>
    <row r="48" spans="1:8" ht="16.5" thickBot="1" x14ac:dyDescent="0.3">
      <c r="A48" s="55">
        <v>33</v>
      </c>
      <c r="B48" s="77" t="s">
        <v>85</v>
      </c>
      <c r="C48" s="51"/>
      <c r="D48" s="60"/>
      <c r="E48" s="55" t="s">
        <v>74</v>
      </c>
      <c r="F48" s="63">
        <v>28300</v>
      </c>
      <c r="G48" s="55">
        <v>1</v>
      </c>
      <c r="H48" s="38">
        <f t="shared" si="2"/>
        <v>28300</v>
      </c>
    </row>
    <row r="49" spans="1:8" ht="16.5" thickBot="1" x14ac:dyDescent="0.3">
      <c r="A49" s="55">
        <v>34</v>
      </c>
      <c r="B49" s="59" t="s">
        <v>86</v>
      </c>
      <c r="C49" s="51"/>
      <c r="D49" s="60"/>
      <c r="E49" s="55" t="s">
        <v>53</v>
      </c>
      <c r="F49" s="63">
        <v>1100</v>
      </c>
      <c r="G49" s="55">
        <v>5</v>
      </c>
      <c r="H49" s="38">
        <f t="shared" si="2"/>
        <v>5500</v>
      </c>
    </row>
    <row r="50" spans="1:8" ht="16.5" thickBot="1" x14ac:dyDescent="0.3">
      <c r="A50" s="55">
        <v>35</v>
      </c>
      <c r="B50" s="59" t="s">
        <v>87</v>
      </c>
      <c r="C50" s="51"/>
      <c r="D50" s="60"/>
      <c r="E50" s="55" t="s">
        <v>74</v>
      </c>
      <c r="F50" s="63">
        <v>450</v>
      </c>
      <c r="G50" s="55">
        <v>10</v>
      </c>
      <c r="H50" s="38">
        <f t="shared" si="2"/>
        <v>4500</v>
      </c>
    </row>
    <row r="51" spans="1:8" ht="16.5" thickBot="1" x14ac:dyDescent="0.3">
      <c r="A51" s="55">
        <v>36</v>
      </c>
      <c r="B51" s="59" t="s">
        <v>88</v>
      </c>
      <c r="C51" s="51"/>
      <c r="D51" s="60"/>
      <c r="E51" s="55" t="s">
        <v>74</v>
      </c>
      <c r="F51" s="63">
        <v>2350</v>
      </c>
      <c r="G51" s="55">
        <v>2</v>
      </c>
      <c r="H51" s="38">
        <f t="shared" si="2"/>
        <v>4700</v>
      </c>
    </row>
    <row r="52" spans="1:8" ht="16.5" thickBot="1" x14ac:dyDescent="0.3">
      <c r="A52" s="55">
        <v>37</v>
      </c>
      <c r="B52" s="59" t="s">
        <v>89</v>
      </c>
      <c r="C52" s="51"/>
      <c r="D52" s="60"/>
      <c r="E52" s="55" t="s">
        <v>74</v>
      </c>
      <c r="F52" s="63">
        <v>31800</v>
      </c>
      <c r="G52" s="55">
        <v>1</v>
      </c>
      <c r="H52" s="38">
        <f t="shared" si="2"/>
        <v>31800</v>
      </c>
    </row>
    <row r="53" spans="1:8" ht="16.5" thickBot="1" x14ac:dyDescent="0.3">
      <c r="A53" s="55">
        <v>38</v>
      </c>
      <c r="B53" s="59" t="s">
        <v>90</v>
      </c>
      <c r="C53" s="51"/>
      <c r="D53" s="60"/>
      <c r="E53" s="55" t="s">
        <v>74</v>
      </c>
      <c r="F53" s="63">
        <v>10400</v>
      </c>
      <c r="G53" s="55">
        <v>1</v>
      </c>
      <c r="H53" s="38">
        <f t="shared" si="2"/>
        <v>10400</v>
      </c>
    </row>
    <row r="54" spans="1:8" ht="16.5" thickBot="1" x14ac:dyDescent="0.3">
      <c r="A54" s="55">
        <v>39</v>
      </c>
      <c r="B54" s="59" t="s">
        <v>91</v>
      </c>
      <c r="C54" s="51"/>
      <c r="D54" s="60"/>
      <c r="E54" s="55" t="s">
        <v>74</v>
      </c>
      <c r="F54" s="63">
        <v>11500</v>
      </c>
      <c r="G54" s="55">
        <v>1</v>
      </c>
      <c r="H54" s="38">
        <f t="shared" si="2"/>
        <v>11500</v>
      </c>
    </row>
    <row r="55" spans="1:8" ht="16.5" thickBot="1" x14ac:dyDescent="0.3">
      <c r="A55" s="55"/>
      <c r="B55" s="59"/>
      <c r="C55" s="51"/>
      <c r="D55" s="60"/>
      <c r="E55" s="55"/>
      <c r="F55" s="63"/>
      <c r="G55" s="55"/>
      <c r="H55" s="38"/>
    </row>
    <row r="56" spans="1:8" ht="19.5" customHeight="1" thickBot="1" x14ac:dyDescent="0.3">
      <c r="A56" s="56"/>
      <c r="B56" s="45"/>
      <c r="C56" s="42"/>
      <c r="D56" s="61"/>
      <c r="E56" s="64"/>
      <c r="F56" s="64"/>
      <c r="G56" s="64"/>
    </row>
    <row r="57" spans="1:8" ht="19.5" customHeight="1" thickBot="1" x14ac:dyDescent="0.35">
      <c r="A57" s="53" t="s">
        <v>23</v>
      </c>
      <c r="B57" s="14" t="s">
        <v>92</v>
      </c>
      <c r="D57" s="15"/>
      <c r="E57" s="65"/>
      <c r="F57" s="37" t="s">
        <v>29</v>
      </c>
      <c r="G57" s="6"/>
      <c r="H57" s="7"/>
    </row>
    <row r="58" spans="1:8" ht="19.5" customHeight="1" thickBot="1" x14ac:dyDescent="0.3">
      <c r="A58" s="39"/>
      <c r="B58" s="16" t="s">
        <v>93</v>
      </c>
      <c r="C58" s="4"/>
      <c r="D58" s="4"/>
      <c r="E58" s="68" t="s">
        <v>24</v>
      </c>
      <c r="F58" s="69"/>
      <c r="G58" s="47"/>
      <c r="H58" s="66">
        <f>SUM(H16:H54)</f>
        <v>1386557</v>
      </c>
    </row>
    <row r="59" spans="1:8" ht="19.5" customHeight="1" x14ac:dyDescent="0.25">
      <c r="A59" s="24" t="s">
        <v>25</v>
      </c>
      <c r="B59" s="12"/>
      <c r="C59" s="12"/>
      <c r="D59" s="12"/>
      <c r="E59" s="70" t="s">
        <v>30</v>
      </c>
      <c r="F59" s="23"/>
      <c r="G59" s="71">
        <v>0.19</v>
      </c>
      <c r="H59" s="40">
        <f>H58*G59</f>
        <v>263445.83</v>
      </c>
    </row>
    <row r="60" spans="1:8" ht="19.5" customHeight="1" x14ac:dyDescent="0.25">
      <c r="A60" s="14" t="s">
        <v>31</v>
      </c>
      <c r="E60" s="72" t="s">
        <v>26</v>
      </c>
      <c r="G60" s="75">
        <v>2.5000000000000001E-2</v>
      </c>
      <c r="H60" s="67">
        <f>H58*G60</f>
        <v>34663.925000000003</v>
      </c>
    </row>
    <row r="61" spans="1:8" ht="15.75" x14ac:dyDescent="0.25">
      <c r="A61" s="14" t="s">
        <v>38</v>
      </c>
      <c r="E61" s="14"/>
      <c r="F61" s="33"/>
      <c r="G61" s="48"/>
      <c r="H61" s="15"/>
    </row>
    <row r="62" spans="1:8" ht="16.5" thickBot="1" x14ac:dyDescent="0.3">
      <c r="A62" s="14" t="s">
        <v>34</v>
      </c>
      <c r="E62" s="73" t="s">
        <v>27</v>
      </c>
      <c r="F62" s="74"/>
      <c r="G62" s="49"/>
      <c r="H62" s="17"/>
    </row>
    <row r="63" spans="1:8" ht="19.5" thickBot="1" x14ac:dyDescent="0.35">
      <c r="A63" s="16"/>
      <c r="B63" s="4"/>
      <c r="C63" s="4"/>
      <c r="D63" s="17"/>
      <c r="F63" s="3"/>
      <c r="G63" s="34" t="s">
        <v>28</v>
      </c>
      <c r="H63" s="36">
        <f>H58+H59-H60</f>
        <v>1615338.905</v>
      </c>
    </row>
    <row r="64" spans="1:8" ht="16.5" customHeight="1" x14ac:dyDescent="0.25"/>
    <row r="69" spans="1:8" ht="15.75" thickBot="1" x14ac:dyDescent="0.3"/>
    <row r="70" spans="1:8" ht="19.5" thickBot="1" x14ac:dyDescent="0.35">
      <c r="A70" s="25" t="s">
        <v>35</v>
      </c>
      <c r="B70" s="6"/>
      <c r="C70" s="6"/>
      <c r="D70" s="6"/>
      <c r="E70" s="6"/>
      <c r="F70" s="6"/>
      <c r="G70" s="6"/>
      <c r="H70" s="7"/>
    </row>
    <row r="78" spans="1:8" ht="18.75" x14ac:dyDescent="0.3">
      <c r="A78" s="5"/>
    </row>
  </sheetData>
  <hyperlinks>
    <hyperlink ref="C10" r:id="rId1" xr:uid="{B5E98794-70A2-4DF7-921B-4B8CEFC6BA0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CRISTALINDA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2024-09-28T20:05:01Z</dcterms:modified>
</cp:coreProperties>
</file>