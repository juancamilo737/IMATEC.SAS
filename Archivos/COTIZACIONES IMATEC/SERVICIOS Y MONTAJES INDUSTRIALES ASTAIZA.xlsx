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60200E06-F60D-4883-84F4-8E3FE40F4FC4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ASTAIZ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" i="1" l="1"/>
  <c r="H24" i="1"/>
  <c r="H26" i="1"/>
  <c r="H28" i="1"/>
  <c r="H22" i="1"/>
  <c r="H20" i="1"/>
  <c r="H18" i="1"/>
  <c r="H16" i="1"/>
  <c r="H39" i="1" l="1"/>
  <c r="H43" i="1" s="1"/>
</calcChain>
</file>

<file path=xl/sharedStrings.xml><?xml version="1.0" encoding="utf-8"?>
<sst xmlns="http://schemas.openxmlformats.org/spreadsheetml/2006/main" count="68" uniqueCount="62">
  <si>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</si>
  <si>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</si>
  <si>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</si>
  <si>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</si>
  <si>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</si>
  <si>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</si>
  <si>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</si>
  <si>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</si>
  <si>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</si>
  <si>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</si>
  <si>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</si>
  <si>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</si>
  <si>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</si>
  <si>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</si>
  <si>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</si>
  <si>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</si>
  <si>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</si>
  <si>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</si>
  <si>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</si>
  <si>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</si>
  <si>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</si>
  <si>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</si>
  <si>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</si>
  <si>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</si>
  <si>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</si>
  <si>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</si>
  <si>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</si>
  <si>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</si>
  <si>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</si>
  <si>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</si>
  <si>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</si>
  <si>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</si>
  <si>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</si>
  <si>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</si>
  <si>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</si>
  <si>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</si>
  <si>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</si>
  <si>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8 DIAS</t>
  </si>
  <si>
    <t>ITEM</t>
  </si>
  <si>
    <t>CONTACTOS   310 8306118       319 7174165        321 7834969</t>
  </si>
  <si>
    <t>SERVICIOS Y MONTAJES INDUSTRIALES ASTAIZA  S.A.S.</t>
  </si>
  <si>
    <t>800 255993</t>
  </si>
  <si>
    <t>CRA 1 H  No. 39-65</t>
  </si>
  <si>
    <t>CALI</t>
  </si>
  <si>
    <t>contabilidad@montajesastaiza.com</t>
  </si>
  <si>
    <t>311 4175262</t>
  </si>
  <si>
    <t>LUIS A. BENAVIDES</t>
  </si>
  <si>
    <t>FORMA DE PAGO : CREDITO  A  30 DIAS</t>
  </si>
  <si>
    <t>ENTREGA EN 8 DIAS A PARTIR DE ORDEN DE COMPRA</t>
  </si>
  <si>
    <t xml:space="preserve">  CALLE  33B  No. 17C - 70   2º PISO              B/  LA FLORESTA             -   CALI    -                                  CEL.     321 7834969</t>
  </si>
  <si>
    <t xml:space="preserve">REDUCCION COPA CONCENTRICA  SCH 40 </t>
  </si>
  <si>
    <t>3 "  X  1 1/4 "</t>
  </si>
  <si>
    <t>ACCESORIO</t>
  </si>
  <si>
    <t>REDUCCION COPA A / C COPA CONCENTRICA</t>
  </si>
  <si>
    <t>SCH 40  1 1/4 "  X  1 "</t>
  </si>
  <si>
    <t>CODO  A / C  SCH 40   3 "  X  90º</t>
  </si>
  <si>
    <t>BRIDA A / C SLIPON  1 1/2 "   X  150 L</t>
  </si>
  <si>
    <t>TEE HIERRO MALEABLE 300 LB  1 "</t>
  </si>
  <si>
    <t>UNIVERSAL  A / C 3000 LB NPT  1 "</t>
  </si>
  <si>
    <t>BRIDA  A / C SLIPON  150 LB  1 "</t>
  </si>
  <si>
    <t xml:space="preserve">SEISCIENTOS CINCUENTA Y SIETE MIL CIENTO SEIS 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</si>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</sst>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4" fillId="0" borderId="26" xfId="0" applyFont="1" applyBorder="1"/>
    <xf numFmtId="0" fontId="0" fillId="0" borderId="0" xfId="0" applyAlignment="1">
      <alignment horizontal="center"/>
    </xf>
    <xf numFmtId="42" fontId="1" fillId="0" borderId="20" xfId="0" applyNumberFormat="1" applyFont="1" applyBorder="1"/>
    <xf numFmtId="10" fontId="1" fillId="0" borderId="0" xfId="0" applyNumberFormat="1" applyFont="1"/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8" fillId="0" borderId="20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montajesastaiz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7"/>
  <sheetViews>
    <sheetView tabSelected="1" topLeftCell="A34" zoomScaleNormal="100" workbookViewId="0">
      <selection activeCell="C51" sqref="C51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33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35</v>
      </c>
      <c r="E4" s="19"/>
      <c r="F4" s="20"/>
      <c r="G4" s="6"/>
      <c r="H4" s="7"/>
    </row>
    <row r="5" spans="1:8" ht="19.5" thickBot="1" x14ac:dyDescent="0.35">
      <c r="A5" s="70" t="s">
        <v>39</v>
      </c>
      <c r="B5" s="6"/>
      <c r="C5" s="6"/>
      <c r="D5" s="6"/>
      <c r="E5" s="6"/>
    </row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2" t="s">
        <v>40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41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42</v>
      </c>
      <c r="D9" s="25"/>
      <c r="E9" s="26" t="s">
        <v>43</v>
      </c>
      <c r="F9" s="33" t="s">
        <v>0</v>
      </c>
      <c r="H9" s="34">
        <v>45477</v>
      </c>
    </row>
    <row r="10" spans="1:8" ht="18.75" x14ac:dyDescent="0.3">
      <c r="A10" s="22" t="s">
        <v>14</v>
      </c>
      <c r="C10" s="57" t="s">
        <v>44</v>
      </c>
      <c r="D10" s="27"/>
      <c r="E10" s="27"/>
      <c r="F10" s="33" t="s">
        <v>16</v>
      </c>
      <c r="H10" s="35" t="s">
        <v>37</v>
      </c>
    </row>
    <row r="11" spans="1:8" ht="18.75" x14ac:dyDescent="0.3">
      <c r="A11" s="22" t="s">
        <v>11</v>
      </c>
      <c r="C11" s="26"/>
      <c r="D11" s="27"/>
      <c r="E11" s="27"/>
      <c r="F11" s="33" t="s">
        <v>17</v>
      </c>
      <c r="G11" s="36"/>
      <c r="H11" s="34">
        <v>45485</v>
      </c>
    </row>
    <row r="12" spans="1:8" ht="18.75" x14ac:dyDescent="0.3">
      <c r="A12" s="22" t="s">
        <v>12</v>
      </c>
      <c r="C12" s="26" t="s">
        <v>45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46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38</v>
      </c>
      <c r="B15" s="61" t="s">
        <v>25</v>
      </c>
      <c r="C15" s="19"/>
      <c r="D15" s="7"/>
      <c r="E15" s="38" t="s">
        <v>21</v>
      </c>
      <c r="F15" s="38" t="s">
        <v>23</v>
      </c>
      <c r="G15" s="38" t="s">
        <v>22</v>
      </c>
      <c r="H15" s="38" t="s">
        <v>24</v>
      </c>
    </row>
    <row r="16" spans="1:8" ht="15.75" x14ac:dyDescent="0.25">
      <c r="A16" s="62">
        <v>1</v>
      </c>
      <c r="B16" s="41" t="s">
        <v>50</v>
      </c>
      <c r="C16" s="42"/>
      <c r="D16" s="63"/>
      <c r="E16" s="62" t="s">
        <v>52</v>
      </c>
      <c r="F16" s="66">
        <v>22750</v>
      </c>
      <c r="G16" s="62">
        <v>1</v>
      </c>
      <c r="H16" s="64">
        <f>G16*F16</f>
        <v>22750</v>
      </c>
    </row>
    <row r="17" spans="1:10" ht="15.75" x14ac:dyDescent="0.25">
      <c r="A17" s="77"/>
      <c r="B17" s="42" t="s">
        <v>51</v>
      </c>
      <c r="E17" s="46"/>
      <c r="F17" s="39"/>
      <c r="G17" s="62"/>
      <c r="H17" s="55"/>
      <c r="I17" s="39"/>
      <c r="J17" s="39"/>
    </row>
    <row r="18" spans="1:10" ht="15" customHeight="1" x14ac:dyDescent="0.25">
      <c r="A18" s="62">
        <v>2</v>
      </c>
      <c r="B18" s="41" t="s">
        <v>57</v>
      </c>
      <c r="C18" s="42"/>
      <c r="D18" s="81"/>
      <c r="E18" s="62" t="s">
        <v>52</v>
      </c>
      <c r="F18" s="65">
        <v>24100</v>
      </c>
      <c r="G18" s="62">
        <v>1</v>
      </c>
      <c r="H18" s="73">
        <f>F18*G18</f>
        <v>24100</v>
      </c>
      <c r="I18" s="39"/>
      <c r="J18" s="39"/>
    </row>
    <row r="19" spans="1:10" ht="15.75" x14ac:dyDescent="0.25">
      <c r="A19" s="62"/>
      <c r="B19" s="41"/>
      <c r="C19" s="42"/>
      <c r="D19" s="81"/>
      <c r="E19" s="79"/>
      <c r="F19" s="65"/>
      <c r="G19" s="62"/>
      <c r="H19" s="73"/>
      <c r="I19" s="39"/>
      <c r="J19" s="39"/>
    </row>
    <row r="20" spans="1:10" ht="15.75" x14ac:dyDescent="0.25">
      <c r="A20" s="62">
        <v>3</v>
      </c>
      <c r="B20" s="41" t="s">
        <v>58</v>
      </c>
      <c r="C20" s="42"/>
      <c r="D20" s="81"/>
      <c r="E20" s="62" t="s">
        <v>52</v>
      </c>
      <c r="F20" s="65">
        <v>32300</v>
      </c>
      <c r="G20" s="62">
        <v>1</v>
      </c>
      <c r="H20" s="73">
        <f t="shared" ref="H20:H28" si="0">F20*G20</f>
        <v>32300</v>
      </c>
      <c r="I20" s="39"/>
      <c r="J20" s="39"/>
    </row>
    <row r="21" spans="1:10" ht="15.75" x14ac:dyDescent="0.25">
      <c r="A21" s="62"/>
      <c r="B21" s="41"/>
      <c r="C21" s="42"/>
      <c r="D21" s="81"/>
      <c r="E21" s="80"/>
      <c r="F21" s="65"/>
      <c r="G21" s="62"/>
      <c r="H21" s="73"/>
      <c r="I21" s="39"/>
      <c r="J21" s="39"/>
    </row>
    <row r="22" spans="1:10" ht="15.75" x14ac:dyDescent="0.25">
      <c r="A22" s="62">
        <v>4</v>
      </c>
      <c r="B22" s="41" t="s">
        <v>59</v>
      </c>
      <c r="C22" s="42"/>
      <c r="D22" s="81"/>
      <c r="E22" s="62" t="s">
        <v>52</v>
      </c>
      <c r="F22" s="65">
        <v>58200</v>
      </c>
      <c r="G22" s="62">
        <v>5</v>
      </c>
      <c r="H22" s="73">
        <f t="shared" si="0"/>
        <v>291000</v>
      </c>
      <c r="I22" s="39"/>
      <c r="J22" s="39"/>
    </row>
    <row r="23" spans="1:10" ht="19.5" customHeight="1" x14ac:dyDescent="0.25">
      <c r="A23" s="78"/>
      <c r="B23" s="41"/>
      <c r="C23" s="42"/>
      <c r="D23" s="81"/>
      <c r="E23" s="80"/>
      <c r="F23" s="65"/>
      <c r="G23" s="62"/>
      <c r="H23" s="73"/>
      <c r="I23" s="39"/>
      <c r="J23" s="39"/>
    </row>
    <row r="24" spans="1:10" ht="19.5" customHeight="1" x14ac:dyDescent="0.25">
      <c r="A24" s="62">
        <v>5</v>
      </c>
      <c r="B24" s="41" t="s">
        <v>53</v>
      </c>
      <c r="C24" s="42"/>
      <c r="D24" s="81"/>
      <c r="E24" s="62" t="s">
        <v>52</v>
      </c>
      <c r="F24" s="65">
        <v>5730</v>
      </c>
      <c r="G24" s="62">
        <v>1</v>
      </c>
      <c r="H24" s="73">
        <f t="shared" si="0"/>
        <v>5730</v>
      </c>
      <c r="I24" s="39"/>
      <c r="J24" s="39"/>
    </row>
    <row r="25" spans="1:10" ht="19.5" customHeight="1" x14ac:dyDescent="0.25">
      <c r="A25" s="62"/>
      <c r="B25" s="41" t="s">
        <v>54</v>
      </c>
      <c r="C25" s="42"/>
      <c r="D25" s="81"/>
      <c r="E25" s="80"/>
      <c r="F25" s="65"/>
      <c r="H25" s="73"/>
      <c r="I25" s="39"/>
      <c r="J25" s="39"/>
    </row>
    <row r="26" spans="1:10" ht="19.5" customHeight="1" x14ac:dyDescent="0.25">
      <c r="A26" s="62">
        <v>6</v>
      </c>
      <c r="B26" s="41" t="s">
        <v>55</v>
      </c>
      <c r="C26" s="42"/>
      <c r="D26" s="81"/>
      <c r="E26" s="62" t="s">
        <v>52</v>
      </c>
      <c r="F26" s="65">
        <v>26910</v>
      </c>
      <c r="G26" s="72">
        <v>1</v>
      </c>
      <c r="H26" s="73">
        <f t="shared" si="0"/>
        <v>26910</v>
      </c>
      <c r="I26" s="39"/>
      <c r="J26" s="39"/>
    </row>
    <row r="27" spans="1:10" ht="19.5" customHeight="1" x14ac:dyDescent="0.25">
      <c r="A27" s="62"/>
      <c r="B27" s="41"/>
      <c r="C27" s="42"/>
      <c r="D27" s="81"/>
      <c r="E27" s="80"/>
      <c r="F27" s="65"/>
      <c r="G27" s="72"/>
      <c r="H27" s="73"/>
      <c r="I27" s="39"/>
      <c r="J27" s="39"/>
    </row>
    <row r="28" spans="1:10" ht="19.5" customHeight="1" x14ac:dyDescent="0.25">
      <c r="A28" s="62">
        <v>7</v>
      </c>
      <c r="B28" s="41" t="s">
        <v>56</v>
      </c>
      <c r="C28" s="42"/>
      <c r="D28" s="81"/>
      <c r="E28" s="62" t="s">
        <v>52</v>
      </c>
      <c r="F28" s="65">
        <v>49800</v>
      </c>
      <c r="G28" s="72">
        <v>3</v>
      </c>
      <c r="H28" s="73">
        <f t="shared" si="0"/>
        <v>149400</v>
      </c>
      <c r="I28" s="39"/>
      <c r="J28" s="39"/>
    </row>
    <row r="29" spans="1:10" ht="19.5" customHeight="1" x14ac:dyDescent="0.25">
      <c r="B29" s="41"/>
      <c r="C29" s="42"/>
      <c r="D29" s="42"/>
      <c r="E29" s="46"/>
      <c r="F29" s="67"/>
      <c r="H29" s="40"/>
      <c r="I29" s="39"/>
      <c r="J29" s="39"/>
    </row>
    <row r="30" spans="1:10" ht="19.5" customHeight="1" x14ac:dyDescent="0.25">
      <c r="B30" s="41"/>
      <c r="C30" s="42"/>
      <c r="D30" s="42"/>
      <c r="E30" s="46"/>
      <c r="F30" s="67"/>
      <c r="H30" s="40"/>
    </row>
    <row r="31" spans="1:10" ht="19.5" customHeight="1" x14ac:dyDescent="0.25">
      <c r="B31" s="41"/>
      <c r="C31" s="42"/>
      <c r="D31" s="42"/>
      <c r="E31" s="46"/>
      <c r="F31" s="67"/>
      <c r="H31" s="40"/>
    </row>
    <row r="32" spans="1:10" ht="19.5" customHeight="1" x14ac:dyDescent="0.25">
      <c r="B32" s="41"/>
      <c r="E32" s="46"/>
      <c r="F32" s="67"/>
      <c r="H32" s="40"/>
    </row>
    <row r="33" spans="1:8" ht="19.5" customHeight="1" x14ac:dyDescent="0.25">
      <c r="B33" s="41"/>
      <c r="E33" s="46"/>
      <c r="F33" s="67"/>
      <c r="H33" s="40"/>
    </row>
    <row r="34" spans="1:8" ht="19.5" customHeight="1" x14ac:dyDescent="0.25">
      <c r="B34" s="41"/>
      <c r="E34" s="46"/>
      <c r="F34" s="67"/>
      <c r="H34" s="40"/>
    </row>
    <row r="35" spans="1:8" ht="19.5" customHeight="1" x14ac:dyDescent="0.25">
      <c r="B35" s="43"/>
      <c r="C35" s="44"/>
      <c r="D35" s="44"/>
      <c r="E35" s="24"/>
      <c r="F35" s="68"/>
      <c r="G35" s="44"/>
      <c r="H35" s="45"/>
    </row>
    <row r="36" spans="1:8" ht="19.5" customHeight="1" thickBot="1" x14ac:dyDescent="0.3">
      <c r="H36" s="69"/>
    </row>
    <row r="37" spans="1:8" ht="19.5" customHeight="1" thickBot="1" x14ac:dyDescent="0.35">
      <c r="A37" s="75" t="s">
        <v>26</v>
      </c>
      <c r="B37" s="12" t="s">
        <v>60</v>
      </c>
      <c r="C37" s="13"/>
      <c r="D37" s="14"/>
      <c r="E37" s="13"/>
      <c r="F37" s="47" t="s">
        <v>32</v>
      </c>
      <c r="G37" s="13"/>
      <c r="H37" s="7"/>
    </row>
    <row r="38" spans="1:8" ht="19.5" customHeight="1" thickBot="1" x14ac:dyDescent="0.3">
      <c r="A38" s="76"/>
      <c r="B38" s="17" t="s">
        <v>61</v>
      </c>
      <c r="C38" s="4"/>
      <c r="D38" s="4"/>
      <c r="E38" s="48" t="s">
        <v>27</v>
      </c>
      <c r="F38" s="49"/>
      <c r="G38" s="27"/>
      <c r="H38" s="58">
        <f>SUM(H16:H28)</f>
        <v>552190</v>
      </c>
    </row>
    <row r="39" spans="1:8" ht="19.5" customHeight="1" thickBot="1" x14ac:dyDescent="0.3">
      <c r="A39" s="28" t="s">
        <v>28</v>
      </c>
      <c r="B39" s="13"/>
      <c r="C39" s="13"/>
      <c r="D39" s="14"/>
      <c r="E39" s="3" t="s">
        <v>34</v>
      </c>
      <c r="F39" s="71"/>
      <c r="G39" s="51">
        <v>0.19</v>
      </c>
      <c r="H39" s="59">
        <f>H38*G39</f>
        <v>104916.1</v>
      </c>
    </row>
    <row r="40" spans="1:8" ht="16.5" thickTop="1" x14ac:dyDescent="0.25">
      <c r="A40" s="15" t="s">
        <v>47</v>
      </c>
      <c r="D40" s="16"/>
      <c r="E40" s="49" t="s">
        <v>29</v>
      </c>
      <c r="G40" s="74">
        <v>2.5000000000000001E-2</v>
      </c>
      <c r="H40" s="52">
        <v>0</v>
      </c>
    </row>
    <row r="41" spans="1:8" ht="15.75" x14ac:dyDescent="0.25">
      <c r="A41" s="15" t="s">
        <v>48</v>
      </c>
      <c r="D41" s="16"/>
      <c r="F41" s="49"/>
      <c r="G41" s="27"/>
      <c r="H41" s="53"/>
    </row>
    <row r="42" spans="1:8" ht="16.5" thickBot="1" x14ac:dyDescent="0.3">
      <c r="A42" s="15" t="s">
        <v>36</v>
      </c>
      <c r="D42" s="16"/>
      <c r="E42" s="49" t="s">
        <v>30</v>
      </c>
      <c r="F42" s="49"/>
      <c r="G42" s="27"/>
      <c r="H42" s="54"/>
    </row>
    <row r="43" spans="1:8" ht="16.5" customHeight="1" thickBot="1" x14ac:dyDescent="0.35">
      <c r="A43" s="17"/>
      <c r="B43" s="4"/>
      <c r="C43" s="4"/>
      <c r="D43" s="18"/>
      <c r="F43" s="3"/>
      <c r="G43" s="50" t="s">
        <v>31</v>
      </c>
      <c r="H43" s="60">
        <f>H38+H39</f>
        <v>657106.1</v>
      </c>
    </row>
    <row r="45" spans="1:8" x14ac:dyDescent="0.25">
      <c r="A45" t="s">
        <v>1</v>
      </c>
    </row>
    <row r="47" spans="1:8" ht="15.75" thickBot="1" x14ac:dyDescent="0.3"/>
    <row r="48" spans="1:8" ht="19.5" thickBot="1" x14ac:dyDescent="0.35">
      <c r="A48" s="29" t="s">
        <v>49</v>
      </c>
      <c r="B48" s="6"/>
      <c r="C48" s="6"/>
      <c r="D48" s="6"/>
      <c r="E48" s="6"/>
      <c r="F48" s="6"/>
      <c r="G48" s="6"/>
      <c r="H48" s="7"/>
    </row>
    <row r="57" spans="1:1" ht="18.75" x14ac:dyDescent="0.3">
      <c r="A57" s="5"/>
    </row>
  </sheetData>
  <mergeCells count="1">
    <mergeCell ref="A37:A38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ASTAIZA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2024-07-04T21:39:20Z</dcterms:modified>
</cp:coreProperties>
</file>