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F:\COTIZACIONES  I M A T E C  COMERCIALIZADORA\"/>
    </mc:Choice>
  </mc:AlternateContent>
  <xr:revisionPtr revIDLastSave="0" documentId="13_ncr:1_{ECB5B8CC-FDBE-463F-B1E8-2B173B1AFCCF}" xr6:coauthVersionLast="47" xr6:coauthVersionMax="47" xr10:uidLastSave="{00000000-0000-0000-0000-000000000000}"/>
  <bookViews>
    <workbookView xWindow="-120" yWindow="-120" windowWidth="15600" windowHeight="11310" xr2:uid="{00000000-000D-0000-FFFF-FFFF00000000}"/>
  </bookViews>
  <sheets>
    <sheet name="DANY MUÑO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7" i="1"/>
  <c r="H16" i="1"/>
  <c r="H23" i="1" l="1"/>
  <c r="H27" i="1" s="1"/>
</calcChain>
</file>

<file path=xl/sharedStrings.xml><?xml version="1.0" encoding="utf-8"?>
<sst xmlns="http://schemas.openxmlformats.org/spreadsheetml/2006/main" count="60" uniqueCount="57">
  <si>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</si>
  <si>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</si>
  <si>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</si>
  <si>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</si>
  <si>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</si>
  <si>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</si>
  <si>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</si>
  <si>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</si>
  <si>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</si>
  <si>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</si>
  <si>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</si>
  <si>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</si>
  <si>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</si>
  <si>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</si>
  <si>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</si>
  <si>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</si>
  <si>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</si>
  <si>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</si>
  <si>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</si>
  <si>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</si>
  <si>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</si>
  <si>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</si>
  <si>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</si>
  <si>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</si>
  <si>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</si>
  <si>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</si>
  <si>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</si>
  <si>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</si>
  <si>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</si>
  <si>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</si>
  <si>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</si>
  <si>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</si>
  <si>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</si>
  <si>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</si>
  <si>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</si>
  <si>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</si>
  <si>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8 DIAS</t>
  </si>
  <si>
    <t>ITEM</t>
  </si>
  <si>
    <t>ACCESORIO</t>
  </si>
  <si>
    <t>CONTACTOS   310 8306118       319 7174165        321 7834969</t>
  </si>
  <si>
    <t>ENTREGA INMEDIATA</t>
  </si>
  <si>
    <t>LUIS A. BENAVIDES</t>
  </si>
  <si>
    <t xml:space="preserve">              R E M I S I O N </t>
  </si>
  <si>
    <t>MDA / CTE</t>
  </si>
  <si>
    <t>DANY MUÑOZ BURBANO</t>
  </si>
  <si>
    <t>CALLE 22 No. 1A-67</t>
  </si>
  <si>
    <t>PASTO</t>
  </si>
  <si>
    <t>taller_inox@yahoo.es</t>
  </si>
  <si>
    <t>DISEÑO INDUSTRIAL</t>
  </si>
  <si>
    <t>315 6602227</t>
  </si>
  <si>
    <t>UNION A / C 1/2 "  X  300 LB</t>
  </si>
  <si>
    <t>UNION A / C  1 "  X  300 LB</t>
  </si>
  <si>
    <t>UNION A / C  2 "  X  300 LB</t>
  </si>
  <si>
    <t>UNIVERSAL AC/INOX  304  1 " SANITARIA</t>
  </si>
  <si>
    <t>SETENTA Y SEIS MIL SEISCIENTOS NOVENTA Y SEIS PESOS</t>
  </si>
  <si>
    <t>FORMA DE PAGO : CONTADO</t>
  </si>
  <si>
    <t xml:space="preserve">  CALLE  33B  No. 17C - 70  2º  PISO               B/  LA FLORESTA             -   CALI    -                                  CEL.     321 7834969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</si>
</sst>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0" fillId="0" borderId="18" xfId="0" applyBorder="1"/>
    <xf numFmtId="0" fontId="0" fillId="0" borderId="17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5" fillId="0" borderId="7" xfId="0" applyFont="1" applyBorder="1"/>
    <xf numFmtId="0" fontId="4" fillId="0" borderId="17" xfId="0" applyFont="1" applyBorder="1"/>
    <xf numFmtId="0" fontId="4" fillId="0" borderId="13" xfId="0" applyFont="1" applyBorder="1"/>
    <xf numFmtId="0" fontId="5" fillId="0" borderId="20" xfId="0" applyFont="1" applyBorder="1"/>
    <xf numFmtId="9" fontId="1" fillId="0" borderId="17" xfId="0" applyNumberFormat="1" applyFont="1" applyBorder="1"/>
    <xf numFmtId="42" fontId="1" fillId="0" borderId="21" xfId="0" applyNumberFormat="1" applyFont="1" applyBorder="1"/>
    <xf numFmtId="0" fontId="0" fillId="0" borderId="21" xfId="0" applyBorder="1"/>
    <xf numFmtId="0" fontId="0" fillId="0" borderId="20" xfId="0" applyBorder="1"/>
    <xf numFmtId="0" fontId="12" fillId="0" borderId="0" xfId="0" applyFont="1" applyAlignment="1">
      <alignment horizontal="center"/>
    </xf>
    <xf numFmtId="0" fontId="13" fillId="0" borderId="17" xfId="2" applyBorder="1"/>
    <xf numFmtId="42" fontId="1" fillId="0" borderId="19" xfId="0" applyNumberFormat="1" applyFont="1" applyBorder="1" applyAlignment="1">
      <alignment horizontal="left"/>
    </xf>
    <xf numFmtId="42" fontId="1" fillId="0" borderId="21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/>
    </xf>
    <xf numFmtId="42" fontId="1" fillId="0" borderId="22" xfId="1" applyFont="1" applyBorder="1" applyAlignment="1">
      <alignment horizontal="left"/>
    </xf>
    <xf numFmtId="42" fontId="11" fillId="0" borderId="0" xfId="1" applyFont="1" applyBorder="1" applyAlignment="1">
      <alignment horizontal="center"/>
    </xf>
    <xf numFmtId="0" fontId="0" fillId="0" borderId="23" xfId="0" applyBorder="1"/>
    <xf numFmtId="0" fontId="5" fillId="0" borderId="4" xfId="0" applyFont="1" applyBorder="1"/>
    <xf numFmtId="0" fontId="0" fillId="0" borderId="24" xfId="0" applyBorder="1"/>
    <xf numFmtId="0" fontId="1" fillId="0" borderId="2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27" xfId="0" applyBorder="1"/>
    <xf numFmtId="0" fontId="1" fillId="0" borderId="7" xfId="0" applyFont="1" applyBorder="1"/>
    <xf numFmtId="0" fontId="0" fillId="0" borderId="0" xfId="0" applyBorder="1"/>
    <xf numFmtId="0" fontId="8" fillId="0" borderId="17" xfId="0" applyFont="1" applyBorder="1"/>
    <xf numFmtId="0" fontId="8" fillId="0" borderId="13" xfId="0" applyFont="1" applyBorder="1"/>
    <xf numFmtId="42" fontId="1" fillId="0" borderId="28" xfId="1" applyFont="1" applyBorder="1" applyAlignment="1">
      <alignment horizontal="left"/>
    </xf>
    <xf numFmtId="0" fontId="0" fillId="0" borderId="24" xfId="0" applyFont="1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aller_inox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7" zoomScaleNormal="100" workbookViewId="0">
      <selection activeCell="D18" sqref="D18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30" t="s">
        <v>8</v>
      </c>
      <c r="B4" s="6"/>
      <c r="C4" s="6"/>
      <c r="D4" s="31" t="s">
        <v>34</v>
      </c>
      <c r="E4" s="19"/>
      <c r="F4" s="20"/>
      <c r="G4" s="6"/>
      <c r="H4" s="7"/>
    </row>
    <row r="5" spans="1:8" ht="19.5" thickBot="1" x14ac:dyDescent="0.35">
      <c r="A5" s="58" t="s">
        <v>39</v>
      </c>
      <c r="B5" s="6"/>
      <c r="C5" s="6"/>
      <c r="D5" s="6"/>
      <c r="E5" s="6"/>
    </row>
    <row r="6" spans="1:8" ht="24.75" customHeight="1" thickBot="1" x14ac:dyDescent="0.45">
      <c r="F6" s="11" t="s">
        <v>42</v>
      </c>
      <c r="G6" s="19"/>
      <c r="H6" s="20"/>
    </row>
    <row r="7" spans="1:8" ht="19.5" thickBot="1" x14ac:dyDescent="0.35">
      <c r="A7" s="21" t="s">
        <v>15</v>
      </c>
      <c r="B7" s="13"/>
      <c r="C7" s="32" t="s">
        <v>44</v>
      </c>
      <c r="D7" s="13"/>
      <c r="E7" s="14"/>
      <c r="F7" s="29"/>
      <c r="G7" s="19"/>
      <c r="H7" s="20"/>
    </row>
    <row r="8" spans="1:8" ht="18.75" x14ac:dyDescent="0.3">
      <c r="A8" s="22" t="s">
        <v>9</v>
      </c>
      <c r="C8" s="26">
        <v>98400649</v>
      </c>
      <c r="D8" s="27"/>
      <c r="E8" s="27"/>
      <c r="F8" s="12"/>
      <c r="G8" s="13"/>
      <c r="H8" s="14"/>
    </row>
    <row r="9" spans="1:8" ht="18.75" customHeight="1" x14ac:dyDescent="0.3">
      <c r="A9" s="22" t="s">
        <v>10</v>
      </c>
      <c r="C9" s="25" t="s">
        <v>45</v>
      </c>
      <c r="D9" s="25"/>
      <c r="E9" s="26" t="s">
        <v>46</v>
      </c>
      <c r="F9" s="33" t="s">
        <v>0</v>
      </c>
      <c r="H9" s="34">
        <v>45510</v>
      </c>
    </row>
    <row r="10" spans="1:8" ht="18.75" x14ac:dyDescent="0.3">
      <c r="A10" s="22" t="s">
        <v>14</v>
      </c>
      <c r="C10" s="50" t="s">
        <v>47</v>
      </c>
      <c r="D10" s="27"/>
      <c r="E10" s="27"/>
      <c r="F10" s="33" t="s">
        <v>16</v>
      </c>
      <c r="H10" s="35" t="s">
        <v>36</v>
      </c>
    </row>
    <row r="11" spans="1:8" ht="18.75" x14ac:dyDescent="0.3">
      <c r="A11" s="22" t="s">
        <v>11</v>
      </c>
      <c r="C11" s="26" t="s">
        <v>48</v>
      </c>
      <c r="D11" s="27"/>
      <c r="E11" s="27"/>
      <c r="F11" s="33" t="s">
        <v>17</v>
      </c>
      <c r="G11" s="36"/>
      <c r="H11" s="34">
        <v>45518</v>
      </c>
    </row>
    <row r="12" spans="1:8" ht="18.75" x14ac:dyDescent="0.3">
      <c r="A12" s="22" t="s">
        <v>12</v>
      </c>
      <c r="C12" s="26" t="s">
        <v>49</v>
      </c>
      <c r="D12" s="27"/>
      <c r="E12" s="27"/>
      <c r="F12" s="33" t="s">
        <v>18</v>
      </c>
      <c r="H12" s="37"/>
    </row>
    <row r="13" spans="1:8" ht="18.75" customHeight="1" thickBot="1" x14ac:dyDescent="0.35">
      <c r="A13" s="23" t="s">
        <v>13</v>
      </c>
      <c r="B13" s="4"/>
      <c r="C13" s="26" t="s">
        <v>41</v>
      </c>
      <c r="D13" s="27"/>
      <c r="E13" s="27"/>
      <c r="F13" s="17"/>
      <c r="G13" s="4"/>
      <c r="H13" s="18"/>
    </row>
    <row r="14" spans="1:8" ht="15.75" thickBot="1" x14ac:dyDescent="0.3"/>
    <row r="15" spans="1:8" ht="15.75" thickBot="1" x14ac:dyDescent="0.3">
      <c r="A15" s="61" t="s">
        <v>37</v>
      </c>
      <c r="B15" s="28" t="s">
        <v>24</v>
      </c>
      <c r="C15" s="66"/>
      <c r="D15" s="14"/>
      <c r="E15" s="38" t="s">
        <v>20</v>
      </c>
      <c r="F15" s="38" t="s">
        <v>22</v>
      </c>
      <c r="G15" s="38" t="s">
        <v>21</v>
      </c>
      <c r="H15" s="38" t="s">
        <v>23</v>
      </c>
    </row>
    <row r="16" spans="1:8" ht="16.5" thickBot="1" x14ac:dyDescent="0.3">
      <c r="A16" s="63">
        <v>1</v>
      </c>
      <c r="B16" s="68" t="s">
        <v>50</v>
      </c>
      <c r="C16" s="69"/>
      <c r="D16" s="59"/>
      <c r="E16" s="54" t="s">
        <v>38</v>
      </c>
      <c r="F16" s="56">
        <v>2100</v>
      </c>
      <c r="G16" s="54">
        <v>2</v>
      </c>
      <c r="H16" s="55">
        <f>G16*F16</f>
        <v>4200</v>
      </c>
    </row>
    <row r="17" spans="1:8" ht="16.5" thickBot="1" x14ac:dyDescent="0.3">
      <c r="A17" s="64">
        <v>2</v>
      </c>
      <c r="B17" s="68" t="s">
        <v>51</v>
      </c>
      <c r="C17" s="69"/>
      <c r="D17" s="59"/>
      <c r="E17" s="54" t="s">
        <v>38</v>
      </c>
      <c r="F17" s="56">
        <v>4250</v>
      </c>
      <c r="G17" s="54">
        <v>1</v>
      </c>
      <c r="H17" s="55">
        <f>G17*F17</f>
        <v>4250</v>
      </c>
    </row>
    <row r="18" spans="1:8" ht="16.5" thickBot="1" x14ac:dyDescent="0.3">
      <c r="A18" s="64">
        <v>3</v>
      </c>
      <c r="B18" s="68" t="s">
        <v>52</v>
      </c>
      <c r="C18" s="69"/>
      <c r="D18" s="59"/>
      <c r="E18" s="54" t="s">
        <v>38</v>
      </c>
      <c r="F18" s="56">
        <v>11000</v>
      </c>
      <c r="G18" s="54">
        <v>3</v>
      </c>
      <c r="H18" s="55">
        <f>G18*F18</f>
        <v>33000</v>
      </c>
    </row>
    <row r="19" spans="1:8" ht="16.5" thickBot="1" x14ac:dyDescent="0.3">
      <c r="A19" s="64">
        <v>4</v>
      </c>
      <c r="B19" s="68" t="s">
        <v>53</v>
      </c>
      <c r="C19" s="69"/>
      <c r="D19" s="71"/>
      <c r="E19" s="54" t="s">
        <v>38</v>
      </c>
      <c r="F19" s="56">
        <v>23000</v>
      </c>
      <c r="G19" s="54">
        <v>1</v>
      </c>
      <c r="H19" s="70">
        <f>G19*F19</f>
        <v>23000</v>
      </c>
    </row>
    <row r="20" spans="1:8" ht="19.5" customHeight="1" thickBot="1" x14ac:dyDescent="0.3">
      <c r="A20" s="65"/>
      <c r="B20" s="24"/>
      <c r="C20" s="39"/>
      <c r="D20" s="40"/>
      <c r="H20" s="57"/>
    </row>
    <row r="21" spans="1:8" ht="19.5" customHeight="1" thickBot="1" x14ac:dyDescent="0.35">
      <c r="A21" s="62" t="s">
        <v>25</v>
      </c>
      <c r="B21" s="15" t="s">
        <v>54</v>
      </c>
      <c r="C21" s="67"/>
      <c r="D21" s="16"/>
      <c r="E21" s="13"/>
      <c r="F21" s="41" t="s">
        <v>31</v>
      </c>
      <c r="G21" s="13"/>
      <c r="H21" s="7"/>
    </row>
    <row r="22" spans="1:8" ht="19.5" customHeight="1" thickBot="1" x14ac:dyDescent="0.3">
      <c r="A22" s="60"/>
      <c r="B22" s="17" t="s">
        <v>43</v>
      </c>
      <c r="C22" s="4"/>
      <c r="D22" s="4"/>
      <c r="E22" s="42" t="s">
        <v>26</v>
      </c>
      <c r="F22" s="43"/>
      <c r="G22" s="27"/>
      <c r="H22" s="51">
        <f>SUM(H16:H19)</f>
        <v>64450</v>
      </c>
    </row>
    <row r="23" spans="1:8" ht="19.5" customHeight="1" x14ac:dyDescent="0.25">
      <c r="A23" s="28" t="s">
        <v>27</v>
      </c>
      <c r="B23" s="13"/>
      <c r="C23" s="13"/>
      <c r="D23" s="14"/>
      <c r="E23" s="3" t="s">
        <v>33</v>
      </c>
      <c r="F23" s="59"/>
      <c r="G23" s="45">
        <v>0.19</v>
      </c>
      <c r="H23" s="52">
        <f>H22*G23</f>
        <v>12245.5</v>
      </c>
    </row>
    <row r="24" spans="1:8" ht="15.75" x14ac:dyDescent="0.25">
      <c r="A24" s="15" t="s">
        <v>55</v>
      </c>
      <c r="D24" s="16"/>
      <c r="E24" s="43" t="s">
        <v>28</v>
      </c>
      <c r="G24">
        <v>0</v>
      </c>
      <c r="H24" s="46"/>
    </row>
    <row r="25" spans="1:8" ht="15.75" x14ac:dyDescent="0.25">
      <c r="A25" s="15" t="s">
        <v>40</v>
      </c>
      <c r="D25" s="16"/>
      <c r="F25" s="43"/>
      <c r="G25" s="27"/>
      <c r="H25" s="47"/>
    </row>
    <row r="26" spans="1:8" ht="16.5" thickBot="1" x14ac:dyDescent="0.3">
      <c r="A26" s="15" t="s">
        <v>35</v>
      </c>
      <c r="D26" s="16"/>
      <c r="E26" s="43" t="s">
        <v>29</v>
      </c>
      <c r="F26" s="43"/>
      <c r="G26" s="27"/>
      <c r="H26" s="48"/>
    </row>
    <row r="27" spans="1:8" ht="16.5" customHeight="1" thickBot="1" x14ac:dyDescent="0.35">
      <c r="A27" s="17"/>
      <c r="B27" s="4"/>
      <c r="C27" s="4"/>
      <c r="D27" s="18"/>
      <c r="F27" s="3"/>
      <c r="G27" s="44" t="s">
        <v>30</v>
      </c>
      <c r="H27" s="53">
        <f>H22+H23</f>
        <v>76695.5</v>
      </c>
    </row>
    <row r="29" spans="1:8" x14ac:dyDescent="0.25">
      <c r="A29" t="s">
        <v>1</v>
      </c>
    </row>
    <row r="31" spans="1:8" ht="15.75" thickBot="1" x14ac:dyDescent="0.3"/>
    <row r="32" spans="1:8" ht="19.5" thickBot="1" x14ac:dyDescent="0.35">
      <c r="A32" s="29" t="s">
        <v>56</v>
      </c>
      <c r="B32" s="6"/>
      <c r="C32" s="6"/>
      <c r="D32" s="6"/>
      <c r="E32" s="6"/>
      <c r="F32" s="6"/>
      <c r="G32" s="6"/>
      <c r="H32" s="7"/>
    </row>
    <row r="41" spans="1:1" ht="18.75" x14ac:dyDescent="0.3">
      <c r="A41" s="5"/>
    </row>
  </sheetData>
  <mergeCells count="1">
    <mergeCell ref="A21:A22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DANY MUÑOZ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STUDENT</cp:lastModifiedBy>
  <cp:lastPrinted>2024-08-06T16:45:45Z</cp:lastPrinted>
  <dcterms:created xsi:type="dcterms:W3CDTF">2018-11-15T17:29:02Z</dcterms:created>
  <dcterms:modified xsi:type="dcterms:W3CDTF">2024-08-06T18:23:21Z</dcterms:modified>
</cp:coreProperties>
</file>