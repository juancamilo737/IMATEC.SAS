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480F21B-3CB9-46C1-9C13-5464A4432C8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NPAN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33" i="1"/>
  <c r="H31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2" i="1" l="1"/>
</calcChain>
</file>

<file path=xl/sharedStrings.xml><?xml version="1.0" encoding="utf-8"?>
<sst xmlns="http://schemas.openxmlformats.org/spreadsheetml/2006/main" count="78" uniqueCount="68">
  <si>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</si>
  <si>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</si>
  <si>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</si>
  <si>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</si>
  <si>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</si>
  <si>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</si>
  <si>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</si>
  <si>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</si>
  <si>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</si>
  <si>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</si>
  <si>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</si>
  <si>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</si>
  <si>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</si>
  <si>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</si>
  <si>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</si>
  <si>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</si>
  <si>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</si>
  <si>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</si>
  <si>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</si>
  <si>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</si>
  <si>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</si>
  <si>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</si>
  <si>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</si>
  <si>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</si>
  <si>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</si>
  <si>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</si>
  <si>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</si>
  <si>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</si>
  <si>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</si>
  <si>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</si>
  <si>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</si>
  <si>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</si>
  <si>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</si>
  <si>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</si>
  <si>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</si>
  <si>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</si>
  <si>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</si>
  <si>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</si>
  <si>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</si>
  <si>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</si>
  <si>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CONPANCOL INGENIEROS CONSTRUCTORES S.A.S.</t>
  </si>
  <si>
    <t>900 570187</t>
  </si>
  <si>
    <t>CRA 100  No. 16-321  OF 903</t>
  </si>
  <si>
    <t>CALI</t>
  </si>
  <si>
    <t>administracion@conpancol.co</t>
  </si>
  <si>
    <t>602 8886094</t>
  </si>
  <si>
    <t>EDINSON CABEZAS</t>
  </si>
  <si>
    <t>No. 1</t>
  </si>
  <si>
    <t>TUBERIA A / C  SCH 80  1 "</t>
  </si>
  <si>
    <t>TUBERIA A / C  SCH 80  2 "</t>
  </si>
  <si>
    <t>TUBERIA A / C  SCH 80  3 "</t>
  </si>
  <si>
    <t>METRO LINEAL</t>
  </si>
  <si>
    <t>TUBERIA A / C  SCH 80  1 1/2  "</t>
  </si>
  <si>
    <t>TUBERIA A / C  SCH 80  2 1/2  "</t>
  </si>
  <si>
    <t>TUBERIA A / C  SCH 40  3/4 "</t>
  </si>
  <si>
    <t>TUBERIA  AC/INOX 304  SCH 40  1 "  S/C</t>
  </si>
  <si>
    <t>TUBERIA  AC/INOX 304  SCH 40  2 "  S/C</t>
  </si>
  <si>
    <t>CODO A / C SCH 80  1 1/2 "  X  90º</t>
  </si>
  <si>
    <t>ACCESORIO</t>
  </si>
  <si>
    <t>REDUCCION COPA  A / C SCH 80  1 1/2 "  X  1 "</t>
  </si>
  <si>
    <t>REDUCCION COPA  A / C SCH 40  2 "  X  1 "</t>
  </si>
  <si>
    <t>CODO A / C SCH 40  2 "  X  90º</t>
  </si>
  <si>
    <t>PLATINA HR 3 "  X  3/8 "  X  6 MTS</t>
  </si>
  <si>
    <t>CERRAJERIA</t>
  </si>
  <si>
    <t>TREINTA Y CINCO MILLONES SEISCIENTOS VEINTICUATRO</t>
  </si>
  <si>
    <t>MIL SEISCIENTOS SETENTA PESOS MDA / CTE</t>
  </si>
  <si>
    <t>FORMA DE PAGO : ANTICIPO 50 %  SALDO CREDITO A 30 DIAS</t>
  </si>
  <si>
    <t>ENTREGA EN DOS DIAS ,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</si>
</sst>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8" xfId="0" applyFont="1" applyBorder="1"/>
    <xf numFmtId="0" fontId="8" fillId="0" borderId="13" xfId="0" applyFont="1" applyBorder="1"/>
    <xf numFmtId="0" fontId="8" fillId="0" borderId="39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conpanco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1"/>
  <sheetViews>
    <sheetView tabSelected="1" topLeftCell="A20" zoomScaleNormal="100" workbookViewId="0">
      <selection activeCell="E37" sqref="E3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70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72" t="s">
        <v>41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42</v>
      </c>
      <c r="D9" s="23"/>
      <c r="E9" s="75" t="s">
        <v>43</v>
      </c>
      <c r="F9" s="30" t="s">
        <v>0</v>
      </c>
      <c r="H9" s="28">
        <v>45594</v>
      </c>
    </row>
    <row r="10" spans="1:8" ht="18.75" x14ac:dyDescent="0.3">
      <c r="A10" s="21" t="s">
        <v>13</v>
      </c>
      <c r="C10" s="76" t="s">
        <v>44</v>
      </c>
      <c r="D10" s="71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45603</v>
      </c>
    </row>
    <row r="12" spans="1:8" ht="18.75" x14ac:dyDescent="0.3">
      <c r="A12" s="21" t="s">
        <v>11</v>
      </c>
      <c r="C12" s="77" t="s">
        <v>45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46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48</v>
      </c>
      <c r="C16" s="54"/>
      <c r="D16" s="55"/>
      <c r="E16" s="51" t="s">
        <v>51</v>
      </c>
      <c r="F16" s="57">
        <v>22950</v>
      </c>
      <c r="G16" s="51">
        <v>17.399999999999999</v>
      </c>
      <c r="H16" s="38">
        <f t="shared" ref="H16" si="0">G16*F16</f>
        <v>399329.99999999994</v>
      </c>
    </row>
    <row r="17" spans="1:8" ht="16.5" thickBot="1" x14ac:dyDescent="0.3">
      <c r="A17" s="51">
        <v>2</v>
      </c>
      <c r="B17" s="53" t="s">
        <v>52</v>
      </c>
      <c r="C17" s="54"/>
      <c r="D17" s="55"/>
      <c r="E17" s="51" t="s">
        <v>51</v>
      </c>
      <c r="F17" s="57">
        <v>32580</v>
      </c>
      <c r="G17" s="51">
        <v>108</v>
      </c>
      <c r="H17" s="38">
        <f t="shared" ref="H17:H18" si="1">G17*F17</f>
        <v>3518640</v>
      </c>
    </row>
    <row r="18" spans="1:8" ht="16.5" thickBot="1" x14ac:dyDescent="0.3">
      <c r="A18" s="51">
        <v>3</v>
      </c>
      <c r="B18" s="53" t="s">
        <v>49</v>
      </c>
      <c r="C18" s="54"/>
      <c r="D18" s="55"/>
      <c r="E18" s="51" t="s">
        <v>51</v>
      </c>
      <c r="F18" s="57">
        <v>44950</v>
      </c>
      <c r="G18" s="51">
        <v>17.399999999999999</v>
      </c>
      <c r="H18" s="38">
        <f t="shared" si="1"/>
        <v>782129.99999999988</v>
      </c>
    </row>
    <row r="19" spans="1:8" ht="16.5" thickBot="1" x14ac:dyDescent="0.3">
      <c r="A19" s="51">
        <v>4</v>
      </c>
      <c r="B19" s="53" t="s">
        <v>53</v>
      </c>
      <c r="C19" s="54"/>
      <c r="D19" s="55"/>
      <c r="E19" s="51" t="s">
        <v>51</v>
      </c>
      <c r="F19" s="57">
        <v>68700</v>
      </c>
      <c r="G19" s="51">
        <v>11.6</v>
      </c>
      <c r="H19" s="38">
        <f t="shared" ref="H19:H22" si="2">G19*F19</f>
        <v>796920</v>
      </c>
    </row>
    <row r="20" spans="1:8" ht="16.5" thickBot="1" x14ac:dyDescent="0.3">
      <c r="A20" s="51">
        <v>5</v>
      </c>
      <c r="B20" s="53" t="s">
        <v>50</v>
      </c>
      <c r="C20" s="54"/>
      <c r="D20" s="55"/>
      <c r="E20" s="51" t="s">
        <v>51</v>
      </c>
      <c r="F20" s="57">
        <v>94900</v>
      </c>
      <c r="G20" s="51">
        <v>11.6</v>
      </c>
      <c r="H20" s="38">
        <f t="shared" si="2"/>
        <v>1100840</v>
      </c>
    </row>
    <row r="21" spans="1:8" ht="16.5" thickBot="1" x14ac:dyDescent="0.3">
      <c r="A21" s="51">
        <v>6</v>
      </c>
      <c r="B21" s="53" t="s">
        <v>54</v>
      </c>
      <c r="C21" s="54"/>
      <c r="D21" s="55"/>
      <c r="E21" s="51" t="s">
        <v>51</v>
      </c>
      <c r="F21" s="57">
        <v>11050</v>
      </c>
      <c r="G21" s="51">
        <v>12</v>
      </c>
      <c r="H21" s="38">
        <f t="shared" si="2"/>
        <v>132600</v>
      </c>
    </row>
    <row r="22" spans="1:8" ht="16.5" thickBot="1" x14ac:dyDescent="0.3">
      <c r="A22" s="51">
        <v>7</v>
      </c>
      <c r="B22" s="53" t="s">
        <v>55</v>
      </c>
      <c r="C22" s="54"/>
      <c r="D22" s="55"/>
      <c r="E22" s="51" t="s">
        <v>51</v>
      </c>
      <c r="F22" s="57">
        <v>166800</v>
      </c>
      <c r="G22" s="51">
        <v>17.399999999999999</v>
      </c>
      <c r="H22" s="38">
        <f t="shared" si="2"/>
        <v>2902319.9999999995</v>
      </c>
    </row>
    <row r="23" spans="1:8" ht="16.5" thickBot="1" x14ac:dyDescent="0.3">
      <c r="A23" s="51">
        <v>8</v>
      </c>
      <c r="B23" s="53" t="s">
        <v>56</v>
      </c>
      <c r="C23" s="54"/>
      <c r="D23" s="55"/>
      <c r="E23" s="51" t="s">
        <v>51</v>
      </c>
      <c r="F23" s="57">
        <v>156400</v>
      </c>
      <c r="G23" s="51">
        <v>102</v>
      </c>
      <c r="H23" s="38">
        <f t="shared" ref="H23:H26" si="3">G23*F23</f>
        <v>15952800</v>
      </c>
    </row>
    <row r="24" spans="1:8" ht="16.5" thickBot="1" x14ac:dyDescent="0.3">
      <c r="A24" s="51">
        <v>9</v>
      </c>
      <c r="B24" s="53" t="s">
        <v>57</v>
      </c>
      <c r="C24" s="54"/>
      <c r="D24" s="55"/>
      <c r="E24" s="51" t="s">
        <v>58</v>
      </c>
      <c r="F24" s="57">
        <v>4900</v>
      </c>
      <c r="G24" s="51">
        <v>70</v>
      </c>
      <c r="H24" s="38">
        <f t="shared" si="3"/>
        <v>343000</v>
      </c>
    </row>
    <row r="25" spans="1:8" ht="16.5" thickBot="1" x14ac:dyDescent="0.3">
      <c r="A25" s="51">
        <v>10</v>
      </c>
      <c r="B25" s="53" t="s">
        <v>59</v>
      </c>
      <c r="C25" s="54"/>
      <c r="D25" s="55"/>
      <c r="E25" s="51" t="s">
        <v>58</v>
      </c>
      <c r="F25" s="57">
        <v>8541</v>
      </c>
      <c r="G25" s="51">
        <v>6</v>
      </c>
      <c r="H25" s="38">
        <f t="shared" si="3"/>
        <v>51246</v>
      </c>
    </row>
    <row r="26" spans="1:8" ht="16.5" thickBot="1" x14ac:dyDescent="0.3">
      <c r="A26" s="51">
        <v>11</v>
      </c>
      <c r="B26" s="53" t="s">
        <v>60</v>
      </c>
      <c r="C26" s="54"/>
      <c r="D26" s="55"/>
      <c r="E26" s="51" t="s">
        <v>58</v>
      </c>
      <c r="F26" s="57">
        <v>6550</v>
      </c>
      <c r="G26" s="51">
        <v>6</v>
      </c>
      <c r="H26" s="38">
        <f t="shared" si="3"/>
        <v>39300</v>
      </c>
    </row>
    <row r="27" spans="1:8" ht="16.5" thickBot="1" x14ac:dyDescent="0.3">
      <c r="A27" s="51">
        <v>12</v>
      </c>
      <c r="B27" s="53" t="s">
        <v>61</v>
      </c>
      <c r="C27" s="54"/>
      <c r="D27" s="55"/>
      <c r="E27" s="51" t="s">
        <v>58</v>
      </c>
      <c r="F27" s="57">
        <v>6290</v>
      </c>
      <c r="G27" s="51">
        <v>66</v>
      </c>
      <c r="H27" s="38">
        <f t="shared" ref="H27" si="4">G27*F27</f>
        <v>415140</v>
      </c>
    </row>
    <row r="28" spans="1:8" ht="16.5" thickBot="1" x14ac:dyDescent="0.3">
      <c r="A28" s="80">
        <v>13</v>
      </c>
      <c r="B28" s="81" t="s">
        <v>62</v>
      </c>
      <c r="C28" s="82"/>
      <c r="D28" s="83"/>
      <c r="E28" s="80" t="s">
        <v>63</v>
      </c>
      <c r="F28" s="84">
        <v>218150</v>
      </c>
      <c r="G28" s="80">
        <v>19</v>
      </c>
      <c r="H28" s="38">
        <f t="shared" ref="H28" si="5">G28*F28</f>
        <v>4144850</v>
      </c>
    </row>
    <row r="29" spans="1:8" ht="19.5" customHeight="1" thickBot="1" x14ac:dyDescent="0.3">
      <c r="A29" s="52"/>
      <c r="B29" s="45"/>
      <c r="C29" s="42"/>
      <c r="D29" s="56"/>
      <c r="E29" s="58"/>
      <c r="F29" s="58"/>
      <c r="G29" s="58"/>
    </row>
    <row r="30" spans="1:8" ht="19.5" customHeight="1" thickBot="1" x14ac:dyDescent="0.35">
      <c r="A30" s="50" t="s">
        <v>23</v>
      </c>
      <c r="B30" s="14" t="s">
        <v>64</v>
      </c>
      <c r="D30" s="15"/>
      <c r="E30" s="59"/>
      <c r="F30" s="37" t="s">
        <v>29</v>
      </c>
      <c r="G30" s="6"/>
      <c r="H30" s="7"/>
    </row>
    <row r="31" spans="1:8" ht="19.5" customHeight="1" thickBot="1" x14ac:dyDescent="0.3">
      <c r="A31" s="39"/>
      <c r="B31" s="16" t="s">
        <v>65</v>
      </c>
      <c r="C31" s="4"/>
      <c r="D31" s="4"/>
      <c r="E31" s="62" t="s">
        <v>24</v>
      </c>
      <c r="F31" s="63"/>
      <c r="G31" s="46"/>
      <c r="H31" s="60">
        <f>SUM(H16:H28)</f>
        <v>30579116</v>
      </c>
    </row>
    <row r="32" spans="1:8" ht="19.5" customHeight="1" x14ac:dyDescent="0.25">
      <c r="A32" s="24" t="s">
        <v>25</v>
      </c>
      <c r="B32" s="12"/>
      <c r="C32" s="12"/>
      <c r="D32" s="12"/>
      <c r="E32" s="64" t="s">
        <v>30</v>
      </c>
      <c r="F32" s="23"/>
      <c r="G32" s="65">
        <v>0.19</v>
      </c>
      <c r="H32" s="40">
        <f>H31*G32</f>
        <v>5810032.04</v>
      </c>
    </row>
    <row r="33" spans="1:8" ht="19.5" customHeight="1" x14ac:dyDescent="0.25">
      <c r="A33" s="14" t="s">
        <v>66</v>
      </c>
      <c r="E33" s="66" t="s">
        <v>26</v>
      </c>
      <c r="G33" s="69">
        <v>2.5000000000000001E-2</v>
      </c>
      <c r="H33" s="61">
        <f>H31*G33</f>
        <v>764477.9</v>
      </c>
    </row>
    <row r="34" spans="1:8" ht="15.75" x14ac:dyDescent="0.25">
      <c r="A34" s="14" t="s">
        <v>67</v>
      </c>
      <c r="E34" s="14"/>
      <c r="F34" s="33"/>
      <c r="G34" s="47"/>
      <c r="H34" s="15"/>
    </row>
    <row r="35" spans="1:8" ht="16.5" thickBot="1" x14ac:dyDescent="0.3">
      <c r="A35" s="14" t="s">
        <v>33</v>
      </c>
      <c r="E35" s="67" t="s">
        <v>27</v>
      </c>
      <c r="F35" s="68"/>
      <c r="G35" s="48"/>
      <c r="H35" s="17"/>
    </row>
    <row r="36" spans="1:8" ht="19.5" thickBot="1" x14ac:dyDescent="0.35">
      <c r="A36" s="16"/>
      <c r="B36" s="4"/>
      <c r="C36" s="4"/>
      <c r="D36" s="17"/>
      <c r="F36" s="3"/>
      <c r="G36" s="34" t="s">
        <v>28</v>
      </c>
      <c r="H36" s="36">
        <f>H31+H32-H33</f>
        <v>35624670.140000001</v>
      </c>
    </row>
    <row r="37" spans="1:8" ht="16.5" customHeight="1" x14ac:dyDescent="0.25"/>
    <row r="42" spans="1:8" ht="15.75" thickBot="1" x14ac:dyDescent="0.3"/>
    <row r="43" spans="1:8" ht="19.5" thickBot="1" x14ac:dyDescent="0.35">
      <c r="A43" s="25" t="s">
        <v>34</v>
      </c>
      <c r="B43" s="6"/>
      <c r="C43" s="6"/>
      <c r="D43" s="6"/>
      <c r="E43" s="6"/>
      <c r="F43" s="6"/>
      <c r="G43" s="6"/>
      <c r="H43" s="7"/>
    </row>
    <row r="51" spans="1:1" ht="18.75" x14ac:dyDescent="0.3">
      <c r="A51" s="5"/>
    </row>
  </sheetData>
  <hyperlinks>
    <hyperlink ref="C10" r:id="rId1" xr:uid="{3BBFC794-FDC4-427E-8BE3-8D6713D9632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CONPANCOL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2024-10-29T16:17:49Z</dcterms:modified>
</cp:coreProperties>
</file>