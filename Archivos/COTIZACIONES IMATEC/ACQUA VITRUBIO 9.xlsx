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D9D2F814-1B07-4582-8661-4DF0EC2446ED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ACQUA VITRUVIO 9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4" i="1" l="1"/>
  <c r="H21" i="1"/>
  <c r="H20" i="1"/>
  <c r="H18" i="1"/>
  <c r="H16" i="1"/>
  <c r="H26" i="1" l="1"/>
  <c r="H25" i="1"/>
  <c r="H29" i="1" s="1"/>
</calcChain>
</file>

<file path=xl/sharedStrings.xml><?xml version="1.0" encoding="utf-8"?>
<sst xmlns="http://schemas.openxmlformats.org/spreadsheetml/2006/main" count="62" uniqueCount="58">
  <si>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</si>
  <si>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</si>
  <si>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</si>
  <si>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</si>
  <si>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</si>
  <si>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</si>
  <si>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</si>
  <si>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</si>
  <si>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</si>
  <si>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</si>
  <si>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</si>
  <si>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</si>
  <si>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</si>
  <si>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</si>
  <si>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</si>
  <si>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</si>
  <si>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</si>
  <si>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</si>
  <si>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</si>
  <si>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</si>
  <si>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</si>
  <si>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</si>
  <si>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</si>
  <si>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</si>
  <si>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</si>
  <si>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</si>
  <si>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</si>
  <si>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</si>
  <si>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</si>
  <si>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</si>
  <si>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>IVA</t>
  </si>
  <si>
    <t>10 DIAS</t>
  </si>
  <si>
    <t xml:space="preserve">                                   JAVIER LOZANO TAMAYO C.C. 16´654.252</t>
  </si>
  <si>
    <t>ENTREGA EN LA CIUDAD DE CALI</t>
  </si>
  <si>
    <t xml:space="preserve">  CALLE  33B  No. 17C - 70  2o. PISO               B/  LA FLORESTA             -   CALI    -                                   CEL.     321 7834969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</si>
  <si>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</si>
  <si>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</si>
  <si>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</si>
  <si>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</si>
  <si>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ACQUA VITRUVIO SAS</t>
  </si>
  <si>
    <t>900 881379</t>
  </si>
  <si>
    <t>CALLE 3  No. 4-300</t>
  </si>
  <si>
    <t>PALMIRA</t>
  </si>
  <si>
    <t>j-gaitan@hotmail.com</t>
  </si>
  <si>
    <t>602 6669102</t>
  </si>
  <si>
    <t>EDINSON CABEZAS</t>
  </si>
  <si>
    <t>ACCESORIO</t>
  </si>
  <si>
    <t>ENTREGA EN TRES DIAS A PARTIR DE ORDEN DE ENTREGA</t>
  </si>
  <si>
    <t>FORMA DE PAGO : CONTADO</t>
  </si>
  <si>
    <t xml:space="preserve">           C O T I Z A C I O N</t>
  </si>
  <si>
    <t>VALVULA P/O CE280  A / C   INTERIORES  AC/INOX</t>
  </si>
  <si>
    <t>8 "  X  150  LB</t>
  </si>
  <si>
    <t>10 "  X  150  LB</t>
  </si>
  <si>
    <t>BRIDA AC/INOX 304 SLIP ON  8 "  X  150  LB</t>
  </si>
  <si>
    <t>BRIDA AC/INOX 304 SLIP ON  10 "  X  150  LB</t>
  </si>
  <si>
    <t>TRECE MILLONES OCHOCIENTOS NOVENTA Y OCHO MIL</t>
  </si>
  <si>
    <t>NOVECIENTOS DIECISEIS PESOS MDA / CTE</t>
  </si>
  <si>
    <t>No.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</si>
</sst>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89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8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0" fillId="0" borderId="19" xfId="0" applyBorder="1"/>
    <xf numFmtId="0" fontId="1" fillId="0" borderId="7" xfId="0" applyFont="1" applyBorder="1"/>
    <xf numFmtId="0" fontId="1" fillId="0" borderId="8" xfId="0" applyFont="1" applyBorder="1"/>
    <xf numFmtId="0" fontId="0" fillId="0" borderId="22" xfId="0" applyBorder="1"/>
    <xf numFmtId="0" fontId="0" fillId="0" borderId="25" xfId="0" applyBorder="1"/>
    <xf numFmtId="0" fontId="0" fillId="0" borderId="28" xfId="0" applyBorder="1"/>
    <xf numFmtId="0" fontId="8" fillId="0" borderId="0" xfId="0" applyFont="1"/>
    <xf numFmtId="0" fontId="1" fillId="0" borderId="15" xfId="0" applyFont="1" applyBorder="1" applyAlignment="1">
      <alignment horizontal="center"/>
    </xf>
    <xf numFmtId="0" fontId="1" fillId="0" borderId="17" xfId="0" applyFont="1" applyBorder="1" applyAlignment="1">
      <alignment horizontal="left" vertical="top" wrapText="1"/>
    </xf>
    <xf numFmtId="0" fontId="1" fillId="0" borderId="29" xfId="0" applyFont="1" applyBorder="1" applyAlignment="1">
      <alignment horizontal="center"/>
    </xf>
    <xf numFmtId="0" fontId="1" fillId="0" borderId="30" xfId="0" applyFont="1" applyBorder="1" applyAlignment="1">
      <alignment horizontal="center"/>
    </xf>
    <xf numFmtId="0" fontId="0" fillId="0" borderId="31" xfId="0" applyBorder="1"/>
    <xf numFmtId="0" fontId="8" fillId="0" borderId="32" xfId="0" applyFont="1" applyBorder="1"/>
    <xf numFmtId="0" fontId="8" fillId="0" borderId="33" xfId="0" applyFont="1" applyBorder="1"/>
    <xf numFmtId="0" fontId="8" fillId="0" borderId="34" xfId="0" applyFont="1" applyBorder="1"/>
    <xf numFmtId="0" fontId="0" fillId="0" borderId="35" xfId="0" applyBorder="1"/>
    <xf numFmtId="42" fontId="11" fillId="0" borderId="29" xfId="1" applyFont="1" applyBorder="1" applyAlignment="1">
      <alignment horizontal="center"/>
    </xf>
    <xf numFmtId="42" fontId="11" fillId="0" borderId="30" xfId="1" applyFont="1" applyBorder="1" applyAlignment="1">
      <alignment horizontal="center"/>
    </xf>
    <xf numFmtId="0" fontId="0" fillId="0" borderId="30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20" xfId="0" applyFont="1" applyBorder="1"/>
    <xf numFmtId="0" fontId="4" fillId="0" borderId="21" xfId="0" applyFont="1" applyBorder="1"/>
    <xf numFmtId="0" fontId="4" fillId="0" borderId="9" xfId="0" applyFont="1" applyBorder="1"/>
    <xf numFmtId="9" fontId="1" fillId="0" borderId="23" xfId="3" applyFont="1" applyBorder="1"/>
    <xf numFmtId="0" fontId="4" fillId="0" borderId="24" xfId="0" applyFont="1" applyBorder="1"/>
    <xf numFmtId="0" fontId="4" fillId="0" borderId="26" xfId="0" applyFont="1" applyBorder="1"/>
    <xf numFmtId="0" fontId="4" fillId="0" borderId="27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20" xfId="0" applyBorder="1"/>
    <xf numFmtId="0" fontId="0" fillId="0" borderId="21" xfId="0" applyBorder="1"/>
    <xf numFmtId="0" fontId="0" fillId="0" borderId="36" xfId="0" applyBorder="1"/>
    <xf numFmtId="0" fontId="0" fillId="0" borderId="23" xfId="0" applyBorder="1"/>
    <xf numFmtId="0" fontId="13" fillId="0" borderId="24" xfId="2" applyBorder="1"/>
    <xf numFmtId="0" fontId="0" fillId="0" borderId="24" xfId="0" applyBorder="1"/>
    <xf numFmtId="0" fontId="0" fillId="0" borderId="26" xfId="0" applyBorder="1"/>
    <xf numFmtId="0" fontId="0" fillId="0" borderId="27" xfId="0" applyBorder="1"/>
    <xf numFmtId="0" fontId="8" fillId="0" borderId="0" xfId="0" applyFont="1" applyBorder="1"/>
    <xf numFmtId="0" fontId="0" fillId="0" borderId="34" xfId="0" applyBorder="1"/>
    <xf numFmtId="0" fontId="0" fillId="0" borderId="0" xfId="0" applyBorder="1"/>
    <xf numFmtId="0" fontId="1" fillId="0" borderId="34" xfId="0" applyFont="1" applyBorder="1" applyAlignment="1">
      <alignment horizontal="center"/>
    </xf>
    <xf numFmtId="0" fontId="1" fillId="0" borderId="33" xfId="0" applyFont="1" applyBorder="1" applyAlignment="1">
      <alignment horizontal="center"/>
    </xf>
    <xf numFmtId="0" fontId="0" fillId="0" borderId="37" xfId="0" applyBorder="1"/>
    <xf numFmtId="42" fontId="1" fillId="0" borderId="37" xfId="1" applyFont="1" applyBorder="1" applyAlignment="1">
      <alignment horizontal="left"/>
    </xf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j-gaitan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J44"/>
  <sheetViews>
    <sheetView tabSelected="1" topLeftCell="A10" zoomScaleNormal="100" workbookViewId="0">
      <selection activeCell="F31" sqref="F31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10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10" ht="20.25" customHeight="1" thickBot="1" x14ac:dyDescent="0.4">
      <c r="D2" s="2"/>
      <c r="E2" s="35" t="s">
        <v>37</v>
      </c>
    </row>
    <row r="3" spans="1:10" ht="27" thickBot="1" x14ac:dyDescent="0.45">
      <c r="A3" s="11" t="s">
        <v>38</v>
      </c>
      <c r="B3" s="6"/>
      <c r="C3" s="6"/>
      <c r="D3" s="6"/>
      <c r="E3" s="6"/>
      <c r="F3" s="6"/>
      <c r="G3" s="6"/>
      <c r="H3" s="7"/>
    </row>
    <row r="4" spans="1:10" ht="21.75" thickBot="1" x14ac:dyDescent="0.4">
      <c r="A4" s="26" t="s">
        <v>7</v>
      </c>
      <c r="B4" s="6"/>
      <c r="C4" s="6"/>
      <c r="D4" s="27" t="s">
        <v>32</v>
      </c>
      <c r="E4" s="18"/>
      <c r="F4" s="19"/>
      <c r="G4" s="6"/>
      <c r="H4" s="7"/>
    </row>
    <row r="5" spans="1:10" ht="19.5" thickBot="1" x14ac:dyDescent="0.35">
      <c r="A5" s="37" t="s">
        <v>35</v>
      </c>
      <c r="B5" s="6"/>
      <c r="C5" s="6"/>
      <c r="D5" s="6"/>
      <c r="E5" s="6"/>
    </row>
    <row r="6" spans="1:10" ht="24.75" customHeight="1" thickBot="1" x14ac:dyDescent="0.45">
      <c r="F6" s="41" t="s">
        <v>49</v>
      </c>
      <c r="G6" s="43"/>
      <c r="H6" s="44"/>
    </row>
    <row r="7" spans="1:10" ht="19.5" thickBot="1" x14ac:dyDescent="0.35">
      <c r="A7" s="20" t="s">
        <v>14</v>
      </c>
      <c r="B7" s="12"/>
      <c r="C7" s="72" t="s">
        <v>39</v>
      </c>
      <c r="D7" s="12"/>
      <c r="E7" s="13"/>
      <c r="F7" s="37"/>
      <c r="G7" s="18"/>
      <c r="H7" s="19" t="s">
        <v>57</v>
      </c>
    </row>
    <row r="8" spans="1:10" ht="18.75" x14ac:dyDescent="0.3">
      <c r="A8" s="21" t="s">
        <v>8</v>
      </c>
      <c r="C8" s="74" t="s">
        <v>40</v>
      </c>
      <c r="D8" s="75"/>
      <c r="E8" s="45"/>
      <c r="H8" s="15"/>
    </row>
    <row r="9" spans="1:10" ht="18.75" customHeight="1" x14ac:dyDescent="0.3">
      <c r="A9" s="21" t="s">
        <v>9</v>
      </c>
      <c r="C9" s="76" t="s">
        <v>41</v>
      </c>
      <c r="D9" s="23"/>
      <c r="E9" s="77" t="s">
        <v>42</v>
      </c>
      <c r="F9" s="30" t="s">
        <v>0</v>
      </c>
      <c r="H9" s="28">
        <v>45580</v>
      </c>
    </row>
    <row r="10" spans="1:10" ht="18.75" x14ac:dyDescent="0.3">
      <c r="A10" s="21" t="s">
        <v>13</v>
      </c>
      <c r="C10" s="78" t="s">
        <v>43</v>
      </c>
      <c r="D10" s="73"/>
      <c r="E10" s="46"/>
      <c r="F10" s="30" t="s">
        <v>15</v>
      </c>
      <c r="H10" s="29" t="s">
        <v>31</v>
      </c>
    </row>
    <row r="11" spans="1:10" ht="18.75" x14ac:dyDescent="0.3">
      <c r="A11" s="21" t="s">
        <v>10</v>
      </c>
      <c r="C11" s="79"/>
      <c r="D11" s="73"/>
      <c r="E11" s="46"/>
      <c r="F11" s="30" t="s">
        <v>16</v>
      </c>
      <c r="G11" s="30"/>
      <c r="H11" s="28">
        <v>45589</v>
      </c>
    </row>
    <row r="12" spans="1:10" ht="18.75" x14ac:dyDescent="0.3">
      <c r="A12" s="21" t="s">
        <v>11</v>
      </c>
      <c r="C12" s="79" t="s">
        <v>44</v>
      </c>
      <c r="D12" s="73"/>
      <c r="E12" s="46"/>
      <c r="F12" s="30" t="s">
        <v>17</v>
      </c>
      <c r="H12" s="31"/>
    </row>
    <row r="13" spans="1:10" ht="18.75" customHeight="1" thickBot="1" x14ac:dyDescent="0.35">
      <c r="A13" s="22" t="s">
        <v>12</v>
      </c>
      <c r="B13" s="4"/>
      <c r="C13" s="80" t="s">
        <v>45</v>
      </c>
      <c r="D13" s="81"/>
      <c r="E13" s="47"/>
      <c r="F13" s="4"/>
      <c r="G13" s="4"/>
      <c r="H13" s="17"/>
    </row>
    <row r="14" spans="1:10" ht="15.75" thickBot="1" x14ac:dyDescent="0.3"/>
    <row r="15" spans="1:10" ht="15.75" thickBot="1" x14ac:dyDescent="0.3">
      <c r="A15" s="49" t="s">
        <v>36</v>
      </c>
      <c r="B15" s="24" t="s">
        <v>22</v>
      </c>
      <c r="C15" s="43"/>
      <c r="D15" s="13"/>
      <c r="E15" s="49" t="s">
        <v>18</v>
      </c>
      <c r="F15" s="49" t="s">
        <v>20</v>
      </c>
      <c r="G15" s="49" t="s">
        <v>19</v>
      </c>
      <c r="H15" s="32" t="s">
        <v>21</v>
      </c>
    </row>
    <row r="16" spans="1:10" ht="16.5" thickBot="1" x14ac:dyDescent="0.3">
      <c r="A16" s="51">
        <v>1</v>
      </c>
      <c r="B16" s="54" t="s">
        <v>50</v>
      </c>
      <c r="C16" s="54"/>
      <c r="D16" s="55"/>
      <c r="E16" s="86" t="s">
        <v>46</v>
      </c>
      <c r="F16" s="58">
        <v>2940000</v>
      </c>
      <c r="G16" s="51">
        <v>2</v>
      </c>
      <c r="H16" s="38">
        <f t="shared" ref="H16" si="0">G16*F16</f>
        <v>5880000</v>
      </c>
      <c r="J16" s="83"/>
    </row>
    <row r="17" spans="1:8" ht="16.5" thickBot="1" x14ac:dyDescent="0.3">
      <c r="A17" s="83"/>
      <c r="B17" s="82" t="s">
        <v>51</v>
      </c>
      <c r="C17" s="84"/>
      <c r="D17" s="83"/>
      <c r="E17" s="83"/>
      <c r="F17" s="60"/>
      <c r="G17" s="60"/>
      <c r="H17" s="87"/>
    </row>
    <row r="18" spans="1:8" ht="16.5" thickBot="1" x14ac:dyDescent="0.3">
      <c r="A18" s="52">
        <v>2</v>
      </c>
      <c r="B18" s="82" t="s">
        <v>50</v>
      </c>
      <c r="C18" s="82"/>
      <c r="D18" s="56"/>
      <c r="E18" s="85" t="s">
        <v>46</v>
      </c>
      <c r="F18" s="59">
        <v>3835000</v>
      </c>
      <c r="G18" s="85">
        <v>1</v>
      </c>
      <c r="H18" s="38">
        <f t="shared" ref="H18" si="1">G18*F18</f>
        <v>3835000</v>
      </c>
    </row>
    <row r="19" spans="1:8" ht="16.5" thickBot="1" x14ac:dyDescent="0.3">
      <c r="A19" s="52"/>
      <c r="B19" s="48" t="s">
        <v>52</v>
      </c>
      <c r="D19" s="83"/>
      <c r="E19" s="85"/>
      <c r="F19" s="59"/>
      <c r="G19" s="52"/>
      <c r="H19" s="88"/>
    </row>
    <row r="20" spans="1:8" ht="16.5" thickBot="1" x14ac:dyDescent="0.3">
      <c r="A20" s="52">
        <v>2</v>
      </c>
      <c r="B20" s="82" t="s">
        <v>53</v>
      </c>
      <c r="C20" s="48"/>
      <c r="D20" s="56"/>
      <c r="E20" s="85" t="s">
        <v>46</v>
      </c>
      <c r="F20" s="59">
        <v>340000</v>
      </c>
      <c r="G20" s="52">
        <v>4</v>
      </c>
      <c r="H20" s="38">
        <f t="shared" ref="H20:H21" si="2">G20*F20</f>
        <v>1360000</v>
      </c>
    </row>
    <row r="21" spans="1:8" ht="16.5" thickBot="1" x14ac:dyDescent="0.3">
      <c r="A21" s="52">
        <v>2</v>
      </c>
      <c r="B21" s="82" t="s">
        <v>54</v>
      </c>
      <c r="C21" s="48"/>
      <c r="D21" s="56"/>
      <c r="E21" s="85" t="s">
        <v>46</v>
      </c>
      <c r="F21" s="59">
        <v>427700</v>
      </c>
      <c r="G21" s="52">
        <v>2</v>
      </c>
      <c r="H21" s="38">
        <f t="shared" si="2"/>
        <v>855400</v>
      </c>
    </row>
    <row r="22" spans="1:8" ht="19.5" customHeight="1" thickBot="1" x14ac:dyDescent="0.3">
      <c r="A22" s="53"/>
      <c r="B22" s="42"/>
      <c r="C22" s="42"/>
      <c r="D22" s="57"/>
      <c r="E22" s="83"/>
      <c r="F22" s="60"/>
      <c r="G22" s="60"/>
      <c r="H22" s="87"/>
    </row>
    <row r="23" spans="1:8" ht="19.5" customHeight="1" thickBot="1" x14ac:dyDescent="0.35">
      <c r="A23" s="50" t="s">
        <v>23</v>
      </c>
      <c r="B23" s="14" t="s">
        <v>55</v>
      </c>
      <c r="D23" s="15"/>
      <c r="E23" s="61"/>
      <c r="F23" s="37" t="s">
        <v>29</v>
      </c>
      <c r="G23" s="6"/>
      <c r="H23" s="7"/>
    </row>
    <row r="24" spans="1:8" ht="19.5" customHeight="1" thickBot="1" x14ac:dyDescent="0.3">
      <c r="A24" s="39"/>
      <c r="B24" s="16" t="s">
        <v>56</v>
      </c>
      <c r="C24" s="4"/>
      <c r="D24" s="4"/>
      <c r="E24" s="64" t="s">
        <v>24</v>
      </c>
      <c r="F24" s="65"/>
      <c r="G24" s="45"/>
      <c r="H24" s="62">
        <f>SUM(H16:H21)</f>
        <v>11930400</v>
      </c>
    </row>
    <row r="25" spans="1:8" ht="19.5" customHeight="1" x14ac:dyDescent="0.25">
      <c r="A25" s="24" t="s">
        <v>25</v>
      </c>
      <c r="B25" s="12"/>
      <c r="C25" s="12"/>
      <c r="D25" s="12"/>
      <c r="E25" s="66" t="s">
        <v>30</v>
      </c>
      <c r="F25" s="23"/>
      <c r="G25" s="67">
        <v>0.19</v>
      </c>
      <c r="H25" s="40">
        <f>H24*G25</f>
        <v>2266776</v>
      </c>
    </row>
    <row r="26" spans="1:8" ht="19.5" customHeight="1" x14ac:dyDescent="0.25">
      <c r="A26" s="14" t="s">
        <v>48</v>
      </c>
      <c r="E26" s="68" t="s">
        <v>26</v>
      </c>
      <c r="G26" s="71">
        <v>2.5000000000000001E-2</v>
      </c>
      <c r="H26" s="63">
        <f>H24*G26</f>
        <v>298260</v>
      </c>
    </row>
    <row r="27" spans="1:8" ht="15.75" x14ac:dyDescent="0.25">
      <c r="A27" s="14" t="s">
        <v>47</v>
      </c>
      <c r="E27" s="14"/>
      <c r="F27" s="33"/>
      <c r="G27" s="46"/>
      <c r="H27" s="15"/>
    </row>
    <row r="28" spans="1:8" ht="16.5" thickBot="1" x14ac:dyDescent="0.3">
      <c r="A28" s="14" t="s">
        <v>33</v>
      </c>
      <c r="E28" s="69" t="s">
        <v>27</v>
      </c>
      <c r="F28" s="70"/>
      <c r="G28" s="47"/>
      <c r="H28" s="17"/>
    </row>
    <row r="29" spans="1:8" ht="19.5" thickBot="1" x14ac:dyDescent="0.35">
      <c r="A29" s="16"/>
      <c r="B29" s="4"/>
      <c r="C29" s="4"/>
      <c r="D29" s="17"/>
      <c r="F29" s="3"/>
      <c r="G29" s="34" t="s">
        <v>28</v>
      </c>
      <c r="H29" s="36">
        <f>H24+H25-H26</f>
        <v>13898916</v>
      </c>
    </row>
    <row r="30" spans="1:8" ht="16.5" customHeight="1" x14ac:dyDescent="0.25"/>
    <row r="35" spans="1:8" ht="15.75" thickBot="1" x14ac:dyDescent="0.3"/>
    <row r="36" spans="1:8" ht="19.5" thickBot="1" x14ac:dyDescent="0.35">
      <c r="A36" s="25" t="s">
        <v>34</v>
      </c>
      <c r="B36" s="6"/>
      <c r="C36" s="6"/>
      <c r="D36" s="6"/>
      <c r="E36" s="6"/>
      <c r="F36" s="6"/>
      <c r="G36" s="6"/>
      <c r="H36" s="7"/>
    </row>
    <row r="44" spans="1:8" ht="18.75" x14ac:dyDescent="0.3">
      <c r="A44" s="5"/>
    </row>
  </sheetData>
  <hyperlinks>
    <hyperlink ref="C10" r:id="rId1" xr:uid="{1C45E28E-0663-4A29-8D8E-EDF75ACF744B}"/>
  </hyperlinks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ACQUA VITRUVIO 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2023-03-16T17:43:01Z</cp:lastPrinted>
  <dcterms:created xsi:type="dcterms:W3CDTF">2018-11-15T17:29:02Z</dcterms:created>
  <dcterms:modified xsi:type="dcterms:W3CDTF">2024-10-15T17:31:13Z</dcterms:modified>
</cp:coreProperties>
</file>