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3F44B48-9CA1-4412-98AB-53D55849DA1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RTIDOR INDUSTRI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1" l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52" i="1" l="1"/>
  <c r="H51" i="1"/>
  <c r="H55" i="1" s="1"/>
</calcChain>
</file>

<file path=xl/sharedStrings.xml><?xml version="1.0" encoding="utf-8"?>
<sst xmlns="http://schemas.openxmlformats.org/spreadsheetml/2006/main" count="118" uniqueCount="88">
  <si>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</si>
  <si>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</si>
  <si>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</si>
  <si>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</si>
  <si>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</si>
  <si>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</si>
  <si>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</si>
  <si>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</si>
  <si>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</si>
  <si>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</si>
  <si>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</si>
  <si>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</si>
  <si>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</si>
  <si>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</si>
  <si>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</si>
  <si>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</si>
  <si>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</si>
  <si>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</si>
  <si>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</si>
  <si>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</si>
  <si>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</si>
  <si>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</si>
  <si>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</si>
  <si>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</si>
  <si>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</si>
  <si>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</si>
  <si>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</si>
  <si>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</si>
  <si>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</si>
  <si>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</si>
  <si>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</si>
  <si>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</si>
  <si>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</si>
  <si>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</si>
  <si>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</si>
  <si>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</si>
  <si>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</si>
  <si>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SURTIDOR INDUSTRIAL S.A.S.</t>
  </si>
  <si>
    <t>890 321226</t>
  </si>
  <si>
    <t>CALLE 8B  No. 19-48</t>
  </si>
  <si>
    <t>YUMBO</t>
  </si>
  <si>
    <t>contabilidad@surtidorindustrial.com</t>
  </si>
  <si>
    <t>602 6574834</t>
  </si>
  <si>
    <t>EDINSON CABEZAS</t>
  </si>
  <si>
    <t>FORMA DE PAGO : CONTADO</t>
  </si>
  <si>
    <t xml:space="preserve">   </t>
  </si>
  <si>
    <t xml:space="preserve">           C O T I Z A C I O N</t>
  </si>
  <si>
    <t>10 DIAS</t>
  </si>
  <si>
    <t xml:space="preserve"> CALLE  33A  No. 17F- 56                            B/  LA FLORESTA             -   CALI    -                                  CEL.     321 7834969</t>
  </si>
  <si>
    <t>L I Q U I D A C I O N</t>
  </si>
  <si>
    <t>ACCESORIO</t>
  </si>
  <si>
    <t>FABRICACION</t>
  </si>
  <si>
    <t>No. 11</t>
  </si>
  <si>
    <t>UNIVERSAL A / C  1/2 "  X  3000 LBS ROSCADA</t>
  </si>
  <si>
    <t>NIPLE  A / C  SCH 80  1 "  X  3 1/2 "</t>
  </si>
  <si>
    <t>CODO NIPLE GALVANIZADO 1/4 "</t>
  </si>
  <si>
    <t>NIPLE  A / C  SCH 80  1 /4 "  X  4  "</t>
  </si>
  <si>
    <t xml:space="preserve">REDUCCION BUSHING  A / C  1/4 "  X  1/8 " X 3000 </t>
  </si>
  <si>
    <t>NIPLE  A / C  SCH 80  1/4 "  X  3 "</t>
  </si>
  <si>
    <t>NIPLE  A / C  SCH 80  1/8 "  X  1 "</t>
  </si>
  <si>
    <t>UNION A / C  3/4 "  X  3000 LBS ROSACADA</t>
  </si>
  <si>
    <t>ABRAZADERA  GALVANIZADA EN U  1 1/4 "</t>
  </si>
  <si>
    <t>UNIVERSAL A / C  2 "  X  3000 LBS ROSCADA</t>
  </si>
  <si>
    <t>TUERCA CONICA BRONCE  1/2 "  B41</t>
  </si>
  <si>
    <t>NIPLE  A / C  SCH 80  1/4 "  X  5 "</t>
  </si>
  <si>
    <t xml:space="preserve">REDUCCION BUSHING  A / C  2 "  X  1 1/2 " X 3000 </t>
  </si>
  <si>
    <t>NIPLE  A / C  SCH 80  3/4  X  1 1/2 "</t>
  </si>
  <si>
    <t>NIPLE  A / C  SCH 80  1 "  X  6 "</t>
  </si>
  <si>
    <t>NIPLE  A / C  SCH 80  1 1/4 "  X  2 "</t>
  </si>
  <si>
    <t>NIPLE  A / C  SCH 80  1/4 "  X  3 1/2 "</t>
  </si>
  <si>
    <t>RACOR CODO  1/4 "  X  1/8 "  B69</t>
  </si>
  <si>
    <t>NIPLE  A / C  SCH 80  3/4 "  X  3 "</t>
  </si>
  <si>
    <t>CODO NIPLE GALVANIZADO 1/2 "</t>
  </si>
  <si>
    <t>RACOR TEE EN BRONCE  1/2 " B44</t>
  </si>
  <si>
    <t>RACOR UNION 3/8 "  X  3/8 "  B48</t>
  </si>
  <si>
    <t>REDUCCION BUSHING A / C  3 1/2 "  X  2 "  3000 ROS</t>
  </si>
  <si>
    <t>NIPLE  A / C  SCH 80  3/8 "  X  5 "</t>
  </si>
  <si>
    <t>ABRAZADERA  GALVANIZADA EN U  3/4 "</t>
  </si>
  <si>
    <t>RACOR CODO BRONCE 1/4 " ANILLO X  1/4 "  NPT</t>
  </si>
  <si>
    <t>RACOR CODO BRONCE 1/2 " ANILLO X  3/8 "  NPT</t>
  </si>
  <si>
    <t>NIPLE  A / C  SCH 80  1/8 "  X  2 1/2 "</t>
  </si>
  <si>
    <t>NIPLE  A / C SCH 80  1 1/2 "  X  2 1/2 "</t>
  </si>
  <si>
    <t>TEE CPVC  SCH 80   1/2 "</t>
  </si>
  <si>
    <t xml:space="preserve">RACOR UNION  3/16 "  B62 </t>
  </si>
  <si>
    <t>UNIVERSAL A / C  1/4 "  X  3000 LBS  ROSCADA</t>
  </si>
  <si>
    <t>CUATRO MILLONES SETECIENTOS CINCUENTA Y SIETE</t>
  </si>
  <si>
    <t>MIL OCHOCIENTOS SETENTA Y DOS PESOS MDA / CTE</t>
  </si>
  <si>
    <t>ENTREGA EN CUATRO DIA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</si>
</sst>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8" fillId="0" borderId="20" xfId="0" applyFont="1" applyBorder="1"/>
    <xf numFmtId="0" fontId="8" fillId="0" borderId="2" xfId="0" applyFont="1" applyBorder="1"/>
    <xf numFmtId="0" fontId="0" fillId="0" borderId="21" xfId="0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1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8" xfId="0" applyBorder="1"/>
    <xf numFmtId="0" fontId="4" fillId="0" borderId="29" xfId="0" applyFont="1" applyBorder="1"/>
    <xf numFmtId="0" fontId="4" fillId="0" borderId="30" xfId="0" applyFont="1" applyBorder="1"/>
    <xf numFmtId="0" fontId="0" fillId="0" borderId="31" xfId="0" applyBorder="1"/>
    <xf numFmtId="0" fontId="4" fillId="0" borderId="3" xfId="0" applyFont="1" applyBorder="1"/>
    <xf numFmtId="0" fontId="0" fillId="0" borderId="23" xfId="0" applyBorder="1"/>
    <xf numFmtId="0" fontId="0" fillId="0" borderId="24" xfId="0" applyBorder="1"/>
    <xf numFmtId="0" fontId="0" fillId="0" borderId="32" xfId="0" applyBorder="1"/>
    <xf numFmtId="0" fontId="0" fillId="0" borderId="26" xfId="0" applyBorder="1"/>
    <xf numFmtId="0" fontId="13" fillId="0" borderId="27" xfId="2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0" fillId="0" borderId="12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urtidorindust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9"/>
  <sheetViews>
    <sheetView tabSelected="1" topLeftCell="A32" zoomScaleNormal="100" workbookViewId="0">
      <selection activeCell="N44" sqref="N44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5" t="s">
        <v>36</v>
      </c>
      <c r="B5" s="6"/>
      <c r="C5" s="6"/>
      <c r="D5" s="6"/>
      <c r="E5" s="6"/>
    </row>
    <row r="6" spans="1:8" ht="24.75" customHeight="1" thickBot="1" x14ac:dyDescent="0.45">
      <c r="F6" s="11" t="s">
        <v>46</v>
      </c>
      <c r="G6" s="18"/>
      <c r="H6" s="19"/>
    </row>
    <row r="7" spans="1:8" ht="19.5" thickBot="1" x14ac:dyDescent="0.35">
      <c r="A7" s="20" t="s">
        <v>15</v>
      </c>
      <c r="B7" s="13"/>
      <c r="C7" s="67" t="s">
        <v>37</v>
      </c>
      <c r="D7" s="6"/>
      <c r="E7" s="7"/>
      <c r="F7" s="26"/>
      <c r="G7" s="18"/>
      <c r="H7" s="19" t="s">
        <v>52</v>
      </c>
    </row>
    <row r="8" spans="1:8" ht="18.75" x14ac:dyDescent="0.3">
      <c r="A8" s="21" t="s">
        <v>9</v>
      </c>
      <c r="C8" s="68" t="s">
        <v>38</v>
      </c>
      <c r="D8" s="69"/>
      <c r="E8" s="58"/>
      <c r="F8" s="12"/>
      <c r="G8" s="13"/>
      <c r="H8" s="14"/>
    </row>
    <row r="9" spans="1:8" ht="18.75" customHeight="1" x14ac:dyDescent="0.3">
      <c r="A9" s="21" t="s">
        <v>10</v>
      </c>
      <c r="C9" s="70" t="s">
        <v>39</v>
      </c>
      <c r="D9" s="23"/>
      <c r="E9" s="71" t="s">
        <v>40</v>
      </c>
      <c r="F9" s="29" t="s">
        <v>0</v>
      </c>
      <c r="H9" s="30">
        <v>45813</v>
      </c>
    </row>
    <row r="10" spans="1:8" ht="18.75" x14ac:dyDescent="0.3">
      <c r="A10" s="21" t="s">
        <v>14</v>
      </c>
      <c r="C10" s="72" t="s">
        <v>41</v>
      </c>
      <c r="D10" s="24"/>
      <c r="E10" s="63"/>
      <c r="F10" s="29" t="s">
        <v>16</v>
      </c>
      <c r="H10" s="31" t="s">
        <v>47</v>
      </c>
    </row>
    <row r="11" spans="1:8" ht="18.75" x14ac:dyDescent="0.3">
      <c r="A11" s="21" t="s">
        <v>11</v>
      </c>
      <c r="C11" s="73"/>
      <c r="D11" s="24"/>
      <c r="E11" s="63"/>
      <c r="F11" s="29" t="s">
        <v>17</v>
      </c>
      <c r="G11" s="32"/>
      <c r="H11" s="30">
        <v>45822</v>
      </c>
    </row>
    <row r="12" spans="1:8" ht="18.75" x14ac:dyDescent="0.3">
      <c r="A12" s="21" t="s">
        <v>12</v>
      </c>
      <c r="C12" s="73" t="s">
        <v>42</v>
      </c>
      <c r="D12" s="24"/>
      <c r="E12" s="63"/>
      <c r="F12" s="29" t="s">
        <v>18</v>
      </c>
      <c r="H12" s="33"/>
    </row>
    <row r="13" spans="1:8" ht="18.75" customHeight="1" thickBot="1" x14ac:dyDescent="0.35">
      <c r="A13" s="22" t="s">
        <v>13</v>
      </c>
      <c r="B13" s="4"/>
      <c r="C13" s="74" t="s">
        <v>43</v>
      </c>
      <c r="D13" s="75"/>
      <c r="E13" s="66"/>
      <c r="F13" s="16"/>
      <c r="G13" s="4"/>
      <c r="H13" s="76"/>
    </row>
    <row r="14" spans="1:8" ht="15.75" thickBot="1" x14ac:dyDescent="0.3"/>
    <row r="15" spans="1:8" ht="15.75" thickBot="1" x14ac:dyDescent="0.3">
      <c r="A15" s="34" t="s">
        <v>35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52">
        <v>1</v>
      </c>
      <c r="B16" s="47" t="s">
        <v>53</v>
      </c>
      <c r="C16" s="48"/>
      <c r="D16" s="49"/>
      <c r="E16" s="50" t="s">
        <v>50</v>
      </c>
      <c r="F16" s="51">
        <v>25650</v>
      </c>
      <c r="G16" s="50">
        <v>15</v>
      </c>
      <c r="H16" s="53">
        <f>G16*F16</f>
        <v>384750</v>
      </c>
    </row>
    <row r="17" spans="1:8" ht="16.5" thickBot="1" x14ac:dyDescent="0.3">
      <c r="A17" s="52">
        <v>2</v>
      </c>
      <c r="B17" s="47" t="s">
        <v>54</v>
      </c>
      <c r="C17" s="48"/>
      <c r="D17" s="49"/>
      <c r="E17" s="50" t="s">
        <v>51</v>
      </c>
      <c r="F17" s="51">
        <v>3900</v>
      </c>
      <c r="G17" s="50">
        <v>15</v>
      </c>
      <c r="H17" s="53">
        <f t="shared" ref="H17:H47" si="0">G17*F17</f>
        <v>58500</v>
      </c>
    </row>
    <row r="18" spans="1:8" ht="16.5" thickBot="1" x14ac:dyDescent="0.3">
      <c r="A18" s="52">
        <v>3</v>
      </c>
      <c r="B18" s="47" t="s">
        <v>55</v>
      </c>
      <c r="C18" s="48"/>
      <c r="D18" s="49"/>
      <c r="E18" s="50" t="s">
        <v>50</v>
      </c>
      <c r="F18" s="51">
        <v>2700</v>
      </c>
      <c r="G18" s="50">
        <v>15</v>
      </c>
      <c r="H18" s="53">
        <f t="shared" si="0"/>
        <v>40500</v>
      </c>
    </row>
    <row r="19" spans="1:8" ht="16.5" thickBot="1" x14ac:dyDescent="0.3">
      <c r="A19" s="52">
        <v>4</v>
      </c>
      <c r="B19" s="47" t="s">
        <v>56</v>
      </c>
      <c r="C19" s="48"/>
      <c r="D19" s="49"/>
      <c r="E19" s="50" t="s">
        <v>51</v>
      </c>
      <c r="F19" s="51">
        <v>5280</v>
      </c>
      <c r="G19" s="50">
        <v>14</v>
      </c>
      <c r="H19" s="53">
        <f t="shared" si="0"/>
        <v>73920</v>
      </c>
    </row>
    <row r="20" spans="1:8" ht="16.5" thickBot="1" x14ac:dyDescent="0.3">
      <c r="A20" s="52">
        <v>5</v>
      </c>
      <c r="B20" s="47" t="s">
        <v>57</v>
      </c>
      <c r="C20" s="48"/>
      <c r="D20" s="49"/>
      <c r="E20" s="50" t="s">
        <v>50</v>
      </c>
      <c r="F20" s="51">
        <v>25000</v>
      </c>
      <c r="G20" s="50">
        <v>14</v>
      </c>
      <c r="H20" s="53">
        <f t="shared" si="0"/>
        <v>350000</v>
      </c>
    </row>
    <row r="21" spans="1:8" ht="16.5" thickBot="1" x14ac:dyDescent="0.3">
      <c r="A21" s="52">
        <v>6</v>
      </c>
      <c r="B21" s="47" t="s">
        <v>58</v>
      </c>
      <c r="C21" s="48"/>
      <c r="D21" s="49"/>
      <c r="E21" s="50" t="s">
        <v>51</v>
      </c>
      <c r="F21" s="51">
        <v>4520</v>
      </c>
      <c r="G21" s="50">
        <v>14</v>
      </c>
      <c r="H21" s="53">
        <f t="shared" si="0"/>
        <v>63280</v>
      </c>
    </row>
    <row r="22" spans="1:8" ht="16.5" thickBot="1" x14ac:dyDescent="0.3">
      <c r="A22" s="52">
        <v>7</v>
      </c>
      <c r="B22" s="47" t="s">
        <v>59</v>
      </c>
      <c r="C22" s="48"/>
      <c r="D22" s="49"/>
      <c r="E22" s="50" t="s">
        <v>51</v>
      </c>
      <c r="F22" s="51">
        <v>15000</v>
      </c>
      <c r="G22" s="50">
        <v>14</v>
      </c>
      <c r="H22" s="53">
        <f t="shared" si="0"/>
        <v>210000</v>
      </c>
    </row>
    <row r="23" spans="1:8" ht="16.5" thickBot="1" x14ac:dyDescent="0.3">
      <c r="A23" s="52">
        <v>8</v>
      </c>
      <c r="B23" s="47" t="s">
        <v>60</v>
      </c>
      <c r="C23" s="48"/>
      <c r="D23" s="49"/>
      <c r="E23" s="50" t="s">
        <v>50</v>
      </c>
      <c r="F23" s="51">
        <v>10300</v>
      </c>
      <c r="G23" s="50">
        <v>14</v>
      </c>
      <c r="H23" s="53">
        <f t="shared" si="0"/>
        <v>144200</v>
      </c>
    </row>
    <row r="24" spans="1:8" ht="16.5" thickBot="1" x14ac:dyDescent="0.3">
      <c r="A24" s="52">
        <v>9</v>
      </c>
      <c r="B24" s="47" t="s">
        <v>61</v>
      </c>
      <c r="C24" s="48"/>
      <c r="D24" s="49"/>
      <c r="E24" s="50" t="s">
        <v>50</v>
      </c>
      <c r="F24" s="51">
        <v>3420</v>
      </c>
      <c r="G24" s="50">
        <v>14</v>
      </c>
      <c r="H24" s="53">
        <f t="shared" si="0"/>
        <v>47880</v>
      </c>
    </row>
    <row r="25" spans="1:8" ht="16.5" thickBot="1" x14ac:dyDescent="0.3">
      <c r="A25" s="52">
        <v>10</v>
      </c>
      <c r="B25" s="47" t="s">
        <v>62</v>
      </c>
      <c r="C25" s="48"/>
      <c r="D25" s="49"/>
      <c r="E25" s="50" t="s">
        <v>50</v>
      </c>
      <c r="F25" s="51">
        <v>89000</v>
      </c>
      <c r="G25" s="50">
        <v>14</v>
      </c>
      <c r="H25" s="53">
        <f t="shared" si="0"/>
        <v>1246000</v>
      </c>
    </row>
    <row r="26" spans="1:8" ht="16.5" thickBot="1" x14ac:dyDescent="0.3">
      <c r="A26" s="52">
        <v>11</v>
      </c>
      <c r="B26" s="47" t="s">
        <v>63</v>
      </c>
      <c r="C26" s="48"/>
      <c r="D26" s="49"/>
      <c r="E26" s="50" t="s">
        <v>50</v>
      </c>
      <c r="F26" s="51">
        <v>6904</v>
      </c>
      <c r="G26" s="50">
        <v>13</v>
      </c>
      <c r="H26" s="53">
        <f t="shared" si="0"/>
        <v>89752</v>
      </c>
    </row>
    <row r="27" spans="1:8" ht="16.5" thickBot="1" x14ac:dyDescent="0.3">
      <c r="A27" s="52">
        <v>12</v>
      </c>
      <c r="B27" s="47" t="s">
        <v>64</v>
      </c>
      <c r="C27" s="48"/>
      <c r="D27" s="49"/>
      <c r="E27" s="50" t="s">
        <v>51</v>
      </c>
      <c r="F27" s="51">
        <v>6720</v>
      </c>
      <c r="G27" s="50">
        <v>13</v>
      </c>
      <c r="H27" s="53">
        <f t="shared" si="0"/>
        <v>87360</v>
      </c>
    </row>
    <row r="28" spans="1:8" ht="16.5" thickBot="1" x14ac:dyDescent="0.3">
      <c r="A28" s="52">
        <v>13</v>
      </c>
      <c r="B28" s="47" t="s">
        <v>65</v>
      </c>
      <c r="C28" s="48"/>
      <c r="D28" s="49"/>
      <c r="E28" s="50" t="s">
        <v>50</v>
      </c>
      <c r="F28" s="51">
        <v>35000</v>
      </c>
      <c r="G28" s="50">
        <v>13</v>
      </c>
      <c r="H28" s="53">
        <f t="shared" si="0"/>
        <v>455000</v>
      </c>
    </row>
    <row r="29" spans="1:8" ht="16.5" thickBot="1" x14ac:dyDescent="0.3">
      <c r="A29" s="52">
        <v>14</v>
      </c>
      <c r="B29" s="47" t="s">
        <v>66</v>
      </c>
      <c r="C29" s="48"/>
      <c r="D29" s="49"/>
      <c r="E29" s="50" t="s">
        <v>51</v>
      </c>
      <c r="F29" s="51">
        <v>5500</v>
      </c>
      <c r="G29" s="50">
        <v>13</v>
      </c>
      <c r="H29" s="53">
        <f t="shared" si="0"/>
        <v>71500</v>
      </c>
    </row>
    <row r="30" spans="1:8" ht="16.5" thickBot="1" x14ac:dyDescent="0.3">
      <c r="A30" s="52">
        <v>15</v>
      </c>
      <c r="B30" s="47" t="s">
        <v>67</v>
      </c>
      <c r="C30" s="48"/>
      <c r="D30" s="49"/>
      <c r="E30" s="50" t="s">
        <v>51</v>
      </c>
      <c r="F30" s="51">
        <v>20000</v>
      </c>
      <c r="G30" s="50">
        <v>12</v>
      </c>
      <c r="H30" s="53">
        <f t="shared" si="0"/>
        <v>240000</v>
      </c>
    </row>
    <row r="31" spans="1:8" ht="16.5" thickBot="1" x14ac:dyDescent="0.3">
      <c r="A31" s="52">
        <v>16</v>
      </c>
      <c r="B31" s="47" t="s">
        <v>68</v>
      </c>
      <c r="C31" s="48"/>
      <c r="D31" s="49"/>
      <c r="E31" s="50" t="s">
        <v>51</v>
      </c>
      <c r="F31" s="51">
        <v>8920</v>
      </c>
      <c r="G31" s="50">
        <v>12</v>
      </c>
      <c r="H31" s="53">
        <f t="shared" si="0"/>
        <v>107040</v>
      </c>
    </row>
    <row r="32" spans="1:8" ht="16.5" thickBot="1" x14ac:dyDescent="0.3">
      <c r="A32" s="52">
        <v>17</v>
      </c>
      <c r="B32" s="47" t="s">
        <v>69</v>
      </c>
      <c r="C32" s="48"/>
      <c r="D32" s="49"/>
      <c r="E32" s="50" t="s">
        <v>51</v>
      </c>
      <c r="F32" s="51">
        <v>4920</v>
      </c>
      <c r="G32" s="50">
        <v>11</v>
      </c>
      <c r="H32" s="53">
        <f t="shared" si="0"/>
        <v>54120</v>
      </c>
    </row>
    <row r="33" spans="1:8" ht="16.5" thickBot="1" x14ac:dyDescent="0.3">
      <c r="A33" s="52">
        <v>18</v>
      </c>
      <c r="B33" s="47" t="s">
        <v>70</v>
      </c>
      <c r="C33" s="48"/>
      <c r="D33" s="49"/>
      <c r="E33" s="50" t="s">
        <v>50</v>
      </c>
      <c r="F33" s="51">
        <v>6000</v>
      </c>
      <c r="G33" s="50">
        <v>11</v>
      </c>
      <c r="H33" s="53">
        <f t="shared" si="0"/>
        <v>66000</v>
      </c>
    </row>
    <row r="34" spans="1:8" ht="16.5" thickBot="1" x14ac:dyDescent="0.3">
      <c r="A34" s="52">
        <v>19</v>
      </c>
      <c r="B34" s="47" t="s">
        <v>71</v>
      </c>
      <c r="C34" s="48"/>
      <c r="D34" s="49"/>
      <c r="E34" s="50" t="s">
        <v>51</v>
      </c>
      <c r="F34" s="51">
        <v>6000</v>
      </c>
      <c r="G34" s="50">
        <v>11</v>
      </c>
      <c r="H34" s="53">
        <f t="shared" si="0"/>
        <v>66000</v>
      </c>
    </row>
    <row r="35" spans="1:8" ht="16.5" thickBot="1" x14ac:dyDescent="0.3">
      <c r="A35" s="52">
        <v>20</v>
      </c>
      <c r="B35" s="47" t="s">
        <v>72</v>
      </c>
      <c r="C35" s="48"/>
      <c r="D35" s="49"/>
      <c r="E35" s="50" t="s">
        <v>50</v>
      </c>
      <c r="F35" s="51">
        <v>3000</v>
      </c>
      <c r="G35" s="50">
        <v>11</v>
      </c>
      <c r="H35" s="53">
        <f t="shared" si="0"/>
        <v>33000</v>
      </c>
    </row>
    <row r="36" spans="1:8" ht="16.5" thickBot="1" x14ac:dyDescent="0.3">
      <c r="A36" s="52">
        <v>21</v>
      </c>
      <c r="B36" s="47" t="s">
        <v>73</v>
      </c>
      <c r="C36" s="48"/>
      <c r="D36" s="49"/>
      <c r="E36" s="50" t="s">
        <v>50</v>
      </c>
      <c r="F36" s="51">
        <v>30400</v>
      </c>
      <c r="G36" s="50">
        <v>1</v>
      </c>
      <c r="H36" s="53">
        <f t="shared" si="0"/>
        <v>30400</v>
      </c>
    </row>
    <row r="37" spans="1:8" ht="16.5" thickBot="1" x14ac:dyDescent="0.3">
      <c r="A37" s="52">
        <v>22</v>
      </c>
      <c r="B37" s="47" t="s">
        <v>74</v>
      </c>
      <c r="C37" s="48"/>
      <c r="D37" s="49"/>
      <c r="E37" s="50" t="s">
        <v>50</v>
      </c>
      <c r="F37" s="51">
        <v>6550</v>
      </c>
      <c r="G37" s="50">
        <v>1</v>
      </c>
      <c r="H37" s="53">
        <f t="shared" si="0"/>
        <v>6550</v>
      </c>
    </row>
    <row r="38" spans="1:8" ht="16.5" thickBot="1" x14ac:dyDescent="0.3">
      <c r="A38" s="52">
        <v>23</v>
      </c>
      <c r="B38" s="47" t="s">
        <v>75</v>
      </c>
      <c r="C38" s="48"/>
      <c r="D38" s="49"/>
      <c r="E38" s="50" t="s">
        <v>50</v>
      </c>
      <c r="F38" s="51">
        <v>47500</v>
      </c>
      <c r="G38" s="50">
        <v>1</v>
      </c>
      <c r="H38" s="53">
        <f t="shared" si="0"/>
        <v>47500</v>
      </c>
    </row>
    <row r="39" spans="1:8" ht="16.5" thickBot="1" x14ac:dyDescent="0.3">
      <c r="A39" s="52">
        <v>24</v>
      </c>
      <c r="B39" s="47" t="s">
        <v>76</v>
      </c>
      <c r="C39" s="48"/>
      <c r="D39" s="49"/>
      <c r="E39" s="50" t="s">
        <v>51</v>
      </c>
      <c r="F39" s="51">
        <v>7320</v>
      </c>
      <c r="G39" s="50">
        <v>1</v>
      </c>
      <c r="H39" s="53">
        <f t="shared" si="0"/>
        <v>7320</v>
      </c>
    </row>
    <row r="40" spans="1:8" ht="16.5" thickBot="1" x14ac:dyDescent="0.3">
      <c r="A40" s="52">
        <v>25</v>
      </c>
      <c r="B40" s="47" t="s">
        <v>77</v>
      </c>
      <c r="C40" s="48"/>
      <c r="D40" s="49"/>
      <c r="E40" s="50" t="s">
        <v>50</v>
      </c>
      <c r="F40" s="51">
        <v>1900</v>
      </c>
      <c r="G40" s="50">
        <v>1</v>
      </c>
      <c r="H40" s="53">
        <f t="shared" si="0"/>
        <v>1900</v>
      </c>
    </row>
    <row r="41" spans="1:8" ht="16.5" thickBot="1" x14ac:dyDescent="0.3">
      <c r="A41" s="52">
        <v>26</v>
      </c>
      <c r="B41" s="47" t="s">
        <v>78</v>
      </c>
      <c r="C41" s="48"/>
      <c r="D41" s="49"/>
      <c r="E41" s="50" t="s">
        <v>50</v>
      </c>
      <c r="F41" s="51">
        <v>7450</v>
      </c>
      <c r="G41" s="50">
        <v>1</v>
      </c>
      <c r="H41" s="53">
        <f t="shared" si="0"/>
        <v>7450</v>
      </c>
    </row>
    <row r="42" spans="1:8" ht="16.5" thickBot="1" x14ac:dyDescent="0.3">
      <c r="A42" s="52">
        <v>27</v>
      </c>
      <c r="B42" s="47" t="s">
        <v>79</v>
      </c>
      <c r="C42" s="48"/>
      <c r="D42" s="49"/>
      <c r="E42" s="50" t="s">
        <v>50</v>
      </c>
      <c r="F42" s="51">
        <v>18700</v>
      </c>
      <c r="G42" s="50">
        <v>1</v>
      </c>
      <c r="H42" s="53">
        <f t="shared" si="0"/>
        <v>18700</v>
      </c>
    </row>
    <row r="43" spans="1:8" ht="16.5" thickBot="1" x14ac:dyDescent="0.3">
      <c r="A43" s="52">
        <v>28</v>
      </c>
      <c r="B43" s="47" t="s">
        <v>80</v>
      </c>
      <c r="C43" s="48"/>
      <c r="D43" s="49"/>
      <c r="E43" s="50" t="s">
        <v>51</v>
      </c>
      <c r="F43" s="51">
        <v>25000</v>
      </c>
      <c r="G43" s="50">
        <v>1</v>
      </c>
      <c r="H43" s="53">
        <f t="shared" si="0"/>
        <v>25000</v>
      </c>
    </row>
    <row r="44" spans="1:8" ht="16.5" thickBot="1" x14ac:dyDescent="0.3">
      <c r="A44" s="52">
        <v>29</v>
      </c>
      <c r="B44" s="47" t="s">
        <v>81</v>
      </c>
      <c r="C44" s="48"/>
      <c r="D44" s="49"/>
      <c r="E44" s="50" t="s">
        <v>51</v>
      </c>
      <c r="F44" s="51">
        <v>13000</v>
      </c>
      <c r="G44" s="50">
        <v>1</v>
      </c>
      <c r="H44" s="53">
        <f t="shared" si="0"/>
        <v>13000</v>
      </c>
    </row>
    <row r="45" spans="1:8" ht="16.5" thickBot="1" x14ac:dyDescent="0.3">
      <c r="A45" s="52">
        <v>30</v>
      </c>
      <c r="B45" s="47" t="s">
        <v>82</v>
      </c>
      <c r="C45" s="48"/>
      <c r="D45" s="49"/>
      <c r="E45" s="50" t="s">
        <v>50</v>
      </c>
      <c r="F45" s="51">
        <v>9850</v>
      </c>
      <c r="G45" s="50">
        <v>1</v>
      </c>
      <c r="H45" s="53">
        <f t="shared" si="0"/>
        <v>9850</v>
      </c>
    </row>
    <row r="46" spans="1:8" ht="16.5" thickBot="1" x14ac:dyDescent="0.3">
      <c r="A46" s="52">
        <v>31</v>
      </c>
      <c r="B46" s="47" t="s">
        <v>83</v>
      </c>
      <c r="C46" s="48"/>
      <c r="D46" s="49"/>
      <c r="E46" s="50" t="s">
        <v>50</v>
      </c>
      <c r="F46" s="51">
        <v>4138</v>
      </c>
      <c r="G46" s="50">
        <v>1</v>
      </c>
      <c r="H46" s="53">
        <f t="shared" si="0"/>
        <v>4138</v>
      </c>
    </row>
    <row r="47" spans="1:8" ht="16.5" thickBot="1" x14ac:dyDescent="0.3">
      <c r="A47" s="52">
        <v>32</v>
      </c>
      <c r="B47" s="47" t="s">
        <v>84</v>
      </c>
      <c r="C47" s="48"/>
      <c r="D47" s="49"/>
      <c r="E47" s="50" t="s">
        <v>50</v>
      </c>
      <c r="F47" s="51">
        <v>23400</v>
      </c>
      <c r="G47" s="50">
        <v>1</v>
      </c>
      <c r="H47" s="53">
        <f t="shared" si="0"/>
        <v>23400</v>
      </c>
    </row>
    <row r="48" spans="1:8" ht="19.5" customHeight="1" thickBot="1" x14ac:dyDescent="0.3">
      <c r="H48" s="44"/>
    </row>
    <row r="49" spans="1:8" ht="19.5" customHeight="1" thickBot="1" x14ac:dyDescent="0.35">
      <c r="A49" s="77" t="s">
        <v>25</v>
      </c>
      <c r="B49" s="12" t="s">
        <v>85</v>
      </c>
      <c r="C49" s="13"/>
      <c r="D49" s="14"/>
      <c r="E49" s="55"/>
      <c r="F49" s="45" t="s">
        <v>49</v>
      </c>
      <c r="G49" s="6"/>
      <c r="H49" s="7"/>
    </row>
    <row r="50" spans="1:8" ht="19.5" customHeight="1" thickBot="1" x14ac:dyDescent="0.3">
      <c r="A50" s="78"/>
      <c r="B50" s="16" t="s">
        <v>86</v>
      </c>
      <c r="C50" s="4"/>
      <c r="D50" s="4"/>
      <c r="E50" s="56" t="s">
        <v>26</v>
      </c>
      <c r="F50" s="57"/>
      <c r="G50" s="58"/>
      <c r="H50" s="54">
        <f>SUM(H16:H47)</f>
        <v>4084010</v>
      </c>
    </row>
    <row r="51" spans="1:8" ht="19.5" customHeight="1" x14ac:dyDescent="0.25">
      <c r="A51" s="25" t="s">
        <v>27</v>
      </c>
      <c r="B51" s="13"/>
      <c r="C51" s="13"/>
      <c r="D51" s="13"/>
      <c r="E51" s="59" t="s">
        <v>32</v>
      </c>
      <c r="F51" s="46"/>
      <c r="G51" s="60">
        <v>0.19</v>
      </c>
      <c r="H51" s="41">
        <f>H50*G51</f>
        <v>775961.9</v>
      </c>
    </row>
    <row r="52" spans="1:8" ht="15.75" x14ac:dyDescent="0.25">
      <c r="A52" s="15" t="s">
        <v>44</v>
      </c>
      <c r="E52" s="61" t="s">
        <v>28</v>
      </c>
      <c r="G52" s="62">
        <v>2.5000000000000001E-2</v>
      </c>
      <c r="H52" s="37">
        <f>H50*G52</f>
        <v>102100.25</v>
      </c>
    </row>
    <row r="53" spans="1:8" ht="15.75" x14ac:dyDescent="0.25">
      <c r="A53" s="15" t="s">
        <v>87</v>
      </c>
      <c r="E53" s="15"/>
      <c r="F53" s="35"/>
      <c r="G53" s="63"/>
      <c r="H53" s="38"/>
    </row>
    <row r="54" spans="1:8" ht="16.5" thickBot="1" x14ac:dyDescent="0.3">
      <c r="A54" s="15" t="s">
        <v>34</v>
      </c>
      <c r="E54" s="64" t="s">
        <v>29</v>
      </c>
      <c r="F54" s="65"/>
      <c r="G54" s="66"/>
      <c r="H54" s="39"/>
    </row>
    <row r="55" spans="1:8" ht="16.5" customHeight="1" thickBot="1" x14ac:dyDescent="0.35">
      <c r="A55" s="16"/>
      <c r="B55" s="4"/>
      <c r="C55" s="4"/>
      <c r="D55" s="17"/>
      <c r="F55" s="3"/>
      <c r="G55" s="36" t="s">
        <v>30</v>
      </c>
      <c r="H55" s="42">
        <f>H50+H51-H52</f>
        <v>4757871.6500000004</v>
      </c>
    </row>
    <row r="57" spans="1:8" x14ac:dyDescent="0.25">
      <c r="A57" t="s">
        <v>1</v>
      </c>
    </row>
    <row r="58" spans="1:8" x14ac:dyDescent="0.25">
      <c r="F58" t="s">
        <v>45</v>
      </c>
    </row>
    <row r="59" spans="1:8" ht="15.75" thickBot="1" x14ac:dyDescent="0.3"/>
    <row r="60" spans="1:8" ht="19.5" thickBot="1" x14ac:dyDescent="0.35">
      <c r="A60" s="26" t="s">
        <v>48</v>
      </c>
      <c r="B60" s="6"/>
      <c r="C60" s="6"/>
      <c r="D60" s="6"/>
      <c r="E60" s="6"/>
      <c r="F60" s="6"/>
      <c r="G60" s="6"/>
      <c r="H60" s="7"/>
    </row>
    <row r="69" spans="1:1" ht="18.75" x14ac:dyDescent="0.3">
      <c r="A69" s="5"/>
    </row>
  </sheetData>
  <mergeCells count="1">
    <mergeCell ref="A49:A5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SURTIDOR INDUSTRIAL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2025-05-21T18:52:47Z</cp:lastPrinted>
  <dcterms:created xsi:type="dcterms:W3CDTF">2018-11-15T17:29:02Z</dcterms:created>
  <dcterms:modified xsi:type="dcterms:W3CDTF">2025-06-05T20:57:33Z</dcterms:modified>
</cp:coreProperties>
</file>