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0C91DB8-4439-4494-8100-C517A482400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21" i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<sst xmlns="http://schemas.openxmlformats.org/spreadsheetml/2006/main" count="55" uniqueCount="55">
  <si>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</si>
  <si>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</si>
  <si>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</si>
  <si>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</si>
  <si>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</si>
  <si>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</si>
  <si>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</si>
  <si>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</si>
  <si>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</si>
  <si>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</si>
  <si>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</si>
  <si>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</si>
  <si>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</si>
  <si>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</si>
  <si>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</si>
  <si>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</si>
  <si>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</si>
  <si>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</si>
  <si>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</si>
  <si>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</si>
  <si>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</si>
  <si>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</si>
  <si>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</si>
  <si>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</si>
  <si>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</si>
  <si>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</si>
  <si>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</si>
  <si>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</si>
  <si>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</si>
  <si>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</si>
  <si>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</si>
  <si>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</si>
  <si>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</si>
  <si>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</si>
  <si>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</si>
  <si>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</si>
  <si>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</si>
  <si>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</si>
  <si>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</si>
  <si>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</si>
  <si>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</si>
  <si>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</si>
  <si>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L I Q U I D A C I O N</t>
  </si>
  <si>
    <t>CALLE  33 A  No.  11C-59</t>
  </si>
  <si>
    <t>FORMA DE PAGO : CREDITO 30 DIAS</t>
  </si>
  <si>
    <t xml:space="preserve">   RETEICA</t>
  </si>
  <si>
    <t xml:space="preserve">  CALLE  33A  No. 17F - 56               B/  LA FLORESTA             -   CALI    -                                                 CEL.     321 7834969</t>
  </si>
  <si>
    <t>ENTREGA INMEDIATA</t>
  </si>
  <si>
    <t xml:space="preserve">             R E M I S I O N</t>
  </si>
  <si>
    <t>30 DIAS</t>
  </si>
  <si>
    <t>No. 23</t>
  </si>
  <si>
    <t xml:space="preserve">TUBERIA  A / C  SCH 40  1 1/4 " </t>
  </si>
  <si>
    <t>TUBO X 6 MTS</t>
  </si>
  <si>
    <t>SEIS MILLONES TRESCIENTOS CATORCE MIL DOSCIENTOS</t>
  </si>
  <si>
    <t>VEINTINUEVE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</si>
</sst>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  <xf numFmtId="0" fontId="1" fillId="0" borderId="22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J19" sqref="J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48</v>
      </c>
      <c r="G6" s="41"/>
      <c r="H6" s="42"/>
    </row>
    <row r="7" spans="1:8" ht="19.5" thickBot="1" x14ac:dyDescent="0.35">
      <c r="A7" s="19" t="s">
        <v>14</v>
      </c>
      <c r="B7" s="12"/>
      <c r="C7" s="43" t="s">
        <v>36</v>
      </c>
      <c r="D7" s="6"/>
      <c r="E7" s="6"/>
      <c r="F7" s="36"/>
      <c r="G7" s="17"/>
      <c r="H7" s="18" t="s">
        <v>50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43</v>
      </c>
      <c r="E9" s="59" t="s">
        <v>38</v>
      </c>
      <c r="F9" s="29" t="s">
        <v>0</v>
      </c>
      <c r="H9" s="27">
        <v>45877</v>
      </c>
    </row>
    <row r="10" spans="1:8" ht="18.75" x14ac:dyDescent="0.3">
      <c r="A10" s="20" t="s">
        <v>13</v>
      </c>
      <c r="C10" s="46" t="s">
        <v>39</v>
      </c>
      <c r="E10" s="14"/>
      <c r="F10" s="29" t="s">
        <v>15</v>
      </c>
      <c r="H10" s="28" t="s">
        <v>49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45907</v>
      </c>
    </row>
    <row r="12" spans="1:8" ht="18.75" x14ac:dyDescent="0.3">
      <c r="A12" s="20" t="s">
        <v>11</v>
      </c>
      <c r="C12" s="13" t="s">
        <v>40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60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1">
        <v>1</v>
      </c>
      <c r="B16" s="62" t="s">
        <v>51</v>
      </c>
      <c r="C16" s="63"/>
      <c r="D16" s="64"/>
      <c r="E16" s="61" t="s">
        <v>52</v>
      </c>
      <c r="F16" s="65">
        <v>124000</v>
      </c>
      <c r="G16" s="61">
        <v>44</v>
      </c>
      <c r="H16" s="37">
        <f t="shared" ref="H16" si="0">G16*F16</f>
        <v>5456000</v>
      </c>
    </row>
    <row r="17" spans="1:8" ht="19.5" customHeight="1" thickBot="1" x14ac:dyDescent="0.3">
      <c r="A17" s="47"/>
      <c r="B17" s="67"/>
      <c r="D17" s="68"/>
      <c r="E17" s="47"/>
      <c r="F17" s="47"/>
      <c r="G17" s="47"/>
    </row>
    <row r="18" spans="1:8" ht="19.5" customHeight="1" thickBot="1" x14ac:dyDescent="0.35">
      <c r="A18" s="66" t="s">
        <v>23</v>
      </c>
      <c r="B18" s="69" t="s">
        <v>53</v>
      </c>
      <c r="C18" s="12"/>
      <c r="D18" s="70"/>
      <c r="E18" s="48"/>
      <c r="F18" s="36" t="s">
        <v>42</v>
      </c>
      <c r="G18" s="6"/>
      <c r="H18" s="7"/>
    </row>
    <row r="19" spans="1:8" ht="19.5" customHeight="1" thickBot="1" x14ac:dyDescent="0.3">
      <c r="A19" s="38"/>
      <c r="B19" s="15" t="s">
        <v>54</v>
      </c>
      <c r="C19" s="4"/>
      <c r="D19" s="16"/>
      <c r="E19" s="51" t="s">
        <v>24</v>
      </c>
      <c r="F19" s="52"/>
      <c r="G19" s="44"/>
      <c r="H19" s="49">
        <f>SUM(H16:H16)</f>
        <v>5456000</v>
      </c>
    </row>
    <row r="20" spans="1:8" ht="19.5" customHeight="1" x14ac:dyDescent="0.25">
      <c r="A20" s="23" t="s">
        <v>25</v>
      </c>
      <c r="B20" s="12"/>
      <c r="C20" s="12"/>
      <c r="D20" s="12"/>
      <c r="E20" s="53" t="s">
        <v>29</v>
      </c>
      <c r="F20" s="22"/>
      <c r="G20" s="54">
        <v>0.19</v>
      </c>
      <c r="H20" s="39">
        <f>H19*G20</f>
        <v>1036640</v>
      </c>
    </row>
    <row r="21" spans="1:8" ht="19.5" customHeight="1" x14ac:dyDescent="0.25">
      <c r="A21" s="13" t="s">
        <v>44</v>
      </c>
      <c r="E21" s="55" t="s">
        <v>26</v>
      </c>
      <c r="G21" s="58">
        <v>2.5000000000000001E-2</v>
      </c>
      <c r="H21" s="50">
        <f>H19*G21</f>
        <v>136400</v>
      </c>
    </row>
    <row r="22" spans="1:8" ht="15.75" x14ac:dyDescent="0.25">
      <c r="A22" s="13" t="s">
        <v>47</v>
      </c>
      <c r="E22" s="53" t="s">
        <v>45</v>
      </c>
      <c r="F22" s="32"/>
      <c r="G22" s="71">
        <v>7.7000000000000002E-3</v>
      </c>
      <c r="H22" s="50">
        <f>H19*G22</f>
        <v>42011.200000000004</v>
      </c>
    </row>
    <row r="23" spans="1:8" ht="16.5" thickBot="1" x14ac:dyDescent="0.3">
      <c r="A23" s="13" t="s">
        <v>31</v>
      </c>
      <c r="E23" s="56" t="s">
        <v>27</v>
      </c>
      <c r="F23" s="57"/>
      <c r="G23" s="45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H19+H20-H21-H22</f>
        <v>6314228.7999999998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2025-08-08T15:00:48Z</cp:lastPrinted>
  <dcterms:created xsi:type="dcterms:W3CDTF">2018-11-15T17:29:02Z</dcterms:created>
  <dcterms:modified xsi:type="dcterms:W3CDTF">2025-08-08T22:56:38Z</dcterms:modified>
</cp:coreProperties>
</file>