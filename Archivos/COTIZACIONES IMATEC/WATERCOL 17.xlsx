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3FCC5546-DDBC-45C9-8E53-9FF4CC3D31DF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WATERCOL 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8" i="1" l="1"/>
  <c r="H16" i="1"/>
  <c r="H21" i="1" s="1"/>
  <c r="H22" i="1" l="1"/>
  <c r="H26" i="1" s="1"/>
</calcChain>
</file>

<file path=xl/sharedStrings.xml><?xml version="1.0" encoding="utf-8"?>
<sst xmlns="http://schemas.openxmlformats.org/spreadsheetml/2006/main" count="57" uniqueCount="56">
  <si>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</si>
  <si>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</si>
  <si>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</si>
  <si>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</si>
  <si>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</si>
  <si>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</si>
  <si>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</si>
  <si>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</si>
  <si>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</si>
  <si>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</si>
  <si>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</si>
  <si>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</si>
  <si>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</si>
  <si>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</si>
  <si>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</si>
  <si>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</si>
  <si>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</si>
  <si>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</si>
  <si>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</si>
  <si>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>CODIGO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</si>
  <si>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</si>
  <si>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</si>
  <si>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</si>
  <si>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</si>
  <si>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</si>
  <si>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</si>
  <si>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</si>
  <si>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</si>
  <si>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</si>
  <si>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</si>
  <si>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</si>
  <si>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</si>
  <si>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</si>
  <si>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</si>
  <si>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</si>
  <si>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</si>
  <si>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</si>
  <si>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</si>
  <si>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</si>
  <si>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WATERCOL S A S</t>
  </si>
  <si>
    <t>901 193743</t>
  </si>
  <si>
    <t>CARRERA 36 No. 10-549 ACOPI</t>
  </si>
  <si>
    <t>YUMBO</t>
  </si>
  <si>
    <t>contabilidad@watercol.com.co</t>
  </si>
  <si>
    <t>311 614 8702</t>
  </si>
  <si>
    <t>LUIS A. BENAVIDES</t>
  </si>
  <si>
    <t>ENTREGA INMEDIATA A PARTIR DE ORDEN DE COMPRA</t>
  </si>
  <si>
    <t>ACCESORIO</t>
  </si>
  <si>
    <t xml:space="preserve">  CALLE  33A  No. 17F - 56                           B/  LA FLORESTA             -   CALI    -                                   CEL.     321 7834969</t>
  </si>
  <si>
    <t>No. 17</t>
  </si>
  <si>
    <t xml:space="preserve">              R E M I S I O N </t>
  </si>
  <si>
    <t xml:space="preserve">JUNTA ANTI VIBRATORIA CUERPO CAUCHO </t>
  </si>
  <si>
    <t>BRIDA  HD  3 "</t>
  </si>
  <si>
    <t>BRIDA PVC SCH 80  3 "</t>
  </si>
  <si>
    <t>TRESCIENTOS CUARENTA Y CINCO MIL CIEN PESOS MDA</t>
  </si>
  <si>
    <t>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</si>
</sst>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6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5" xfId="0" applyBorder="1"/>
    <xf numFmtId="0" fontId="0" fillId="0" borderId="14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5" fillId="0" borderId="7" xfId="0" applyFont="1" applyBorder="1"/>
    <xf numFmtId="0" fontId="4" fillId="0" borderId="14" xfId="0" applyFont="1" applyBorder="1"/>
    <xf numFmtId="0" fontId="4" fillId="0" borderId="13" xfId="0" applyFont="1" applyBorder="1"/>
    <xf numFmtId="0" fontId="5" fillId="0" borderId="17" xfId="0" applyFont="1" applyBorder="1"/>
    <xf numFmtId="9" fontId="1" fillId="0" borderId="14" xfId="0" applyNumberFormat="1" applyFont="1" applyBorder="1"/>
    <xf numFmtId="42" fontId="1" fillId="0" borderId="18" xfId="0" applyNumberFormat="1" applyFont="1" applyBorder="1"/>
    <xf numFmtId="0" fontId="0" fillId="0" borderId="18" xfId="0" applyBorder="1"/>
    <xf numFmtId="0" fontId="0" fillId="0" borderId="17" xfId="0" applyBorder="1"/>
    <xf numFmtId="0" fontId="12" fillId="0" borderId="0" xfId="0" applyFont="1" applyAlignment="1">
      <alignment horizontal="center"/>
    </xf>
    <xf numFmtId="0" fontId="13" fillId="0" borderId="14" xfId="2" applyBorder="1"/>
    <xf numFmtId="42" fontId="1" fillId="0" borderId="16" xfId="0" applyNumberFormat="1" applyFont="1" applyBorder="1" applyAlignment="1">
      <alignment horizontal="left"/>
    </xf>
    <xf numFmtId="42" fontId="1" fillId="0" borderId="18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3" xfId="0" applyFont="1" applyBorder="1"/>
    <xf numFmtId="0" fontId="5" fillId="0" borderId="4" xfId="0" applyFont="1" applyBorder="1"/>
    <xf numFmtId="42" fontId="1" fillId="0" borderId="19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10" fontId="1" fillId="0" borderId="0" xfId="0" applyNumberFormat="1" applyFont="1"/>
    <xf numFmtId="0" fontId="1" fillId="0" borderId="4" xfId="0" applyFont="1" applyBorder="1" applyAlignment="1">
      <alignment horizontal="center"/>
    </xf>
    <xf numFmtId="0" fontId="8" fillId="0" borderId="20" xfId="0" applyFont="1" applyBorder="1"/>
    <xf numFmtId="0" fontId="8" fillId="0" borderId="4" xfId="0" applyFont="1" applyBorder="1"/>
    <xf numFmtId="0" fontId="8" fillId="0" borderId="19" xfId="0" applyFont="1" applyBorder="1"/>
    <xf numFmtId="0" fontId="1" fillId="0" borderId="20" xfId="0" applyFont="1" applyBorder="1" applyAlignment="1">
      <alignment horizontal="center"/>
    </xf>
    <xf numFmtId="42" fontId="11" fillId="0" borderId="4" xfId="1" applyFont="1" applyBorder="1" applyAlignment="1">
      <alignment horizontal="center"/>
    </xf>
    <xf numFmtId="0" fontId="0" fillId="0" borderId="21" xfId="0" applyBorder="1"/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watercol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1"/>
  <sheetViews>
    <sheetView tabSelected="1" topLeftCell="A10" zoomScaleNormal="100" workbookViewId="0">
      <selection activeCell="C30" sqref="C30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46" t="s">
        <v>32</v>
      </c>
    </row>
    <row r="3" spans="1:8" ht="27" thickBot="1" x14ac:dyDescent="0.45">
      <c r="A3" s="11" t="s">
        <v>18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9" t="s">
        <v>7</v>
      </c>
      <c r="B4" s="6"/>
      <c r="C4" s="6"/>
      <c r="D4" s="30" t="s">
        <v>36</v>
      </c>
      <c r="E4" s="19"/>
      <c r="F4" s="20"/>
      <c r="G4" s="6"/>
      <c r="H4" s="7"/>
    </row>
    <row r="5" spans="1:8" ht="19.5" thickBot="1" x14ac:dyDescent="0.35">
      <c r="A5" s="52" t="s">
        <v>38</v>
      </c>
      <c r="B5" s="6"/>
      <c r="C5" s="6"/>
      <c r="D5" s="6"/>
      <c r="E5" s="6"/>
    </row>
    <row r="6" spans="1:8" ht="24.75" customHeight="1" thickBot="1" x14ac:dyDescent="0.45">
      <c r="F6" s="11" t="s">
        <v>50</v>
      </c>
      <c r="G6" s="19"/>
      <c r="H6" s="20"/>
    </row>
    <row r="7" spans="1:8" ht="19.5" thickBot="1" x14ac:dyDescent="0.35">
      <c r="A7" s="21" t="s">
        <v>14</v>
      </c>
      <c r="B7" s="13"/>
      <c r="C7" s="31" t="s">
        <v>39</v>
      </c>
      <c r="D7" s="13"/>
      <c r="E7" s="14"/>
      <c r="F7" s="28"/>
      <c r="G7" s="19"/>
      <c r="H7" s="20" t="s">
        <v>49</v>
      </c>
    </row>
    <row r="8" spans="1:8" ht="18.75" x14ac:dyDescent="0.3">
      <c r="A8" s="22" t="s">
        <v>8</v>
      </c>
      <c r="C8" s="25" t="s">
        <v>40</v>
      </c>
      <c r="D8" s="26"/>
      <c r="E8" s="26"/>
      <c r="F8" s="12"/>
      <c r="G8" s="13"/>
      <c r="H8" s="14"/>
    </row>
    <row r="9" spans="1:8" ht="18.75" customHeight="1" x14ac:dyDescent="0.3">
      <c r="A9" s="22" t="s">
        <v>9</v>
      </c>
      <c r="C9" s="24" t="s">
        <v>41</v>
      </c>
      <c r="D9" s="24"/>
      <c r="E9" s="25" t="s">
        <v>42</v>
      </c>
      <c r="F9" s="32" t="s">
        <v>0</v>
      </c>
      <c r="H9" s="33">
        <v>45693</v>
      </c>
    </row>
    <row r="10" spans="1:8" ht="18.75" x14ac:dyDescent="0.3">
      <c r="A10" s="22" t="s">
        <v>13</v>
      </c>
      <c r="C10" s="47" t="s">
        <v>43</v>
      </c>
      <c r="D10" s="26"/>
      <c r="E10" s="26"/>
      <c r="F10" s="32" t="s">
        <v>15</v>
      </c>
      <c r="H10" s="34" t="s">
        <v>35</v>
      </c>
    </row>
    <row r="11" spans="1:8" ht="18.75" x14ac:dyDescent="0.3">
      <c r="A11" s="22" t="s">
        <v>10</v>
      </c>
      <c r="C11" s="25"/>
      <c r="D11" s="26"/>
      <c r="E11" s="26"/>
      <c r="F11" s="32" t="s">
        <v>16</v>
      </c>
      <c r="G11" s="35"/>
      <c r="H11" s="33"/>
    </row>
    <row r="12" spans="1:8" ht="18.75" x14ac:dyDescent="0.3">
      <c r="A12" s="22" t="s">
        <v>11</v>
      </c>
      <c r="C12" s="25" t="s">
        <v>44</v>
      </c>
      <c r="D12" s="26"/>
      <c r="E12" s="26"/>
      <c r="F12" s="32" t="s">
        <v>17</v>
      </c>
      <c r="H12" s="36"/>
    </row>
    <row r="13" spans="1:8" ht="18.75" customHeight="1" thickBot="1" x14ac:dyDescent="0.35">
      <c r="A13" s="23" t="s">
        <v>12</v>
      </c>
      <c r="B13" s="4"/>
      <c r="C13" s="25" t="s">
        <v>45</v>
      </c>
      <c r="D13" s="26"/>
      <c r="E13" s="26"/>
      <c r="F13" s="17"/>
      <c r="G13" s="4"/>
      <c r="H13" s="18"/>
    </row>
    <row r="14" spans="1:8" ht="15.75" thickBot="1" x14ac:dyDescent="0.3"/>
    <row r="15" spans="1:8" ht="15.75" thickBot="1" x14ac:dyDescent="0.3">
      <c r="A15" s="56" t="s">
        <v>19</v>
      </c>
      <c r="B15" s="51" t="s">
        <v>24</v>
      </c>
      <c r="C15" s="19"/>
      <c r="D15" s="7"/>
      <c r="E15" s="37" t="s">
        <v>20</v>
      </c>
      <c r="F15" s="37" t="s">
        <v>22</v>
      </c>
      <c r="G15" s="37" t="s">
        <v>21</v>
      </c>
      <c r="H15" s="37" t="s">
        <v>23</v>
      </c>
    </row>
    <row r="16" spans="1:8" ht="16.5" thickBot="1" x14ac:dyDescent="0.3">
      <c r="A16" s="58">
        <v>1</v>
      </c>
      <c r="B16" s="59" t="s">
        <v>51</v>
      </c>
      <c r="C16" s="60"/>
      <c r="D16" s="61"/>
      <c r="E16" s="62" t="s">
        <v>47</v>
      </c>
      <c r="F16" s="63">
        <v>150000</v>
      </c>
      <c r="G16" s="58">
        <v>1</v>
      </c>
      <c r="H16" s="53">
        <f t="shared" ref="H16:H18" si="0">G16*F16</f>
        <v>150000</v>
      </c>
    </row>
    <row r="17" spans="1:8" ht="16.5" thickBot="1" x14ac:dyDescent="0.3">
      <c r="A17" s="58"/>
      <c r="B17" s="59" t="s">
        <v>52</v>
      </c>
      <c r="C17" s="60"/>
      <c r="D17" s="61"/>
      <c r="E17" s="62"/>
      <c r="F17" s="63"/>
      <c r="G17" s="58"/>
      <c r="H17" s="53"/>
    </row>
    <row r="18" spans="1:8" ht="15" customHeight="1" thickBot="1" x14ac:dyDescent="0.3">
      <c r="A18" s="58">
        <v>2</v>
      </c>
      <c r="B18" s="59" t="s">
        <v>53</v>
      </c>
      <c r="C18" s="60"/>
      <c r="D18" s="61"/>
      <c r="E18" s="62" t="s">
        <v>47</v>
      </c>
      <c r="F18" s="63">
        <v>70000</v>
      </c>
      <c r="G18" s="58">
        <v>2</v>
      </c>
      <c r="H18" s="53">
        <f t="shared" si="0"/>
        <v>140000</v>
      </c>
    </row>
    <row r="19" spans="1:8" ht="16.5" thickBot="1" x14ac:dyDescent="0.3">
      <c r="A19" s="58"/>
      <c r="B19" s="59"/>
      <c r="C19" s="60"/>
      <c r="D19" s="61"/>
      <c r="E19" s="62"/>
      <c r="F19" s="63"/>
      <c r="G19" s="58"/>
      <c r="H19" s="53"/>
    </row>
    <row r="20" spans="1:8" ht="19.5" customHeight="1" thickBot="1" x14ac:dyDescent="0.35">
      <c r="A20" s="54" t="s">
        <v>25</v>
      </c>
      <c r="B20" s="12" t="s">
        <v>54</v>
      </c>
      <c r="C20" s="13"/>
      <c r="D20" s="14"/>
      <c r="E20" s="13"/>
      <c r="F20" s="38" t="s">
        <v>31</v>
      </c>
      <c r="G20" s="13"/>
      <c r="H20" s="7"/>
    </row>
    <row r="21" spans="1:8" ht="19.5" customHeight="1" thickBot="1" x14ac:dyDescent="0.3">
      <c r="A21" s="55"/>
      <c r="B21" s="17" t="s">
        <v>55</v>
      </c>
      <c r="C21" s="4"/>
      <c r="D21" s="4"/>
      <c r="E21" s="39" t="s">
        <v>26</v>
      </c>
      <c r="F21" s="40"/>
      <c r="G21" s="26"/>
      <c r="H21" s="48">
        <f>SUM(H16:H18)</f>
        <v>290000</v>
      </c>
    </row>
    <row r="22" spans="1:8" ht="19.5" customHeight="1" x14ac:dyDescent="0.25">
      <c r="A22" s="27" t="s">
        <v>27</v>
      </c>
      <c r="B22" s="13"/>
      <c r="C22" s="13"/>
      <c r="D22" s="14"/>
      <c r="E22" s="3" t="s">
        <v>33</v>
      </c>
      <c r="F22" s="64"/>
      <c r="G22" s="42">
        <v>0.19</v>
      </c>
      <c r="H22" s="49">
        <f>H21*G22</f>
        <v>55100</v>
      </c>
    </row>
    <row r="23" spans="1:8" ht="19.5" customHeight="1" x14ac:dyDescent="0.25">
      <c r="A23" s="15" t="s">
        <v>34</v>
      </c>
      <c r="D23" s="16"/>
      <c r="E23" s="40" t="s">
        <v>28</v>
      </c>
      <c r="G23" s="57">
        <v>2.5000000000000001E-2</v>
      </c>
      <c r="H23" s="43"/>
    </row>
    <row r="24" spans="1:8" ht="15.75" x14ac:dyDescent="0.25">
      <c r="A24" s="15" t="s">
        <v>46</v>
      </c>
      <c r="D24" s="16"/>
      <c r="F24" s="40"/>
      <c r="G24" s="26"/>
      <c r="H24" s="44"/>
    </row>
    <row r="25" spans="1:8" ht="16.5" thickBot="1" x14ac:dyDescent="0.3">
      <c r="A25" s="15" t="s">
        <v>37</v>
      </c>
      <c r="D25" s="16"/>
      <c r="E25" s="40" t="s">
        <v>29</v>
      </c>
      <c r="F25" s="40"/>
      <c r="G25" s="26"/>
      <c r="H25" s="45"/>
    </row>
    <row r="26" spans="1:8" ht="19.5" thickBot="1" x14ac:dyDescent="0.35">
      <c r="A26" s="17"/>
      <c r="B26" s="4"/>
      <c r="C26" s="4"/>
      <c r="D26" s="18"/>
      <c r="F26" s="3"/>
      <c r="G26" s="41" t="s">
        <v>30</v>
      </c>
      <c r="H26" s="50">
        <f>H21+H22-H23</f>
        <v>345100</v>
      </c>
    </row>
    <row r="27" spans="1:8" ht="16.5" customHeight="1" x14ac:dyDescent="0.25"/>
    <row r="32" spans="1:8" ht="15.75" thickBot="1" x14ac:dyDescent="0.3"/>
    <row r="33" spans="1:8" ht="19.5" thickBot="1" x14ac:dyDescent="0.35">
      <c r="A33" s="28" t="s">
        <v>48</v>
      </c>
      <c r="B33" s="6"/>
      <c r="C33" s="6"/>
      <c r="D33" s="6"/>
      <c r="E33" s="6"/>
      <c r="F33" s="6"/>
      <c r="G33" s="6"/>
      <c r="H33" s="7"/>
    </row>
    <row r="41" spans="1:8" ht="18.75" x14ac:dyDescent="0.3">
      <c r="A41" s="5"/>
    </row>
  </sheetData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WATERCOL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2025-02-05T18:51:46Z</dcterms:modified>
</cp:coreProperties>
</file>