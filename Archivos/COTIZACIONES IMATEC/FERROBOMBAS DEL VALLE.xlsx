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9A8BFF0C-CCB0-4C72-B8FE-025600AC90F5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ERROBOMB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H31" i="1"/>
  <c r="H32" i="1"/>
  <c r="H33" i="1"/>
  <c r="H34" i="1"/>
  <c r="H30" i="1"/>
  <c r="H29" i="1"/>
  <c r="H27" i="1"/>
  <c r="H28" i="1"/>
  <c r="H26" i="1"/>
  <c r="H24" i="1"/>
  <c r="H25" i="1"/>
  <c r="H22" i="1"/>
  <c r="H20" i="1"/>
  <c r="H23" i="1"/>
  <c r="H21" i="1"/>
  <c r="H19" i="1"/>
  <c r="H18" i="1"/>
  <c r="H17" i="1"/>
  <c r="H16" i="1"/>
  <c r="H37" i="1" l="1"/>
  <c r="H41" i="1" s="1"/>
</calcChain>
</file>

<file path=xl/sharedStrings.xml><?xml version="1.0" encoding="utf-8"?>
<sst xmlns="http://schemas.openxmlformats.org/spreadsheetml/2006/main" count="89" uniqueCount="71">
  <si>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</si>
  <si>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</si>
  <si>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</si>
  <si>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</si>
  <si>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</si>
  <si>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</si>
  <si>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</si>
  <si>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</si>
  <si>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</si>
  <si>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</si>
  <si>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</si>
  <si>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</si>
  <si>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</si>
  <si>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</si>
  <si>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</si>
  <si>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</si>
  <si>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</si>
  <si>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</si>
  <si>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</si>
  <si>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</si>
  <si>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</si>
  <si>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</si>
  <si>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</si>
  <si>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</si>
  <si>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</si>
  <si>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</si>
  <si>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</si>
  <si>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</si>
  <si>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</si>
  <si>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</si>
  <si>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</si>
  <si>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</si>
  <si>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</si>
  <si>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</si>
  <si>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</si>
  <si>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</si>
  <si>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</si>
  <si>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</si>
  <si>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ENTREGA EN 3 DIAS A PARTIR DE TRANSFERENCIA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</si>
  <si>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</si>
  <si>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</si>
  <si>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ANTONIO BENAVIDEZ</t>
  </si>
  <si>
    <t>ACCESORIO</t>
  </si>
  <si>
    <t>FERROBOMBAS DEL VALLE S A S</t>
  </si>
  <si>
    <t>900 316282</t>
  </si>
  <si>
    <t>CALLE 6 No. 73-30 LOCAL 4</t>
  </si>
  <si>
    <t>CALI</t>
  </si>
  <si>
    <t>602 3319367</t>
  </si>
  <si>
    <t>gerencia@ferrobombasdelvalle.com</t>
  </si>
  <si>
    <t xml:space="preserve">TEE HR  2 " X 150 </t>
  </si>
  <si>
    <t xml:space="preserve">TEE HR  1 1/4  " X 150 </t>
  </si>
  <si>
    <t>TAPON MACHO HR  2 " X 150</t>
  </si>
  <si>
    <t>CODO HR 2 " X 90º  X  150</t>
  </si>
  <si>
    <t>TAPON MACHO HR  1 1/4  " X 150</t>
  </si>
  <si>
    <t>CODO HR  1/2 " X 90º X 150</t>
  </si>
  <si>
    <t>UNIVERSAL HR  2 " X 150</t>
  </si>
  <si>
    <t>UNIVERSAL HR  1 1/4  " X 150</t>
  </si>
  <si>
    <t>ITEM</t>
  </si>
  <si>
    <t>REDUCCION BUSHING HIERRO 1 1/4 "  X  1/2 "</t>
  </si>
  <si>
    <t>REDUCCION BUSHING HIERRO  1/2 "  X  1/4 "</t>
  </si>
  <si>
    <t>REDUCCION BUSHING HIERRO  2 "  X  1/2 "</t>
  </si>
  <si>
    <t>BRIDA INOX S/O  1 1/4 "</t>
  </si>
  <si>
    <t>STUBEND SCH 10 304  1 1/4 "</t>
  </si>
  <si>
    <t>REDUCCION COPA SCH 10 302  2 " X 1 1/4 "</t>
  </si>
  <si>
    <t>NIPLE A/C SCH 40 1/2 "  X 5 "</t>
  </si>
  <si>
    <t>NIPLE A/C SCH 40 1 1/4 "  X 5 "</t>
  </si>
  <si>
    <t>NIPLE AC INOX  304  1 1/4 "  X 4 "</t>
  </si>
  <si>
    <t>NIPLE AC INOX  304  2  "  X 4 "</t>
  </si>
  <si>
    <t>BRIDA A/C 1 1/4 X 150</t>
  </si>
  <si>
    <t>SETECIENTOS CUARENTA Y CUATRO MIL QUINIENTOS</t>
  </si>
  <si>
    <t>OCHENTA Y TRES PESOS MDA/CTE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</si>
</sst>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" fillId="0" borderId="21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4" fillId="0" borderId="22" xfId="0" applyFont="1" applyBorder="1"/>
    <xf numFmtId="42" fontId="1" fillId="0" borderId="23" xfId="1" applyFont="1" applyBorder="1" applyAlignment="1">
      <alignment horizontal="left"/>
    </xf>
    <xf numFmtId="0" fontId="8" fillId="0" borderId="17" xfId="0" applyFont="1" applyBorder="1"/>
    <xf numFmtId="42" fontId="1" fillId="0" borderId="17" xfId="1" applyFont="1" applyBorder="1"/>
    <xf numFmtId="0" fontId="1" fillId="0" borderId="19" xfId="0" applyFont="1" applyBorder="1" applyAlignment="1">
      <alignment horizontal="left" vertical="top" wrapText="1"/>
    </xf>
    <xf numFmtId="0" fontId="8" fillId="0" borderId="14" xfId="0" applyFont="1" applyFill="1" applyBorder="1"/>
    <xf numFmtId="0" fontId="1" fillId="0" borderId="0" xfId="0" applyFont="1" applyBorder="1" applyAlignment="1">
      <alignment horizontal="center"/>
    </xf>
    <xf numFmtId="0" fontId="8" fillId="0" borderId="0" xfId="0" applyFont="1" applyBorder="1"/>
    <xf numFmtId="42" fontId="11" fillId="0" borderId="0" xfId="1" applyFont="1" applyBorder="1"/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42" fontId="11" fillId="0" borderId="0" xfId="1" applyFont="1" applyFill="1" applyBorder="1"/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0" borderId="7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Fill="1" applyBorder="1"/>
    <xf numFmtId="0" fontId="0" fillId="0" borderId="31" xfId="0" applyBorder="1"/>
    <xf numFmtId="0" fontId="0" fillId="0" borderId="32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ferrobombasdelval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13" zoomScaleNormal="100" workbookViewId="0">
      <selection activeCell="I8" sqref="I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9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8" t="s">
        <v>40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43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44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45</v>
      </c>
      <c r="D9" s="24"/>
      <c r="E9" s="25" t="s">
        <v>46</v>
      </c>
      <c r="F9" s="32" t="s">
        <v>0</v>
      </c>
      <c r="H9" s="33">
        <v>45448</v>
      </c>
    </row>
    <row r="10" spans="1:8" ht="18.75" x14ac:dyDescent="0.3">
      <c r="A10" s="22" t="s">
        <v>13</v>
      </c>
      <c r="C10" s="50" t="s">
        <v>48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45458</v>
      </c>
    </row>
    <row r="12" spans="1:8" ht="18.75" x14ac:dyDescent="0.3">
      <c r="A12" s="22" t="s">
        <v>11</v>
      </c>
      <c r="C12" s="25" t="s">
        <v>47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41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71" t="s">
        <v>57</v>
      </c>
      <c r="B15" s="27" t="s">
        <v>24</v>
      </c>
      <c r="C15" s="77"/>
      <c r="D15" s="14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73">
        <v>1</v>
      </c>
      <c r="B16" s="78" t="s">
        <v>49</v>
      </c>
      <c r="C16" s="79"/>
      <c r="D16" s="80"/>
      <c r="E16" s="65" t="s">
        <v>42</v>
      </c>
      <c r="F16" s="57">
        <v>13000</v>
      </c>
      <c r="G16" s="54">
        <v>5</v>
      </c>
      <c r="H16" s="60">
        <f t="shared" ref="H16:H22" si="0">G16*F16</f>
        <v>65000</v>
      </c>
    </row>
    <row r="17" spans="1:10" ht="16.5" thickBot="1" x14ac:dyDescent="0.3">
      <c r="A17" s="74">
        <v>2</v>
      </c>
      <c r="B17" s="40" t="s">
        <v>50</v>
      </c>
      <c r="C17" s="66"/>
      <c r="D17" s="61"/>
      <c r="E17" s="65" t="s">
        <v>42</v>
      </c>
      <c r="F17" s="56">
        <v>6800</v>
      </c>
      <c r="G17" s="54">
        <v>4</v>
      </c>
      <c r="H17" s="60">
        <f t="shared" si="0"/>
        <v>27200</v>
      </c>
    </row>
    <row r="18" spans="1:10" ht="16.5" thickBot="1" x14ac:dyDescent="0.3">
      <c r="A18" s="74">
        <v>3</v>
      </c>
      <c r="B18" s="40" t="s">
        <v>52</v>
      </c>
      <c r="C18" s="66"/>
      <c r="D18" s="61"/>
      <c r="E18" s="65" t="s">
        <v>42</v>
      </c>
      <c r="F18" s="56">
        <v>11100</v>
      </c>
      <c r="G18" s="54">
        <v>2</v>
      </c>
      <c r="H18" s="60">
        <f t="shared" si="0"/>
        <v>22200</v>
      </c>
      <c r="I18" s="38"/>
      <c r="J18" s="38"/>
    </row>
    <row r="19" spans="1:10" ht="16.5" thickBot="1" x14ac:dyDescent="0.3">
      <c r="A19" s="74">
        <v>4</v>
      </c>
      <c r="B19" s="40" t="s">
        <v>54</v>
      </c>
      <c r="C19" s="66"/>
      <c r="D19" s="61"/>
      <c r="E19" s="54" t="s">
        <v>42</v>
      </c>
      <c r="F19" s="56">
        <v>1800</v>
      </c>
      <c r="G19" s="54">
        <v>4</v>
      </c>
      <c r="H19" s="60">
        <f t="shared" si="0"/>
        <v>7200</v>
      </c>
      <c r="I19" s="38"/>
      <c r="J19" s="38"/>
    </row>
    <row r="20" spans="1:10" ht="16.5" thickBot="1" x14ac:dyDescent="0.3">
      <c r="A20" s="74">
        <v>5</v>
      </c>
      <c r="B20" s="40" t="s">
        <v>51</v>
      </c>
      <c r="C20" s="66"/>
      <c r="D20" s="61"/>
      <c r="E20" s="54" t="s">
        <v>42</v>
      </c>
      <c r="F20" s="56">
        <v>4500</v>
      </c>
      <c r="G20" s="54">
        <v>2</v>
      </c>
      <c r="H20" s="62">
        <f t="shared" si="0"/>
        <v>9000</v>
      </c>
      <c r="I20" s="38"/>
      <c r="J20" s="38"/>
    </row>
    <row r="21" spans="1:10" ht="16.5" thickBot="1" x14ac:dyDescent="0.3">
      <c r="A21" s="74">
        <v>6</v>
      </c>
      <c r="B21" s="40" t="s">
        <v>53</v>
      </c>
      <c r="C21" s="66"/>
      <c r="D21" s="61"/>
      <c r="E21" s="54" t="s">
        <v>42</v>
      </c>
      <c r="F21" s="56">
        <v>2700</v>
      </c>
      <c r="G21" s="54">
        <v>2</v>
      </c>
      <c r="H21" s="55">
        <f t="shared" si="0"/>
        <v>5400</v>
      </c>
      <c r="I21" s="38"/>
      <c r="J21" s="38"/>
    </row>
    <row r="22" spans="1:10" ht="16.5" thickBot="1" x14ac:dyDescent="0.3">
      <c r="A22" s="74">
        <v>7</v>
      </c>
      <c r="B22" s="40" t="s">
        <v>55</v>
      </c>
      <c r="C22" s="66"/>
      <c r="D22" s="61"/>
      <c r="E22" s="54" t="s">
        <v>42</v>
      </c>
      <c r="F22" s="56">
        <v>31000</v>
      </c>
      <c r="G22" s="54">
        <v>2</v>
      </c>
      <c r="H22" s="55">
        <f t="shared" si="0"/>
        <v>62000</v>
      </c>
      <c r="I22" s="38"/>
      <c r="J22" s="38"/>
    </row>
    <row r="23" spans="1:10" ht="16.5" thickBot="1" x14ac:dyDescent="0.3">
      <c r="A23" s="74">
        <v>8</v>
      </c>
      <c r="B23" s="40" t="s">
        <v>56</v>
      </c>
      <c r="C23" s="66"/>
      <c r="D23" s="61"/>
      <c r="E23" s="65" t="s">
        <v>42</v>
      </c>
      <c r="F23" s="56">
        <v>15500</v>
      </c>
      <c r="G23" s="54">
        <v>2</v>
      </c>
      <c r="H23" s="60">
        <f t="shared" ref="H23:H34" si="1">G23*F23</f>
        <v>31000</v>
      </c>
      <c r="I23" s="38"/>
      <c r="J23" s="38"/>
    </row>
    <row r="24" spans="1:10" ht="16.5" thickBot="1" x14ac:dyDescent="0.3">
      <c r="A24" s="74">
        <v>9</v>
      </c>
      <c r="B24" s="40" t="s">
        <v>58</v>
      </c>
      <c r="C24" s="66"/>
      <c r="D24" s="61"/>
      <c r="E24" s="65" t="s">
        <v>42</v>
      </c>
      <c r="F24" s="56">
        <v>3900</v>
      </c>
      <c r="G24" s="54">
        <v>4</v>
      </c>
      <c r="H24" s="60">
        <f t="shared" si="1"/>
        <v>15600</v>
      </c>
      <c r="I24" s="38"/>
      <c r="J24" s="38"/>
    </row>
    <row r="25" spans="1:10" ht="16.5" thickBot="1" x14ac:dyDescent="0.3">
      <c r="A25" s="74">
        <v>10</v>
      </c>
      <c r="B25" s="40" t="s">
        <v>59</v>
      </c>
      <c r="C25" s="66"/>
      <c r="D25" s="61"/>
      <c r="E25" s="65" t="s">
        <v>42</v>
      </c>
      <c r="F25" s="56">
        <v>1400</v>
      </c>
      <c r="G25" s="54">
        <v>4</v>
      </c>
      <c r="H25" s="60">
        <f t="shared" si="1"/>
        <v>5600</v>
      </c>
      <c r="I25" s="38"/>
      <c r="J25" s="38"/>
    </row>
    <row r="26" spans="1:10" ht="16.5" thickBot="1" x14ac:dyDescent="0.3">
      <c r="A26" s="74">
        <v>11</v>
      </c>
      <c r="B26" s="40" t="s">
        <v>60</v>
      </c>
      <c r="C26" s="66"/>
      <c r="D26" s="61"/>
      <c r="E26" s="65" t="s">
        <v>42</v>
      </c>
      <c r="F26" s="67">
        <v>5800</v>
      </c>
      <c r="G26" s="65">
        <v>2</v>
      </c>
      <c r="H26" s="60">
        <f t="shared" si="1"/>
        <v>11600</v>
      </c>
      <c r="I26" s="38"/>
      <c r="J26" s="38"/>
    </row>
    <row r="27" spans="1:10" ht="19.5" customHeight="1" thickBot="1" x14ac:dyDescent="0.3">
      <c r="A27" s="75">
        <v>12</v>
      </c>
      <c r="B27" s="64" t="s">
        <v>61</v>
      </c>
      <c r="C27" s="68"/>
      <c r="D27" s="39"/>
      <c r="E27" s="69" t="s">
        <v>42</v>
      </c>
      <c r="F27" s="70">
        <v>55000</v>
      </c>
      <c r="G27" s="69">
        <v>2</v>
      </c>
      <c r="H27" s="60">
        <f t="shared" si="1"/>
        <v>110000</v>
      </c>
      <c r="I27" s="38"/>
      <c r="J27" s="38"/>
    </row>
    <row r="28" spans="1:10" ht="19.5" customHeight="1" thickBot="1" x14ac:dyDescent="0.3">
      <c r="A28" s="75">
        <v>13</v>
      </c>
      <c r="B28" s="64" t="s">
        <v>62</v>
      </c>
      <c r="C28" s="68"/>
      <c r="D28" s="39"/>
      <c r="E28" s="69" t="s">
        <v>42</v>
      </c>
      <c r="F28" s="70">
        <v>18000</v>
      </c>
      <c r="G28" s="69">
        <v>2</v>
      </c>
      <c r="H28" s="60">
        <f t="shared" si="1"/>
        <v>36000</v>
      </c>
    </row>
    <row r="29" spans="1:10" ht="19.5" customHeight="1" thickBot="1" x14ac:dyDescent="0.3">
      <c r="A29" s="75">
        <v>14</v>
      </c>
      <c r="B29" s="64" t="s">
        <v>63</v>
      </c>
      <c r="C29" s="68"/>
      <c r="D29" s="39"/>
      <c r="E29" s="69" t="s">
        <v>42</v>
      </c>
      <c r="F29" s="70">
        <v>38000</v>
      </c>
      <c r="G29" s="69">
        <v>1</v>
      </c>
      <c r="H29" s="60">
        <f t="shared" si="1"/>
        <v>38000</v>
      </c>
    </row>
    <row r="30" spans="1:10" ht="19.5" customHeight="1" thickBot="1" x14ac:dyDescent="0.3">
      <c r="A30" s="75">
        <v>15</v>
      </c>
      <c r="B30" s="64" t="s">
        <v>64</v>
      </c>
      <c r="C30" s="68"/>
      <c r="D30" s="39"/>
      <c r="E30" s="69" t="s">
        <v>42</v>
      </c>
      <c r="F30" s="70">
        <v>4000</v>
      </c>
      <c r="G30" s="69">
        <v>6</v>
      </c>
      <c r="H30" s="60">
        <f t="shared" si="1"/>
        <v>24000</v>
      </c>
    </row>
    <row r="31" spans="1:10" ht="19.5" customHeight="1" thickBot="1" x14ac:dyDescent="0.3">
      <c r="A31" s="75">
        <v>16</v>
      </c>
      <c r="B31" s="64" t="s">
        <v>65</v>
      </c>
      <c r="C31" s="68"/>
      <c r="D31" s="39"/>
      <c r="E31" s="69" t="s">
        <v>42</v>
      </c>
      <c r="F31" s="70">
        <v>9800</v>
      </c>
      <c r="G31" s="69">
        <v>8</v>
      </c>
      <c r="H31" s="60">
        <f t="shared" si="1"/>
        <v>78400</v>
      </c>
    </row>
    <row r="32" spans="1:10" ht="19.5" customHeight="1" thickBot="1" x14ac:dyDescent="0.3">
      <c r="A32" s="75">
        <v>17</v>
      </c>
      <c r="B32" s="64" t="s">
        <v>66</v>
      </c>
      <c r="C32" s="68"/>
      <c r="D32" s="39"/>
      <c r="E32" s="69" t="s">
        <v>42</v>
      </c>
      <c r="F32" s="70">
        <v>16500</v>
      </c>
      <c r="G32" s="69">
        <v>1</v>
      </c>
      <c r="H32" s="60">
        <f t="shared" si="1"/>
        <v>16500</v>
      </c>
    </row>
    <row r="33" spans="1:8" ht="19.5" customHeight="1" thickBot="1" x14ac:dyDescent="0.3">
      <c r="A33" s="75">
        <v>18</v>
      </c>
      <c r="B33" s="64" t="s">
        <v>67</v>
      </c>
      <c r="C33" s="68"/>
      <c r="D33" s="39"/>
      <c r="E33" s="69" t="s">
        <v>42</v>
      </c>
      <c r="F33" s="70">
        <v>27000</v>
      </c>
      <c r="G33" s="69">
        <v>1</v>
      </c>
      <c r="H33" s="60">
        <f t="shared" si="1"/>
        <v>27000</v>
      </c>
    </row>
    <row r="34" spans="1:8" ht="19.5" customHeight="1" thickBot="1" x14ac:dyDescent="0.3">
      <c r="A34" s="76">
        <v>19</v>
      </c>
      <c r="B34" s="81" t="s">
        <v>68</v>
      </c>
      <c r="C34" s="82"/>
      <c r="D34" s="83"/>
      <c r="E34" s="69" t="s">
        <v>42</v>
      </c>
      <c r="F34" s="70">
        <v>17000</v>
      </c>
      <c r="G34" s="69">
        <v>2</v>
      </c>
      <c r="H34" s="60">
        <f t="shared" si="1"/>
        <v>34000</v>
      </c>
    </row>
    <row r="35" spans="1:8" ht="19.5" customHeight="1" thickBot="1" x14ac:dyDescent="0.35">
      <c r="A35" s="72" t="s">
        <v>25</v>
      </c>
      <c r="B35" s="15" t="s">
        <v>69</v>
      </c>
      <c r="C35" s="68"/>
      <c r="D35" s="16"/>
      <c r="E35" s="13"/>
      <c r="F35" s="41" t="s">
        <v>31</v>
      </c>
      <c r="G35" s="13"/>
      <c r="H35" s="7"/>
    </row>
    <row r="36" spans="1:8" ht="19.5" customHeight="1" thickBot="1" x14ac:dyDescent="0.3">
      <c r="A36" s="63"/>
      <c r="B36" s="17" t="s">
        <v>70</v>
      </c>
      <c r="C36" s="4"/>
      <c r="D36" s="4"/>
      <c r="E36" s="42" t="s">
        <v>26</v>
      </c>
      <c r="F36" s="43"/>
      <c r="G36" s="26"/>
      <c r="H36" s="51">
        <f>SUM(H16:H34)</f>
        <v>625700</v>
      </c>
    </row>
    <row r="37" spans="1:8" ht="19.5" customHeight="1" thickBot="1" x14ac:dyDescent="0.3">
      <c r="A37" s="27" t="s">
        <v>27</v>
      </c>
      <c r="B37" s="13"/>
      <c r="C37" s="13"/>
      <c r="D37" s="14"/>
      <c r="E37" s="3" t="s">
        <v>33</v>
      </c>
      <c r="F37" s="59"/>
      <c r="G37" s="45">
        <v>0.19</v>
      </c>
      <c r="H37" s="52">
        <f>H36*G37</f>
        <v>118883</v>
      </c>
    </row>
    <row r="38" spans="1:8" ht="19.5" customHeight="1" thickTop="1" x14ac:dyDescent="0.25">
      <c r="A38" s="15" t="s">
        <v>34</v>
      </c>
      <c r="D38" s="16"/>
      <c r="E38" s="43" t="s">
        <v>28</v>
      </c>
      <c r="G38">
        <v>0</v>
      </c>
      <c r="H38" s="46"/>
    </row>
    <row r="39" spans="1:8" ht="19.5" customHeight="1" x14ac:dyDescent="0.25">
      <c r="A39" s="15" t="s">
        <v>38</v>
      </c>
      <c r="D39" s="16"/>
      <c r="F39" s="43"/>
      <c r="G39" s="26"/>
      <c r="H39" s="47"/>
    </row>
    <row r="40" spans="1:8" ht="19.5" customHeight="1" thickBot="1" x14ac:dyDescent="0.3">
      <c r="A40" s="15" t="s">
        <v>37</v>
      </c>
      <c r="D40" s="16"/>
      <c r="E40" s="43" t="s">
        <v>29</v>
      </c>
      <c r="F40" s="43"/>
      <c r="G40" s="26"/>
      <c r="H40" s="48"/>
    </row>
    <row r="41" spans="1:8" ht="19.5" customHeight="1" thickBot="1" x14ac:dyDescent="0.35">
      <c r="A41" s="17"/>
      <c r="B41" s="4"/>
      <c r="C41" s="4"/>
      <c r="D41" s="18"/>
      <c r="F41" s="3"/>
      <c r="G41" s="44" t="s">
        <v>30</v>
      </c>
      <c r="H41" s="53">
        <f>H36+H37</f>
        <v>744583</v>
      </c>
    </row>
    <row r="42" spans="1:8" ht="19.5" customHeight="1" x14ac:dyDescent="0.25"/>
    <row r="43" spans="1:8" ht="19.5" customHeight="1" x14ac:dyDescent="0.25"/>
    <row r="47" spans="1:8" ht="16.5" customHeight="1" x14ac:dyDescent="0.25"/>
    <row r="52" spans="1:8" ht="15.75" thickBot="1" x14ac:dyDescent="0.3"/>
    <row r="53" spans="1:8" ht="19.5" thickBot="1" x14ac:dyDescent="0.35">
      <c r="A53" s="28" t="s">
        <v>39</v>
      </c>
      <c r="B53" s="6"/>
      <c r="C53" s="6"/>
      <c r="D53" s="6"/>
      <c r="E53" s="6"/>
      <c r="F53" s="6"/>
      <c r="G53" s="6"/>
      <c r="H53" s="7"/>
    </row>
    <row r="61" spans="1:8" ht="18.75" x14ac:dyDescent="0.3">
      <c r="A61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FERROBOMBAS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2024-06-05T21:58:01Z</dcterms:modified>
</cp:coreProperties>
</file>