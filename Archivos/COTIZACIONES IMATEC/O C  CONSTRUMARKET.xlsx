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BFCABE2-FF98-4E9B-9BB8-6F98E0BF06D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C CONSTRUMARK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<sst xmlns="http://schemas.openxmlformats.org/spreadsheetml/2006/main" count="51" uniqueCount="51">
  <si>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</si>
  <si>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</si>
  <si>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</si>
  <si>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</si>
  <si>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</si>
  <si>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</si>
  <si>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</si>
  <si>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</si>
  <si>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</si>
  <si>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</si>
  <si>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</si>
  <si>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</si>
  <si>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</si>
  <si>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</si>
  <si>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</si>
  <si>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</si>
  <si>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</si>
  <si>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</si>
  <si>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</si>
  <si>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</si>
  <si>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</si>
  <si>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</si>
  <si>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</si>
  <si>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</si>
  <si>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</si>
  <si>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</si>
  <si>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</si>
  <si>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</si>
  <si>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</si>
  <si>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</si>
  <si>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</si>
  <si>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</si>
  <si>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</si>
  <si>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</si>
  <si>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</si>
  <si>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</si>
  <si>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</si>
  <si>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</si>
  <si>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      ORDEN  DE  COMPRA</t>
  </si>
  <si>
    <t xml:space="preserve">No. </t>
  </si>
  <si>
    <t>NOMBRE PROVEEDOR</t>
  </si>
  <si>
    <t>CONSTRUMARKET DEL PACIFICO S.A.S.</t>
  </si>
  <si>
    <t>835 001840</t>
  </si>
  <si>
    <t>CRA 70  3D - 04</t>
  </si>
  <si>
    <t>602 3942379</t>
  </si>
  <si>
    <t>JULIO CESAR DIAZ</t>
  </si>
  <si>
    <t>COLLARIN HD  3 "  X  1/2 "</t>
  </si>
  <si>
    <t>UN MILLON QUINIENTOS OCHENTA Y SIETE MIL CUATRO</t>
  </si>
  <si>
    <t>CIENTOS SESENTA PESOS MDA / CTE</t>
  </si>
  <si>
    <t>ENTREGA INMEDIATA</t>
  </si>
  <si>
    <t>FORMA DE PAGO : CREDITO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</si>
</sst>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4" xfId="0" applyFont="1" applyBorder="1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K19" sqref="K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40</v>
      </c>
      <c r="B7" s="12"/>
      <c r="C7" s="60" t="s">
        <v>41</v>
      </c>
      <c r="D7" s="12"/>
      <c r="E7" s="13"/>
      <c r="F7" s="37"/>
      <c r="G7" s="71" t="s">
        <v>39</v>
      </c>
      <c r="H7" s="19">
        <v>140825001</v>
      </c>
    </row>
    <row r="8" spans="1:8" ht="18.75" x14ac:dyDescent="0.3">
      <c r="A8" s="21" t="s">
        <v>8</v>
      </c>
      <c r="C8" s="69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/>
      <c r="F9" s="30" t="s">
        <v>0</v>
      </c>
      <c r="H9" s="28">
        <v>45883</v>
      </c>
    </row>
    <row r="10" spans="1:8" ht="18.75" x14ac:dyDescent="0.3">
      <c r="A10" s="21" t="s">
        <v>13</v>
      </c>
      <c r="C10" s="70"/>
      <c r="E10" s="15"/>
      <c r="F10" s="30" t="s">
        <v>14</v>
      </c>
      <c r="H10" s="29"/>
    </row>
    <row r="11" spans="1:8" ht="18.75" x14ac:dyDescent="0.3">
      <c r="A11" s="21" t="s">
        <v>10</v>
      </c>
      <c r="C11" s="14"/>
      <c r="E11" s="15"/>
      <c r="F11" s="30" t="s">
        <v>15</v>
      </c>
      <c r="G11" s="30"/>
      <c r="H11" s="28"/>
    </row>
    <row r="12" spans="1:8" ht="18.75" x14ac:dyDescent="0.3">
      <c r="A12" s="21" t="s">
        <v>11</v>
      </c>
      <c r="C12" s="14" t="s">
        <v>44</v>
      </c>
      <c r="E12" s="15"/>
      <c r="F12" s="30" t="s">
        <v>16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32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1">
        <v>1</v>
      </c>
      <c r="B16" s="62" t="s">
        <v>46</v>
      </c>
      <c r="C16" s="63"/>
      <c r="D16" s="64"/>
      <c r="E16" s="61" t="s">
        <v>35</v>
      </c>
      <c r="F16" s="65">
        <v>46000</v>
      </c>
      <c r="G16" s="61">
        <v>29</v>
      </c>
      <c r="H16" s="38">
        <f t="shared" ref="H16" si="0">G16*F16</f>
        <v>1334000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22</v>
      </c>
      <c r="B18" s="69" t="s">
        <v>47</v>
      </c>
      <c r="C18" s="12"/>
      <c r="D18" s="13"/>
      <c r="E18" s="49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48</v>
      </c>
      <c r="C19" s="4"/>
      <c r="D19" s="17"/>
      <c r="E19" s="52" t="s">
        <v>23</v>
      </c>
      <c r="F19" s="53"/>
      <c r="G19" s="44"/>
      <c r="H19" s="50">
        <f>SUM(H16:H18)</f>
        <v>1334000</v>
      </c>
    </row>
    <row r="20" spans="1:8" ht="19.5" customHeight="1" x14ac:dyDescent="0.25">
      <c r="A20" s="24" t="s">
        <v>24</v>
      </c>
      <c r="B20" s="12"/>
      <c r="C20" s="12"/>
      <c r="D20" s="12"/>
      <c r="E20" s="54" t="s">
        <v>28</v>
      </c>
      <c r="F20" s="23"/>
      <c r="G20" s="55">
        <v>0.19</v>
      </c>
      <c r="H20" s="40">
        <f>H19*G20</f>
        <v>253460</v>
      </c>
    </row>
    <row r="21" spans="1:8" ht="19.5" customHeight="1" x14ac:dyDescent="0.25">
      <c r="A21" s="14" t="s">
        <v>50</v>
      </c>
      <c r="E21" s="56" t="s">
        <v>25</v>
      </c>
      <c r="G21" s="59">
        <v>2.5000000000000001E-2</v>
      </c>
      <c r="H21" s="51"/>
    </row>
    <row r="22" spans="1:8" ht="15.75" x14ac:dyDescent="0.25">
      <c r="A22" s="14" t="s">
        <v>49</v>
      </c>
      <c r="E22" s="14"/>
      <c r="F22" s="33"/>
      <c r="G22" s="45"/>
      <c r="H22" s="15"/>
    </row>
    <row r="23" spans="1:8" ht="16.5" thickBot="1" x14ac:dyDescent="0.3">
      <c r="A23" s="14" t="s">
        <v>30</v>
      </c>
      <c r="E23" s="57" t="s">
        <v>26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27</v>
      </c>
      <c r="H24" s="36">
        <f>H19+H20</f>
        <v>1587460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 CONSTRUMARKET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2025-08-14T15:43:13Z</dcterms:modified>
</cp:coreProperties>
</file>