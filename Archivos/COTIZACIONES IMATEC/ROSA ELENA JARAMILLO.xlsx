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8A6077C-54A6-49BF-B99A-28588639A103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ELENA JARAMILL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3" i="1" l="1"/>
  <c r="H22" i="1"/>
  <c r="H21" i="1"/>
  <c r="H20" i="1"/>
  <c r="H19" i="1"/>
  <c r="H18" i="1"/>
  <c r="H17" i="1"/>
  <c r="H16" i="1"/>
  <c r="H26" i="1" s="1"/>
  <c r="H27" i="1" s="1"/>
  <c r="H31" i="1" l="1"/>
</calcChain>
</file>

<file path=xl/sharedStrings.xml><?xml version="1.0" encoding="utf-8"?>
<sst xmlns="http://schemas.openxmlformats.org/spreadsheetml/2006/main" count="66" uniqueCount="63">
  <si>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</si>
  <si>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</si>
  <si>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</si>
  <si>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</si>
  <si>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</si>
  <si>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</si>
  <si>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</si>
  <si>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</si>
  <si>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</si>
  <si>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</si>
  <si>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</si>
  <si>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</si>
  <si>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</si>
  <si>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</si>
  <si>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</si>
  <si>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</si>
  <si>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</si>
  <si>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</si>
  <si>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</si>
  <si>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</si>
  <si>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</si>
  <si>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</si>
  <si>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</si>
  <si>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</si>
  <si>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</si>
  <si>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</si>
  <si>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</si>
  <si>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</si>
  <si>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</si>
  <si>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</si>
  <si>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</si>
  <si>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</si>
  <si>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</si>
  <si>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</si>
  <si>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</si>
  <si>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</si>
  <si>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</si>
  <si>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</si>
  <si>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</si>
  <si>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</si>
  <si>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ROSA ELENA JARAMILLO</t>
  </si>
  <si>
    <t>43 721788</t>
  </si>
  <si>
    <t>CARRERA  39 G  No. 46 - 40</t>
  </si>
  <si>
    <t>CALI</t>
  </si>
  <si>
    <t>elenajaramillo08@gmail.com</t>
  </si>
  <si>
    <t>314 6075162</t>
  </si>
  <si>
    <t>EDINSON CABEZAS</t>
  </si>
  <si>
    <t xml:space="preserve">             R E M I S I O N </t>
  </si>
  <si>
    <t>CODO AC/INOX 304 1 "  X 90 º  X  150  ROSCADO</t>
  </si>
  <si>
    <t>TEE AC/INOX  30  1 "  X  1500  LBS ROSCADA</t>
  </si>
  <si>
    <t>REDUCCION BUSHING AC/INOX 304  1 "  X  1/2 "</t>
  </si>
  <si>
    <t>TAPON MACHO AC/INOX 304 1/2 "</t>
  </si>
  <si>
    <t>NIPLE  AC/INOX 304  1 "  X  4 "</t>
  </si>
  <si>
    <t>FABRICACION</t>
  </si>
  <si>
    <t xml:space="preserve">TEFLON INDUSTRIAL </t>
  </si>
  <si>
    <t>ROLLO</t>
  </si>
  <si>
    <t>FRASCO</t>
  </si>
  <si>
    <t>SELLANTE SHELLAC 2 OZ</t>
  </si>
  <si>
    <t>ARMADO DE FLAUTA</t>
  </si>
  <si>
    <t>SERVICIO</t>
  </si>
  <si>
    <t>CIENTO NOVENTA Y TRES MIL NOVECIENTOS SETENTA</t>
  </si>
  <si>
    <t>PESOS MDA / CTE</t>
  </si>
  <si>
    <t>ENTREGA INMEDIATA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</si>
</sst>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lenajaramillo08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6"/>
  <sheetViews>
    <sheetView tabSelected="1" topLeftCell="A16" zoomScaleNormal="100" workbookViewId="0">
      <selection activeCell="L34" sqref="L34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47</v>
      </c>
      <c r="G6" s="42"/>
      <c r="H6" s="43"/>
    </row>
    <row r="7" spans="1:8" ht="19.5" thickBot="1" x14ac:dyDescent="0.35">
      <c r="A7" s="20" t="s">
        <v>14</v>
      </c>
      <c r="B7" s="12"/>
      <c r="C7" s="60" t="s">
        <v>40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9" t="s">
        <v>41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42</v>
      </c>
      <c r="E9" s="15" t="s">
        <v>43</v>
      </c>
      <c r="F9" s="30" t="s">
        <v>0</v>
      </c>
      <c r="H9" s="28">
        <v>45859</v>
      </c>
    </row>
    <row r="10" spans="1:8" ht="18.75" x14ac:dyDescent="0.3">
      <c r="A10" s="21" t="s">
        <v>13</v>
      </c>
      <c r="C10" s="70" t="s">
        <v>44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45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46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61">
        <v>1</v>
      </c>
      <c r="B16" s="62" t="s">
        <v>48</v>
      </c>
      <c r="C16" s="63"/>
      <c r="D16" s="64"/>
      <c r="E16" s="61" t="s">
        <v>37</v>
      </c>
      <c r="F16" s="65">
        <v>8500</v>
      </c>
      <c r="G16" s="61">
        <v>1</v>
      </c>
      <c r="H16" s="38">
        <f t="shared" ref="H16" si="0">G16*F16</f>
        <v>8500</v>
      </c>
    </row>
    <row r="17" spans="1:8" ht="16.5" thickBot="1" x14ac:dyDescent="0.3">
      <c r="A17" s="61">
        <v>2</v>
      </c>
      <c r="B17" s="62" t="s">
        <v>49</v>
      </c>
      <c r="C17" s="63"/>
      <c r="D17" s="64"/>
      <c r="E17" s="61" t="s">
        <v>37</v>
      </c>
      <c r="F17" s="65">
        <v>10800</v>
      </c>
      <c r="G17" s="61">
        <v>2</v>
      </c>
      <c r="H17" s="38">
        <f t="shared" ref="H17:H23" si="1">G17*F17</f>
        <v>21600</v>
      </c>
    </row>
    <row r="18" spans="1:8" ht="16.5" thickBot="1" x14ac:dyDescent="0.3">
      <c r="A18" s="61">
        <v>3</v>
      </c>
      <c r="B18" s="62" t="s">
        <v>50</v>
      </c>
      <c r="C18" s="63"/>
      <c r="D18" s="64"/>
      <c r="E18" s="61" t="s">
        <v>37</v>
      </c>
      <c r="F18" s="65">
        <v>6500</v>
      </c>
      <c r="G18" s="61">
        <v>3</v>
      </c>
      <c r="H18" s="38">
        <f t="shared" si="1"/>
        <v>19500</v>
      </c>
    </row>
    <row r="19" spans="1:8" ht="16.5" thickBot="1" x14ac:dyDescent="0.3">
      <c r="A19" s="61">
        <v>4</v>
      </c>
      <c r="B19" s="62" t="s">
        <v>51</v>
      </c>
      <c r="C19" s="63"/>
      <c r="D19" s="64"/>
      <c r="E19" s="61" t="s">
        <v>37</v>
      </c>
      <c r="F19" s="65">
        <v>2600</v>
      </c>
      <c r="G19" s="61">
        <v>2</v>
      </c>
      <c r="H19" s="38">
        <f t="shared" si="1"/>
        <v>5200</v>
      </c>
    </row>
    <row r="20" spans="1:8" ht="16.5" thickBot="1" x14ac:dyDescent="0.3">
      <c r="A20" s="61">
        <v>5</v>
      </c>
      <c r="B20" s="62" t="s">
        <v>52</v>
      </c>
      <c r="C20" s="63"/>
      <c r="D20" s="64"/>
      <c r="E20" s="61" t="s">
        <v>53</v>
      </c>
      <c r="F20" s="65">
        <v>15400</v>
      </c>
      <c r="G20" s="61">
        <v>3</v>
      </c>
      <c r="H20" s="38">
        <f t="shared" si="1"/>
        <v>46200</v>
      </c>
    </row>
    <row r="21" spans="1:8" ht="16.5" thickBot="1" x14ac:dyDescent="0.3">
      <c r="A21" s="61">
        <v>6</v>
      </c>
      <c r="B21" s="62" t="s">
        <v>54</v>
      </c>
      <c r="C21" s="63"/>
      <c r="D21" s="64"/>
      <c r="E21" s="61" t="s">
        <v>55</v>
      </c>
      <c r="F21" s="65">
        <v>4500</v>
      </c>
      <c r="G21" s="61">
        <v>1</v>
      </c>
      <c r="H21" s="38">
        <f t="shared" si="1"/>
        <v>4500</v>
      </c>
    </row>
    <row r="22" spans="1:8" ht="16.5" thickBot="1" x14ac:dyDescent="0.3">
      <c r="A22" s="61">
        <v>7</v>
      </c>
      <c r="B22" s="62" t="s">
        <v>57</v>
      </c>
      <c r="C22" s="63"/>
      <c r="D22" s="64"/>
      <c r="E22" s="61" t="s">
        <v>56</v>
      </c>
      <c r="F22" s="65">
        <v>17500</v>
      </c>
      <c r="G22" s="61">
        <v>1</v>
      </c>
      <c r="H22" s="38">
        <f t="shared" si="1"/>
        <v>17500</v>
      </c>
    </row>
    <row r="23" spans="1:8" ht="16.5" thickBot="1" x14ac:dyDescent="0.3">
      <c r="A23" s="61">
        <v>8</v>
      </c>
      <c r="B23" s="62" t="s">
        <v>58</v>
      </c>
      <c r="C23" s="63"/>
      <c r="D23" s="64"/>
      <c r="E23" s="61" t="s">
        <v>59</v>
      </c>
      <c r="F23" s="65">
        <v>40000</v>
      </c>
      <c r="G23" s="61">
        <v>1</v>
      </c>
      <c r="H23" s="38">
        <f t="shared" si="1"/>
        <v>40000</v>
      </c>
    </row>
    <row r="24" spans="1:8" ht="19.5" customHeight="1" thickBot="1" x14ac:dyDescent="0.3">
      <c r="A24" s="48"/>
      <c r="B24" s="67"/>
      <c r="D24" s="68"/>
      <c r="E24" s="48"/>
      <c r="F24" s="48"/>
      <c r="G24" s="48"/>
    </row>
    <row r="25" spans="1:8" ht="19.5" customHeight="1" thickBot="1" x14ac:dyDescent="0.35">
      <c r="A25" s="66" t="s">
        <v>23</v>
      </c>
      <c r="B25" s="69" t="s">
        <v>60</v>
      </c>
      <c r="C25" s="12"/>
      <c r="D25" s="13"/>
      <c r="E25" s="49"/>
      <c r="F25" s="37" t="s">
        <v>38</v>
      </c>
      <c r="G25" s="6"/>
      <c r="H25" s="7"/>
    </row>
    <row r="26" spans="1:8" ht="19.5" customHeight="1" thickBot="1" x14ac:dyDescent="0.3">
      <c r="A26" s="39"/>
      <c r="B26" s="16" t="s">
        <v>61</v>
      </c>
      <c r="C26" s="4"/>
      <c r="D26" s="17"/>
      <c r="E26" s="52" t="s">
        <v>24</v>
      </c>
      <c r="F26" s="53"/>
      <c r="G26" s="44"/>
      <c r="H26" s="50">
        <f>SUM(H16:H25)</f>
        <v>163000</v>
      </c>
    </row>
    <row r="27" spans="1:8" ht="19.5" customHeight="1" x14ac:dyDescent="0.25">
      <c r="A27" s="24" t="s">
        <v>25</v>
      </c>
      <c r="B27" s="12"/>
      <c r="C27" s="12"/>
      <c r="D27" s="12"/>
      <c r="E27" s="54" t="s">
        <v>29</v>
      </c>
      <c r="F27" s="23"/>
      <c r="G27" s="55">
        <v>0.19</v>
      </c>
      <c r="H27" s="40">
        <f>H26*G27</f>
        <v>30970</v>
      </c>
    </row>
    <row r="28" spans="1:8" ht="19.5" customHeight="1" x14ac:dyDescent="0.25">
      <c r="A28" s="14" t="s">
        <v>30</v>
      </c>
      <c r="E28" s="56" t="s">
        <v>26</v>
      </c>
      <c r="G28" s="59">
        <v>2.5000000000000001E-2</v>
      </c>
      <c r="H28" s="51"/>
    </row>
    <row r="29" spans="1:8" ht="15.75" x14ac:dyDescent="0.25">
      <c r="A29" s="14" t="s">
        <v>62</v>
      </c>
      <c r="E29" s="14"/>
      <c r="F29" s="33"/>
      <c r="G29" s="45"/>
      <c r="H29" s="15"/>
    </row>
    <row r="30" spans="1:8" ht="16.5" thickBot="1" x14ac:dyDescent="0.3">
      <c r="A30" s="14" t="s">
        <v>32</v>
      </c>
      <c r="E30" s="57" t="s">
        <v>27</v>
      </c>
      <c r="F30" s="58"/>
      <c r="G30" s="46"/>
      <c r="H30" s="17"/>
    </row>
    <row r="31" spans="1:8" ht="19.5" thickBot="1" x14ac:dyDescent="0.35">
      <c r="A31" s="16"/>
      <c r="B31" s="4"/>
      <c r="C31" s="4"/>
      <c r="D31" s="17"/>
      <c r="F31" s="3"/>
      <c r="G31" s="34" t="s">
        <v>28</v>
      </c>
      <c r="H31" s="36">
        <f>H26+H27</f>
        <v>193970</v>
      </c>
    </row>
    <row r="32" spans="1:8" ht="16.5" customHeight="1" x14ac:dyDescent="0.25"/>
    <row r="37" spans="1:8" ht="15.75" thickBot="1" x14ac:dyDescent="0.3"/>
    <row r="38" spans="1:8" ht="19.5" thickBot="1" x14ac:dyDescent="0.35">
      <c r="A38" s="25" t="s">
        <v>39</v>
      </c>
      <c r="B38" s="6"/>
      <c r="C38" s="6"/>
      <c r="D38" s="6"/>
      <c r="E38" s="6"/>
      <c r="F38" s="6"/>
      <c r="G38" s="6"/>
      <c r="H38" s="7"/>
    </row>
    <row r="46" spans="1:8" ht="18.75" x14ac:dyDescent="0.3">
      <c r="A46" s="5"/>
    </row>
  </sheetData>
  <hyperlinks>
    <hyperlink ref="C10" r:id="rId1" xr:uid="{BA668CE9-3FC8-409D-B9AE-2F1FEFE68AEA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ELENA JARAMILLO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2025-07-21T14:38:44Z</dcterms:modified>
</cp:coreProperties>
</file>