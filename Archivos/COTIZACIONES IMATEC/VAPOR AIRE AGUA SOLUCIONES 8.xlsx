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9EABF79-FBAD-4D91-B8E3-DEA564B2762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VAPOR,AIRE,AGU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17" i="1"/>
  <c r="H16" i="1"/>
  <c r="H24" i="1" l="1"/>
  <c r="H28" i="1" s="1"/>
</calcChain>
</file>

<file path=xl/sharedStrings.xml><?xml version="1.0" encoding="utf-8"?>
<sst xmlns="http://schemas.openxmlformats.org/spreadsheetml/2006/main" count="66" uniqueCount="58">
  <si>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</si>
  <si>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</si>
  <si>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</si>
  <si>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</si>
  <si>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</si>
  <si>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</si>
  <si>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</si>
  <si>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</si>
  <si>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</si>
  <si>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</si>
  <si>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</si>
  <si>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</si>
  <si>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</si>
  <si>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</si>
  <si>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</si>
  <si>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</si>
  <si>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</si>
  <si>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</si>
  <si>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</si>
  <si>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</si>
  <si>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</si>
  <si>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</si>
  <si>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</si>
  <si>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</si>
  <si>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</si>
  <si>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</si>
  <si>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</si>
  <si>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</si>
  <si>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</si>
  <si>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</si>
  <si>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</si>
  <si>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</si>
  <si>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</si>
  <si>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</si>
  <si>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</si>
  <si>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</si>
  <si>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</si>
  <si>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</si>
  <si>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VAPOR,AIRE,AGUA SOLUCIONES INTEGRALES S.A.S.</t>
  </si>
  <si>
    <t>901 244925</t>
  </si>
  <si>
    <t>jfgarcia@vaporaireagua.com</t>
  </si>
  <si>
    <t>310 8961720</t>
  </si>
  <si>
    <t>LUIS A. BENAVIDES</t>
  </si>
  <si>
    <t>ENTREGA INMEDIATA</t>
  </si>
  <si>
    <t>AV 3 A  No. 51 N - 14  APTO 409</t>
  </si>
  <si>
    <t>FORMA DE PAGO : CREDITO A 30 DIAS</t>
  </si>
  <si>
    <t>30 DIAS</t>
  </si>
  <si>
    <t xml:space="preserve">           C O T I Z A C I O N</t>
  </si>
  <si>
    <t>No. 8</t>
  </si>
  <si>
    <t>NIPLE GALVANIZADO  2 "   X</t>
  </si>
  <si>
    <t>20  CMTS</t>
  </si>
  <si>
    <t>30  CMTS</t>
  </si>
  <si>
    <t>40  CMTS</t>
  </si>
  <si>
    <t>50  CMTS</t>
  </si>
  <si>
    <t>150  CMTS</t>
  </si>
  <si>
    <t>FABRICACION</t>
  </si>
  <si>
    <t>TRESCIENTOS CUARENTA Y NUEVE OCHOCIENTOS SESEN</t>
  </si>
  <si>
    <t>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</si>
</sst>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fgarcia@vaporaireagu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10" zoomScaleNormal="100" workbookViewId="0">
      <selection activeCell="H31" sqref="H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3"/>
      <c r="H6" s="44"/>
    </row>
    <row r="7" spans="1:8" ht="19.5" thickBot="1" x14ac:dyDescent="0.35">
      <c r="A7" s="20" t="s">
        <v>14</v>
      </c>
      <c r="B7" s="12"/>
      <c r="C7" s="64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6" t="s">
        <v>39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44</v>
      </c>
      <c r="D9" s="23"/>
      <c r="E9" s="69"/>
      <c r="F9" s="30" t="s">
        <v>0</v>
      </c>
      <c r="H9" s="28">
        <v>45800</v>
      </c>
    </row>
    <row r="10" spans="1:8" ht="18.75" x14ac:dyDescent="0.3">
      <c r="A10" s="21" t="s">
        <v>13</v>
      </c>
      <c r="C10" s="70" t="s">
        <v>40</v>
      </c>
      <c r="D10" s="65"/>
      <c r="E10" s="47"/>
      <c r="F10" s="30" t="s">
        <v>15</v>
      </c>
      <c r="H10" s="29" t="s">
        <v>46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45830</v>
      </c>
    </row>
    <row r="12" spans="1:8" ht="18.75" x14ac:dyDescent="0.3">
      <c r="A12" s="21" t="s">
        <v>11</v>
      </c>
      <c r="C12" s="71" t="s">
        <v>41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42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49</v>
      </c>
      <c r="C16" s="76"/>
      <c r="D16" s="77" t="s">
        <v>50</v>
      </c>
      <c r="E16" s="74" t="s">
        <v>55</v>
      </c>
      <c r="F16" s="78">
        <v>15800</v>
      </c>
      <c r="G16" s="74">
        <v>6</v>
      </c>
      <c r="H16" s="38">
        <f t="shared" ref="H16" si="0">G16*F16</f>
        <v>94800</v>
      </c>
    </row>
    <row r="17" spans="1:8" ht="16.5" thickBot="1" x14ac:dyDescent="0.3">
      <c r="A17" s="74">
        <v>2</v>
      </c>
      <c r="B17" s="75" t="s">
        <v>49</v>
      </c>
      <c r="C17" s="76"/>
      <c r="D17" s="77" t="s">
        <v>51</v>
      </c>
      <c r="E17" s="74" t="s">
        <v>55</v>
      </c>
      <c r="F17" s="78">
        <v>23900</v>
      </c>
      <c r="G17" s="74">
        <v>1</v>
      </c>
      <c r="H17" s="38">
        <f t="shared" ref="H17:H20" si="1">G17*F17</f>
        <v>23900</v>
      </c>
    </row>
    <row r="18" spans="1:8" ht="16.5" thickBot="1" x14ac:dyDescent="0.3">
      <c r="A18" s="74">
        <v>3</v>
      </c>
      <c r="B18" s="75" t="s">
        <v>49</v>
      </c>
      <c r="C18" s="76"/>
      <c r="D18" s="77" t="s">
        <v>52</v>
      </c>
      <c r="E18" s="74" t="s">
        <v>55</v>
      </c>
      <c r="F18" s="78">
        <v>29500</v>
      </c>
      <c r="G18" s="74">
        <v>1</v>
      </c>
      <c r="H18" s="38">
        <f t="shared" si="1"/>
        <v>29500</v>
      </c>
    </row>
    <row r="19" spans="1:8" ht="16.5" thickBot="1" x14ac:dyDescent="0.3">
      <c r="A19" s="74">
        <v>4</v>
      </c>
      <c r="B19" s="75" t="s">
        <v>49</v>
      </c>
      <c r="C19" s="76"/>
      <c r="D19" s="77" t="s">
        <v>53</v>
      </c>
      <c r="E19" s="74" t="s">
        <v>55</v>
      </c>
      <c r="F19" s="78">
        <v>36450</v>
      </c>
      <c r="G19" s="74">
        <v>1</v>
      </c>
      <c r="H19" s="38">
        <f t="shared" si="1"/>
        <v>36450</v>
      </c>
    </row>
    <row r="20" spans="1:8" ht="16.5" thickBot="1" x14ac:dyDescent="0.3">
      <c r="A20" s="74">
        <v>5</v>
      </c>
      <c r="B20" s="75" t="s">
        <v>49</v>
      </c>
      <c r="C20" s="76"/>
      <c r="D20" s="77" t="s">
        <v>54</v>
      </c>
      <c r="E20" s="74" t="s">
        <v>55</v>
      </c>
      <c r="F20" s="78">
        <v>109350</v>
      </c>
      <c r="G20" s="74">
        <v>1</v>
      </c>
      <c r="H20" s="38">
        <f t="shared" si="1"/>
        <v>109350</v>
      </c>
    </row>
    <row r="21" spans="1:8" ht="19.5" customHeight="1" thickBot="1" x14ac:dyDescent="0.3">
      <c r="A21" s="50"/>
      <c r="B21" s="45"/>
      <c r="C21" s="42"/>
      <c r="D21" s="51"/>
      <c r="E21" s="52"/>
      <c r="F21" s="52"/>
      <c r="G21" s="52"/>
    </row>
    <row r="22" spans="1:8" ht="19.5" customHeight="1" thickBot="1" x14ac:dyDescent="0.35">
      <c r="A22" s="49" t="s">
        <v>23</v>
      </c>
      <c r="B22" s="14" t="s">
        <v>56</v>
      </c>
      <c r="D22" s="15"/>
      <c r="E22" s="53"/>
      <c r="F22" s="37" t="s">
        <v>36</v>
      </c>
      <c r="G22" s="6"/>
      <c r="H22" s="7"/>
    </row>
    <row r="23" spans="1:8" ht="19.5" customHeight="1" thickBot="1" x14ac:dyDescent="0.3">
      <c r="A23" s="39"/>
      <c r="B23" s="16" t="s">
        <v>57</v>
      </c>
      <c r="C23" s="4"/>
      <c r="D23" s="4"/>
      <c r="E23" s="56" t="s">
        <v>24</v>
      </c>
      <c r="F23" s="57"/>
      <c r="G23" s="46"/>
      <c r="H23" s="54">
        <f>SUM(H16:H20)</f>
        <v>294000</v>
      </c>
    </row>
    <row r="24" spans="1:8" ht="19.5" customHeight="1" x14ac:dyDescent="0.25">
      <c r="A24" s="24" t="s">
        <v>25</v>
      </c>
      <c r="B24" s="12"/>
      <c r="C24" s="12"/>
      <c r="D24" s="12"/>
      <c r="E24" s="58" t="s">
        <v>29</v>
      </c>
      <c r="F24" s="23"/>
      <c r="G24" s="59">
        <v>0.19</v>
      </c>
      <c r="H24" s="40">
        <f>H23*G24</f>
        <v>55860</v>
      </c>
    </row>
    <row r="25" spans="1:8" ht="19.5" customHeight="1" x14ac:dyDescent="0.25">
      <c r="A25" s="14" t="s">
        <v>45</v>
      </c>
      <c r="E25" s="60" t="s">
        <v>26</v>
      </c>
      <c r="G25" s="63">
        <v>2.5000000000000001E-2</v>
      </c>
      <c r="H25" s="55"/>
    </row>
    <row r="26" spans="1:8" ht="15.75" x14ac:dyDescent="0.25">
      <c r="A26" s="14" t="s">
        <v>43</v>
      </c>
      <c r="E26" s="14"/>
      <c r="F26" s="33"/>
      <c r="G26" s="47"/>
      <c r="H26" s="15"/>
    </row>
    <row r="27" spans="1:8" ht="16.5" thickBot="1" x14ac:dyDescent="0.3">
      <c r="A27" s="14" t="s">
        <v>31</v>
      </c>
      <c r="E27" s="61" t="s">
        <v>27</v>
      </c>
      <c r="F27" s="62"/>
      <c r="G27" s="48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</f>
        <v>349860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37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949C8176-0A37-42D8-B4DF-052B35F5032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VAPOR,AIRE,AGUA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2025-05-16T16:25:15Z</cp:lastPrinted>
  <dcterms:created xsi:type="dcterms:W3CDTF">2018-11-15T17:29:02Z</dcterms:created>
  <dcterms:modified xsi:type="dcterms:W3CDTF">2025-05-23T18:58:35Z</dcterms:modified>
</cp:coreProperties>
</file>