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81EC07F-E6F1-4A80-969B-4EA15786090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MFACAUC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36" i="1" s="1"/>
  <c r="H38" i="1" l="1"/>
  <c r="H42" i="1"/>
  <c r="H44" i="1" s="1"/>
  <c r="H41" i="1"/>
  <c r="H40" i="1"/>
  <c r="H37" i="1"/>
  <c r="H39" i="1" s="1"/>
  <c r="H43" i="1" s="1"/>
  <c r="H45" i="1" s="1"/>
</calcChain>
</file>

<file path=xl/sharedStrings.xml><?xml version="1.0" encoding="utf-8"?>
<sst xmlns="http://schemas.openxmlformats.org/spreadsheetml/2006/main" count="78" uniqueCount="78">
  <si>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</si>
  <si>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</si>
  <si>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</si>
  <si>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</si>
  <si>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</si>
  <si>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</si>
  <si>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</si>
  <si>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</si>
  <si>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</si>
  <si>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</si>
  <si>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</si>
  <si>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</si>
  <si>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</si>
  <si>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</si>
  <si>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</si>
  <si>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</si>
  <si>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</si>
  <si>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</si>
  <si>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</si>
  <si>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</si>
  <si>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</si>
  <si>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</si>
  <si>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</si>
  <si>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</si>
  <si>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</si>
  <si>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</si>
  <si>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</si>
  <si>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</si>
  <si>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IVA</t>
  </si>
  <si>
    <t xml:space="preserve">                                   JAVIER LOZANO TAMAYO C.C. 16´654.252</t>
  </si>
  <si>
    <t>CONTACTOS   310 8306118    319 7174165    321 7834969</t>
  </si>
  <si>
    <t>ITEM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</si>
  <si>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</si>
  <si>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</si>
  <si>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</si>
  <si>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  17F - 56                           B/  LA FLORESTA             -   CALI    -                                       CEL.     321 7834969</t>
  </si>
  <si>
    <t>COMFACAUCA</t>
  </si>
  <si>
    <t>891 500182</t>
  </si>
  <si>
    <t>CL 2 Nte.  6A - 54</t>
  </si>
  <si>
    <t>POPAYAN</t>
  </si>
  <si>
    <t>fraelectronicarecibibda@comfacauca.com</t>
  </si>
  <si>
    <t>20 DIAS</t>
  </si>
  <si>
    <t>MTS 2</t>
  </si>
  <si>
    <t>FORMA DE PAGO : CONTRA ENTREGA DE LA OBRA</t>
  </si>
  <si>
    <t>SUB TOTAL</t>
  </si>
  <si>
    <t xml:space="preserve">ADMINISTRACION </t>
  </si>
  <si>
    <t xml:space="preserve">IMPREVISTOS </t>
  </si>
  <si>
    <t xml:space="preserve">UTILIDAD  </t>
  </si>
  <si>
    <t>IVA SOBRE UTILIDAD</t>
  </si>
  <si>
    <t xml:space="preserve">No. </t>
  </si>
  <si>
    <t>PISOJE</t>
  </si>
  <si>
    <t>602 8231868</t>
  </si>
  <si>
    <t>CAMILO ALBERTO PEÑA PINZON</t>
  </si>
  <si>
    <t>MANTENIMIENTO DE CANCHAS EN GRAMA SINTETICA</t>
  </si>
  <si>
    <t>MANTENIMIENTO DE DOS CANCHAS SINTETICAS FUTBOL</t>
  </si>
  <si>
    <t>CAMBIO TOTAL DE DEMARCACION , ESCARIFICACION DE</t>
  </si>
  <si>
    <t>AREA ; REPARACION DE ZONAS AFECTADAS POR DESPE-</t>
  </si>
  <si>
    <t xml:space="preserve">GUES Y FINALIZANDO CON RELLENOS EN GRANULADO </t>
  </si>
  <si>
    <t>DE CAUCHO PARA NIVELACION DE AREAS.</t>
  </si>
  <si>
    <t>INCLUYE  : 4 TONELADAS DE CAUCHO GRANULADO CON</t>
  </si>
  <si>
    <t>TRANSPORTE Y DESCARGUE , 70 MTS 2 DE GRAMA PARA</t>
  </si>
  <si>
    <t>DEMARCACION ( BLANCA Y AMARILLA ) , 500 MTS LINEA</t>
  </si>
  <si>
    <t>LES DE JOINTAPE( CINTA UNION ) , 400 MTS2 DE  GRAMA</t>
  </si>
  <si>
    <t>VERDE 50 mm PARA LOS IMPERFECTOS DE CANCHA EN</t>
  </si>
  <si>
    <t xml:space="preserve">4 TRAMOS COMPLETOS DE 4 MTS DE ANCHO X 20 MTS </t>
  </si>
  <si>
    <t xml:space="preserve">LARGO. </t>
  </si>
  <si>
    <t>INDIQUE LA COORDINACION DEL PARQUE. ENTTREGA EN 20 DIAS HABILES</t>
  </si>
  <si>
    <t>DISPOSICION FINAL DE LOS EXCEDENTES, DE ACUERDO A LA DIRECTRIZ QUE</t>
  </si>
  <si>
    <t>NO ES POSIBLE DAR GARANTIA EN LA UNIFORMIDAD DE ALTURA Y COLOR</t>
  </si>
  <si>
    <t>CIENTO TREINTA Y SIETE MILLONES CINCUENTA Y SEIS MIL</t>
  </si>
  <si>
    <t>NOVECIENTOS VEINTE PESOS MDA / CTE</t>
  </si>
  <si>
    <t>GARANTIA EN PRODUCTO : RAYOS UV  8 AÑOS ; CALIDAD</t>
  </si>
  <si>
    <t>DE FABRICACION 5 AÑOS  ; INSTALACION 2 AÑOS</t>
  </si>
  <si>
    <t xml:space="preserve">DE LA GRAMA EXISTENTE Y LA NUEVA. </t>
  </si>
  <si>
    <t>LA GARANTIA NO ES EXTENDIBLE POR HECHOS VANDA-</t>
  </si>
  <si>
    <t>LICOS O CATASTROFICOS.</t>
  </si>
  <si>
    <t>7 DEL CENTRO DE RECREACION PISOJE EN  LA CIUDAD</t>
  </si>
  <si>
    <t xml:space="preserve">DE POPAYAN.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</si>
</sst>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3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6" xfId="0" applyFont="1" applyBorder="1"/>
    <xf numFmtId="0" fontId="1" fillId="0" borderId="14" xfId="0" applyFont="1" applyBorder="1" applyAlignment="1">
      <alignment horizontal="left" vertical="top" wrapText="1"/>
    </xf>
    <xf numFmtId="0" fontId="0" fillId="0" borderId="25" xfId="0" applyBorder="1"/>
    <xf numFmtId="0" fontId="0" fillId="0" borderId="6" xfId="0" applyBorder="1"/>
    <xf numFmtId="0" fontId="13" fillId="0" borderId="9" xfId="2" applyBorder="1"/>
    <xf numFmtId="0" fontId="1" fillId="0" borderId="23" xfId="0" applyFont="1" applyBorder="1" applyAlignment="1">
      <alignment horizontal="center"/>
    </xf>
    <xf numFmtId="0" fontId="8" fillId="0" borderId="24" xfId="0" applyFont="1" applyBorder="1"/>
    <xf numFmtId="0" fontId="8" fillId="0" borderId="0" xfId="0" applyFont="1"/>
    <xf numFmtId="0" fontId="8" fillId="0" borderId="25" xfId="0" applyFont="1" applyBorder="1"/>
    <xf numFmtId="42" fontId="11" fillId="0" borderId="23" xfId="1" applyFont="1" applyBorder="1" applyAlignment="1">
      <alignment horizontal="center"/>
    </xf>
    <xf numFmtId="42" fontId="1" fillId="0" borderId="26" xfId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0" fontId="0" fillId="0" borderId="27" xfId="0" applyBorder="1"/>
    <xf numFmtId="0" fontId="1" fillId="0" borderId="28" xfId="0" applyFont="1" applyBorder="1" applyAlignment="1">
      <alignment horizontal="center"/>
    </xf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14" fillId="0" borderId="0" xfId="0" applyFont="1"/>
    <xf numFmtId="9" fontId="1" fillId="0" borderId="0" xfId="0" applyNumberFormat="1" applyFont="1"/>
    <xf numFmtId="42" fontId="1" fillId="0" borderId="0" xfId="0" applyNumberFormat="1" applyFont="1"/>
    <xf numFmtId="42" fontId="1" fillId="0" borderId="32" xfId="0" applyNumberFormat="1" applyFont="1" applyBorder="1"/>
    <xf numFmtId="42" fontId="1" fillId="0" borderId="0" xfId="1" applyFont="1"/>
    <xf numFmtId="0" fontId="15" fillId="0" borderId="0" xfId="0" applyFont="1"/>
    <xf numFmtId="42" fontId="1" fillId="0" borderId="2" xfId="0" applyNumberFormat="1" applyFont="1" applyBorder="1"/>
    <xf numFmtId="0" fontId="5" fillId="0" borderId="1" xfId="0" applyFont="1" applyBorder="1" applyAlignment="1">
      <alignment horizontal="center"/>
    </xf>
    <xf numFmtId="42" fontId="4" fillId="0" borderId="1" xfId="0" applyNumberFormat="1" applyFont="1" applyBorder="1"/>
    <xf numFmtId="0" fontId="0" fillId="0" borderId="21" xfId="0" applyBorder="1"/>
    <xf numFmtId="10" fontId="1" fillId="0" borderId="22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electronicarecibibda@comfacau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8"/>
  <sheetViews>
    <sheetView tabSelected="1" topLeftCell="A19" zoomScaleNormal="100" workbookViewId="0">
      <selection activeCell="K26" sqref="K26:K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6.85546875" customWidth="1"/>
    <col min="4" max="4" width="19.8554687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/>
    </row>
    <row r="3" spans="1:8" ht="27" thickBot="1" x14ac:dyDescent="0.45">
      <c r="A3" s="11" t="s">
        <v>32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6" t="s">
        <v>30</v>
      </c>
      <c r="B5" s="6"/>
      <c r="C5" s="6"/>
      <c r="D5" s="6"/>
      <c r="E5" s="6"/>
    </row>
    <row r="6" spans="1:8" ht="24.75" customHeight="1" thickBot="1" x14ac:dyDescent="0.45">
      <c r="F6" s="40" t="s">
        <v>33</v>
      </c>
      <c r="G6" s="41"/>
      <c r="H6" s="42"/>
    </row>
    <row r="7" spans="1:8" ht="19.5" thickBot="1" x14ac:dyDescent="0.35">
      <c r="A7" s="20" t="s">
        <v>14</v>
      </c>
      <c r="B7" s="12"/>
      <c r="C7" s="52" t="s">
        <v>36</v>
      </c>
      <c r="D7" s="12"/>
      <c r="E7" s="13"/>
      <c r="F7" s="36"/>
      <c r="G7" s="82" t="s">
        <v>49</v>
      </c>
      <c r="H7" s="83">
        <v>110825002</v>
      </c>
    </row>
    <row r="8" spans="1:8" ht="18.75" x14ac:dyDescent="0.3">
      <c r="A8" s="21" t="s">
        <v>8</v>
      </c>
      <c r="C8" s="55" t="s">
        <v>37</v>
      </c>
      <c r="D8" s="12"/>
      <c r="E8" s="13"/>
      <c r="H8" s="15"/>
    </row>
    <row r="9" spans="1:8" ht="18.75" customHeight="1" x14ac:dyDescent="0.3">
      <c r="A9" s="21" t="s">
        <v>9</v>
      </c>
      <c r="C9" s="14" t="s">
        <v>38</v>
      </c>
      <c r="E9" s="15" t="s">
        <v>39</v>
      </c>
      <c r="F9" s="30" t="s">
        <v>0</v>
      </c>
      <c r="H9" s="28">
        <v>45880</v>
      </c>
    </row>
    <row r="10" spans="1:8" ht="18.75" x14ac:dyDescent="0.3">
      <c r="A10" s="21" t="s">
        <v>13</v>
      </c>
      <c r="C10" s="56" t="s">
        <v>40</v>
      </c>
      <c r="E10" s="15"/>
      <c r="F10" s="30" t="s">
        <v>15</v>
      </c>
      <c r="H10" s="29" t="s">
        <v>41</v>
      </c>
    </row>
    <row r="11" spans="1:8" ht="18.75" x14ac:dyDescent="0.3">
      <c r="A11" s="21" t="s">
        <v>10</v>
      </c>
      <c r="C11" s="14" t="s">
        <v>50</v>
      </c>
      <c r="E11" s="15"/>
      <c r="F11" s="30" t="s">
        <v>16</v>
      </c>
      <c r="G11" s="30"/>
      <c r="H11" s="28">
        <v>45899</v>
      </c>
    </row>
    <row r="12" spans="1:8" ht="18.75" x14ac:dyDescent="0.3">
      <c r="A12" s="21" t="s">
        <v>11</v>
      </c>
      <c r="C12" s="14" t="s">
        <v>51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52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31</v>
      </c>
      <c r="B15" s="67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8" t="s">
        <v>53</v>
      </c>
      <c r="C16" s="69"/>
      <c r="D16" s="70"/>
      <c r="E16" s="65" t="s">
        <v>42</v>
      </c>
      <c r="F16" s="66">
        <v>60000</v>
      </c>
      <c r="G16" s="65">
        <v>1630</v>
      </c>
      <c r="H16" s="37">
        <f t="shared" ref="H16" si="0">G16*F16</f>
        <v>97800000</v>
      </c>
    </row>
    <row r="17" spans="1:8" ht="15.75" x14ac:dyDescent="0.25">
      <c r="A17" s="57"/>
      <c r="B17" s="58" t="s">
        <v>54</v>
      </c>
      <c r="C17" s="59"/>
      <c r="D17" s="60"/>
      <c r="E17" s="57"/>
      <c r="F17" s="61"/>
      <c r="G17" s="57"/>
      <c r="H17" s="62"/>
    </row>
    <row r="18" spans="1:8" ht="15.75" x14ac:dyDescent="0.25">
      <c r="A18" s="57"/>
      <c r="B18" s="58" t="s">
        <v>76</v>
      </c>
      <c r="C18" s="59"/>
      <c r="D18" s="60"/>
      <c r="E18" s="57"/>
      <c r="F18" s="61"/>
      <c r="G18" s="57"/>
      <c r="H18" s="63"/>
    </row>
    <row r="19" spans="1:8" ht="15.75" x14ac:dyDescent="0.25">
      <c r="A19" s="57"/>
      <c r="B19" s="58" t="s">
        <v>77</v>
      </c>
      <c r="C19" s="59"/>
      <c r="D19" s="60"/>
      <c r="E19" s="57"/>
      <c r="F19" s="61"/>
      <c r="G19" s="57"/>
      <c r="H19" s="63"/>
    </row>
    <row r="20" spans="1:8" ht="15.75" x14ac:dyDescent="0.25">
      <c r="A20" s="57"/>
      <c r="B20" s="58" t="s">
        <v>55</v>
      </c>
      <c r="C20" s="59"/>
      <c r="D20" s="60"/>
      <c r="E20" s="57"/>
      <c r="F20" s="61"/>
      <c r="G20" s="57"/>
      <c r="H20" s="63"/>
    </row>
    <row r="21" spans="1:8" ht="15.75" x14ac:dyDescent="0.25">
      <c r="A21" s="57"/>
      <c r="B21" s="58" t="s">
        <v>56</v>
      </c>
      <c r="C21" s="59"/>
      <c r="D21" s="60"/>
      <c r="E21" s="57"/>
      <c r="F21" s="61"/>
      <c r="G21" s="57"/>
      <c r="H21" s="63"/>
    </row>
    <row r="22" spans="1:8" ht="15.75" x14ac:dyDescent="0.25">
      <c r="A22" s="57"/>
      <c r="B22" s="58" t="s">
        <v>57</v>
      </c>
      <c r="C22" s="59"/>
      <c r="D22" s="60"/>
      <c r="E22" s="57"/>
      <c r="F22" s="61"/>
      <c r="G22" s="57"/>
      <c r="H22" s="63"/>
    </row>
    <row r="23" spans="1:8" ht="15.75" x14ac:dyDescent="0.25">
      <c r="A23" s="57"/>
      <c r="B23" s="58" t="s">
        <v>58</v>
      </c>
      <c r="C23" s="59"/>
      <c r="D23" s="60"/>
      <c r="E23" s="57"/>
      <c r="F23" s="61"/>
      <c r="G23" s="57"/>
      <c r="H23" s="63"/>
    </row>
    <row r="24" spans="1:8" ht="15.75" x14ac:dyDescent="0.25">
      <c r="A24" s="57"/>
      <c r="B24" s="58" t="s">
        <v>59</v>
      </c>
      <c r="C24" s="59"/>
      <c r="D24" s="60"/>
      <c r="E24" s="57"/>
      <c r="F24" s="61"/>
      <c r="G24" s="57"/>
      <c r="H24" s="63"/>
    </row>
    <row r="25" spans="1:8" ht="15.75" x14ac:dyDescent="0.25">
      <c r="A25" s="57"/>
      <c r="B25" s="58" t="s">
        <v>60</v>
      </c>
      <c r="C25" s="59"/>
      <c r="D25" s="60"/>
      <c r="E25" s="57"/>
      <c r="F25" s="61"/>
      <c r="G25" s="57"/>
      <c r="H25" s="63"/>
    </row>
    <row r="26" spans="1:8" ht="15.75" x14ac:dyDescent="0.25">
      <c r="A26" s="57"/>
      <c r="B26" s="58" t="s">
        <v>61</v>
      </c>
      <c r="C26" s="59"/>
      <c r="D26" s="60"/>
      <c r="E26" s="57"/>
      <c r="F26" s="61"/>
      <c r="G26" s="57"/>
      <c r="H26" s="63"/>
    </row>
    <row r="27" spans="1:8" ht="15.75" x14ac:dyDescent="0.25">
      <c r="A27" s="57"/>
      <c r="B27" s="58" t="s">
        <v>62</v>
      </c>
      <c r="C27" s="59"/>
      <c r="D27" s="60"/>
      <c r="E27" s="57"/>
      <c r="F27" s="61"/>
      <c r="G27" s="57"/>
      <c r="H27" s="63"/>
    </row>
    <row r="28" spans="1:8" ht="15.75" x14ac:dyDescent="0.25">
      <c r="A28" s="57"/>
      <c r="B28" s="58" t="s">
        <v>63</v>
      </c>
      <c r="C28" s="59"/>
      <c r="D28" s="60"/>
      <c r="E28" s="57"/>
      <c r="F28" s="61"/>
      <c r="G28" s="57"/>
      <c r="H28" s="63"/>
    </row>
    <row r="29" spans="1:8" ht="15.75" x14ac:dyDescent="0.25">
      <c r="A29" s="57"/>
      <c r="B29" s="58" t="s">
        <v>64</v>
      </c>
      <c r="C29" s="59"/>
      <c r="D29" s="60"/>
      <c r="E29" s="57"/>
      <c r="F29" s="61"/>
      <c r="G29" s="57"/>
      <c r="H29" s="63"/>
    </row>
    <row r="30" spans="1:8" ht="15.75" x14ac:dyDescent="0.25">
      <c r="A30" s="57"/>
      <c r="B30" s="58" t="s">
        <v>65</v>
      </c>
      <c r="C30" s="59"/>
      <c r="D30" s="60"/>
      <c r="E30" s="57"/>
      <c r="F30" s="61"/>
      <c r="G30" s="57"/>
      <c r="H30" s="63"/>
    </row>
    <row r="31" spans="1:8" ht="15.75" x14ac:dyDescent="0.25">
      <c r="A31" s="57"/>
      <c r="B31" s="58" t="s">
        <v>71</v>
      </c>
      <c r="C31" s="59"/>
      <c r="D31" s="60"/>
      <c r="E31" s="57"/>
      <c r="F31" s="61"/>
      <c r="G31" s="57"/>
      <c r="H31" s="63"/>
    </row>
    <row r="32" spans="1:8" ht="15.75" x14ac:dyDescent="0.25">
      <c r="A32" s="57"/>
      <c r="B32" s="58" t="s">
        <v>72</v>
      </c>
      <c r="C32" s="59"/>
      <c r="D32" s="60"/>
      <c r="E32" s="57"/>
      <c r="F32" s="61"/>
      <c r="G32" s="57"/>
      <c r="H32" s="63"/>
    </row>
    <row r="33" spans="1:8" ht="15.75" x14ac:dyDescent="0.25">
      <c r="A33" s="57"/>
      <c r="B33" s="58" t="s">
        <v>74</v>
      </c>
      <c r="C33" s="59"/>
      <c r="D33" s="60"/>
      <c r="E33" s="57"/>
      <c r="F33" s="61"/>
      <c r="G33" s="57"/>
      <c r="H33" s="63"/>
    </row>
    <row r="34" spans="1:8" ht="19.5" customHeight="1" thickBot="1" x14ac:dyDescent="0.3">
      <c r="A34" s="44"/>
      <c r="B34" s="58" t="s">
        <v>75</v>
      </c>
      <c r="D34" s="54"/>
      <c r="E34" s="44"/>
      <c r="F34" s="44"/>
      <c r="G34" s="44"/>
      <c r="H34" s="64"/>
    </row>
    <row r="35" spans="1:8" ht="19.5" customHeight="1" thickBot="1" x14ac:dyDescent="0.35">
      <c r="A35" s="53" t="s">
        <v>23</v>
      </c>
      <c r="B35" s="55" t="s">
        <v>69</v>
      </c>
      <c r="C35" s="12"/>
      <c r="D35" s="13"/>
      <c r="E35" s="45"/>
      <c r="F35" s="36" t="s">
        <v>34</v>
      </c>
      <c r="G35" s="6"/>
      <c r="H35" s="7"/>
    </row>
    <row r="36" spans="1:8" ht="19.5" customHeight="1" thickBot="1" x14ac:dyDescent="0.3">
      <c r="A36" s="38"/>
      <c r="B36" s="16" t="s">
        <v>70</v>
      </c>
      <c r="C36" s="4"/>
      <c r="D36" s="17"/>
      <c r="E36" s="48" t="s">
        <v>24</v>
      </c>
      <c r="F36" s="49"/>
      <c r="G36" s="43"/>
      <c r="H36" s="46">
        <f>SUM(H16:H35)</f>
        <v>97800000</v>
      </c>
    </row>
    <row r="37" spans="1:8" ht="19.5" customHeight="1" x14ac:dyDescent="0.25">
      <c r="A37" s="24" t="s">
        <v>25</v>
      </c>
      <c r="B37" s="12"/>
      <c r="C37" s="12"/>
      <c r="D37" s="13"/>
      <c r="E37" s="3" t="s">
        <v>28</v>
      </c>
      <c r="F37" s="23"/>
      <c r="G37" s="50">
        <v>0.19</v>
      </c>
      <c r="H37" s="39">
        <f>H36*G37</f>
        <v>18582000</v>
      </c>
    </row>
    <row r="38" spans="1:8" ht="19.5" customHeight="1" thickBot="1" x14ac:dyDescent="0.3">
      <c r="A38" s="14" t="s">
        <v>43</v>
      </c>
      <c r="D38" s="15"/>
      <c r="E38" s="51" t="s">
        <v>26</v>
      </c>
      <c r="F38" s="80"/>
      <c r="G38" s="81">
        <v>2.5000000000000001E-2</v>
      </c>
      <c r="H38" s="47">
        <f>H36*G38</f>
        <v>2445000</v>
      </c>
    </row>
    <row r="39" spans="1:8" ht="19.5" thickBot="1" x14ac:dyDescent="0.35">
      <c r="A39" t="s">
        <v>68</v>
      </c>
      <c r="D39" s="15"/>
      <c r="F39" s="3"/>
      <c r="G39" s="33" t="s">
        <v>44</v>
      </c>
      <c r="H39" s="35">
        <f>H36+H37</f>
        <v>116382000</v>
      </c>
    </row>
    <row r="40" spans="1:8" x14ac:dyDescent="0.25">
      <c r="A40" t="s">
        <v>73</v>
      </c>
      <c r="D40" s="15"/>
      <c r="F40" s="71" t="s">
        <v>45</v>
      </c>
      <c r="G40" s="72">
        <v>0.09</v>
      </c>
      <c r="H40" s="73">
        <f>H36*G40</f>
        <v>8802000</v>
      </c>
    </row>
    <row r="41" spans="1:8" x14ac:dyDescent="0.25">
      <c r="A41" s="14" t="s">
        <v>67</v>
      </c>
      <c r="D41" s="15"/>
      <c r="F41" s="71" t="s">
        <v>46</v>
      </c>
      <c r="G41" s="72">
        <v>0.05</v>
      </c>
      <c r="H41" s="73">
        <f>H36*G41</f>
        <v>4890000</v>
      </c>
    </row>
    <row r="42" spans="1:8" ht="15.75" thickBot="1" x14ac:dyDescent="0.3">
      <c r="A42" s="16" t="s">
        <v>66</v>
      </c>
      <c r="B42" s="4"/>
      <c r="C42" s="4"/>
      <c r="D42" s="17"/>
      <c r="F42" s="71" t="s">
        <v>47</v>
      </c>
      <c r="G42" s="72">
        <v>0.06</v>
      </c>
      <c r="H42" s="74">
        <f>H36*G42</f>
        <v>5868000</v>
      </c>
    </row>
    <row r="43" spans="1:8" ht="16.5" customHeight="1" x14ac:dyDescent="0.25">
      <c r="H43" s="75">
        <f>H39+H40+H41+H42</f>
        <v>135942000</v>
      </c>
    </row>
    <row r="44" spans="1:8" ht="15.75" thickBot="1" x14ac:dyDescent="0.3">
      <c r="F44" s="76" t="s">
        <v>48</v>
      </c>
      <c r="G44" s="72">
        <v>0.19</v>
      </c>
      <c r="H44" s="77">
        <f>H42*G44</f>
        <v>1114920</v>
      </c>
    </row>
    <row r="45" spans="1:8" ht="19.5" thickBot="1" x14ac:dyDescent="0.35">
      <c r="G45" s="78" t="s">
        <v>27</v>
      </c>
      <c r="H45" s="79">
        <f>H43+H44</f>
        <v>137056920</v>
      </c>
    </row>
    <row r="49" spans="1:8" ht="15.75" thickBot="1" x14ac:dyDescent="0.3"/>
    <row r="50" spans="1:8" ht="19.5" thickBot="1" x14ac:dyDescent="0.35">
      <c r="A50" s="25" t="s">
        <v>35</v>
      </c>
      <c r="B50" s="6"/>
      <c r="C50" s="6"/>
      <c r="D50" s="6"/>
      <c r="E50" s="6"/>
      <c r="F50" s="6"/>
      <c r="G50" s="6"/>
      <c r="H50" s="7"/>
    </row>
    <row r="58" spans="1:8" ht="18.75" x14ac:dyDescent="0.3">
      <c r="A58" s="5"/>
    </row>
  </sheetData>
  <hyperlinks>
    <hyperlink ref="C10" r:id="rId1" xr:uid="{50CC588E-B838-4A90-BD11-8FB3CE2E62C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COMFACAUCA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2025-08-11T17:55:20Z</dcterms:modified>
</cp:coreProperties>
</file>