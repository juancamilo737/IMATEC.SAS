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1B5A241-E1D3-4F57-B3D6-371E9EEBB914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HRISTIAN RODRIGUE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" i="1" l="1"/>
  <c r="H48" i="1"/>
  <c r="H46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47" i="1" l="1"/>
</calcChain>
</file>

<file path=xl/sharedStrings.xml><?xml version="1.0" encoding="utf-8"?>
<sst xmlns="http://schemas.openxmlformats.org/spreadsheetml/2006/main" count="107" uniqueCount="81">
  <si>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</si>
  <si>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</si>
  <si>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</si>
  <si>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</si>
  <si>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</si>
  <si>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</si>
  <si>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</si>
  <si>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</si>
  <si>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</si>
  <si>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</si>
  <si>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</si>
  <si>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</si>
  <si>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</si>
  <si>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</si>
  <si>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</si>
  <si>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</si>
  <si>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</si>
  <si>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</si>
  <si>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</si>
  <si>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</si>
  <si>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</si>
  <si>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</si>
  <si>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</si>
  <si>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</si>
  <si>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</si>
  <si>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</si>
  <si>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</si>
  <si>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</si>
  <si>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</si>
  <si>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</si>
  <si>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</si>
  <si>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</si>
  <si>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</si>
  <si>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</si>
  <si>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</si>
  <si>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</si>
  <si>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</si>
  <si>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</si>
  <si>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</si>
  <si>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</si>
  <si>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</si>
  <si>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</si>
  <si>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CHRISTIAN ANTONIO RODRIGUEZ SANTACRUZ</t>
  </si>
  <si>
    <t>CALLE 16  No. 13-27</t>
  </si>
  <si>
    <t>VILLA GORGONA</t>
  </si>
  <si>
    <t>CHRISTIANRS51065@HOTMAIL.COM</t>
  </si>
  <si>
    <t>310 6311419</t>
  </si>
  <si>
    <t>LUIS A.BENAVIDES</t>
  </si>
  <si>
    <t>No. 1</t>
  </si>
  <si>
    <t>VALVULA GLOBO A / C  BRIDA  6 "  X  150 LBS</t>
  </si>
  <si>
    <t>VALVULA GLOBO A / C  BRIDA  4 "  X  150 LBS</t>
  </si>
  <si>
    <t>VALVULA GLOBO A / C  BRIDA  2  1/2 "  X  150 LBS</t>
  </si>
  <si>
    <t>VALVULA GLOBO  A / C  ROSCADA  1 1/2 " X 800 LB</t>
  </si>
  <si>
    <t>VALVULA GLOBO  A / C  ROSCADA  1  " X 800 LB</t>
  </si>
  <si>
    <t>VALVULA  DE BOLA  A / C  4T  1 "  X  1000 LBS</t>
  </si>
  <si>
    <t>VALVULA DE BOLA  AC/INOX ROSCAR  3 " X 1000 LB</t>
  </si>
  <si>
    <t>VALVULA DE BOLA  AC/INOX ROSCAR 2 1/2 " X 1000 LB</t>
  </si>
  <si>
    <t>VALVULA DE BOLA  AC/INOX ROSCAR 1 1/2 " X 1000 LB</t>
  </si>
  <si>
    <t>CODO AC/INOX 304 ROSCAR 1 1/2 "  X  90 º  X  15O</t>
  </si>
  <si>
    <t>TEE AC/INOX 304 ROSCAR  1 1/2 "  X  150 LBS</t>
  </si>
  <si>
    <t>UNIVERSAL AC/INOX 304  1 1/2 "  X  150 LBS</t>
  </si>
  <si>
    <t>TAPON MACHO AC/INOX 304  1 1/2 " X 150 LB</t>
  </si>
  <si>
    <t>TUBERIA AC/INOX 304 SCH 10  3 " X 6 MTS</t>
  </si>
  <si>
    <t>TUBO</t>
  </si>
  <si>
    <t>TUBERIA AC/INOX 304 SCH 10  2 1/2  " X 6 MTS</t>
  </si>
  <si>
    <t>TUBERIA AC/INOX 304 SCH 10  2   " X 6 MTS</t>
  </si>
  <si>
    <t>TUBERIA AC/INOX 304 SCH 10  1   " X 6 MTS</t>
  </si>
  <si>
    <t>CODO  A / C  1 "  X  90 º  X  150 LBS</t>
  </si>
  <si>
    <t>TEE A / C  1 "  X  150 LBS</t>
  </si>
  <si>
    <t>FILTRO AC/INOX 304  1 "  X  150 LBS</t>
  </si>
  <si>
    <t>CHEQUE CORTINA A / C  1 "  X  800 LBS</t>
  </si>
  <si>
    <t>BRIDA  A / C SLIP ON  6 "  X  150 LBS</t>
  </si>
  <si>
    <t>BRIDA  A / C SLIP ON  4 "  X  150 LBS</t>
  </si>
  <si>
    <t>BRIDA  A / C SLIP ON  2 1/2  "  X  150 LBS</t>
  </si>
  <si>
    <t>BRIDA  A / C SLIP ON  1 "  X  150 LBS</t>
  </si>
  <si>
    <t>BRIDA  AC/INOX 304  1 "</t>
  </si>
  <si>
    <t>BRIDA  AC/INOX 304  2 1/2 "</t>
  </si>
  <si>
    <t>CHEQUE AC/INOX 304  CORTINA   1/2 " X  150 LBS</t>
  </si>
  <si>
    <t>VEINTINUEVE MILLONES TRESCIENTOS CINCO MIL CUA-</t>
  </si>
  <si>
    <t>TROCIENTOS CINCUENTA Y NUEVE PESOS MDA / CTE</t>
  </si>
  <si>
    <t>ENTREGA EN 3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</si>
</sst>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RISTIANRS51065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6"/>
  <sheetViews>
    <sheetView tabSelected="1" topLeftCell="A7" zoomScaleNormal="100" workbookViewId="0">
      <selection activeCell="F52" sqref="F5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>
        <v>1113516649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45608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45617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41</v>
      </c>
      <c r="F16" s="79">
        <v>2900000</v>
      </c>
      <c r="G16" s="75">
        <v>1</v>
      </c>
      <c r="H16" s="38">
        <f t="shared" ref="H16" si="0">G16*F16</f>
        <v>2900000</v>
      </c>
    </row>
    <row r="17" spans="1:8" ht="16.5" thickBot="1" x14ac:dyDescent="0.3">
      <c r="A17" s="75">
        <v>2</v>
      </c>
      <c r="B17" s="76" t="s">
        <v>50</v>
      </c>
      <c r="C17" s="77"/>
      <c r="D17" s="78"/>
      <c r="E17" s="75" t="s">
        <v>41</v>
      </c>
      <c r="F17" s="79">
        <v>1700000</v>
      </c>
      <c r="G17" s="75">
        <v>2</v>
      </c>
      <c r="H17" s="38">
        <f t="shared" ref="H17:H43" si="1">G17*F17</f>
        <v>3400000</v>
      </c>
    </row>
    <row r="18" spans="1:8" ht="16.5" thickBot="1" x14ac:dyDescent="0.3">
      <c r="A18" s="75">
        <v>3</v>
      </c>
      <c r="B18" s="76" t="s">
        <v>51</v>
      </c>
      <c r="C18" s="77"/>
      <c r="D18" s="78"/>
      <c r="E18" s="75" t="s">
        <v>41</v>
      </c>
      <c r="F18" s="79">
        <v>1300000</v>
      </c>
      <c r="G18" s="75">
        <v>3</v>
      </c>
      <c r="H18" s="38">
        <f t="shared" si="1"/>
        <v>3900000</v>
      </c>
    </row>
    <row r="19" spans="1:8" ht="16.5" thickBot="1" x14ac:dyDescent="0.3">
      <c r="A19" s="75">
        <v>4</v>
      </c>
      <c r="B19" s="76" t="s">
        <v>52</v>
      </c>
      <c r="C19" s="77"/>
      <c r="D19" s="78"/>
      <c r="E19" s="75" t="s">
        <v>41</v>
      </c>
      <c r="F19" s="79">
        <v>290000</v>
      </c>
      <c r="G19" s="75">
        <v>3</v>
      </c>
      <c r="H19" s="38">
        <f t="shared" si="1"/>
        <v>870000</v>
      </c>
    </row>
    <row r="20" spans="1:8" ht="16.5" thickBot="1" x14ac:dyDescent="0.3">
      <c r="A20" s="75">
        <v>5</v>
      </c>
      <c r="B20" s="76" t="s">
        <v>53</v>
      </c>
      <c r="C20" s="77"/>
      <c r="D20" s="78"/>
      <c r="E20" s="75" t="s">
        <v>41</v>
      </c>
      <c r="F20" s="79">
        <v>180000</v>
      </c>
      <c r="G20" s="75">
        <v>6</v>
      </c>
      <c r="H20" s="38">
        <f t="shared" si="1"/>
        <v>1080000</v>
      </c>
    </row>
    <row r="21" spans="1:8" ht="16.5" thickBot="1" x14ac:dyDescent="0.3">
      <c r="A21" s="75">
        <v>6</v>
      </c>
      <c r="B21" s="76" t="s">
        <v>54</v>
      </c>
      <c r="C21" s="77"/>
      <c r="D21" s="78"/>
      <c r="E21" s="75" t="s">
        <v>41</v>
      </c>
      <c r="F21" s="79">
        <v>65000</v>
      </c>
      <c r="G21" s="75">
        <v>6</v>
      </c>
      <c r="H21" s="38">
        <f t="shared" si="1"/>
        <v>390000</v>
      </c>
    </row>
    <row r="22" spans="1:8" ht="16.5" thickBot="1" x14ac:dyDescent="0.3">
      <c r="A22" s="75">
        <v>7</v>
      </c>
      <c r="B22" s="76" t="s">
        <v>55</v>
      </c>
      <c r="C22" s="77"/>
      <c r="D22" s="78"/>
      <c r="E22" s="75" t="s">
        <v>41</v>
      </c>
      <c r="F22" s="79">
        <v>570000</v>
      </c>
      <c r="G22" s="75">
        <v>3</v>
      </c>
      <c r="H22" s="38">
        <f t="shared" si="1"/>
        <v>1710000</v>
      </c>
    </row>
    <row r="23" spans="1:8" ht="16.5" thickBot="1" x14ac:dyDescent="0.3">
      <c r="A23" s="75">
        <v>8</v>
      </c>
      <c r="B23" s="76" t="s">
        <v>56</v>
      </c>
      <c r="C23" s="77"/>
      <c r="D23" s="78"/>
      <c r="E23" s="75" t="s">
        <v>41</v>
      </c>
      <c r="F23" s="79">
        <v>460000</v>
      </c>
      <c r="G23" s="75">
        <v>2</v>
      </c>
      <c r="H23" s="38">
        <f t="shared" si="1"/>
        <v>920000</v>
      </c>
    </row>
    <row r="24" spans="1:8" ht="16.5" thickBot="1" x14ac:dyDescent="0.3">
      <c r="A24" s="75">
        <v>9</v>
      </c>
      <c r="B24" s="76" t="s">
        <v>57</v>
      </c>
      <c r="C24" s="77"/>
      <c r="D24" s="78"/>
      <c r="E24" s="75" t="s">
        <v>41</v>
      </c>
      <c r="F24" s="79">
        <v>95000</v>
      </c>
      <c r="G24" s="75">
        <v>5</v>
      </c>
      <c r="H24" s="38">
        <f t="shared" si="1"/>
        <v>475000</v>
      </c>
    </row>
    <row r="25" spans="1:8" ht="16.5" thickBot="1" x14ac:dyDescent="0.3">
      <c r="A25" s="75">
        <v>10</v>
      </c>
      <c r="B25" s="76" t="s">
        <v>58</v>
      </c>
      <c r="C25" s="77"/>
      <c r="D25" s="78"/>
      <c r="E25" s="75" t="s">
        <v>41</v>
      </c>
      <c r="F25" s="79">
        <v>22500</v>
      </c>
      <c r="G25" s="75">
        <v>15</v>
      </c>
      <c r="H25" s="38">
        <f t="shared" si="1"/>
        <v>337500</v>
      </c>
    </row>
    <row r="26" spans="1:8" ht="16.5" thickBot="1" x14ac:dyDescent="0.3">
      <c r="A26" s="75">
        <v>11</v>
      </c>
      <c r="B26" s="76" t="s">
        <v>59</v>
      </c>
      <c r="C26" s="77"/>
      <c r="D26" s="78"/>
      <c r="E26" s="75" t="s">
        <v>41</v>
      </c>
      <c r="F26" s="79">
        <v>28800</v>
      </c>
      <c r="G26" s="75">
        <v>8</v>
      </c>
      <c r="H26" s="38">
        <f t="shared" si="1"/>
        <v>230400</v>
      </c>
    </row>
    <row r="27" spans="1:8" ht="16.5" thickBot="1" x14ac:dyDescent="0.3">
      <c r="A27" s="75">
        <v>12</v>
      </c>
      <c r="B27" s="76" t="s">
        <v>60</v>
      </c>
      <c r="C27" s="77"/>
      <c r="D27" s="78"/>
      <c r="E27" s="75" t="s">
        <v>41</v>
      </c>
      <c r="F27" s="79">
        <v>44000</v>
      </c>
      <c r="G27" s="75">
        <v>5</v>
      </c>
      <c r="H27" s="38">
        <f t="shared" si="1"/>
        <v>220000</v>
      </c>
    </row>
    <row r="28" spans="1:8" ht="16.5" thickBot="1" x14ac:dyDescent="0.3">
      <c r="A28" s="75">
        <v>13</v>
      </c>
      <c r="B28" s="76" t="s">
        <v>61</v>
      </c>
      <c r="C28" s="77"/>
      <c r="D28" s="78"/>
      <c r="E28" s="75" t="s">
        <v>41</v>
      </c>
      <c r="F28" s="79">
        <v>13000</v>
      </c>
      <c r="G28" s="75">
        <v>4</v>
      </c>
      <c r="H28" s="38">
        <f t="shared" si="1"/>
        <v>52000</v>
      </c>
    </row>
    <row r="29" spans="1:8" ht="16.5" thickBot="1" x14ac:dyDescent="0.3">
      <c r="A29" s="75">
        <v>14</v>
      </c>
      <c r="B29" s="76" t="s">
        <v>62</v>
      </c>
      <c r="C29" s="77"/>
      <c r="D29" s="78"/>
      <c r="E29" s="75" t="s">
        <v>63</v>
      </c>
      <c r="F29" s="79">
        <v>651000</v>
      </c>
      <c r="G29" s="75">
        <v>1</v>
      </c>
      <c r="H29" s="38">
        <f t="shared" si="1"/>
        <v>651000</v>
      </c>
    </row>
    <row r="30" spans="1:8" ht="16.5" thickBot="1" x14ac:dyDescent="0.3">
      <c r="A30" s="75">
        <v>15</v>
      </c>
      <c r="B30" s="76" t="s">
        <v>64</v>
      </c>
      <c r="C30" s="77"/>
      <c r="D30" s="78"/>
      <c r="E30" s="75" t="s">
        <v>63</v>
      </c>
      <c r="F30" s="79">
        <v>540000</v>
      </c>
      <c r="G30" s="75">
        <v>5</v>
      </c>
      <c r="H30" s="38">
        <f t="shared" si="1"/>
        <v>2700000</v>
      </c>
    </row>
    <row r="31" spans="1:8" ht="16.5" thickBot="1" x14ac:dyDescent="0.3">
      <c r="A31" s="75">
        <v>16</v>
      </c>
      <c r="B31" s="76" t="s">
        <v>65</v>
      </c>
      <c r="C31" s="77"/>
      <c r="D31" s="78"/>
      <c r="E31" s="75" t="s">
        <v>63</v>
      </c>
      <c r="F31" s="79">
        <v>411000</v>
      </c>
      <c r="G31" s="75">
        <v>1</v>
      </c>
      <c r="H31" s="38">
        <f t="shared" si="1"/>
        <v>411000</v>
      </c>
    </row>
    <row r="32" spans="1:8" ht="16.5" thickBot="1" x14ac:dyDescent="0.3">
      <c r="A32" s="75">
        <v>17</v>
      </c>
      <c r="B32" s="76" t="s">
        <v>66</v>
      </c>
      <c r="C32" s="77"/>
      <c r="D32" s="78"/>
      <c r="E32" s="75" t="s">
        <v>63</v>
      </c>
      <c r="F32" s="79">
        <v>228000</v>
      </c>
      <c r="G32" s="75">
        <v>5</v>
      </c>
      <c r="H32" s="38">
        <f t="shared" si="1"/>
        <v>1140000</v>
      </c>
    </row>
    <row r="33" spans="1:8" ht="16.5" thickBot="1" x14ac:dyDescent="0.3">
      <c r="A33" s="75">
        <v>18</v>
      </c>
      <c r="B33" s="76" t="s">
        <v>67</v>
      </c>
      <c r="C33" s="77"/>
      <c r="D33" s="78"/>
      <c r="E33" s="75" t="s">
        <v>41</v>
      </c>
      <c r="F33" s="79">
        <v>4600</v>
      </c>
      <c r="G33" s="75">
        <v>20</v>
      </c>
      <c r="H33" s="38">
        <f t="shared" si="1"/>
        <v>92000</v>
      </c>
    </row>
    <row r="34" spans="1:8" ht="16.5" thickBot="1" x14ac:dyDescent="0.3">
      <c r="A34" s="75">
        <v>19</v>
      </c>
      <c r="B34" s="76" t="s">
        <v>68</v>
      </c>
      <c r="C34" s="77"/>
      <c r="D34" s="78"/>
      <c r="E34" s="75" t="s">
        <v>41</v>
      </c>
      <c r="F34" s="79">
        <v>5900</v>
      </c>
      <c r="G34" s="75">
        <v>10</v>
      </c>
      <c r="H34" s="38">
        <f t="shared" si="1"/>
        <v>59000</v>
      </c>
    </row>
    <row r="35" spans="1:8" ht="16.5" thickBot="1" x14ac:dyDescent="0.3">
      <c r="A35" s="75">
        <v>20</v>
      </c>
      <c r="B35" s="76" t="s">
        <v>69</v>
      </c>
      <c r="C35" s="77"/>
      <c r="D35" s="78"/>
      <c r="E35" s="75" t="s">
        <v>41</v>
      </c>
      <c r="F35" s="79">
        <v>62000</v>
      </c>
      <c r="G35" s="75">
        <v>9</v>
      </c>
      <c r="H35" s="38">
        <f t="shared" si="1"/>
        <v>558000</v>
      </c>
    </row>
    <row r="36" spans="1:8" ht="16.5" thickBot="1" x14ac:dyDescent="0.3">
      <c r="A36" s="75">
        <v>21</v>
      </c>
      <c r="B36" s="76" t="s">
        <v>70</v>
      </c>
      <c r="C36" s="77"/>
      <c r="D36" s="78"/>
      <c r="E36" s="75" t="s">
        <v>41</v>
      </c>
      <c r="F36" s="79">
        <v>180000</v>
      </c>
      <c r="G36" s="75">
        <v>9</v>
      </c>
      <c r="H36" s="38">
        <f t="shared" si="1"/>
        <v>1620000</v>
      </c>
    </row>
    <row r="37" spans="1:8" ht="16.5" thickBot="1" x14ac:dyDescent="0.3">
      <c r="A37" s="75">
        <v>22</v>
      </c>
      <c r="B37" s="76" t="s">
        <v>71</v>
      </c>
      <c r="C37" s="77"/>
      <c r="D37" s="78"/>
      <c r="E37" s="75" t="s">
        <v>41</v>
      </c>
      <c r="F37" s="79">
        <v>76000</v>
      </c>
      <c r="G37" s="75">
        <v>4</v>
      </c>
      <c r="H37" s="38">
        <f t="shared" si="1"/>
        <v>304000</v>
      </c>
    </row>
    <row r="38" spans="1:8" ht="16.5" thickBot="1" x14ac:dyDescent="0.3">
      <c r="A38" s="75">
        <v>23</v>
      </c>
      <c r="B38" s="76" t="s">
        <v>72</v>
      </c>
      <c r="C38" s="77"/>
      <c r="D38" s="78"/>
      <c r="E38" s="75" t="s">
        <v>41</v>
      </c>
      <c r="F38" s="79">
        <v>55000</v>
      </c>
      <c r="G38" s="75">
        <v>4</v>
      </c>
      <c r="H38" s="38">
        <f t="shared" si="1"/>
        <v>220000</v>
      </c>
    </row>
    <row r="39" spans="1:8" ht="16.5" thickBot="1" x14ac:dyDescent="0.3">
      <c r="A39" s="75">
        <v>24</v>
      </c>
      <c r="B39" s="76" t="s">
        <v>73</v>
      </c>
      <c r="C39" s="77"/>
      <c r="D39" s="78"/>
      <c r="E39" s="75" t="s">
        <v>41</v>
      </c>
      <c r="F39" s="79">
        <v>48000</v>
      </c>
      <c r="G39" s="75">
        <v>3</v>
      </c>
      <c r="H39" s="38">
        <f t="shared" si="1"/>
        <v>144000</v>
      </c>
    </row>
    <row r="40" spans="1:8" ht="16.5" thickBot="1" x14ac:dyDescent="0.3">
      <c r="A40" s="75">
        <v>25</v>
      </c>
      <c r="B40" s="76" t="s">
        <v>74</v>
      </c>
      <c r="C40" s="77"/>
      <c r="D40" s="78"/>
      <c r="E40" s="75" t="s">
        <v>41</v>
      </c>
      <c r="F40" s="79">
        <v>14500</v>
      </c>
      <c r="G40" s="75">
        <v>10</v>
      </c>
      <c r="H40" s="38">
        <f t="shared" si="1"/>
        <v>145000</v>
      </c>
    </row>
    <row r="41" spans="1:8" ht="16.5" thickBot="1" x14ac:dyDescent="0.3">
      <c r="A41" s="75">
        <v>26</v>
      </c>
      <c r="B41" s="76" t="s">
        <v>75</v>
      </c>
      <c r="C41" s="77"/>
      <c r="D41" s="78"/>
      <c r="E41" s="75" t="s">
        <v>41</v>
      </c>
      <c r="F41" s="79">
        <v>35000</v>
      </c>
      <c r="G41" s="75">
        <v>10</v>
      </c>
      <c r="H41" s="38">
        <f t="shared" si="1"/>
        <v>350000</v>
      </c>
    </row>
    <row r="42" spans="1:8" ht="16.5" thickBot="1" x14ac:dyDescent="0.3">
      <c r="A42" s="75">
        <v>27</v>
      </c>
      <c r="B42" s="76" t="s">
        <v>76</v>
      </c>
      <c r="C42" s="77"/>
      <c r="D42" s="78"/>
      <c r="E42" s="75" t="s">
        <v>41</v>
      </c>
      <c r="F42" s="79">
        <v>75000</v>
      </c>
      <c r="G42" s="75">
        <v>3</v>
      </c>
      <c r="H42" s="38">
        <f t="shared" si="1"/>
        <v>225000</v>
      </c>
    </row>
    <row r="43" spans="1:8" ht="16.5" thickBot="1" x14ac:dyDescent="0.3">
      <c r="A43" s="75">
        <v>28</v>
      </c>
      <c r="B43" s="76" t="s">
        <v>77</v>
      </c>
      <c r="C43" s="77"/>
      <c r="D43" s="78"/>
      <c r="E43" s="75" t="s">
        <v>41</v>
      </c>
      <c r="F43" s="79">
        <v>51000</v>
      </c>
      <c r="G43" s="75">
        <v>1</v>
      </c>
      <c r="H43" s="38">
        <f t="shared" si="1"/>
        <v>51000</v>
      </c>
    </row>
    <row r="44" spans="1:8" ht="19.5" customHeight="1" thickBot="1" x14ac:dyDescent="0.3">
      <c r="A44" s="51"/>
      <c r="B44" s="45"/>
      <c r="C44" s="42"/>
      <c r="D44" s="52"/>
      <c r="E44" s="53"/>
      <c r="F44" s="53"/>
      <c r="G44" s="53"/>
    </row>
    <row r="45" spans="1:8" ht="19.5" customHeight="1" thickBot="1" x14ac:dyDescent="0.35">
      <c r="A45" s="50" t="s">
        <v>23</v>
      </c>
      <c r="B45" s="14" t="s">
        <v>78</v>
      </c>
      <c r="D45" s="15"/>
      <c r="E45" s="54"/>
      <c r="F45" s="37" t="s">
        <v>29</v>
      </c>
      <c r="G45" s="6"/>
      <c r="H45" s="7"/>
    </row>
    <row r="46" spans="1:8" ht="19.5" customHeight="1" thickBot="1" x14ac:dyDescent="0.3">
      <c r="A46" s="39"/>
      <c r="B46" s="16" t="s">
        <v>79</v>
      </c>
      <c r="C46" s="4"/>
      <c r="D46" s="4"/>
      <c r="E46" s="57" t="s">
        <v>24</v>
      </c>
      <c r="F46" s="58"/>
      <c r="G46" s="46"/>
      <c r="H46" s="55">
        <f>SUM(H16:H43)</f>
        <v>25154900</v>
      </c>
    </row>
    <row r="47" spans="1:8" ht="19.5" customHeight="1" x14ac:dyDescent="0.25">
      <c r="A47" s="24" t="s">
        <v>25</v>
      </c>
      <c r="B47" s="12"/>
      <c r="C47" s="12"/>
      <c r="D47" s="12"/>
      <c r="E47" s="59" t="s">
        <v>30</v>
      </c>
      <c r="F47" s="23"/>
      <c r="G47" s="60">
        <v>0.19</v>
      </c>
      <c r="H47" s="40">
        <f>H46*G47</f>
        <v>4779431</v>
      </c>
    </row>
    <row r="48" spans="1:8" ht="19.5" customHeight="1" x14ac:dyDescent="0.25">
      <c r="A48" s="14" t="s">
        <v>31</v>
      </c>
      <c r="E48" s="61" t="s">
        <v>26</v>
      </c>
      <c r="G48" s="64">
        <v>2.5000000000000001E-2</v>
      </c>
      <c r="H48" s="56">
        <f>H46*G48</f>
        <v>628872.5</v>
      </c>
    </row>
    <row r="49" spans="1:8" ht="15.75" x14ac:dyDescent="0.25">
      <c r="A49" s="14" t="s">
        <v>80</v>
      </c>
      <c r="E49" s="14"/>
      <c r="F49" s="33"/>
      <c r="G49" s="47"/>
      <c r="H49" s="15"/>
    </row>
    <row r="50" spans="1:8" ht="16.5" thickBot="1" x14ac:dyDescent="0.3">
      <c r="A50" s="14" t="s">
        <v>34</v>
      </c>
      <c r="E50" s="62" t="s">
        <v>27</v>
      </c>
      <c r="F50" s="63"/>
      <c r="G50" s="48"/>
      <c r="H50" s="17"/>
    </row>
    <row r="51" spans="1:8" ht="19.5" thickBot="1" x14ac:dyDescent="0.35">
      <c r="A51" s="16"/>
      <c r="B51" s="4"/>
      <c r="C51" s="4"/>
      <c r="D51" s="17"/>
      <c r="F51" s="3"/>
      <c r="G51" s="34" t="s">
        <v>28</v>
      </c>
      <c r="H51" s="36">
        <f>H46+H47-H48</f>
        <v>29305458.5</v>
      </c>
    </row>
    <row r="52" spans="1:8" ht="16.5" customHeight="1" x14ac:dyDescent="0.25"/>
    <row r="57" spans="1:8" ht="15.75" thickBot="1" x14ac:dyDescent="0.3"/>
    <row r="58" spans="1:8" ht="19.5" thickBot="1" x14ac:dyDescent="0.35">
      <c r="A58" s="25" t="s">
        <v>35</v>
      </c>
      <c r="B58" s="6"/>
      <c r="C58" s="6"/>
      <c r="D58" s="6"/>
      <c r="E58" s="6"/>
      <c r="F58" s="6"/>
      <c r="G58" s="6"/>
      <c r="H58" s="7"/>
    </row>
    <row r="66" spans="1:1" ht="18.75" x14ac:dyDescent="0.3">
      <c r="A66" s="5"/>
    </row>
  </sheetData>
  <hyperlinks>
    <hyperlink ref="C10" r:id="rId1" xr:uid="{091868EC-5254-42D8-897C-F54442E9FB4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CHRISTIAN RODRIGUEZ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2024-11-12T22:43:05Z</dcterms:modified>
</cp:coreProperties>
</file>