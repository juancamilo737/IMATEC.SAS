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49032A2-A57C-401D-BDAF-DD26BE54E3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MPOFRES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29" i="1"/>
  <c r="H26" i="1"/>
  <c r="H25" i="1"/>
  <c r="H24" i="1"/>
  <c r="H23" i="1"/>
  <c r="H22" i="1"/>
  <c r="H21" i="1"/>
  <c r="H20" i="1"/>
  <c r="H19" i="1"/>
  <c r="H18" i="1"/>
  <c r="H17" i="1"/>
  <c r="H16" i="1"/>
  <c r="H30" i="1" l="1"/>
  <c r="H34" i="1" s="1"/>
</calcChain>
</file>

<file path=xl/sharedStrings.xml><?xml version="1.0" encoding="utf-8"?>
<sst xmlns="http://schemas.openxmlformats.org/spreadsheetml/2006/main" count="74" uniqueCount="66">
  <si>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</si>
  <si>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</si>
  <si>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</si>
  <si>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</si>
  <si>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</si>
  <si>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</si>
  <si>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</si>
  <si>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</si>
  <si>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</si>
  <si>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</si>
  <si>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</si>
  <si>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</si>
  <si>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</si>
  <si>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</si>
  <si>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</si>
  <si>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</si>
  <si>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</si>
  <si>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</si>
  <si>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</si>
  <si>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</si>
  <si>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</si>
  <si>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</si>
  <si>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</si>
  <si>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</si>
  <si>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</si>
  <si>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</si>
  <si>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</si>
  <si>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</si>
  <si>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</si>
  <si>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</si>
  <si>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</si>
  <si>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</si>
  <si>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</si>
  <si>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</si>
  <si>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</si>
  <si>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</si>
  <si>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</si>
  <si>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</si>
  <si>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CAMPOFRESCO ALIMENTOS SAS</t>
  </si>
  <si>
    <t>900 652085</t>
  </si>
  <si>
    <t>KMT 15 VIA CAVASA  LA NUBIA B63</t>
  </si>
  <si>
    <t>CANDELARIA</t>
  </si>
  <si>
    <t>contabilidad2@campofresco.com.co</t>
  </si>
  <si>
    <t>315 4337299</t>
  </si>
  <si>
    <t>EDINSON CABEZAS</t>
  </si>
  <si>
    <t>ACCESORIO</t>
  </si>
  <si>
    <t>FORMA DE PAGO : CREDITO A 30 DIAS</t>
  </si>
  <si>
    <t>No.  6</t>
  </si>
  <si>
    <t xml:space="preserve">           C O T I Z A C I O N</t>
  </si>
  <si>
    <t>10 DIAS</t>
  </si>
  <si>
    <t>REDUCCION BUJE PVC SANITARIA  8 "  X  6 "</t>
  </si>
  <si>
    <t>UNION PVC SANITARIA 6 "</t>
  </si>
  <si>
    <t>TUBERIA  PVC SANIATARIO  6 "</t>
  </si>
  <si>
    <t>METRO LINEAL</t>
  </si>
  <si>
    <t xml:space="preserve">TEE PVC  SANITARIA  6 " </t>
  </si>
  <si>
    <t>TAPON PRUEBA SANITARIO  8 "</t>
  </si>
  <si>
    <t>TUBERIA PVC SANITARIA 10 "</t>
  </si>
  <si>
    <t>REDUCCION PVC SANITARIA  10 " A 8 "</t>
  </si>
  <si>
    <t>TEE PVC SANITARIA 10 "</t>
  </si>
  <si>
    <t>TUBERIA  PVC SANITARIA 8 "</t>
  </si>
  <si>
    <t xml:space="preserve">SOLDADURA PVC </t>
  </si>
  <si>
    <t>1/4 GALON</t>
  </si>
  <si>
    <t>LIMPIADOR PVC</t>
  </si>
  <si>
    <t>SESENTA Y UN MILLONES CIENTO CUARENTA Y UN MIL</t>
  </si>
  <si>
    <t>CUATROCIENTOS SESENTA Y OCHO PESOS MDA / CTE</t>
  </si>
  <si>
    <t>ENTREGA EN DOS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</si>
</sst>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8" fillId="0" borderId="29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campofres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19" zoomScaleNormal="100" workbookViewId="0">
      <selection activeCell="J31" sqref="J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45880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45889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3" t="s">
        <v>50</v>
      </c>
      <c r="C16" s="74"/>
      <c r="D16" s="75"/>
      <c r="E16" s="72" t="s">
        <v>45</v>
      </c>
      <c r="F16" s="76">
        <v>164115</v>
      </c>
      <c r="G16" s="72">
        <v>56</v>
      </c>
      <c r="H16" s="38">
        <f t="shared" ref="H16" si="0">G16*F16</f>
        <v>9190440</v>
      </c>
    </row>
    <row r="17" spans="1:8" ht="16.5" thickBot="1" x14ac:dyDescent="0.3">
      <c r="A17" s="72">
        <v>2</v>
      </c>
      <c r="B17" s="73" t="s">
        <v>51</v>
      </c>
      <c r="C17" s="74"/>
      <c r="D17" s="75"/>
      <c r="E17" s="72" t="s">
        <v>45</v>
      </c>
      <c r="F17" s="76">
        <v>24687</v>
      </c>
      <c r="G17" s="72">
        <v>60</v>
      </c>
      <c r="H17" s="38">
        <f t="shared" ref="H17:H26" si="1">G17*F17</f>
        <v>1481220</v>
      </c>
    </row>
    <row r="18" spans="1:8" ht="16.5" thickBot="1" x14ac:dyDescent="0.3">
      <c r="A18" s="72">
        <v>3</v>
      </c>
      <c r="B18" s="73" t="s">
        <v>52</v>
      </c>
      <c r="C18" s="74"/>
      <c r="D18" s="75"/>
      <c r="E18" s="72" t="s">
        <v>53</v>
      </c>
      <c r="F18" s="76">
        <v>40049</v>
      </c>
      <c r="G18" s="72">
        <v>540</v>
      </c>
      <c r="H18" s="38">
        <f t="shared" si="1"/>
        <v>21626460</v>
      </c>
    </row>
    <row r="19" spans="1:8" ht="16.5" thickBot="1" x14ac:dyDescent="0.3">
      <c r="A19" s="72">
        <v>4</v>
      </c>
      <c r="B19" s="73" t="s">
        <v>54</v>
      </c>
      <c r="C19" s="74"/>
      <c r="D19" s="75"/>
      <c r="E19" s="72" t="s">
        <v>45</v>
      </c>
      <c r="F19" s="76">
        <v>117350</v>
      </c>
      <c r="G19" s="72">
        <v>56</v>
      </c>
      <c r="H19" s="38">
        <f t="shared" si="1"/>
        <v>6571600</v>
      </c>
    </row>
    <row r="20" spans="1:8" ht="16.5" thickBot="1" x14ac:dyDescent="0.3">
      <c r="A20" s="72">
        <v>5</v>
      </c>
      <c r="B20" s="73" t="s">
        <v>55</v>
      </c>
      <c r="C20" s="74"/>
      <c r="D20" s="75"/>
      <c r="E20" s="72" t="s">
        <v>45</v>
      </c>
      <c r="F20" s="76">
        <v>142823</v>
      </c>
      <c r="G20" s="72">
        <v>4</v>
      </c>
      <c r="H20" s="38">
        <f t="shared" si="1"/>
        <v>571292</v>
      </c>
    </row>
    <row r="21" spans="1:8" ht="16.5" thickBot="1" x14ac:dyDescent="0.3">
      <c r="A21" s="72">
        <v>6</v>
      </c>
      <c r="B21" s="73" t="s">
        <v>56</v>
      </c>
      <c r="C21" s="74"/>
      <c r="D21" s="75"/>
      <c r="E21" s="72" t="s">
        <v>53</v>
      </c>
      <c r="F21" s="76">
        <v>112537</v>
      </c>
      <c r="G21" s="72">
        <v>12</v>
      </c>
      <c r="H21" s="38">
        <f t="shared" si="1"/>
        <v>1350444</v>
      </c>
    </row>
    <row r="22" spans="1:8" ht="16.5" thickBot="1" x14ac:dyDescent="0.3">
      <c r="A22" s="72">
        <v>7</v>
      </c>
      <c r="B22" s="73" t="s">
        <v>57</v>
      </c>
      <c r="C22" s="74"/>
      <c r="D22" s="75"/>
      <c r="E22" s="72" t="s">
        <v>45</v>
      </c>
      <c r="F22" s="76">
        <v>691392</v>
      </c>
      <c r="G22" s="72">
        <v>4</v>
      </c>
      <c r="H22" s="38">
        <f t="shared" si="1"/>
        <v>2765568</v>
      </c>
    </row>
    <row r="23" spans="1:8" ht="16.5" thickBot="1" x14ac:dyDescent="0.3">
      <c r="A23" s="72">
        <v>8</v>
      </c>
      <c r="B23" s="73" t="s">
        <v>58</v>
      </c>
      <c r="C23" s="74"/>
      <c r="D23" s="75"/>
      <c r="E23" s="72" t="s">
        <v>45</v>
      </c>
      <c r="F23" s="76">
        <v>1104030</v>
      </c>
      <c r="G23" s="72">
        <v>2</v>
      </c>
      <c r="H23" s="38">
        <f t="shared" si="1"/>
        <v>2208060</v>
      </c>
    </row>
    <row r="24" spans="1:8" ht="16.5" thickBot="1" x14ac:dyDescent="0.3">
      <c r="A24" s="72">
        <v>9</v>
      </c>
      <c r="B24" s="73" t="s">
        <v>59</v>
      </c>
      <c r="C24" s="74"/>
      <c r="D24" s="75"/>
      <c r="E24" s="72" t="s">
        <v>53</v>
      </c>
      <c r="F24" s="76">
        <v>72048</v>
      </c>
      <c r="G24" s="72">
        <v>84</v>
      </c>
      <c r="H24" s="38">
        <f t="shared" si="1"/>
        <v>6052032</v>
      </c>
    </row>
    <row r="25" spans="1:8" ht="16.5" thickBot="1" x14ac:dyDescent="0.3">
      <c r="A25" s="72">
        <v>10</v>
      </c>
      <c r="B25" s="73" t="s">
        <v>60</v>
      </c>
      <c r="C25" s="74"/>
      <c r="D25" s="75"/>
      <c r="E25" s="72" t="s">
        <v>61</v>
      </c>
      <c r="F25" s="76">
        <v>74665</v>
      </c>
      <c r="G25" s="72">
        <v>6</v>
      </c>
      <c r="H25" s="38">
        <f t="shared" si="1"/>
        <v>447990</v>
      </c>
    </row>
    <row r="26" spans="1:8" ht="16.5" thickBot="1" x14ac:dyDescent="0.3">
      <c r="A26" s="72">
        <v>11</v>
      </c>
      <c r="B26" s="73" t="s">
        <v>62</v>
      </c>
      <c r="C26" s="74"/>
      <c r="D26" s="75"/>
      <c r="E26" s="72" t="s">
        <v>61</v>
      </c>
      <c r="F26" s="76">
        <v>36000</v>
      </c>
      <c r="G26" s="72">
        <v>6</v>
      </c>
      <c r="H26" s="38">
        <f t="shared" si="1"/>
        <v>216000</v>
      </c>
    </row>
    <row r="27" spans="1:8" ht="19.5" customHeight="1" thickBot="1" x14ac:dyDescent="0.3">
      <c r="A27" s="47"/>
      <c r="B27" s="78"/>
      <c r="D27" s="70"/>
      <c r="E27" s="47"/>
      <c r="F27" s="47"/>
      <c r="G27" s="47"/>
    </row>
    <row r="28" spans="1:8" ht="19.5" customHeight="1" thickBot="1" x14ac:dyDescent="0.35">
      <c r="A28" s="69" t="s">
        <v>23</v>
      </c>
      <c r="B28" s="71" t="s">
        <v>63</v>
      </c>
      <c r="C28" s="12"/>
      <c r="D28" s="13"/>
      <c r="E28" s="48"/>
      <c r="F28" s="37" t="s">
        <v>36</v>
      </c>
      <c r="G28" s="6"/>
      <c r="H28" s="7"/>
    </row>
    <row r="29" spans="1:8" ht="19.5" customHeight="1" thickBot="1" x14ac:dyDescent="0.3">
      <c r="A29" s="39"/>
      <c r="B29" s="16" t="s">
        <v>64</v>
      </c>
      <c r="C29" s="4"/>
      <c r="D29" s="17"/>
      <c r="E29" s="51" t="s">
        <v>24</v>
      </c>
      <c r="F29" s="52"/>
      <c r="G29" s="44"/>
      <c r="H29" s="49">
        <f>SUM(H16:H26)</f>
        <v>52481106</v>
      </c>
    </row>
    <row r="30" spans="1:8" ht="19.5" customHeight="1" x14ac:dyDescent="0.25">
      <c r="A30" s="24" t="s">
        <v>25</v>
      </c>
      <c r="B30" s="12"/>
      <c r="C30" s="12"/>
      <c r="D30" s="12"/>
      <c r="E30" s="53" t="s">
        <v>29</v>
      </c>
      <c r="F30" s="23"/>
      <c r="G30" s="54">
        <v>0.19</v>
      </c>
      <c r="H30" s="40">
        <f>H29*G30</f>
        <v>9971410.1400000006</v>
      </c>
    </row>
    <row r="31" spans="1:8" ht="19.5" customHeight="1" x14ac:dyDescent="0.25">
      <c r="A31" s="14" t="s">
        <v>46</v>
      </c>
      <c r="E31" s="55" t="s">
        <v>26</v>
      </c>
      <c r="G31" s="58">
        <v>2.5000000000000001E-2</v>
      </c>
      <c r="H31" s="50">
        <f>H29*G31</f>
        <v>1312027.6500000001</v>
      </c>
    </row>
    <row r="32" spans="1:8" ht="15.75" x14ac:dyDescent="0.25">
      <c r="A32" s="14" t="s">
        <v>65</v>
      </c>
      <c r="E32" s="14"/>
      <c r="F32" s="33"/>
      <c r="G32" s="45"/>
      <c r="H32" s="15"/>
    </row>
    <row r="33" spans="1:8" ht="16.5" thickBot="1" x14ac:dyDescent="0.3">
      <c r="A33" s="14" t="s">
        <v>31</v>
      </c>
      <c r="E33" s="56" t="s">
        <v>27</v>
      </c>
      <c r="F33" s="57"/>
      <c r="G33" s="46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</f>
        <v>61140488.490000002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37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F976BE1C-84FB-4A7D-9BF0-FF180DECBC5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CAMPOFRESCO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2025-07-02T17:31:46Z</cp:lastPrinted>
  <dcterms:created xsi:type="dcterms:W3CDTF">2018-11-15T17:29:02Z</dcterms:created>
  <dcterms:modified xsi:type="dcterms:W3CDTF">2025-08-11T21:18:19Z</dcterms:modified>
</cp:coreProperties>
</file>