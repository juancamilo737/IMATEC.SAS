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0F3DBBB-7A90-4601-A3F4-CBFE08DD3A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<sst xmlns="http://schemas.openxmlformats.org/spreadsheetml/2006/main" count="55" uniqueCount="54">
  <si>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</si>
  <si>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</si>
  <si>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</si>
  <si>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</si>
  <si>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</si>
  <si>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</si>
  <si>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</si>
  <si>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</si>
  <si>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</si>
  <si>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</si>
  <si>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</si>
  <si>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</si>
  <si>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</si>
  <si>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</si>
  <si>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</si>
  <si>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</si>
  <si>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</si>
  <si>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</si>
  <si>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</si>
  <si>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</si>
  <si>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</si>
  <si>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</si>
  <si>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</si>
  <si>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</si>
  <si>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</si>
  <si>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</si>
  <si>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</si>
  <si>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</si>
  <si>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</si>
  <si>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</si>
  <si>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</si>
  <si>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</si>
  <si>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</si>
  <si>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</si>
  <si>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</si>
  <si>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</si>
  <si>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</si>
  <si>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</si>
  <si>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</si>
  <si>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</si>
  <si>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</si>
  <si>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</si>
  <si>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</si>
  <si>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</si>
  <si>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</si>
  <si>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TUBERIA  AC/INOX 316  SCH 80  3/4 "  X  6 MTS</t>
  </si>
  <si>
    <t>TUBO</t>
  </si>
  <si>
    <t>ENTREGA EN 3 DIAS POSTERIOR A ORDEN DE COMPRA</t>
  </si>
  <si>
    <t>L I Q U I D A C I O N</t>
  </si>
  <si>
    <t xml:space="preserve">              R E M I S I O N</t>
  </si>
  <si>
    <t>No. 9</t>
  </si>
  <si>
    <t>TUBERIA AC/INOX 304  SCH 80  3/4 " X  6  MTS</t>
  </si>
  <si>
    <t>SEIS MILLONES OCHOCIENTOS OCHENTA Y UN MIL DOS-</t>
  </si>
  <si>
    <t>CIENTOS NOVENTA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</si>
</sst>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9" t="s">
        <v>39</v>
      </c>
      <c r="D8" s="65"/>
      <c r="E8" s="47"/>
      <c r="H8" s="15"/>
    </row>
    <row r="9" spans="1:8" ht="18.75" customHeight="1" x14ac:dyDescent="0.3">
      <c r="A9" s="21" t="s">
        <v>9</v>
      </c>
      <c r="C9" s="66" t="s">
        <v>40</v>
      </c>
      <c r="D9" s="23"/>
      <c r="E9" s="67" t="s">
        <v>41</v>
      </c>
      <c r="F9" s="30" t="s">
        <v>0</v>
      </c>
      <c r="H9" s="28">
        <v>45797</v>
      </c>
    </row>
    <row r="10" spans="1:8" ht="18.75" x14ac:dyDescent="0.3">
      <c r="A10" s="21" t="s">
        <v>13</v>
      </c>
      <c r="C10" s="68" t="s">
        <v>42</v>
      </c>
      <c r="D10" s="65"/>
      <c r="E10" s="47"/>
      <c r="F10" s="30" t="s">
        <v>15</v>
      </c>
      <c r="H10" s="29"/>
    </row>
    <row r="11" spans="1:8" ht="18.75" x14ac:dyDescent="0.3">
      <c r="A11" s="21" t="s">
        <v>10</v>
      </c>
      <c r="C11" s="69"/>
      <c r="D11" s="65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69" t="s">
        <v>43</v>
      </c>
      <c r="D12" s="65"/>
      <c r="E12" s="47"/>
      <c r="F12" s="30" t="s">
        <v>17</v>
      </c>
      <c r="H12" s="31">
        <v>31933</v>
      </c>
    </row>
    <row r="13" spans="1:8" ht="18.75" customHeight="1" thickBot="1" x14ac:dyDescent="0.35">
      <c r="A13" s="22" t="s">
        <v>12</v>
      </c>
      <c r="B13" s="4"/>
      <c r="C13" s="70" t="s">
        <v>44</v>
      </c>
      <c r="D13" s="71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3" t="s">
        <v>51</v>
      </c>
      <c r="C16" s="74"/>
      <c r="D16" s="75"/>
      <c r="E16" s="72" t="s">
        <v>46</v>
      </c>
      <c r="F16" s="76">
        <v>289130</v>
      </c>
      <c r="G16" s="72">
        <v>8</v>
      </c>
      <c r="H16" s="38">
        <f t="shared" ref="H16" si="0">G16*F16</f>
        <v>2313040</v>
      </c>
    </row>
    <row r="17" spans="1:8" ht="16.5" thickBot="1" x14ac:dyDescent="0.3">
      <c r="A17" s="72">
        <v>1</v>
      </c>
      <c r="B17" s="73" t="s">
        <v>45</v>
      </c>
      <c r="C17" s="74"/>
      <c r="D17" s="75"/>
      <c r="E17" s="72" t="s">
        <v>46</v>
      </c>
      <c r="F17" s="76">
        <v>289130</v>
      </c>
      <c r="G17" s="72">
        <v>12</v>
      </c>
      <c r="H17" s="38">
        <f t="shared" ref="H17" si="1">G17*F17</f>
        <v>3469560</v>
      </c>
    </row>
    <row r="18" spans="1:8" ht="19.5" customHeight="1" thickBot="1" x14ac:dyDescent="0.3">
      <c r="A18" s="50"/>
      <c r="B18" s="45"/>
      <c r="C18" s="42"/>
      <c r="D18" s="51"/>
      <c r="E18" s="52"/>
      <c r="F18" s="52"/>
      <c r="G18" s="52"/>
    </row>
    <row r="19" spans="1:8" ht="19.5" customHeight="1" thickBot="1" x14ac:dyDescent="0.35">
      <c r="A19" s="49" t="s">
        <v>23</v>
      </c>
      <c r="B19" s="14" t="s">
        <v>52</v>
      </c>
      <c r="D19" s="15"/>
      <c r="E19" s="53"/>
      <c r="F19" s="37" t="s">
        <v>48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6" t="s">
        <v>24</v>
      </c>
      <c r="F20" s="57"/>
      <c r="G20" s="46"/>
      <c r="H20" s="54">
        <f>SUM(H16:H19)</f>
        <v>5782600</v>
      </c>
    </row>
    <row r="21" spans="1:8" ht="19.5" customHeight="1" x14ac:dyDescent="0.25">
      <c r="A21" s="24" t="s">
        <v>25</v>
      </c>
      <c r="B21" s="12"/>
      <c r="C21" s="12"/>
      <c r="D21" s="12"/>
      <c r="E21" s="58" t="s">
        <v>29</v>
      </c>
      <c r="F21" s="23"/>
      <c r="G21" s="59">
        <v>0.19</v>
      </c>
      <c r="H21" s="40">
        <f>H20*G21</f>
        <v>1098694</v>
      </c>
    </row>
    <row r="22" spans="1:8" ht="19.5" customHeight="1" x14ac:dyDescent="0.25">
      <c r="A22" s="14" t="s">
        <v>30</v>
      </c>
      <c r="E22" s="60" t="s">
        <v>26</v>
      </c>
      <c r="G22" s="63">
        <v>2.5000000000000001E-2</v>
      </c>
      <c r="H22" s="55">
        <f>H20*G22</f>
        <v>144565</v>
      </c>
    </row>
    <row r="23" spans="1:8" ht="15.75" x14ac:dyDescent="0.25">
      <c r="A23" s="14" t="s">
        <v>47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1" t="s">
        <v>27</v>
      </c>
      <c r="F24" s="6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6881294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33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2025-05-20T20:12:52Z</cp:lastPrinted>
  <dcterms:created xsi:type="dcterms:W3CDTF">2018-11-15T17:29:02Z</dcterms:created>
  <dcterms:modified xsi:type="dcterms:W3CDTF">2025-05-20T21:52:49Z</dcterms:modified>
</cp:coreProperties>
</file>