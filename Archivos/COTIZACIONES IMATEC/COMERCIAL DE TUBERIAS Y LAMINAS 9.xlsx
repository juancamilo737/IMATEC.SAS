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CE573ED-5657-405E-9355-B38593BFF08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3" i="1" l="1"/>
  <c r="H21" i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<sst xmlns="http://schemas.openxmlformats.org/spreadsheetml/2006/main" count="57" uniqueCount="57">
  <si>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</si>
  <si>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</si>
  <si>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</si>
  <si>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</si>
  <si>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</si>
  <si>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</si>
  <si>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</si>
  <si>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</si>
  <si>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</si>
  <si>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</si>
  <si>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</si>
  <si>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</si>
  <si>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</si>
  <si>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</si>
  <si>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</si>
  <si>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</si>
  <si>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</si>
  <si>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</si>
  <si>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</si>
  <si>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</si>
  <si>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</si>
  <si>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</si>
  <si>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</si>
  <si>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</si>
  <si>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</si>
  <si>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</si>
  <si>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</si>
  <si>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</si>
  <si>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</si>
  <si>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</si>
  <si>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</si>
  <si>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</si>
  <si>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</si>
  <si>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</si>
  <si>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</si>
  <si>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</si>
  <si>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</si>
  <si>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</si>
  <si>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</si>
  <si>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</si>
  <si>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</si>
  <si>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</si>
  <si>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</si>
  <si>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</si>
  <si>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</si>
  <si>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</si>
  <si>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>RETEICA</t>
  </si>
  <si>
    <t>EDINSON CABEZAS C</t>
  </si>
  <si>
    <t xml:space="preserve">           C O T I Z A C I O N </t>
  </si>
  <si>
    <t>METRO LINEAL</t>
  </si>
  <si>
    <t>ACCESORIO</t>
  </si>
  <si>
    <t xml:space="preserve">TUBERIA  A / C SCH 40   6 " </t>
  </si>
  <si>
    <t>CODO  HR  1 "  X  90 º RANURADO</t>
  </si>
  <si>
    <t>ENTREGA EN DOS DIAS A PARTIR DE ORDEN DE COMPRA</t>
  </si>
  <si>
    <t>UN MILLON DOSCIENTOS SETENTA Y SEIS MIL CIENTO</t>
  </si>
  <si>
    <t>SESENTA Y TRES PESOS MDA / CTE</t>
  </si>
  <si>
    <t>No. 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</si>
</sst>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  <xf numFmtId="0" fontId="0" fillId="0" borderId="29" xfId="0" applyBorder="1"/>
    <xf numFmtId="0" fontId="1" fillId="0" borderId="28" xfId="0" applyFont="1" applyBorder="1" applyAlignment="1">
      <alignment horizontal="center"/>
    </xf>
    <xf numFmtId="0" fontId="0" fillId="0" borderId="30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9" zoomScaleNormal="100" workbookViewId="0">
      <selection activeCell="G12" sqref="G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40</v>
      </c>
      <c r="D7" s="6"/>
      <c r="E7" s="6"/>
      <c r="F7" s="37"/>
      <c r="G7" s="18"/>
      <c r="H7" s="19" t="s">
        <v>56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2" t="s">
        <v>43</v>
      </c>
      <c r="F9" s="30" t="s">
        <v>0</v>
      </c>
      <c r="H9" s="28">
        <v>45699</v>
      </c>
    </row>
    <row r="10" spans="1:8" ht="18.75" x14ac:dyDescent="0.3">
      <c r="A10" s="21" t="s">
        <v>13</v>
      </c>
      <c r="C10" s="47" t="s">
        <v>44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45708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6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49">
        <v>1</v>
      </c>
      <c r="B16" s="48" t="s">
        <v>51</v>
      </c>
      <c r="C16" s="48"/>
      <c r="D16" s="50"/>
      <c r="E16" s="49" t="s">
        <v>49</v>
      </c>
      <c r="F16" s="51">
        <v>178915</v>
      </c>
      <c r="G16" s="49">
        <v>6</v>
      </c>
      <c r="H16" s="38">
        <f t="shared" ref="H16" si="0">G16*F16</f>
        <v>1073490</v>
      </c>
    </row>
    <row r="17" spans="1:8" ht="16.5" thickBot="1" x14ac:dyDescent="0.3">
      <c r="A17" s="49">
        <v>2</v>
      </c>
      <c r="B17" s="48" t="s">
        <v>52</v>
      </c>
      <c r="C17" s="48"/>
      <c r="D17" s="50"/>
      <c r="E17" s="49" t="s">
        <v>50</v>
      </c>
      <c r="F17" s="51">
        <v>5900</v>
      </c>
      <c r="G17" s="70">
        <v>1</v>
      </c>
      <c r="H17" s="38">
        <f t="shared" ref="H17" si="1">G17*F17</f>
        <v>5900</v>
      </c>
    </row>
    <row r="18" spans="1:8" ht="15.75" thickBot="1" x14ac:dyDescent="0.3">
      <c r="A18" s="69"/>
      <c r="D18" s="69"/>
      <c r="E18" s="71"/>
      <c r="F18" s="71"/>
    </row>
    <row r="19" spans="1:8" ht="19.5" customHeight="1" thickBot="1" x14ac:dyDescent="0.35">
      <c r="A19" s="64" t="s">
        <v>23</v>
      </c>
      <c r="B19" s="65" t="s">
        <v>54</v>
      </c>
      <c r="C19" s="12"/>
      <c r="D19" s="13"/>
      <c r="E19" s="52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5" t="s">
        <v>24</v>
      </c>
      <c r="F20" s="56"/>
      <c r="G20" s="45"/>
      <c r="H20" s="53">
        <f>SUM(H16:H19)</f>
        <v>1079390</v>
      </c>
    </row>
    <row r="21" spans="1:8" ht="19.5" customHeight="1" x14ac:dyDescent="0.25">
      <c r="A21" s="24" t="s">
        <v>25</v>
      </c>
      <c r="B21" s="12"/>
      <c r="C21" s="12"/>
      <c r="D21" s="13"/>
      <c r="E21" s="57" t="s">
        <v>30</v>
      </c>
      <c r="F21" s="23"/>
      <c r="G21" s="58">
        <v>0.19</v>
      </c>
      <c r="H21" s="40">
        <f>H20*G21</f>
        <v>205084.1</v>
      </c>
    </row>
    <row r="22" spans="1:8" ht="19.5" customHeight="1" x14ac:dyDescent="0.25">
      <c r="A22" s="14" t="s">
        <v>31</v>
      </c>
      <c r="D22" s="15"/>
      <c r="E22" s="59" t="s">
        <v>26</v>
      </c>
      <c r="G22" s="66">
        <v>2.5000000000000001E-2</v>
      </c>
      <c r="H22" s="54"/>
    </row>
    <row r="23" spans="1:8" ht="15.75" x14ac:dyDescent="0.25">
      <c r="A23" s="14" t="s">
        <v>53</v>
      </c>
      <c r="D23" s="15"/>
      <c r="E23" s="57" t="s">
        <v>46</v>
      </c>
      <c r="F23" s="33"/>
      <c r="G23" s="68">
        <v>7.7000000000000002E-3</v>
      </c>
      <c r="H23" s="67">
        <f>H20*G23</f>
        <v>8311.3029999999999</v>
      </c>
    </row>
    <row r="24" spans="1:8" ht="16.5" thickBot="1" x14ac:dyDescent="0.3">
      <c r="A24" s="14" t="s">
        <v>34</v>
      </c>
      <c r="D24" s="15"/>
      <c r="E24" s="60" t="s">
        <v>27</v>
      </c>
      <c r="F24" s="61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1276162.797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2025-02-11T21:08:47Z</dcterms:modified>
</cp:coreProperties>
</file>