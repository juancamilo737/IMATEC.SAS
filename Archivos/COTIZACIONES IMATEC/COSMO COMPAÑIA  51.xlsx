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385E22DB-8A24-4D4B-B0FC-9E894BC69760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2" l="1"/>
  <c r="H32" i="2"/>
  <c r="H31" i="2"/>
  <c r="H30" i="2"/>
  <c r="H29" i="2"/>
  <c r="H28" i="2"/>
  <c r="H27" i="2"/>
  <c r="H26" i="2"/>
  <c r="H24" i="2"/>
  <c r="H23" i="2"/>
  <c r="H22" i="2"/>
  <c r="H21" i="2"/>
  <c r="H20" i="2"/>
  <c r="H19" i="2"/>
  <c r="H18" i="2"/>
  <c r="H17" i="2"/>
  <c r="H16" i="2"/>
  <c r="H37" i="2" s="1"/>
  <c r="H36" i="2" l="1"/>
  <c r="H40" i="2" s="1"/>
</calcChain>
</file>

<file path=xl/sharedStrings.xml><?xml version="1.0" encoding="utf-8"?>
<sst xmlns="http://schemas.openxmlformats.org/spreadsheetml/2006/main" count="86" uniqueCount="73">
  <si>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</si>
  <si>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</si>
  <si>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</si>
  <si>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</si>
  <si>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</si>
  <si>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</si>
  <si>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</si>
  <si>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</si>
  <si>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</si>
  <si>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</si>
  <si>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</si>
  <si>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</si>
  <si>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</si>
  <si>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</si>
  <si>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</si>
  <si>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</si>
  <si>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</si>
  <si>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</si>
  <si>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</si>
  <si>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</si>
  <si>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</si>
  <si>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</si>
  <si>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</si>
  <si>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</si>
  <si>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</si>
  <si>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</si>
  <si>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</si>
  <si>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</si>
  <si>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</si>
  <si>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</si>
  <si>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</si>
  <si>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</si>
  <si>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</si>
  <si>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</si>
  <si>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</si>
  <si>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</si>
  <si>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</si>
  <si>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</si>
  <si>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</si>
  <si>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</si>
  <si>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</si>
  <si>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</si>
  <si>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FORMA DE PAGO : CREDITO A 30 DIAS</t>
  </si>
  <si>
    <t>L I Q U I D A C I O N</t>
  </si>
  <si>
    <t xml:space="preserve">  CALLE  33 A  No. 17 A - 56                           B/  LA FLORESTA             -   CALI    -                         CEL.     321 7834969</t>
  </si>
  <si>
    <t>ACCESORIO</t>
  </si>
  <si>
    <t>ENTREGA EN UN DIA  A PARTIR DE ORDEN DE COMPRA</t>
  </si>
  <si>
    <t xml:space="preserve">O de C  No. </t>
  </si>
  <si>
    <t>CTO. DE COSTOS</t>
  </si>
  <si>
    <t xml:space="preserve">           C O T I Z A C I O N</t>
  </si>
  <si>
    <t>10 DIAS</t>
  </si>
  <si>
    <t>No.  51</t>
  </si>
  <si>
    <t>TUBERIA  AC/INOX 316 SANITARIA  2 "  X  6 MTS</t>
  </si>
  <si>
    <t>TUBO</t>
  </si>
  <si>
    <t>TUBERIA  AC/INOX 304 SCH 40  2 1/2 "  X  6 MTS</t>
  </si>
  <si>
    <t>TUBERIA  AC/INOX  304 SCH 10  1/2 "  X  6 MTS</t>
  </si>
  <si>
    <t>UNIVERSAL AC/INOX 316  2 "  SMS SOLDAR</t>
  </si>
  <si>
    <t>CODO AC/INOX  304 SCH 10  3/4 "  X  90 º</t>
  </si>
  <si>
    <t xml:space="preserve">TEE AC/INOX  304 SCH 10  3/4 " </t>
  </si>
  <si>
    <t>VALVULA DE BOLA AC/INOX 304   3/4 "  X  1000 LBS ROSC</t>
  </si>
  <si>
    <t>CHEQUE CORTINA AC/INOX 316  3/4  "  X  150 LBS ROSC</t>
  </si>
  <si>
    <t>MANGUERA FLEXIBLE  AC/INOX 3/4 "  X  70  CMTS</t>
  </si>
  <si>
    <t>FIJO  X  GIRATORIO</t>
  </si>
  <si>
    <t>TEE AC/INOX 304  3/4 "  X  150  ROSCADA</t>
  </si>
  <si>
    <t>CODO AC/INOX 304  3/4 "  X  90 º X 150 LBS ROSCADO</t>
  </si>
  <si>
    <t>NIPLE AC/INOX 304  3/4 "  X  10 CMTS</t>
  </si>
  <si>
    <t>FABRICACION</t>
  </si>
  <si>
    <t>VALVULA DE BOLA AC/INOX 316  1/2 "</t>
  </si>
  <si>
    <t>TEE AC/INOX 304  1/2 "  X  150 LBS ROSCADA</t>
  </si>
  <si>
    <t>CODO AC/INOX 304 1/2 "  X  90 º X 150 LBS ROSCADO</t>
  </si>
  <si>
    <t>NIPLE AC/INOX 304  1/2 "  X  10 CMTS</t>
  </si>
  <si>
    <t xml:space="preserve">VEINTITRES MILLONES SETECIENTOS CINCUENTA MIL </t>
  </si>
  <si>
    <t>OCHOCIENTOS SESENTA Y SIETE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</si>
</sst>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0" fillId="0" borderId="12" xfId="0" applyBorder="1" applyAlignment="1">
      <alignment horizontal="right"/>
    </xf>
    <xf numFmtId="0" fontId="11" fillId="0" borderId="0" xfId="0" applyFont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55"/>
  <sheetViews>
    <sheetView tabSelected="1" topLeftCell="A13" zoomScaleNormal="100" workbookViewId="0">
      <selection activeCell="J37" sqref="J3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44" t="s">
        <v>35</v>
      </c>
      <c r="D7" s="6"/>
      <c r="E7" s="6"/>
      <c r="F7" s="37"/>
      <c r="G7" s="18"/>
      <c r="H7" s="63" t="s">
        <v>51</v>
      </c>
    </row>
    <row r="8" spans="1:8" ht="19.5" thickBot="1" x14ac:dyDescent="0.35">
      <c r="A8" s="21" t="s">
        <v>8</v>
      </c>
      <c r="C8" s="14" t="s">
        <v>36</v>
      </c>
      <c r="E8" s="15"/>
      <c r="H8" s="15"/>
    </row>
    <row r="9" spans="1:8" ht="18.75" customHeight="1" thickBot="1" x14ac:dyDescent="0.35">
      <c r="A9" s="21" t="s">
        <v>9</v>
      </c>
      <c r="C9" s="14" t="s">
        <v>37</v>
      </c>
      <c r="E9" s="59" t="s">
        <v>38</v>
      </c>
      <c r="F9" s="30" t="s">
        <v>0</v>
      </c>
      <c r="H9" s="28">
        <v>45777</v>
      </c>
    </row>
    <row r="10" spans="1:8" ht="18.75" x14ac:dyDescent="0.3">
      <c r="A10" s="21" t="s">
        <v>13</v>
      </c>
      <c r="C10" s="48" t="s">
        <v>39</v>
      </c>
      <c r="E10" s="15"/>
      <c r="F10" s="30" t="s">
        <v>15</v>
      </c>
      <c r="H10" s="29" t="s">
        <v>50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45786</v>
      </c>
    </row>
    <row r="12" spans="1:8" ht="18.75" x14ac:dyDescent="0.3">
      <c r="A12" s="21" t="s">
        <v>11</v>
      </c>
      <c r="C12" s="14" t="s">
        <v>40</v>
      </c>
      <c r="E12" s="15"/>
      <c r="F12" s="30" t="s">
        <v>47</v>
      </c>
      <c r="G12" s="73"/>
      <c r="H12" s="31"/>
    </row>
    <row r="13" spans="1:8" ht="18.75" customHeight="1" thickBot="1" x14ac:dyDescent="0.35">
      <c r="A13" s="22" t="s">
        <v>12</v>
      </c>
      <c r="B13" s="4"/>
      <c r="C13" s="16" t="s">
        <v>41</v>
      </c>
      <c r="D13" s="4"/>
      <c r="E13" s="17"/>
      <c r="F13" s="4" t="s">
        <v>48</v>
      </c>
      <c r="G13" s="4"/>
      <c r="H13" s="72"/>
    </row>
    <row r="14" spans="1:8" ht="15.75" thickBot="1" x14ac:dyDescent="0.3"/>
    <row r="15" spans="1:8" ht="15.75" thickBot="1" x14ac:dyDescent="0.3">
      <c r="A15" s="49" t="s">
        <v>32</v>
      </c>
      <c r="B15" s="24" t="s">
        <v>21</v>
      </c>
      <c r="C15" s="42"/>
      <c r="D15" s="13"/>
      <c r="E15" s="49" t="s">
        <v>17</v>
      </c>
      <c r="F15" s="49" t="s">
        <v>19</v>
      </c>
      <c r="G15" s="49" t="s">
        <v>18</v>
      </c>
      <c r="H15" s="32" t="s">
        <v>20</v>
      </c>
    </row>
    <row r="16" spans="1:8" ht="15.75" thickBot="1" x14ac:dyDescent="0.3">
      <c r="A16" s="68">
        <v>1</v>
      </c>
      <c r="B16" s="69" t="s">
        <v>52</v>
      </c>
      <c r="C16" s="70"/>
      <c r="D16" s="45"/>
      <c r="E16" s="71" t="s">
        <v>53</v>
      </c>
      <c r="F16" s="66">
        <v>541485</v>
      </c>
      <c r="G16" s="67">
        <v>8</v>
      </c>
      <c r="H16" s="38">
        <f>F16*G16</f>
        <v>4331880</v>
      </c>
    </row>
    <row r="17" spans="1:8" ht="15.75" thickBot="1" x14ac:dyDescent="0.3">
      <c r="A17" s="68">
        <v>2</v>
      </c>
      <c r="B17" s="69" t="s">
        <v>54</v>
      </c>
      <c r="C17" s="70"/>
      <c r="D17" s="45"/>
      <c r="E17" s="71" t="s">
        <v>53</v>
      </c>
      <c r="F17" s="66">
        <v>970700</v>
      </c>
      <c r="G17" s="67">
        <v>10</v>
      </c>
      <c r="H17" s="38">
        <f t="shared" ref="H17:H18" si="0">F17*G17</f>
        <v>9707000</v>
      </c>
    </row>
    <row r="18" spans="1:8" ht="15.75" thickBot="1" x14ac:dyDescent="0.3">
      <c r="A18" s="68">
        <v>3</v>
      </c>
      <c r="B18" s="69" t="s">
        <v>55</v>
      </c>
      <c r="C18" s="70"/>
      <c r="D18" s="45"/>
      <c r="E18" s="71" t="s">
        <v>53</v>
      </c>
      <c r="F18" s="66">
        <v>145800</v>
      </c>
      <c r="G18" s="67">
        <v>5</v>
      </c>
      <c r="H18" s="38">
        <f t="shared" si="0"/>
        <v>729000</v>
      </c>
    </row>
    <row r="19" spans="1:8" ht="15.75" thickBot="1" x14ac:dyDescent="0.3">
      <c r="A19" s="68">
        <v>4</v>
      </c>
      <c r="B19" s="69" t="s">
        <v>56</v>
      </c>
      <c r="C19" s="70"/>
      <c r="D19" s="45"/>
      <c r="E19" s="71" t="s">
        <v>45</v>
      </c>
      <c r="F19" s="66">
        <v>96500</v>
      </c>
      <c r="G19" s="67">
        <v>20</v>
      </c>
      <c r="H19" s="38">
        <f t="shared" ref="H19:H32" si="1">F19*G19</f>
        <v>1930000</v>
      </c>
    </row>
    <row r="20" spans="1:8" ht="15.75" thickBot="1" x14ac:dyDescent="0.3">
      <c r="A20" s="68">
        <v>5</v>
      </c>
      <c r="B20" s="69" t="s">
        <v>57</v>
      </c>
      <c r="C20" s="70"/>
      <c r="D20" s="45"/>
      <c r="E20" s="71" t="s">
        <v>45</v>
      </c>
      <c r="F20" s="66">
        <v>8100</v>
      </c>
      <c r="G20" s="67">
        <v>15</v>
      </c>
      <c r="H20" s="38">
        <f t="shared" si="1"/>
        <v>121500</v>
      </c>
    </row>
    <row r="21" spans="1:8" ht="15.75" thickBot="1" x14ac:dyDescent="0.3">
      <c r="A21" s="68">
        <v>6</v>
      </c>
      <c r="B21" s="69" t="s">
        <v>58</v>
      </c>
      <c r="C21" s="70"/>
      <c r="D21" s="45"/>
      <c r="E21" s="71" t="s">
        <v>45</v>
      </c>
      <c r="F21" s="66">
        <v>7600</v>
      </c>
      <c r="G21" s="67">
        <v>6</v>
      </c>
      <c r="H21" s="38">
        <f t="shared" si="1"/>
        <v>45600</v>
      </c>
    </row>
    <row r="22" spans="1:8" ht="15.75" thickBot="1" x14ac:dyDescent="0.3">
      <c r="A22" s="68">
        <v>7</v>
      </c>
      <c r="B22" s="69" t="s">
        <v>59</v>
      </c>
      <c r="C22" s="70"/>
      <c r="D22" s="45"/>
      <c r="E22" s="71" t="s">
        <v>45</v>
      </c>
      <c r="F22" s="66">
        <v>29100</v>
      </c>
      <c r="G22" s="67">
        <v>4</v>
      </c>
      <c r="H22" s="38">
        <f t="shared" si="1"/>
        <v>116400</v>
      </c>
    </row>
    <row r="23" spans="1:8" ht="15.75" thickBot="1" x14ac:dyDescent="0.3">
      <c r="A23" s="68">
        <v>8</v>
      </c>
      <c r="B23" s="69" t="s">
        <v>60</v>
      </c>
      <c r="C23" s="70"/>
      <c r="D23" s="45"/>
      <c r="E23" s="71" t="s">
        <v>45</v>
      </c>
      <c r="F23" s="66">
        <v>59500</v>
      </c>
      <c r="G23" s="67">
        <v>10</v>
      </c>
      <c r="H23" s="38">
        <f t="shared" si="1"/>
        <v>595000</v>
      </c>
    </row>
    <row r="24" spans="1:8" ht="15.75" thickBot="1" x14ac:dyDescent="0.3">
      <c r="A24" s="68">
        <v>9</v>
      </c>
      <c r="B24" s="69" t="s">
        <v>61</v>
      </c>
      <c r="C24" s="70"/>
      <c r="D24" s="45"/>
      <c r="E24" s="71" t="s">
        <v>45</v>
      </c>
      <c r="F24" s="66">
        <v>215000</v>
      </c>
      <c r="G24" s="67">
        <v>10</v>
      </c>
      <c r="H24" s="38">
        <f t="shared" si="1"/>
        <v>2150000</v>
      </c>
    </row>
    <row r="25" spans="1:8" ht="15.75" thickBot="1" x14ac:dyDescent="0.3">
      <c r="A25" s="68"/>
      <c r="B25" s="69" t="s">
        <v>62</v>
      </c>
      <c r="C25" s="70"/>
      <c r="D25" s="45"/>
      <c r="E25" s="71"/>
      <c r="F25" s="66"/>
      <c r="G25" s="67"/>
      <c r="H25" s="38"/>
    </row>
    <row r="26" spans="1:8" ht="15.75" thickBot="1" x14ac:dyDescent="0.3">
      <c r="A26" s="68">
        <v>10</v>
      </c>
      <c r="B26" s="69" t="s">
        <v>63</v>
      </c>
      <c r="C26" s="70"/>
      <c r="D26" s="45"/>
      <c r="E26" s="71" t="s">
        <v>45</v>
      </c>
      <c r="F26" s="66">
        <v>8910</v>
      </c>
      <c r="G26" s="67">
        <v>8</v>
      </c>
      <c r="H26" s="38">
        <f t="shared" si="1"/>
        <v>71280</v>
      </c>
    </row>
    <row r="27" spans="1:8" ht="15.75" thickBot="1" x14ac:dyDescent="0.3">
      <c r="A27" s="68">
        <v>11</v>
      </c>
      <c r="B27" s="69" t="s">
        <v>64</v>
      </c>
      <c r="C27" s="70"/>
      <c r="D27" s="45"/>
      <c r="E27" s="71" t="s">
        <v>45</v>
      </c>
      <c r="F27" s="66">
        <v>8640</v>
      </c>
      <c r="G27" s="67">
        <v>20</v>
      </c>
      <c r="H27" s="38">
        <f t="shared" si="1"/>
        <v>172800</v>
      </c>
    </row>
    <row r="28" spans="1:8" ht="15.75" thickBot="1" x14ac:dyDescent="0.3">
      <c r="A28" s="68">
        <v>12</v>
      </c>
      <c r="B28" s="69" t="s">
        <v>65</v>
      </c>
      <c r="C28" s="70"/>
      <c r="D28" s="45"/>
      <c r="E28" s="71" t="s">
        <v>66</v>
      </c>
      <c r="F28" s="66">
        <v>10350</v>
      </c>
      <c r="G28" s="67">
        <v>20</v>
      </c>
      <c r="H28" s="38">
        <f t="shared" si="1"/>
        <v>207000</v>
      </c>
    </row>
    <row r="29" spans="1:8" ht="15.75" thickBot="1" x14ac:dyDescent="0.3">
      <c r="A29" s="68">
        <v>13</v>
      </c>
      <c r="B29" s="69" t="s">
        <v>67</v>
      </c>
      <c r="C29" s="70"/>
      <c r="D29" s="45"/>
      <c r="E29" s="71" t="s">
        <v>45</v>
      </c>
      <c r="F29" s="66">
        <v>27100</v>
      </c>
      <c r="G29" s="67">
        <v>3</v>
      </c>
      <c r="H29" s="38">
        <f t="shared" si="1"/>
        <v>81300</v>
      </c>
    </row>
    <row r="30" spans="1:8" ht="15.75" thickBot="1" x14ac:dyDescent="0.3">
      <c r="A30" s="68">
        <v>14</v>
      </c>
      <c r="B30" s="69" t="s">
        <v>68</v>
      </c>
      <c r="C30" s="70"/>
      <c r="D30" s="45"/>
      <c r="E30" s="71" t="s">
        <v>45</v>
      </c>
      <c r="F30" s="66">
        <v>8100</v>
      </c>
      <c r="G30" s="67">
        <v>5</v>
      </c>
      <c r="H30" s="38">
        <f t="shared" si="1"/>
        <v>40500</v>
      </c>
    </row>
    <row r="31" spans="1:8" ht="15.75" thickBot="1" x14ac:dyDescent="0.3">
      <c r="A31" s="68">
        <v>15</v>
      </c>
      <c r="B31" s="69" t="s">
        <v>69</v>
      </c>
      <c r="C31" s="70"/>
      <c r="D31" s="45"/>
      <c r="E31" s="71" t="s">
        <v>45</v>
      </c>
      <c r="F31" s="66">
        <v>5300</v>
      </c>
      <c r="G31" s="67">
        <v>10</v>
      </c>
      <c r="H31" s="38">
        <f t="shared" si="1"/>
        <v>53000</v>
      </c>
    </row>
    <row r="32" spans="1:8" ht="15.75" thickBot="1" x14ac:dyDescent="0.3">
      <c r="A32" s="68">
        <v>16</v>
      </c>
      <c r="B32" s="69" t="s">
        <v>70</v>
      </c>
      <c r="C32" s="70"/>
      <c r="D32" s="45"/>
      <c r="E32" s="71" t="s">
        <v>45</v>
      </c>
      <c r="F32" s="66">
        <v>6950</v>
      </c>
      <c r="G32" s="67">
        <v>5</v>
      </c>
      <c r="H32" s="38">
        <f t="shared" si="1"/>
        <v>34750</v>
      </c>
    </row>
    <row r="33" spans="1:8" ht="15.75" thickBot="1" x14ac:dyDescent="0.3">
      <c r="B33" s="16"/>
      <c r="C33" s="4"/>
      <c r="D33" s="17"/>
      <c r="F33" s="65"/>
      <c r="G33" s="65"/>
    </row>
    <row r="34" spans="1:8" ht="19.5" customHeight="1" thickBot="1" x14ac:dyDescent="0.35">
      <c r="A34" s="62" t="s">
        <v>22</v>
      </c>
      <c r="B34" s="61" t="s">
        <v>71</v>
      </c>
      <c r="C34" s="12"/>
      <c r="D34" s="13"/>
      <c r="E34" s="64"/>
      <c r="F34" s="37" t="s">
        <v>43</v>
      </c>
      <c r="G34" s="6"/>
      <c r="H34" s="7"/>
    </row>
    <row r="35" spans="1:8" ht="19.5" customHeight="1" thickBot="1" x14ac:dyDescent="0.3">
      <c r="A35" s="39"/>
      <c r="B35" s="16" t="s">
        <v>72</v>
      </c>
      <c r="C35" s="4"/>
      <c r="D35" s="17"/>
      <c r="E35" s="52" t="s">
        <v>23</v>
      </c>
      <c r="F35" s="52"/>
      <c r="G35" s="45"/>
      <c r="H35" s="50">
        <f>SUM(H16:H32)</f>
        <v>20387010</v>
      </c>
    </row>
    <row r="36" spans="1:8" ht="19.5" customHeight="1" x14ac:dyDescent="0.25">
      <c r="A36" s="24" t="s">
        <v>24</v>
      </c>
      <c r="E36" s="53" t="s">
        <v>28</v>
      </c>
      <c r="F36" s="23"/>
      <c r="G36" s="54">
        <v>0.19</v>
      </c>
      <c r="H36" s="40">
        <f>H35*G36</f>
        <v>3873531.9</v>
      </c>
    </row>
    <row r="37" spans="1:8" ht="19.5" customHeight="1" x14ac:dyDescent="0.25">
      <c r="A37" s="14" t="s">
        <v>42</v>
      </c>
      <c r="E37" s="55" t="s">
        <v>25</v>
      </c>
      <c r="G37" s="58">
        <v>2.5000000000000001E-2</v>
      </c>
      <c r="H37" s="51">
        <f>H35*G37</f>
        <v>509675.25</v>
      </c>
    </row>
    <row r="38" spans="1:8" ht="15.75" x14ac:dyDescent="0.25">
      <c r="A38" s="14" t="s">
        <v>46</v>
      </c>
      <c r="E38" s="14"/>
      <c r="F38" s="33"/>
      <c r="G38" s="46"/>
      <c r="H38" s="15"/>
    </row>
    <row r="39" spans="1:8" ht="16.5" thickBot="1" x14ac:dyDescent="0.3">
      <c r="A39" s="14" t="s">
        <v>30</v>
      </c>
      <c r="E39" s="56" t="s">
        <v>26</v>
      </c>
      <c r="F39" s="57"/>
      <c r="G39" s="47"/>
      <c r="H39" s="17"/>
    </row>
    <row r="40" spans="1:8" ht="19.5" thickBot="1" x14ac:dyDescent="0.35">
      <c r="A40" s="60"/>
      <c r="B40" s="4"/>
      <c r="C40" s="4"/>
      <c r="D40" s="17"/>
      <c r="F40" s="3"/>
      <c r="G40" s="34" t="s">
        <v>27</v>
      </c>
      <c r="H40" s="36">
        <f>H35+H36-H37</f>
        <v>23750866.649999999</v>
      </c>
    </row>
    <row r="41" spans="1:8" ht="16.5" customHeight="1" x14ac:dyDescent="0.25"/>
    <row r="46" spans="1:8" ht="15.75" thickBot="1" x14ac:dyDescent="0.3"/>
    <row r="47" spans="1:8" ht="19.5" thickBot="1" x14ac:dyDescent="0.35">
      <c r="A47" s="25" t="s">
        <v>44</v>
      </c>
      <c r="B47" s="6"/>
      <c r="C47" s="6"/>
      <c r="D47" s="6"/>
      <c r="E47" s="6"/>
      <c r="F47" s="6"/>
      <c r="G47" s="6"/>
      <c r="H47" s="7"/>
    </row>
    <row r="55" spans="1:1" ht="18.75" x14ac:dyDescent="0.3">
      <c r="A55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2024-12-27T15:29:35Z</cp:lastPrinted>
  <dcterms:created xsi:type="dcterms:W3CDTF">2018-11-15T17:29:02Z</dcterms:created>
  <dcterms:modified xsi:type="dcterms:W3CDTF">2025-04-30T22:15:53Z</dcterms:modified>
</cp:coreProperties>
</file>