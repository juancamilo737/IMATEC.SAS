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5E66C4DF-8DAD-4E9D-AE07-E5A1CBC0C6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RCO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16" i="1"/>
  <c r="H19" i="1" s="1"/>
  <c r="H20" i="1" l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<sst xmlns="http://schemas.openxmlformats.org/spreadsheetml/2006/main" count="56" uniqueCount="56">
  <si>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</si>
  <si>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</si>
  <si>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</si>
  <si>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</si>
  <si>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</si>
  <si>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</si>
  <si>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</si>
  <si>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</si>
  <si>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</si>
  <si>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</si>
  <si>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</si>
  <si>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</si>
  <si>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</si>
  <si>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</si>
  <si>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</si>
  <si>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</si>
  <si>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</si>
  <si>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</si>
  <si>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</si>
  <si>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</si>
  <si>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</si>
  <si>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</si>
  <si>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</si>
  <si>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</si>
  <si>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</si>
  <si>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</si>
  <si>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</si>
  <si>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</si>
  <si>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</si>
  <si>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</si>
  <si>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</si>
  <si>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</si>
  <si>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</si>
  <si>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</si>
  <si>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</si>
  <si>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</si>
  <si>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</si>
  <si>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</si>
  <si>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</si>
  <si>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</si>
  <si>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</si>
  <si>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INSERCOT S.A.S.</t>
  </si>
  <si>
    <t>No.  1</t>
  </si>
  <si>
    <t>900 991165</t>
  </si>
  <si>
    <t>CALI</t>
  </si>
  <si>
    <t>CARRERA  11 D   No. 71 - 18</t>
  </si>
  <si>
    <t>mauricio.amayaing@gmail.com</t>
  </si>
  <si>
    <t>312 6531916</t>
  </si>
  <si>
    <t>LUIS A. BENAVIDES</t>
  </si>
  <si>
    <t>TUBERIA  A / C  SCH ESTANDAR 9,53 mm PARED</t>
  </si>
  <si>
    <t>24 "</t>
  </si>
  <si>
    <t>METRO LINEAL</t>
  </si>
  <si>
    <t xml:space="preserve">   RETEICA</t>
  </si>
  <si>
    <t>NOVENTA Y NUEVE MILLONES CIENTO CINCUENTA Y SIE</t>
  </si>
  <si>
    <t>TE MIL CUATROCIENTOS SESENTA Y CUATRO PESOS MCT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</si>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</sst>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uricio.amaya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6" zoomScaleNormal="100" workbookViewId="0">
      <selection activeCell="L20" sqref="L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8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44</v>
      </c>
      <c r="F9" s="30" t="s">
        <v>0</v>
      </c>
      <c r="H9" s="28">
        <v>45901</v>
      </c>
    </row>
    <row r="10" spans="1:8" ht="18.75" x14ac:dyDescent="0.3">
      <c r="A10" s="21" t="s">
        <v>13</v>
      </c>
      <c r="C10" s="69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45909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51</v>
      </c>
      <c r="F16" s="64">
        <v>1190000</v>
      </c>
      <c r="G16" s="60">
        <v>72</v>
      </c>
      <c r="H16" s="38">
        <f t="shared" ref="H16" si="0">G16*F16</f>
        <v>85680000</v>
      </c>
    </row>
    <row r="17" spans="1:8" ht="19.5" customHeight="1" thickBot="1" x14ac:dyDescent="0.3">
      <c r="A17" s="47"/>
      <c r="B17" s="66" t="s">
        <v>50</v>
      </c>
      <c r="D17" s="67"/>
      <c r="E17" s="47"/>
      <c r="F17" s="47"/>
      <c r="G17" s="47"/>
    </row>
    <row r="18" spans="1:8" ht="19.5" customHeight="1" thickBot="1" x14ac:dyDescent="0.35">
      <c r="A18" s="65" t="s">
        <v>23</v>
      </c>
      <c r="B18" s="68" t="s">
        <v>53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54</v>
      </c>
      <c r="C19" s="4"/>
      <c r="D19" s="17"/>
      <c r="E19" s="51" t="s">
        <v>24</v>
      </c>
      <c r="F19" s="52"/>
      <c r="G19" s="44"/>
      <c r="H19" s="49">
        <f>SUM(H16:H18)</f>
        <v>85680000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16279200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2142000</v>
      </c>
    </row>
    <row r="22" spans="1:8" ht="15.75" x14ac:dyDescent="0.25">
      <c r="A22" s="14" t="s">
        <v>55</v>
      </c>
      <c r="E22" s="53" t="s">
        <v>52</v>
      </c>
      <c r="F22" s="33"/>
      <c r="G22" s="70">
        <v>7.7000000000000002E-3</v>
      </c>
      <c r="H22" s="50">
        <f>H19*G22</f>
        <v>659736</v>
      </c>
    </row>
    <row r="23" spans="1:8" ht="16.5" thickBot="1" x14ac:dyDescent="0.3">
      <c r="A23" s="14" t="s">
        <v>33</v>
      </c>
      <c r="E23" s="56" t="s">
        <v>27</v>
      </c>
      <c r="F23" s="57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99157464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F4FC1FC-2C80-4403-98F9-1B3059E65FA5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INSERCOT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2025-09-01T14:46:33Z</dcterms:modified>
</cp:coreProperties>
</file>