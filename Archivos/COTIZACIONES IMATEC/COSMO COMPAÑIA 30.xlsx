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FF481EE-8333-4102-BF3C-E047E05B3D6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5" i="2"/>
  <c r="H16" i="2" l="1"/>
  <c r="H18" i="2"/>
  <c r="H22" i="2"/>
  <c r="H23" i="2"/>
  <c r="H20" i="2"/>
  <c r="H24" i="2"/>
  <c r="H21" i="2"/>
  <c r="H19" i="2"/>
  <c r="H17" i="2" l="1"/>
  <c r="H30" i="2" l="1"/>
  <c r="H29" i="2"/>
  <c r="H33" i="2" s="1"/>
</calcChain>
</file>

<file path=xl/sharedStrings.xml><?xml version="1.0" encoding="utf-8"?>
<sst xmlns="http://schemas.openxmlformats.org/spreadsheetml/2006/main" count="72" uniqueCount="64">
  <si>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</si>
  <si>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</si>
  <si>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</si>
  <si>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</si>
  <si>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</si>
  <si>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</si>
  <si>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</si>
  <si>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</si>
  <si>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</si>
  <si>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</si>
  <si>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</si>
  <si>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</si>
  <si>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</si>
  <si>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</si>
  <si>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</si>
  <si>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</si>
  <si>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</si>
  <si>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</si>
  <si>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</si>
  <si>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</si>
  <si>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</si>
  <si>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</si>
  <si>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</si>
  <si>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</si>
  <si>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</si>
  <si>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</si>
  <si>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</si>
  <si>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</si>
  <si>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</si>
  <si>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</si>
  <si>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</si>
  <si>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</si>
  <si>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</si>
  <si>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</si>
  <si>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</si>
  <si>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</si>
  <si>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</si>
  <si>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</si>
  <si>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</si>
  <si>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</si>
  <si>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</si>
  <si>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</si>
  <si>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</si>
  <si>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</si>
  <si>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</si>
  <si>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</si>
  <si>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</si>
  <si>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</si>
  <si>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>No.  30</t>
  </si>
  <si>
    <t>TAPON CAP  AC/INOX  SCH 10  14 "</t>
  </si>
  <si>
    <t>TUBERIA  AC/INOX  304  SCH 40  8 "</t>
  </si>
  <si>
    <t>METRO LINEAL</t>
  </si>
  <si>
    <t>CODO  A / C  SCH 40  8 "  X  90 º  SOLDAR</t>
  </si>
  <si>
    <t>EMPAQUE FLEXITALICO  8 "  X  150 LBS</t>
  </si>
  <si>
    <t>L I Q U I D A C I O N</t>
  </si>
  <si>
    <t>BRIDA  A / C SLIP ON  8 "  X  150  LBS</t>
  </si>
  <si>
    <t>TUBERIA  A / C  SCH 40  8 "</t>
  </si>
  <si>
    <t>SEMICODO  A / C  SCH 40  8 "</t>
  </si>
  <si>
    <t>BRIDA  AC/INOX 304  8 "  X  150  LBS</t>
  </si>
  <si>
    <t>TUBERIA  A C/INOX  304  SCH 10  14 "</t>
  </si>
  <si>
    <t>TORNILLO A325  3/4" X 4" CON TUERCA Y 2 ARANDEL</t>
  </si>
  <si>
    <t>DIECISEIS MILLONES SEISCIENTOS CINCO MIL SETECIEN</t>
  </si>
  <si>
    <t>TOS CINCUENTA Y SEIS PESOS MDA / CTE</t>
  </si>
  <si>
    <t xml:space="preserve"> 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</si>
</sst>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1" fillId="0" borderId="27" xfId="1" applyFont="1" applyBorder="1" applyAlignment="1">
      <alignment horizontal="left"/>
    </xf>
    <xf numFmtId="0" fontId="0" fillId="0" borderId="3" xfId="0" applyFill="1" applyBorder="1"/>
    <xf numFmtId="42" fontId="11" fillId="0" borderId="28" xfId="1" applyFont="1" applyBorder="1" applyAlignment="1">
      <alignment horizontal="center"/>
    </xf>
    <xf numFmtId="42" fontId="11" fillId="0" borderId="29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42" fontId="11" fillId="0" borderId="30" xfId="1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8"/>
  <sheetViews>
    <sheetView tabSelected="1" topLeftCell="A10" zoomScale="106" zoomScaleNormal="106" workbookViewId="0">
      <selection activeCell="D12" sqref="D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63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63" t="s">
        <v>48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9" t="s">
        <v>40</v>
      </c>
      <c r="F9" s="30" t="s">
        <v>0</v>
      </c>
      <c r="H9" s="28">
        <v>45639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45648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7">
        <v>1</v>
      </c>
      <c r="B16" s="66" t="s">
        <v>59</v>
      </c>
      <c r="C16" s="6"/>
      <c r="D16" s="7"/>
      <c r="E16" s="32" t="s">
        <v>51</v>
      </c>
      <c r="F16" s="72">
        <v>1586000</v>
      </c>
      <c r="G16" s="68">
        <v>2</v>
      </c>
      <c r="H16" s="38">
        <f>G16*F16</f>
        <v>3172000</v>
      </c>
    </row>
    <row r="17" spans="1:8" ht="15.75" thickBot="1" x14ac:dyDescent="0.3">
      <c r="A17" s="67">
        <v>2</v>
      </c>
      <c r="B17" s="61" t="s">
        <v>49</v>
      </c>
      <c r="C17" s="6"/>
      <c r="D17" s="7"/>
      <c r="E17" s="32" t="s">
        <v>44</v>
      </c>
      <c r="F17" s="72">
        <v>2100000</v>
      </c>
      <c r="G17" s="68">
        <v>2</v>
      </c>
      <c r="H17" s="38">
        <f t="shared" ref="H17" si="0">G17*F17</f>
        <v>4200000</v>
      </c>
    </row>
    <row r="18" spans="1:8" ht="15.75" thickBot="1" x14ac:dyDescent="0.3">
      <c r="A18" s="67">
        <v>3</v>
      </c>
      <c r="B18" s="61" t="s">
        <v>58</v>
      </c>
      <c r="C18" s="6"/>
      <c r="D18" s="7"/>
      <c r="E18" s="32" t="s">
        <v>44</v>
      </c>
      <c r="F18" s="72">
        <v>358800</v>
      </c>
      <c r="G18" s="68">
        <v>3</v>
      </c>
      <c r="H18" s="38">
        <f>G18*F18</f>
        <v>1076400</v>
      </c>
    </row>
    <row r="19" spans="1:8" ht="15.75" thickBot="1" x14ac:dyDescent="0.3">
      <c r="A19" s="64">
        <v>4</v>
      </c>
      <c r="B19" s="61" t="s">
        <v>50</v>
      </c>
      <c r="C19" s="12"/>
      <c r="D19" s="13"/>
      <c r="E19" s="49" t="s">
        <v>51</v>
      </c>
      <c r="F19" s="73">
        <v>1200000</v>
      </c>
      <c r="G19" s="65">
        <v>2</v>
      </c>
      <c r="H19" s="38">
        <f>G19*F19</f>
        <v>2400000</v>
      </c>
    </row>
    <row r="20" spans="1:8" ht="15.75" thickBot="1" x14ac:dyDescent="0.3">
      <c r="A20" s="67">
        <v>5</v>
      </c>
      <c r="B20" s="61" t="s">
        <v>55</v>
      </c>
      <c r="C20" s="6"/>
      <c r="D20" s="7"/>
      <c r="E20" s="32" t="s">
        <v>44</v>
      </c>
      <c r="F20" s="72">
        <v>138000</v>
      </c>
      <c r="G20" s="68">
        <v>6</v>
      </c>
      <c r="H20" s="38">
        <f>G20*F20</f>
        <v>828000</v>
      </c>
    </row>
    <row r="21" spans="1:8" ht="15.75" thickBot="1" x14ac:dyDescent="0.3">
      <c r="A21" s="64">
        <v>6</v>
      </c>
      <c r="B21" s="61" t="s">
        <v>52</v>
      </c>
      <c r="C21" s="6"/>
      <c r="D21" s="7"/>
      <c r="E21" s="49" t="s">
        <v>44</v>
      </c>
      <c r="F21" s="73">
        <v>172900</v>
      </c>
      <c r="G21" s="65">
        <v>2</v>
      </c>
      <c r="H21" s="38">
        <f>G21*F21</f>
        <v>345800</v>
      </c>
    </row>
    <row r="22" spans="1:8" ht="15.75" thickBot="1" x14ac:dyDescent="0.3">
      <c r="A22" s="67">
        <v>7</v>
      </c>
      <c r="B22" s="61" t="s">
        <v>57</v>
      </c>
      <c r="C22" s="6"/>
      <c r="D22" s="7"/>
      <c r="E22" s="32" t="s">
        <v>44</v>
      </c>
      <c r="F22" s="72">
        <v>97500</v>
      </c>
      <c r="G22" s="68">
        <v>2</v>
      </c>
      <c r="H22" s="38">
        <f>G22*F22</f>
        <v>195000</v>
      </c>
    </row>
    <row r="23" spans="1:8" ht="15.75" thickBot="1" x14ac:dyDescent="0.3">
      <c r="A23" s="67">
        <v>8</v>
      </c>
      <c r="B23" s="61" t="s">
        <v>56</v>
      </c>
      <c r="C23" s="6"/>
      <c r="D23" s="7"/>
      <c r="E23" s="32" t="s">
        <v>51</v>
      </c>
      <c r="F23" s="72">
        <v>273100</v>
      </c>
      <c r="G23" s="68">
        <v>6</v>
      </c>
      <c r="H23" s="38">
        <f t="shared" ref="H23" si="1">G23*F23</f>
        <v>1638600</v>
      </c>
    </row>
    <row r="24" spans="1:8" ht="15.75" thickBot="1" x14ac:dyDescent="0.3">
      <c r="A24" s="69">
        <v>9</v>
      </c>
      <c r="B24" s="66" t="s">
        <v>53</v>
      </c>
      <c r="C24" s="4"/>
      <c r="D24" s="17"/>
      <c r="E24" s="32" t="s">
        <v>44</v>
      </c>
      <c r="F24" s="72">
        <v>19900</v>
      </c>
      <c r="G24" s="68">
        <v>6</v>
      </c>
      <c r="H24" s="70">
        <f>G24*F24</f>
        <v>119400</v>
      </c>
    </row>
    <row r="25" spans="1:8" ht="15.75" thickBot="1" x14ac:dyDescent="0.3">
      <c r="A25" s="69">
        <v>10</v>
      </c>
      <c r="B25" s="71" t="s">
        <v>60</v>
      </c>
      <c r="C25" s="6"/>
      <c r="D25" s="7"/>
      <c r="E25" s="32" t="s">
        <v>44</v>
      </c>
      <c r="F25" s="75">
        <v>5359</v>
      </c>
      <c r="G25" s="76">
        <v>52</v>
      </c>
      <c r="H25" s="74">
        <f>G25*F25</f>
        <v>278668</v>
      </c>
    </row>
    <row r="26" spans="1:8" ht="15.75" thickBot="1" x14ac:dyDescent="0.3"/>
    <row r="27" spans="1:8" ht="19.5" customHeight="1" thickBot="1" x14ac:dyDescent="0.35">
      <c r="A27" s="62" t="s">
        <v>23</v>
      </c>
      <c r="B27" s="61" t="s">
        <v>61</v>
      </c>
      <c r="C27" s="12"/>
      <c r="D27" s="13"/>
      <c r="E27" s="66"/>
      <c r="F27" s="37" t="s">
        <v>54</v>
      </c>
      <c r="G27" s="6"/>
      <c r="H27" s="7"/>
    </row>
    <row r="28" spans="1:8" ht="19.5" customHeight="1" thickBot="1" x14ac:dyDescent="0.3">
      <c r="A28" s="39"/>
      <c r="B28" s="16" t="s">
        <v>62</v>
      </c>
      <c r="C28" s="4"/>
      <c r="D28" s="17"/>
      <c r="E28" s="52" t="s">
        <v>24</v>
      </c>
      <c r="F28" s="52"/>
      <c r="G28" s="45"/>
      <c r="H28" s="50">
        <f>SUM(H16:H25)</f>
        <v>14253868</v>
      </c>
    </row>
    <row r="29" spans="1:8" ht="19.5" customHeight="1" x14ac:dyDescent="0.25">
      <c r="A29" s="24" t="s">
        <v>25</v>
      </c>
      <c r="E29" s="53" t="s">
        <v>29</v>
      </c>
      <c r="F29" s="23"/>
      <c r="G29" s="54">
        <v>0.19</v>
      </c>
      <c r="H29" s="40">
        <f>H28*G29</f>
        <v>2708234.92</v>
      </c>
    </row>
    <row r="30" spans="1:8" ht="19.5" customHeight="1" x14ac:dyDescent="0.25">
      <c r="A30" s="14" t="s">
        <v>47</v>
      </c>
      <c r="E30" s="55" t="s">
        <v>26</v>
      </c>
      <c r="G30" s="58">
        <v>2.5000000000000001E-2</v>
      </c>
      <c r="H30" s="51">
        <f>H28*G30</f>
        <v>356346.7</v>
      </c>
    </row>
    <row r="31" spans="1:8" ht="15.75" x14ac:dyDescent="0.25">
      <c r="A31" s="14" t="s">
        <v>45</v>
      </c>
      <c r="E31" s="14"/>
      <c r="F31" s="33"/>
      <c r="G31" s="46"/>
      <c r="H31" s="15"/>
    </row>
    <row r="32" spans="1:8" ht="16.5" thickBot="1" x14ac:dyDescent="0.3">
      <c r="A32" s="14" t="s">
        <v>32</v>
      </c>
      <c r="E32" s="56" t="s">
        <v>27</v>
      </c>
      <c r="F32" s="57"/>
      <c r="G32" s="47"/>
      <c r="H32" s="17"/>
    </row>
    <row r="33" spans="1:8" ht="19.5" thickBot="1" x14ac:dyDescent="0.35">
      <c r="A33" s="60"/>
      <c r="B33" s="4"/>
      <c r="C33" s="4"/>
      <c r="D33" s="17"/>
      <c r="F33" s="3"/>
      <c r="G33" s="34" t="s">
        <v>28</v>
      </c>
      <c r="H33" s="36">
        <f>H28+H29-H30</f>
        <v>16605756.220000003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46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2024-12-17T15:38:30Z</cp:lastPrinted>
  <dcterms:created xsi:type="dcterms:W3CDTF">2018-11-15T17:29:02Z</dcterms:created>
  <dcterms:modified xsi:type="dcterms:W3CDTF">2024-12-17T15:42:22Z</dcterms:modified>
</cp:coreProperties>
</file>