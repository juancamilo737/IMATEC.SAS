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1CD98B8-CDB4-4425-8188-3B361B4855F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PI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1" l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38" i="1" s="1"/>
  <c r="H20" i="1"/>
  <c r="H19" i="1"/>
  <c r="H18" i="1"/>
  <c r="H17" i="1"/>
  <c r="H16" i="1"/>
  <c r="H40" i="1"/>
  <c r="H39" i="1" l="1"/>
  <c r="H43" i="1" s="1"/>
</calcChain>
</file>

<file path=xl/sharedStrings.xml><?xml version="1.0" encoding="utf-8"?>
<sst xmlns="http://schemas.openxmlformats.org/spreadsheetml/2006/main" count="99" uniqueCount="76">
  <si>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</si>
  <si>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</si>
  <si>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</si>
  <si>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</si>
  <si>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</si>
  <si>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</si>
  <si>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</si>
  <si>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</si>
  <si>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</si>
  <si>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</si>
  <si>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</si>
  <si>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</si>
  <si>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</si>
  <si>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</si>
  <si>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</si>
  <si>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</si>
  <si>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</si>
  <si>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</si>
  <si>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</si>
  <si>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</si>
  <si>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</si>
  <si>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</si>
  <si>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</si>
  <si>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</si>
  <si>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</si>
  <si>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</si>
  <si>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</si>
  <si>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</si>
  <si>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</si>
  <si>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</si>
  <si>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</si>
  <si>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</si>
  <si>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</si>
  <si>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</si>
  <si>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</si>
  <si>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</si>
  <si>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SUMINISTROS PARA INGENIERIA Y MANTENIMIENTO S.A.S.</t>
  </si>
  <si>
    <t>805 011872</t>
  </si>
  <si>
    <t>CRA 17 F  No.  T30 - 41</t>
  </si>
  <si>
    <t>CALI</t>
  </si>
  <si>
    <t>financiero@spimsas.com</t>
  </si>
  <si>
    <t>602 4480634</t>
  </si>
  <si>
    <t>LUIS A. BENAVIDES</t>
  </si>
  <si>
    <t>SPIM S.A.S.</t>
  </si>
  <si>
    <t xml:space="preserve">  CALLE  33A  No. 17F - 56                              B/  LA FLORESTA             -   CALI    -                                   CEL.     321 7834969</t>
  </si>
  <si>
    <t>FORMA DE PAGO : CREDITO A TREINTA DIAS</t>
  </si>
  <si>
    <t>L I Q U I D A C I O N</t>
  </si>
  <si>
    <t>No. 11</t>
  </si>
  <si>
    <t>ACCESORIO</t>
  </si>
  <si>
    <t>VALVULA DE BOLA AC/INOX 316  4 TORNILLOS 3 "</t>
  </si>
  <si>
    <t>VALVULA GLOBO  A / C  1 1/2 "  X  800 LBS</t>
  </si>
  <si>
    <t>VALVULA GLOBO  A / C  1  "  X  800 LBS</t>
  </si>
  <si>
    <t>REDUCCION COPA  A / C  SCH 40  3 "  X  2 "</t>
  </si>
  <si>
    <t>BRIDA  A/ C  SLIP ON  3 "  X  150 LBS</t>
  </si>
  <si>
    <t>BRIDA  A/ C  SLIP ON  2 "  X  150 LBS</t>
  </si>
  <si>
    <t>BRIDA  A/ C  SLIP ON  1 1/2  "  X  150 LBS</t>
  </si>
  <si>
    <t>BRIDA  A/ C  SLIP ON  1 "  X  150 LBS</t>
  </si>
  <si>
    <t>TEE  A / C  SCH 40 3 "</t>
  </si>
  <si>
    <t>TEE  A / C  SCH 40  2 "</t>
  </si>
  <si>
    <t>TEE  A / C  SCH 40  1 1/2 "</t>
  </si>
  <si>
    <t>TEE  A / C  SCH 40  1 "</t>
  </si>
  <si>
    <t>CODO  A / C  SCH 40  X  90 º</t>
  </si>
  <si>
    <t>3 "</t>
  </si>
  <si>
    <t>2 "</t>
  </si>
  <si>
    <t>1 "</t>
  </si>
  <si>
    <t>NIPLE  A / C  SCH 40   1 "  X  8 "</t>
  </si>
  <si>
    <t>FABRICACION</t>
  </si>
  <si>
    <t>NIPLE  A / C  SCH 40   1 1/2  "  X  8 "</t>
  </si>
  <si>
    <t>TUBERIA  A / C SCH 40</t>
  </si>
  <si>
    <t xml:space="preserve">1 1/2 " </t>
  </si>
  <si>
    <t>TUBO X 6 MTS</t>
  </si>
  <si>
    <t>ENTREGA EN TRES DIAS A PARTIR DE ORDEN DE COMPRA</t>
  </si>
  <si>
    <t xml:space="preserve">              R E M I S I O N</t>
  </si>
  <si>
    <t>30 DIAS</t>
  </si>
  <si>
    <t>SEIS MILLONES NOVECIENTOS SESENTA MIL SESENTA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</si>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</sst>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spim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8"/>
  <sheetViews>
    <sheetView tabSelected="1" topLeftCell="A7" zoomScaleNormal="100" workbookViewId="0">
      <selection activeCell="B39" sqref="B3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72</v>
      </c>
      <c r="G6" s="42"/>
      <c r="H6" s="43"/>
    </row>
    <row r="7" spans="1:8" ht="19.5" thickBot="1" x14ac:dyDescent="0.35">
      <c r="A7" s="20" t="s">
        <v>14</v>
      </c>
      <c r="B7" s="12"/>
      <c r="C7" s="59" t="s">
        <v>36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1" t="s">
        <v>37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38</v>
      </c>
      <c r="D9" s="23"/>
      <c r="E9" s="64" t="s">
        <v>39</v>
      </c>
      <c r="F9" s="30" t="s">
        <v>0</v>
      </c>
      <c r="H9" s="28">
        <v>45815</v>
      </c>
    </row>
    <row r="10" spans="1:8" ht="18.75" x14ac:dyDescent="0.3">
      <c r="A10" s="21" t="s">
        <v>13</v>
      </c>
      <c r="C10" s="65" t="s">
        <v>40</v>
      </c>
      <c r="D10" s="60"/>
      <c r="E10" s="45"/>
      <c r="F10" s="30" t="s">
        <v>15</v>
      </c>
      <c r="H10" s="29" t="s">
        <v>73</v>
      </c>
    </row>
    <row r="11" spans="1:8" ht="18.75" x14ac:dyDescent="0.3">
      <c r="A11" s="21" t="s">
        <v>10</v>
      </c>
      <c r="C11" s="66" t="s">
        <v>43</v>
      </c>
      <c r="D11" s="60"/>
      <c r="E11" s="45"/>
      <c r="F11" s="30" t="s">
        <v>16</v>
      </c>
      <c r="G11" s="30"/>
      <c r="H11" s="28">
        <v>45844</v>
      </c>
    </row>
    <row r="12" spans="1:8" ht="18.75" x14ac:dyDescent="0.3">
      <c r="A12" s="21" t="s">
        <v>11</v>
      </c>
      <c r="C12" s="66" t="s">
        <v>41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42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49</v>
      </c>
      <c r="C16" s="71"/>
      <c r="D16" s="72"/>
      <c r="E16" s="69" t="s">
        <v>48</v>
      </c>
      <c r="F16" s="73">
        <v>650000</v>
      </c>
      <c r="G16" s="69">
        <v>4</v>
      </c>
      <c r="H16" s="38">
        <f t="shared" ref="H16:H18" si="0">G16*F16</f>
        <v>2600000</v>
      </c>
    </row>
    <row r="17" spans="1:8" ht="16.5" thickBot="1" x14ac:dyDescent="0.3">
      <c r="A17" s="69">
        <v>2</v>
      </c>
      <c r="B17" s="70" t="s">
        <v>50</v>
      </c>
      <c r="C17" s="71"/>
      <c r="D17" s="72"/>
      <c r="E17" s="69" t="s">
        <v>48</v>
      </c>
      <c r="F17" s="73">
        <v>360000</v>
      </c>
      <c r="G17" s="69">
        <v>1</v>
      </c>
      <c r="H17" s="38">
        <f t="shared" si="0"/>
        <v>360000</v>
      </c>
    </row>
    <row r="18" spans="1:8" ht="16.5" thickBot="1" x14ac:dyDescent="0.3">
      <c r="A18" s="69">
        <v>3</v>
      </c>
      <c r="B18" s="70" t="s">
        <v>51</v>
      </c>
      <c r="C18" s="71"/>
      <c r="D18" s="72"/>
      <c r="E18" s="69" t="s">
        <v>48</v>
      </c>
      <c r="F18" s="73">
        <v>225000</v>
      </c>
      <c r="G18" s="69">
        <v>2</v>
      </c>
      <c r="H18" s="38">
        <f t="shared" si="0"/>
        <v>450000</v>
      </c>
    </row>
    <row r="19" spans="1:8" ht="16.5" thickBot="1" x14ac:dyDescent="0.3">
      <c r="A19" s="69">
        <v>4</v>
      </c>
      <c r="B19" s="70" t="s">
        <v>52</v>
      </c>
      <c r="C19" s="71"/>
      <c r="D19" s="72"/>
      <c r="E19" s="69" t="s">
        <v>48</v>
      </c>
      <c r="F19" s="73">
        <v>14000</v>
      </c>
      <c r="G19" s="69">
        <v>6</v>
      </c>
      <c r="H19" s="38">
        <f t="shared" ref="H19:H35" si="1">G19*F19</f>
        <v>84000</v>
      </c>
    </row>
    <row r="20" spans="1:8" ht="16.5" thickBot="1" x14ac:dyDescent="0.3">
      <c r="A20" s="69">
        <v>5</v>
      </c>
      <c r="B20" s="70" t="s">
        <v>53</v>
      </c>
      <c r="C20" s="71"/>
      <c r="D20" s="72"/>
      <c r="E20" s="69" t="s">
        <v>48</v>
      </c>
      <c r="F20" s="73">
        <v>36000</v>
      </c>
      <c r="G20" s="69">
        <v>12</v>
      </c>
      <c r="H20" s="38">
        <f t="shared" si="1"/>
        <v>432000</v>
      </c>
    </row>
    <row r="21" spans="1:8" ht="16.5" thickBot="1" x14ac:dyDescent="0.3">
      <c r="A21" s="69">
        <v>6</v>
      </c>
      <c r="B21" s="70" t="s">
        <v>54</v>
      </c>
      <c r="C21" s="71"/>
      <c r="D21" s="72"/>
      <c r="E21" s="69" t="s">
        <v>48</v>
      </c>
      <c r="F21" s="73">
        <v>27000</v>
      </c>
      <c r="G21" s="69">
        <v>13</v>
      </c>
      <c r="H21" s="38">
        <f t="shared" si="1"/>
        <v>351000</v>
      </c>
    </row>
    <row r="22" spans="1:8" ht="16.5" thickBot="1" x14ac:dyDescent="0.3">
      <c r="A22" s="69">
        <v>7</v>
      </c>
      <c r="B22" s="70" t="s">
        <v>55</v>
      </c>
      <c r="C22" s="71"/>
      <c r="D22" s="72"/>
      <c r="E22" s="69" t="s">
        <v>48</v>
      </c>
      <c r="F22" s="73">
        <v>16000</v>
      </c>
      <c r="G22" s="69">
        <v>9</v>
      </c>
      <c r="H22" s="38">
        <f t="shared" si="1"/>
        <v>144000</v>
      </c>
    </row>
    <row r="23" spans="1:8" ht="16.5" thickBot="1" x14ac:dyDescent="0.3">
      <c r="A23" s="69">
        <v>8</v>
      </c>
      <c r="B23" s="70" t="s">
        <v>56</v>
      </c>
      <c r="C23" s="71"/>
      <c r="D23" s="72"/>
      <c r="E23" s="69" t="s">
        <v>48</v>
      </c>
      <c r="F23" s="73">
        <v>13000</v>
      </c>
      <c r="G23" s="69">
        <v>6</v>
      </c>
      <c r="H23" s="38">
        <f t="shared" si="1"/>
        <v>78000</v>
      </c>
    </row>
    <row r="24" spans="1:8" ht="16.5" thickBot="1" x14ac:dyDescent="0.3">
      <c r="A24" s="69">
        <v>9</v>
      </c>
      <c r="B24" s="70" t="s">
        <v>57</v>
      </c>
      <c r="C24" s="71"/>
      <c r="D24" s="72"/>
      <c r="E24" s="69" t="s">
        <v>48</v>
      </c>
      <c r="F24" s="73">
        <v>42000</v>
      </c>
      <c r="G24" s="69">
        <v>2</v>
      </c>
      <c r="H24" s="38">
        <f t="shared" si="1"/>
        <v>84000</v>
      </c>
    </row>
    <row r="25" spans="1:8" ht="16.5" thickBot="1" x14ac:dyDescent="0.3">
      <c r="A25" s="69">
        <v>10</v>
      </c>
      <c r="B25" s="70" t="s">
        <v>58</v>
      </c>
      <c r="C25" s="71"/>
      <c r="D25" s="72"/>
      <c r="E25" s="69" t="s">
        <v>48</v>
      </c>
      <c r="F25" s="73">
        <v>16000</v>
      </c>
      <c r="G25" s="69">
        <v>1</v>
      </c>
      <c r="H25" s="38">
        <f t="shared" si="1"/>
        <v>16000</v>
      </c>
    </row>
    <row r="26" spans="1:8" ht="16.5" thickBot="1" x14ac:dyDescent="0.3">
      <c r="A26" s="69">
        <v>11</v>
      </c>
      <c r="B26" s="70" t="s">
        <v>59</v>
      </c>
      <c r="C26" s="71"/>
      <c r="D26" s="72"/>
      <c r="E26" s="69" t="s">
        <v>48</v>
      </c>
      <c r="F26" s="73">
        <v>15000</v>
      </c>
      <c r="G26" s="69">
        <v>1</v>
      </c>
      <c r="H26" s="38">
        <f t="shared" si="1"/>
        <v>15000</v>
      </c>
    </row>
    <row r="27" spans="1:8" ht="16.5" thickBot="1" x14ac:dyDescent="0.3">
      <c r="A27" s="69">
        <v>12</v>
      </c>
      <c r="B27" s="70" t="s">
        <v>60</v>
      </c>
      <c r="C27" s="71"/>
      <c r="D27" s="72"/>
      <c r="E27" s="69" t="s">
        <v>48</v>
      </c>
      <c r="F27" s="73">
        <v>8000</v>
      </c>
      <c r="G27" s="69">
        <v>1</v>
      </c>
      <c r="H27" s="38">
        <f t="shared" si="1"/>
        <v>8000</v>
      </c>
    </row>
    <row r="28" spans="1:8" ht="16.5" thickBot="1" x14ac:dyDescent="0.3">
      <c r="A28" s="69">
        <v>13</v>
      </c>
      <c r="B28" s="70" t="s">
        <v>61</v>
      </c>
      <c r="C28" s="71"/>
      <c r="D28" s="72" t="s">
        <v>62</v>
      </c>
      <c r="E28" s="69" t="s">
        <v>48</v>
      </c>
      <c r="F28" s="73">
        <v>17500</v>
      </c>
      <c r="G28" s="69">
        <v>5</v>
      </c>
      <c r="H28" s="38">
        <f t="shared" si="1"/>
        <v>87500</v>
      </c>
    </row>
    <row r="29" spans="1:8" ht="16.5" thickBot="1" x14ac:dyDescent="0.3">
      <c r="A29" s="69">
        <v>14</v>
      </c>
      <c r="B29" s="70" t="s">
        <v>61</v>
      </c>
      <c r="C29" s="71"/>
      <c r="D29" s="72" t="s">
        <v>63</v>
      </c>
      <c r="E29" s="69" t="s">
        <v>48</v>
      </c>
      <c r="F29" s="73">
        <v>7000</v>
      </c>
      <c r="G29" s="69">
        <v>3</v>
      </c>
      <c r="H29" s="38">
        <f t="shared" si="1"/>
        <v>21000</v>
      </c>
    </row>
    <row r="30" spans="1:8" ht="16.5" thickBot="1" x14ac:dyDescent="0.3">
      <c r="A30" s="69">
        <v>15</v>
      </c>
      <c r="B30" s="70" t="s">
        <v>61</v>
      </c>
      <c r="C30" s="71"/>
      <c r="D30" s="72" t="s">
        <v>64</v>
      </c>
      <c r="E30" s="69" t="s">
        <v>48</v>
      </c>
      <c r="F30" s="73">
        <v>2300</v>
      </c>
      <c r="G30" s="69">
        <v>6</v>
      </c>
      <c r="H30" s="38">
        <f t="shared" si="1"/>
        <v>13800</v>
      </c>
    </row>
    <row r="31" spans="1:8" ht="16.5" thickBot="1" x14ac:dyDescent="0.3">
      <c r="A31" s="69">
        <v>16</v>
      </c>
      <c r="B31" s="70" t="s">
        <v>65</v>
      </c>
      <c r="C31" s="71"/>
      <c r="D31" s="72"/>
      <c r="E31" s="69" t="s">
        <v>66</v>
      </c>
      <c r="F31" s="73">
        <v>9500</v>
      </c>
      <c r="G31" s="69">
        <v>4</v>
      </c>
      <c r="H31" s="38">
        <f t="shared" si="1"/>
        <v>38000</v>
      </c>
    </row>
    <row r="32" spans="1:8" ht="16.5" thickBot="1" x14ac:dyDescent="0.3">
      <c r="A32" s="69">
        <v>17</v>
      </c>
      <c r="B32" s="70" t="s">
        <v>67</v>
      </c>
      <c r="C32" s="71"/>
      <c r="D32" s="72"/>
      <c r="E32" s="69" t="s">
        <v>66</v>
      </c>
      <c r="F32" s="73">
        <v>17000</v>
      </c>
      <c r="G32" s="69">
        <v>2</v>
      </c>
      <c r="H32" s="38">
        <f t="shared" si="1"/>
        <v>34000</v>
      </c>
    </row>
    <row r="33" spans="1:8" ht="16.5" thickBot="1" x14ac:dyDescent="0.3">
      <c r="A33" s="69">
        <v>18</v>
      </c>
      <c r="B33" s="70" t="s">
        <v>68</v>
      </c>
      <c r="C33" s="71"/>
      <c r="D33" s="72" t="s">
        <v>62</v>
      </c>
      <c r="E33" s="69" t="s">
        <v>70</v>
      </c>
      <c r="F33" s="73">
        <v>402000</v>
      </c>
      <c r="G33" s="69">
        <v>2</v>
      </c>
      <c r="H33" s="38">
        <f t="shared" si="1"/>
        <v>804000</v>
      </c>
    </row>
    <row r="34" spans="1:8" ht="16.5" thickBot="1" x14ac:dyDescent="0.3">
      <c r="A34" s="69">
        <v>19</v>
      </c>
      <c r="B34" s="70" t="s">
        <v>68</v>
      </c>
      <c r="C34" s="71"/>
      <c r="D34" s="72" t="s">
        <v>69</v>
      </c>
      <c r="E34" s="69" t="s">
        <v>70</v>
      </c>
      <c r="F34" s="73">
        <v>156000</v>
      </c>
      <c r="G34" s="69">
        <v>1</v>
      </c>
      <c r="H34" s="38">
        <f t="shared" si="1"/>
        <v>156000</v>
      </c>
    </row>
    <row r="35" spans="1:8" ht="16.5" thickBot="1" x14ac:dyDescent="0.3">
      <c r="A35" s="69">
        <v>20</v>
      </c>
      <c r="B35" s="70" t="s">
        <v>68</v>
      </c>
      <c r="C35" s="71"/>
      <c r="D35" s="72" t="s">
        <v>64</v>
      </c>
      <c r="E35" s="69" t="s">
        <v>70</v>
      </c>
      <c r="F35" s="73">
        <v>99000</v>
      </c>
      <c r="G35" s="69">
        <v>2</v>
      </c>
      <c r="H35" s="38">
        <f t="shared" si="1"/>
        <v>198000</v>
      </c>
    </row>
    <row r="36" spans="1:8" ht="19.5" customHeight="1" thickBot="1" x14ac:dyDescent="0.3">
      <c r="A36" s="47"/>
      <c r="B36" s="76"/>
      <c r="D36" s="77"/>
      <c r="E36" s="47"/>
      <c r="F36" s="47"/>
      <c r="G36" s="47"/>
    </row>
    <row r="37" spans="1:8" ht="19.5" customHeight="1" thickBot="1" x14ac:dyDescent="0.35">
      <c r="A37" s="75" t="s">
        <v>23</v>
      </c>
      <c r="B37" s="78" t="s">
        <v>74</v>
      </c>
      <c r="C37" s="12"/>
      <c r="D37" s="13"/>
      <c r="E37" s="48"/>
      <c r="F37" s="37" t="s">
        <v>46</v>
      </c>
      <c r="G37" s="6"/>
      <c r="H37" s="7"/>
    </row>
    <row r="38" spans="1:8" ht="19.5" customHeight="1" thickBot="1" x14ac:dyDescent="0.3">
      <c r="A38" s="39"/>
      <c r="B38" s="16" t="s">
        <v>75</v>
      </c>
      <c r="C38" s="4"/>
      <c r="D38" s="17"/>
      <c r="E38" s="51" t="s">
        <v>24</v>
      </c>
      <c r="F38" s="52"/>
      <c r="G38" s="44"/>
      <c r="H38" s="49">
        <f>SUM(H16:H35)</f>
        <v>5974300</v>
      </c>
    </row>
    <row r="39" spans="1:8" ht="19.5" customHeight="1" x14ac:dyDescent="0.25">
      <c r="A39" s="24" t="s">
        <v>25</v>
      </c>
      <c r="B39" s="12"/>
      <c r="C39" s="12"/>
      <c r="D39" s="12"/>
      <c r="E39" s="53" t="s">
        <v>29</v>
      </c>
      <c r="F39" s="23"/>
      <c r="G39" s="54">
        <v>0.19</v>
      </c>
      <c r="H39" s="40">
        <f>H38*G39</f>
        <v>1135117</v>
      </c>
    </row>
    <row r="40" spans="1:8" ht="19.5" customHeight="1" x14ac:dyDescent="0.25">
      <c r="A40" s="14" t="s">
        <v>45</v>
      </c>
      <c r="E40" s="55" t="s">
        <v>26</v>
      </c>
      <c r="G40" s="58">
        <v>2.5000000000000001E-2</v>
      </c>
      <c r="H40" s="50">
        <f>H38*G40</f>
        <v>149357.5</v>
      </c>
    </row>
    <row r="41" spans="1:8" ht="15.75" x14ac:dyDescent="0.25">
      <c r="A41" s="14" t="s">
        <v>71</v>
      </c>
      <c r="E41" s="14"/>
      <c r="F41" s="33"/>
      <c r="G41" s="45"/>
      <c r="H41" s="15"/>
    </row>
    <row r="42" spans="1:8" ht="16.5" thickBot="1" x14ac:dyDescent="0.3">
      <c r="A42" s="14" t="s">
        <v>31</v>
      </c>
      <c r="E42" s="56" t="s">
        <v>27</v>
      </c>
      <c r="F42" s="57"/>
      <c r="G42" s="46"/>
      <c r="H42" s="17"/>
    </row>
    <row r="43" spans="1:8" ht="19.5" thickBot="1" x14ac:dyDescent="0.35">
      <c r="A43" s="16"/>
      <c r="B43" s="4"/>
      <c r="C43" s="4"/>
      <c r="D43" s="17"/>
      <c r="F43" s="3"/>
      <c r="G43" s="34" t="s">
        <v>28</v>
      </c>
      <c r="H43" s="36">
        <f>H38+H39-H40</f>
        <v>6960059.5</v>
      </c>
    </row>
    <row r="44" spans="1:8" ht="16.5" customHeight="1" x14ac:dyDescent="0.25"/>
    <row r="49" spans="1:8" ht="15.75" thickBot="1" x14ac:dyDescent="0.3"/>
    <row r="50" spans="1:8" ht="19.5" thickBot="1" x14ac:dyDescent="0.35">
      <c r="A50" s="25" t="s">
        <v>44</v>
      </c>
      <c r="B50" s="6"/>
      <c r="C50" s="6"/>
      <c r="D50" s="6"/>
      <c r="E50" s="6"/>
      <c r="F50" s="6"/>
      <c r="G50" s="6"/>
      <c r="H50" s="7"/>
    </row>
    <row r="58" spans="1:8" ht="18.75" x14ac:dyDescent="0.3">
      <c r="A58" s="5"/>
    </row>
  </sheetData>
  <hyperlinks>
    <hyperlink ref="C10" r:id="rId1" xr:uid="{28A920B3-B176-4F8B-8B89-64C0797F19E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SPIM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2025-04-03T18:35:12Z</cp:lastPrinted>
  <dcterms:created xsi:type="dcterms:W3CDTF">2018-11-15T17:29:02Z</dcterms:created>
  <dcterms:modified xsi:type="dcterms:W3CDTF">2025-06-07T14:08:40Z</dcterms:modified>
</cp:coreProperties>
</file>