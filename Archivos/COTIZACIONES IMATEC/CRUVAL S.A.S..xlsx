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A6EC871D-E1B2-4C3E-BD3F-EB1FAAF24A66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CRUVA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9" i="1"/>
  <c r="H42" i="1" s="1"/>
  <c r="H44" i="1" l="1"/>
  <c r="H47" i="1" s="1"/>
</calcChain>
</file>

<file path=xl/sharedStrings.xml><?xml version="1.0" encoding="utf-8"?>
<sst xmlns="http://schemas.openxmlformats.org/spreadsheetml/2006/main" count="57" uniqueCount="56">
  <si>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</si>
  <si>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</si>
  <si>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</si>
  <si>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</si>
  <si>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</si>
  <si>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</si>
  <si>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</si>
  <si>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</si>
  <si>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</si>
  <si>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</si>
  <si>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</si>
  <si>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</si>
  <si>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</si>
  <si>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</si>
  <si>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</si>
  <si>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</si>
  <si>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</si>
  <si>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</si>
  <si>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</si>
  <si>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</si>
  <si>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</si>
  <si>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</si>
  <si>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</si>
  <si>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</si>
  <si>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</si>
  <si>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</si>
  <si>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</si>
  <si>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</si>
  <si>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>UBICACIÓN OBRA COTIZADA :</t>
  </si>
  <si>
    <t xml:space="preserve">SON  : </t>
  </si>
  <si>
    <t>SUBTOTAL</t>
  </si>
  <si>
    <t>OBSERVACIONES</t>
  </si>
  <si>
    <t>- RETEFUENTE</t>
  </si>
  <si>
    <t>TOTAL</t>
  </si>
  <si>
    <t>L I Q U I D A C  I O N</t>
  </si>
  <si>
    <t>MANO DE OBRA</t>
  </si>
  <si>
    <t>MAS IVA  MANO DE OBRA</t>
  </si>
  <si>
    <t xml:space="preserve">  CALLE  33B  No. 17C - 68               B/  LA FLORESTA             -   CALI    -                                  CEL.     321 7834969</t>
  </si>
  <si>
    <t xml:space="preserve">                                       No. 241023001</t>
  </si>
  <si>
    <t>CALI</t>
  </si>
  <si>
    <t>ITEM</t>
  </si>
  <si>
    <t>ACCESORIO</t>
  </si>
  <si>
    <t>PAGO DE CONTADO</t>
  </si>
  <si>
    <t>ENTREGA EN 2 DIAS POSTERIOR A TRANSFERENCIA</t>
  </si>
  <si>
    <t>SE ENTREGA EN CALI</t>
  </si>
  <si>
    <t xml:space="preserve">CRUVAL S A S </t>
  </si>
  <si>
    <t>900 662113</t>
  </si>
  <si>
    <t>CALLE 71 N O. 1B1-08</t>
  </si>
  <si>
    <t>gestioncomercial@cruvalsas.com</t>
  </si>
  <si>
    <t>CESAR OROZCO</t>
  </si>
  <si>
    <t>301 6237353</t>
  </si>
  <si>
    <t>LUIS BENAVIDEZ</t>
  </si>
  <si>
    <t>CODO INOX SCH 5 90º 14"</t>
  </si>
  <si>
    <t>CODO INOX SCH 40 90º 14 "</t>
  </si>
  <si>
    <t xml:space="preserve">CATORCE MILLONES TRESCIENTOS NOVENTA Y  NUEVE </t>
  </si>
  <si>
    <t>MIL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</si>
</sst>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22" xfId="0" applyBorder="1"/>
    <xf numFmtId="0" fontId="0" fillId="0" borderId="21" xfId="0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3" xfId="0" applyBorder="1"/>
    <xf numFmtId="0" fontId="1" fillId="0" borderId="7" xfId="0" applyFont="1" applyBorder="1"/>
    <xf numFmtId="0" fontId="8" fillId="0" borderId="13" xfId="0" applyFont="1" applyBorder="1"/>
    <xf numFmtId="0" fontId="8" fillId="0" borderId="17" xfId="0" applyFont="1" applyBorder="1"/>
    <xf numFmtId="0" fontId="8" fillId="0" borderId="16" xfId="0" applyFont="1" applyBorder="1"/>
    <xf numFmtId="0" fontId="8" fillId="0" borderId="18" xfId="0" applyFont="1" applyBorder="1"/>
    <xf numFmtId="0" fontId="0" fillId="0" borderId="19" xfId="0" applyBorder="1"/>
    <xf numFmtId="0" fontId="0" fillId="0" borderId="20" xfId="0" applyBorder="1"/>
    <xf numFmtId="42" fontId="13" fillId="0" borderId="1" xfId="1" applyFont="1" applyBorder="1" applyAlignment="1">
      <alignment horizontal="center"/>
    </xf>
    <xf numFmtId="0" fontId="0" fillId="0" borderId="16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21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23" xfId="0" applyFont="1" applyBorder="1"/>
    <xf numFmtId="0" fontId="5" fillId="0" borderId="25" xfId="0" applyFont="1" applyBorder="1"/>
    <xf numFmtId="9" fontId="1" fillId="0" borderId="21" xfId="0" applyNumberFormat="1" applyFont="1" applyBorder="1"/>
    <xf numFmtId="42" fontId="1" fillId="0" borderId="24" xfId="0" applyNumberFormat="1" applyFont="1" applyBorder="1"/>
    <xf numFmtId="42" fontId="1" fillId="0" borderId="26" xfId="1" applyFont="1" applyBorder="1"/>
    <xf numFmtId="42" fontId="1" fillId="0" borderId="26" xfId="0" applyNumberFormat="1" applyFont="1" applyBorder="1"/>
    <xf numFmtId="0" fontId="0" fillId="0" borderId="25" xfId="0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42" fontId="1" fillId="0" borderId="30" xfId="1" applyFont="1" applyBorder="1" applyAlignment="1">
      <alignment horizontal="center"/>
    </xf>
    <xf numFmtId="0" fontId="11" fillId="0" borderId="23" xfId="0" applyFont="1" applyBorder="1"/>
    <xf numFmtId="0" fontId="12" fillId="0" borderId="3" xfId="0" applyFont="1" applyBorder="1"/>
    <xf numFmtId="0" fontId="14" fillId="0" borderId="21" xfId="2" applyBorder="1"/>
    <xf numFmtId="42" fontId="13" fillId="0" borderId="1" xfId="1" applyFont="1" applyBorder="1"/>
    <xf numFmtId="42" fontId="13" fillId="0" borderId="1" xfId="0" applyNumberFormat="1" applyFont="1" applyBorder="1"/>
    <xf numFmtId="10" fontId="1" fillId="0" borderId="14" xfId="0" applyNumberFormat="1" applyFont="1" applyBorder="1"/>
    <xf numFmtId="0" fontId="0" fillId="0" borderId="31" xfId="0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32" xfId="0" applyFont="1" applyBorder="1"/>
    <xf numFmtId="0" fontId="8" fillId="0" borderId="0" xfId="0" applyFont="1"/>
    <xf numFmtId="0" fontId="8" fillId="0" borderId="23" xfId="0" applyFont="1" applyBorder="1"/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0" fillId="0" borderId="33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stioncomercial@cruval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zoomScaleNormal="100" workbookViewId="0">
      <selection activeCell="G2" sqref="G2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</row>
    <row r="3" spans="1:8" ht="27" thickBot="1" x14ac:dyDescent="0.45">
      <c r="A3" s="11" t="s">
        <v>21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22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20</v>
      </c>
      <c r="G6" s="19"/>
      <c r="H6" s="20"/>
    </row>
    <row r="7" spans="1:8" ht="19.5" thickBot="1" x14ac:dyDescent="0.35">
      <c r="A7" s="21" t="s">
        <v>15</v>
      </c>
      <c r="B7" s="13"/>
      <c r="C7" s="31" t="s">
        <v>45</v>
      </c>
      <c r="D7" s="13"/>
      <c r="E7" s="14"/>
      <c r="F7" s="28" t="s">
        <v>38</v>
      </c>
      <c r="G7" s="19"/>
      <c r="H7" s="20"/>
    </row>
    <row r="8" spans="1:8" ht="18.75" x14ac:dyDescent="0.3">
      <c r="A8" s="22" t="s">
        <v>9</v>
      </c>
      <c r="C8" s="25" t="s">
        <v>46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47</v>
      </c>
      <c r="D9" s="24"/>
      <c r="E9" s="25" t="s">
        <v>39</v>
      </c>
      <c r="F9" s="32" t="s">
        <v>0</v>
      </c>
      <c r="H9" s="33">
        <v>45433</v>
      </c>
    </row>
    <row r="10" spans="1:8" ht="18.75" x14ac:dyDescent="0.3">
      <c r="A10" s="22" t="s">
        <v>14</v>
      </c>
      <c r="C10" s="67" t="s">
        <v>48</v>
      </c>
      <c r="D10" s="26"/>
      <c r="E10" s="26"/>
      <c r="F10" s="32" t="s">
        <v>16</v>
      </c>
      <c r="H10" s="34" t="s">
        <v>17</v>
      </c>
    </row>
    <row r="11" spans="1:8" ht="18.75" x14ac:dyDescent="0.3">
      <c r="A11" s="22" t="s">
        <v>11</v>
      </c>
      <c r="C11" s="25" t="s">
        <v>49</v>
      </c>
      <c r="D11" s="26"/>
      <c r="E11" s="26"/>
      <c r="F11" s="32" t="s">
        <v>18</v>
      </c>
      <c r="G11" s="35"/>
      <c r="H11" s="33">
        <v>45443</v>
      </c>
    </row>
    <row r="12" spans="1:8" ht="18.75" x14ac:dyDescent="0.3">
      <c r="A12" s="22" t="s">
        <v>12</v>
      </c>
      <c r="C12" s="25" t="s">
        <v>50</v>
      </c>
      <c r="D12" s="26"/>
      <c r="E12" s="26"/>
      <c r="F12" s="32" t="s">
        <v>19</v>
      </c>
      <c r="H12" s="36">
        <v>1</v>
      </c>
    </row>
    <row r="13" spans="1:8" ht="18.75" customHeight="1" thickBot="1" x14ac:dyDescent="0.35">
      <c r="A13" s="23" t="s">
        <v>13</v>
      </c>
      <c r="B13" s="4"/>
      <c r="C13" s="25" t="s">
        <v>51</v>
      </c>
      <c r="D13" s="26"/>
      <c r="E13" s="26"/>
      <c r="F13" s="17"/>
      <c r="G13" s="4"/>
      <c r="H13" s="18"/>
    </row>
    <row r="15" spans="1:8" ht="15.75" thickBot="1" x14ac:dyDescent="0.3"/>
    <row r="16" spans="1:8" ht="16.5" thickBot="1" x14ac:dyDescent="0.3">
      <c r="A16" s="66" t="s">
        <v>28</v>
      </c>
      <c r="B16" s="7"/>
    </row>
    <row r="17" spans="1:10" ht="15.75" thickBot="1" x14ac:dyDescent="0.3"/>
    <row r="18" spans="1:10" ht="15.75" thickBot="1" x14ac:dyDescent="0.3">
      <c r="A18" s="37" t="s">
        <v>40</v>
      </c>
      <c r="B18" s="12" t="s">
        <v>27</v>
      </c>
      <c r="C18" s="40"/>
      <c r="D18" s="13"/>
      <c r="E18" s="61" t="s">
        <v>23</v>
      </c>
      <c r="F18" s="62" t="s">
        <v>25</v>
      </c>
      <c r="G18" s="62" t="s">
        <v>24</v>
      </c>
      <c r="H18" s="63" t="s">
        <v>26</v>
      </c>
    </row>
    <row r="19" spans="1:10" ht="16.5" thickBot="1" x14ac:dyDescent="0.3">
      <c r="A19" s="73">
        <v>1</v>
      </c>
      <c r="B19" s="41" t="s">
        <v>52</v>
      </c>
      <c r="C19" s="42"/>
      <c r="D19" s="75"/>
      <c r="E19" s="74" t="s">
        <v>41</v>
      </c>
      <c r="F19" s="47">
        <v>3900000</v>
      </c>
      <c r="G19" s="37">
        <v>1</v>
      </c>
      <c r="H19" s="64">
        <f>F19*G19</f>
        <v>3900000</v>
      </c>
    </row>
    <row r="20" spans="1:10" ht="16.5" thickBot="1" x14ac:dyDescent="0.3">
      <c r="B20" s="43"/>
      <c r="C20" s="76"/>
      <c r="D20" s="77"/>
      <c r="F20" s="38"/>
      <c r="H20" s="65"/>
      <c r="I20" s="38"/>
      <c r="J20" s="38"/>
    </row>
    <row r="21" spans="1:10" ht="16.5" thickBot="1" x14ac:dyDescent="0.3">
      <c r="A21" s="73">
        <v>2</v>
      </c>
      <c r="B21" s="43" t="s">
        <v>53</v>
      </c>
      <c r="C21" s="76"/>
      <c r="D21" s="77"/>
      <c r="E21" s="74" t="s">
        <v>41</v>
      </c>
      <c r="F21" s="68">
        <v>8200000</v>
      </c>
      <c r="G21" s="37">
        <v>1</v>
      </c>
      <c r="H21" s="69">
        <f>F21*G21</f>
        <v>8200000</v>
      </c>
      <c r="I21" s="38"/>
      <c r="J21" s="38"/>
    </row>
    <row r="22" spans="1:10" x14ac:dyDescent="0.25">
      <c r="B22" s="48"/>
      <c r="D22" s="39"/>
      <c r="H22" s="80"/>
      <c r="I22" s="38"/>
      <c r="J22" s="38"/>
    </row>
    <row r="23" spans="1:10" x14ac:dyDescent="0.25">
      <c r="A23" s="39"/>
      <c r="D23" s="39"/>
      <c r="H23" s="39"/>
    </row>
    <row r="24" spans="1:10" x14ac:dyDescent="0.25">
      <c r="A24" s="39"/>
      <c r="D24" s="39"/>
      <c r="H24" s="39"/>
    </row>
    <row r="25" spans="1:10" x14ac:dyDescent="0.25">
      <c r="A25" s="39"/>
      <c r="D25" s="39"/>
      <c r="H25" s="39"/>
    </row>
    <row r="26" spans="1:10" ht="15.75" x14ac:dyDescent="0.25">
      <c r="B26" s="43"/>
      <c r="C26" s="76"/>
      <c r="D26" s="77"/>
      <c r="F26" s="38"/>
      <c r="H26" s="65"/>
      <c r="I26" s="38"/>
      <c r="J26" s="38"/>
    </row>
    <row r="27" spans="1:10" ht="19.5" customHeight="1" x14ac:dyDescent="0.25">
      <c r="B27" s="43"/>
      <c r="C27" s="76"/>
      <c r="D27" s="77"/>
      <c r="F27" s="38"/>
      <c r="H27" s="65"/>
      <c r="I27" s="38"/>
      <c r="J27" s="38"/>
    </row>
    <row r="28" spans="1:10" ht="19.5" customHeight="1" x14ac:dyDescent="0.25">
      <c r="B28" s="43"/>
      <c r="C28" s="76"/>
      <c r="D28" s="77"/>
      <c r="F28" s="38"/>
      <c r="H28" s="65"/>
      <c r="I28" s="38"/>
      <c r="J28" s="38"/>
    </row>
    <row r="29" spans="1:10" ht="19.5" customHeight="1" x14ac:dyDescent="0.25">
      <c r="B29" s="43"/>
      <c r="C29" s="76"/>
      <c r="D29" s="77"/>
      <c r="F29" s="38"/>
      <c r="H29" s="65"/>
      <c r="I29" s="38"/>
      <c r="J29" s="38"/>
    </row>
    <row r="30" spans="1:10" ht="19.5" customHeight="1" x14ac:dyDescent="0.25">
      <c r="B30" s="43"/>
      <c r="C30" s="76"/>
      <c r="D30" s="77"/>
      <c r="F30" s="38"/>
      <c r="H30" s="65"/>
      <c r="I30" s="38"/>
      <c r="J30" s="38"/>
    </row>
    <row r="31" spans="1:10" ht="19.5" customHeight="1" x14ac:dyDescent="0.25">
      <c r="B31" s="43"/>
      <c r="C31" s="76"/>
      <c r="D31" s="77"/>
      <c r="F31" s="38"/>
      <c r="H31" s="65"/>
      <c r="I31" s="38"/>
      <c r="J31" s="38"/>
    </row>
    <row r="32" spans="1:10" ht="19.5" customHeight="1" x14ac:dyDescent="0.25">
      <c r="B32" s="43"/>
      <c r="C32" s="76"/>
      <c r="D32" s="77"/>
      <c r="F32" s="38"/>
      <c r="H32" s="65"/>
      <c r="I32" s="38"/>
      <c r="J32" s="38"/>
    </row>
    <row r="33" spans="1:10" ht="19.5" customHeight="1" x14ac:dyDescent="0.25">
      <c r="B33" s="43"/>
      <c r="C33" s="76"/>
      <c r="D33" s="77"/>
      <c r="H33" s="65"/>
      <c r="I33" s="38"/>
      <c r="J33" s="38"/>
    </row>
    <row r="34" spans="1:10" ht="19.5" customHeight="1" x14ac:dyDescent="0.25">
      <c r="B34" s="43"/>
      <c r="C34" s="76"/>
      <c r="D34" s="77"/>
      <c r="H34" s="39"/>
    </row>
    <row r="35" spans="1:10" ht="19.5" customHeight="1" x14ac:dyDescent="0.25">
      <c r="B35" s="43"/>
      <c r="C35" s="76"/>
      <c r="D35" s="77"/>
      <c r="H35" s="39"/>
    </row>
    <row r="36" spans="1:10" ht="19.5" customHeight="1" x14ac:dyDescent="0.25">
      <c r="B36" s="43"/>
      <c r="D36" s="39"/>
      <c r="H36" s="39"/>
    </row>
    <row r="37" spans="1:10" ht="19.5" customHeight="1" x14ac:dyDescent="0.25">
      <c r="B37" s="43"/>
      <c r="D37" s="39"/>
      <c r="H37" s="39"/>
    </row>
    <row r="38" spans="1:10" ht="19.5" customHeight="1" x14ac:dyDescent="0.25">
      <c r="B38" s="43"/>
      <c r="D38" s="39"/>
      <c r="H38" s="39"/>
    </row>
    <row r="39" spans="1:10" ht="19.5" customHeight="1" x14ac:dyDescent="0.25">
      <c r="B39" s="44"/>
      <c r="C39" s="45"/>
      <c r="D39" s="46"/>
      <c r="E39" s="45"/>
      <c r="F39" s="45"/>
      <c r="G39" s="45"/>
      <c r="H39" s="46"/>
    </row>
    <row r="40" spans="1:10" ht="19.5" customHeight="1" thickBot="1" x14ac:dyDescent="0.3"/>
    <row r="41" spans="1:10" ht="19.5" customHeight="1" thickBot="1" x14ac:dyDescent="0.35">
      <c r="A41" s="78" t="s">
        <v>29</v>
      </c>
      <c r="B41" s="12" t="s">
        <v>54</v>
      </c>
      <c r="C41" s="13"/>
      <c r="D41" s="14"/>
      <c r="E41" s="13"/>
      <c r="F41" s="50" t="s">
        <v>34</v>
      </c>
      <c r="G41" s="13"/>
      <c r="H41" s="7"/>
    </row>
    <row r="42" spans="1:10" ht="19.5" customHeight="1" thickBot="1" x14ac:dyDescent="0.3">
      <c r="A42" s="79"/>
      <c r="B42" s="17" t="s">
        <v>55</v>
      </c>
      <c r="C42" s="4"/>
      <c r="D42" s="4"/>
      <c r="E42" s="51" t="s">
        <v>30</v>
      </c>
      <c r="F42" s="52"/>
      <c r="G42" s="26"/>
      <c r="H42" s="57">
        <f>H19+H21+H23+H25</f>
        <v>12100000</v>
      </c>
    </row>
    <row r="43" spans="1:10" ht="19.5" customHeight="1" x14ac:dyDescent="0.25">
      <c r="A43" s="27" t="s">
        <v>31</v>
      </c>
      <c r="B43" s="13"/>
      <c r="C43" s="13"/>
      <c r="D43" s="14"/>
      <c r="E43" s="53" t="s">
        <v>35</v>
      </c>
      <c r="F43" s="52"/>
      <c r="G43" s="26"/>
      <c r="H43" s="58"/>
    </row>
    <row r="44" spans="1:10" ht="15.75" x14ac:dyDescent="0.25">
      <c r="A44" s="72" t="s">
        <v>42</v>
      </c>
      <c r="D44" s="16"/>
      <c r="E44" s="3" t="s">
        <v>36</v>
      </c>
      <c r="F44" s="54"/>
      <c r="G44" s="56">
        <v>0.19</v>
      </c>
      <c r="H44" s="59">
        <f>H42*0.19</f>
        <v>2299000</v>
      </c>
    </row>
    <row r="45" spans="1:10" ht="15.75" x14ac:dyDescent="0.25">
      <c r="A45" s="72" t="s">
        <v>43</v>
      </c>
      <c r="D45" s="16"/>
      <c r="E45" s="52" t="s">
        <v>32</v>
      </c>
      <c r="F45" s="52"/>
      <c r="G45" s="70">
        <v>2.5000000000000001E-2</v>
      </c>
      <c r="H45" s="59"/>
    </row>
    <row r="46" spans="1:10" ht="16.5" thickBot="1" x14ac:dyDescent="0.3">
      <c r="A46" s="15" t="s">
        <v>44</v>
      </c>
      <c r="D46" s="16"/>
      <c r="E46" s="71"/>
      <c r="F46" s="52"/>
      <c r="G46" s="26"/>
      <c r="H46" s="60"/>
    </row>
    <row r="47" spans="1:10" ht="16.5" customHeight="1" thickBot="1" x14ac:dyDescent="0.35">
      <c r="A47" s="17"/>
      <c r="B47" s="4"/>
      <c r="C47" s="4"/>
      <c r="D47" s="18"/>
      <c r="F47" s="3"/>
      <c r="G47" s="55" t="s">
        <v>33</v>
      </c>
      <c r="H47" s="49">
        <f>H42+H44-H45</f>
        <v>14399000</v>
      </c>
    </row>
    <row r="49" spans="1:8" x14ac:dyDescent="0.25">
      <c r="A49" t="s">
        <v>1</v>
      </c>
    </row>
    <row r="51" spans="1:8" ht="15.75" thickBot="1" x14ac:dyDescent="0.3"/>
    <row r="52" spans="1:8" ht="19.5" thickBot="1" x14ac:dyDescent="0.35">
      <c r="A52" s="28" t="s">
        <v>37</v>
      </c>
      <c r="B52" s="6"/>
      <c r="C52" s="6"/>
      <c r="D52" s="6"/>
      <c r="E52" s="6"/>
      <c r="F52" s="6"/>
      <c r="G52" s="6"/>
      <c r="H52" s="7"/>
    </row>
    <row r="61" spans="1:8" ht="18.75" x14ac:dyDescent="0.3">
      <c r="A61" s="5"/>
    </row>
  </sheetData>
  <mergeCells count="1">
    <mergeCell ref="A41:A42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CRUVAL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2024-05-22T22:18:51Z</dcterms:modified>
</cp:coreProperties>
</file>