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0C5D8CD-B896-4E55-B4FE-DE17DDC3F8EB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FERROTE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<sst xmlns="http://schemas.openxmlformats.org/spreadsheetml/2006/main" count="52" uniqueCount="52">
  <si>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</si>
  <si>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</si>
  <si>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</si>
  <si>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</si>
  <si>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</si>
  <si>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</si>
  <si>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</si>
  <si>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</si>
  <si>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</si>
  <si>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</si>
  <si>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</si>
  <si>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</si>
  <si>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</si>
  <si>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</si>
  <si>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</si>
  <si>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</si>
  <si>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</si>
  <si>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</si>
  <si>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</si>
  <si>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</si>
  <si>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</si>
  <si>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</si>
  <si>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</si>
  <si>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</si>
  <si>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</si>
  <si>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</si>
  <si>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</si>
  <si>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</si>
  <si>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</si>
  <si>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</si>
  <si>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</si>
  <si>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</si>
  <si>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</si>
  <si>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</si>
  <si>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</si>
  <si>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</si>
  <si>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</si>
  <si>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</si>
  <si>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</si>
  <si>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 xml:space="preserve">              R E M I S I O N </t>
  </si>
  <si>
    <t>ENTREGA INMEDIATA</t>
  </si>
  <si>
    <t>O de C  No.</t>
  </si>
  <si>
    <t>FERROTEC  LTDA</t>
  </si>
  <si>
    <t>CARRERA 54   No. 132 - 135</t>
  </si>
  <si>
    <t>Pto. COLOMBIA</t>
  </si>
  <si>
    <t>ferrotec05@gmail.com</t>
  </si>
  <si>
    <t>605 3692108</t>
  </si>
  <si>
    <t>LUIS A. BENAVIDES</t>
  </si>
  <si>
    <t>No. 1</t>
  </si>
  <si>
    <t>BOLA AC/INOX PARA FLOTADOR 2 "</t>
  </si>
  <si>
    <t>TRESCIENTOS TREINTA Y TRES MIL DOSCIENTOS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</si>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</sst>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0" fillId="0" borderId="9" xfId="0" applyFont="1" applyBorder="1"/>
    <xf numFmtId="0" fontId="10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otec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8" sqref="J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39</v>
      </c>
      <c r="G6" s="41"/>
      <c r="H6" s="42"/>
    </row>
    <row r="7" spans="1:8" ht="19.5" thickBot="1" x14ac:dyDescent="0.35">
      <c r="A7" s="20" t="s">
        <v>14</v>
      </c>
      <c r="B7" s="12"/>
      <c r="C7" s="59" t="s">
        <v>42</v>
      </c>
      <c r="D7" s="12"/>
      <c r="E7" s="13"/>
      <c r="F7" s="36"/>
      <c r="G7" s="18"/>
      <c r="H7" s="19" t="s">
        <v>48</v>
      </c>
    </row>
    <row r="8" spans="1:8" ht="18.75" x14ac:dyDescent="0.3">
      <c r="A8" s="21" t="s">
        <v>8</v>
      </c>
      <c r="C8" s="68">
        <v>802016944</v>
      </c>
      <c r="D8" s="12"/>
      <c r="E8" s="13"/>
      <c r="F8" s="68"/>
      <c r="G8" s="12"/>
      <c r="H8" s="13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70" t="s">
        <v>0</v>
      </c>
      <c r="H9" s="28">
        <v>45759</v>
      </c>
    </row>
    <row r="10" spans="1:8" ht="18.75" x14ac:dyDescent="0.3">
      <c r="A10" s="21" t="s">
        <v>13</v>
      </c>
      <c r="C10" s="69" t="s">
        <v>45</v>
      </c>
      <c r="E10" s="15"/>
      <c r="F10" s="70" t="s">
        <v>15</v>
      </c>
      <c r="H10" s="29"/>
    </row>
    <row r="11" spans="1:8" ht="18.75" x14ac:dyDescent="0.3">
      <c r="A11" s="21" t="s">
        <v>10</v>
      </c>
      <c r="C11" s="14"/>
      <c r="E11" s="15"/>
      <c r="F11" s="70" t="s">
        <v>16</v>
      </c>
      <c r="G11" s="71"/>
      <c r="H11" s="28"/>
    </row>
    <row r="12" spans="1:8" ht="18.75" x14ac:dyDescent="0.3">
      <c r="A12" s="21" t="s">
        <v>11</v>
      </c>
      <c r="C12" s="14" t="s">
        <v>46</v>
      </c>
      <c r="E12" s="15"/>
      <c r="F12" s="70" t="s">
        <v>41</v>
      </c>
      <c r="H12" s="30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16"/>
      <c r="G13" s="4"/>
      <c r="H13" s="17"/>
    </row>
    <row r="14" spans="1:8" ht="15.75" thickBot="1" x14ac:dyDescent="0.3"/>
    <row r="15" spans="1:8" ht="15.75" thickBot="1" x14ac:dyDescent="0.3">
      <c r="A15" s="46" t="s">
        <v>33</v>
      </c>
      <c r="B15" s="24" t="s">
        <v>21</v>
      </c>
      <c r="C15" s="41"/>
      <c r="D15" s="13"/>
      <c r="E15" s="46" t="s">
        <v>17</v>
      </c>
      <c r="F15" s="46" t="s">
        <v>19</v>
      </c>
      <c r="G15" s="46" t="s">
        <v>18</v>
      </c>
      <c r="H15" s="31" t="s">
        <v>20</v>
      </c>
    </row>
    <row r="16" spans="1:8" ht="16.5" thickBot="1" x14ac:dyDescent="0.3">
      <c r="A16" s="60">
        <v>1</v>
      </c>
      <c r="B16" s="61" t="s">
        <v>49</v>
      </c>
      <c r="C16" s="62"/>
      <c r="D16" s="63"/>
      <c r="E16" s="60" t="s">
        <v>36</v>
      </c>
      <c r="F16" s="64">
        <v>280000</v>
      </c>
      <c r="G16" s="60">
        <v>1</v>
      </c>
      <c r="H16" s="37">
        <f t="shared" ref="H16" si="0">G16*F16</f>
        <v>280000</v>
      </c>
    </row>
    <row r="17" spans="1:8" ht="19.5" customHeight="1" thickBot="1" x14ac:dyDescent="0.3">
      <c r="A17" s="47"/>
      <c r="B17" s="66"/>
      <c r="D17" s="67"/>
      <c r="E17" s="47"/>
      <c r="F17" s="47"/>
      <c r="G17" s="47"/>
    </row>
    <row r="18" spans="1:8" ht="19.5" customHeight="1" thickBot="1" x14ac:dyDescent="0.35">
      <c r="A18" s="65" t="s">
        <v>22</v>
      </c>
      <c r="B18" s="68" t="s">
        <v>50</v>
      </c>
      <c r="C18" s="12"/>
      <c r="D18" s="13"/>
      <c r="E18" s="48"/>
      <c r="F18" s="36" t="s">
        <v>37</v>
      </c>
      <c r="G18" s="6"/>
      <c r="H18" s="7"/>
    </row>
    <row r="19" spans="1:8" ht="19.5" customHeight="1" thickBot="1" x14ac:dyDescent="0.3">
      <c r="A19" s="38"/>
      <c r="B19" s="16" t="s">
        <v>51</v>
      </c>
      <c r="C19" s="4"/>
      <c r="D19" s="17"/>
      <c r="E19" s="51" t="s">
        <v>23</v>
      </c>
      <c r="F19" s="52"/>
      <c r="G19" s="43"/>
      <c r="H19" s="49">
        <f>SUM(H16:H18)</f>
        <v>280000</v>
      </c>
    </row>
    <row r="20" spans="1:8" ht="19.5" customHeight="1" x14ac:dyDescent="0.25">
      <c r="A20" s="24" t="s">
        <v>24</v>
      </c>
      <c r="B20" s="12"/>
      <c r="C20" s="12"/>
      <c r="D20" s="12"/>
      <c r="E20" s="53" t="s">
        <v>28</v>
      </c>
      <c r="F20" s="23"/>
      <c r="G20" s="54">
        <v>0.19</v>
      </c>
      <c r="H20" s="39">
        <f>H19*G20</f>
        <v>53200</v>
      </c>
    </row>
    <row r="21" spans="1:8" ht="19.5" customHeight="1" x14ac:dyDescent="0.25">
      <c r="A21" s="14" t="s">
        <v>29</v>
      </c>
      <c r="E21" s="55" t="s">
        <v>25</v>
      </c>
      <c r="G21" s="58">
        <v>2.5000000000000001E-2</v>
      </c>
      <c r="H21" s="50"/>
    </row>
    <row r="22" spans="1:8" ht="15.75" x14ac:dyDescent="0.25">
      <c r="A22" s="14" t="s">
        <v>40</v>
      </c>
      <c r="E22" s="14"/>
      <c r="F22" s="32"/>
      <c r="G22" s="44"/>
      <c r="H22" s="15"/>
    </row>
    <row r="23" spans="1:8" ht="16.5" thickBot="1" x14ac:dyDescent="0.3">
      <c r="A23" s="14" t="s">
        <v>31</v>
      </c>
      <c r="E23" s="56" t="s">
        <v>26</v>
      </c>
      <c r="F23" s="57"/>
      <c r="G23" s="45"/>
      <c r="H23" s="17"/>
    </row>
    <row r="24" spans="1:8" ht="19.5" thickBot="1" x14ac:dyDescent="0.35">
      <c r="A24" s="16"/>
      <c r="B24" s="4"/>
      <c r="C24" s="4"/>
      <c r="D24" s="17"/>
      <c r="F24" s="3"/>
      <c r="G24" s="33" t="s">
        <v>27</v>
      </c>
      <c r="H24" s="35">
        <f>H19+H20-H21</f>
        <v>333200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E4A2EC46-A7FC-4852-8EA8-8C19F7F772A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FERROTEC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2025-04-12T18:10:53Z</cp:lastPrinted>
  <dcterms:created xsi:type="dcterms:W3CDTF">2018-11-15T17:29:02Z</dcterms:created>
  <dcterms:modified xsi:type="dcterms:W3CDTF">2025-04-28T22:00:02Z</dcterms:modified>
</cp:coreProperties>
</file>