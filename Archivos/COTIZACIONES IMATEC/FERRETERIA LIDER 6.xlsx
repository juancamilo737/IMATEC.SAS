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3600~4000\"/>
    </mc:Choice>
  </mc:AlternateContent>
  <xr:revisionPtr revIDLastSave="0" documentId="13_ncr:1_{EA4F0E29-BB79-48B6-8529-F77D4B20F71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ERRETERIA LID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<sst xmlns="http://schemas.openxmlformats.org/spreadsheetml/2006/main" count="56" uniqueCount="56">
  <si>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</si>
  <si>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</si>
  <si>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</si>
  <si>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</si>
  <si>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</si>
  <si>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</si>
  <si>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</si>
  <si>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</si>
  <si>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</si>
  <si>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</si>
  <si>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</si>
  <si>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</si>
  <si>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</si>
  <si>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</si>
  <si>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</si>
  <si>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</si>
  <si>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</si>
  <si>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</si>
  <si>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</si>
  <si>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</si>
  <si>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</si>
  <si>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</si>
  <si>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</si>
  <si>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</si>
  <si>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</si>
  <si>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</si>
  <si>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</si>
  <si>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</si>
  <si>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</si>
  <si>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</si>
  <si>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</si>
  <si>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</si>
  <si>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</si>
  <si>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</si>
  <si>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</si>
  <si>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</si>
  <si>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</si>
  <si>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</si>
  <si>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</si>
  <si>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FERRETERIA LIDER</t>
  </si>
  <si>
    <t>805 027317</t>
  </si>
  <si>
    <t>CRA 15 No. 31-43</t>
  </si>
  <si>
    <t>CALI</t>
  </si>
  <si>
    <t>contabilidad@ferreterialider.com</t>
  </si>
  <si>
    <t>ARLEY</t>
  </si>
  <si>
    <t>602 8801132</t>
  </si>
  <si>
    <t>LUIS BENAVIDEZ</t>
  </si>
  <si>
    <t>PESOS MDA / CTE</t>
  </si>
  <si>
    <t xml:space="preserve">              R E M I S I O N</t>
  </si>
  <si>
    <t>ENTREGA INMEDIATA</t>
  </si>
  <si>
    <t>No. 6</t>
  </si>
  <si>
    <t>CHEQUE CORTINA AC/INOX 304  4 "</t>
  </si>
  <si>
    <t>TRESCIENTOS DIECISEIS MIL QUINIENTOS CUARENTA</t>
  </si>
  <si>
    <t>30 DIAS</t>
  </si>
  <si>
    <t>P 30938</t>
  </si>
  <si>
    <t>CONTACTOS   310 8306118       321 7834969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</si>
</sst>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34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ferreterialid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topLeftCell="A4" zoomScaleNormal="100" workbookViewId="0">
      <selection activeCell="J5" sqref="J5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6" t="s">
        <v>55</v>
      </c>
      <c r="B5" s="6"/>
      <c r="C5" s="6"/>
      <c r="D5" s="6"/>
      <c r="E5" s="6"/>
    </row>
    <row r="6" spans="1:8" ht="24.75" customHeight="1" thickBot="1" x14ac:dyDescent="0.45">
      <c r="F6" s="40" t="s">
        <v>48</v>
      </c>
      <c r="G6" s="41"/>
      <c r="H6" s="42"/>
    </row>
    <row r="7" spans="1:8" ht="19.5" thickBot="1" x14ac:dyDescent="0.35">
      <c r="A7" s="20" t="s">
        <v>14</v>
      </c>
      <c r="B7" s="12"/>
      <c r="C7" s="58" t="s">
        <v>39</v>
      </c>
      <c r="D7" s="12"/>
      <c r="E7" s="13"/>
      <c r="F7" s="36"/>
      <c r="G7" s="18"/>
      <c r="H7" s="19" t="s">
        <v>50</v>
      </c>
    </row>
    <row r="8" spans="1:8" ht="18.75" x14ac:dyDescent="0.3">
      <c r="A8" s="21" t="s">
        <v>8</v>
      </c>
      <c r="C8" s="70" t="s">
        <v>40</v>
      </c>
      <c r="D8" s="71"/>
      <c r="E8" s="43"/>
      <c r="H8" s="15"/>
    </row>
    <row r="9" spans="1:8" ht="18.75" customHeight="1" x14ac:dyDescent="0.3">
      <c r="A9" s="21" t="s">
        <v>9</v>
      </c>
      <c r="C9" s="72" t="s">
        <v>41</v>
      </c>
      <c r="D9" s="23"/>
      <c r="E9" s="73" t="s">
        <v>42</v>
      </c>
      <c r="F9" s="30" t="s">
        <v>0</v>
      </c>
      <c r="H9" s="28">
        <v>45915</v>
      </c>
    </row>
    <row r="10" spans="1:8" ht="18.75" x14ac:dyDescent="0.3">
      <c r="A10" s="21" t="s">
        <v>13</v>
      </c>
      <c r="C10" s="74" t="s">
        <v>43</v>
      </c>
      <c r="D10" s="69"/>
      <c r="E10" s="44"/>
      <c r="F10" s="30" t="s">
        <v>15</v>
      </c>
      <c r="H10" s="29" t="s">
        <v>53</v>
      </c>
    </row>
    <row r="11" spans="1:8" ht="18.75" x14ac:dyDescent="0.3">
      <c r="A11" s="21" t="s">
        <v>10</v>
      </c>
      <c r="C11" s="75" t="s">
        <v>44</v>
      </c>
      <c r="D11" s="69"/>
      <c r="E11" s="44"/>
      <c r="F11" s="30" t="s">
        <v>16</v>
      </c>
      <c r="G11" s="30"/>
      <c r="H11" s="28">
        <v>45944</v>
      </c>
    </row>
    <row r="12" spans="1:8" ht="18.75" x14ac:dyDescent="0.3">
      <c r="A12" s="21" t="s">
        <v>11</v>
      </c>
      <c r="C12" s="75" t="s">
        <v>45</v>
      </c>
      <c r="D12" s="69"/>
      <c r="E12" s="44"/>
      <c r="F12" s="30" t="s">
        <v>17</v>
      </c>
      <c r="H12" s="29" t="s">
        <v>54</v>
      </c>
    </row>
    <row r="13" spans="1:8" ht="18.75" customHeight="1" thickBot="1" x14ac:dyDescent="0.35">
      <c r="A13" s="22" t="s">
        <v>12</v>
      </c>
      <c r="B13" s="4"/>
      <c r="C13" s="76" t="s">
        <v>46</v>
      </c>
      <c r="D13" s="77"/>
      <c r="E13" s="45"/>
      <c r="F13" s="4"/>
      <c r="G13" s="4"/>
      <c r="H13" s="17"/>
    </row>
    <row r="14" spans="1:8" ht="15.75" thickBot="1" x14ac:dyDescent="0.3"/>
    <row r="15" spans="1:8" ht="15.75" thickBot="1" x14ac:dyDescent="0.3">
      <c r="A15" s="31" t="s">
        <v>33</v>
      </c>
      <c r="B15" s="68" t="s">
        <v>22</v>
      </c>
      <c r="C15" s="18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6.5" thickBot="1" x14ac:dyDescent="0.3">
      <c r="A16" s="63">
        <v>1</v>
      </c>
      <c r="B16" s="64" t="s">
        <v>51</v>
      </c>
      <c r="C16" s="65"/>
      <c r="D16" s="66"/>
      <c r="E16" s="63" t="s">
        <v>36</v>
      </c>
      <c r="F16" s="67">
        <v>266000</v>
      </c>
      <c r="G16" s="63">
        <v>1</v>
      </c>
      <c r="H16" s="37">
        <f t="shared" ref="H16" si="0">G16*F16</f>
        <v>266000</v>
      </c>
    </row>
    <row r="17" spans="1:8" ht="19.5" customHeight="1" thickBot="1" x14ac:dyDescent="0.3">
      <c r="A17" s="46"/>
      <c r="B17" s="60"/>
      <c r="D17" s="61"/>
      <c r="E17" s="46"/>
      <c r="F17" s="46"/>
      <c r="G17" s="46"/>
    </row>
    <row r="18" spans="1:8" ht="19.5" customHeight="1" thickBot="1" x14ac:dyDescent="0.35">
      <c r="A18" s="59" t="s">
        <v>23</v>
      </c>
      <c r="B18" s="62" t="s">
        <v>52</v>
      </c>
      <c r="C18" s="12"/>
      <c r="D18" s="13"/>
      <c r="E18" s="47"/>
      <c r="F18" s="36" t="s">
        <v>37</v>
      </c>
      <c r="G18" s="6"/>
      <c r="H18" s="7"/>
    </row>
    <row r="19" spans="1:8" ht="19.5" customHeight="1" thickBot="1" x14ac:dyDescent="0.3">
      <c r="A19" s="38"/>
      <c r="B19" s="16" t="s">
        <v>47</v>
      </c>
      <c r="C19" s="4"/>
      <c r="D19" s="17"/>
      <c r="E19" s="50" t="s">
        <v>24</v>
      </c>
      <c r="F19" s="51"/>
      <c r="G19" s="43"/>
      <c r="H19" s="48">
        <f>SUM(H16:H18)</f>
        <v>266000</v>
      </c>
    </row>
    <row r="20" spans="1:8" ht="19.5" customHeight="1" x14ac:dyDescent="0.25">
      <c r="A20" s="24" t="s">
        <v>25</v>
      </c>
      <c r="B20" s="12"/>
      <c r="C20" s="12"/>
      <c r="D20" s="12"/>
      <c r="E20" s="52" t="s">
        <v>29</v>
      </c>
      <c r="F20" s="23"/>
      <c r="G20" s="53">
        <v>0.19</v>
      </c>
      <c r="H20" s="39">
        <f>H19*G20</f>
        <v>50540</v>
      </c>
    </row>
    <row r="21" spans="1:8" ht="19.5" customHeight="1" x14ac:dyDescent="0.25">
      <c r="A21" s="14" t="s">
        <v>30</v>
      </c>
      <c r="E21" s="54" t="s">
        <v>26</v>
      </c>
      <c r="G21" s="57">
        <v>2.5000000000000001E-2</v>
      </c>
      <c r="H21" s="49"/>
    </row>
    <row r="22" spans="1:8" ht="15.75" x14ac:dyDescent="0.25">
      <c r="A22" s="14" t="s">
        <v>49</v>
      </c>
      <c r="E22" s="14"/>
      <c r="F22" s="32"/>
      <c r="G22" s="44"/>
      <c r="H22" s="15"/>
    </row>
    <row r="23" spans="1:8" ht="16.5" thickBot="1" x14ac:dyDescent="0.3">
      <c r="A23" s="14" t="s">
        <v>32</v>
      </c>
      <c r="E23" s="55" t="s">
        <v>27</v>
      </c>
      <c r="F23" s="56"/>
      <c r="G23" s="45"/>
      <c r="H23" s="17"/>
    </row>
    <row r="24" spans="1:8" ht="19.5" thickBot="1" x14ac:dyDescent="0.35">
      <c r="A24" s="16"/>
      <c r="B24" s="4"/>
      <c r="C24" s="4"/>
      <c r="D24" s="17"/>
      <c r="F24" s="3"/>
      <c r="G24" s="33" t="s">
        <v>28</v>
      </c>
      <c r="H24" s="35">
        <f>H19+H20</f>
        <v>316540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38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FERRETERIA LIDER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2025-06-09T21:42:44Z</cp:lastPrinted>
  <dcterms:created xsi:type="dcterms:W3CDTF">2018-11-15T17:29:02Z</dcterms:created>
  <dcterms:modified xsi:type="dcterms:W3CDTF">2025-09-15T20:53:33Z</dcterms:modified>
</cp:coreProperties>
</file>