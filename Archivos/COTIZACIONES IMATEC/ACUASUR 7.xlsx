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F73B944-C834-4383-B6E4-AB3742E9D969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1" l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6" i="1" s="1"/>
  <c r="H45" i="1" l="1"/>
  <c r="H49" i="1" s="1"/>
</calcChain>
</file>

<file path=xl/sharedStrings.xml><?xml version="1.0" encoding="utf-8"?>
<sst xmlns="http://schemas.openxmlformats.org/spreadsheetml/2006/main" count="104" uniqueCount="80">
  <si>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</si>
  <si>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</si>
  <si>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</si>
  <si>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</si>
  <si>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</si>
  <si>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</si>
  <si>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</si>
  <si>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</si>
  <si>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</si>
  <si>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</si>
  <si>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</si>
  <si>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</si>
  <si>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</si>
  <si>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</si>
  <si>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</si>
  <si>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</si>
  <si>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</si>
  <si>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</si>
  <si>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</si>
  <si>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</si>
  <si>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</si>
  <si>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</si>
  <si>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</si>
  <si>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</si>
  <si>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</si>
  <si>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</si>
  <si>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</si>
  <si>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</si>
  <si>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</si>
  <si>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</si>
  <si>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</si>
  <si>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</si>
  <si>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</si>
  <si>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</si>
  <si>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</si>
  <si>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</si>
  <si>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</si>
  <si>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</si>
  <si>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</si>
  <si>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</si>
  <si>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</si>
  <si>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</si>
  <si>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</si>
  <si>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ACCESORIO</t>
  </si>
  <si>
    <t>ENTREGA EN DOS DIAS POSTERIOR A ORDEN DE COMPRA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</si>
  <si>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</si>
  <si>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</si>
  <si>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</si>
  <si>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 xml:space="preserve">           C O T I Z A C I O N</t>
  </si>
  <si>
    <t>No. 7</t>
  </si>
  <si>
    <t>ADAPTADOR MACHO PVC PRESION 2 1/2 " PAVCO</t>
  </si>
  <si>
    <t>REDUCCION PVC PRESION BUJE 3 "  X  2/12 "PAVCO</t>
  </si>
  <si>
    <t>UNIVERSAL PVC PRESION  3 "</t>
  </si>
  <si>
    <t>VALVULA MARIPOSA CUERPO HO CORTINA INOX 4 "</t>
  </si>
  <si>
    <t>ADAPTADOR HEMBRA PVC PRESION 1 " PAVCO</t>
  </si>
  <si>
    <t>VALVULA DE PIE BRONCE 3 "  JAGUAR</t>
  </si>
  <si>
    <t>VALVULA DE BOLA  AC/INOX  1 " ROSCADA</t>
  </si>
  <si>
    <t>VALVULA DE BOLA BRONCE CROMADO 1 "</t>
  </si>
  <si>
    <t xml:space="preserve">NIPLE  AC/INOX  1 "  X  4 " </t>
  </si>
  <si>
    <t>CODO AC/INOX 304  1 "  X  90 º X 150 LBS ROSCADO</t>
  </si>
  <si>
    <t>TAPON COPA PVC PRESION 3/4 "  ROSCADO</t>
  </si>
  <si>
    <t>TAPON COPA PVC PRESION 1 "  ROSCADO</t>
  </si>
  <si>
    <t>TAPON COPA PVC PRESION 3/4 "  SOLDAR</t>
  </si>
  <si>
    <t>UNIVERSAL PVC PRESION 2 "  PAVCO</t>
  </si>
  <si>
    <t>ADAPTADOR HEMBRA PVC PRESION 3 " PAVCO</t>
  </si>
  <si>
    <t>GRIFO BRONCE PARA MANGUERA 1/2 "</t>
  </si>
  <si>
    <t>UNION PVC PRESION  2 " PAVCO</t>
  </si>
  <si>
    <t>UNION PASANTE RAPIDA   4 " PVC PAVCO</t>
  </si>
  <si>
    <t>BRIDA PVC  2 "  SOLDAR</t>
  </si>
  <si>
    <t xml:space="preserve">TEE PVC PRESION  4 "  PAVCO  </t>
  </si>
  <si>
    <t>CODO PVC PRESION  4 "  X  90 º  PAVCO</t>
  </si>
  <si>
    <t xml:space="preserve">VALVULA P/D AC/INOX 304   3/4 " ROSCADA </t>
  </si>
  <si>
    <t>VALVULA P/D BRONCE RW  3/4 "</t>
  </si>
  <si>
    <t>FILTRO EN Y  HR  2 "  X  125 LBS  FLANCHADO</t>
  </si>
  <si>
    <t xml:space="preserve">SOLDADURA PVC  </t>
  </si>
  <si>
    <t>1/4 GALON</t>
  </si>
  <si>
    <t>LIMPIADOR PVC</t>
  </si>
  <si>
    <t xml:space="preserve">NUEVE MILLONES DOSCIENTOS UN MIL DOSCIENTOS </t>
  </si>
  <si>
    <t>DIECINUEVE PESOS MDA / CTE</t>
  </si>
  <si>
    <t>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</si>
</sst>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42" fontId="11" fillId="0" borderId="27" xfId="1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33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4" xfId="0" applyBorder="1"/>
    <xf numFmtId="0" fontId="0" fillId="0" borderId="32" xfId="0" applyBorder="1"/>
    <xf numFmtId="0" fontId="0" fillId="0" borderId="6" xfId="0" applyBorder="1"/>
    <xf numFmtId="0" fontId="8" fillId="0" borderId="35" xfId="0" applyFont="1" applyBorder="1"/>
    <xf numFmtId="0" fontId="8" fillId="0" borderId="13" xfId="0" applyFont="1" applyBorder="1"/>
    <xf numFmtId="0" fontId="8" fillId="0" borderId="36" xfId="0" applyFont="1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37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4"/>
  <sheetViews>
    <sheetView tabSelected="1" topLeftCell="A24" zoomScaleNormal="100" workbookViewId="0">
      <selection activeCell="H11" sqref="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9" t="s">
        <v>36</v>
      </c>
      <c r="D7" s="12"/>
      <c r="E7" s="13"/>
      <c r="F7" s="37"/>
      <c r="G7" s="18"/>
      <c r="H7" s="79" t="s">
        <v>49</v>
      </c>
    </row>
    <row r="8" spans="1:8" ht="18.75" x14ac:dyDescent="0.3">
      <c r="A8" s="21" t="s">
        <v>8</v>
      </c>
      <c r="C8" s="77" t="s">
        <v>37</v>
      </c>
      <c r="D8" s="78"/>
      <c r="E8" s="44"/>
      <c r="H8" s="15"/>
    </row>
    <row r="9" spans="1:8" ht="18.75" customHeight="1" x14ac:dyDescent="0.3">
      <c r="A9" s="21" t="s">
        <v>9</v>
      </c>
      <c r="C9" s="72" t="s">
        <v>38</v>
      </c>
      <c r="D9" s="23"/>
      <c r="E9" s="73" t="s">
        <v>39</v>
      </c>
      <c r="F9" s="30" t="s">
        <v>0</v>
      </c>
      <c r="H9" s="28">
        <v>45729</v>
      </c>
    </row>
    <row r="10" spans="1:8" ht="18.75" x14ac:dyDescent="0.3">
      <c r="A10" s="21" t="s">
        <v>13</v>
      </c>
      <c r="C10" s="74" t="s">
        <v>40</v>
      </c>
      <c r="D10" s="71"/>
      <c r="E10" s="45"/>
      <c r="F10" s="30" t="s">
        <v>15</v>
      </c>
      <c r="H10" s="29" t="s">
        <v>79</v>
      </c>
    </row>
    <row r="11" spans="1:8" ht="18.75" x14ac:dyDescent="0.3">
      <c r="A11" s="21" t="s">
        <v>10</v>
      </c>
      <c r="C11" s="70"/>
      <c r="D11" s="71"/>
      <c r="E11" s="45"/>
      <c r="F11" s="30" t="s">
        <v>16</v>
      </c>
      <c r="G11" s="30"/>
      <c r="H11" s="28">
        <v>45738</v>
      </c>
    </row>
    <row r="12" spans="1:8" ht="18.75" x14ac:dyDescent="0.3">
      <c r="A12" s="21" t="s">
        <v>11</v>
      </c>
      <c r="C12" s="70" t="s">
        <v>41</v>
      </c>
      <c r="D12" s="7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5" t="s">
        <v>42</v>
      </c>
      <c r="D13" s="7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33</v>
      </c>
      <c r="B15" s="24" t="s">
        <v>22</v>
      </c>
      <c r="C15" s="42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49">
        <v>1</v>
      </c>
      <c r="B16" s="84" t="s">
        <v>50</v>
      </c>
      <c r="C16" s="85"/>
      <c r="D16" s="86"/>
      <c r="E16" s="87" t="s">
        <v>43</v>
      </c>
      <c r="F16" s="88">
        <v>12900</v>
      </c>
      <c r="G16" s="87">
        <v>4</v>
      </c>
      <c r="H16" s="38">
        <f t="shared" ref="H16" si="0">G16*F16</f>
        <v>51600</v>
      </c>
    </row>
    <row r="17" spans="1:8" ht="16.5" thickBot="1" x14ac:dyDescent="0.3">
      <c r="A17" s="50">
        <v>2</v>
      </c>
      <c r="B17" s="47" t="s">
        <v>51</v>
      </c>
      <c r="C17" s="47"/>
      <c r="D17" s="54"/>
      <c r="E17" s="50" t="s">
        <v>43</v>
      </c>
      <c r="F17" s="56">
        <v>16950</v>
      </c>
      <c r="G17" s="50">
        <v>4</v>
      </c>
      <c r="H17" s="38">
        <f t="shared" ref="H17:H39" si="1">G17*F17</f>
        <v>67800</v>
      </c>
    </row>
    <row r="18" spans="1:8" ht="16.5" thickBot="1" x14ac:dyDescent="0.3">
      <c r="A18" s="49">
        <v>3</v>
      </c>
      <c r="B18" s="51" t="s">
        <v>52</v>
      </c>
      <c r="C18" s="52"/>
      <c r="D18" s="53"/>
      <c r="E18" s="49" t="s">
        <v>43</v>
      </c>
      <c r="F18" s="55">
        <v>28500</v>
      </c>
      <c r="G18" s="49">
        <v>6</v>
      </c>
      <c r="H18" s="38">
        <f t="shared" si="1"/>
        <v>171000</v>
      </c>
    </row>
    <row r="19" spans="1:8" ht="16.5" thickBot="1" x14ac:dyDescent="0.3">
      <c r="A19" s="50">
        <v>4</v>
      </c>
      <c r="B19" s="51" t="s">
        <v>53</v>
      </c>
      <c r="C19" s="52"/>
      <c r="D19" s="53"/>
      <c r="E19" s="49" t="s">
        <v>43</v>
      </c>
      <c r="F19" s="55">
        <v>195000</v>
      </c>
      <c r="G19" s="49">
        <v>3</v>
      </c>
      <c r="H19" s="38">
        <f t="shared" si="1"/>
        <v>585000</v>
      </c>
    </row>
    <row r="20" spans="1:8" ht="16.5" thickBot="1" x14ac:dyDescent="0.3">
      <c r="A20" s="49">
        <v>5</v>
      </c>
      <c r="B20" s="51" t="s">
        <v>54</v>
      </c>
      <c r="C20" s="52"/>
      <c r="D20" s="53"/>
      <c r="E20" s="49" t="s">
        <v>43</v>
      </c>
      <c r="F20" s="55">
        <v>1681</v>
      </c>
      <c r="G20" s="49">
        <v>6</v>
      </c>
      <c r="H20" s="38">
        <f t="shared" si="1"/>
        <v>10086</v>
      </c>
    </row>
    <row r="21" spans="1:8" ht="16.5" thickBot="1" x14ac:dyDescent="0.3">
      <c r="A21" s="50">
        <v>6</v>
      </c>
      <c r="B21" s="51" t="s">
        <v>55</v>
      </c>
      <c r="C21" s="52"/>
      <c r="D21" s="53"/>
      <c r="E21" s="49" t="s">
        <v>43</v>
      </c>
      <c r="F21" s="55">
        <v>240000</v>
      </c>
      <c r="G21" s="49">
        <v>2</v>
      </c>
      <c r="H21" s="38">
        <f t="shared" si="1"/>
        <v>480000</v>
      </c>
    </row>
    <row r="22" spans="1:8" ht="16.5" thickBot="1" x14ac:dyDescent="0.3">
      <c r="A22" s="49">
        <v>7</v>
      </c>
      <c r="B22" s="51" t="s">
        <v>56</v>
      </c>
      <c r="C22" s="52"/>
      <c r="D22" s="53"/>
      <c r="E22" s="49" t="s">
        <v>43</v>
      </c>
      <c r="F22" s="55">
        <v>42550</v>
      </c>
      <c r="G22" s="49">
        <v>4</v>
      </c>
      <c r="H22" s="38">
        <f t="shared" si="1"/>
        <v>170200</v>
      </c>
    </row>
    <row r="23" spans="1:8" ht="16.5" thickBot="1" x14ac:dyDescent="0.3">
      <c r="A23" s="50">
        <v>8</v>
      </c>
      <c r="B23" s="51" t="s">
        <v>57</v>
      </c>
      <c r="C23" s="52"/>
      <c r="D23" s="53"/>
      <c r="E23" s="49" t="s">
        <v>43</v>
      </c>
      <c r="F23" s="55">
        <v>35600</v>
      </c>
      <c r="G23" s="49">
        <v>4</v>
      </c>
      <c r="H23" s="38">
        <f t="shared" si="1"/>
        <v>142400</v>
      </c>
    </row>
    <row r="24" spans="1:8" ht="16.5" thickBot="1" x14ac:dyDescent="0.3">
      <c r="A24" s="49">
        <v>9</v>
      </c>
      <c r="B24" s="51" t="s">
        <v>58</v>
      </c>
      <c r="C24" s="52"/>
      <c r="D24" s="53"/>
      <c r="E24" s="49" t="s">
        <v>43</v>
      </c>
      <c r="F24" s="55">
        <v>10550</v>
      </c>
      <c r="G24" s="49">
        <v>6</v>
      </c>
      <c r="H24" s="38">
        <f t="shared" si="1"/>
        <v>63300</v>
      </c>
    </row>
    <row r="25" spans="1:8" ht="16.5" thickBot="1" x14ac:dyDescent="0.3">
      <c r="A25" s="50">
        <v>10</v>
      </c>
      <c r="B25" s="51" t="s">
        <v>59</v>
      </c>
      <c r="C25" s="52"/>
      <c r="D25" s="53"/>
      <c r="E25" s="49" t="s">
        <v>43</v>
      </c>
      <c r="F25" s="55">
        <v>11500</v>
      </c>
      <c r="G25" s="49">
        <v>6</v>
      </c>
      <c r="H25" s="38">
        <f t="shared" si="1"/>
        <v>69000</v>
      </c>
    </row>
    <row r="26" spans="1:8" ht="16.5" thickBot="1" x14ac:dyDescent="0.3">
      <c r="A26" s="49">
        <v>11</v>
      </c>
      <c r="B26" s="51" t="s">
        <v>60</v>
      </c>
      <c r="C26" s="52"/>
      <c r="D26" s="53"/>
      <c r="E26" s="49" t="s">
        <v>43</v>
      </c>
      <c r="F26" s="55">
        <v>1250</v>
      </c>
      <c r="G26" s="49">
        <v>6</v>
      </c>
      <c r="H26" s="38">
        <f t="shared" si="1"/>
        <v>7500</v>
      </c>
    </row>
    <row r="27" spans="1:8" ht="16.5" thickBot="1" x14ac:dyDescent="0.3">
      <c r="A27" s="50">
        <v>12</v>
      </c>
      <c r="B27" s="51" t="s">
        <v>61</v>
      </c>
      <c r="C27" s="52"/>
      <c r="D27" s="53"/>
      <c r="E27" s="49" t="s">
        <v>43</v>
      </c>
      <c r="F27" s="55">
        <v>1750</v>
      </c>
      <c r="G27" s="49">
        <v>6</v>
      </c>
      <c r="H27" s="38">
        <f t="shared" si="1"/>
        <v>10500</v>
      </c>
    </row>
    <row r="28" spans="1:8" ht="16.5" thickBot="1" x14ac:dyDescent="0.3">
      <c r="A28" s="49">
        <v>13</v>
      </c>
      <c r="B28" s="51" t="s">
        <v>62</v>
      </c>
      <c r="C28" s="52"/>
      <c r="D28" s="53"/>
      <c r="E28" s="49" t="s">
        <v>43</v>
      </c>
      <c r="F28" s="55">
        <v>616</v>
      </c>
      <c r="G28" s="49">
        <v>6</v>
      </c>
      <c r="H28" s="38">
        <f t="shared" si="1"/>
        <v>3696</v>
      </c>
    </row>
    <row r="29" spans="1:8" ht="16.5" thickBot="1" x14ac:dyDescent="0.3">
      <c r="A29" s="50">
        <v>14</v>
      </c>
      <c r="B29" s="51" t="s">
        <v>63</v>
      </c>
      <c r="C29" s="52"/>
      <c r="D29" s="53"/>
      <c r="E29" s="49" t="s">
        <v>43</v>
      </c>
      <c r="F29" s="55">
        <v>31750</v>
      </c>
      <c r="G29" s="49">
        <v>4</v>
      </c>
      <c r="H29" s="38">
        <f t="shared" si="1"/>
        <v>127000</v>
      </c>
    </row>
    <row r="30" spans="1:8" ht="16.5" thickBot="1" x14ac:dyDescent="0.3">
      <c r="A30" s="49">
        <v>15</v>
      </c>
      <c r="B30" s="51" t="s">
        <v>64</v>
      </c>
      <c r="C30" s="52"/>
      <c r="D30" s="53"/>
      <c r="E30" s="49" t="s">
        <v>43</v>
      </c>
      <c r="F30" s="55">
        <v>24300</v>
      </c>
      <c r="G30" s="49">
        <v>18</v>
      </c>
      <c r="H30" s="38">
        <f t="shared" si="1"/>
        <v>437400</v>
      </c>
    </row>
    <row r="31" spans="1:8" ht="16.5" thickBot="1" x14ac:dyDescent="0.3">
      <c r="A31" s="50">
        <v>16</v>
      </c>
      <c r="B31" s="51" t="s">
        <v>65</v>
      </c>
      <c r="C31" s="52"/>
      <c r="D31" s="53"/>
      <c r="E31" s="49" t="s">
        <v>43</v>
      </c>
      <c r="F31" s="55">
        <v>49100</v>
      </c>
      <c r="G31" s="49">
        <v>2</v>
      </c>
      <c r="H31" s="38">
        <f t="shared" si="1"/>
        <v>98200</v>
      </c>
    </row>
    <row r="32" spans="1:8" ht="16.5" thickBot="1" x14ac:dyDescent="0.3">
      <c r="A32" s="49">
        <v>17</v>
      </c>
      <c r="B32" s="51" t="s">
        <v>66</v>
      </c>
      <c r="C32" s="52"/>
      <c r="D32" s="53"/>
      <c r="E32" s="49" t="s">
        <v>43</v>
      </c>
      <c r="F32" s="55">
        <v>10850</v>
      </c>
      <c r="G32" s="49">
        <v>12</v>
      </c>
      <c r="H32" s="38">
        <f t="shared" si="1"/>
        <v>130200</v>
      </c>
    </row>
    <row r="33" spans="1:8" ht="16.5" thickBot="1" x14ac:dyDescent="0.3">
      <c r="A33" s="50">
        <v>18</v>
      </c>
      <c r="B33" s="51" t="s">
        <v>67</v>
      </c>
      <c r="C33" s="52"/>
      <c r="D33" s="53"/>
      <c r="E33" s="49" t="s">
        <v>43</v>
      </c>
      <c r="F33" s="55">
        <v>83200</v>
      </c>
      <c r="G33" s="49">
        <v>12</v>
      </c>
      <c r="H33" s="38">
        <f t="shared" si="1"/>
        <v>998400</v>
      </c>
    </row>
    <row r="34" spans="1:8" ht="16.5" thickBot="1" x14ac:dyDescent="0.3">
      <c r="A34" s="49">
        <v>19</v>
      </c>
      <c r="B34" s="51" t="s">
        <v>68</v>
      </c>
      <c r="C34" s="52"/>
      <c r="D34" s="53"/>
      <c r="E34" s="49" t="s">
        <v>43</v>
      </c>
      <c r="F34" s="55">
        <v>21300</v>
      </c>
      <c r="G34" s="49">
        <v>12</v>
      </c>
      <c r="H34" s="38">
        <f t="shared" si="1"/>
        <v>255600</v>
      </c>
    </row>
    <row r="35" spans="1:8" ht="16.5" thickBot="1" x14ac:dyDescent="0.3">
      <c r="A35" s="50">
        <v>20</v>
      </c>
      <c r="B35" s="51" t="s">
        <v>69</v>
      </c>
      <c r="C35" s="52"/>
      <c r="D35" s="53"/>
      <c r="E35" s="49" t="s">
        <v>43</v>
      </c>
      <c r="F35" s="55">
        <v>104120</v>
      </c>
      <c r="G35" s="49">
        <v>8</v>
      </c>
      <c r="H35" s="38">
        <f t="shared" si="1"/>
        <v>832960</v>
      </c>
    </row>
    <row r="36" spans="1:8" ht="16.5" thickBot="1" x14ac:dyDescent="0.3">
      <c r="A36" s="49">
        <v>21</v>
      </c>
      <c r="B36" s="51" t="s">
        <v>70</v>
      </c>
      <c r="C36" s="52"/>
      <c r="D36" s="53"/>
      <c r="E36" s="49" t="s">
        <v>43</v>
      </c>
      <c r="F36" s="55">
        <v>80100</v>
      </c>
      <c r="G36" s="49">
        <v>12</v>
      </c>
      <c r="H36" s="38">
        <f t="shared" si="1"/>
        <v>961200</v>
      </c>
    </row>
    <row r="37" spans="1:8" ht="16.5" thickBot="1" x14ac:dyDescent="0.3">
      <c r="A37" s="50">
        <v>22</v>
      </c>
      <c r="B37" s="51" t="s">
        <v>71</v>
      </c>
      <c r="C37" s="52"/>
      <c r="D37" s="53"/>
      <c r="E37" s="49" t="s">
        <v>43</v>
      </c>
      <c r="F37" s="55">
        <v>66300</v>
      </c>
      <c r="G37" s="49">
        <v>12</v>
      </c>
      <c r="H37" s="38">
        <f t="shared" si="1"/>
        <v>795600</v>
      </c>
    </row>
    <row r="38" spans="1:8" ht="16.5" thickBot="1" x14ac:dyDescent="0.3">
      <c r="A38" s="49">
        <v>23</v>
      </c>
      <c r="B38" s="51" t="s">
        <v>72</v>
      </c>
      <c r="C38" s="52"/>
      <c r="D38" s="53"/>
      <c r="E38" s="49" t="s">
        <v>43</v>
      </c>
      <c r="F38" s="55">
        <v>65500</v>
      </c>
      <c r="G38" s="49">
        <v>12</v>
      </c>
      <c r="H38" s="38">
        <f t="shared" si="1"/>
        <v>786000</v>
      </c>
    </row>
    <row r="39" spans="1:8" ht="16.5" thickBot="1" x14ac:dyDescent="0.3">
      <c r="A39" s="89">
        <v>24</v>
      </c>
      <c r="B39" s="51" t="s">
        <v>73</v>
      </c>
      <c r="C39" s="52"/>
      <c r="D39" s="53"/>
      <c r="E39" s="49" t="s">
        <v>43</v>
      </c>
      <c r="F39" s="55">
        <v>195000</v>
      </c>
      <c r="G39" s="49">
        <v>2</v>
      </c>
      <c r="H39" s="38">
        <f t="shared" si="1"/>
        <v>390000</v>
      </c>
    </row>
    <row r="40" spans="1:8" ht="16.5" thickBot="1" x14ac:dyDescent="0.3">
      <c r="A40" s="50">
        <v>25</v>
      </c>
      <c r="B40" s="51" t="s">
        <v>74</v>
      </c>
      <c r="C40" s="52"/>
      <c r="D40" s="53"/>
      <c r="E40" s="49" t="s">
        <v>75</v>
      </c>
      <c r="F40" s="55">
        <v>85500</v>
      </c>
      <c r="G40" s="49">
        <v>2</v>
      </c>
      <c r="H40" s="38">
        <f t="shared" ref="H40:H41" si="2">G40*F40</f>
        <v>171000</v>
      </c>
    </row>
    <row r="41" spans="1:8" ht="16.5" thickBot="1" x14ac:dyDescent="0.3">
      <c r="A41" s="89">
        <v>26</v>
      </c>
      <c r="B41" s="84" t="s">
        <v>76</v>
      </c>
      <c r="C41" s="85"/>
      <c r="D41" s="86"/>
      <c r="E41" s="87" t="s">
        <v>75</v>
      </c>
      <c r="F41" s="88">
        <v>41200</v>
      </c>
      <c r="G41" s="87">
        <v>2</v>
      </c>
      <c r="H41" s="38">
        <f t="shared" si="2"/>
        <v>82400</v>
      </c>
    </row>
    <row r="42" spans="1:8" ht="19.5" customHeight="1" thickBot="1" x14ac:dyDescent="0.3">
      <c r="A42" s="57"/>
      <c r="B42" s="81"/>
      <c r="D42" s="82"/>
      <c r="E42" s="57"/>
      <c r="F42" s="57"/>
      <c r="G42" s="57"/>
    </row>
    <row r="43" spans="1:8" ht="19.5" customHeight="1" thickBot="1" x14ac:dyDescent="0.35">
      <c r="A43" s="80" t="s">
        <v>23</v>
      </c>
      <c r="B43" s="83" t="s">
        <v>77</v>
      </c>
      <c r="C43" s="12"/>
      <c r="D43" s="13"/>
      <c r="E43" s="58"/>
      <c r="F43" s="37" t="s">
        <v>46</v>
      </c>
      <c r="G43" s="6"/>
      <c r="H43" s="7"/>
    </row>
    <row r="44" spans="1:8" ht="19.5" customHeight="1" thickBot="1" x14ac:dyDescent="0.3">
      <c r="A44" s="39"/>
      <c r="B44" s="16" t="s">
        <v>78</v>
      </c>
      <c r="C44" s="4"/>
      <c r="D44" s="17"/>
      <c r="E44" s="61" t="s">
        <v>24</v>
      </c>
      <c r="F44" s="62"/>
      <c r="G44" s="44"/>
      <c r="H44" s="59">
        <f>SUM(H16:H41)</f>
        <v>7898042</v>
      </c>
    </row>
    <row r="45" spans="1:8" ht="19.5" customHeight="1" x14ac:dyDescent="0.25">
      <c r="A45" s="24" t="s">
        <v>25</v>
      </c>
      <c r="B45" s="12"/>
      <c r="C45" s="12"/>
      <c r="D45" s="12"/>
      <c r="E45" s="63" t="s">
        <v>29</v>
      </c>
      <c r="F45" s="23"/>
      <c r="G45" s="64">
        <v>0.19</v>
      </c>
      <c r="H45" s="40">
        <f>H44*G45</f>
        <v>1500627.98</v>
      </c>
    </row>
    <row r="46" spans="1:8" ht="19.5" customHeight="1" x14ac:dyDescent="0.25">
      <c r="A46" s="14" t="s">
        <v>47</v>
      </c>
      <c r="E46" s="65" t="s">
        <v>26</v>
      </c>
      <c r="G46" s="68">
        <v>2.5000000000000001E-2</v>
      </c>
      <c r="H46" s="60">
        <f>H44*G46</f>
        <v>197451.05000000002</v>
      </c>
    </row>
    <row r="47" spans="1:8" ht="15.75" x14ac:dyDescent="0.25">
      <c r="A47" s="14" t="s">
        <v>44</v>
      </c>
      <c r="E47" s="14"/>
      <c r="F47" s="33"/>
      <c r="G47" s="45"/>
      <c r="H47" s="15"/>
    </row>
    <row r="48" spans="1:8" ht="16.5" thickBot="1" x14ac:dyDescent="0.3">
      <c r="A48" s="14" t="s">
        <v>31</v>
      </c>
      <c r="E48" s="66" t="s">
        <v>27</v>
      </c>
      <c r="F48" s="67"/>
      <c r="G48" s="46"/>
      <c r="H48" s="17"/>
    </row>
    <row r="49" spans="1:8" ht="19.5" thickBot="1" x14ac:dyDescent="0.35">
      <c r="A49" s="16"/>
      <c r="B49" s="4"/>
      <c r="C49" s="4"/>
      <c r="D49" s="17"/>
      <c r="F49" s="3"/>
      <c r="G49" s="34" t="s">
        <v>28</v>
      </c>
      <c r="H49" s="36">
        <f>H44+H45-H46</f>
        <v>9201218.9299999997</v>
      </c>
    </row>
    <row r="50" spans="1:8" ht="16.5" customHeight="1" x14ac:dyDescent="0.25"/>
    <row r="55" spans="1:8" ht="15.75" thickBot="1" x14ac:dyDescent="0.3"/>
    <row r="56" spans="1:8" ht="19.5" thickBot="1" x14ac:dyDescent="0.35">
      <c r="A56" s="25" t="s">
        <v>45</v>
      </c>
      <c r="B56" s="6"/>
      <c r="C56" s="6"/>
      <c r="D56" s="6"/>
      <c r="E56" s="6"/>
      <c r="F56" s="6"/>
      <c r="G56" s="6"/>
      <c r="H56" s="7"/>
    </row>
    <row r="64" spans="1:8" ht="18.75" x14ac:dyDescent="0.3">
      <c r="A64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2025-02-17T19:34:52Z</cp:lastPrinted>
  <dcterms:created xsi:type="dcterms:W3CDTF">2018-11-15T17:29:02Z</dcterms:created>
  <dcterms:modified xsi:type="dcterms:W3CDTF">2025-03-13T16:12:29Z</dcterms:modified>
</cp:coreProperties>
</file>