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F8554490-7CBC-4A59-B410-D98D2C2DDB4F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INS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2" i="1" l="1"/>
  <c r="H19" i="1"/>
  <c r="H18" i="1" l="1"/>
  <c r="H17" i="1"/>
  <c r="H16" i="1" l="1"/>
  <c r="H23" i="1" l="1"/>
  <c r="H27" i="1" s="1"/>
</calcChain>
</file>

<file path=xl/sharedStrings.xml><?xml version="1.0" encoding="utf-8"?>
<sst xmlns="http://schemas.openxmlformats.org/spreadsheetml/2006/main" count="58" uniqueCount="55">
  <si>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</si>
  <si>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</si>
  <si>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</si>
  <si>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</si>
  <si>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</si>
  <si>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</si>
  <si>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</si>
  <si>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</si>
  <si>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</si>
  <si>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</si>
  <si>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</si>
  <si>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</si>
  <si>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</si>
  <si>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</si>
  <si>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</si>
  <si>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</si>
  <si>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</si>
  <si>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</si>
  <si>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</si>
  <si>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</si>
  <si>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</si>
  <si>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</si>
  <si>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</si>
  <si>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</si>
  <si>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</si>
  <si>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</si>
  <si>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</si>
  <si>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</si>
  <si>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</si>
  <si>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</si>
  <si>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</si>
  <si>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</si>
  <si>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</si>
  <si>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</si>
  <si>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</si>
  <si>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</si>
  <si>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</si>
  <si>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ACCESORIO</t>
  </si>
  <si>
    <t>L I Q U I D A C I O N</t>
  </si>
  <si>
    <t xml:space="preserve">  CALLE  33A  No. 17F - 56                           B/  LA FLORESTA             -   CALI    -                                       CEL.     321 7834969</t>
  </si>
  <si>
    <t>INSE INGENIERIA Y SEGURIDAD S.A.S.</t>
  </si>
  <si>
    <t>900 748838</t>
  </si>
  <si>
    <t>CALLE  31 A  No. 15-36</t>
  </si>
  <si>
    <t>conta.inse@gmail.com</t>
  </si>
  <si>
    <t>602 3480998</t>
  </si>
  <si>
    <t>EDINSON CABEZAS</t>
  </si>
  <si>
    <t>ENTREGA INMEDIATA</t>
  </si>
  <si>
    <t>No. 5</t>
  </si>
  <si>
    <t xml:space="preserve">              R E M I S I O N</t>
  </si>
  <si>
    <t>EMPAQUE ESPIROMETALICO 2 "  X  150  LBS</t>
  </si>
  <si>
    <t>UNION A / C  1/4 "  X  300 LBS</t>
  </si>
  <si>
    <t>BRIDA  A / C  SLIP ON  2 "  X  300  LBS</t>
  </si>
  <si>
    <t>REDUCCION COPA A / C  SCH 40  4 " A 2 "</t>
  </si>
  <si>
    <t>TRESCIENTOS CINCO MIL DOSCIENTOS TREINTA Y CINCO</t>
  </si>
  <si>
    <t>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</si>
</sst>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0" fillId="0" borderId="19" xfId="0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9" xfId="0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30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21" xfId="0" applyFont="1" applyBorder="1"/>
    <xf numFmtId="0" fontId="4" fillId="0" borderId="22" xfId="0" applyFont="1" applyBorder="1"/>
    <xf numFmtId="0" fontId="4" fillId="0" borderId="9" xfId="0" applyFont="1" applyBorder="1"/>
    <xf numFmtId="9" fontId="1" fillId="0" borderId="24" xfId="3" applyFont="1" applyBorder="1"/>
    <xf numFmtId="0" fontId="4" fillId="0" borderId="25" xfId="0" applyFont="1" applyBorder="1"/>
    <xf numFmtId="0" fontId="4" fillId="0" borderId="27" xfId="0" applyFont="1" applyBorder="1"/>
    <xf numFmtId="0" fontId="4" fillId="0" borderId="28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21" xfId="0" applyBorder="1"/>
    <xf numFmtId="0" fontId="0" fillId="0" borderId="22" xfId="0" applyBorder="1"/>
    <xf numFmtId="0" fontId="0" fillId="0" borderId="33" xfId="0" applyBorder="1"/>
    <xf numFmtId="0" fontId="0" fillId="0" borderId="24" xfId="0" applyBorder="1"/>
    <xf numFmtId="0" fontId="13" fillId="0" borderId="25" xfId="2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14" xfId="0" applyFont="1" applyBorder="1" applyAlignment="1">
      <alignment horizontal="center"/>
    </xf>
    <xf numFmtId="0" fontId="8" fillId="0" borderId="34" xfId="0" applyFont="1" applyBorder="1"/>
    <xf numFmtId="0" fontId="8" fillId="0" borderId="13" xfId="0" applyFont="1" applyBorder="1"/>
    <xf numFmtId="0" fontId="8" fillId="0" borderId="35" xfId="0" applyFont="1" applyBorder="1"/>
    <xf numFmtId="42" fontId="11" fillId="0" borderId="14" xfId="1" applyFont="1" applyBorder="1" applyAlignment="1">
      <alignment horizontal="center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.ins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2"/>
  <sheetViews>
    <sheetView tabSelected="1" topLeftCell="A7" zoomScaleNormal="100" workbookViewId="0">
      <selection activeCell="L28" sqref="L2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48</v>
      </c>
      <c r="G6" s="43"/>
      <c r="H6" s="44"/>
    </row>
    <row r="7" spans="1:8" ht="19.5" thickBot="1" x14ac:dyDescent="0.35">
      <c r="A7" s="20" t="s">
        <v>14</v>
      </c>
      <c r="B7" s="12"/>
      <c r="C7" s="65" t="s">
        <v>40</v>
      </c>
      <c r="D7" s="12"/>
      <c r="E7" s="13"/>
      <c r="F7" s="37"/>
      <c r="G7" s="18"/>
      <c r="H7" s="19" t="s">
        <v>47</v>
      </c>
    </row>
    <row r="8" spans="1:8" ht="18.75" x14ac:dyDescent="0.3">
      <c r="A8" s="21" t="s">
        <v>8</v>
      </c>
      <c r="C8" s="67" t="s">
        <v>41</v>
      </c>
      <c r="D8" s="68"/>
      <c r="E8" s="46"/>
      <c r="H8" s="15"/>
    </row>
    <row r="9" spans="1:8" ht="18.75" customHeight="1" x14ac:dyDescent="0.3">
      <c r="A9" s="21" t="s">
        <v>9</v>
      </c>
      <c r="C9" s="69" t="s">
        <v>42</v>
      </c>
      <c r="D9" s="23"/>
      <c r="E9" s="70"/>
      <c r="F9" s="30" t="s">
        <v>0</v>
      </c>
      <c r="H9" s="28">
        <v>45884</v>
      </c>
    </row>
    <row r="10" spans="1:8" ht="18.75" x14ac:dyDescent="0.3">
      <c r="A10" s="21" t="s">
        <v>13</v>
      </c>
      <c r="C10" s="71" t="s">
        <v>43</v>
      </c>
      <c r="D10" s="66"/>
      <c r="E10" s="47"/>
      <c r="F10" s="30" t="s">
        <v>15</v>
      </c>
      <c r="H10" s="29"/>
    </row>
    <row r="11" spans="1:8" ht="18.75" x14ac:dyDescent="0.3">
      <c r="A11" s="21" t="s">
        <v>10</v>
      </c>
      <c r="C11" s="72"/>
      <c r="D11" s="66"/>
      <c r="E11" s="47"/>
      <c r="F11" s="30" t="s">
        <v>16</v>
      </c>
      <c r="G11" s="30"/>
      <c r="H11" s="28"/>
    </row>
    <row r="12" spans="1:8" ht="18.75" x14ac:dyDescent="0.3">
      <c r="A12" s="21" t="s">
        <v>11</v>
      </c>
      <c r="C12" s="72" t="s">
        <v>44</v>
      </c>
      <c r="D12" s="66"/>
      <c r="E12" s="47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73" t="s">
        <v>45</v>
      </c>
      <c r="D13" s="74"/>
      <c r="E13" s="48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34</v>
      </c>
      <c r="B15" s="24" t="s">
        <v>22</v>
      </c>
      <c r="C15" s="43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6.5" thickBot="1" x14ac:dyDescent="0.3">
      <c r="A16" s="75">
        <v>1</v>
      </c>
      <c r="B16" s="76" t="s">
        <v>51</v>
      </c>
      <c r="C16" s="77"/>
      <c r="D16" s="78"/>
      <c r="E16" s="75" t="s">
        <v>37</v>
      </c>
      <c r="F16" s="79">
        <v>48000</v>
      </c>
      <c r="G16" s="75">
        <v>4</v>
      </c>
      <c r="H16" s="38">
        <f t="shared" ref="H16" si="0">G16*F16</f>
        <v>192000</v>
      </c>
    </row>
    <row r="17" spans="1:8" ht="16.5" thickBot="1" x14ac:dyDescent="0.3">
      <c r="A17" s="75">
        <v>2</v>
      </c>
      <c r="B17" s="76" t="s">
        <v>49</v>
      </c>
      <c r="C17" s="77"/>
      <c r="D17" s="78"/>
      <c r="E17" s="75" t="s">
        <v>37</v>
      </c>
      <c r="F17" s="79">
        <v>6300</v>
      </c>
      <c r="G17" s="75">
        <v>2</v>
      </c>
      <c r="H17" s="38">
        <f t="shared" ref="H17:H19" si="1">G17*F17</f>
        <v>12600</v>
      </c>
    </row>
    <row r="18" spans="1:8" ht="16.5" thickBot="1" x14ac:dyDescent="0.3">
      <c r="A18" s="75">
        <v>3</v>
      </c>
      <c r="B18" s="76" t="s">
        <v>50</v>
      </c>
      <c r="C18" s="77"/>
      <c r="D18" s="78"/>
      <c r="E18" s="75" t="s">
        <v>37</v>
      </c>
      <c r="F18" s="79">
        <v>1800</v>
      </c>
      <c r="G18" s="75">
        <v>2</v>
      </c>
      <c r="H18" s="38">
        <f t="shared" si="1"/>
        <v>3600</v>
      </c>
    </row>
    <row r="19" spans="1:8" ht="16.5" thickBot="1" x14ac:dyDescent="0.3">
      <c r="A19" s="75">
        <v>1</v>
      </c>
      <c r="B19" s="76" t="s">
        <v>52</v>
      </c>
      <c r="C19" s="77"/>
      <c r="D19" s="78"/>
      <c r="E19" s="75" t="s">
        <v>37</v>
      </c>
      <c r="F19" s="79">
        <v>24150</v>
      </c>
      <c r="G19" s="75">
        <v>2</v>
      </c>
      <c r="H19" s="38">
        <f t="shared" si="1"/>
        <v>48300</v>
      </c>
    </row>
    <row r="20" spans="1:8" ht="19.5" customHeight="1" thickBot="1" x14ac:dyDescent="0.3">
      <c r="A20" s="51"/>
      <c r="B20" s="45"/>
      <c r="C20" s="42"/>
      <c r="D20" s="52"/>
      <c r="E20" s="53"/>
      <c r="F20" s="53"/>
      <c r="G20" s="53"/>
    </row>
    <row r="21" spans="1:8" ht="19.5" customHeight="1" thickBot="1" x14ac:dyDescent="0.35">
      <c r="A21" s="50" t="s">
        <v>23</v>
      </c>
      <c r="B21" s="14" t="s">
        <v>53</v>
      </c>
      <c r="D21" s="15"/>
      <c r="E21" s="54"/>
      <c r="F21" s="37" t="s">
        <v>38</v>
      </c>
      <c r="G21" s="6"/>
      <c r="H21" s="7"/>
    </row>
    <row r="22" spans="1:8" ht="19.5" customHeight="1" thickBot="1" x14ac:dyDescent="0.3">
      <c r="A22" s="39"/>
      <c r="B22" s="16" t="s">
        <v>54</v>
      </c>
      <c r="C22" s="4"/>
      <c r="D22" s="4"/>
      <c r="E22" s="57" t="s">
        <v>24</v>
      </c>
      <c r="F22" s="58"/>
      <c r="G22" s="46"/>
      <c r="H22" s="55">
        <f>SUM(H16:H19)</f>
        <v>256500</v>
      </c>
    </row>
    <row r="23" spans="1:8" ht="19.5" customHeight="1" x14ac:dyDescent="0.25">
      <c r="A23" s="24" t="s">
        <v>25</v>
      </c>
      <c r="B23" s="12"/>
      <c r="C23" s="12"/>
      <c r="D23" s="12"/>
      <c r="E23" s="59" t="s">
        <v>29</v>
      </c>
      <c r="F23" s="23"/>
      <c r="G23" s="60">
        <v>0.19</v>
      </c>
      <c r="H23" s="40">
        <f>H22*G23</f>
        <v>48735</v>
      </c>
    </row>
    <row r="24" spans="1:8" ht="19.5" customHeight="1" x14ac:dyDescent="0.25">
      <c r="A24" s="14" t="s">
        <v>30</v>
      </c>
      <c r="E24" s="61" t="s">
        <v>26</v>
      </c>
      <c r="G24" s="64">
        <v>2.5000000000000001E-2</v>
      </c>
      <c r="H24" s="56"/>
    </row>
    <row r="25" spans="1:8" ht="15.75" x14ac:dyDescent="0.25">
      <c r="A25" s="14" t="s">
        <v>46</v>
      </c>
      <c r="E25" s="14"/>
      <c r="F25" s="33"/>
      <c r="G25" s="47"/>
      <c r="H25" s="15"/>
    </row>
    <row r="26" spans="1:8" ht="16.5" thickBot="1" x14ac:dyDescent="0.3">
      <c r="A26" s="14" t="s">
        <v>32</v>
      </c>
      <c r="E26" s="62" t="s">
        <v>27</v>
      </c>
      <c r="F26" s="63"/>
      <c r="G26" s="48"/>
      <c r="H26" s="17"/>
    </row>
    <row r="27" spans="1:8" ht="19.5" thickBot="1" x14ac:dyDescent="0.35">
      <c r="A27" s="16"/>
      <c r="B27" s="4"/>
      <c r="C27" s="4"/>
      <c r="D27" s="17"/>
      <c r="F27" s="3"/>
      <c r="G27" s="34" t="s">
        <v>28</v>
      </c>
      <c r="H27" s="36">
        <f>H22+H23-H24</f>
        <v>305235</v>
      </c>
    </row>
    <row r="28" spans="1:8" ht="16.5" customHeight="1" x14ac:dyDescent="0.25"/>
    <row r="33" spans="1:8" ht="15.75" thickBot="1" x14ac:dyDescent="0.3"/>
    <row r="34" spans="1:8" ht="19.5" thickBot="1" x14ac:dyDescent="0.35">
      <c r="A34" s="25" t="s">
        <v>39</v>
      </c>
      <c r="B34" s="6"/>
      <c r="C34" s="6"/>
      <c r="D34" s="6"/>
      <c r="E34" s="6"/>
      <c r="F34" s="6"/>
      <c r="G34" s="6"/>
      <c r="H34" s="7"/>
    </row>
    <row r="42" spans="1:8" ht="18.75" x14ac:dyDescent="0.3">
      <c r="A42" s="5"/>
    </row>
  </sheetData>
  <hyperlinks>
    <hyperlink ref="C10" r:id="rId1" xr:uid="{F7B1ACE9-2238-4894-99AF-B1200B647DF3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2025-08-15T16:23:22Z</cp:lastPrinted>
  <dcterms:created xsi:type="dcterms:W3CDTF">2018-11-15T17:29:02Z</dcterms:created>
  <dcterms:modified xsi:type="dcterms:W3CDTF">2025-08-15T22:07:59Z</dcterms:modified>
</cp:coreProperties>
</file>