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2D96884-271D-4F84-9626-1930BFA08AA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0" i="1"/>
  <c r="H17" i="1"/>
  <c r="H16" i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<sst xmlns="http://schemas.openxmlformats.org/spreadsheetml/2006/main" count="57" uniqueCount="57">
  <si>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</si>
  <si>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</si>
  <si>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</si>
  <si>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</si>
  <si>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</si>
  <si>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</si>
  <si>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</si>
  <si>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</si>
  <si>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</si>
  <si>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</si>
  <si>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</si>
  <si>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</si>
  <si>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</si>
  <si>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</si>
  <si>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</si>
  <si>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</si>
  <si>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</si>
  <si>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</si>
  <si>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</si>
  <si>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</si>
  <si>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</si>
  <si>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</si>
  <si>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</si>
  <si>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</si>
  <si>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</si>
  <si>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</si>
  <si>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</si>
  <si>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</si>
  <si>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</si>
  <si>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</si>
  <si>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</si>
  <si>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</si>
  <si>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</si>
  <si>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</si>
  <si>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</si>
  <si>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</si>
  <si>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</si>
  <si>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</si>
  <si>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</si>
  <si>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</si>
  <si>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</si>
  <si>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</si>
  <si>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</si>
  <si>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</si>
  <si>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</si>
  <si>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</si>
  <si>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 xml:space="preserve">FORMA DE PAGO : CREDITO A 30 DIAS </t>
  </si>
  <si>
    <t xml:space="preserve">              R E M I S I O N </t>
  </si>
  <si>
    <t>No. 6</t>
  </si>
  <si>
    <t>30 DIAS</t>
  </si>
  <si>
    <t>TUBERIA AC/INOX 304  12 "</t>
  </si>
  <si>
    <t>METRO LINEAL</t>
  </si>
  <si>
    <t>BRIDA AC/INOX 304 SLIP ON  12 "</t>
  </si>
  <si>
    <t>ACCESORIO</t>
  </si>
  <si>
    <t>UN MILLON SETECIENTOS MIL NOVECIENTOS PESOS</t>
  </si>
  <si>
    <t>MDA / CTE</t>
  </si>
  <si>
    <t xml:space="preserve">  CALLE  33A  No. 17F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</si>
</sst>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L20" sqref="L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1" t="s">
        <v>42</v>
      </c>
      <c r="F9" s="30" t="s">
        <v>0</v>
      </c>
      <c r="H9" s="28">
        <v>45784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 t="s">
        <v>39</v>
      </c>
      <c r="E11" s="15"/>
      <c r="F11" s="30" t="s">
        <v>16</v>
      </c>
      <c r="G11" s="30"/>
      <c r="H11" s="28">
        <v>45814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7">
        <v>1</v>
      </c>
      <c r="B16" s="68" t="s">
        <v>50</v>
      </c>
      <c r="C16" s="69"/>
      <c r="D16" s="70"/>
      <c r="E16" s="67" t="s">
        <v>51</v>
      </c>
      <c r="F16" s="71">
        <v>780000</v>
      </c>
      <c r="G16" s="67">
        <v>1</v>
      </c>
      <c r="H16" s="38">
        <f t="shared" ref="H16" si="0">G16*F16</f>
        <v>780000</v>
      </c>
    </row>
    <row r="17" spans="1:8" ht="16.5" thickBot="1" x14ac:dyDescent="0.3">
      <c r="A17" s="62">
        <v>2</v>
      </c>
      <c r="B17" s="63" t="s">
        <v>52</v>
      </c>
      <c r="C17" s="64"/>
      <c r="D17" s="65"/>
      <c r="E17" s="62" t="s">
        <v>53</v>
      </c>
      <c r="F17" s="66">
        <v>680000</v>
      </c>
      <c r="G17" s="62">
        <v>1</v>
      </c>
      <c r="H17" s="38">
        <f t="shared" ref="H17" si="1">G17*F17</f>
        <v>680000</v>
      </c>
    </row>
    <row r="18" spans="1:8" ht="19.5" customHeight="1" thickBot="1" x14ac:dyDescent="0.3">
      <c r="A18" s="49"/>
      <c r="B18" s="74"/>
      <c r="C18" s="75"/>
      <c r="D18" s="76"/>
      <c r="E18" s="49"/>
      <c r="F18" s="49"/>
      <c r="G18" s="49"/>
    </row>
    <row r="19" spans="1:8" ht="19.5" customHeight="1" thickBot="1" x14ac:dyDescent="0.35">
      <c r="A19" s="73" t="s">
        <v>23</v>
      </c>
      <c r="B19" s="77" t="s">
        <v>54</v>
      </c>
      <c r="C19" s="12"/>
      <c r="D19" s="13"/>
      <c r="E19" s="50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3" t="s">
        <v>24</v>
      </c>
      <c r="F20" s="54"/>
      <c r="G20" s="45"/>
      <c r="H20" s="51">
        <f>SUM(H16:H17)</f>
        <v>1460000</v>
      </c>
    </row>
    <row r="21" spans="1:8" ht="19.5" customHeight="1" x14ac:dyDescent="0.25">
      <c r="A21" s="24" t="s">
        <v>25</v>
      </c>
      <c r="B21" s="12"/>
      <c r="C21" s="12"/>
      <c r="D21" s="12"/>
      <c r="E21" s="55" t="s">
        <v>30</v>
      </c>
      <c r="F21" s="23"/>
      <c r="G21" s="56">
        <v>0.19</v>
      </c>
      <c r="H21" s="40">
        <f>H20*G21</f>
        <v>277400</v>
      </c>
    </row>
    <row r="22" spans="1:8" ht="19.5" customHeight="1" x14ac:dyDescent="0.25">
      <c r="A22" s="14" t="s">
        <v>46</v>
      </c>
      <c r="E22" s="57" t="s">
        <v>26</v>
      </c>
      <c r="G22" s="60">
        <v>2.5000000000000001E-2</v>
      </c>
      <c r="H22" s="52">
        <f>H20*G22</f>
        <v>36500</v>
      </c>
    </row>
    <row r="23" spans="1:8" ht="15.75" x14ac:dyDescent="0.25">
      <c r="A23" s="14" t="s">
        <v>35</v>
      </c>
      <c r="E23" s="14"/>
      <c r="F23" s="33"/>
      <c r="G23" s="46"/>
      <c r="H23" s="15"/>
    </row>
    <row r="24" spans="1:8" ht="16.5" thickBot="1" x14ac:dyDescent="0.3">
      <c r="A24" s="14" t="s">
        <v>32</v>
      </c>
      <c r="E24" s="58" t="s">
        <v>27</v>
      </c>
      <c r="F24" s="59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1700900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56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2025-05-07T16:10:58Z</dcterms:modified>
</cp:coreProperties>
</file>