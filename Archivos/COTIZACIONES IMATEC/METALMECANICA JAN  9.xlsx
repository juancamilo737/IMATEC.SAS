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7582741-46C7-423D-AE7E-50BCAD136FA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JA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20" i="1" s="1"/>
  <c r="H21" i="1" l="1"/>
  <c r="H25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<sst xmlns="http://schemas.openxmlformats.org/spreadsheetml/2006/main" count="55" uniqueCount="55">
  <si>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</si>
  <si>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</si>
  <si>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</si>
  <si>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</si>
  <si>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</si>
  <si>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</si>
  <si>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</si>
  <si>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</si>
  <si>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</si>
  <si>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</si>
  <si>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</si>
  <si>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</si>
  <si>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</si>
  <si>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</si>
  <si>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</si>
  <si>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</si>
  <si>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</si>
  <si>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</si>
  <si>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</si>
  <si>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</si>
  <si>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</si>
  <si>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</si>
  <si>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</si>
  <si>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</si>
  <si>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</si>
  <si>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</si>
  <si>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</si>
  <si>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</si>
  <si>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</si>
  <si>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</si>
  <si>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</si>
  <si>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</si>
  <si>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</si>
  <si>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</si>
  <si>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</si>
  <si>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</si>
  <si>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</si>
  <si>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 JAN S.A.S</t>
  </si>
  <si>
    <t>800 185016</t>
  </si>
  <si>
    <t>CALLE  31 A  No. 6 A - 40  76</t>
  </si>
  <si>
    <t>CALI</t>
  </si>
  <si>
    <t>METAL JAN</t>
  </si>
  <si>
    <t>facturacionmetaljan@gmail.com</t>
  </si>
  <si>
    <t>602 3727373</t>
  </si>
  <si>
    <t>EDINSON CABEZAS</t>
  </si>
  <si>
    <t>FORMA DE PAGO : CREDITO A 30 DIAS</t>
  </si>
  <si>
    <t>L I Q U I D A C I O N</t>
  </si>
  <si>
    <t xml:space="preserve">  CALLE  33A  No. 17F - 56                            B/  LA FLORESTA             -   CALI    -                                   CEL.     321 7834969</t>
  </si>
  <si>
    <t xml:space="preserve">           C O T I Z A C I O N</t>
  </si>
  <si>
    <t>No. 9</t>
  </si>
  <si>
    <t>TUBERIA  A / C  SCH 40  8"  X  3.66 mts</t>
  </si>
  <si>
    <t>TRAMO</t>
  </si>
  <si>
    <t>UN MILLON TRESCIENTOS ONCE MIL SEISCIENTOS VEIN-</t>
  </si>
  <si>
    <t>TINUEVE PESOS MDA / CTE</t>
  </si>
  <si>
    <t>ENTREGA EN DOS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</si>
</sst>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7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42" fontId="11" fillId="0" borderId="14" xfId="1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8" fillId="0" borderId="29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6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metalj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0" zoomScaleNormal="100" workbookViewId="0">
      <selection activeCell="J26" sqref="J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8" t="s">
        <v>37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0" t="s">
        <v>38</v>
      </c>
      <c r="D8" s="61"/>
      <c r="E8" s="44"/>
      <c r="H8" s="15"/>
    </row>
    <row r="9" spans="1:8" ht="18.75" customHeight="1" x14ac:dyDescent="0.3">
      <c r="A9" s="21" t="s">
        <v>9</v>
      </c>
      <c r="C9" s="62" t="s">
        <v>39</v>
      </c>
      <c r="D9" s="23"/>
      <c r="E9" s="63" t="s">
        <v>40</v>
      </c>
      <c r="F9" s="30" t="s">
        <v>0</v>
      </c>
      <c r="H9" s="28">
        <v>45782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30</v>
      </c>
    </row>
    <row r="11" spans="1:8" ht="18.75" x14ac:dyDescent="0.3">
      <c r="A11" s="21" t="s">
        <v>10</v>
      </c>
      <c r="C11" s="65" t="s">
        <v>41</v>
      </c>
      <c r="D11" s="59"/>
      <c r="E11" s="45"/>
      <c r="F11" s="30" t="s">
        <v>16</v>
      </c>
      <c r="G11" s="30"/>
      <c r="H11" s="28">
        <v>45791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81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6">
        <v>1</v>
      </c>
      <c r="B16" s="77" t="s">
        <v>50</v>
      </c>
      <c r="C16" s="78"/>
      <c r="D16" s="79"/>
      <c r="E16" s="76" t="s">
        <v>51</v>
      </c>
      <c r="F16" s="80">
        <v>1102209</v>
      </c>
      <c r="G16" s="76">
        <v>1</v>
      </c>
      <c r="H16" s="38">
        <f>G16*F16</f>
        <v>1102209</v>
      </c>
    </row>
    <row r="17" spans="1:8" ht="15.75" thickBot="1" x14ac:dyDescent="0.3"/>
    <row r="18" spans="1:8" ht="16.5" thickBot="1" x14ac:dyDescent="0.3">
      <c r="A18" s="70"/>
      <c r="B18" s="72"/>
      <c r="C18" s="73"/>
      <c r="D18" s="74"/>
      <c r="E18" s="68"/>
      <c r="F18" s="69"/>
      <c r="G18" s="68"/>
      <c r="H18" s="38"/>
    </row>
    <row r="19" spans="1:8" ht="19.5" customHeight="1" thickBot="1" x14ac:dyDescent="0.35">
      <c r="A19" s="71" t="s">
        <v>23</v>
      </c>
      <c r="B19" s="75" t="s">
        <v>52</v>
      </c>
      <c r="C19" s="12"/>
      <c r="D19" s="13"/>
      <c r="E19" s="47"/>
      <c r="F19" s="37" t="s">
        <v>46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0" t="s">
        <v>24</v>
      </c>
      <c r="F20" s="51"/>
      <c r="G20" s="44"/>
      <c r="H20" s="48">
        <f>SUM(H16:H16)</f>
        <v>1102209</v>
      </c>
    </row>
    <row r="21" spans="1:8" ht="19.5" customHeight="1" x14ac:dyDescent="0.25">
      <c r="A21" s="24" t="s">
        <v>25</v>
      </c>
      <c r="B21" s="12"/>
      <c r="C21" s="12"/>
      <c r="D21" s="12"/>
      <c r="E21" s="52" t="s">
        <v>29</v>
      </c>
      <c r="F21" s="23"/>
      <c r="G21" s="53">
        <v>0.19</v>
      </c>
      <c r="H21" s="40">
        <f>H20*G21</f>
        <v>209419.71</v>
      </c>
    </row>
    <row r="22" spans="1:8" ht="19.5" customHeight="1" x14ac:dyDescent="0.25">
      <c r="A22" s="14" t="s">
        <v>45</v>
      </c>
      <c r="E22" s="54" t="s">
        <v>26</v>
      </c>
      <c r="G22" s="57">
        <v>2.5000000000000001E-2</v>
      </c>
      <c r="H22" s="49"/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5" t="s">
        <v>27</v>
      </c>
      <c r="F24" s="56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1311628.71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47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588F7F22-82BB-4948-BEE4-4B2F4D338EE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METALJAN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2025-02-13T18:57:41Z</cp:lastPrinted>
  <dcterms:created xsi:type="dcterms:W3CDTF">2018-11-15T17:29:02Z</dcterms:created>
  <dcterms:modified xsi:type="dcterms:W3CDTF">2025-05-05T16:12:17Z</dcterms:modified>
</cp:coreProperties>
</file>