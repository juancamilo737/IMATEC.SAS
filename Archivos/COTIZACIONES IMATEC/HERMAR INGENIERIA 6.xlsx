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EC18FB6-3FA9-4482-BB5A-00026E9A4AE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ERM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<sst xmlns="http://schemas.openxmlformats.org/spreadsheetml/2006/main" count="53" uniqueCount="53">
  <si>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</si>
  <si>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</si>
  <si>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</si>
  <si>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</si>
  <si>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</si>
  <si>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</si>
  <si>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</si>
  <si>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</si>
  <si>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</si>
  <si>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</si>
  <si>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</si>
  <si>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</si>
  <si>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</si>
  <si>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</si>
  <si>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</si>
  <si>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</si>
  <si>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</si>
  <si>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</si>
  <si>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</si>
  <si>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</si>
  <si>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</si>
  <si>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</si>
  <si>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</si>
  <si>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</si>
  <si>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</si>
  <si>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</si>
  <si>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</si>
  <si>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</si>
  <si>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</si>
  <si>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</si>
  <si>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</si>
  <si>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</si>
  <si>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</si>
  <si>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</si>
  <si>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</si>
  <si>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</si>
  <si>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</si>
  <si>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HERMAR INGENIERIA S.A.S.</t>
  </si>
  <si>
    <t>900 589493</t>
  </si>
  <si>
    <t>CRA 47  No. 42-237</t>
  </si>
  <si>
    <t>PALMIRA</t>
  </si>
  <si>
    <t>diana.albornoz@hermar.co</t>
  </si>
  <si>
    <t>317 6360545</t>
  </si>
  <si>
    <t>LUIS A. BENAVIDES</t>
  </si>
  <si>
    <t>METRO LINEAL</t>
  </si>
  <si>
    <t>ENTREGA INMEDIATA</t>
  </si>
  <si>
    <t xml:space="preserve">  CALLE  33A No. 17F - 56                         B/  LA FLORESTA             -   CALI    -                                   CEL.     321 7834969</t>
  </si>
  <si>
    <t>L I Q U I D A C I O N</t>
  </si>
  <si>
    <t>No. 6</t>
  </si>
  <si>
    <t>TUBERIA  A / C SCH 40  3/8 "</t>
  </si>
  <si>
    <t xml:space="preserve">CIENTO DIECISITE MIL TRESCIENTOS TREINTA Y CUATRO </t>
  </si>
  <si>
    <t>PESOS 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</si>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</sst>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ana.albornoz@hermar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J25" sqref="J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3"/>
      <c r="H6" s="44"/>
    </row>
    <row r="7" spans="1:8" ht="19.5" thickBot="1" x14ac:dyDescent="0.35">
      <c r="A7" s="20" t="s">
        <v>14</v>
      </c>
      <c r="B7" s="12"/>
      <c r="C7" s="46" t="s">
        <v>37</v>
      </c>
      <c r="D7" s="6"/>
      <c r="E7" s="6"/>
      <c r="F7" s="37"/>
      <c r="G7" s="18"/>
      <c r="H7" s="19" t="s">
        <v>48</v>
      </c>
    </row>
    <row r="8" spans="1:8" ht="19.5" thickBot="1" x14ac:dyDescent="0.35">
      <c r="A8" s="21" t="s">
        <v>8</v>
      </c>
      <c r="C8" s="14" t="s">
        <v>38</v>
      </c>
      <c r="E8" s="15"/>
      <c r="H8" s="15"/>
    </row>
    <row r="9" spans="1:8" ht="18.75" customHeight="1" thickBot="1" x14ac:dyDescent="0.35">
      <c r="A9" s="21" t="s">
        <v>9</v>
      </c>
      <c r="C9" s="14" t="s">
        <v>39</v>
      </c>
      <c r="E9" s="67" t="s">
        <v>40</v>
      </c>
      <c r="F9" s="30" t="s">
        <v>0</v>
      </c>
      <c r="H9" s="28">
        <v>45750</v>
      </c>
    </row>
    <row r="10" spans="1:8" ht="18.75" x14ac:dyDescent="0.3">
      <c r="A10" s="21" t="s">
        <v>13</v>
      </c>
      <c r="C10" s="50" t="s">
        <v>41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42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43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34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68">
        <v>1</v>
      </c>
      <c r="B16" s="69" t="s">
        <v>49</v>
      </c>
      <c r="C16" s="70"/>
      <c r="D16" s="71"/>
      <c r="E16" s="68" t="s">
        <v>44</v>
      </c>
      <c r="F16" s="72">
        <v>8500</v>
      </c>
      <c r="G16" s="68">
        <v>5.8</v>
      </c>
      <c r="H16" s="38">
        <f t="shared" ref="H16" si="0">G16*F16</f>
        <v>49300</v>
      </c>
    </row>
    <row r="17" spans="1:8" ht="19.5" customHeight="1" thickBot="1" x14ac:dyDescent="0.3">
      <c r="A17" s="53"/>
      <c r="B17" s="45"/>
      <c r="C17" s="42"/>
      <c r="D17" s="54"/>
      <c r="E17" s="55"/>
      <c r="F17" s="55"/>
      <c r="G17" s="55"/>
    </row>
    <row r="18" spans="1:8" ht="19.5" customHeight="1" thickBot="1" x14ac:dyDescent="0.35">
      <c r="A18" s="52" t="s">
        <v>23</v>
      </c>
      <c r="B18" s="14" t="s">
        <v>50</v>
      </c>
      <c r="D18" s="15"/>
      <c r="E18" s="56"/>
      <c r="F18" s="37" t="s">
        <v>47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9" t="s">
        <v>24</v>
      </c>
      <c r="F19" s="60"/>
      <c r="G19" s="47"/>
      <c r="H19" s="57">
        <f>SUM(H16:H18)</f>
        <v>49300</v>
      </c>
    </row>
    <row r="20" spans="1:8" ht="19.5" customHeight="1" x14ac:dyDescent="0.25">
      <c r="A20" s="24" t="s">
        <v>25</v>
      </c>
      <c r="B20" s="12"/>
      <c r="C20" s="12"/>
      <c r="D20" s="12"/>
      <c r="E20" s="61" t="s">
        <v>29</v>
      </c>
      <c r="F20" s="23"/>
      <c r="G20" s="62">
        <v>0.19</v>
      </c>
      <c r="H20" s="40">
        <f>H19*G20</f>
        <v>9367</v>
      </c>
    </row>
    <row r="21" spans="1:8" ht="19.5" customHeight="1" x14ac:dyDescent="0.25">
      <c r="A21" s="14" t="s">
        <v>30</v>
      </c>
      <c r="E21" s="63" t="s">
        <v>26</v>
      </c>
      <c r="G21" s="66">
        <v>2.5000000000000001E-2</v>
      </c>
      <c r="H21" s="58"/>
    </row>
    <row r="22" spans="1:8" ht="15.75" x14ac:dyDescent="0.25">
      <c r="A22" s="14" t="s">
        <v>45</v>
      </c>
      <c r="E22" s="14"/>
      <c r="F22" s="33"/>
      <c r="G22" s="48"/>
      <c r="H22" s="15"/>
    </row>
    <row r="23" spans="1:8" ht="16.5" thickBot="1" x14ac:dyDescent="0.3">
      <c r="A23" s="14" t="s">
        <v>32</v>
      </c>
      <c r="E23" s="64" t="s">
        <v>27</v>
      </c>
      <c r="F23" s="65"/>
      <c r="G23" s="49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58667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HERMAR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2024-11-25T13:51:01Z</cp:lastPrinted>
  <dcterms:created xsi:type="dcterms:W3CDTF">2018-11-15T17:29:02Z</dcterms:created>
  <dcterms:modified xsi:type="dcterms:W3CDTF">2025-04-03T15:14:51Z</dcterms:modified>
</cp:coreProperties>
</file>