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C82DF6CF-7C03-49C1-BE44-43BDAD58396F}" xr6:coauthVersionLast="47" xr6:coauthVersionMax="47" xr10:uidLastSave="{00000000-0000-0000-0000-000000000000}"/>
  <bookViews>
    <workbookView minimized="1" xWindow="9135" yWindow="4575" windowWidth="13500" windowHeight="9360" xr2:uid="{00000000-000D-0000-FFFF-FFFF00000000}"/>
  </bookViews>
  <sheets>
    <sheet name="TUVACOL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4" i="1" l="1"/>
  <c r="H23" i="1"/>
  <c r="H27" i="1" s="1"/>
</calcChain>
</file>

<file path=xl/sharedStrings.xml><?xml version="1.0" encoding="utf-8"?>
<sst xmlns="http://schemas.openxmlformats.org/spreadsheetml/2006/main" count="62" uniqueCount="59">
  <si>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</si>
  <si>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</si>
  <si>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</si>
  <si>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</si>
  <si>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</si>
  <si>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</si>
  <si>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</si>
  <si>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</si>
  <si>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</si>
  <si>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</si>
  <si>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</si>
  <si>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</si>
  <si>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</si>
  <si>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</si>
  <si>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</si>
  <si>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</si>
  <si>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</si>
  <si>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</si>
  <si>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</si>
  <si>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</si>
  <si>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</si>
  <si>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</si>
  <si>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</si>
  <si>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</si>
  <si>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</si>
  <si>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</si>
  <si>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</si>
  <si>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</si>
  <si>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</si>
  <si>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</si>
  <si>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</si>
  <si>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</si>
  <si>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</si>
  <si>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</si>
  <si>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</si>
  <si>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ITEM</t>
  </si>
  <si>
    <t>CONTACTOS   310 8306118       319 7174165        321 7834969</t>
  </si>
  <si>
    <t>TUVACOL S.A.</t>
  </si>
  <si>
    <t>806 014553</t>
  </si>
  <si>
    <t>VIA 40  No. 67-240</t>
  </si>
  <si>
    <t>BARRANQUILLA</t>
  </si>
  <si>
    <t>contabilidadnal@tuvacol.com</t>
  </si>
  <si>
    <t>605 3619797</t>
  </si>
  <si>
    <t>LUIS A. BENAVIDES</t>
  </si>
  <si>
    <t>FORMA DE PAGO : CREDITO 30 DIAS</t>
  </si>
  <si>
    <t>10 DIAS</t>
  </si>
  <si>
    <t>ENTREGA EN 3 DIAS A PARTIR DE ORDEN DE COMPRA</t>
  </si>
  <si>
    <t>L I Q U I D A C I O N</t>
  </si>
  <si>
    <t>SEDE TUVACOL YUMBO - OSCAR MUÑOZ</t>
  </si>
  <si>
    <t xml:space="preserve"> CALLE  33A  No. 17F - 56                           B/  LA FLORESTA             -   CALI    -                                  CEL.     321 7834969</t>
  </si>
  <si>
    <t>No. 7</t>
  </si>
  <si>
    <t>SERVICIO</t>
  </si>
  <si>
    <t>CORTE Y ROSCA A NIPLE GALVANIZADO 2 " X 2 1/2 "</t>
  </si>
  <si>
    <t>CORTE Y ROSCA A NIPLE AC/INOX  2 "  X  2 1/2 "</t>
  </si>
  <si>
    <t>CORTE Y ROSCA A NIPLE AC/INOX  1 1/2 " X 2 "</t>
  </si>
  <si>
    <t>CORTE Y ROSCA A NIPLE  A / C  2 "  X  2 1/2 "</t>
  </si>
  <si>
    <t>UN MILLON SETECIENTOS CINCUENTA Y TRES MIL TRES-</t>
  </si>
  <si>
    <t>CIENTOS VEINTICINCO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</si>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</sst>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42" fontId="1" fillId="0" borderId="17" xfId="0" applyNumberFormat="1" applyFont="1" applyBorder="1"/>
    <xf numFmtId="0" fontId="0" fillId="0" borderId="17" xfId="0" applyBorder="1"/>
    <xf numFmtId="0" fontId="0" fillId="0" borderId="16" xfId="0" applyBorder="1"/>
    <xf numFmtId="0" fontId="12" fillId="0" borderId="0" xfId="0" applyFont="1" applyAlignment="1">
      <alignment horizontal="center"/>
    </xf>
    <xf numFmtId="42" fontId="1" fillId="0" borderId="17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0" fillId="0" borderId="18" xfId="0" applyBorder="1"/>
    <xf numFmtId="0" fontId="5" fillId="0" borderId="4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3" fillId="0" borderId="25" xfId="2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21" xfId="0" applyFont="1" applyBorder="1" applyAlignment="1">
      <alignment horizontal="center"/>
    </xf>
    <xf numFmtId="0" fontId="8" fillId="0" borderId="30" xfId="0" applyFont="1" applyBorder="1"/>
    <xf numFmtId="0" fontId="8" fillId="0" borderId="21" xfId="0" applyFont="1" applyBorder="1"/>
    <xf numFmtId="0" fontId="8" fillId="0" borderId="31" xfId="0" applyFont="1" applyBorder="1"/>
    <xf numFmtId="42" fontId="11" fillId="0" borderId="21" xfId="1" applyFont="1" applyBorder="1" applyAlignment="1">
      <alignment horizontal="center"/>
    </xf>
    <xf numFmtId="42" fontId="1" fillId="0" borderId="32" xfId="1" applyFont="1" applyBorder="1" applyAlignment="1">
      <alignment horizontal="left"/>
    </xf>
    <xf numFmtId="42" fontId="1" fillId="0" borderId="17" xfId="0" applyNumberFormat="1" applyFont="1" applyBorder="1" applyAlignment="1">
      <alignment horizontal="left"/>
    </xf>
    <xf numFmtId="0" fontId="0" fillId="0" borderId="3" xfId="0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nal@tuva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1" t="s">
        <v>31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8" ht="19.5" thickBot="1" x14ac:dyDescent="0.35">
      <c r="A5" s="46" t="s">
        <v>36</v>
      </c>
      <c r="B5" s="6"/>
      <c r="C5" s="6"/>
      <c r="D5" s="6"/>
      <c r="E5" s="6"/>
    </row>
    <row r="6" spans="1:8" ht="24.75" customHeight="1" thickBot="1" x14ac:dyDescent="0.45">
      <c r="F6" s="11" t="s">
        <v>58</v>
      </c>
      <c r="G6" s="18"/>
      <c r="H6" s="19"/>
    </row>
    <row r="7" spans="1:8" ht="19.5" thickBot="1" x14ac:dyDescent="0.35">
      <c r="A7" s="20" t="s">
        <v>15</v>
      </c>
      <c r="B7" s="13"/>
      <c r="C7" s="29" t="s">
        <v>37</v>
      </c>
      <c r="D7" s="13"/>
      <c r="E7" s="14"/>
      <c r="F7" s="26"/>
      <c r="G7" s="18"/>
      <c r="H7" s="19" t="s">
        <v>50</v>
      </c>
    </row>
    <row r="8" spans="1:8" ht="18.75" x14ac:dyDescent="0.3">
      <c r="A8" s="21" t="s">
        <v>9</v>
      </c>
      <c r="C8" s="48" t="s">
        <v>38</v>
      </c>
      <c r="D8" s="49"/>
      <c r="E8" s="50"/>
      <c r="F8" s="12"/>
      <c r="G8" s="13"/>
      <c r="H8" s="14"/>
    </row>
    <row r="9" spans="1:8" ht="18.75" customHeight="1" x14ac:dyDescent="0.3">
      <c r="A9" s="21" t="s">
        <v>10</v>
      </c>
      <c r="C9" s="51" t="s">
        <v>39</v>
      </c>
      <c r="D9" s="23"/>
      <c r="E9" s="52" t="s">
        <v>40</v>
      </c>
      <c r="F9" s="30" t="s">
        <v>0</v>
      </c>
      <c r="H9" s="31">
        <v>45873</v>
      </c>
    </row>
    <row r="10" spans="1:8" ht="18.75" x14ac:dyDescent="0.3">
      <c r="A10" s="21" t="s">
        <v>14</v>
      </c>
      <c r="C10" s="53" t="s">
        <v>41</v>
      </c>
      <c r="D10" s="24"/>
      <c r="E10" s="54"/>
      <c r="F10" s="30" t="s">
        <v>16</v>
      </c>
      <c r="H10" s="32" t="s">
        <v>45</v>
      </c>
    </row>
    <row r="11" spans="1:8" ht="18.75" x14ac:dyDescent="0.3">
      <c r="A11" s="21" t="s">
        <v>11</v>
      </c>
      <c r="C11" s="55" t="s">
        <v>48</v>
      </c>
      <c r="D11" s="24"/>
      <c r="E11" s="54"/>
      <c r="F11" s="30" t="s">
        <v>17</v>
      </c>
      <c r="G11" s="33"/>
      <c r="H11" s="31">
        <v>45882</v>
      </c>
    </row>
    <row r="12" spans="1:8" ht="18.75" x14ac:dyDescent="0.3">
      <c r="A12" s="21" t="s">
        <v>12</v>
      </c>
      <c r="C12" s="55" t="s">
        <v>42</v>
      </c>
      <c r="D12" s="24"/>
      <c r="E12" s="54"/>
      <c r="F12" s="30" t="s">
        <v>18</v>
      </c>
      <c r="H12" s="34"/>
    </row>
    <row r="13" spans="1:8" ht="18.75" customHeight="1" thickBot="1" x14ac:dyDescent="0.35">
      <c r="A13" s="22" t="s">
        <v>13</v>
      </c>
      <c r="B13" s="4"/>
      <c r="C13" s="56" t="s">
        <v>43</v>
      </c>
      <c r="D13" s="57"/>
      <c r="E13" s="58"/>
      <c r="F13" s="16"/>
      <c r="G13" s="4"/>
      <c r="H13" s="17"/>
    </row>
    <row r="14" spans="1:8" ht="15.75" thickBot="1" x14ac:dyDescent="0.3"/>
    <row r="15" spans="1:8" ht="15.75" thickBot="1" x14ac:dyDescent="0.3">
      <c r="A15" s="35" t="s">
        <v>35</v>
      </c>
      <c r="B15" s="44" t="s">
        <v>24</v>
      </c>
      <c r="C15" s="18"/>
      <c r="D15" s="7"/>
      <c r="E15" s="35" t="s">
        <v>20</v>
      </c>
      <c r="F15" s="35" t="s">
        <v>22</v>
      </c>
      <c r="G15" s="35" t="s">
        <v>21</v>
      </c>
      <c r="H15" s="35" t="s">
        <v>23</v>
      </c>
    </row>
    <row r="16" spans="1:8" ht="16.5" thickBot="1" x14ac:dyDescent="0.3">
      <c r="A16" s="59">
        <v>1</v>
      </c>
      <c r="B16" s="60" t="s">
        <v>52</v>
      </c>
      <c r="C16" s="61"/>
      <c r="D16" s="62"/>
      <c r="E16" s="59" t="s">
        <v>51</v>
      </c>
      <c r="F16" s="63">
        <v>7000</v>
      </c>
      <c r="G16" s="59">
        <v>59</v>
      </c>
      <c r="H16" s="64">
        <f>G16*F16</f>
        <v>413000</v>
      </c>
    </row>
    <row r="17" spans="1:8" ht="16.5" thickBot="1" x14ac:dyDescent="0.3">
      <c r="A17" s="59">
        <v>2</v>
      </c>
      <c r="B17" s="60" t="s">
        <v>53</v>
      </c>
      <c r="C17" s="61"/>
      <c r="D17" s="62"/>
      <c r="E17" s="59" t="s">
        <v>51</v>
      </c>
      <c r="F17" s="63">
        <v>8300</v>
      </c>
      <c r="G17" s="59">
        <v>30</v>
      </c>
      <c r="H17" s="64">
        <f t="shared" ref="H17:H19" si="0">G17*F17</f>
        <v>249000</v>
      </c>
    </row>
    <row r="18" spans="1:8" ht="16.5" thickBot="1" x14ac:dyDescent="0.3">
      <c r="A18" s="59">
        <v>3</v>
      </c>
      <c r="B18" s="60" t="s">
        <v>54</v>
      </c>
      <c r="C18" s="61"/>
      <c r="D18" s="62"/>
      <c r="E18" s="59" t="s">
        <v>51</v>
      </c>
      <c r="F18" s="63">
        <v>7500</v>
      </c>
      <c r="G18" s="59">
        <v>50</v>
      </c>
      <c r="H18" s="64">
        <f t="shared" si="0"/>
        <v>375000</v>
      </c>
    </row>
    <row r="19" spans="1:8" ht="16.5" thickBot="1" x14ac:dyDescent="0.3">
      <c r="A19" s="59">
        <v>4</v>
      </c>
      <c r="B19" s="60" t="s">
        <v>55</v>
      </c>
      <c r="C19" s="61"/>
      <c r="D19" s="62"/>
      <c r="E19" s="59" t="s">
        <v>51</v>
      </c>
      <c r="F19" s="63">
        <v>7800</v>
      </c>
      <c r="G19" s="59">
        <v>60</v>
      </c>
      <c r="H19" s="64">
        <f t="shared" si="0"/>
        <v>468000</v>
      </c>
    </row>
    <row r="20" spans="1:8" ht="19.5" customHeight="1" thickBot="1" x14ac:dyDescent="0.3">
      <c r="H20" s="45"/>
    </row>
    <row r="21" spans="1:8" ht="19.5" customHeight="1" thickBot="1" x14ac:dyDescent="0.35">
      <c r="A21" s="75" t="s">
        <v>25</v>
      </c>
      <c r="B21" s="12" t="s">
        <v>56</v>
      </c>
      <c r="C21" s="13"/>
      <c r="D21" s="14"/>
      <c r="E21" s="66"/>
      <c r="F21" s="46" t="s">
        <v>47</v>
      </c>
      <c r="G21" s="6"/>
      <c r="H21" s="7"/>
    </row>
    <row r="22" spans="1:8" ht="19.5" customHeight="1" thickBot="1" x14ac:dyDescent="0.3">
      <c r="A22" s="76"/>
      <c r="B22" s="16" t="s">
        <v>57</v>
      </c>
      <c r="C22" s="4"/>
      <c r="D22" s="4"/>
      <c r="E22" s="67" t="s">
        <v>26</v>
      </c>
      <c r="F22" s="68"/>
      <c r="G22" s="50"/>
      <c r="H22" s="65">
        <f>SUM(H16:H19)</f>
        <v>1505000</v>
      </c>
    </row>
    <row r="23" spans="1:8" ht="19.5" customHeight="1" x14ac:dyDescent="0.25">
      <c r="A23" s="25" t="s">
        <v>27</v>
      </c>
      <c r="B23" s="13"/>
      <c r="C23" s="13"/>
      <c r="D23" s="13"/>
      <c r="E23" s="69" t="s">
        <v>32</v>
      </c>
      <c r="F23" s="47"/>
      <c r="G23" s="70">
        <v>0.19</v>
      </c>
      <c r="H23" s="42">
        <f>H22*G23</f>
        <v>285950</v>
      </c>
    </row>
    <row r="24" spans="1:8" ht="15.75" x14ac:dyDescent="0.25">
      <c r="A24" s="15" t="s">
        <v>44</v>
      </c>
      <c r="E24" s="71" t="s">
        <v>28</v>
      </c>
      <c r="G24" s="72">
        <v>2.5000000000000001E-2</v>
      </c>
      <c r="H24" s="38">
        <f>H22*G24</f>
        <v>37625</v>
      </c>
    </row>
    <row r="25" spans="1:8" ht="15.75" x14ac:dyDescent="0.25">
      <c r="A25" s="15" t="s">
        <v>46</v>
      </c>
      <c r="E25" s="15"/>
      <c r="F25" s="36"/>
      <c r="G25" s="54"/>
      <c r="H25" s="39"/>
    </row>
    <row r="26" spans="1:8" ht="16.5" thickBot="1" x14ac:dyDescent="0.3">
      <c r="A26" s="15" t="s">
        <v>34</v>
      </c>
      <c r="E26" s="73" t="s">
        <v>29</v>
      </c>
      <c r="F26" s="74"/>
      <c r="G26" s="58"/>
      <c r="H26" s="40"/>
    </row>
    <row r="27" spans="1:8" ht="16.5" customHeight="1" thickBot="1" x14ac:dyDescent="0.35">
      <c r="A27" s="16"/>
      <c r="B27" s="4"/>
      <c r="C27" s="4"/>
      <c r="D27" s="17"/>
      <c r="F27" s="3"/>
      <c r="G27" s="37" t="s">
        <v>30</v>
      </c>
      <c r="H27" s="43">
        <f>H22+H23-H24</f>
        <v>1753325</v>
      </c>
    </row>
    <row r="29" spans="1:8" x14ac:dyDescent="0.25">
      <c r="A29" t="s">
        <v>1</v>
      </c>
    </row>
    <row r="31" spans="1:8" ht="15.75" thickBot="1" x14ac:dyDescent="0.3"/>
    <row r="32" spans="1:8" ht="19.5" thickBot="1" x14ac:dyDescent="0.35">
      <c r="A32" s="26" t="s">
        <v>49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TUVACOL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2024-07-04T12:50:58Z</cp:lastPrinted>
  <dcterms:created xsi:type="dcterms:W3CDTF">2018-11-15T17:29:02Z</dcterms:created>
  <dcterms:modified xsi:type="dcterms:W3CDTF">2025-09-01T20:09:20Z</dcterms:modified>
</cp:coreProperties>
</file>