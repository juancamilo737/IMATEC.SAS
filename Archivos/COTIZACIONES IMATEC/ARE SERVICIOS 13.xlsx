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E28554F-5CF4-4203-9F0B-65DD49E344A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21" i="1"/>
  <c r="H20" i="1"/>
  <c r="H19" i="1"/>
  <c r="H17" i="1"/>
  <c r="H16" i="1"/>
  <c r="H26" i="1" l="1"/>
  <c r="H30" i="1" s="1"/>
</calcChain>
</file>

<file path=xl/sharedStrings.xml><?xml version="1.0" encoding="utf-8"?>
<sst xmlns="http://schemas.openxmlformats.org/spreadsheetml/2006/main" count="65" uniqueCount="60">
  <si>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</si>
  <si>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</si>
  <si>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</si>
  <si>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</si>
  <si>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</si>
  <si>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</si>
  <si>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</si>
  <si>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</si>
  <si>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</si>
  <si>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</si>
  <si>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</si>
  <si>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</si>
  <si>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</si>
  <si>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</si>
  <si>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</si>
  <si>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</si>
  <si>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</si>
  <si>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</si>
  <si>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</si>
  <si>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</si>
  <si>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</si>
  <si>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</si>
  <si>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</si>
  <si>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</si>
  <si>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</si>
  <si>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</si>
  <si>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</si>
  <si>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</si>
  <si>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</si>
  <si>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</si>
  <si>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</si>
  <si>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</si>
  <si>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</si>
  <si>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</si>
  <si>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</si>
  <si>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</si>
  <si>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</si>
  <si>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</si>
  <si>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</si>
  <si>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</si>
  <si>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</si>
  <si>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</si>
  <si>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</si>
  <si>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</si>
  <si>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</si>
  <si>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</si>
  <si>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</si>
  <si>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</si>
  <si>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>CTE</t>
  </si>
  <si>
    <t>No. 13</t>
  </si>
  <si>
    <t xml:space="preserve">           C O T I Z A C I O N</t>
  </si>
  <si>
    <t>10 DIAS</t>
  </si>
  <si>
    <t>VALVULA A / C  BOLA  1 1/2 "  X 1000 LBS ROSCADA</t>
  </si>
  <si>
    <t>CHEQUE CORTINA HORIZONTAL BRONCE 1 1/2 "</t>
  </si>
  <si>
    <t>X  125 LBS  MARCA HELMAN</t>
  </si>
  <si>
    <t>UNIVERSAL HR  1 1/2 "  X  150 LBS ROSCADA</t>
  </si>
  <si>
    <t>NIPLE  A / C  SCH 40  1 1/2 "  X 2 "</t>
  </si>
  <si>
    <t>CODO  HR  1 1/2 " X  90 º X 150 LBS ROSCADO</t>
  </si>
  <si>
    <t>REDUCCION BUSHING HR  1 1/2 "  X 150 LBS ROSCA</t>
  </si>
  <si>
    <t>QUINIENTOS TREINTA MIL QUINIENTOS DOS PESOS  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</si>
</sst>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5"/>
  <sheetViews>
    <sheetView tabSelected="1" zoomScaleNormal="100" workbookViewId="0">
      <selection activeCell="J15" sqref="J1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49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45757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45766</v>
      </c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52</v>
      </c>
      <c r="C16" s="72"/>
      <c r="D16" s="73"/>
      <c r="E16" s="70" t="s">
        <v>45</v>
      </c>
      <c r="F16" s="74">
        <v>110000</v>
      </c>
      <c r="G16" s="70">
        <v>1</v>
      </c>
      <c r="H16" s="38">
        <f t="shared" ref="H16" si="0">G16*F16</f>
        <v>110000</v>
      </c>
    </row>
    <row r="17" spans="1:8" ht="16.5" thickBot="1" x14ac:dyDescent="0.3">
      <c r="A17" s="70">
        <v>2</v>
      </c>
      <c r="B17" s="71" t="s">
        <v>53</v>
      </c>
      <c r="C17" s="72"/>
      <c r="D17" s="73"/>
      <c r="E17" s="70" t="s">
        <v>45</v>
      </c>
      <c r="F17" s="74">
        <v>285000</v>
      </c>
      <c r="G17" s="70">
        <v>1</v>
      </c>
      <c r="H17" s="38">
        <f t="shared" ref="H17:H21" si="1">G17*F17</f>
        <v>285000</v>
      </c>
    </row>
    <row r="18" spans="1:8" ht="16.5" thickBot="1" x14ac:dyDescent="0.3">
      <c r="A18" s="70"/>
      <c r="B18" s="71" t="s">
        <v>54</v>
      </c>
      <c r="C18" s="72"/>
      <c r="D18" s="73"/>
      <c r="E18" s="70"/>
      <c r="F18" s="74"/>
      <c r="G18" s="70"/>
      <c r="H18" s="38"/>
    </row>
    <row r="19" spans="1:8" ht="16.5" thickBot="1" x14ac:dyDescent="0.3">
      <c r="A19" s="70">
        <v>3</v>
      </c>
      <c r="B19" s="71" t="s">
        <v>55</v>
      </c>
      <c r="C19" s="72"/>
      <c r="D19" s="73"/>
      <c r="E19" s="70" t="s">
        <v>45</v>
      </c>
      <c r="F19" s="74">
        <v>28500</v>
      </c>
      <c r="G19" s="70">
        <v>1</v>
      </c>
      <c r="H19" s="38">
        <f t="shared" si="1"/>
        <v>28500</v>
      </c>
    </row>
    <row r="20" spans="1:8" ht="16.5" thickBot="1" x14ac:dyDescent="0.3">
      <c r="A20" s="70">
        <v>4</v>
      </c>
      <c r="B20" s="71" t="s">
        <v>56</v>
      </c>
      <c r="C20" s="72"/>
      <c r="D20" s="73"/>
      <c r="E20" s="70" t="s">
        <v>45</v>
      </c>
      <c r="F20" s="74">
        <v>4000</v>
      </c>
      <c r="G20" s="70">
        <v>1</v>
      </c>
      <c r="H20" s="38">
        <f t="shared" si="1"/>
        <v>4000</v>
      </c>
    </row>
    <row r="21" spans="1:8" ht="16.5" thickBot="1" x14ac:dyDescent="0.3">
      <c r="A21" s="70">
        <v>5</v>
      </c>
      <c r="B21" s="71" t="s">
        <v>57</v>
      </c>
      <c r="C21" s="72"/>
      <c r="D21" s="73"/>
      <c r="E21" s="70" t="s">
        <v>45</v>
      </c>
      <c r="F21" s="74">
        <v>9800</v>
      </c>
      <c r="G21" s="70">
        <v>1</v>
      </c>
      <c r="H21" s="38">
        <f t="shared" si="1"/>
        <v>9800</v>
      </c>
    </row>
    <row r="22" spans="1:8" ht="16.5" thickBot="1" x14ac:dyDescent="0.3">
      <c r="A22" s="70">
        <v>6</v>
      </c>
      <c r="B22" s="71" t="s">
        <v>58</v>
      </c>
      <c r="C22" s="72"/>
      <c r="D22" s="73"/>
      <c r="E22" s="70" t="s">
        <v>45</v>
      </c>
      <c r="F22" s="74">
        <v>8500</v>
      </c>
      <c r="G22" s="70">
        <v>1</v>
      </c>
      <c r="H22" s="38">
        <f t="shared" ref="H22" si="2">G22*F22</f>
        <v>8500</v>
      </c>
    </row>
    <row r="23" spans="1:8" ht="19.5" customHeight="1" thickBot="1" x14ac:dyDescent="0.3">
      <c r="A23" s="47"/>
      <c r="B23" s="77"/>
      <c r="D23" s="78"/>
      <c r="E23" s="47"/>
      <c r="F23" s="47"/>
      <c r="G23" s="47"/>
    </row>
    <row r="24" spans="1:8" ht="19.5" customHeight="1" thickBot="1" x14ac:dyDescent="0.35">
      <c r="A24" s="76" t="s">
        <v>23</v>
      </c>
      <c r="B24" s="79" t="s">
        <v>59</v>
      </c>
      <c r="C24" s="12"/>
      <c r="D24" s="13"/>
      <c r="E24" s="48"/>
      <c r="F24" s="37" t="s">
        <v>46</v>
      </c>
      <c r="G24" s="6"/>
      <c r="H24" s="7"/>
    </row>
    <row r="25" spans="1:8" ht="19.5" customHeight="1" thickBot="1" x14ac:dyDescent="0.3">
      <c r="A25" s="39"/>
      <c r="B25" s="16" t="s">
        <v>48</v>
      </c>
      <c r="C25" s="4"/>
      <c r="D25" s="17"/>
      <c r="E25" s="51" t="s">
        <v>24</v>
      </c>
      <c r="F25" s="52"/>
      <c r="G25" s="44"/>
      <c r="H25" s="49">
        <f>SUM(H16:H22)</f>
        <v>445800</v>
      </c>
    </row>
    <row r="26" spans="1:8" ht="19.5" customHeight="1" x14ac:dyDescent="0.25">
      <c r="A26" s="24" t="s">
        <v>25</v>
      </c>
      <c r="B26" s="12"/>
      <c r="C26" s="12"/>
      <c r="D26" s="12"/>
      <c r="E26" s="53" t="s">
        <v>29</v>
      </c>
      <c r="F26" s="23"/>
      <c r="G26" s="54">
        <v>0.19</v>
      </c>
      <c r="H26" s="40">
        <f>H25*G26</f>
        <v>84702</v>
      </c>
    </row>
    <row r="27" spans="1:8" ht="19.5" customHeight="1" x14ac:dyDescent="0.25">
      <c r="A27" s="14" t="s">
        <v>30</v>
      </c>
      <c r="E27" s="55" t="s">
        <v>26</v>
      </c>
      <c r="G27" s="58">
        <v>2.5000000000000001E-2</v>
      </c>
      <c r="H27" s="50"/>
    </row>
    <row r="28" spans="1:8" ht="15.75" x14ac:dyDescent="0.25">
      <c r="A28" s="14" t="s">
        <v>35</v>
      </c>
      <c r="E28" s="14"/>
      <c r="F28" s="33"/>
      <c r="G28" s="45"/>
      <c r="H28" s="15"/>
    </row>
    <row r="29" spans="1:8" ht="16.5" thickBot="1" x14ac:dyDescent="0.3">
      <c r="A29" s="14" t="s">
        <v>32</v>
      </c>
      <c r="E29" s="56" t="s">
        <v>27</v>
      </c>
      <c r="F29" s="57"/>
      <c r="G29" s="46"/>
      <c r="H29" s="17"/>
    </row>
    <row r="30" spans="1:8" ht="19.5" thickBot="1" x14ac:dyDescent="0.35">
      <c r="A30" s="16"/>
      <c r="B30" s="4"/>
      <c r="C30" s="4"/>
      <c r="D30" s="17"/>
      <c r="F30" s="3"/>
      <c r="G30" s="34" t="s">
        <v>28</v>
      </c>
      <c r="H30" s="36">
        <f>H25+H26</f>
        <v>530502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47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2025-03-22T17:15:54Z</cp:lastPrinted>
  <dcterms:created xsi:type="dcterms:W3CDTF">2018-11-15T17:29:02Z</dcterms:created>
  <dcterms:modified xsi:type="dcterms:W3CDTF">2025-04-10T21:30:09Z</dcterms:modified>
</cp:coreProperties>
</file>