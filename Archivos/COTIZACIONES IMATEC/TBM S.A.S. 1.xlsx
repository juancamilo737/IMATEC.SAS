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95FD5456-057D-4658-9A6D-ECE7A7EB496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,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9" i="1" l="1"/>
  <c r="H27" i="1"/>
  <c r="H26" i="1"/>
  <c r="H24" i="1"/>
  <c r="H21" i="1"/>
  <c r="H20" i="1"/>
  <c r="H19" i="1"/>
  <c r="H18" i="1"/>
  <c r="H17" i="1"/>
  <c r="H16" i="1"/>
  <c r="H25" i="1" l="1"/>
</calcChain>
</file>

<file path=xl/sharedStrings.xml><?xml version="1.0" encoding="utf-8"?>
<sst xmlns="http://schemas.openxmlformats.org/spreadsheetml/2006/main" count="65" uniqueCount="62">
  <si>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</si>
  <si>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</si>
  <si>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</si>
  <si>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</si>
  <si>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</si>
  <si>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</si>
  <si>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</si>
  <si>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</si>
  <si>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</si>
  <si>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</si>
  <si>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</si>
  <si>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</si>
  <si>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</si>
  <si>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</si>
  <si>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</si>
  <si>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</si>
  <si>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</si>
  <si>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</si>
  <si>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</si>
  <si>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</si>
  <si>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</si>
  <si>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</si>
  <si>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</si>
  <si>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</si>
  <si>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</si>
  <si>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</si>
  <si>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</si>
  <si>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</si>
  <si>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</si>
  <si>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</si>
  <si>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</si>
  <si>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</si>
  <si>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</si>
  <si>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</si>
  <si>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</si>
  <si>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</si>
  <si>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</si>
  <si>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</si>
  <si>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</si>
  <si>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</si>
  <si>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</si>
  <si>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</si>
  <si>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TBM  S.A.S.</t>
  </si>
  <si>
    <t>900 626565</t>
  </si>
  <si>
    <t>CALLE 3 D  No. 76 - 33</t>
  </si>
  <si>
    <t>CALI</t>
  </si>
  <si>
    <t>No.  1</t>
  </si>
  <si>
    <t>tbmsas1@gmail.com</t>
  </si>
  <si>
    <t>311 6483278</t>
  </si>
  <si>
    <t>EDINSON CABEZAS</t>
  </si>
  <si>
    <t>TUBERIA  AC/INOX 304  SCH 10  4 "</t>
  </si>
  <si>
    <t>TUBO X 6 MTS</t>
  </si>
  <si>
    <t>CODO  AC/NOX 304  SCH 10  4 "  X  90 º</t>
  </si>
  <si>
    <t>BRIDA A C/INOX 304  SLIP ON  4 "  X  150 LBS</t>
  </si>
  <si>
    <t>BRIDA A C/INOX 304  ROSCADA  4 "  X  150 LBS</t>
  </si>
  <si>
    <t>NIPLE  AC/INOX 304  4 "  X  5 "</t>
  </si>
  <si>
    <t>FABRICACION</t>
  </si>
  <si>
    <t>REDUCCION COPA EXCENTRICA AC/INOX 304 3"X 2"</t>
  </si>
  <si>
    <t xml:space="preserve">   RETEICA</t>
  </si>
  <si>
    <t>DOS MILLONES CUATROCIENTOS SETENTA Y CINCO MIL</t>
  </si>
  <si>
    <t>OCHOCIENTOS DOCE PESOS MDA / CTE</t>
  </si>
  <si>
    <t>ENTREGA EN UN DIA POSTERIOR A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</si>
</sst>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bmsas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4"/>
  <sheetViews>
    <sheetView tabSelected="1" topLeftCell="A4" zoomScaleNormal="100" workbookViewId="0">
      <selection activeCell="A28" sqref="A2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2"/>
      <c r="H6" s="43"/>
    </row>
    <row r="7" spans="1:8" ht="19.5" thickBot="1" x14ac:dyDescent="0.35">
      <c r="A7" s="20" t="s">
        <v>14</v>
      </c>
      <c r="B7" s="12"/>
      <c r="C7" s="60" t="s">
        <v>42</v>
      </c>
      <c r="D7" s="12"/>
      <c r="E7" s="13"/>
      <c r="F7" s="37"/>
      <c r="G7" s="18"/>
      <c r="H7" s="19" t="s">
        <v>46</v>
      </c>
    </row>
    <row r="8" spans="1:8" ht="18.75" x14ac:dyDescent="0.3">
      <c r="A8" s="21" t="s">
        <v>8</v>
      </c>
      <c r="C8" s="69" t="s">
        <v>43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44</v>
      </c>
      <c r="E9" s="15" t="s">
        <v>45</v>
      </c>
      <c r="F9" s="30" t="s">
        <v>0</v>
      </c>
      <c r="H9" s="28">
        <v>45870</v>
      </c>
    </row>
    <row r="10" spans="1:8" ht="18.75" x14ac:dyDescent="0.3">
      <c r="A10" s="21" t="s">
        <v>13</v>
      </c>
      <c r="C10" s="70" t="s">
        <v>47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45878</v>
      </c>
    </row>
    <row r="12" spans="1:8" ht="18.75" x14ac:dyDescent="0.3">
      <c r="A12" s="21" t="s">
        <v>11</v>
      </c>
      <c r="C12" s="14" t="s">
        <v>48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49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35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1">
        <v>1</v>
      </c>
      <c r="B16" s="62" t="s">
        <v>50</v>
      </c>
      <c r="C16" s="63"/>
      <c r="D16" s="64"/>
      <c r="E16" s="61" t="s">
        <v>51</v>
      </c>
      <c r="F16" s="65">
        <v>977400</v>
      </c>
      <c r="G16" s="61">
        <v>1</v>
      </c>
      <c r="H16" s="38">
        <f t="shared" ref="H16" si="0">G16*F16</f>
        <v>977400</v>
      </c>
    </row>
    <row r="17" spans="1:8" ht="16.5" thickBot="1" x14ac:dyDescent="0.3">
      <c r="A17" s="61">
        <v>2</v>
      </c>
      <c r="B17" s="62" t="s">
        <v>52</v>
      </c>
      <c r="C17" s="63"/>
      <c r="D17" s="64"/>
      <c r="E17" s="61" t="s">
        <v>39</v>
      </c>
      <c r="F17" s="65">
        <v>63500</v>
      </c>
      <c r="G17" s="61">
        <v>2</v>
      </c>
      <c r="H17" s="38">
        <f t="shared" ref="H17:H21" si="1">G17*F17</f>
        <v>127000</v>
      </c>
    </row>
    <row r="18" spans="1:8" ht="16.5" thickBot="1" x14ac:dyDescent="0.3">
      <c r="A18" s="61">
        <v>3</v>
      </c>
      <c r="B18" s="62" t="s">
        <v>53</v>
      </c>
      <c r="C18" s="63"/>
      <c r="D18" s="64"/>
      <c r="E18" s="61" t="s">
        <v>39</v>
      </c>
      <c r="F18" s="65">
        <v>129600</v>
      </c>
      <c r="G18" s="61">
        <v>2</v>
      </c>
      <c r="H18" s="38">
        <f t="shared" si="1"/>
        <v>259200</v>
      </c>
    </row>
    <row r="19" spans="1:8" ht="16.5" thickBot="1" x14ac:dyDescent="0.3">
      <c r="A19" s="61">
        <v>4</v>
      </c>
      <c r="B19" s="62" t="s">
        <v>54</v>
      </c>
      <c r="C19" s="63"/>
      <c r="D19" s="64"/>
      <c r="E19" s="61" t="s">
        <v>39</v>
      </c>
      <c r="F19" s="65">
        <v>216600</v>
      </c>
      <c r="G19" s="61">
        <v>2</v>
      </c>
      <c r="H19" s="38">
        <f t="shared" si="1"/>
        <v>433200</v>
      </c>
    </row>
    <row r="20" spans="1:8" ht="16.5" thickBot="1" x14ac:dyDescent="0.3">
      <c r="A20" s="61">
        <v>5</v>
      </c>
      <c r="B20" s="62" t="s">
        <v>55</v>
      </c>
      <c r="C20" s="63"/>
      <c r="D20" s="64"/>
      <c r="E20" s="61" t="s">
        <v>56</v>
      </c>
      <c r="F20" s="65">
        <v>82000</v>
      </c>
      <c r="G20" s="61">
        <v>2</v>
      </c>
      <c r="H20" s="38">
        <f t="shared" si="1"/>
        <v>164000</v>
      </c>
    </row>
    <row r="21" spans="1:8" ht="16.5" thickBot="1" x14ac:dyDescent="0.3">
      <c r="A21" s="61">
        <v>6</v>
      </c>
      <c r="B21" s="62" t="s">
        <v>57</v>
      </c>
      <c r="C21" s="63"/>
      <c r="D21" s="64"/>
      <c r="E21" s="61" t="s">
        <v>39</v>
      </c>
      <c r="F21" s="65">
        <v>59500</v>
      </c>
      <c r="G21" s="61">
        <v>3</v>
      </c>
      <c r="H21" s="38">
        <f t="shared" si="1"/>
        <v>178500</v>
      </c>
    </row>
    <row r="22" spans="1:8" ht="19.5" customHeight="1" thickBot="1" x14ac:dyDescent="0.3">
      <c r="A22" s="48"/>
      <c r="B22" s="67"/>
      <c r="D22" s="68"/>
      <c r="E22" s="48"/>
      <c r="F22" s="48"/>
      <c r="G22" s="48"/>
    </row>
    <row r="23" spans="1:8" ht="19.5" customHeight="1" thickBot="1" x14ac:dyDescent="0.35">
      <c r="A23" s="66" t="s">
        <v>23</v>
      </c>
      <c r="B23" s="69" t="s">
        <v>59</v>
      </c>
      <c r="C23" s="12"/>
      <c r="D23" s="13"/>
      <c r="E23" s="49"/>
      <c r="F23" s="37" t="s">
        <v>40</v>
      </c>
      <c r="G23" s="6"/>
      <c r="H23" s="7"/>
    </row>
    <row r="24" spans="1:8" ht="19.5" customHeight="1" thickBot="1" x14ac:dyDescent="0.3">
      <c r="A24" s="39"/>
      <c r="B24" s="16" t="s">
        <v>60</v>
      </c>
      <c r="C24" s="4"/>
      <c r="D24" s="17"/>
      <c r="E24" s="52" t="s">
        <v>24</v>
      </c>
      <c r="F24" s="53"/>
      <c r="G24" s="44"/>
      <c r="H24" s="50">
        <f>SUM(H16:H21)</f>
        <v>2139300</v>
      </c>
    </row>
    <row r="25" spans="1:8" ht="19.5" customHeight="1" x14ac:dyDescent="0.25">
      <c r="A25" s="24" t="s">
        <v>25</v>
      </c>
      <c r="B25" s="12"/>
      <c r="C25" s="12"/>
      <c r="D25" s="12"/>
      <c r="E25" s="54" t="s">
        <v>29</v>
      </c>
      <c r="F25" s="23"/>
      <c r="G25" s="55">
        <v>0.19</v>
      </c>
      <c r="H25" s="40">
        <f>H24*G25</f>
        <v>406467</v>
      </c>
    </row>
    <row r="26" spans="1:8" ht="19.5" customHeight="1" x14ac:dyDescent="0.25">
      <c r="A26" s="14" t="s">
        <v>30</v>
      </c>
      <c r="E26" s="56" t="s">
        <v>26</v>
      </c>
      <c r="G26" s="59">
        <v>2.5000000000000001E-2</v>
      </c>
      <c r="H26" s="51">
        <f>H24*G26</f>
        <v>53482.5</v>
      </c>
    </row>
    <row r="27" spans="1:8" ht="15.75" x14ac:dyDescent="0.25">
      <c r="A27" s="14" t="s">
        <v>61</v>
      </c>
      <c r="E27" s="54" t="s">
        <v>58</v>
      </c>
      <c r="F27" s="33"/>
      <c r="G27" s="45">
        <v>7.7000000000000002E-3</v>
      </c>
      <c r="H27" s="51">
        <f>H24*G27</f>
        <v>16472.61</v>
      </c>
    </row>
    <row r="28" spans="1:8" ht="16.5" thickBot="1" x14ac:dyDescent="0.3">
      <c r="A28" s="14" t="s">
        <v>33</v>
      </c>
      <c r="E28" s="57" t="s">
        <v>27</v>
      </c>
      <c r="F28" s="58"/>
      <c r="G28" s="46"/>
      <c r="H28" s="17"/>
    </row>
    <row r="29" spans="1:8" ht="19.5" thickBot="1" x14ac:dyDescent="0.35">
      <c r="A29" s="16"/>
      <c r="B29" s="4"/>
      <c r="C29" s="4"/>
      <c r="D29" s="17"/>
      <c r="F29" s="3"/>
      <c r="G29" s="34" t="s">
        <v>28</v>
      </c>
      <c r="H29" s="36">
        <f>H24+H25-H26-H27</f>
        <v>2475811.89</v>
      </c>
    </row>
    <row r="30" spans="1:8" ht="16.5" customHeight="1" x14ac:dyDescent="0.25"/>
    <row r="35" spans="1:8" ht="15.75" thickBot="1" x14ac:dyDescent="0.3"/>
    <row r="36" spans="1:8" ht="19.5" thickBot="1" x14ac:dyDescent="0.35">
      <c r="A36" s="25" t="s">
        <v>41</v>
      </c>
      <c r="B36" s="6"/>
      <c r="C36" s="6"/>
      <c r="D36" s="6"/>
      <c r="E36" s="6"/>
      <c r="F36" s="6"/>
      <c r="G36" s="6"/>
      <c r="H36" s="7"/>
    </row>
    <row r="44" spans="1:8" ht="18.75" x14ac:dyDescent="0.3">
      <c r="A44" s="5"/>
    </row>
  </sheetData>
  <hyperlinks>
    <hyperlink ref="C10" r:id="rId1" xr:uid="{7425DBF2-2A0B-4912-8384-45007752DE4F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,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2025-08-01T20:41:42Z</dcterms:modified>
</cp:coreProperties>
</file>