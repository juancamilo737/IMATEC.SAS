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CCC5534-091D-469C-A0C9-9F4757A7CF9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BRONCES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<sst xmlns="http://schemas.openxmlformats.org/spreadsheetml/2006/main" count="53" uniqueCount="53">
  <si>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</si>
  <si>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</si>
  <si>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</si>
  <si>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</si>
  <si>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</si>
  <si>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</si>
  <si>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</si>
  <si>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</si>
  <si>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</si>
  <si>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</si>
  <si>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</si>
  <si>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</si>
  <si>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</si>
  <si>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</si>
  <si>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</si>
  <si>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</si>
  <si>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</si>
  <si>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</si>
  <si>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</si>
  <si>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</si>
  <si>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</si>
  <si>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</si>
  <si>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</si>
  <si>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</si>
  <si>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</si>
  <si>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</si>
  <si>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</si>
  <si>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</si>
  <si>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</si>
  <si>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</si>
  <si>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</si>
  <si>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</si>
  <si>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</si>
  <si>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</si>
  <si>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</si>
  <si>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</si>
  <si>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</si>
  <si>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</si>
  <si>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</si>
  <si>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</si>
  <si>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ACCESORIO</t>
  </si>
  <si>
    <t>ENTREGA EN TRES DIAS A PARTIR DE ORDEN DE COMPRA</t>
  </si>
  <si>
    <t>CUATROCIENTOS NOVENTA Y NUEVE MIL OCHOCIENTOS</t>
  </si>
  <si>
    <t xml:space="preserve"> PESOS MDA / CTE</t>
  </si>
  <si>
    <t>TUBERIA  A / C  4 " RANURADA</t>
  </si>
  <si>
    <t xml:space="preserve">              R E M I S I O N</t>
  </si>
  <si>
    <t>MARCO ANDRES CASTRO BARONA</t>
  </si>
  <si>
    <t>CRA 28 D  No. 33G-08</t>
  </si>
  <si>
    <t>CALI</t>
  </si>
  <si>
    <t>brocesdelvalle@hotmail.com</t>
  </si>
  <si>
    <t>BRONCES DEL VALLE</t>
  </si>
  <si>
    <t>602 4451179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</si>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</sst>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ocesdelvall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12" sqref="E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2" t="s">
        <v>39</v>
      </c>
      <c r="B5" s="6"/>
      <c r="C5" s="6"/>
      <c r="D5" s="6"/>
      <c r="E5" s="6"/>
    </row>
    <row r="6" spans="1:8" ht="24.75" customHeight="1" thickBot="1" x14ac:dyDescent="0.45">
      <c r="F6" s="11" t="s">
        <v>45</v>
      </c>
      <c r="G6" s="19"/>
      <c r="H6" s="20"/>
    </row>
    <row r="7" spans="1:8" ht="19.5" thickBot="1" x14ac:dyDescent="0.35">
      <c r="A7" s="21" t="s">
        <v>14</v>
      </c>
      <c r="B7" s="13"/>
      <c r="C7" s="31" t="s">
        <v>46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>
        <v>14936862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47</v>
      </c>
      <c r="D9" s="24"/>
      <c r="E9" s="25" t="s">
        <v>48</v>
      </c>
      <c r="F9" s="32" t="s">
        <v>0</v>
      </c>
      <c r="H9" s="33">
        <v>45509</v>
      </c>
    </row>
    <row r="10" spans="1:8" ht="18.75" x14ac:dyDescent="0.3">
      <c r="A10" s="22" t="s">
        <v>13</v>
      </c>
      <c r="C10" s="47" t="s">
        <v>49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 t="s">
        <v>50</v>
      </c>
      <c r="D11" s="26"/>
      <c r="E11" s="26"/>
      <c r="F11" s="32" t="s">
        <v>16</v>
      </c>
      <c r="G11" s="35"/>
      <c r="H11" s="33">
        <v>45517</v>
      </c>
    </row>
    <row r="12" spans="1:8" ht="18.75" x14ac:dyDescent="0.3">
      <c r="A12" s="22" t="s">
        <v>11</v>
      </c>
      <c r="C12" s="25" t="s">
        <v>51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52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8">
        <v>1</v>
      </c>
      <c r="B16" s="59" t="s">
        <v>44</v>
      </c>
      <c r="C16" s="60"/>
      <c r="D16" s="61"/>
      <c r="E16" s="62" t="s">
        <v>40</v>
      </c>
      <c r="F16" s="63">
        <v>70000</v>
      </c>
      <c r="G16" s="58">
        <v>6</v>
      </c>
      <c r="H16" s="53">
        <f>G16*F16</f>
        <v>420000</v>
      </c>
    </row>
    <row r="17" spans="1:8" ht="16.5" thickBot="1" x14ac:dyDescent="0.3">
      <c r="A17" s="64"/>
      <c r="B17" s="65"/>
      <c r="C17" s="65"/>
      <c r="D17" s="65"/>
      <c r="E17" s="64"/>
      <c r="F17" s="66"/>
      <c r="G17" s="64"/>
      <c r="H17" s="67"/>
    </row>
    <row r="18" spans="1:8" ht="19.5" customHeight="1" thickBot="1" x14ac:dyDescent="0.35">
      <c r="A18" s="54" t="s">
        <v>25</v>
      </c>
      <c r="B18" s="12" t="s">
        <v>42</v>
      </c>
      <c r="C18" s="13"/>
      <c r="D18" s="14"/>
      <c r="E18" s="13"/>
      <c r="F18" s="38" t="s">
        <v>31</v>
      </c>
      <c r="G18" s="13"/>
      <c r="H18" s="7"/>
    </row>
    <row r="19" spans="1:8" ht="19.5" customHeight="1" thickBot="1" x14ac:dyDescent="0.3">
      <c r="A19" s="55"/>
      <c r="B19" s="17" t="s">
        <v>43</v>
      </c>
      <c r="C19" s="4"/>
      <c r="D19" s="4"/>
      <c r="E19" s="39" t="s">
        <v>26</v>
      </c>
      <c r="F19" s="40"/>
      <c r="G19" s="26"/>
      <c r="H19" s="48">
        <f>SUM(H16:H16)</f>
        <v>420000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68"/>
      <c r="G20" s="42">
        <v>0.19</v>
      </c>
      <c r="H20" s="49">
        <f>H19*G20</f>
        <v>79800</v>
      </c>
    </row>
    <row r="21" spans="1:8" ht="19.5" customHeight="1" x14ac:dyDescent="0.25">
      <c r="A21" s="15" t="s">
        <v>34</v>
      </c>
      <c r="D21" s="16"/>
      <c r="E21" s="40" t="s">
        <v>28</v>
      </c>
      <c r="G21" s="57">
        <v>2.5000000000000001E-2</v>
      </c>
      <c r="H21" s="43"/>
    </row>
    <row r="22" spans="1:8" ht="15.75" x14ac:dyDescent="0.25">
      <c r="A22" s="15" t="s">
        <v>41</v>
      </c>
      <c r="D22" s="16"/>
      <c r="F22" s="40"/>
      <c r="G22" s="26"/>
      <c r="H22" s="44"/>
    </row>
    <row r="23" spans="1:8" ht="16.5" thickBot="1" x14ac:dyDescent="0.3">
      <c r="A23" s="15" t="s">
        <v>37</v>
      </c>
      <c r="D23" s="16"/>
      <c r="E23" s="40" t="s">
        <v>29</v>
      </c>
      <c r="F23" s="40"/>
      <c r="G23" s="26"/>
      <c r="H23" s="45"/>
    </row>
    <row r="24" spans="1:8" ht="19.5" thickBot="1" x14ac:dyDescent="0.35">
      <c r="A24" s="17"/>
      <c r="B24" s="4"/>
      <c r="C24" s="4"/>
      <c r="D24" s="18"/>
      <c r="F24" s="3"/>
      <c r="G24" s="41" t="s">
        <v>30</v>
      </c>
      <c r="H24" s="50">
        <f>H19+H20-H21</f>
        <v>499800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BRONCES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2024-08-06T15:40:45Z</cp:lastPrinted>
  <dcterms:created xsi:type="dcterms:W3CDTF">2018-11-15T17:29:02Z</dcterms:created>
  <dcterms:modified xsi:type="dcterms:W3CDTF">2024-08-06T15:41:39Z</dcterms:modified>
</cp:coreProperties>
</file>