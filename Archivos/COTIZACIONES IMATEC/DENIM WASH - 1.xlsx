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9FDC7D8-22C0-48CE-97BF-CC6B81A592C8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DENIM WAS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/>
  <c r="H22" i="1" s="1"/>
  <c r="H23" i="1" l="1"/>
  <c r="H27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<sst xmlns="http://schemas.openxmlformats.org/spreadsheetml/2006/main" count="57" uniqueCount="56">
  <si>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</si>
  <si>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</si>
  <si>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</si>
  <si>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</si>
  <si>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</si>
  <si>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</si>
  <si>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</si>
  <si>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</si>
  <si>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</si>
  <si>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</si>
  <si>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</si>
  <si>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</si>
  <si>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</si>
  <si>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</si>
  <si>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</si>
  <si>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</si>
  <si>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</si>
  <si>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</si>
  <si>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</si>
  <si>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</si>
  <si>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</si>
  <si>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</si>
  <si>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</si>
  <si>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</si>
  <si>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</si>
  <si>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</si>
  <si>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</si>
  <si>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</si>
  <si>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</si>
  <si>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</si>
  <si>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</si>
  <si>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</si>
  <si>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</si>
  <si>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</si>
  <si>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</si>
  <si>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</si>
  <si>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</si>
  <si>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</si>
  <si>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</si>
  <si>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</si>
  <si>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</si>
  <si>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</si>
  <si>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DENIM WASH S.A.S </t>
  </si>
  <si>
    <t>901 614949</t>
  </si>
  <si>
    <t>No. 1</t>
  </si>
  <si>
    <t>CALLE 36  No.  8-99</t>
  </si>
  <si>
    <t>dwcalivalle@gmail.com</t>
  </si>
  <si>
    <t>313 6619383</t>
  </si>
  <si>
    <t>LUIS A. BENAVIDES</t>
  </si>
  <si>
    <t>MEDIDOR PARA AGUA MARCA ACUAFORJA 1 1/2 "</t>
  </si>
  <si>
    <t>MEDIDOR PARA AGUA MARCA D'AQUA 1 1/2 "</t>
  </si>
  <si>
    <t>UN MILLON SEISCIENTOS CINCUENTA MIL QUINIENTOS</t>
  </si>
  <si>
    <t>PROCEDENCIA NACIONAL (3 DIAS )</t>
  </si>
  <si>
    <t>PROCEDENCIA CHINA  (INMEDIATA )</t>
  </si>
  <si>
    <t>TREINTA PESOS MDA / CTE</t>
  </si>
  <si>
    <t>ENTREGA  ESPECIFICADA POR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</si>
</sst>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8" fillId="0" borderId="20" xfId="0" applyFont="1" applyBorder="1"/>
    <xf numFmtId="0" fontId="8" fillId="0" borderId="19" xfId="0" applyFont="1" applyBorder="1"/>
    <xf numFmtId="0" fontId="8" fillId="0" borderId="32" xfId="0" applyFont="1" applyBorder="1"/>
    <xf numFmtId="0" fontId="1" fillId="0" borderId="30" xfId="0" applyFont="1" applyBorder="1" applyAlignment="1">
      <alignment horizontal="center"/>
    </xf>
    <xf numFmtId="42" fontId="11" fillId="0" borderId="30" xfId="1" applyFont="1" applyBorder="1" applyAlignment="1">
      <alignment horizontal="center"/>
    </xf>
    <xf numFmtId="42" fontId="1" fillId="0" borderId="0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wcalival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44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45</v>
      </c>
      <c r="D9" s="23"/>
      <c r="E9" s="70"/>
      <c r="F9" s="30" t="s">
        <v>0</v>
      </c>
      <c r="H9" s="28">
        <v>45702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45711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39</v>
      </c>
      <c r="F16" s="79">
        <v>897000</v>
      </c>
      <c r="G16" s="75">
        <v>1</v>
      </c>
      <c r="H16" s="38">
        <f t="shared" ref="H16" si="0">G16*F16</f>
        <v>897000</v>
      </c>
    </row>
    <row r="17" spans="1:8" ht="16.5" thickBot="1" x14ac:dyDescent="0.3">
      <c r="A17" s="80"/>
      <c r="B17" s="81" t="s">
        <v>52</v>
      </c>
      <c r="C17" s="82"/>
      <c r="D17" s="83"/>
      <c r="E17" s="84"/>
      <c r="F17" s="85"/>
      <c r="G17" s="84"/>
      <c r="H17" s="86"/>
    </row>
    <row r="18" spans="1:8" ht="16.5" thickBot="1" x14ac:dyDescent="0.3">
      <c r="A18" s="75">
        <v>2</v>
      </c>
      <c r="B18" s="76" t="s">
        <v>50</v>
      </c>
      <c r="C18" s="77"/>
      <c r="D18" s="78"/>
      <c r="E18" s="75" t="s">
        <v>39</v>
      </c>
      <c r="F18" s="79">
        <v>490000</v>
      </c>
      <c r="G18" s="75">
        <v>1</v>
      </c>
      <c r="H18" s="38">
        <f t="shared" ref="H18" si="1">G18*F18</f>
        <v>490000</v>
      </c>
    </row>
    <row r="19" spans="1:8" ht="15.75" x14ac:dyDescent="0.25">
      <c r="A19" s="80"/>
      <c r="B19" s="81" t="s">
        <v>53</v>
      </c>
      <c r="C19" s="82"/>
      <c r="D19" s="83"/>
      <c r="E19" s="84"/>
      <c r="F19" s="85"/>
      <c r="G19" s="84"/>
      <c r="H19" s="86"/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51</v>
      </c>
      <c r="D21" s="15"/>
      <c r="E21" s="54"/>
      <c r="F21" s="37" t="s">
        <v>40</v>
      </c>
      <c r="G21" s="6"/>
      <c r="H21" s="7"/>
    </row>
    <row r="22" spans="1:8" ht="19.5" customHeight="1" thickBot="1" x14ac:dyDescent="0.3">
      <c r="A22" s="39"/>
      <c r="B22" s="16" t="s">
        <v>54</v>
      </c>
      <c r="C22" s="4"/>
      <c r="D22" s="4"/>
      <c r="E22" s="57" t="s">
        <v>24</v>
      </c>
      <c r="F22" s="58"/>
      <c r="G22" s="46"/>
      <c r="H22" s="55">
        <f>SUM(H16:H21)</f>
        <v>1387000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263530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/>
    </row>
    <row r="25" spans="1:8" ht="15.75" x14ac:dyDescent="0.25">
      <c r="A25" s="14" t="s">
        <v>55</v>
      </c>
      <c r="E25" s="14"/>
      <c r="F25" s="33"/>
      <c r="G25" s="47"/>
      <c r="H25" s="15"/>
    </row>
    <row r="26" spans="1:8" ht="16.5" thickBot="1" x14ac:dyDescent="0.3">
      <c r="A26" s="14" t="s">
        <v>33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1650530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41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596C2C1C-19BF-455B-A868-4CED3CEE800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DENIM WASH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2025-02-14T16:52:36Z</dcterms:modified>
</cp:coreProperties>
</file>