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72C2232-535B-4160-B9EF-2A26CFC53F9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ODAFER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24" i="1"/>
  <c r="H23" i="1"/>
  <c r="H22" i="1"/>
  <c r="H21" i="1"/>
  <c r="H20" i="1"/>
  <c r="H19" i="1"/>
  <c r="H18" i="1"/>
  <c r="H17" i="1"/>
  <c r="H29" i="1"/>
  <c r="H32" i="1" l="1"/>
</calcChain>
</file>

<file path=xl/sharedStrings.xml><?xml version="1.0" encoding="utf-8"?>
<sst xmlns="http://schemas.openxmlformats.org/spreadsheetml/2006/main" count="66" uniqueCount="59">
  <si>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</si>
  <si>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</si>
  <si>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</si>
  <si>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</si>
  <si>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</si>
  <si>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</si>
  <si>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</si>
  <si>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</si>
  <si>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</si>
  <si>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</si>
  <si>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</si>
  <si>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</si>
  <si>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</si>
  <si>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</si>
  <si>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</si>
  <si>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</si>
  <si>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</si>
  <si>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</si>
  <si>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</si>
  <si>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</si>
  <si>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</si>
  <si>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</si>
  <si>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</si>
  <si>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</si>
  <si>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</si>
  <si>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</si>
  <si>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</si>
  <si>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</si>
  <si>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</si>
  <si>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</si>
  <si>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</si>
  <si>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</si>
  <si>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L I Q U I D A C  I O N</t>
  </si>
  <si>
    <t>ITEM</t>
  </si>
  <si>
    <t>PAGO DE CONTADO</t>
  </si>
  <si>
    <t>LUIS BENAVIDEZ</t>
  </si>
  <si>
    <t xml:space="preserve">MAS IVA </t>
  </si>
  <si>
    <t>ACCESORIO</t>
  </si>
  <si>
    <t xml:space="preserve">  CALLE  33B  No. 17C - 70   2º  PISO               B/  LA FLORESTA             -   CALI    -                                  CEL.     321 7834969</t>
  </si>
  <si>
    <t>CRA 30  No.  23-41</t>
  </si>
  <si>
    <t>TUBERIA  A / C  SCH 40 1 "</t>
  </si>
  <si>
    <t>METRO LINEAL</t>
  </si>
  <si>
    <t>TUBERIA  A / C  SCH 40 3 "</t>
  </si>
  <si>
    <t>CODO A / C  1 "  X  90º  X  150 LB</t>
  </si>
  <si>
    <t>UNION A / C  1 "  X  300 LB</t>
  </si>
  <si>
    <t>UNIVERSAL A / C  1 "  X  150</t>
  </si>
  <si>
    <t>BRIDA  A / C  SLIP ON  1 "  X  150 LB</t>
  </si>
  <si>
    <t>CODO A / C SCH 40  3 "  X  90 º</t>
  </si>
  <si>
    <t>BRIDA  A / C  SLIP ON 3 "  X  150 LB</t>
  </si>
  <si>
    <t>CAP A / C  SCH 40  3 "</t>
  </si>
  <si>
    <t xml:space="preserve">NOVECIENTOS TRECE MIL CUATROCIENTOS CUARENTA </t>
  </si>
  <si>
    <t>Y CUATRO PESOS MDA / CTE</t>
  </si>
  <si>
    <t>ENTREGA EN 1 DIA A PARTIR DE ORDEN DE COMPRA</t>
  </si>
  <si>
    <t>COLOMBIANA DE CALDERAS S.A.S.</t>
  </si>
  <si>
    <t>805 000856</t>
  </si>
  <si>
    <t>PALMIRA</t>
  </si>
  <si>
    <t>contabilidad@COLCALDERAS.COM.CO</t>
  </si>
  <si>
    <t>317 6650387</t>
  </si>
  <si>
    <t xml:space="preserve">            C O T I Z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</si>
</sst>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2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16" xfId="0" applyFont="1" applyBorder="1"/>
    <xf numFmtId="0" fontId="5" fillId="0" borderId="18" xfId="0" applyFont="1" applyBorder="1"/>
    <xf numFmtId="9" fontId="1" fillId="0" borderId="14" xfId="0" applyNumberFormat="1" applyFont="1" applyBorder="1"/>
    <xf numFmtId="42" fontId="1" fillId="0" borderId="17" xfId="0" applyNumberFormat="1" applyFont="1" applyBorder="1"/>
    <xf numFmtId="42" fontId="1" fillId="0" borderId="19" xfId="0" applyNumberFormat="1" applyFont="1" applyBorder="1"/>
    <xf numFmtId="0" fontId="0" fillId="0" borderId="18" xfId="0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center"/>
    </xf>
    <xf numFmtId="0" fontId="13" fillId="0" borderId="14" xfId="2" applyBorder="1"/>
    <xf numFmtId="10" fontId="1" fillId="0" borderId="13" xfId="0" applyNumberFormat="1" applyFont="1" applyBorder="1"/>
    <xf numFmtId="0" fontId="0" fillId="0" borderId="24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5" xfId="0" applyBorder="1"/>
    <xf numFmtId="0" fontId="1" fillId="0" borderId="4" xfId="0" applyFont="1" applyBorder="1" applyAlignment="1">
      <alignment horizontal="center"/>
    </xf>
    <xf numFmtId="0" fontId="8" fillId="0" borderId="26" xfId="0" applyFont="1" applyBorder="1"/>
    <xf numFmtId="0" fontId="8" fillId="0" borderId="4" xfId="0" applyFont="1" applyBorder="1"/>
    <xf numFmtId="0" fontId="8" fillId="0" borderId="25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LCALDERA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7"/>
  <sheetViews>
    <sheetView tabSelected="1" topLeftCell="A19" zoomScaleNormal="100" workbookViewId="0">
      <selection activeCell="F35" sqref="F3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21</v>
      </c>
      <c r="E4" s="18"/>
      <c r="F4" s="19"/>
      <c r="G4" s="6"/>
      <c r="H4" s="7"/>
    </row>
    <row r="5" spans="1:8" ht="15.75" thickBot="1" x14ac:dyDescent="0.3"/>
    <row r="6" spans="1:8" ht="24.75" customHeight="1" thickBot="1" x14ac:dyDescent="0.45">
      <c r="F6" s="11" t="s">
        <v>58</v>
      </c>
      <c r="G6" s="18"/>
      <c r="H6" s="19"/>
    </row>
    <row r="7" spans="1:8" ht="19.5" thickBot="1" x14ac:dyDescent="0.35">
      <c r="A7" s="20" t="s">
        <v>15</v>
      </c>
      <c r="B7" s="13"/>
      <c r="C7" s="30" t="s">
        <v>53</v>
      </c>
      <c r="D7" s="13"/>
      <c r="E7" s="14"/>
      <c r="F7" s="27"/>
      <c r="G7" s="18"/>
      <c r="H7" s="19"/>
    </row>
    <row r="8" spans="1:8" ht="18.75" x14ac:dyDescent="0.3">
      <c r="A8" s="21" t="s">
        <v>9</v>
      </c>
      <c r="C8" s="24" t="s">
        <v>54</v>
      </c>
      <c r="D8" s="25"/>
      <c r="E8" s="25"/>
      <c r="F8" s="12"/>
      <c r="G8" s="13"/>
      <c r="H8" s="14"/>
    </row>
    <row r="9" spans="1:8" ht="18.75" customHeight="1" x14ac:dyDescent="0.3">
      <c r="A9" s="21" t="s">
        <v>10</v>
      </c>
      <c r="C9" s="23" t="s">
        <v>39</v>
      </c>
      <c r="D9" s="23"/>
      <c r="E9" s="24" t="s">
        <v>55</v>
      </c>
      <c r="F9" s="31" t="s">
        <v>0</v>
      </c>
      <c r="H9" s="32">
        <v>45524</v>
      </c>
    </row>
    <row r="10" spans="1:8" ht="18.75" x14ac:dyDescent="0.3">
      <c r="A10" s="21" t="s">
        <v>14</v>
      </c>
      <c r="C10" s="53" t="s">
        <v>56</v>
      </c>
      <c r="D10" s="25"/>
      <c r="E10" s="25"/>
      <c r="F10" s="31" t="s">
        <v>16</v>
      </c>
      <c r="H10" s="33" t="s">
        <v>17</v>
      </c>
    </row>
    <row r="11" spans="1:8" ht="18.75" x14ac:dyDescent="0.3">
      <c r="A11" s="21" t="s">
        <v>11</v>
      </c>
      <c r="C11" s="24"/>
      <c r="D11" s="25"/>
      <c r="E11" s="25"/>
      <c r="F11" s="31" t="s">
        <v>18</v>
      </c>
      <c r="G11" s="34"/>
      <c r="H11" s="32">
        <v>45534</v>
      </c>
    </row>
    <row r="12" spans="1:8" ht="18.75" x14ac:dyDescent="0.3">
      <c r="A12" s="21" t="s">
        <v>12</v>
      </c>
      <c r="C12" s="24" t="s">
        <v>57</v>
      </c>
      <c r="D12" s="25"/>
      <c r="E12" s="25"/>
      <c r="F12" s="31" t="s">
        <v>19</v>
      </c>
      <c r="H12" s="35"/>
    </row>
    <row r="13" spans="1:8" ht="18.75" customHeight="1" thickBot="1" x14ac:dyDescent="0.35">
      <c r="A13" s="22" t="s">
        <v>13</v>
      </c>
      <c r="B13" s="4"/>
      <c r="C13" s="24" t="s">
        <v>35</v>
      </c>
      <c r="D13" s="25"/>
      <c r="E13" s="25"/>
      <c r="F13" s="16"/>
      <c r="G13" s="4"/>
      <c r="H13" s="17"/>
    </row>
    <row r="15" spans="1:8" ht="15.75" thickBot="1" x14ac:dyDescent="0.3"/>
    <row r="16" spans="1:8" ht="15.75" thickBot="1" x14ac:dyDescent="0.3">
      <c r="A16" s="36" t="s">
        <v>33</v>
      </c>
      <c r="B16" s="58" t="s">
        <v>26</v>
      </c>
      <c r="C16" s="18"/>
      <c r="D16" s="59"/>
      <c r="E16" s="49" t="s">
        <v>22</v>
      </c>
      <c r="F16" s="50" t="s">
        <v>24</v>
      </c>
      <c r="G16" s="50" t="s">
        <v>23</v>
      </c>
      <c r="H16" s="51" t="s">
        <v>25</v>
      </c>
    </row>
    <row r="17" spans="1:10" ht="15.75" customHeight="1" thickBot="1" x14ac:dyDescent="0.3">
      <c r="A17" s="60">
        <v>1</v>
      </c>
      <c r="B17" s="61" t="s">
        <v>40</v>
      </c>
      <c r="C17" s="62"/>
      <c r="D17" s="63"/>
      <c r="E17" s="57" t="s">
        <v>41</v>
      </c>
      <c r="F17" s="38">
        <v>15000</v>
      </c>
      <c r="G17" s="36">
        <v>6</v>
      </c>
      <c r="H17" s="52">
        <f>F17*G17</f>
        <v>90000</v>
      </c>
      <c r="I17" s="37"/>
      <c r="J17" s="37"/>
    </row>
    <row r="18" spans="1:10" ht="15.75" customHeight="1" thickBot="1" x14ac:dyDescent="0.3">
      <c r="A18" s="60">
        <v>2</v>
      </c>
      <c r="B18" s="61" t="s">
        <v>42</v>
      </c>
      <c r="C18" s="62"/>
      <c r="D18" s="63"/>
      <c r="E18" s="57" t="s">
        <v>41</v>
      </c>
      <c r="F18" s="38">
        <v>95000</v>
      </c>
      <c r="G18" s="36">
        <v>6</v>
      </c>
      <c r="H18" s="52">
        <f>F18*G18</f>
        <v>570000</v>
      </c>
      <c r="I18" s="37"/>
      <c r="J18" s="37"/>
    </row>
    <row r="19" spans="1:10" ht="15.75" customHeight="1" thickBot="1" x14ac:dyDescent="0.3">
      <c r="A19" s="60">
        <v>3</v>
      </c>
      <c r="B19" s="61" t="s">
        <v>43</v>
      </c>
      <c r="C19" s="62"/>
      <c r="D19" s="63"/>
      <c r="E19" s="57" t="s">
        <v>37</v>
      </c>
      <c r="F19" s="38">
        <v>5400</v>
      </c>
      <c r="G19" s="36">
        <v>1</v>
      </c>
      <c r="H19" s="52">
        <f>F19*G19</f>
        <v>5400</v>
      </c>
      <c r="I19" s="37"/>
      <c r="J19" s="37"/>
    </row>
    <row r="20" spans="1:10" ht="15.75" customHeight="1" thickBot="1" x14ac:dyDescent="0.3">
      <c r="A20" s="60">
        <v>4</v>
      </c>
      <c r="B20" s="61" t="s">
        <v>44</v>
      </c>
      <c r="C20" s="62"/>
      <c r="D20" s="63"/>
      <c r="E20" s="57" t="s">
        <v>37</v>
      </c>
      <c r="F20" s="38">
        <v>4600</v>
      </c>
      <c r="G20" s="36">
        <v>1</v>
      </c>
      <c r="H20" s="52">
        <f>F20*G20</f>
        <v>4600</v>
      </c>
      <c r="I20" s="37"/>
      <c r="J20" s="37"/>
    </row>
    <row r="21" spans="1:10" ht="15.75" customHeight="1" thickBot="1" x14ac:dyDescent="0.3">
      <c r="A21" s="60">
        <v>5</v>
      </c>
      <c r="B21" s="61" t="s">
        <v>45</v>
      </c>
      <c r="C21" s="62"/>
      <c r="D21" s="63"/>
      <c r="E21" s="57" t="s">
        <v>37</v>
      </c>
      <c r="F21" s="38">
        <v>13800</v>
      </c>
      <c r="G21" s="36">
        <v>1</v>
      </c>
      <c r="H21" s="52">
        <f>F21*G21</f>
        <v>13800</v>
      </c>
      <c r="I21" s="37"/>
      <c r="J21" s="37"/>
    </row>
    <row r="22" spans="1:10" ht="15.75" customHeight="1" thickBot="1" x14ac:dyDescent="0.3">
      <c r="A22" s="60">
        <v>6</v>
      </c>
      <c r="B22" s="61" t="s">
        <v>46</v>
      </c>
      <c r="C22" s="62"/>
      <c r="D22" s="63"/>
      <c r="E22" s="57" t="s">
        <v>37</v>
      </c>
      <c r="F22" s="38">
        <v>11400</v>
      </c>
      <c r="G22" s="36">
        <v>1</v>
      </c>
      <c r="H22" s="52">
        <f>F22*G22</f>
        <v>11400</v>
      </c>
      <c r="I22" s="37"/>
      <c r="J22" s="37"/>
    </row>
    <row r="23" spans="1:10" ht="15.75" customHeight="1" thickBot="1" x14ac:dyDescent="0.3">
      <c r="A23" s="60">
        <v>7</v>
      </c>
      <c r="B23" s="61" t="s">
        <v>47</v>
      </c>
      <c r="C23" s="62"/>
      <c r="D23" s="63"/>
      <c r="E23" s="57" t="s">
        <v>37</v>
      </c>
      <c r="F23" s="38">
        <v>23300</v>
      </c>
      <c r="G23" s="36">
        <v>1</v>
      </c>
      <c r="H23" s="52">
        <f>F23*G23</f>
        <v>23300</v>
      </c>
      <c r="I23" s="37"/>
      <c r="J23" s="37"/>
    </row>
    <row r="24" spans="1:10" ht="15.75" customHeight="1" thickBot="1" x14ac:dyDescent="0.3">
      <c r="A24" s="60">
        <v>8</v>
      </c>
      <c r="B24" s="61" t="s">
        <v>48</v>
      </c>
      <c r="C24" s="62"/>
      <c r="D24" s="63"/>
      <c r="E24" s="57" t="s">
        <v>37</v>
      </c>
      <c r="F24" s="38">
        <v>39800</v>
      </c>
      <c r="G24" s="36">
        <v>1</v>
      </c>
      <c r="H24" s="52">
        <f>F24*G24</f>
        <v>39800</v>
      </c>
      <c r="I24" s="37"/>
      <c r="J24" s="37"/>
    </row>
    <row r="25" spans="1:10" ht="15.75" customHeight="1" thickBot="1" x14ac:dyDescent="0.3">
      <c r="A25" s="60">
        <v>9</v>
      </c>
      <c r="B25" s="61" t="s">
        <v>49</v>
      </c>
      <c r="C25" s="62"/>
      <c r="D25" s="63"/>
      <c r="E25" s="57" t="s">
        <v>37</v>
      </c>
      <c r="F25" s="38">
        <v>9300</v>
      </c>
      <c r="G25" s="36">
        <v>1</v>
      </c>
      <c r="H25" s="52">
        <f>F25*G25</f>
        <v>9300</v>
      </c>
      <c r="I25" s="37"/>
      <c r="J25" s="37"/>
    </row>
    <row r="26" spans="1:10" ht="19.5" customHeight="1" thickBot="1" x14ac:dyDescent="0.3"/>
    <row r="27" spans="1:10" ht="19.5" customHeight="1" thickBot="1" x14ac:dyDescent="0.35">
      <c r="A27" s="64" t="s">
        <v>27</v>
      </c>
      <c r="B27" s="12" t="s">
        <v>50</v>
      </c>
      <c r="C27" s="13"/>
      <c r="D27" s="14"/>
      <c r="E27" s="13"/>
      <c r="F27" s="40" t="s">
        <v>32</v>
      </c>
      <c r="G27" s="13"/>
      <c r="H27" s="7"/>
    </row>
    <row r="28" spans="1:10" ht="19.5" customHeight="1" thickBot="1" x14ac:dyDescent="0.3">
      <c r="A28" s="65"/>
      <c r="B28" s="16" t="s">
        <v>51</v>
      </c>
      <c r="C28" s="4"/>
      <c r="D28" s="4"/>
      <c r="E28" s="41" t="s">
        <v>28</v>
      </c>
      <c r="F28" s="42"/>
      <c r="G28" s="25"/>
      <c r="H28" s="46">
        <f>SUM(H17:H25)</f>
        <v>767600</v>
      </c>
    </row>
    <row r="29" spans="1:10" ht="19.5" customHeight="1" x14ac:dyDescent="0.25">
      <c r="A29" s="26" t="s">
        <v>29</v>
      </c>
      <c r="B29" s="13"/>
      <c r="C29" s="13"/>
      <c r="D29" s="14"/>
      <c r="E29" s="3" t="s">
        <v>36</v>
      </c>
      <c r="F29" s="43"/>
      <c r="G29" s="45">
        <v>0.19</v>
      </c>
      <c r="H29" s="47">
        <f>H28*G29</f>
        <v>145844</v>
      </c>
    </row>
    <row r="30" spans="1:10" ht="15.75" x14ac:dyDescent="0.25">
      <c r="A30" s="56" t="s">
        <v>34</v>
      </c>
      <c r="D30" s="15"/>
      <c r="E30" s="42" t="s">
        <v>30</v>
      </c>
      <c r="F30" s="42"/>
      <c r="G30" s="54">
        <v>2.5000000000000001E-2</v>
      </c>
      <c r="H30" s="47"/>
    </row>
    <row r="31" spans="1:10" ht="16.5" thickBot="1" x14ac:dyDescent="0.3">
      <c r="A31" s="56" t="s">
        <v>52</v>
      </c>
      <c r="D31" s="15"/>
      <c r="E31" s="55"/>
      <c r="F31" s="42"/>
      <c r="G31" s="25"/>
      <c r="H31" s="48"/>
    </row>
    <row r="32" spans="1:10" ht="19.5" thickBot="1" x14ac:dyDescent="0.35">
      <c r="A32" s="16"/>
      <c r="B32" s="4"/>
      <c r="C32" s="4"/>
      <c r="D32" s="17"/>
      <c r="F32" s="3"/>
      <c r="G32" s="44" t="s">
        <v>31</v>
      </c>
      <c r="H32" s="39">
        <f>H28+H29-H30</f>
        <v>913444</v>
      </c>
    </row>
    <row r="33" spans="1:8" ht="16.5" customHeight="1" x14ac:dyDescent="0.25"/>
    <row r="35" spans="1:8" x14ac:dyDescent="0.25">
      <c r="A35" t="s">
        <v>1</v>
      </c>
    </row>
    <row r="37" spans="1:8" ht="15.75" thickBot="1" x14ac:dyDescent="0.3"/>
    <row r="38" spans="1:8" ht="19.5" thickBot="1" x14ac:dyDescent="0.35">
      <c r="A38" s="27" t="s">
        <v>38</v>
      </c>
      <c r="B38" s="6"/>
      <c r="C38" s="6"/>
      <c r="D38" s="6"/>
      <c r="E38" s="6"/>
      <c r="F38" s="6"/>
      <c r="G38" s="6"/>
      <c r="H38" s="7"/>
    </row>
    <row r="47" spans="1:8" ht="18.75" x14ac:dyDescent="0.3">
      <c r="A47" s="5"/>
    </row>
  </sheetData>
  <mergeCells count="1">
    <mergeCell ref="A27:A28"/>
  </mergeCells>
  <hyperlinks>
    <hyperlink ref="C10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RODAFER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2024-08-14T20:19:50Z</cp:lastPrinted>
  <dcterms:created xsi:type="dcterms:W3CDTF">2018-11-15T17:29:02Z</dcterms:created>
  <dcterms:modified xsi:type="dcterms:W3CDTF">2024-08-20T21:46:51Z</dcterms:modified>
</cp:coreProperties>
</file>