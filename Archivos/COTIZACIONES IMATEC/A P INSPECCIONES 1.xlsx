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D3E4619B-5AA4-41C8-AB7B-281EBC438646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P INSPEC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1" l="1"/>
  <c r="H42" i="1"/>
  <c r="H40" i="1"/>
  <c r="H38" i="1"/>
  <c r="H36" i="1"/>
  <c r="H34" i="1"/>
  <c r="H32" i="1"/>
  <c r="H30" i="1"/>
  <c r="H28" i="1"/>
  <c r="H26" i="1"/>
  <c r="H24" i="1"/>
  <c r="H22" i="1"/>
  <c r="H20" i="1"/>
  <c r="H18" i="1"/>
  <c r="H16" i="1"/>
  <c r="H41" i="1" l="1"/>
</calcChain>
</file>

<file path=xl/sharedStrings.xml><?xml version="1.0" encoding="utf-8"?>
<sst xmlns="http://schemas.openxmlformats.org/spreadsheetml/2006/main" count="76" uniqueCount="66">
  <si>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</si>
  <si>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</si>
  <si>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</si>
  <si>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</si>
  <si>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</si>
  <si>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</si>
  <si>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</si>
  <si>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</si>
  <si>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</si>
  <si>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</si>
  <si>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</si>
  <si>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</si>
  <si>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</si>
  <si>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</si>
  <si>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</si>
  <si>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</si>
  <si>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</si>
  <si>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</si>
  <si>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</si>
  <si>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</si>
  <si>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</si>
  <si>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</si>
  <si>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</si>
  <si>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</si>
  <si>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</si>
  <si>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</si>
  <si>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</si>
  <si>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</si>
  <si>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</si>
  <si>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</si>
  <si>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</si>
  <si>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</si>
  <si>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</si>
  <si>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</si>
  <si>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</si>
  <si>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</si>
  <si>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</si>
  <si>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</si>
  <si>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CALI</t>
  </si>
  <si>
    <t>EDINSON CABEZAS</t>
  </si>
  <si>
    <t>8 DIAS</t>
  </si>
  <si>
    <t>ITEM</t>
  </si>
  <si>
    <t>ACCESORIO</t>
  </si>
  <si>
    <t>ENTREGA EN 2 DIAS A PARTIR DE TRANFERENCIA</t>
  </si>
  <si>
    <t>CONTACTOS   310 8306118       319 7174165        321 7834969</t>
  </si>
  <si>
    <t>A. P. INSPECCIONES Y REPARACIONES SAS</t>
  </si>
  <si>
    <t>900 685993</t>
  </si>
  <si>
    <t>CALLE 50 No. 28A-06</t>
  </si>
  <si>
    <t>ap-inspecciones@outlook.com</t>
  </si>
  <si>
    <t>602 4452512</t>
  </si>
  <si>
    <t>TUBERIA  A / C   SCH 80  2 "</t>
  </si>
  <si>
    <t>CODO  A / C  SCH 80  2 "  90º SOLDAR</t>
  </si>
  <si>
    <t>TEE  A / C  SCH 80  2 "  SOLDAR</t>
  </si>
  <si>
    <t>BRIDA  A / C  S/O  2 "  X  300 LB</t>
  </si>
  <si>
    <t>EMPAQUE FLEXITALICO  2 "  X  300 LB</t>
  </si>
  <si>
    <t>REDUCCION BUSHING A / C  2 "  X  1 1/4 " X 3000 L</t>
  </si>
  <si>
    <t>REDUCCION BUSHING A / C  2 "  X  3/4 " X 3000 L</t>
  </si>
  <si>
    <t>TUBERIA  A / C   SCH 80  3/4 "</t>
  </si>
  <si>
    <t>METRO LINEAL</t>
  </si>
  <si>
    <t>CODO  A / C  SCH  80  3/4 "  X  90º  SOLDAR</t>
  </si>
  <si>
    <t>BRIDA  A / C  S/O  3/4 "  X  300 LB</t>
  </si>
  <si>
    <t>EMPAQUE FLEXITALICO  3/4  "  X  300 LB</t>
  </si>
  <si>
    <t>UNION  A / C  3/4  X  3000  LB  ROSCADA</t>
  </si>
  <si>
    <t>UN MILLON QUINIENTOS CUARENTA Y OCHO MIL SETE-</t>
  </si>
  <si>
    <t>CIENTOS SESENTA PESOS MDA / CTE</t>
  </si>
  <si>
    <t xml:space="preserve">  CALLE  33B  No. 17C - 70  2º  PISO               B/  LA FLORESTA             -   CALI    -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</si>
</sst>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0" fillId="0" borderId="14" xfId="0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1" fillId="0" borderId="17" xfId="0" applyFont="1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" fillId="0" borderId="21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0" fillId="0" borderId="22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0" fontId="8" fillId="0" borderId="0" xfId="0" applyFont="1" applyBorder="1"/>
    <xf numFmtId="0" fontId="0" fillId="0" borderId="0" xfId="0" applyBorder="1"/>
    <xf numFmtId="0" fontId="1" fillId="0" borderId="17" xfId="0" applyFont="1" applyBorder="1" applyAlignment="1">
      <alignment horizontal="center"/>
    </xf>
    <xf numFmtId="0" fontId="0" fillId="0" borderId="23" xfId="0" applyBorder="1"/>
    <xf numFmtId="10" fontId="1" fillId="0" borderId="0" xfId="0" applyNumberFormat="1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p-inspeccione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9"/>
  <sheetViews>
    <sheetView tabSelected="1" topLeftCell="A35" zoomScaleNormal="100" workbookViewId="0">
      <selection activeCell="A51" sqref="A5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2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64" t="s">
        <v>44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1" t="s">
        <v>45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46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47</v>
      </c>
      <c r="D9" s="24"/>
      <c r="E9" s="25" t="s">
        <v>38</v>
      </c>
      <c r="F9" s="32" t="s">
        <v>0</v>
      </c>
      <c r="H9" s="33">
        <v>45484</v>
      </c>
    </row>
    <row r="10" spans="1:8" ht="18.75" x14ac:dyDescent="0.3">
      <c r="A10" s="22" t="s">
        <v>14</v>
      </c>
      <c r="C10" s="53" t="s">
        <v>48</v>
      </c>
      <c r="D10" s="26"/>
      <c r="E10" s="26"/>
      <c r="F10" s="32" t="s">
        <v>16</v>
      </c>
      <c r="H10" s="34" t="s">
        <v>40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45492</v>
      </c>
    </row>
    <row r="12" spans="1:8" ht="18.75" x14ac:dyDescent="0.3">
      <c r="A12" s="22" t="s">
        <v>12</v>
      </c>
      <c r="C12" s="25" t="s">
        <v>49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41</v>
      </c>
      <c r="B15" s="57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5.75" customHeight="1" x14ac:dyDescent="0.25">
      <c r="A16" s="58">
        <v>1</v>
      </c>
      <c r="B16" s="40" t="s">
        <v>50</v>
      </c>
      <c r="C16" s="41"/>
      <c r="D16" s="59"/>
      <c r="E16" s="58" t="s">
        <v>58</v>
      </c>
      <c r="F16" s="62">
        <v>45000</v>
      </c>
      <c r="G16" s="58">
        <v>24</v>
      </c>
      <c r="H16" s="60">
        <f>G16*F16</f>
        <v>1080000</v>
      </c>
    </row>
    <row r="17" spans="1:10" ht="15.75" customHeight="1" thickBot="1" x14ac:dyDescent="0.3">
      <c r="A17" s="39"/>
      <c r="E17" s="42"/>
      <c r="F17" s="38"/>
      <c r="G17" s="58"/>
      <c r="H17" s="51"/>
      <c r="I17" s="38"/>
      <c r="J17" s="38"/>
    </row>
    <row r="18" spans="1:10" ht="15.75" customHeight="1" x14ac:dyDescent="0.25">
      <c r="A18" s="58">
        <v>2</v>
      </c>
      <c r="B18" s="40" t="s">
        <v>51</v>
      </c>
      <c r="C18" s="41"/>
      <c r="D18" s="41"/>
      <c r="E18" s="65" t="s">
        <v>42</v>
      </c>
      <c r="F18" s="61">
        <v>7878</v>
      </c>
      <c r="G18" s="58">
        <v>3</v>
      </c>
      <c r="H18" s="60">
        <f>G18*F18</f>
        <v>23634</v>
      </c>
      <c r="I18" s="38"/>
      <c r="J18" s="38"/>
    </row>
    <row r="19" spans="1:10" ht="15.75" customHeight="1" thickBot="1" x14ac:dyDescent="0.3">
      <c r="B19" s="40"/>
      <c r="C19" s="41"/>
      <c r="D19" s="41"/>
      <c r="E19" s="42"/>
      <c r="F19" s="61"/>
      <c r="G19" s="58"/>
      <c r="H19" s="51"/>
      <c r="I19" s="38"/>
      <c r="J19" s="38"/>
    </row>
    <row r="20" spans="1:10" ht="15.75" customHeight="1" x14ac:dyDescent="0.25">
      <c r="A20" s="58">
        <v>3</v>
      </c>
      <c r="B20" s="40" t="s">
        <v>52</v>
      </c>
      <c r="C20" s="41"/>
      <c r="D20" s="41"/>
      <c r="E20" s="65" t="s">
        <v>42</v>
      </c>
      <c r="F20" s="61">
        <v>13650</v>
      </c>
      <c r="G20" s="58">
        <v>1</v>
      </c>
      <c r="H20" s="60">
        <f>G20*F20</f>
        <v>13650</v>
      </c>
      <c r="I20" s="38"/>
      <c r="J20" s="38"/>
    </row>
    <row r="21" spans="1:10" ht="15.75" customHeight="1" thickBot="1" x14ac:dyDescent="0.3">
      <c r="A21" s="58"/>
      <c r="B21" s="40"/>
      <c r="C21" s="41"/>
      <c r="D21" s="41"/>
      <c r="E21" s="42"/>
      <c r="F21" s="61"/>
      <c r="G21" s="58"/>
      <c r="H21" s="51"/>
      <c r="I21" s="38"/>
      <c r="J21" s="38"/>
    </row>
    <row r="22" spans="1:10" ht="15.75" customHeight="1" x14ac:dyDescent="0.25">
      <c r="A22" s="58">
        <v>4</v>
      </c>
      <c r="B22" s="40" t="s">
        <v>53</v>
      </c>
      <c r="C22" s="41"/>
      <c r="D22" s="41"/>
      <c r="E22" s="65" t="s">
        <v>42</v>
      </c>
      <c r="F22" s="61">
        <v>28300</v>
      </c>
      <c r="G22" s="58">
        <v>2</v>
      </c>
      <c r="H22" s="60">
        <f>G22*F22</f>
        <v>56600</v>
      </c>
      <c r="I22" s="38"/>
      <c r="J22" s="38"/>
    </row>
    <row r="23" spans="1:10" ht="15.75" customHeight="1" thickBot="1" x14ac:dyDescent="0.3">
      <c r="A23" s="58"/>
      <c r="B23" s="40"/>
      <c r="C23" s="41"/>
      <c r="D23" s="41"/>
      <c r="E23" s="42"/>
      <c r="F23" s="61"/>
      <c r="G23" s="58"/>
      <c r="H23" s="51"/>
      <c r="I23" s="38"/>
      <c r="J23" s="38"/>
    </row>
    <row r="24" spans="1:10" ht="15.75" customHeight="1" x14ac:dyDescent="0.25">
      <c r="A24" s="58">
        <v>5</v>
      </c>
      <c r="B24" s="40" t="s">
        <v>54</v>
      </c>
      <c r="C24" s="41"/>
      <c r="D24" s="41"/>
      <c r="E24" s="65" t="s">
        <v>42</v>
      </c>
      <c r="F24" s="61">
        <v>5150</v>
      </c>
      <c r="G24" s="58">
        <v>1</v>
      </c>
      <c r="H24" s="60">
        <f>G24*F24</f>
        <v>5150</v>
      </c>
      <c r="I24" s="38"/>
      <c r="J24" s="38"/>
    </row>
    <row r="25" spans="1:10" ht="15.75" customHeight="1" thickBot="1" x14ac:dyDescent="0.3">
      <c r="A25" s="58"/>
      <c r="B25" s="40"/>
      <c r="C25" s="41"/>
      <c r="D25" s="41"/>
      <c r="E25" s="42"/>
      <c r="F25" s="61"/>
      <c r="G25" s="58"/>
      <c r="H25" s="51"/>
      <c r="I25" s="38"/>
      <c r="J25" s="38"/>
    </row>
    <row r="26" spans="1:10" ht="15.75" customHeight="1" x14ac:dyDescent="0.25">
      <c r="A26" s="58">
        <v>6</v>
      </c>
      <c r="B26" s="40" t="s">
        <v>55</v>
      </c>
      <c r="C26" s="41"/>
      <c r="D26" s="41"/>
      <c r="E26" s="65" t="s">
        <v>42</v>
      </c>
      <c r="F26" s="61">
        <v>18200</v>
      </c>
      <c r="G26" s="58">
        <v>1</v>
      </c>
      <c r="H26" s="60">
        <f>G26*F26</f>
        <v>18200</v>
      </c>
      <c r="I26" s="38"/>
      <c r="J26" s="38"/>
    </row>
    <row r="27" spans="1:10" ht="15.75" customHeight="1" thickBot="1" x14ac:dyDescent="0.3">
      <c r="A27" s="58"/>
      <c r="B27" s="40"/>
      <c r="C27" s="41"/>
      <c r="D27" s="41"/>
      <c r="E27" s="42"/>
      <c r="F27" s="61"/>
      <c r="G27" s="58"/>
      <c r="H27" s="51"/>
      <c r="I27" s="38"/>
      <c r="J27" s="38"/>
    </row>
    <row r="28" spans="1:10" ht="15.75" customHeight="1" x14ac:dyDescent="0.25">
      <c r="A28" s="58">
        <v>7</v>
      </c>
      <c r="B28" s="40" t="s">
        <v>56</v>
      </c>
      <c r="C28" s="41"/>
      <c r="D28" s="41"/>
      <c r="E28" s="65" t="s">
        <v>42</v>
      </c>
      <c r="F28" s="61">
        <v>18200</v>
      </c>
      <c r="G28" s="58">
        <v>1</v>
      </c>
      <c r="H28" s="60">
        <f>G28*F28</f>
        <v>18200</v>
      </c>
      <c r="I28" s="38"/>
      <c r="J28" s="38"/>
    </row>
    <row r="29" spans="1:10" ht="15.75" customHeight="1" thickBot="1" x14ac:dyDescent="0.3">
      <c r="A29" s="58"/>
      <c r="B29" s="40"/>
      <c r="C29" s="41"/>
      <c r="D29" s="41"/>
      <c r="E29" s="42"/>
      <c r="F29" s="61"/>
      <c r="G29" s="58"/>
      <c r="H29" s="51"/>
      <c r="I29" s="38"/>
      <c r="J29" s="38"/>
    </row>
    <row r="30" spans="1:10" ht="15.75" customHeight="1" x14ac:dyDescent="0.25">
      <c r="A30" s="58"/>
      <c r="B30" s="40" t="s">
        <v>57</v>
      </c>
      <c r="C30" s="41"/>
      <c r="D30" s="41"/>
      <c r="E30" s="65" t="s">
        <v>58</v>
      </c>
      <c r="F30" s="61">
        <v>22800</v>
      </c>
      <c r="G30" s="58">
        <v>3</v>
      </c>
      <c r="H30" s="60">
        <f>G30*F30</f>
        <v>68400</v>
      </c>
      <c r="I30" s="38"/>
      <c r="J30" s="38"/>
    </row>
    <row r="31" spans="1:10" ht="15.75" customHeight="1" thickBot="1" x14ac:dyDescent="0.3">
      <c r="A31" s="58"/>
      <c r="B31" s="40"/>
      <c r="C31" s="41"/>
      <c r="D31" s="41"/>
      <c r="E31" s="42"/>
      <c r="F31" s="61"/>
      <c r="G31" s="58"/>
      <c r="H31" s="51"/>
    </row>
    <row r="32" spans="1:10" ht="15.75" customHeight="1" x14ac:dyDescent="0.25">
      <c r="A32" s="58"/>
      <c r="B32" s="40" t="s">
        <v>59</v>
      </c>
      <c r="C32" s="41"/>
      <c r="D32" s="41"/>
      <c r="E32" s="65" t="s">
        <v>42</v>
      </c>
      <c r="F32" s="61">
        <v>2418</v>
      </c>
      <c r="G32" s="58">
        <v>2</v>
      </c>
      <c r="H32" s="60">
        <f>G32*F32</f>
        <v>4836</v>
      </c>
    </row>
    <row r="33" spans="1:8" ht="15.75" customHeight="1" thickBot="1" x14ac:dyDescent="0.3">
      <c r="A33" s="58"/>
      <c r="B33" s="40"/>
      <c r="E33" s="42"/>
      <c r="F33" s="61"/>
      <c r="G33" s="58"/>
      <c r="H33" s="51"/>
    </row>
    <row r="34" spans="1:8" ht="15.75" customHeight="1" x14ac:dyDescent="0.25">
      <c r="A34" s="58"/>
      <c r="B34" s="40" t="s">
        <v>60</v>
      </c>
      <c r="E34" s="65" t="s">
        <v>42</v>
      </c>
      <c r="F34" s="61">
        <v>15619</v>
      </c>
      <c r="G34" s="58">
        <v>2</v>
      </c>
      <c r="H34" s="60">
        <f>G34*F34</f>
        <v>31238</v>
      </c>
    </row>
    <row r="35" spans="1:8" ht="15.75" customHeight="1" thickBot="1" x14ac:dyDescent="0.3">
      <c r="A35" s="58"/>
      <c r="B35" s="40"/>
      <c r="E35" s="42"/>
      <c r="F35" s="61"/>
      <c r="G35" s="58"/>
      <c r="H35" s="51"/>
    </row>
    <row r="36" spans="1:8" ht="15.75" customHeight="1" x14ac:dyDescent="0.25">
      <c r="A36" s="71"/>
      <c r="B36" s="69" t="s">
        <v>61</v>
      </c>
      <c r="C36" s="70"/>
      <c r="D36" s="39"/>
      <c r="E36" s="68" t="s">
        <v>42</v>
      </c>
      <c r="F36" s="61">
        <v>2250</v>
      </c>
      <c r="G36" s="58">
        <v>1</v>
      </c>
      <c r="H36" s="60">
        <f>G36*F36</f>
        <v>2250</v>
      </c>
    </row>
    <row r="37" spans="1:8" ht="15.75" customHeight="1" thickBot="1" x14ac:dyDescent="0.3">
      <c r="A37" s="39"/>
      <c r="D37" s="39"/>
      <c r="E37" s="70"/>
      <c r="F37" s="61"/>
      <c r="G37" s="58"/>
      <c r="H37" s="51"/>
    </row>
    <row r="38" spans="1:8" ht="15.75" customHeight="1" thickBot="1" x14ac:dyDescent="0.3">
      <c r="A38" s="63"/>
      <c r="B38" t="s">
        <v>62</v>
      </c>
      <c r="D38" s="63"/>
      <c r="E38" s="68" t="s">
        <v>42</v>
      </c>
      <c r="F38" s="61">
        <v>7250</v>
      </c>
      <c r="G38" s="58">
        <v>1</v>
      </c>
      <c r="H38" s="60">
        <f>G38*F38</f>
        <v>7250</v>
      </c>
    </row>
    <row r="39" spans="1:8" ht="19.5" customHeight="1" thickBot="1" x14ac:dyDescent="0.35">
      <c r="A39" s="66" t="s">
        <v>26</v>
      </c>
      <c r="B39" s="12" t="s">
        <v>63</v>
      </c>
      <c r="C39" s="13"/>
      <c r="D39" s="14"/>
      <c r="E39" s="13"/>
      <c r="F39" s="43" t="s">
        <v>32</v>
      </c>
      <c r="G39" s="13"/>
      <c r="H39" s="7"/>
    </row>
    <row r="40" spans="1:8" ht="19.5" customHeight="1" thickBot="1" x14ac:dyDescent="0.3">
      <c r="A40" s="67"/>
      <c r="B40" s="17" t="s">
        <v>64</v>
      </c>
      <c r="C40" s="4"/>
      <c r="D40" s="4"/>
      <c r="E40" s="44" t="s">
        <v>27</v>
      </c>
      <c r="F40" s="45"/>
      <c r="G40" s="26"/>
      <c r="H40" s="54">
        <f>SUM(H16:H38)</f>
        <v>1329408</v>
      </c>
    </row>
    <row r="41" spans="1:8" ht="19.5" customHeight="1" x14ac:dyDescent="0.25">
      <c r="A41" s="27" t="s">
        <v>28</v>
      </c>
      <c r="B41" s="13"/>
      <c r="C41" s="13"/>
      <c r="D41" s="14"/>
      <c r="E41" s="3" t="s">
        <v>34</v>
      </c>
      <c r="F41" s="72"/>
      <c r="G41" s="47">
        <v>0.19</v>
      </c>
      <c r="H41" s="55">
        <f>H40*G41</f>
        <v>252587.51999999999</v>
      </c>
    </row>
    <row r="42" spans="1:8" ht="15.75" x14ac:dyDescent="0.25">
      <c r="A42" s="15" t="s">
        <v>35</v>
      </c>
      <c r="D42" s="16"/>
      <c r="E42" s="45" t="s">
        <v>29</v>
      </c>
      <c r="G42" s="73">
        <v>2.5000000000000001E-2</v>
      </c>
      <c r="H42" s="48">
        <f>H40*G42</f>
        <v>33235.200000000004</v>
      </c>
    </row>
    <row r="43" spans="1:8" ht="15.75" x14ac:dyDescent="0.25">
      <c r="A43" s="15" t="s">
        <v>43</v>
      </c>
      <c r="D43" s="16"/>
      <c r="F43" s="45"/>
      <c r="G43" s="26"/>
      <c r="H43" s="49"/>
    </row>
    <row r="44" spans="1:8" ht="16.5" thickBot="1" x14ac:dyDescent="0.3">
      <c r="A44" s="15" t="s">
        <v>37</v>
      </c>
      <c r="D44" s="16"/>
      <c r="E44" s="45" t="s">
        <v>30</v>
      </c>
      <c r="F44" s="45"/>
      <c r="G44" s="26"/>
      <c r="H44" s="50"/>
    </row>
    <row r="45" spans="1:8" ht="16.5" customHeight="1" thickBot="1" x14ac:dyDescent="0.35">
      <c r="A45" s="17"/>
      <c r="B45" s="4"/>
      <c r="C45" s="4"/>
      <c r="D45" s="18"/>
      <c r="F45" s="3"/>
      <c r="G45" s="46" t="s">
        <v>31</v>
      </c>
      <c r="H45" s="56">
        <f>H40+H41-H42</f>
        <v>1548760.32</v>
      </c>
    </row>
    <row r="47" spans="1:8" x14ac:dyDescent="0.25">
      <c r="A47" t="s">
        <v>1</v>
      </c>
    </row>
    <row r="49" spans="1:8" ht="15.75" thickBot="1" x14ac:dyDescent="0.3"/>
    <row r="50" spans="1:8" ht="19.5" thickBot="1" x14ac:dyDescent="0.35">
      <c r="A50" s="28" t="s">
        <v>65</v>
      </c>
      <c r="B50" s="6"/>
      <c r="C50" s="6"/>
      <c r="D50" s="6"/>
      <c r="E50" s="6"/>
      <c r="F50" s="6"/>
      <c r="G50" s="6"/>
      <c r="H50" s="7"/>
    </row>
    <row r="59" spans="1:8" ht="18.75" x14ac:dyDescent="0.3">
      <c r="A59" s="5"/>
    </row>
  </sheetData>
  <mergeCells count="1">
    <mergeCell ref="A39:A4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 INSPECCIONES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2024-07-11T19:07:29Z</dcterms:modified>
</cp:coreProperties>
</file>