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AB4BD540-E54E-46C4-A842-1B741579C7B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JUAN CAMIL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7" i="1" l="1"/>
  <c r="H24" i="1"/>
  <c r="H19" i="1"/>
  <c r="H18" i="1"/>
  <c r="H17" i="1"/>
  <c r="H16" i="1"/>
  <c r="H22" i="1" s="1"/>
  <c r="H23" i="1" l="1"/>
</calcChain>
</file>

<file path=xl/sharedStrings.xml><?xml version="1.0" encoding="utf-8"?>
<sst xmlns="http://schemas.openxmlformats.org/spreadsheetml/2006/main" count="60" uniqueCount="58">
  <si>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</si>
  <si>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</si>
  <si>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</si>
  <si>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</si>
  <si>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</si>
  <si>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</si>
  <si>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</si>
  <si>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</si>
  <si>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</si>
  <si>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</si>
  <si>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</si>
  <si>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</si>
  <si>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</si>
  <si>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</si>
  <si>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</si>
  <si>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</si>
  <si>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</si>
  <si>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</si>
  <si>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</si>
  <si>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</si>
  <si>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</si>
  <si>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</si>
  <si>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</si>
  <si>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</si>
  <si>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</si>
  <si>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</si>
  <si>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</si>
  <si>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</si>
  <si>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</si>
  <si>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</si>
  <si>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</si>
  <si>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</si>
  <si>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</si>
  <si>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</si>
  <si>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</si>
  <si>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</si>
  <si>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</si>
  <si>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</si>
  <si>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</si>
  <si>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</si>
  <si>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JUAN CAMILO GARCIA BEJARANO</t>
  </si>
  <si>
    <t>1143 858320</t>
  </si>
  <si>
    <t>CRA 41 B  No. 10A-16</t>
  </si>
  <si>
    <t>JAMUNDI</t>
  </si>
  <si>
    <t>juan-k1231@hotmail.com</t>
  </si>
  <si>
    <t>602 4849810</t>
  </si>
  <si>
    <t>EDINSON CABEZAS</t>
  </si>
  <si>
    <t xml:space="preserve">           C O T I Z A C I O N</t>
  </si>
  <si>
    <t>No.  3</t>
  </si>
  <si>
    <t>10 DIAS</t>
  </si>
  <si>
    <t xml:space="preserve">HIDRANTE E / L  3 "  TRAFICO </t>
  </si>
  <si>
    <t>VALVULA SELLO ELASTICO  2 "  E / L</t>
  </si>
  <si>
    <t xml:space="preserve">UNION DRESSER 2 " </t>
  </si>
  <si>
    <t>MANGUERA TIPO BOMBERO 1 1/2 "  X  100  MTS</t>
  </si>
  <si>
    <t>ROLLO</t>
  </si>
  <si>
    <t>VEINTISEIS MILLONES CUATROCIENTOS DOCE MIL OCHO</t>
  </si>
  <si>
    <t>CIENTOS OCHENTA PESOS MDA / CTE</t>
  </si>
  <si>
    <t>ENTREGA EN CUATRO DIAS POSTERIOR A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</si>
</sst>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30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31" xfId="0" applyFont="1" applyBorder="1" applyAlignment="1">
      <alignment horizontal="center"/>
    </xf>
    <xf numFmtId="0" fontId="8" fillId="0" borderId="32" xfId="0" applyFont="1" applyBorder="1"/>
    <xf numFmtId="0" fontId="8" fillId="0" borderId="33" xfId="0" applyFont="1" applyBorder="1"/>
    <xf numFmtId="0" fontId="8" fillId="0" borderId="34" xfId="0" applyFont="1" applyBorder="1"/>
    <xf numFmtId="42" fontId="11" fillId="0" borderId="31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uan-k1231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2"/>
  <sheetViews>
    <sheetView tabSelected="1" topLeftCell="A10" zoomScaleNormal="100" workbookViewId="0">
      <selection activeCell="A26" sqref="A2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2"/>
      <c r="H6" s="43"/>
    </row>
    <row r="7" spans="1:8" ht="19.5" thickBot="1" x14ac:dyDescent="0.35">
      <c r="A7" s="20" t="s">
        <v>14</v>
      </c>
      <c r="B7" s="12"/>
      <c r="C7" s="59" t="s">
        <v>40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5" t="s">
        <v>41</v>
      </c>
      <c r="D8" s="66"/>
      <c r="E8" s="44"/>
      <c r="H8" s="15"/>
    </row>
    <row r="9" spans="1:8" ht="18.75" customHeight="1" x14ac:dyDescent="0.3">
      <c r="A9" s="21" t="s">
        <v>9</v>
      </c>
      <c r="C9" s="67" t="s">
        <v>42</v>
      </c>
      <c r="D9" s="23"/>
      <c r="E9" s="68" t="s">
        <v>43</v>
      </c>
      <c r="F9" s="30" t="s">
        <v>0</v>
      </c>
      <c r="H9" s="28">
        <v>45873</v>
      </c>
    </row>
    <row r="10" spans="1:8" ht="18.75" x14ac:dyDescent="0.3">
      <c r="A10" s="21" t="s">
        <v>13</v>
      </c>
      <c r="C10" s="69" t="s">
        <v>44</v>
      </c>
      <c r="D10" s="64"/>
      <c r="E10" s="45"/>
      <c r="F10" s="30" t="s">
        <v>15</v>
      </c>
      <c r="H10" s="29" t="s">
        <v>49</v>
      </c>
    </row>
    <row r="11" spans="1:8" ht="18.75" x14ac:dyDescent="0.3">
      <c r="A11" s="21" t="s">
        <v>10</v>
      </c>
      <c r="C11" s="70"/>
      <c r="D11" s="64"/>
      <c r="E11" s="45"/>
      <c r="F11" s="30" t="s">
        <v>16</v>
      </c>
      <c r="G11" s="30"/>
      <c r="H11" s="28">
        <v>45882</v>
      </c>
    </row>
    <row r="12" spans="1:8" ht="18.75" x14ac:dyDescent="0.3">
      <c r="A12" s="21" t="s">
        <v>11</v>
      </c>
      <c r="C12" s="70" t="s">
        <v>45</v>
      </c>
      <c r="D12" s="64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1" t="s">
        <v>46</v>
      </c>
      <c r="D13" s="72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8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3">
        <v>1</v>
      </c>
      <c r="B16" s="74" t="s">
        <v>50</v>
      </c>
      <c r="C16" s="75"/>
      <c r="D16" s="76"/>
      <c r="E16" s="73" t="s">
        <v>37</v>
      </c>
      <c r="F16" s="77">
        <v>2102100</v>
      </c>
      <c r="G16" s="73">
        <v>10</v>
      </c>
      <c r="H16" s="38">
        <f t="shared" ref="H16" si="0">G16*F16</f>
        <v>21021000</v>
      </c>
    </row>
    <row r="17" spans="1:8" ht="16.5" thickBot="1" x14ac:dyDescent="0.3">
      <c r="A17" s="73">
        <v>2</v>
      </c>
      <c r="B17" s="74" t="s">
        <v>51</v>
      </c>
      <c r="C17" s="75"/>
      <c r="D17" s="76"/>
      <c r="E17" s="73" t="s">
        <v>37</v>
      </c>
      <c r="F17" s="77">
        <v>348700</v>
      </c>
      <c r="G17" s="73">
        <v>2</v>
      </c>
      <c r="H17" s="38">
        <f t="shared" ref="H17:H19" si="1">G17*F17</f>
        <v>697400</v>
      </c>
    </row>
    <row r="18" spans="1:8" ht="16.5" thickBot="1" x14ac:dyDescent="0.3">
      <c r="A18" s="73">
        <v>3</v>
      </c>
      <c r="B18" s="74" t="s">
        <v>52</v>
      </c>
      <c r="C18" s="75"/>
      <c r="D18" s="76"/>
      <c r="E18" s="73" t="s">
        <v>37</v>
      </c>
      <c r="F18" s="77">
        <v>79000</v>
      </c>
      <c r="G18" s="73">
        <v>2</v>
      </c>
      <c r="H18" s="38">
        <f t="shared" si="1"/>
        <v>158000</v>
      </c>
    </row>
    <row r="19" spans="1:8" ht="16.5" thickBot="1" x14ac:dyDescent="0.3">
      <c r="A19" s="73">
        <v>4</v>
      </c>
      <c r="B19" s="74" t="s">
        <v>53</v>
      </c>
      <c r="C19" s="75"/>
      <c r="D19" s="76"/>
      <c r="E19" s="73" t="s">
        <v>54</v>
      </c>
      <c r="F19" s="77">
        <v>397800</v>
      </c>
      <c r="G19" s="73">
        <v>2</v>
      </c>
      <c r="H19" s="38">
        <f t="shared" si="1"/>
        <v>795600</v>
      </c>
    </row>
    <row r="20" spans="1:8" ht="19.5" customHeight="1" thickBot="1" x14ac:dyDescent="0.3">
      <c r="A20" s="47"/>
      <c r="B20" s="61"/>
      <c r="D20" s="62"/>
      <c r="E20" s="47"/>
      <c r="F20" s="47"/>
      <c r="G20" s="47"/>
    </row>
    <row r="21" spans="1:8" ht="19.5" customHeight="1" thickBot="1" x14ac:dyDescent="0.35">
      <c r="A21" s="60" t="s">
        <v>23</v>
      </c>
      <c r="B21" s="63" t="s">
        <v>55</v>
      </c>
      <c r="C21" s="12"/>
      <c r="D21" s="13"/>
      <c r="E21" s="48"/>
      <c r="F21" s="37" t="s">
        <v>38</v>
      </c>
      <c r="G21" s="6"/>
      <c r="H21" s="7"/>
    </row>
    <row r="22" spans="1:8" ht="19.5" customHeight="1" thickBot="1" x14ac:dyDescent="0.3">
      <c r="A22" s="39"/>
      <c r="B22" s="16" t="s">
        <v>56</v>
      </c>
      <c r="C22" s="4"/>
      <c r="D22" s="17"/>
      <c r="E22" s="51" t="s">
        <v>24</v>
      </c>
      <c r="F22" s="52"/>
      <c r="G22" s="44"/>
      <c r="H22" s="49">
        <f>SUM(H16:H19)</f>
        <v>22672000</v>
      </c>
    </row>
    <row r="23" spans="1:8" ht="19.5" customHeight="1" x14ac:dyDescent="0.25">
      <c r="A23" s="24" t="s">
        <v>25</v>
      </c>
      <c r="B23" s="12"/>
      <c r="C23" s="12"/>
      <c r="D23" s="12"/>
      <c r="E23" s="53" t="s">
        <v>29</v>
      </c>
      <c r="F23" s="23"/>
      <c r="G23" s="54">
        <v>0.19</v>
      </c>
      <c r="H23" s="40">
        <f>H22*G23</f>
        <v>4307680</v>
      </c>
    </row>
    <row r="24" spans="1:8" ht="19.5" customHeight="1" x14ac:dyDescent="0.25">
      <c r="A24" s="14" t="s">
        <v>30</v>
      </c>
      <c r="E24" s="55" t="s">
        <v>26</v>
      </c>
      <c r="G24" s="58">
        <v>2.5000000000000001E-2</v>
      </c>
      <c r="H24" s="50">
        <f>H22*G24</f>
        <v>566800</v>
      </c>
    </row>
    <row r="25" spans="1:8" ht="15.75" x14ac:dyDescent="0.25">
      <c r="A25" s="14" t="s">
        <v>57</v>
      </c>
      <c r="E25" s="14"/>
      <c r="F25" s="33"/>
      <c r="G25" s="45"/>
      <c r="H25" s="15"/>
    </row>
    <row r="26" spans="1:8" ht="16.5" thickBot="1" x14ac:dyDescent="0.3">
      <c r="A26" s="14" t="s">
        <v>32</v>
      </c>
      <c r="E26" s="56" t="s">
        <v>27</v>
      </c>
      <c r="F26" s="57"/>
      <c r="G26" s="46"/>
      <c r="H26" s="17"/>
    </row>
    <row r="27" spans="1:8" ht="19.5" thickBot="1" x14ac:dyDescent="0.35">
      <c r="A27" s="16"/>
      <c r="B27" s="4"/>
      <c r="C27" s="4"/>
      <c r="D27" s="17"/>
      <c r="F27" s="3"/>
      <c r="G27" s="34" t="s">
        <v>28</v>
      </c>
      <c r="H27" s="36">
        <f>H22+H23-H24</f>
        <v>26412880</v>
      </c>
    </row>
    <row r="28" spans="1:8" ht="16.5" customHeight="1" x14ac:dyDescent="0.25"/>
    <row r="33" spans="1:8" ht="15.75" thickBot="1" x14ac:dyDescent="0.3"/>
    <row r="34" spans="1:8" ht="19.5" thickBot="1" x14ac:dyDescent="0.35">
      <c r="A34" s="25" t="s">
        <v>39</v>
      </c>
      <c r="B34" s="6"/>
      <c r="C34" s="6"/>
      <c r="D34" s="6"/>
      <c r="E34" s="6"/>
      <c r="F34" s="6"/>
      <c r="G34" s="6"/>
      <c r="H34" s="7"/>
    </row>
    <row r="42" spans="1:8" ht="18.75" x14ac:dyDescent="0.3">
      <c r="A42" s="5"/>
    </row>
  </sheetData>
  <hyperlinks>
    <hyperlink ref="C10" r:id="rId1" xr:uid="{FBBE653D-6063-489D-81A5-05C452BF84E9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JUAN CAMILO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2025-07-15T18:18:05Z</cp:lastPrinted>
  <dcterms:created xsi:type="dcterms:W3CDTF">2018-11-15T17:29:02Z</dcterms:created>
  <dcterms:modified xsi:type="dcterms:W3CDTF">2025-08-04T16:30:03Z</dcterms:modified>
</cp:coreProperties>
</file>