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39954788-154F-4F93-90FC-2CF046B42090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ERRETERIA 201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1" l="1"/>
  <c r="H41" i="1"/>
  <c r="H39" i="1"/>
  <c r="H28" i="1"/>
  <c r="H26" i="1"/>
  <c r="H24" i="1"/>
  <c r="H22" i="1"/>
  <c r="H20" i="1"/>
  <c r="H18" i="1"/>
  <c r="H16" i="1"/>
  <c r="H40" i="1" l="1"/>
</calcChain>
</file>

<file path=xl/sharedStrings.xml><?xml version="1.0" encoding="utf-8"?>
<sst xmlns="http://schemas.openxmlformats.org/spreadsheetml/2006/main" count="65" uniqueCount="59">
  <si>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</si>
  <si>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</si>
  <si>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</si>
  <si>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</si>
  <si>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</si>
  <si>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</si>
  <si>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</si>
  <si>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</si>
  <si>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</si>
  <si>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</si>
  <si>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</si>
  <si>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</si>
  <si>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</si>
  <si>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</si>
  <si>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</si>
  <si>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</si>
  <si>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</si>
  <si>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</si>
  <si>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</si>
  <si>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</si>
  <si>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</si>
  <si>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</si>
  <si>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</si>
  <si>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</si>
  <si>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</si>
  <si>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</si>
  <si>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</si>
  <si>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</si>
  <si>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</si>
  <si>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</si>
  <si>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</si>
  <si>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</si>
  <si>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</si>
  <si>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</si>
  <si>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</si>
  <si>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</si>
  <si>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</si>
  <si>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LUIS BENAVIDEZ</t>
  </si>
  <si>
    <t>8 DIAS</t>
  </si>
  <si>
    <t>FORMA DE PAGO : CONTADO</t>
  </si>
  <si>
    <t>ENTREGA EN CALI</t>
  </si>
  <si>
    <t>ACCESORIO</t>
  </si>
  <si>
    <t xml:space="preserve">  CALLE  33B  No. 17C - 70     2º PISO            B/  LA FLORESTA             -   CALI    -                               CEL.     321 7834969</t>
  </si>
  <si>
    <t>FERRETERIA  2015  S.A.S.</t>
  </si>
  <si>
    <t>900 843997</t>
  </si>
  <si>
    <t>CALLE 58 Nte.  No. 4B-63</t>
  </si>
  <si>
    <t>CALI</t>
  </si>
  <si>
    <t>beca1950@gmail.com</t>
  </si>
  <si>
    <t>316 5342282</t>
  </si>
  <si>
    <t>STUB END SCH 40 AC/INOX 304  8 "</t>
  </si>
  <si>
    <t>STUB END SCH 40 AC/INOX 304  1 "</t>
  </si>
  <si>
    <t>STUB END  SCH 10  AC/INOC  304  2 "</t>
  </si>
  <si>
    <t>BRIDA A/C L J  1 "</t>
  </si>
  <si>
    <t>BRIDA A/C L J  2 "</t>
  </si>
  <si>
    <t>UNIVERSAL A/C  1 "  X  30OO LB</t>
  </si>
  <si>
    <t>BRIDA AC/INOX 304 CIEGA   16 "  X  150 LB</t>
  </si>
  <si>
    <t>QUINCE MILLONES NOVECIENTOS VEINTE MIL OCHO-</t>
  </si>
  <si>
    <t>CIENTOS NOVENTA PESOS MDA / CTE</t>
  </si>
  <si>
    <t>ENTREGA EN TRES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</si>
</sst>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7" xfId="0" applyBorder="1"/>
    <xf numFmtId="0" fontId="0" fillId="0" borderId="21" xfId="0" applyBorder="1"/>
    <xf numFmtId="0" fontId="0" fillId="0" borderId="20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2" xfId="0" applyBorder="1"/>
    <xf numFmtId="0" fontId="1" fillId="0" borderId="7" xfId="0" applyFont="1" applyBorder="1"/>
    <xf numFmtId="0" fontId="8" fillId="0" borderId="13" xfId="0" applyFont="1" applyBorder="1"/>
    <xf numFmtId="0" fontId="8" fillId="0" borderId="16" xfId="0" applyFont="1" applyBorder="1"/>
    <xf numFmtId="0" fontId="8" fillId="0" borderId="15" xfId="0" applyFont="1" applyBorder="1"/>
    <xf numFmtId="0" fontId="8" fillId="0" borderId="0" xfId="0" applyFont="1"/>
    <xf numFmtId="0" fontId="8" fillId="0" borderId="17" xfId="0" applyFont="1" applyBorder="1"/>
    <xf numFmtId="0" fontId="0" fillId="0" borderId="18" xfId="0" applyBorder="1"/>
    <xf numFmtId="0" fontId="0" fillId="0" borderId="19" xfId="0" applyBorder="1"/>
    <xf numFmtId="42" fontId="12" fillId="0" borderId="1" xfId="1" applyFont="1" applyBorder="1" applyAlignment="1">
      <alignment horizontal="center"/>
    </xf>
    <xf numFmtId="0" fontId="0" fillId="0" borderId="15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20" xfId="0" applyFont="1" applyBorder="1"/>
    <xf numFmtId="0" fontId="4" fillId="0" borderId="14" xfId="0" applyFont="1" applyBorder="1"/>
    <xf numFmtId="0" fontId="4" fillId="0" borderId="22" xfId="0" applyFont="1" applyBorder="1"/>
    <xf numFmtId="0" fontId="5" fillId="0" borderId="24" xfId="0" applyFont="1" applyBorder="1"/>
    <xf numFmtId="9" fontId="1" fillId="0" borderId="20" xfId="0" applyNumberFormat="1" applyFont="1" applyBorder="1"/>
    <xf numFmtId="42" fontId="1" fillId="0" borderId="23" xfId="0" applyNumberFormat="1" applyFont="1" applyBorder="1"/>
    <xf numFmtId="42" fontId="1" fillId="0" borderId="25" xfId="1" applyFont="1" applyBorder="1"/>
    <xf numFmtId="42" fontId="1" fillId="0" borderId="25" xfId="0" applyNumberFormat="1" applyFont="1" applyBorder="1"/>
    <xf numFmtId="0" fontId="0" fillId="0" borderId="25" xfId="0" applyBorder="1"/>
    <xf numFmtId="0" fontId="0" fillId="0" borderId="24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30" xfId="1" applyFont="1" applyBorder="1" applyAlignment="1">
      <alignment horizontal="center"/>
    </xf>
    <xf numFmtId="0" fontId="11" fillId="0" borderId="22" xfId="0" applyFont="1" applyBorder="1"/>
    <xf numFmtId="0" fontId="13" fillId="0" borderId="0" xfId="0" applyFont="1" applyAlignment="1">
      <alignment horizontal="center"/>
    </xf>
    <xf numFmtId="0" fontId="14" fillId="0" borderId="20" xfId="2" applyBorder="1"/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8" fillId="0" borderId="0" xfId="0" applyFont="1" applyBorder="1"/>
    <xf numFmtId="0" fontId="1" fillId="0" borderId="22" xfId="0" applyFont="1" applyBorder="1" applyAlignment="1">
      <alignment horizontal="center"/>
    </xf>
    <xf numFmtId="10" fontId="1" fillId="0" borderId="0" xfId="0" applyNumberFormat="1" applyFont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ca19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zoomScaleNormal="100" workbookViewId="0">
      <selection activeCell="D6" sqref="D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69" t="s">
        <v>35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21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43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44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45</v>
      </c>
      <c r="D9" s="25"/>
      <c r="E9" s="26" t="s">
        <v>46</v>
      </c>
      <c r="F9" s="33" t="s">
        <v>0</v>
      </c>
      <c r="H9" s="34">
        <v>45478</v>
      </c>
    </row>
    <row r="10" spans="1:8" ht="18.75" x14ac:dyDescent="0.3">
      <c r="A10" s="22" t="s">
        <v>14</v>
      </c>
      <c r="C10" s="70" t="s">
        <v>47</v>
      </c>
      <c r="D10" s="27"/>
      <c r="E10" s="27"/>
      <c r="F10" s="33" t="s">
        <v>16</v>
      </c>
      <c r="H10" s="35" t="s">
        <v>38</v>
      </c>
    </row>
    <row r="11" spans="1:8" ht="18.75" x14ac:dyDescent="0.3">
      <c r="A11" s="22" t="s">
        <v>11</v>
      </c>
      <c r="C11" s="70"/>
      <c r="D11" s="27"/>
      <c r="E11" s="27"/>
      <c r="F11" s="33" t="s">
        <v>17</v>
      </c>
      <c r="G11" s="36"/>
      <c r="H11" s="34">
        <v>45486</v>
      </c>
    </row>
    <row r="12" spans="1:8" ht="18.75" x14ac:dyDescent="0.3">
      <c r="A12" s="22" t="s">
        <v>12</v>
      </c>
      <c r="C12" s="26" t="s">
        <v>48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22</v>
      </c>
      <c r="B15" s="28" t="s">
        <v>27</v>
      </c>
      <c r="C15" s="41"/>
      <c r="D15" s="13"/>
      <c r="E15" s="63" t="s">
        <v>23</v>
      </c>
      <c r="F15" s="64" t="s">
        <v>25</v>
      </c>
      <c r="G15" s="64" t="s">
        <v>24</v>
      </c>
      <c r="H15" s="65" t="s">
        <v>26</v>
      </c>
    </row>
    <row r="16" spans="1:8" ht="16.5" thickBot="1" x14ac:dyDescent="0.3">
      <c r="A16" s="73">
        <v>1</v>
      </c>
      <c r="B16" s="42" t="s">
        <v>49</v>
      </c>
      <c r="C16" s="43"/>
      <c r="D16" s="43"/>
      <c r="E16" s="66" t="s">
        <v>41</v>
      </c>
      <c r="F16" s="49">
        <v>280000</v>
      </c>
      <c r="G16" s="38">
        <v>2</v>
      </c>
      <c r="H16" s="67">
        <f>G16*F16</f>
        <v>560000</v>
      </c>
    </row>
    <row r="17" spans="1:10" ht="16.5" thickBot="1" x14ac:dyDescent="0.3">
      <c r="A17" s="75"/>
      <c r="B17" s="74"/>
      <c r="C17" s="45"/>
      <c r="D17" s="45"/>
      <c r="E17" s="50"/>
      <c r="F17" s="39"/>
      <c r="H17" s="68"/>
    </row>
    <row r="18" spans="1:10" ht="16.5" thickBot="1" x14ac:dyDescent="0.3">
      <c r="A18" s="73">
        <v>2</v>
      </c>
      <c r="B18" s="44" t="s">
        <v>50</v>
      </c>
      <c r="C18" s="45"/>
      <c r="D18" s="45"/>
      <c r="E18" s="66" t="s">
        <v>41</v>
      </c>
      <c r="F18" s="49">
        <v>17000</v>
      </c>
      <c r="G18" s="38">
        <v>16</v>
      </c>
      <c r="H18" s="67">
        <f>G18*F18</f>
        <v>272000</v>
      </c>
    </row>
    <row r="19" spans="1:10" ht="16.5" thickBot="1" x14ac:dyDescent="0.3">
      <c r="A19" s="73"/>
      <c r="B19" s="44"/>
      <c r="C19" s="45"/>
      <c r="D19" s="45"/>
      <c r="E19" s="50"/>
      <c r="F19" s="39"/>
      <c r="H19" s="68"/>
    </row>
    <row r="20" spans="1:10" ht="16.5" thickBot="1" x14ac:dyDescent="0.3">
      <c r="A20" s="73">
        <v>3</v>
      </c>
      <c r="B20" s="44" t="s">
        <v>51</v>
      </c>
      <c r="C20" s="45"/>
      <c r="D20" s="45"/>
      <c r="E20" s="66" t="s">
        <v>41</v>
      </c>
      <c r="F20" s="49">
        <v>28000</v>
      </c>
      <c r="G20" s="38">
        <v>10</v>
      </c>
      <c r="H20" s="67">
        <f>G20*F20</f>
        <v>280000</v>
      </c>
      <c r="I20" s="39"/>
      <c r="J20" s="39"/>
    </row>
    <row r="21" spans="1:10" ht="16.5" thickBot="1" x14ac:dyDescent="0.3">
      <c r="A21" s="73"/>
      <c r="B21" s="44"/>
      <c r="C21" s="45"/>
      <c r="D21" s="45"/>
      <c r="E21" s="50"/>
      <c r="F21" s="39"/>
      <c r="H21" s="68"/>
      <c r="I21" s="39"/>
      <c r="J21" s="39"/>
    </row>
    <row r="22" spans="1:10" ht="16.5" thickBot="1" x14ac:dyDescent="0.3">
      <c r="A22" s="73">
        <v>4</v>
      </c>
      <c r="B22" s="44" t="s">
        <v>52</v>
      </c>
      <c r="C22" s="45"/>
      <c r="D22" s="45"/>
      <c r="E22" s="66" t="s">
        <v>41</v>
      </c>
      <c r="F22" s="49">
        <v>18000</v>
      </c>
      <c r="G22" s="38">
        <v>18</v>
      </c>
      <c r="H22" s="67">
        <f>G22*F22</f>
        <v>324000</v>
      </c>
      <c r="I22" s="39"/>
      <c r="J22" s="39"/>
    </row>
    <row r="23" spans="1:10" ht="16.5" thickBot="1" x14ac:dyDescent="0.3">
      <c r="B23" s="44"/>
      <c r="C23" s="45"/>
      <c r="D23" s="45"/>
      <c r="E23" s="50"/>
      <c r="F23" s="39"/>
      <c r="H23" s="68"/>
      <c r="I23" s="39"/>
      <c r="J23" s="39"/>
    </row>
    <row r="24" spans="1:10" ht="16.5" thickBot="1" x14ac:dyDescent="0.3">
      <c r="A24" s="73">
        <v>5</v>
      </c>
      <c r="B24" s="44" t="s">
        <v>53</v>
      </c>
      <c r="C24" s="45"/>
      <c r="D24" s="45"/>
      <c r="E24" s="66" t="s">
        <v>41</v>
      </c>
      <c r="F24" s="49">
        <v>35000</v>
      </c>
      <c r="G24" s="38">
        <v>10</v>
      </c>
      <c r="H24" s="67">
        <f>G24*F24</f>
        <v>350000</v>
      </c>
      <c r="I24" s="39"/>
      <c r="J24" s="39"/>
    </row>
    <row r="25" spans="1:10" ht="16.5" thickBot="1" x14ac:dyDescent="0.3">
      <c r="B25" s="44"/>
      <c r="C25" s="45"/>
      <c r="D25" s="45"/>
      <c r="E25" s="50"/>
      <c r="F25" s="39"/>
      <c r="H25" s="68"/>
      <c r="I25" s="39"/>
      <c r="J25" s="39"/>
    </row>
    <row r="26" spans="1:10" ht="16.5" thickBot="1" x14ac:dyDescent="0.3">
      <c r="A26" s="73">
        <v>6</v>
      </c>
      <c r="B26" s="44" t="s">
        <v>54</v>
      </c>
      <c r="C26" s="45"/>
      <c r="D26" s="45"/>
      <c r="E26" s="66" t="s">
        <v>41</v>
      </c>
      <c r="F26" s="49">
        <v>40000</v>
      </c>
      <c r="G26" s="38">
        <v>7</v>
      </c>
      <c r="H26" s="67">
        <f>G26*F26</f>
        <v>280000</v>
      </c>
      <c r="I26" s="39"/>
      <c r="J26" s="39"/>
    </row>
    <row r="27" spans="1:10" ht="16.5" thickBot="1" x14ac:dyDescent="0.3">
      <c r="B27" s="44"/>
      <c r="C27" s="45"/>
      <c r="D27" s="45"/>
      <c r="E27" s="50"/>
      <c r="F27" s="39"/>
      <c r="H27" s="68"/>
      <c r="I27" s="39"/>
      <c r="J27" s="39"/>
    </row>
    <row r="28" spans="1:10" ht="16.5" thickBot="1" x14ac:dyDescent="0.3">
      <c r="A28" s="73">
        <v>7</v>
      </c>
      <c r="B28" s="44" t="s">
        <v>55</v>
      </c>
      <c r="C28" s="45"/>
      <c r="D28" s="45"/>
      <c r="E28" s="66" t="s">
        <v>41</v>
      </c>
      <c r="F28" s="49">
        <v>11600000</v>
      </c>
      <c r="G28" s="38">
        <v>1</v>
      </c>
      <c r="H28" s="67">
        <f>G28*F28</f>
        <v>11600000</v>
      </c>
      <c r="I28" s="39"/>
      <c r="J28" s="39"/>
    </row>
    <row r="29" spans="1:10" ht="19.5" customHeight="1" x14ac:dyDescent="0.25">
      <c r="B29" s="44"/>
      <c r="C29" s="45"/>
      <c r="D29" s="45"/>
      <c r="E29" s="50"/>
      <c r="F29" s="39"/>
      <c r="H29" s="68"/>
      <c r="I29" s="39"/>
      <c r="J29" s="39"/>
    </row>
    <row r="30" spans="1:10" ht="19.5" customHeight="1" x14ac:dyDescent="0.25">
      <c r="B30" s="44"/>
      <c r="C30" s="45"/>
      <c r="D30" s="45"/>
      <c r="E30" s="50"/>
      <c r="H30" s="68"/>
      <c r="I30" s="39"/>
      <c r="J30" s="39"/>
    </row>
    <row r="31" spans="1:10" ht="19.5" customHeight="1" x14ac:dyDescent="0.25">
      <c r="B31" s="44"/>
      <c r="C31" s="45"/>
      <c r="D31" s="45"/>
      <c r="E31" s="50"/>
      <c r="H31" s="40"/>
      <c r="I31" s="39"/>
      <c r="J31" s="39"/>
    </row>
    <row r="32" spans="1:10" ht="19.5" customHeight="1" x14ac:dyDescent="0.25">
      <c r="B32" s="44"/>
      <c r="C32" s="45"/>
      <c r="D32" s="45"/>
      <c r="E32" s="50"/>
      <c r="H32" s="40"/>
      <c r="I32" s="39"/>
      <c r="J32" s="39"/>
    </row>
    <row r="33" spans="1:10" ht="19.5" customHeight="1" x14ac:dyDescent="0.25">
      <c r="B33" s="44"/>
      <c r="E33" s="50"/>
      <c r="H33" s="40"/>
      <c r="I33" s="39"/>
      <c r="J33" s="39"/>
    </row>
    <row r="34" spans="1:10" ht="19.5" customHeight="1" x14ac:dyDescent="0.25">
      <c r="B34" s="44"/>
      <c r="E34" s="50"/>
      <c r="H34" s="40"/>
    </row>
    <row r="35" spans="1:10" ht="19.5" customHeight="1" x14ac:dyDescent="0.25">
      <c r="B35" s="44"/>
      <c r="E35" s="50"/>
      <c r="H35" s="40"/>
    </row>
    <row r="36" spans="1:10" ht="19.5" customHeight="1" x14ac:dyDescent="0.25">
      <c r="B36" s="46"/>
      <c r="C36" s="47"/>
      <c r="D36" s="47"/>
      <c r="E36" s="24"/>
      <c r="F36" s="47"/>
      <c r="G36" s="47"/>
      <c r="H36" s="48"/>
    </row>
    <row r="37" spans="1:10" ht="19.5" customHeight="1" thickBot="1" x14ac:dyDescent="0.3"/>
    <row r="38" spans="1:10" ht="19.5" customHeight="1" thickBot="1" x14ac:dyDescent="0.35">
      <c r="A38" s="71" t="s">
        <v>28</v>
      </c>
      <c r="B38" s="12" t="s">
        <v>56</v>
      </c>
      <c r="C38" s="13"/>
      <c r="D38" s="14"/>
      <c r="E38" s="13"/>
      <c r="F38" s="52" t="s">
        <v>34</v>
      </c>
      <c r="G38" s="13"/>
      <c r="H38" s="7"/>
    </row>
    <row r="39" spans="1:10" ht="19.5" customHeight="1" thickBot="1" x14ac:dyDescent="0.3">
      <c r="A39" s="72"/>
      <c r="B39" s="17" t="s">
        <v>57</v>
      </c>
      <c r="C39" s="4"/>
      <c r="D39" s="4"/>
      <c r="E39" s="53" t="s">
        <v>29</v>
      </c>
      <c r="F39" s="54"/>
      <c r="G39" s="27"/>
      <c r="H39" s="58">
        <f>SUM(H16:H28)</f>
        <v>13666000</v>
      </c>
    </row>
    <row r="40" spans="1:10" ht="19.5" customHeight="1" x14ac:dyDescent="0.25">
      <c r="A40" s="28" t="s">
        <v>30</v>
      </c>
      <c r="B40" s="13"/>
      <c r="C40" s="13"/>
      <c r="D40" s="14"/>
      <c r="E40" s="3" t="s">
        <v>36</v>
      </c>
      <c r="F40" s="55"/>
      <c r="G40" s="57">
        <v>0.19</v>
      </c>
      <c r="H40" s="59">
        <f>H39*G40</f>
        <v>2596540</v>
      </c>
    </row>
    <row r="41" spans="1:10" ht="19.5" customHeight="1" x14ac:dyDescent="0.25">
      <c r="A41" s="15" t="s">
        <v>39</v>
      </c>
      <c r="D41" s="16"/>
      <c r="E41" s="54" t="s">
        <v>31</v>
      </c>
      <c r="G41" s="76">
        <v>2.5000000000000001E-2</v>
      </c>
      <c r="H41" s="60">
        <f>H39*G41</f>
        <v>341650</v>
      </c>
    </row>
    <row r="42" spans="1:10" ht="19.5" customHeight="1" x14ac:dyDescent="0.25">
      <c r="A42" s="15" t="s">
        <v>58</v>
      </c>
      <c r="D42" s="16"/>
      <c r="F42" s="54"/>
      <c r="G42" s="27"/>
      <c r="H42" s="61"/>
    </row>
    <row r="43" spans="1:10" ht="19.5" customHeight="1" thickBot="1" x14ac:dyDescent="0.3">
      <c r="A43" s="15" t="s">
        <v>40</v>
      </c>
      <c r="D43" s="16"/>
      <c r="E43" s="54" t="s">
        <v>32</v>
      </c>
      <c r="F43" s="54"/>
      <c r="G43" s="27"/>
      <c r="H43" s="62"/>
    </row>
    <row r="44" spans="1:10" ht="19.5" thickBot="1" x14ac:dyDescent="0.35">
      <c r="A44" s="17"/>
      <c r="B44" s="4"/>
      <c r="C44" s="4"/>
      <c r="D44" s="18"/>
      <c r="F44" s="3"/>
      <c r="G44" s="56" t="s">
        <v>33</v>
      </c>
      <c r="H44" s="51">
        <f>H39+H40-H41</f>
        <v>15920890</v>
      </c>
    </row>
    <row r="46" spans="1:10" x14ac:dyDescent="0.25">
      <c r="A46" t="s">
        <v>1</v>
      </c>
    </row>
    <row r="47" spans="1:10" ht="16.5" customHeight="1" x14ac:dyDescent="0.25"/>
    <row r="48" spans="1:10" ht="15.75" thickBot="1" x14ac:dyDescent="0.3"/>
    <row r="49" spans="1:8" ht="19.5" thickBot="1" x14ac:dyDescent="0.35">
      <c r="A49" s="29" t="s">
        <v>42</v>
      </c>
      <c r="B49" s="6"/>
      <c r="C49" s="6"/>
      <c r="D49" s="6"/>
      <c r="E49" s="6"/>
      <c r="F49" s="6"/>
      <c r="G49" s="6"/>
      <c r="H49" s="7"/>
    </row>
    <row r="61" spans="1:8" ht="18.75" x14ac:dyDescent="0.3">
      <c r="A61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2024-07-05T19:59:01Z</dcterms:modified>
</cp:coreProperties>
</file>