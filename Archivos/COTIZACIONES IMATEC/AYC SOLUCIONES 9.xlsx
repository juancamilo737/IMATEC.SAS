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F085908-F939-4104-BF91-EC581E71AF3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C SOLU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3" i="1" l="1"/>
  <c r="H27" i="1" s="1"/>
</calcChain>
</file>

<file path=xl/sharedStrings.xml><?xml version="1.0" encoding="utf-8"?>
<sst xmlns="http://schemas.openxmlformats.org/spreadsheetml/2006/main" count="60" uniqueCount="57">
  <si>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</si>
  <si>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</si>
  <si>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</si>
  <si>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</si>
  <si>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</si>
  <si>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</si>
  <si>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</si>
  <si>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</si>
  <si>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</si>
  <si>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</si>
  <si>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</si>
  <si>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</si>
  <si>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</si>
  <si>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</si>
  <si>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</si>
  <si>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</si>
  <si>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</si>
  <si>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</si>
  <si>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</si>
  <si>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</si>
  <si>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</si>
  <si>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</si>
  <si>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</si>
  <si>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</si>
  <si>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</si>
  <si>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</si>
  <si>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</si>
  <si>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</si>
  <si>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</si>
  <si>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</si>
  <si>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</si>
  <si>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</si>
  <si>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</si>
  <si>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</si>
  <si>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</si>
  <si>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</si>
  <si>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</si>
  <si>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</si>
  <si>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AYC SOLUCIONES HIDROELECTRICAS SAS</t>
  </si>
  <si>
    <t>901 269341</t>
  </si>
  <si>
    <t>CALLE 23 No. 28-11</t>
  </si>
  <si>
    <t>CALI</t>
  </si>
  <si>
    <t>aycsolucioneshidroelectricas@gmail.com</t>
  </si>
  <si>
    <t>602 2830205</t>
  </si>
  <si>
    <t>ACCESORIO</t>
  </si>
  <si>
    <t>LUIS A. BENAVIDES</t>
  </si>
  <si>
    <t>L I Q U I D A C I O N</t>
  </si>
  <si>
    <t xml:space="preserve">           C O T I Z A C I O N</t>
  </si>
  <si>
    <t>10 DIAS</t>
  </si>
  <si>
    <t xml:space="preserve">  CALLE  33A  No. 17F - 56                              B/  LA FLORESTA             -   CALI    -                                   CEL.     321 7834969</t>
  </si>
  <si>
    <t>No. 9</t>
  </si>
  <si>
    <t>ADAPTADOR MACHO PVC SCH 40  6 "</t>
  </si>
  <si>
    <t>ADAPTADOR HEMBRA PVC SCH 40  6 "</t>
  </si>
  <si>
    <t>CODO PVC  SCH 40  6 "  X  90 º</t>
  </si>
  <si>
    <t xml:space="preserve">TUBERIA PVC PRESION SCH 40 6 "  </t>
  </si>
  <si>
    <t>TRESCIENTOS VEINTICINCO MIL CUATROCIENTOS SESEN</t>
  </si>
  <si>
    <t>TA Y CINCO PESOS MDA  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</si>
</sst>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8" fillId="0" borderId="35" xfId="0" applyFont="1" applyBorder="1"/>
    <xf numFmtId="0" fontId="0" fillId="0" borderId="36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csolucioneshidroelectric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0" zoomScaleNormal="100" workbookViewId="0">
      <selection activeCell="B23" sqref="B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65" t="s">
        <v>38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 t="s">
        <v>39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40</v>
      </c>
      <c r="D9" s="23"/>
      <c r="E9" s="70" t="s">
        <v>41</v>
      </c>
      <c r="F9" s="30" t="s">
        <v>0</v>
      </c>
      <c r="H9" s="28">
        <v>45859</v>
      </c>
    </row>
    <row r="10" spans="1:8" ht="18.75" x14ac:dyDescent="0.3">
      <c r="A10" s="21" t="s">
        <v>13</v>
      </c>
      <c r="C10" s="71" t="s">
        <v>42</v>
      </c>
      <c r="D10" s="66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72"/>
      <c r="D11" s="66"/>
      <c r="E11" s="45"/>
      <c r="F11" s="30" t="s">
        <v>16</v>
      </c>
      <c r="G11" s="30"/>
      <c r="H11" s="28">
        <v>45868</v>
      </c>
    </row>
    <row r="12" spans="1:8" ht="18.75" x14ac:dyDescent="0.3">
      <c r="A12" s="21" t="s">
        <v>11</v>
      </c>
      <c r="C12" s="72" t="s">
        <v>43</v>
      </c>
      <c r="D12" s="66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45</v>
      </c>
      <c r="D13" s="66"/>
      <c r="E13" s="45"/>
      <c r="F13" s="4"/>
      <c r="G13" s="4"/>
      <c r="H13" s="17"/>
    </row>
    <row r="14" spans="1:8" ht="15.75" thickBot="1" x14ac:dyDescent="0.3">
      <c r="C14" s="16"/>
      <c r="D14" s="4"/>
      <c r="E14" s="17"/>
    </row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51</v>
      </c>
      <c r="C16" s="50"/>
      <c r="D16" s="51"/>
      <c r="E16" s="48" t="s">
        <v>44</v>
      </c>
      <c r="F16" s="52">
        <v>39000</v>
      </c>
      <c r="G16" s="48">
        <v>1</v>
      </c>
      <c r="H16" s="38">
        <f t="shared" ref="H16" si="0">G16*F16</f>
        <v>39000</v>
      </c>
    </row>
    <row r="17" spans="1:8" ht="16.5" thickBot="1" x14ac:dyDescent="0.3">
      <c r="A17" s="48">
        <v>2</v>
      </c>
      <c r="B17" s="49" t="s">
        <v>52</v>
      </c>
      <c r="C17" s="50"/>
      <c r="D17" s="51"/>
      <c r="E17" s="48" t="s">
        <v>44</v>
      </c>
      <c r="F17" s="52">
        <v>35000</v>
      </c>
      <c r="G17" s="48">
        <v>1</v>
      </c>
      <c r="H17" s="38">
        <f t="shared" ref="H17:H19" si="1">G17*F17</f>
        <v>35000</v>
      </c>
    </row>
    <row r="18" spans="1:8" ht="16.5" thickBot="1" x14ac:dyDescent="0.3">
      <c r="A18" s="48">
        <v>3</v>
      </c>
      <c r="B18" s="49" t="s">
        <v>53</v>
      </c>
      <c r="C18" s="50"/>
      <c r="D18" s="51"/>
      <c r="E18" s="48" t="s">
        <v>44</v>
      </c>
      <c r="F18" s="52">
        <v>59500</v>
      </c>
      <c r="G18" s="48">
        <v>1</v>
      </c>
      <c r="H18" s="38">
        <f t="shared" si="1"/>
        <v>59500</v>
      </c>
    </row>
    <row r="19" spans="1:8" ht="16.5" thickBot="1" x14ac:dyDescent="0.3">
      <c r="A19" s="73">
        <v>4</v>
      </c>
      <c r="B19" s="74" t="s">
        <v>54</v>
      </c>
      <c r="C19" s="75"/>
      <c r="D19" s="76"/>
      <c r="E19" s="73" t="s">
        <v>44</v>
      </c>
      <c r="F19" s="77">
        <v>140000</v>
      </c>
      <c r="G19" s="73">
        <v>1</v>
      </c>
      <c r="H19" s="38">
        <f t="shared" si="1"/>
        <v>140000</v>
      </c>
    </row>
    <row r="20" spans="1:8" ht="19.5" customHeight="1" thickBot="1" x14ac:dyDescent="0.3">
      <c r="A20" s="53"/>
      <c r="B20" s="79"/>
      <c r="D20" s="80"/>
      <c r="E20" s="53"/>
      <c r="F20" s="53"/>
      <c r="G20" s="53"/>
    </row>
    <row r="21" spans="1:8" ht="19.5" customHeight="1" thickBot="1" x14ac:dyDescent="0.35">
      <c r="A21" s="78" t="s">
        <v>23</v>
      </c>
      <c r="B21" s="81" t="s">
        <v>55</v>
      </c>
      <c r="C21" s="12"/>
      <c r="D21" s="13"/>
      <c r="E21" s="54"/>
      <c r="F21" s="37" t="s">
        <v>46</v>
      </c>
      <c r="G21" s="6"/>
      <c r="H21" s="7"/>
    </row>
    <row r="22" spans="1:8" ht="19.5" customHeight="1" thickBot="1" x14ac:dyDescent="0.3">
      <c r="A22" s="39"/>
      <c r="B22" s="16" t="s">
        <v>56</v>
      </c>
      <c r="C22" s="4"/>
      <c r="D22" s="17"/>
      <c r="E22" s="57" t="s">
        <v>24</v>
      </c>
      <c r="F22" s="58"/>
      <c r="G22" s="44"/>
      <c r="H22" s="55">
        <f>SUM(H16:H19)</f>
        <v>273500</v>
      </c>
    </row>
    <row r="23" spans="1:8" ht="19.5" customHeight="1" x14ac:dyDescent="0.25">
      <c r="A23" s="24" t="s">
        <v>25</v>
      </c>
      <c r="B23" s="12"/>
      <c r="C23" s="12"/>
      <c r="D23" s="12"/>
      <c r="E23" s="59" t="s">
        <v>29</v>
      </c>
      <c r="F23" s="23"/>
      <c r="G23" s="60">
        <v>0.19</v>
      </c>
      <c r="H23" s="40">
        <f>H22*G23</f>
        <v>51965</v>
      </c>
    </row>
    <row r="24" spans="1:8" ht="19.5" customHeight="1" x14ac:dyDescent="0.25">
      <c r="A24" s="14" t="s">
        <v>30</v>
      </c>
      <c r="E24" s="61" t="s">
        <v>26</v>
      </c>
      <c r="G24" s="64">
        <v>2.5000000000000001E-2</v>
      </c>
      <c r="H24" s="56"/>
    </row>
    <row r="25" spans="1:8" ht="15.75" x14ac:dyDescent="0.25">
      <c r="A25" s="14" t="s">
        <v>35</v>
      </c>
      <c r="E25" s="14"/>
      <c r="F25" s="33"/>
      <c r="G25" s="45"/>
      <c r="H25" s="15"/>
    </row>
    <row r="26" spans="1:8" ht="16.5" thickBot="1" x14ac:dyDescent="0.3">
      <c r="A26" s="14" t="s">
        <v>32</v>
      </c>
      <c r="E26" s="62" t="s">
        <v>27</v>
      </c>
      <c r="F26" s="63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325465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49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CE4586D5-0C34-4CBB-A163-3643D8919FD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AYC SOLUCIONES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2025-07-21T15:05:45Z</dcterms:modified>
</cp:coreProperties>
</file>