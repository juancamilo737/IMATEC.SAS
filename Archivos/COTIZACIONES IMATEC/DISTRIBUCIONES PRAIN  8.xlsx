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52E11C4-BAB3-41DA-BE16-EF61DAB6BB3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<sst xmlns="http://schemas.openxmlformats.org/spreadsheetml/2006/main" count="54" uniqueCount="54">
  <si>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</si>
  <si>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</si>
  <si>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</si>
  <si>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</si>
  <si>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</si>
  <si>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</si>
  <si>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</si>
  <si>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</si>
  <si>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</si>
  <si>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</si>
  <si>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</si>
  <si>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</si>
  <si>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</si>
  <si>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</si>
  <si>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</si>
  <si>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</si>
  <si>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</si>
  <si>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</si>
  <si>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</si>
  <si>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</si>
  <si>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</si>
  <si>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</si>
  <si>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</si>
  <si>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</si>
  <si>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</si>
  <si>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</si>
  <si>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</si>
  <si>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</si>
  <si>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</si>
  <si>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</si>
  <si>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</si>
  <si>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</si>
  <si>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</si>
  <si>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</si>
  <si>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</si>
  <si>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</si>
  <si>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</si>
  <si>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</si>
  <si>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</si>
  <si>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</si>
  <si>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</si>
  <si>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</si>
  <si>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</si>
  <si>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</si>
  <si>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</si>
  <si>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 xml:space="preserve">           C O T I Z A C I O N</t>
  </si>
  <si>
    <t>No. 8</t>
  </si>
  <si>
    <t>10 DIAS</t>
  </si>
  <si>
    <t>TUBERIA  AC/INOX 316  SCH 80  3/4 "  X  6 MTS</t>
  </si>
  <si>
    <t>TUBO</t>
  </si>
  <si>
    <t>CUARENTA Y NUEVE MILLONES TRESCIENTOS MIL DOS-</t>
  </si>
  <si>
    <t>CIENTOS SETENTA Y DOS PESOS MDA / CTE</t>
  </si>
  <si>
    <t>ENTREGA EN 3 DIAS POSTERIOR A ORDEN DE COMPRA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</si>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</sst>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H29" sqref="H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9" t="s">
        <v>39</v>
      </c>
      <c r="D8" s="65"/>
      <c r="E8" s="47"/>
      <c r="H8" s="15"/>
    </row>
    <row r="9" spans="1:8" ht="18.75" customHeight="1" x14ac:dyDescent="0.3">
      <c r="A9" s="21" t="s">
        <v>9</v>
      </c>
      <c r="C9" s="66" t="s">
        <v>40</v>
      </c>
      <c r="D9" s="23"/>
      <c r="E9" s="67" t="s">
        <v>41</v>
      </c>
      <c r="F9" s="30" t="s">
        <v>0</v>
      </c>
      <c r="H9" s="28">
        <v>45768</v>
      </c>
    </row>
    <row r="10" spans="1:8" ht="18.75" x14ac:dyDescent="0.3">
      <c r="A10" s="21" t="s">
        <v>13</v>
      </c>
      <c r="C10" s="68" t="s">
        <v>42</v>
      </c>
      <c r="D10" s="65"/>
      <c r="E10" s="47"/>
      <c r="F10" s="30" t="s">
        <v>15</v>
      </c>
      <c r="H10" s="29" t="s">
        <v>47</v>
      </c>
    </row>
    <row r="11" spans="1:8" ht="18.75" x14ac:dyDescent="0.3">
      <c r="A11" s="21" t="s">
        <v>10</v>
      </c>
      <c r="C11" s="69"/>
      <c r="D11" s="65"/>
      <c r="E11" s="47"/>
      <c r="F11" s="30" t="s">
        <v>16</v>
      </c>
      <c r="G11" s="30"/>
      <c r="H11" s="28">
        <v>45777</v>
      </c>
    </row>
    <row r="12" spans="1:8" ht="18.75" x14ac:dyDescent="0.3">
      <c r="A12" s="21" t="s">
        <v>11</v>
      </c>
      <c r="C12" s="69" t="s">
        <v>43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0" t="s">
        <v>44</v>
      </c>
      <c r="D13" s="71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3" t="s">
        <v>48</v>
      </c>
      <c r="C16" s="74"/>
      <c r="D16" s="75"/>
      <c r="E16" s="72" t="s">
        <v>49</v>
      </c>
      <c r="F16" s="76">
        <v>1972800</v>
      </c>
      <c r="G16" s="72">
        <v>21</v>
      </c>
      <c r="H16" s="38">
        <f t="shared" ref="H16" si="0">G16*F16</f>
        <v>41428800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50</v>
      </c>
      <c r="D18" s="15"/>
      <c r="E18" s="53"/>
      <c r="F18" s="37" t="s">
        <v>53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6" t="s">
        <v>24</v>
      </c>
      <c r="F19" s="57"/>
      <c r="G19" s="46"/>
      <c r="H19" s="54">
        <f>SUM(H16:H18)</f>
        <v>41428800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7871472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>
        <f>H19*G21</f>
        <v>1035720</v>
      </c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49300272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2025-04-04T19:17:51Z</cp:lastPrinted>
  <dcterms:created xsi:type="dcterms:W3CDTF">2018-11-15T17:29:02Z</dcterms:created>
  <dcterms:modified xsi:type="dcterms:W3CDTF">2025-04-21T21:53:17Z</dcterms:modified>
</cp:coreProperties>
</file>