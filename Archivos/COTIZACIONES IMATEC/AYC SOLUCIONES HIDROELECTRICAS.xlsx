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D2AD5EEA-1AA5-4ABC-BBE9-7239A4273FC1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YC SOLUCIONES HIDROELECTRIC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26" i="1" s="1"/>
  <c r="H27" i="1" l="1"/>
  <c r="H31" i="1"/>
</calcChain>
</file>

<file path=xl/sharedStrings.xml><?xml version="1.0" encoding="utf-8"?>
<sst xmlns="http://schemas.openxmlformats.org/spreadsheetml/2006/main" count="63" uniqueCount="58">
  <si>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</si>
  <si>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</si>
  <si>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</si>
  <si>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</si>
  <si>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</si>
  <si>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</si>
  <si>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</si>
  <si>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</si>
  <si>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</si>
  <si>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</si>
  <si>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</si>
  <si>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</si>
  <si>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</si>
  <si>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</si>
  <si>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</si>
  <si>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</si>
  <si>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</si>
  <si>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</si>
  <si>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</si>
  <si>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</si>
  <si>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</si>
  <si>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</si>
  <si>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</si>
  <si>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</si>
  <si>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</si>
  <si>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</si>
  <si>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</si>
  <si>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</si>
  <si>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</si>
  <si>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</si>
  <si>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</si>
  <si>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</si>
  <si>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</si>
  <si>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</si>
  <si>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</si>
  <si>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FORMA DE PAGO : CONTADO</t>
  </si>
  <si>
    <t>10 DIAS</t>
  </si>
  <si>
    <t xml:space="preserve">                                   JAVIER LOZANO TAMAYO C.C. 16´654.252</t>
  </si>
  <si>
    <t>CONTACTOS   310 8306118         321 7834969</t>
  </si>
  <si>
    <t>ENTREGA EN LA CIUDAD DE CALI</t>
  </si>
  <si>
    <t>CALI</t>
  </si>
  <si>
    <t>ITEM</t>
  </si>
  <si>
    <t>ACCESORIO</t>
  </si>
  <si>
    <t>AYC SOLUCIONES HIDROELECTRICAS SAS</t>
  </si>
  <si>
    <t>901 269341</t>
  </si>
  <si>
    <t>CALLE 23 No. 28-11</t>
  </si>
  <si>
    <t>aycsolucioneshidroelectricas@gmail.com</t>
  </si>
  <si>
    <t>602 2830205</t>
  </si>
  <si>
    <t xml:space="preserve">VALVULA PASO DIRECTO BRONCE  2 " </t>
  </si>
  <si>
    <t>VALVULA BOLA  BRONCE CROMADO  4 "</t>
  </si>
  <si>
    <t>NIPLE INOX 316  SCH 10  4 "  X 0,645 MTS RANURA X RANURA</t>
  </si>
  <si>
    <t>NIPLE INOX 304  SCH 40  2 "  X  0,6 MTS  ROSCA X ROSCA</t>
  </si>
  <si>
    <t>NIPLE INOX 304  SCH 40   2 "  X  0,135 MTS  ROSCA X RANURA</t>
  </si>
  <si>
    <t>CODO INOX 304   2 "  X 90º  X 150  ROSCADO</t>
  </si>
  <si>
    <t>ABONO A CUENTA  $ 1'000.000</t>
  </si>
  <si>
    <t>UN MILLON CIENTO OCHO MIL CUATROCIENTOS OCHENTA Y CINCO</t>
  </si>
  <si>
    <t>PESOS MDA / CTE</t>
  </si>
  <si>
    <t>SALDO   $ 108.485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</si>
</sst>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0" fontId="4" fillId="0" borderId="21" xfId="0" applyFont="1" applyBorder="1"/>
    <xf numFmtId="42" fontId="1" fillId="0" borderId="22" xfId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17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8" fillId="0" borderId="23" xfId="0" applyFont="1" applyBorder="1"/>
    <xf numFmtId="0" fontId="8" fillId="0" borderId="24" xfId="0" applyFont="1" applyBorder="1"/>
    <xf numFmtId="0" fontId="0" fillId="0" borderId="25" xfId="0" applyBorder="1"/>
    <xf numFmtId="0" fontId="8" fillId="0" borderId="0" xfId="0" applyFont="1"/>
    <xf numFmtId="42" fontId="1" fillId="0" borderId="2" xfId="1" applyFont="1" applyBorder="1" applyAlignment="1">
      <alignment horizontal="left"/>
    </xf>
    <xf numFmtId="0" fontId="1" fillId="0" borderId="18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ycsolucioneshidroelectric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1"/>
  <sheetViews>
    <sheetView tabSelected="1" topLeftCell="A16" zoomScale="96" zoomScaleNormal="96" workbookViewId="0">
      <selection activeCell="D36" sqref="D36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7" t="s">
        <v>32</v>
      </c>
    </row>
    <row r="3" spans="1:8" ht="27" thickBot="1" x14ac:dyDescent="0.45">
      <c r="A3" s="10" t="s">
        <v>19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37</v>
      </c>
      <c r="E4" s="18"/>
      <c r="F4" s="19"/>
      <c r="G4" s="5"/>
      <c r="H4" s="6"/>
    </row>
    <row r="5" spans="1:8" ht="19.5" thickBot="1" x14ac:dyDescent="0.35">
      <c r="A5" s="55" t="s">
        <v>38</v>
      </c>
      <c r="B5" s="5"/>
      <c r="C5" s="5"/>
      <c r="D5" s="5"/>
      <c r="E5" s="5"/>
    </row>
    <row r="6" spans="1:8" ht="24.75" customHeight="1" thickBot="1" x14ac:dyDescent="0.45">
      <c r="F6" s="10" t="s">
        <v>18</v>
      </c>
      <c r="G6" s="18"/>
      <c r="H6" s="19"/>
    </row>
    <row r="7" spans="1:8" ht="19.5" thickBot="1" x14ac:dyDescent="0.35">
      <c r="A7" s="20" t="s">
        <v>14</v>
      </c>
      <c r="B7" s="12"/>
      <c r="C7" s="29" t="s">
        <v>43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 t="s">
        <v>44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45</v>
      </c>
      <c r="D9" s="23"/>
      <c r="E9" s="24" t="s">
        <v>40</v>
      </c>
      <c r="F9" s="30" t="s">
        <v>0</v>
      </c>
      <c r="H9" s="31">
        <v>45464</v>
      </c>
    </row>
    <row r="10" spans="1:8" ht="18.75" x14ac:dyDescent="0.3">
      <c r="A10" s="21" t="s">
        <v>13</v>
      </c>
      <c r="C10" s="48" t="s">
        <v>46</v>
      </c>
      <c r="D10" s="25"/>
      <c r="E10" s="25"/>
      <c r="F10" s="30" t="s">
        <v>15</v>
      </c>
      <c r="H10" s="32" t="s">
        <v>36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45474</v>
      </c>
    </row>
    <row r="12" spans="1:8" ht="18.75" x14ac:dyDescent="0.3">
      <c r="A12" s="21" t="s">
        <v>11</v>
      </c>
      <c r="C12" s="24" t="s">
        <v>47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34</v>
      </c>
      <c r="D13" s="25"/>
      <c r="E13" s="25"/>
      <c r="F13" s="16"/>
      <c r="G13" s="4"/>
      <c r="H13" s="17"/>
    </row>
    <row r="16" spans="1:8" ht="15.75" thickBot="1" x14ac:dyDescent="0.3"/>
    <row r="17" spans="1:10" ht="15.75" thickBot="1" x14ac:dyDescent="0.3">
      <c r="A17" s="35" t="s">
        <v>41</v>
      </c>
      <c r="B17" s="62" t="s">
        <v>24</v>
      </c>
      <c r="C17" s="63"/>
      <c r="D17" s="13"/>
      <c r="E17" s="35" t="s">
        <v>20</v>
      </c>
      <c r="F17" s="35" t="s">
        <v>22</v>
      </c>
      <c r="G17" s="35" t="s">
        <v>21</v>
      </c>
      <c r="H17" s="35" t="s">
        <v>23</v>
      </c>
    </row>
    <row r="18" spans="1:10" ht="16.5" thickBot="1" x14ac:dyDescent="0.3">
      <c r="A18" s="52">
        <v>1</v>
      </c>
      <c r="B18" s="64" t="s">
        <v>48</v>
      </c>
      <c r="C18" s="65"/>
      <c r="D18" s="66"/>
      <c r="E18" s="52" t="s">
        <v>42</v>
      </c>
      <c r="F18" s="54">
        <v>193500</v>
      </c>
      <c r="G18" s="52">
        <v>1</v>
      </c>
      <c r="H18" s="57">
        <f t="shared" ref="H18:H23" si="0">G18*F18</f>
        <v>193500</v>
      </c>
    </row>
    <row r="19" spans="1:10" ht="16.5" thickBot="1" x14ac:dyDescent="0.3">
      <c r="A19" s="52">
        <v>2</v>
      </c>
      <c r="B19" s="64" t="s">
        <v>49</v>
      </c>
      <c r="C19" s="67"/>
      <c r="D19" s="37"/>
      <c r="E19" s="52" t="s">
        <v>42</v>
      </c>
      <c r="F19" s="53">
        <v>462000</v>
      </c>
      <c r="G19" s="52">
        <v>1</v>
      </c>
      <c r="H19" s="57">
        <f t="shared" si="0"/>
        <v>462000</v>
      </c>
      <c r="I19" s="36"/>
      <c r="J19" s="36"/>
    </row>
    <row r="20" spans="1:10" ht="16.5" thickBot="1" x14ac:dyDescent="0.3">
      <c r="A20" s="52">
        <v>3</v>
      </c>
      <c r="B20" s="64" t="s">
        <v>50</v>
      </c>
      <c r="C20" s="67"/>
      <c r="D20" s="37"/>
      <c r="E20" s="52" t="s">
        <v>42</v>
      </c>
      <c r="F20" s="53">
        <v>140000</v>
      </c>
      <c r="G20" s="52">
        <v>1</v>
      </c>
      <c r="H20" s="57">
        <f t="shared" si="0"/>
        <v>140000</v>
      </c>
      <c r="I20" s="36"/>
      <c r="J20" s="36"/>
    </row>
    <row r="21" spans="1:10" ht="16.5" thickBot="1" x14ac:dyDescent="0.3">
      <c r="A21" s="52">
        <v>4</v>
      </c>
      <c r="B21" s="38" t="s">
        <v>51</v>
      </c>
      <c r="C21" s="67"/>
      <c r="D21" s="60"/>
      <c r="E21" s="59" t="s">
        <v>42</v>
      </c>
      <c r="F21" s="53">
        <v>75000</v>
      </c>
      <c r="G21" s="52">
        <v>1</v>
      </c>
      <c r="H21" s="57">
        <f t="shared" si="0"/>
        <v>75000</v>
      </c>
      <c r="I21" s="36"/>
      <c r="J21" s="36"/>
    </row>
    <row r="22" spans="1:10" ht="16.5" customHeight="1" thickBot="1" x14ac:dyDescent="0.3">
      <c r="A22" s="58">
        <v>5</v>
      </c>
      <c r="B22" s="38" t="s">
        <v>52</v>
      </c>
      <c r="C22" s="67"/>
      <c r="D22" s="60"/>
      <c r="E22" s="59" t="s">
        <v>42</v>
      </c>
      <c r="F22" s="53">
        <v>27000</v>
      </c>
      <c r="G22" s="52">
        <v>1</v>
      </c>
      <c r="H22" s="57">
        <f t="shared" si="0"/>
        <v>27000</v>
      </c>
      <c r="I22" s="36"/>
      <c r="J22" s="36"/>
    </row>
    <row r="23" spans="1:10" ht="19.5" customHeight="1" thickBot="1" x14ac:dyDescent="0.3">
      <c r="A23" s="58">
        <v>7</v>
      </c>
      <c r="B23" s="38" t="s">
        <v>53</v>
      </c>
      <c r="C23" s="67"/>
      <c r="D23" s="60"/>
      <c r="E23" s="59" t="s">
        <v>42</v>
      </c>
      <c r="F23" s="53">
        <v>34000</v>
      </c>
      <c r="G23" s="52">
        <v>1</v>
      </c>
      <c r="H23" s="57">
        <f t="shared" si="0"/>
        <v>34000</v>
      </c>
      <c r="I23" s="36"/>
      <c r="J23" s="36"/>
    </row>
    <row r="24" spans="1:10" ht="19.5" customHeight="1" thickBot="1" x14ac:dyDescent="0.3">
      <c r="A24" s="52"/>
      <c r="B24" s="67"/>
      <c r="C24" s="67"/>
      <c r="D24" s="67"/>
      <c r="E24" s="52"/>
      <c r="F24" s="53"/>
      <c r="G24" s="52"/>
      <c r="H24" s="68"/>
      <c r="I24" s="36"/>
      <c r="J24" s="36"/>
    </row>
    <row r="25" spans="1:10" ht="19.5" thickBot="1" x14ac:dyDescent="0.35">
      <c r="A25" s="69" t="s">
        <v>25</v>
      </c>
      <c r="B25" s="11" t="s">
        <v>55</v>
      </c>
      <c r="C25" s="12"/>
      <c r="D25" s="13"/>
      <c r="E25" s="12"/>
      <c r="F25" s="39" t="s">
        <v>31</v>
      </c>
      <c r="G25" s="12"/>
      <c r="H25" s="17"/>
    </row>
    <row r="26" spans="1:10" ht="16.5" thickBot="1" x14ac:dyDescent="0.3">
      <c r="A26" s="70"/>
      <c r="B26" s="16" t="s">
        <v>56</v>
      </c>
      <c r="C26" s="4"/>
      <c r="D26" s="4"/>
      <c r="E26" s="40" t="s">
        <v>26</v>
      </c>
      <c r="F26" s="41"/>
      <c r="G26" s="25"/>
      <c r="H26" s="49">
        <f>SUM(H18:H23)</f>
        <v>931500</v>
      </c>
    </row>
    <row r="27" spans="1:10" ht="16.5" thickBot="1" x14ac:dyDescent="0.3">
      <c r="A27" s="61" t="s">
        <v>27</v>
      </c>
      <c r="B27" s="12"/>
      <c r="C27" s="12"/>
      <c r="D27" s="13"/>
      <c r="E27" s="3" t="s">
        <v>33</v>
      </c>
      <c r="F27" s="56"/>
      <c r="G27" s="43">
        <v>0.19</v>
      </c>
      <c r="H27" s="50">
        <f>H26*G27</f>
        <v>176985</v>
      </c>
    </row>
    <row r="28" spans="1:10" ht="16.5" thickTop="1" x14ac:dyDescent="0.25">
      <c r="A28" s="14" t="s">
        <v>35</v>
      </c>
      <c r="D28" s="15"/>
      <c r="E28" s="41" t="s">
        <v>28</v>
      </c>
      <c r="G28">
        <v>0</v>
      </c>
      <c r="H28" s="44"/>
    </row>
    <row r="29" spans="1:10" ht="15.75" x14ac:dyDescent="0.25">
      <c r="A29" s="14" t="s">
        <v>39</v>
      </c>
      <c r="D29" s="15"/>
      <c r="F29" s="41"/>
      <c r="G29" s="25"/>
      <c r="H29" s="45"/>
    </row>
    <row r="30" spans="1:10" ht="16.5" thickBot="1" x14ac:dyDescent="0.3">
      <c r="A30" t="s">
        <v>54</v>
      </c>
      <c r="D30" s="15"/>
      <c r="E30" s="41" t="s">
        <v>29</v>
      </c>
      <c r="F30" s="41"/>
      <c r="G30" s="25"/>
      <c r="H30" s="46"/>
    </row>
    <row r="31" spans="1:10" ht="19.5" thickBot="1" x14ac:dyDescent="0.35">
      <c r="A31" s="16" t="s">
        <v>57</v>
      </c>
      <c r="B31" s="4"/>
      <c r="C31" s="4"/>
      <c r="D31" s="17"/>
      <c r="F31" s="3"/>
      <c r="G31" s="42" t="s">
        <v>30</v>
      </c>
      <c r="H31" s="51">
        <f>H26+H27</f>
        <v>1108485</v>
      </c>
    </row>
  </sheetData>
  <mergeCells count="1">
    <mergeCell ref="A25:A26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AYC SOLUCIONES HIDROELECTRICAS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2024-05-22T22:27:19Z</cp:lastPrinted>
  <dcterms:created xsi:type="dcterms:W3CDTF">2018-11-15T17:29:02Z</dcterms:created>
  <dcterms:modified xsi:type="dcterms:W3CDTF">2024-06-22T17:22:16Z</dcterms:modified>
</cp:coreProperties>
</file>