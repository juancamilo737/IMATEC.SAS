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9EDFA40-DBD3-4FA8-91DB-D0B91FAF3BD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PROYSEC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l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<sst xmlns="http://schemas.openxmlformats.org/spreadsheetml/2006/main" count="56" uniqueCount="56">
  <si>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</si>
  <si>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</si>
  <si>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</si>
  <si>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</si>
  <si>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</si>
  <si>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</si>
  <si>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</si>
  <si>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</si>
  <si>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</si>
  <si>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</si>
  <si>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</si>
  <si>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</si>
  <si>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</si>
  <si>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</si>
  <si>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</si>
  <si>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</si>
  <si>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</si>
  <si>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</si>
  <si>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</si>
  <si>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</si>
  <si>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</si>
  <si>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</si>
  <si>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</si>
  <si>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</si>
  <si>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</si>
  <si>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</si>
  <si>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</si>
  <si>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</si>
  <si>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</si>
  <si>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</si>
  <si>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</si>
  <si>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</si>
  <si>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</si>
  <si>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</si>
  <si>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</si>
  <si>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</si>
  <si>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ITEM</t>
  </si>
  <si>
    <t>CONTACTOS   310 8306118       319 7174165        321 7834969</t>
  </si>
  <si>
    <t>INPROYMEC S.A.S.</t>
  </si>
  <si>
    <t>CALLE 33  No. 1A-04</t>
  </si>
  <si>
    <t>CALI</t>
  </si>
  <si>
    <t>313 7370731</t>
  </si>
  <si>
    <t xml:space="preserve">  CALLE  33B  No. 17C - 70  2º  PISO               B/  LA FLORESTA             -   CALI    -                                  CEL.     321 7834969</t>
  </si>
  <si>
    <t>ventas.inproymec@gmail.com</t>
  </si>
  <si>
    <t>FORMA DE PAGO : CONTADO</t>
  </si>
  <si>
    <t>ENTREGA INMEDIATA</t>
  </si>
  <si>
    <t xml:space="preserve">           C O T I Z A C I O N</t>
  </si>
  <si>
    <t>No.  5</t>
  </si>
  <si>
    <t>10 DIAS</t>
  </si>
  <si>
    <t>L I Q U I D A C I O N</t>
  </si>
  <si>
    <t>TUBERIA CUADRADA HR  1 1/2 " CAL 14  X 6 MTS</t>
  </si>
  <si>
    <t>TUBO</t>
  </si>
  <si>
    <t>TUBERIA  A / C  SCH 40 2 1/2 "  X  3 MTS</t>
  </si>
  <si>
    <t>TRAMO</t>
  </si>
  <si>
    <t>CUATROCIENTOS SETENTA Y UN MIL TRESCIENTOS CIN-</t>
  </si>
  <si>
    <t>CUENTA Y NUEVE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</si>
</sst>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0" xfId="0" applyFont="1"/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0" fillId="0" borderId="18" xfId="0" applyBorder="1"/>
    <xf numFmtId="42" fontId="1" fillId="0" borderId="19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42" fontId="11" fillId="0" borderId="4" xfId="1" applyFont="1" applyBorder="1" applyAlignment="1">
      <alignment horizontal="center"/>
    </xf>
    <xf numFmtId="0" fontId="0" fillId="0" borderId="19" xfId="0" applyBorder="1"/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1" xfId="0" applyFont="1" applyBorder="1"/>
    <xf numFmtId="0" fontId="4" fillId="0" borderId="22" xfId="0" applyFont="1" applyBorder="1"/>
    <xf numFmtId="0" fontId="0" fillId="0" borderId="23" xfId="0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26" xfId="0" applyBorder="1"/>
    <xf numFmtId="0" fontId="4" fillId="0" borderId="27" xfId="0" applyFont="1" applyBorder="1"/>
    <xf numFmtId="0" fontId="4" fillId="0" borderId="28" xfId="0" applyFont="1" applyBorder="1"/>
    <xf numFmtId="0" fontId="0" fillId="0" borderId="29" xfId="0" applyBorder="1"/>
    <xf numFmtId="0" fontId="4" fillId="0" borderId="3" xfId="0" applyFont="1" applyBorder="1"/>
    <xf numFmtId="0" fontId="0" fillId="0" borderId="21" xfId="0" applyBorder="1"/>
    <xf numFmtId="0" fontId="0" fillId="0" borderId="22" xfId="0" applyBorder="1"/>
    <xf numFmtId="0" fontId="0" fillId="0" borderId="30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42" fontId="1" fillId="0" borderId="0" xfId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42" fontId="1" fillId="0" borderId="5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tas.inproym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6" sqref="J1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1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7" t="s">
        <v>37</v>
      </c>
      <c r="B5" s="6"/>
      <c r="C5" s="6"/>
      <c r="D5" s="6"/>
      <c r="E5" s="6"/>
    </row>
    <row r="6" spans="1:8" ht="24.75" customHeight="1" thickBot="1" x14ac:dyDescent="0.45">
      <c r="F6" s="11" t="s">
        <v>46</v>
      </c>
      <c r="G6" s="18"/>
      <c r="H6" s="19"/>
    </row>
    <row r="7" spans="1:8" ht="19.5" thickBot="1" x14ac:dyDescent="0.35">
      <c r="A7" s="20" t="s">
        <v>15</v>
      </c>
      <c r="B7" s="13"/>
      <c r="C7" s="69" t="s">
        <v>38</v>
      </c>
      <c r="D7" s="6"/>
      <c r="E7" s="7"/>
      <c r="F7" s="26"/>
      <c r="G7" s="18"/>
      <c r="H7" s="19" t="s">
        <v>47</v>
      </c>
    </row>
    <row r="8" spans="1:8" ht="18.75" x14ac:dyDescent="0.3">
      <c r="A8" s="21" t="s">
        <v>9</v>
      </c>
      <c r="C8" s="70">
        <v>900867606</v>
      </c>
      <c r="D8" s="71"/>
      <c r="E8" s="60"/>
      <c r="F8" s="12"/>
      <c r="G8" s="13"/>
      <c r="H8" s="14"/>
    </row>
    <row r="9" spans="1:8" ht="18.75" customHeight="1" x14ac:dyDescent="0.3">
      <c r="A9" s="21" t="s">
        <v>10</v>
      </c>
      <c r="C9" s="72" t="s">
        <v>39</v>
      </c>
      <c r="D9" s="23"/>
      <c r="E9" s="73" t="s">
        <v>40</v>
      </c>
      <c r="F9" s="29" t="s">
        <v>0</v>
      </c>
      <c r="H9" s="30">
        <v>45864</v>
      </c>
    </row>
    <row r="10" spans="1:8" ht="18.75" x14ac:dyDescent="0.3">
      <c r="A10" s="21" t="s">
        <v>14</v>
      </c>
      <c r="C10" s="74" t="s">
        <v>43</v>
      </c>
      <c r="D10" s="24"/>
      <c r="E10" s="65"/>
      <c r="F10" s="29" t="s">
        <v>16</v>
      </c>
      <c r="H10" s="31" t="s">
        <v>48</v>
      </c>
    </row>
    <row r="11" spans="1:8" ht="18.75" x14ac:dyDescent="0.3">
      <c r="A11" s="21" t="s">
        <v>11</v>
      </c>
      <c r="C11" s="75"/>
      <c r="D11" s="24"/>
      <c r="E11" s="65"/>
      <c r="F11" s="29" t="s">
        <v>17</v>
      </c>
      <c r="G11" s="32"/>
      <c r="H11" s="30">
        <v>45873</v>
      </c>
    </row>
    <row r="12" spans="1:8" ht="18.75" x14ac:dyDescent="0.3">
      <c r="A12" s="21" t="s">
        <v>12</v>
      </c>
      <c r="C12" s="75" t="s">
        <v>41</v>
      </c>
      <c r="D12" s="24"/>
      <c r="E12" s="65"/>
      <c r="F12" s="29" t="s">
        <v>18</v>
      </c>
      <c r="H12" s="33"/>
    </row>
    <row r="13" spans="1:8" ht="18.75" customHeight="1" thickBot="1" x14ac:dyDescent="0.35">
      <c r="A13" s="22" t="s">
        <v>13</v>
      </c>
      <c r="B13" s="4"/>
      <c r="C13" s="76" t="s">
        <v>35</v>
      </c>
      <c r="D13" s="77"/>
      <c r="E13" s="68"/>
      <c r="F13" s="16"/>
      <c r="G13" s="4"/>
      <c r="H13" s="17"/>
    </row>
    <row r="14" spans="1:8" ht="15.75" thickBot="1" x14ac:dyDescent="0.3"/>
    <row r="15" spans="1:8" ht="15.75" thickBot="1" x14ac:dyDescent="0.3">
      <c r="A15" s="34" t="s">
        <v>36</v>
      </c>
      <c r="B15" s="44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5.75" customHeight="1" thickBot="1" x14ac:dyDescent="0.3">
      <c r="A16" s="50">
        <v>1</v>
      </c>
      <c r="B16" s="51" t="s">
        <v>50</v>
      </c>
      <c r="C16" s="52"/>
      <c r="D16" s="53"/>
      <c r="E16" s="50" t="s">
        <v>51</v>
      </c>
      <c r="F16" s="54">
        <v>84100</v>
      </c>
      <c r="G16" s="50">
        <v>1</v>
      </c>
      <c r="H16" s="49">
        <f>G16*F16</f>
        <v>84100</v>
      </c>
    </row>
    <row r="17" spans="1:8" ht="15.75" customHeight="1" thickBot="1" x14ac:dyDescent="0.3">
      <c r="A17" s="79">
        <v>2</v>
      </c>
      <c r="B17" s="51" t="s">
        <v>52</v>
      </c>
      <c r="C17" s="52"/>
      <c r="D17" s="55"/>
      <c r="E17" s="50" t="s">
        <v>53</v>
      </c>
      <c r="F17" s="54">
        <v>312000</v>
      </c>
      <c r="G17" s="50">
        <v>1</v>
      </c>
      <c r="H17" s="80">
        <f>G17*F17</f>
        <v>312000</v>
      </c>
    </row>
    <row r="18" spans="1:8" ht="15.75" customHeight="1" thickBot="1" x14ac:dyDescent="0.3">
      <c r="A18" s="45"/>
      <c r="B18" s="35"/>
      <c r="C18" s="35"/>
      <c r="E18" s="45"/>
      <c r="F18" s="46"/>
      <c r="G18" s="45"/>
      <c r="H18" s="78"/>
    </row>
    <row r="19" spans="1:8" ht="19.5" customHeight="1" thickBot="1" x14ac:dyDescent="0.35">
      <c r="A19" s="81" t="s">
        <v>25</v>
      </c>
      <c r="B19" s="12" t="s">
        <v>54</v>
      </c>
      <c r="C19" s="13"/>
      <c r="D19" s="14"/>
      <c r="E19" s="57"/>
      <c r="F19" s="47" t="s">
        <v>49</v>
      </c>
      <c r="G19" s="6"/>
      <c r="H19" s="7"/>
    </row>
    <row r="20" spans="1:8" ht="19.5" customHeight="1" thickBot="1" x14ac:dyDescent="0.3">
      <c r="A20" s="82"/>
      <c r="B20" s="16" t="s">
        <v>55</v>
      </c>
      <c r="C20" s="4"/>
      <c r="D20" s="17"/>
      <c r="E20" s="58" t="s">
        <v>26</v>
      </c>
      <c r="F20" s="59"/>
      <c r="G20" s="60"/>
      <c r="H20" s="56">
        <f>SUM(H16:H17)</f>
        <v>396100</v>
      </c>
    </row>
    <row r="21" spans="1:8" ht="19.5" customHeight="1" x14ac:dyDescent="0.25">
      <c r="A21" s="25" t="s">
        <v>27</v>
      </c>
      <c r="B21" s="13"/>
      <c r="C21" s="13"/>
      <c r="D21" s="13"/>
      <c r="E21" s="61" t="s">
        <v>32</v>
      </c>
      <c r="F21" s="48"/>
      <c r="G21" s="62">
        <v>0.19</v>
      </c>
      <c r="H21" s="42">
        <f>H20*G21</f>
        <v>75259</v>
      </c>
    </row>
    <row r="22" spans="1:8" ht="15.75" x14ac:dyDescent="0.25">
      <c r="A22" s="15" t="s">
        <v>44</v>
      </c>
      <c r="E22" s="63" t="s">
        <v>28</v>
      </c>
      <c r="G22" s="64">
        <v>2.5000000000000001E-2</v>
      </c>
      <c r="H22" s="38">
        <v>0</v>
      </c>
    </row>
    <row r="23" spans="1:8" ht="15.75" x14ac:dyDescent="0.25">
      <c r="A23" s="15" t="s">
        <v>45</v>
      </c>
      <c r="E23" s="15"/>
      <c r="F23" s="36"/>
      <c r="G23" s="65"/>
      <c r="H23" s="39"/>
    </row>
    <row r="24" spans="1:8" ht="16.5" thickBot="1" x14ac:dyDescent="0.3">
      <c r="A24" s="15" t="s">
        <v>34</v>
      </c>
      <c r="E24" s="66" t="s">
        <v>29</v>
      </c>
      <c r="F24" s="67"/>
      <c r="G24" s="68"/>
      <c r="H24" s="40"/>
    </row>
    <row r="25" spans="1:8" ht="16.5" customHeight="1" thickBot="1" x14ac:dyDescent="0.35">
      <c r="A25" s="16"/>
      <c r="B25" s="4"/>
      <c r="C25" s="4"/>
      <c r="D25" s="17"/>
      <c r="F25" s="3"/>
      <c r="G25" s="37" t="s">
        <v>30</v>
      </c>
      <c r="H25" s="43">
        <f>H20+H21-H22</f>
        <v>471359</v>
      </c>
    </row>
    <row r="27" spans="1:8" x14ac:dyDescent="0.25">
      <c r="A27" t="s">
        <v>1</v>
      </c>
    </row>
    <row r="29" spans="1:8" ht="15.75" thickBot="1" x14ac:dyDescent="0.3"/>
    <row r="30" spans="1:8" ht="19.5" thickBot="1" x14ac:dyDescent="0.35">
      <c r="A30" s="26" t="s">
        <v>42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INPROYSEC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2024-08-28T21:11:00Z</cp:lastPrinted>
  <dcterms:created xsi:type="dcterms:W3CDTF">2018-11-15T17:29:02Z</dcterms:created>
  <dcterms:modified xsi:type="dcterms:W3CDTF">2025-07-26T16:37:24Z</dcterms:modified>
</cp:coreProperties>
</file>