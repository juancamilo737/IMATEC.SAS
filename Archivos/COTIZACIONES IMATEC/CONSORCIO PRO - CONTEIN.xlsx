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2068BF2-5E1B-43E2-B7A0-FDBA7BD0C3C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MH INGENIERI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<sst xmlns="http://schemas.openxmlformats.org/spreadsheetml/2006/main" count="57" uniqueCount="56">
  <si>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</si>
  <si>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</si>
  <si>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</si>
  <si>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</si>
  <si>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</si>
  <si>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</si>
  <si>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</si>
  <si>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</si>
  <si>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</si>
  <si>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</si>
  <si>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</si>
  <si>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</si>
  <si>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</si>
  <si>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</si>
  <si>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</si>
  <si>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</si>
  <si>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</si>
  <si>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</si>
  <si>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</si>
  <si>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</si>
  <si>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</si>
  <si>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</si>
  <si>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</si>
  <si>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</si>
  <si>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</si>
  <si>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</si>
  <si>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</si>
  <si>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</si>
  <si>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</si>
  <si>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</si>
  <si>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</si>
  <si>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</si>
  <si>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</si>
  <si>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</si>
  <si>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</si>
  <si>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</si>
  <si>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</si>
  <si>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</si>
  <si>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</si>
  <si>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</si>
  <si>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BOGOTA</t>
  </si>
  <si>
    <t>MH INGENIERIA S.A.S.</t>
  </si>
  <si>
    <t>EDINSON CABEZAS</t>
  </si>
  <si>
    <t>ACCESORIO</t>
  </si>
  <si>
    <t xml:space="preserve">           C O T I Z A C I O N </t>
  </si>
  <si>
    <t>UNION PVC PRESION 6 *</t>
  </si>
  <si>
    <t>CODO PVC PRESION  6 * X  45 º</t>
  </si>
  <si>
    <t>TRESCIENTOS NOVENTA Y SEIS MIL CIENTO CINCUENTA</t>
  </si>
  <si>
    <t>Y UN PESOS MDA / CTE</t>
  </si>
  <si>
    <t>ENTREGAS INMEDIATA</t>
  </si>
  <si>
    <t>CONSORCIO PRO -CONTEIN</t>
  </si>
  <si>
    <t>901 727418</t>
  </si>
  <si>
    <t>CALLE 103  No.  14A - 403</t>
  </si>
  <si>
    <t>601 7436158</t>
  </si>
  <si>
    <t>No. 1</t>
  </si>
  <si>
    <t>901727418@recepcion de facturas.co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</si>
</sst>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1727418@recepcion%20de%20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D11" sqref="D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44</v>
      </c>
      <c r="G6" s="43"/>
      <c r="H6" s="44"/>
    </row>
    <row r="7" spans="1:8" ht="19.5" thickBot="1" x14ac:dyDescent="0.35">
      <c r="A7" s="20" t="s">
        <v>14</v>
      </c>
      <c r="B7" s="12"/>
      <c r="C7" s="46" t="s">
        <v>50</v>
      </c>
      <c r="D7" s="6"/>
      <c r="E7" s="6"/>
      <c r="F7" s="37"/>
      <c r="G7" s="18"/>
      <c r="H7" s="19" t="s">
        <v>54</v>
      </c>
    </row>
    <row r="8" spans="1:8" ht="19.5" thickBot="1" x14ac:dyDescent="0.35">
      <c r="A8" s="21" t="s">
        <v>8</v>
      </c>
      <c r="C8" s="14" t="s">
        <v>51</v>
      </c>
      <c r="E8" s="15"/>
      <c r="H8" s="15"/>
    </row>
    <row r="9" spans="1:8" ht="18.75" customHeight="1" thickBot="1" x14ac:dyDescent="0.35">
      <c r="A9" s="21" t="s">
        <v>9</v>
      </c>
      <c r="C9" s="14" t="s">
        <v>52</v>
      </c>
      <c r="E9" s="67" t="s">
        <v>40</v>
      </c>
      <c r="F9" s="30" t="s">
        <v>0</v>
      </c>
      <c r="H9" s="28">
        <v>45678</v>
      </c>
    </row>
    <row r="10" spans="1:8" ht="18.75" x14ac:dyDescent="0.3">
      <c r="A10" s="21" t="s">
        <v>13</v>
      </c>
      <c r="C10" s="50" t="s">
        <v>55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41</v>
      </c>
      <c r="E11" s="15"/>
      <c r="F11" s="30" t="s">
        <v>16</v>
      </c>
      <c r="G11" s="30"/>
      <c r="H11" s="28">
        <v>45687</v>
      </c>
    </row>
    <row r="12" spans="1:8" ht="18.75" x14ac:dyDescent="0.3">
      <c r="A12" s="21" t="s">
        <v>11</v>
      </c>
      <c r="C12" s="14" t="s">
        <v>53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68">
        <v>1</v>
      </c>
      <c r="B16" s="69" t="s">
        <v>45</v>
      </c>
      <c r="C16" s="70"/>
      <c r="D16" s="71"/>
      <c r="E16" s="68" t="s">
        <v>43</v>
      </c>
      <c r="F16" s="72">
        <v>96700</v>
      </c>
      <c r="G16" s="68">
        <v>2</v>
      </c>
      <c r="H16" s="38">
        <f t="shared" ref="H16" si="0">G16*F16</f>
        <v>193400</v>
      </c>
    </row>
    <row r="17" spans="1:8" ht="16.5" thickBot="1" x14ac:dyDescent="0.3">
      <c r="A17" s="68">
        <v>2</v>
      </c>
      <c r="B17" s="69" t="s">
        <v>46</v>
      </c>
      <c r="C17" s="70"/>
      <c r="D17" s="71"/>
      <c r="E17" s="68" t="s">
        <v>43</v>
      </c>
      <c r="F17" s="72">
        <v>139500</v>
      </c>
      <c r="G17" s="68">
        <v>1</v>
      </c>
      <c r="H17" s="38">
        <f t="shared" ref="H17" si="1">G17*F17</f>
        <v>139500</v>
      </c>
    </row>
    <row r="18" spans="1:8" ht="19.5" customHeight="1" thickBot="1" x14ac:dyDescent="0.3">
      <c r="A18" s="53"/>
      <c r="B18" s="45"/>
      <c r="C18" s="42"/>
      <c r="D18" s="54"/>
      <c r="E18" s="55"/>
      <c r="F18" s="55"/>
      <c r="G18" s="55"/>
    </row>
    <row r="19" spans="1:8" ht="19.5" customHeight="1" thickBot="1" x14ac:dyDescent="0.35">
      <c r="A19" s="52" t="s">
        <v>23</v>
      </c>
      <c r="B19" s="14" t="s">
        <v>47</v>
      </c>
      <c r="D19" s="15"/>
      <c r="E19" s="56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48</v>
      </c>
      <c r="C20" s="4"/>
      <c r="D20" s="4"/>
      <c r="E20" s="59" t="s">
        <v>24</v>
      </c>
      <c r="F20" s="60"/>
      <c r="G20" s="47"/>
      <c r="H20" s="57">
        <f>SUM(H16:H17)</f>
        <v>332900</v>
      </c>
    </row>
    <row r="21" spans="1:8" ht="19.5" customHeight="1" x14ac:dyDescent="0.25">
      <c r="A21" s="24" t="s">
        <v>25</v>
      </c>
      <c r="B21" s="12"/>
      <c r="C21" s="12"/>
      <c r="D21" s="12"/>
      <c r="E21" s="61" t="s">
        <v>30</v>
      </c>
      <c r="F21" s="23"/>
      <c r="G21" s="62">
        <v>0.19</v>
      </c>
      <c r="H21" s="40">
        <f>H20*G21</f>
        <v>63251</v>
      </c>
    </row>
    <row r="22" spans="1:8" ht="19.5" customHeight="1" x14ac:dyDescent="0.25">
      <c r="A22" s="14" t="s">
        <v>31</v>
      </c>
      <c r="E22" s="63" t="s">
        <v>26</v>
      </c>
      <c r="G22" s="66">
        <v>2.5000000000000001E-2</v>
      </c>
      <c r="H22" s="58"/>
    </row>
    <row r="23" spans="1:8" ht="15.75" x14ac:dyDescent="0.25">
      <c r="A23" s="14" t="s">
        <v>49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64" t="s">
        <v>27</v>
      </c>
      <c r="F24" s="65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396151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EFAE268D-56F8-496C-92C5-3ACF7CD8E4A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MH INGENIERIA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2025-01-21T16:46:06Z</cp:lastPrinted>
  <dcterms:created xsi:type="dcterms:W3CDTF">2018-11-15T17:29:02Z</dcterms:created>
  <dcterms:modified xsi:type="dcterms:W3CDTF">2025-01-21T17:18:05Z</dcterms:modified>
</cp:coreProperties>
</file>