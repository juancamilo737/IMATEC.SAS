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028B0F07-7B91-4959-A682-A6B45EDEC3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C INGENIERI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1" i="1"/>
  <c r="H18" i="1" l="1"/>
  <c r="H17" i="1"/>
  <c r="H16" i="1"/>
  <c r="H22" i="1" l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<sst xmlns="http://schemas.openxmlformats.org/spreadsheetml/2006/main" count="58" uniqueCount="57">
  <si>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</si>
  <si>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</si>
  <si>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</si>
  <si>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</si>
  <si>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</si>
  <si>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</si>
  <si>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</si>
  <si>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</si>
  <si>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</si>
  <si>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</si>
  <si>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</si>
  <si>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</si>
  <si>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</si>
  <si>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</si>
  <si>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</si>
  <si>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</si>
  <si>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</si>
  <si>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</si>
  <si>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</si>
  <si>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</si>
  <si>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</si>
  <si>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</si>
  <si>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</si>
  <si>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</si>
  <si>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</si>
  <si>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</si>
  <si>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</si>
  <si>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</si>
  <si>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</si>
  <si>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</si>
  <si>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</si>
  <si>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</si>
  <si>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</si>
  <si>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</si>
  <si>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</si>
  <si>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</si>
  <si>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</si>
  <si>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</si>
  <si>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</si>
  <si>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DAC INGENIERIA S.A.S.</t>
  </si>
  <si>
    <t>900 915541</t>
  </si>
  <si>
    <t>CRA 2 N  No. 24-77</t>
  </si>
  <si>
    <t>CALI</t>
  </si>
  <si>
    <t>contabilidad@dac-ingenieria.com</t>
  </si>
  <si>
    <t>602 3865240</t>
  </si>
  <si>
    <t>LUIS A. BENAVIDES</t>
  </si>
  <si>
    <t>METRO LINEAL</t>
  </si>
  <si>
    <t>No.  2</t>
  </si>
  <si>
    <t>L I Q U I D A C I O N</t>
  </si>
  <si>
    <t>CONTACTOS   310 8306118    321 7834969</t>
  </si>
  <si>
    <t>ACCESORIO</t>
  </si>
  <si>
    <t>CODO HD  RANURADO  4 "</t>
  </si>
  <si>
    <t>UNION HD RANURADA 4 "</t>
  </si>
  <si>
    <t>TUBERIA  HD RANURADA 4 " ROJA</t>
  </si>
  <si>
    <t>SETECIENTOS SESENTA MIL SETECIENTOS CUARENTA Y</t>
  </si>
  <si>
    <t>CINCO PESOS MDA  /CTE</t>
  </si>
  <si>
    <t xml:space="preserve">  CALLE  33A  No. 17F - 56 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</si>
</sst>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8" xfId="0" applyFont="1" applyBorder="1" applyAlignment="1">
      <alignment horizontal="center"/>
    </xf>
    <xf numFmtId="0" fontId="8" fillId="0" borderId="32" xfId="0" applyFont="1" applyBorder="1"/>
    <xf numFmtId="0" fontId="8" fillId="0" borderId="0" xfId="0" applyFont="1" applyBorder="1"/>
    <xf numFmtId="0" fontId="8" fillId="0" borderId="33" xfId="0" applyFont="1" applyBorder="1"/>
    <xf numFmtId="42" fontId="11" fillId="0" borderId="28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0" borderId="6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dac-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4" zoomScaleNormal="100" workbookViewId="0">
      <selection activeCell="K33" sqref="K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49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19" t="s">
        <v>47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6" t="s">
        <v>42</v>
      </c>
      <c r="F9" s="30" t="s">
        <v>0</v>
      </c>
      <c r="H9" s="28">
        <v>45587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45596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8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7">
        <v>1</v>
      </c>
      <c r="B16" s="68" t="s">
        <v>51</v>
      </c>
      <c r="C16" s="69"/>
      <c r="D16" s="70"/>
      <c r="E16" s="67" t="s">
        <v>50</v>
      </c>
      <c r="F16" s="71">
        <v>35000</v>
      </c>
      <c r="G16" s="67">
        <v>6</v>
      </c>
      <c r="H16" s="38">
        <f t="shared" ref="H16" si="0">G16*F16</f>
        <v>210000</v>
      </c>
    </row>
    <row r="17" spans="1:8" ht="16.5" thickBot="1" x14ac:dyDescent="0.3">
      <c r="A17" s="49">
        <v>2</v>
      </c>
      <c r="B17" s="50" t="s">
        <v>52</v>
      </c>
      <c r="C17" s="51"/>
      <c r="D17" s="52"/>
      <c r="E17" s="49" t="s">
        <v>50</v>
      </c>
      <c r="F17" s="53">
        <v>20500</v>
      </c>
      <c r="G17" s="49">
        <v>6</v>
      </c>
      <c r="H17" s="38">
        <f t="shared" ref="H17:H18" si="1">G17*F17</f>
        <v>123000</v>
      </c>
    </row>
    <row r="18" spans="1:8" ht="16.5" thickBot="1" x14ac:dyDescent="0.3">
      <c r="A18" s="77">
        <v>3</v>
      </c>
      <c r="B18" s="78" t="s">
        <v>53</v>
      </c>
      <c r="C18" s="79"/>
      <c r="D18" s="80"/>
      <c r="E18" s="77" t="s">
        <v>46</v>
      </c>
      <c r="F18" s="81">
        <v>80000</v>
      </c>
      <c r="G18" s="77">
        <v>4</v>
      </c>
      <c r="H18" s="38">
        <f t="shared" si="1"/>
        <v>320000</v>
      </c>
    </row>
    <row r="19" spans="1:8" ht="19.5" customHeight="1" thickBot="1" x14ac:dyDescent="0.3">
      <c r="A19" s="54"/>
      <c r="B19" s="73"/>
      <c r="C19" s="74"/>
      <c r="D19" s="75"/>
      <c r="E19" s="54"/>
      <c r="F19" s="54"/>
      <c r="G19" s="54"/>
    </row>
    <row r="20" spans="1:8" ht="19.5" customHeight="1" thickBot="1" x14ac:dyDescent="0.35">
      <c r="A20" s="72" t="s">
        <v>23</v>
      </c>
      <c r="B20" s="76" t="s">
        <v>54</v>
      </c>
      <c r="C20" s="12"/>
      <c r="D20" s="13"/>
      <c r="E20" s="55"/>
      <c r="F20" s="37" t="s">
        <v>48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8" t="s">
        <v>24</v>
      </c>
      <c r="F21" s="59"/>
      <c r="G21" s="45"/>
      <c r="H21" s="56">
        <f>SUM(H16:H18)</f>
        <v>653000</v>
      </c>
    </row>
    <row r="22" spans="1:8" ht="19.5" customHeight="1" x14ac:dyDescent="0.25">
      <c r="A22" s="24" t="s">
        <v>25</v>
      </c>
      <c r="B22" s="12"/>
      <c r="C22" s="12"/>
      <c r="D22" s="12"/>
      <c r="E22" s="60" t="s">
        <v>29</v>
      </c>
      <c r="F22" s="23"/>
      <c r="G22" s="61">
        <v>0.19</v>
      </c>
      <c r="H22" s="40">
        <f>H21*G22</f>
        <v>124070</v>
      </c>
    </row>
    <row r="23" spans="1:8" ht="19.5" customHeight="1" x14ac:dyDescent="0.25">
      <c r="A23" s="14" t="s">
        <v>30</v>
      </c>
      <c r="E23" s="62" t="s">
        <v>26</v>
      </c>
      <c r="G23" s="65">
        <v>2.5000000000000001E-2</v>
      </c>
      <c r="H23" s="57">
        <f>H21*G23</f>
        <v>16325</v>
      </c>
    </row>
    <row r="24" spans="1:8" ht="15.75" x14ac:dyDescent="0.25">
      <c r="A24" s="14" t="s">
        <v>35</v>
      </c>
      <c r="E24" s="14"/>
      <c r="F24" s="33"/>
      <c r="G24" s="46"/>
      <c r="H24" s="15"/>
    </row>
    <row r="25" spans="1:8" ht="16.5" thickBot="1" x14ac:dyDescent="0.3">
      <c r="A25" s="14" t="s">
        <v>33</v>
      </c>
      <c r="E25" s="63" t="s">
        <v>27</v>
      </c>
      <c r="F25" s="64"/>
      <c r="G25" s="47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760745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56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13C531D-3BC0-487A-9BEB-DA6ABE16E9C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DAC INGENIERIA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2025-09-17T20:52:45Z</dcterms:modified>
</cp:coreProperties>
</file>