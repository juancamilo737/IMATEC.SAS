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A60CD2F3-2048-47B7-869C-04896AABF1D3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FH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H23" i="1"/>
  <c r="H18" i="1"/>
  <c r="H16" i="1"/>
  <c r="H21" i="1" s="1"/>
  <c r="H22" i="1" l="1"/>
</calcChain>
</file>

<file path=xl/sharedStrings.xml><?xml version="1.0" encoding="utf-8"?>
<sst xmlns="http://schemas.openxmlformats.org/spreadsheetml/2006/main" count="57" uniqueCount="56">
  <si>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</si>
  <si>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</si>
  <si>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</si>
  <si>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</si>
  <si>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</si>
  <si>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</si>
  <si>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</si>
  <si>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</si>
  <si>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</si>
  <si>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</si>
  <si>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</si>
  <si>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</si>
  <si>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</si>
  <si>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</si>
  <si>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</si>
  <si>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</si>
  <si>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</si>
  <si>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</si>
  <si>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</si>
  <si>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</si>
  <si>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</si>
  <si>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</si>
  <si>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</si>
  <si>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</si>
  <si>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</si>
  <si>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</si>
  <si>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</si>
  <si>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</si>
  <si>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</si>
  <si>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</si>
  <si>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</si>
  <si>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</si>
  <si>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</si>
  <si>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</si>
  <si>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</si>
  <si>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</si>
  <si>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</si>
  <si>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</si>
  <si>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L I Q U I D A C I O N</t>
  </si>
  <si>
    <t xml:space="preserve">  CALLE  33A  No. 17F - 56                           B/  LA FLORESTA             -   CALI    -                                       CEL.     321 7834969</t>
  </si>
  <si>
    <t>AFH  METALMECANICOS S.A.S.</t>
  </si>
  <si>
    <t>CRA 13 A  No.  40-37</t>
  </si>
  <si>
    <t>afh@afhmetalmecanico.com</t>
  </si>
  <si>
    <t>PALMIRA</t>
  </si>
  <si>
    <t>602 2872362</t>
  </si>
  <si>
    <t>EDINSON CABEZAS</t>
  </si>
  <si>
    <t>No. 1</t>
  </si>
  <si>
    <t>TUBO</t>
  </si>
  <si>
    <t xml:space="preserve">TUBERIA PVC NOVAFORM  42 "  X  6.50 MTS PS46 </t>
  </si>
  <si>
    <t>PESADO</t>
  </si>
  <si>
    <t>TUBERIA PVC NOVAFORM  42 "  X  6.50 MTS PS28</t>
  </si>
  <si>
    <t>LIVIANO</t>
  </si>
  <si>
    <t>CIENTO CUARENTA Y DOS MILLONES NOVECIENTOS VEIN</t>
  </si>
  <si>
    <t>TI SIETE MIL SEISCIENTOS OCHENTA Y DOS PESOS MDACTE</t>
  </si>
  <si>
    <t>ENTREGA EN OCHO DIAS HABILES</t>
  </si>
  <si>
    <t>FORMA DE PAGO : 70 % ANTICIPO  SALDO A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</si>
</sst>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fh@afhmetalmecani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13" zoomScaleNormal="100" workbookViewId="0">
      <selection activeCell="D28" sqref="D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37</v>
      </c>
      <c r="G6" s="43"/>
      <c r="H6" s="44"/>
    </row>
    <row r="7" spans="1:8" ht="19.5" thickBot="1" x14ac:dyDescent="0.35">
      <c r="A7" s="20" t="s">
        <v>14</v>
      </c>
      <c r="B7" s="12"/>
      <c r="C7" s="65" t="s">
        <v>40</v>
      </c>
      <c r="D7" s="12"/>
      <c r="E7" s="13"/>
      <c r="F7" s="37"/>
      <c r="G7" s="18"/>
      <c r="H7" s="19" t="s">
        <v>46</v>
      </c>
    </row>
    <row r="8" spans="1:8" ht="18.75" x14ac:dyDescent="0.3">
      <c r="A8" s="21" t="s">
        <v>8</v>
      </c>
      <c r="C8" s="67">
        <v>901054805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41</v>
      </c>
      <c r="D9" s="23"/>
      <c r="E9" s="70" t="s">
        <v>43</v>
      </c>
      <c r="F9" s="30" t="s">
        <v>0</v>
      </c>
      <c r="H9" s="28">
        <v>45685</v>
      </c>
    </row>
    <row r="10" spans="1:8" ht="18.75" x14ac:dyDescent="0.3">
      <c r="A10" s="21" t="s">
        <v>13</v>
      </c>
      <c r="C10" s="71" t="s">
        <v>42</v>
      </c>
      <c r="D10" s="66"/>
      <c r="E10" s="47"/>
      <c r="F10" s="30" t="s">
        <v>15</v>
      </c>
      <c r="H10" s="29" t="s">
        <v>30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45695</v>
      </c>
    </row>
    <row r="12" spans="1:8" ht="18.75" x14ac:dyDescent="0.3">
      <c r="A12" s="21" t="s">
        <v>11</v>
      </c>
      <c r="C12" s="72" t="s">
        <v>44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48</v>
      </c>
      <c r="C16" s="77"/>
      <c r="D16" s="78"/>
      <c r="E16" s="75" t="s">
        <v>47</v>
      </c>
      <c r="F16" s="79">
        <v>11087584</v>
      </c>
      <c r="G16" s="75">
        <v>6</v>
      </c>
      <c r="H16" s="38">
        <f t="shared" ref="H16" si="0">G16*F16</f>
        <v>66525504</v>
      </c>
    </row>
    <row r="17" spans="1:8" ht="16.5" thickBot="1" x14ac:dyDescent="0.3">
      <c r="A17" s="75"/>
      <c r="B17" s="76" t="s">
        <v>49</v>
      </c>
      <c r="C17" s="77"/>
      <c r="D17" s="78"/>
      <c r="E17" s="75"/>
      <c r="F17" s="79"/>
      <c r="G17" s="75"/>
      <c r="H17" s="38"/>
    </row>
    <row r="18" spans="1:8" ht="16.5" thickBot="1" x14ac:dyDescent="0.3">
      <c r="A18" s="75">
        <v>2</v>
      </c>
      <c r="B18" s="76" t="s">
        <v>50</v>
      </c>
      <c r="C18" s="77"/>
      <c r="D18" s="78"/>
      <c r="E18" s="75" t="s">
        <v>47</v>
      </c>
      <c r="F18" s="79">
        <v>9359867</v>
      </c>
      <c r="G18" s="75">
        <v>6</v>
      </c>
      <c r="H18" s="38">
        <f t="shared" ref="H18" si="1">G18*F18</f>
        <v>56159202</v>
      </c>
    </row>
    <row r="19" spans="1:8" ht="19.5" customHeight="1" thickBot="1" x14ac:dyDescent="0.3">
      <c r="A19" s="51"/>
      <c r="B19" s="45" t="s">
        <v>51</v>
      </c>
      <c r="C19" s="42"/>
      <c r="D19" s="52"/>
      <c r="E19" s="53"/>
      <c r="F19" s="53"/>
      <c r="G19" s="53"/>
    </row>
    <row r="20" spans="1:8" ht="19.5" customHeight="1" thickBot="1" x14ac:dyDescent="0.35">
      <c r="A20" s="50" t="s">
        <v>23</v>
      </c>
      <c r="B20" s="14" t="s">
        <v>52</v>
      </c>
      <c r="D20" s="15"/>
      <c r="E20" s="54"/>
      <c r="F20" s="37" t="s">
        <v>38</v>
      </c>
      <c r="G20" s="6"/>
      <c r="H20" s="7"/>
    </row>
    <row r="21" spans="1:8" ht="19.5" customHeight="1" thickBot="1" x14ac:dyDescent="0.3">
      <c r="A21" s="39"/>
      <c r="B21" s="16" t="s">
        <v>53</v>
      </c>
      <c r="C21" s="4"/>
      <c r="D21" s="4"/>
      <c r="E21" s="57" t="s">
        <v>24</v>
      </c>
      <c r="F21" s="58"/>
      <c r="G21" s="46"/>
      <c r="H21" s="55">
        <f>SUM(H16:H20)</f>
        <v>122684706</v>
      </c>
    </row>
    <row r="22" spans="1:8" ht="19.5" customHeight="1" x14ac:dyDescent="0.25">
      <c r="A22" s="24" t="s">
        <v>25</v>
      </c>
      <c r="B22" s="12"/>
      <c r="C22" s="12"/>
      <c r="D22" s="12"/>
      <c r="E22" s="59" t="s">
        <v>29</v>
      </c>
      <c r="F22" s="23"/>
      <c r="G22" s="60">
        <v>0.19</v>
      </c>
      <c r="H22" s="40">
        <f>H21*G22</f>
        <v>23310094.140000001</v>
      </c>
    </row>
    <row r="23" spans="1:8" ht="19.5" customHeight="1" x14ac:dyDescent="0.25">
      <c r="A23" s="14" t="s">
        <v>55</v>
      </c>
      <c r="E23" s="61" t="s">
        <v>26</v>
      </c>
      <c r="G23" s="64">
        <v>2.5000000000000001E-2</v>
      </c>
      <c r="H23" s="56">
        <f>H21*G23</f>
        <v>3067117.6500000004</v>
      </c>
    </row>
    <row r="24" spans="1:8" ht="15.75" x14ac:dyDescent="0.25">
      <c r="A24" s="14" t="s">
        <v>54</v>
      </c>
      <c r="E24" s="14"/>
      <c r="F24" s="33"/>
      <c r="G24" s="47"/>
      <c r="H24" s="15"/>
    </row>
    <row r="25" spans="1:8" ht="16.5" thickBot="1" x14ac:dyDescent="0.3">
      <c r="A25" s="14" t="s">
        <v>32</v>
      </c>
      <c r="E25" s="62" t="s">
        <v>27</v>
      </c>
      <c r="F25" s="63"/>
      <c r="G25" s="48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H21+H22-H23</f>
        <v>142927682.48999998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39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6F459D85-D60A-44B5-9A73-052876E977D1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AFH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2025-01-28T18:13:11Z</dcterms:modified>
</cp:coreProperties>
</file>