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3C239743-8516-4DF0-AB3C-10B4CFBE210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R&amp;S INGENIERI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4" i="1" l="1"/>
  <c r="H21" i="1"/>
  <c r="H20" i="1"/>
  <c r="H19" i="1"/>
  <c r="H18" i="1"/>
  <c r="H17" i="1"/>
  <c r="H16" i="1"/>
  <c r="H25" i="1" l="1"/>
  <c r="H29" i="1" s="1"/>
</calcChain>
</file>

<file path=xl/sharedStrings.xml><?xml version="1.0" encoding="utf-8"?>
<sst xmlns="http://schemas.openxmlformats.org/spreadsheetml/2006/main" count="64" uniqueCount="60">
  <si>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</si>
  <si>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</si>
  <si>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</si>
  <si>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</si>
  <si>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</si>
  <si>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</si>
  <si>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</si>
  <si>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</si>
  <si>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</si>
  <si>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</si>
  <si>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</si>
  <si>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</si>
  <si>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</si>
  <si>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</si>
  <si>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</si>
  <si>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</si>
  <si>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</si>
  <si>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</si>
  <si>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</si>
  <si>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</si>
  <si>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</si>
  <si>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</si>
  <si>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</si>
  <si>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</si>
  <si>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</si>
  <si>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</si>
  <si>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</si>
  <si>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</si>
  <si>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</si>
  <si>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</si>
  <si>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</si>
  <si>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</si>
  <si>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</si>
  <si>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</si>
  <si>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</si>
  <si>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</si>
  <si>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</si>
  <si>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</si>
  <si>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ACCESORIO</t>
  </si>
  <si>
    <t>R&amp;S INGENIERIA S.A.S.</t>
  </si>
  <si>
    <t>900 623065</t>
  </si>
  <si>
    <t>AV 2 Nte. No. 32AN-42</t>
  </si>
  <si>
    <t>CALI</t>
  </si>
  <si>
    <t>gerenciarysingenieria@gmail.com</t>
  </si>
  <si>
    <t>602 3061225</t>
  </si>
  <si>
    <t>EDINSON CABEZAS</t>
  </si>
  <si>
    <t>ENTREGA INMEDIATA</t>
  </si>
  <si>
    <t>PESOS MDA / CTE</t>
  </si>
  <si>
    <t xml:space="preserve">  CALLE  33A  No. 17F - 56                                B/  LA FLORESTA             -   CALI    -                                   CEL.     321 7834969</t>
  </si>
  <si>
    <t xml:space="preserve">           C O T I Z A C I O N</t>
  </si>
  <si>
    <t>No. 4</t>
  </si>
  <si>
    <t>10 DIAS</t>
  </si>
  <si>
    <t>TEE GALVANIZADA 1/2 "</t>
  </si>
  <si>
    <t>NIPLE GALVANIZADO  1/2 "  X  4 "</t>
  </si>
  <si>
    <t>CODO GALVANIZADO  1/2 "  X  90 º</t>
  </si>
  <si>
    <t>ACOPLE PARA MANGUERA 1/2 "</t>
  </si>
  <si>
    <t>ABRAZADERA CREMALLERA  1/2 " REF  508</t>
  </si>
  <si>
    <t xml:space="preserve">GASTOP ALTA </t>
  </si>
  <si>
    <t>FRASCO</t>
  </si>
  <si>
    <t>SESENTA Y NUEVE MIL NOVECIENTOS SETENTA Y 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</si>
</sst>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8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9" xfId="0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9" xfId="0" applyBorder="1"/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left" vertical="top" wrapText="1"/>
    </xf>
    <xf numFmtId="0" fontId="0" fillId="0" borderId="31" xfId="0" applyBorder="1"/>
    <xf numFmtId="0" fontId="0" fillId="0" borderId="32" xfId="0" applyBorder="1"/>
    <xf numFmtId="0" fontId="0" fillId="0" borderId="30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9" xfId="0" applyFont="1" applyBorder="1"/>
    <xf numFmtId="9" fontId="1" fillId="0" borderId="24" xfId="3" applyFont="1" applyBorder="1"/>
    <xf numFmtId="0" fontId="4" fillId="0" borderId="25" xfId="0" applyFont="1" applyBorder="1"/>
    <xf numFmtId="0" fontId="4" fillId="0" borderId="27" xfId="0" applyFont="1" applyBorder="1"/>
    <xf numFmtId="0" fontId="4" fillId="0" borderId="28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21" xfId="0" applyBorder="1"/>
    <xf numFmtId="0" fontId="0" fillId="0" borderId="22" xfId="0" applyBorder="1"/>
    <xf numFmtId="0" fontId="0" fillId="0" borderId="33" xfId="0" applyBorder="1"/>
    <xf numFmtId="0" fontId="0" fillId="0" borderId="24" xfId="0" applyBorder="1"/>
    <xf numFmtId="0" fontId="13" fillId="0" borderId="25" xfId="2" applyBorder="1"/>
    <xf numFmtId="0" fontId="0" fillId="0" borderId="25" xfId="0" applyBorder="1"/>
    <xf numFmtId="0" fontId="0" fillId="0" borderId="27" xfId="0" applyBorder="1"/>
    <xf numFmtId="0" fontId="0" fillId="0" borderId="28" xfId="0" applyBorder="1"/>
    <xf numFmtId="0" fontId="1" fillId="0" borderId="14" xfId="0" applyFont="1" applyBorder="1" applyAlignment="1">
      <alignment horizontal="center"/>
    </xf>
    <xf numFmtId="0" fontId="8" fillId="0" borderId="34" xfId="0" applyFont="1" applyBorder="1"/>
    <xf numFmtId="0" fontId="8" fillId="0" borderId="13" xfId="0" applyFont="1" applyBorder="1"/>
    <xf numFmtId="0" fontId="8" fillId="0" borderId="35" xfId="0" applyFont="1" applyBorder="1"/>
    <xf numFmtId="42" fontId="11" fillId="0" borderId="14" xfId="1" applyFont="1" applyBorder="1" applyAlignment="1">
      <alignment horizontal="center"/>
    </xf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gerenciarysingenieri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4"/>
  <sheetViews>
    <sheetView tabSelected="1" topLeftCell="A7" zoomScaleNormal="100" workbookViewId="0">
      <selection activeCell="J25" sqref="J25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36</v>
      </c>
    </row>
    <row r="3" spans="1:8" ht="27" thickBot="1" x14ac:dyDescent="0.45">
      <c r="A3" s="11" t="s">
        <v>37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32</v>
      </c>
      <c r="E4" s="18"/>
      <c r="F4" s="19"/>
      <c r="G4" s="6"/>
      <c r="H4" s="7"/>
    </row>
    <row r="5" spans="1:8" ht="19.5" thickBot="1" x14ac:dyDescent="0.35">
      <c r="A5" s="37" t="s">
        <v>34</v>
      </c>
      <c r="B5" s="6"/>
      <c r="C5" s="6"/>
      <c r="D5" s="6"/>
      <c r="E5" s="6"/>
    </row>
    <row r="6" spans="1:8" ht="24.75" customHeight="1" thickBot="1" x14ac:dyDescent="0.45">
      <c r="F6" s="41" t="s">
        <v>49</v>
      </c>
      <c r="G6" s="43"/>
      <c r="H6" s="44"/>
    </row>
    <row r="7" spans="1:8" ht="19.5" thickBot="1" x14ac:dyDescent="0.35">
      <c r="A7" s="20" t="s">
        <v>14</v>
      </c>
      <c r="B7" s="12"/>
      <c r="C7" s="65" t="s">
        <v>39</v>
      </c>
      <c r="D7" s="12"/>
      <c r="E7" s="13"/>
      <c r="F7" s="37"/>
      <c r="G7" s="18"/>
      <c r="H7" s="19" t="s">
        <v>50</v>
      </c>
    </row>
    <row r="8" spans="1:8" ht="18.75" x14ac:dyDescent="0.3">
      <c r="A8" s="21" t="s">
        <v>8</v>
      </c>
      <c r="C8" s="67" t="s">
        <v>40</v>
      </c>
      <c r="D8" s="68"/>
      <c r="E8" s="46"/>
      <c r="H8" s="15"/>
    </row>
    <row r="9" spans="1:8" ht="18.75" customHeight="1" x14ac:dyDescent="0.3">
      <c r="A9" s="21" t="s">
        <v>9</v>
      </c>
      <c r="C9" s="69" t="s">
        <v>41</v>
      </c>
      <c r="D9" s="23"/>
      <c r="E9" s="70" t="s">
        <v>42</v>
      </c>
      <c r="F9" s="30" t="s">
        <v>0</v>
      </c>
      <c r="H9" s="28">
        <v>45762</v>
      </c>
    </row>
    <row r="10" spans="1:8" ht="18.75" x14ac:dyDescent="0.3">
      <c r="A10" s="21" t="s">
        <v>13</v>
      </c>
      <c r="C10" s="71" t="s">
        <v>43</v>
      </c>
      <c r="D10" s="66"/>
      <c r="E10" s="47"/>
      <c r="F10" s="30" t="s">
        <v>15</v>
      </c>
      <c r="H10" s="29" t="s">
        <v>51</v>
      </c>
    </row>
    <row r="11" spans="1:8" ht="18.75" x14ac:dyDescent="0.3">
      <c r="A11" s="21" t="s">
        <v>10</v>
      </c>
      <c r="C11" s="72"/>
      <c r="D11" s="66"/>
      <c r="E11" s="47"/>
      <c r="F11" s="30" t="s">
        <v>16</v>
      </c>
      <c r="G11" s="30"/>
      <c r="H11" s="28">
        <v>45771</v>
      </c>
    </row>
    <row r="12" spans="1:8" ht="18.75" x14ac:dyDescent="0.3">
      <c r="A12" s="21" t="s">
        <v>11</v>
      </c>
      <c r="C12" s="72" t="s">
        <v>44</v>
      </c>
      <c r="D12" s="66"/>
      <c r="E12" s="47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73" t="s">
        <v>45</v>
      </c>
      <c r="D13" s="74"/>
      <c r="E13" s="48"/>
      <c r="F13" s="4"/>
      <c r="G13" s="4"/>
      <c r="H13" s="17"/>
    </row>
    <row r="14" spans="1:8" ht="15.75" thickBot="1" x14ac:dyDescent="0.3"/>
    <row r="15" spans="1:8" ht="15.75" thickBot="1" x14ac:dyDescent="0.3">
      <c r="A15" s="49" t="s">
        <v>35</v>
      </c>
      <c r="B15" s="24" t="s">
        <v>22</v>
      </c>
      <c r="C15" s="43"/>
      <c r="D15" s="13"/>
      <c r="E15" s="49" t="s">
        <v>18</v>
      </c>
      <c r="F15" s="49" t="s">
        <v>20</v>
      </c>
      <c r="G15" s="49" t="s">
        <v>19</v>
      </c>
      <c r="H15" s="32" t="s">
        <v>21</v>
      </c>
    </row>
    <row r="16" spans="1:8" ht="16.5" thickBot="1" x14ac:dyDescent="0.3">
      <c r="A16" s="75">
        <v>1</v>
      </c>
      <c r="B16" s="76" t="s">
        <v>52</v>
      </c>
      <c r="C16" s="77"/>
      <c r="D16" s="78"/>
      <c r="E16" s="75" t="s">
        <v>38</v>
      </c>
      <c r="F16" s="79">
        <v>2800</v>
      </c>
      <c r="G16" s="75">
        <v>1</v>
      </c>
      <c r="H16" s="38">
        <f t="shared" ref="H16" si="0">G16*F16</f>
        <v>2800</v>
      </c>
    </row>
    <row r="17" spans="1:8" ht="16.5" thickBot="1" x14ac:dyDescent="0.3">
      <c r="A17" s="75">
        <v>2</v>
      </c>
      <c r="B17" s="76" t="s">
        <v>53</v>
      </c>
      <c r="C17" s="77"/>
      <c r="D17" s="78"/>
      <c r="E17" s="75" t="s">
        <v>38</v>
      </c>
      <c r="F17" s="79">
        <v>2350</v>
      </c>
      <c r="G17" s="75">
        <v>2</v>
      </c>
      <c r="H17" s="38">
        <f t="shared" ref="H17:H21" si="1">G17*F17</f>
        <v>4700</v>
      </c>
    </row>
    <row r="18" spans="1:8" ht="16.5" thickBot="1" x14ac:dyDescent="0.3">
      <c r="A18" s="75">
        <v>3</v>
      </c>
      <c r="B18" s="76" t="s">
        <v>54</v>
      </c>
      <c r="C18" s="77"/>
      <c r="D18" s="78"/>
      <c r="E18" s="75" t="s">
        <v>38</v>
      </c>
      <c r="F18" s="79">
        <v>1900</v>
      </c>
      <c r="G18" s="75">
        <v>2</v>
      </c>
      <c r="H18" s="38">
        <f t="shared" si="1"/>
        <v>3800</v>
      </c>
    </row>
    <row r="19" spans="1:8" ht="16.5" thickBot="1" x14ac:dyDescent="0.3">
      <c r="A19" s="75">
        <v>4</v>
      </c>
      <c r="B19" s="76" t="s">
        <v>55</v>
      </c>
      <c r="C19" s="77"/>
      <c r="D19" s="78"/>
      <c r="E19" s="75" t="s">
        <v>38</v>
      </c>
      <c r="F19" s="79">
        <v>13500</v>
      </c>
      <c r="G19" s="75">
        <v>2</v>
      </c>
      <c r="H19" s="38">
        <f t="shared" si="1"/>
        <v>27000</v>
      </c>
    </row>
    <row r="20" spans="1:8" ht="16.5" thickBot="1" x14ac:dyDescent="0.3">
      <c r="A20" s="75">
        <v>5</v>
      </c>
      <c r="B20" s="76" t="s">
        <v>56</v>
      </c>
      <c r="C20" s="77"/>
      <c r="D20" s="78"/>
      <c r="E20" s="75" t="s">
        <v>38</v>
      </c>
      <c r="F20" s="79">
        <v>700</v>
      </c>
      <c r="G20" s="75">
        <v>2</v>
      </c>
      <c r="H20" s="38">
        <f t="shared" si="1"/>
        <v>1400</v>
      </c>
    </row>
    <row r="21" spans="1:8" ht="16.5" thickBot="1" x14ac:dyDescent="0.3">
      <c r="A21" s="75">
        <v>6</v>
      </c>
      <c r="B21" s="76" t="s">
        <v>57</v>
      </c>
      <c r="C21" s="77"/>
      <c r="D21" s="78"/>
      <c r="E21" s="75" t="s">
        <v>58</v>
      </c>
      <c r="F21" s="79">
        <v>19100</v>
      </c>
      <c r="G21" s="75">
        <v>1</v>
      </c>
      <c r="H21" s="38">
        <f t="shared" si="1"/>
        <v>19100</v>
      </c>
    </row>
    <row r="22" spans="1:8" ht="19.5" customHeight="1" thickBot="1" x14ac:dyDescent="0.3">
      <c r="A22" s="51"/>
      <c r="B22" s="45"/>
      <c r="C22" s="42"/>
      <c r="D22" s="52"/>
      <c r="E22" s="53"/>
      <c r="F22" s="53"/>
      <c r="G22" s="53"/>
    </row>
    <row r="23" spans="1:8" ht="19.5" customHeight="1" thickBot="1" x14ac:dyDescent="0.35">
      <c r="A23" s="50" t="s">
        <v>23</v>
      </c>
      <c r="B23" s="14" t="s">
        <v>59</v>
      </c>
      <c r="D23" s="15"/>
      <c r="E23" s="54"/>
      <c r="F23" s="37" t="s">
        <v>29</v>
      </c>
      <c r="G23" s="6"/>
      <c r="H23" s="7"/>
    </row>
    <row r="24" spans="1:8" ht="19.5" customHeight="1" thickBot="1" x14ac:dyDescent="0.3">
      <c r="A24" s="39"/>
      <c r="B24" s="16" t="s">
        <v>47</v>
      </c>
      <c r="C24" s="4"/>
      <c r="D24" s="4"/>
      <c r="E24" s="57" t="s">
        <v>24</v>
      </c>
      <c r="F24" s="58"/>
      <c r="G24" s="46"/>
      <c r="H24" s="55">
        <f>SUM(H16:H21)</f>
        <v>58800</v>
      </c>
    </row>
    <row r="25" spans="1:8" ht="19.5" customHeight="1" x14ac:dyDescent="0.25">
      <c r="A25" s="24" t="s">
        <v>25</v>
      </c>
      <c r="B25" s="12"/>
      <c r="C25" s="12"/>
      <c r="D25" s="12"/>
      <c r="E25" s="59" t="s">
        <v>30</v>
      </c>
      <c r="F25" s="23"/>
      <c r="G25" s="60">
        <v>0.19</v>
      </c>
      <c r="H25" s="40">
        <f>H24*G25</f>
        <v>11172</v>
      </c>
    </row>
    <row r="26" spans="1:8" ht="19.5" customHeight="1" x14ac:dyDescent="0.25">
      <c r="A26" s="14" t="s">
        <v>31</v>
      </c>
      <c r="E26" s="61" t="s">
        <v>26</v>
      </c>
      <c r="G26" s="64">
        <v>2.5000000000000001E-2</v>
      </c>
      <c r="H26" s="56"/>
    </row>
    <row r="27" spans="1:8" ht="15.75" x14ac:dyDescent="0.25">
      <c r="A27" s="14" t="s">
        <v>46</v>
      </c>
      <c r="E27" s="14"/>
      <c r="F27" s="33"/>
      <c r="G27" s="47"/>
      <c r="H27" s="15"/>
    </row>
    <row r="28" spans="1:8" ht="16.5" thickBot="1" x14ac:dyDescent="0.3">
      <c r="A28" s="14" t="s">
        <v>33</v>
      </c>
      <c r="E28" s="62" t="s">
        <v>27</v>
      </c>
      <c r="F28" s="63"/>
      <c r="G28" s="48"/>
      <c r="H28" s="17"/>
    </row>
    <row r="29" spans="1:8" ht="19.5" thickBot="1" x14ac:dyDescent="0.35">
      <c r="A29" s="16"/>
      <c r="B29" s="4"/>
      <c r="C29" s="4"/>
      <c r="D29" s="17"/>
      <c r="F29" s="3"/>
      <c r="G29" s="34" t="s">
        <v>28</v>
      </c>
      <c r="H29" s="36">
        <f>H24+H25</f>
        <v>69972</v>
      </c>
    </row>
    <row r="30" spans="1:8" ht="16.5" customHeight="1" x14ac:dyDescent="0.25"/>
    <row r="35" spans="1:8" ht="15.75" thickBot="1" x14ac:dyDescent="0.3"/>
    <row r="36" spans="1:8" ht="19.5" thickBot="1" x14ac:dyDescent="0.35">
      <c r="A36" s="25" t="s">
        <v>48</v>
      </c>
      <c r="B36" s="6"/>
      <c r="C36" s="6"/>
      <c r="D36" s="6"/>
      <c r="E36" s="6"/>
      <c r="F36" s="6"/>
      <c r="G36" s="6"/>
      <c r="H36" s="7"/>
    </row>
    <row r="44" spans="1:8" ht="18.75" x14ac:dyDescent="0.3">
      <c r="A44" s="5"/>
    </row>
  </sheetData>
  <hyperlinks>
    <hyperlink ref="C10" r:id="rId1" xr:uid="{CDAEDF7C-9118-4EB6-9B62-331CF137D532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R&amp;S INGENIERIA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2025-04-01T14:23:51Z</cp:lastPrinted>
  <dcterms:created xsi:type="dcterms:W3CDTF">2018-11-15T17:29:02Z</dcterms:created>
  <dcterms:modified xsi:type="dcterms:W3CDTF">2025-04-15T21:26:39Z</dcterms:modified>
</cp:coreProperties>
</file>