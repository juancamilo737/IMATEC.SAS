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D91CF0C-58DC-468E-B629-A769C9498D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<sst xmlns="http://schemas.openxmlformats.org/spreadsheetml/2006/main" count="62" uniqueCount="59">
  <si>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</si>
  <si>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</si>
  <si>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</si>
  <si>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</si>
  <si>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</si>
  <si>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</si>
  <si>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</si>
  <si>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</si>
  <si>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</si>
  <si>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</si>
  <si>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</si>
  <si>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</si>
  <si>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</si>
  <si>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</si>
  <si>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</si>
  <si>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</si>
  <si>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</si>
  <si>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</si>
  <si>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</si>
  <si>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</si>
  <si>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</si>
  <si>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</si>
  <si>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</si>
  <si>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</si>
  <si>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</si>
  <si>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</si>
  <si>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</si>
  <si>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</si>
  <si>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</si>
  <si>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</si>
  <si>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</si>
  <si>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</si>
  <si>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</si>
  <si>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</si>
  <si>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</si>
  <si>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</si>
  <si>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</si>
  <si>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</si>
  <si>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</si>
  <si>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</si>
  <si>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</si>
  <si>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</si>
  <si>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</si>
  <si>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</si>
  <si>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</si>
  <si>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</si>
  <si>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>L I Q U I D A C I O N</t>
  </si>
  <si>
    <t xml:space="preserve">           C O T I Z A C I O N</t>
  </si>
  <si>
    <t>10 DIAS</t>
  </si>
  <si>
    <t>No. 8</t>
  </si>
  <si>
    <t>TEE MECANICA HD  2 "  X   1 1/2 "  NPT</t>
  </si>
  <si>
    <t>ADAPTADOR MACHO PVC SCH 40  1 1/2 "</t>
  </si>
  <si>
    <t>CODO PVC  SCH 40  1 1/2  "  X  90 º</t>
  </si>
  <si>
    <t>VALVULA CORTINA BRONCE 1 1/2 "</t>
  </si>
  <si>
    <t>TUBERIA  GALVANIZADA  AGUA  2 "</t>
  </si>
  <si>
    <t>TUBO X 6 MTS</t>
  </si>
  <si>
    <t>UN MILLON CIENTO CUARENTA Y UN MIL QUINIENTOS</t>
  </si>
  <si>
    <t>OCHENTA Y CUATRO PESOS MDA / CTE</t>
  </si>
  <si>
    <t xml:space="preserve">  CALLE  33A  No. 17F - 56  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</si>
</sst>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3" zoomScaleNormal="100" workbookViewId="0">
      <selection activeCell="I29" sqref="I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71" t="s">
        <v>42</v>
      </c>
      <c r="D10" s="66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>
        <v>45842</v>
      </c>
    </row>
    <row r="12" spans="1:8" ht="18.75" x14ac:dyDescent="0.3">
      <c r="A12" s="21" t="s">
        <v>11</v>
      </c>
      <c r="C12" s="72" t="s">
        <v>43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50</v>
      </c>
      <c r="C16" s="50"/>
      <c r="D16" s="51"/>
      <c r="E16" s="48" t="s">
        <v>44</v>
      </c>
      <c r="F16" s="52">
        <v>22600</v>
      </c>
      <c r="G16" s="48">
        <v>2</v>
      </c>
      <c r="H16" s="38">
        <f t="shared" ref="H16" si="0">G16*F16</f>
        <v>45200</v>
      </c>
    </row>
    <row r="17" spans="1:8" ht="16.5" thickBot="1" x14ac:dyDescent="0.3">
      <c r="A17" s="48">
        <v>2</v>
      </c>
      <c r="B17" s="49" t="s">
        <v>51</v>
      </c>
      <c r="C17" s="50"/>
      <c r="D17" s="51"/>
      <c r="E17" s="48" t="s">
        <v>44</v>
      </c>
      <c r="F17" s="52">
        <v>3500</v>
      </c>
      <c r="G17" s="48">
        <v>4</v>
      </c>
      <c r="H17" s="38">
        <f t="shared" ref="H17:H19" si="1">G17*F17</f>
        <v>14000</v>
      </c>
    </row>
    <row r="18" spans="1:8" ht="16.5" thickBot="1" x14ac:dyDescent="0.3">
      <c r="A18" s="48">
        <v>3</v>
      </c>
      <c r="B18" s="49" t="s">
        <v>52</v>
      </c>
      <c r="C18" s="50"/>
      <c r="D18" s="51"/>
      <c r="E18" s="48" t="s">
        <v>44</v>
      </c>
      <c r="F18" s="52">
        <v>5850</v>
      </c>
      <c r="G18" s="48">
        <v>2</v>
      </c>
      <c r="H18" s="38">
        <f t="shared" si="1"/>
        <v>11700</v>
      </c>
    </row>
    <row r="19" spans="1:8" ht="16.5" thickBot="1" x14ac:dyDescent="0.3">
      <c r="A19" s="73">
        <v>4</v>
      </c>
      <c r="B19" s="74" t="s">
        <v>53</v>
      </c>
      <c r="C19" s="75"/>
      <c r="D19" s="76"/>
      <c r="E19" s="73" t="s">
        <v>44</v>
      </c>
      <c r="F19" s="77">
        <v>90000</v>
      </c>
      <c r="G19" s="73">
        <v>1</v>
      </c>
      <c r="H19" s="38">
        <f t="shared" si="1"/>
        <v>90000</v>
      </c>
    </row>
    <row r="20" spans="1:8" ht="16.5" thickBot="1" x14ac:dyDescent="0.3">
      <c r="A20" s="73">
        <v>5</v>
      </c>
      <c r="B20" s="74" t="s">
        <v>54</v>
      </c>
      <c r="C20" s="75"/>
      <c r="D20" s="76"/>
      <c r="E20" s="73" t="s">
        <v>55</v>
      </c>
      <c r="F20" s="77">
        <v>273000</v>
      </c>
      <c r="G20" s="73">
        <v>3</v>
      </c>
      <c r="H20" s="38">
        <f t="shared" ref="H20" si="2">G20*F20</f>
        <v>819000</v>
      </c>
    </row>
    <row r="21" spans="1:8" ht="19.5" customHeight="1" thickBot="1" x14ac:dyDescent="0.3">
      <c r="A21" s="53"/>
      <c r="B21" s="79"/>
      <c r="D21" s="80"/>
      <c r="E21" s="53"/>
      <c r="F21" s="53"/>
      <c r="G21" s="53"/>
    </row>
    <row r="22" spans="1:8" ht="19.5" customHeight="1" thickBot="1" x14ac:dyDescent="0.35">
      <c r="A22" s="78" t="s">
        <v>23</v>
      </c>
      <c r="B22" s="81" t="s">
        <v>56</v>
      </c>
      <c r="C22" s="12"/>
      <c r="D22" s="13"/>
      <c r="E22" s="54"/>
      <c r="F22" s="37" t="s">
        <v>46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17"/>
      <c r="E23" s="57" t="s">
        <v>24</v>
      </c>
      <c r="F23" s="58"/>
      <c r="G23" s="44"/>
      <c r="H23" s="55">
        <f>SUM(H16:H20)</f>
        <v>979900</v>
      </c>
    </row>
    <row r="24" spans="1:8" ht="19.5" customHeight="1" x14ac:dyDescent="0.25">
      <c r="A24" s="24" t="s">
        <v>25</v>
      </c>
      <c r="B24" s="12"/>
      <c r="C24" s="12"/>
      <c r="D24" s="12"/>
      <c r="E24" s="59" t="s">
        <v>29</v>
      </c>
      <c r="F24" s="23"/>
      <c r="G24" s="60">
        <v>0.19</v>
      </c>
      <c r="H24" s="40">
        <f>H23*G24</f>
        <v>186181</v>
      </c>
    </row>
    <row r="25" spans="1:8" ht="19.5" customHeight="1" x14ac:dyDescent="0.25">
      <c r="A25" s="14" t="s">
        <v>30</v>
      </c>
      <c r="E25" s="61" t="s">
        <v>26</v>
      </c>
      <c r="G25" s="64">
        <v>2.5000000000000001E-2</v>
      </c>
      <c r="H25" s="56">
        <f>H23*G25</f>
        <v>24497.5</v>
      </c>
    </row>
    <row r="26" spans="1:8" ht="15.75" x14ac:dyDescent="0.25">
      <c r="A26" s="14" t="s">
        <v>35</v>
      </c>
      <c r="E26" s="14"/>
      <c r="F26" s="33"/>
      <c r="G26" s="45"/>
      <c r="H26" s="15"/>
    </row>
    <row r="27" spans="1:8" ht="16.5" thickBot="1" x14ac:dyDescent="0.3">
      <c r="A27" s="14" t="s">
        <v>32</v>
      </c>
      <c r="E27" s="62" t="s">
        <v>27</v>
      </c>
      <c r="F27" s="63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1141583.5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58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2025-06-25T14:46:08Z</dcterms:modified>
</cp:coreProperties>
</file>