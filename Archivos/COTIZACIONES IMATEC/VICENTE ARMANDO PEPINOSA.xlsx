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34385FE4-4A11-45AF-992E-DDDAB409B6E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EPINOS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<sst xmlns="http://schemas.openxmlformats.org/spreadsheetml/2006/main" count="54" uniqueCount="53">
  <si>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</si>
  <si>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</si>
  <si>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</si>
  <si>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</si>
  <si>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</si>
  <si>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</si>
  <si>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</si>
  <si>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</si>
  <si>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</si>
  <si>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</si>
  <si>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</si>
  <si>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</si>
  <si>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</si>
  <si>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</si>
  <si>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</si>
  <si>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</si>
  <si>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</si>
  <si>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</si>
  <si>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</si>
  <si>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</si>
  <si>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</si>
  <si>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</si>
  <si>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</si>
  <si>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</si>
  <si>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</si>
  <si>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</si>
  <si>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</si>
  <si>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</si>
  <si>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</si>
  <si>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</si>
  <si>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</si>
  <si>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</si>
  <si>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</si>
  <si>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</si>
  <si>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</si>
  <si>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</si>
  <si>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</si>
  <si>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</si>
  <si>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  17F - 56                           B/  LA FLORESTA             -   CALI    -                                       CEL.     321 7834969</t>
  </si>
  <si>
    <t>VICENTE ARMANDO PEPINOSA</t>
  </si>
  <si>
    <t>87 711505</t>
  </si>
  <si>
    <t>CARRERA 3  No. 21 - 30</t>
  </si>
  <si>
    <t>IPIALES</t>
  </si>
  <si>
    <t>armando pepinosa@hotmail.com</t>
  </si>
  <si>
    <t>602 7254844</t>
  </si>
  <si>
    <t>LUIS A. BENAVIDES</t>
  </si>
  <si>
    <t>TUBERIA  A / C  SCH 80  2 1/2 "</t>
  </si>
  <si>
    <t>METRO LINEAL</t>
  </si>
  <si>
    <t>TUBERIA  A / C  SCH 40  2 1/2 "</t>
  </si>
  <si>
    <t>ENTREGA INMEDIATA</t>
  </si>
  <si>
    <t xml:space="preserve">NOVECIENTOS SESENTA Y TRES MIL NOVECIENTOS </t>
  </si>
  <si>
    <t>PESOS  MDA / CTE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</si>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</sst>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H10" sqref="H10:H1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52</v>
      </c>
      <c r="G6" s="42"/>
      <c r="H6" s="43"/>
    </row>
    <row r="7" spans="1:8" ht="19.5" thickBot="1" x14ac:dyDescent="0.35">
      <c r="A7" s="20" t="s">
        <v>14</v>
      </c>
      <c r="B7" s="12"/>
      <c r="C7" s="60" t="s">
        <v>39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69" t="s">
        <v>40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41</v>
      </c>
      <c r="E9" s="15" t="s">
        <v>42</v>
      </c>
      <c r="F9" s="30" t="s">
        <v>0</v>
      </c>
      <c r="H9" s="28">
        <v>45915</v>
      </c>
    </row>
    <row r="10" spans="1:8" ht="18.75" x14ac:dyDescent="0.3">
      <c r="A10" s="21" t="s">
        <v>13</v>
      </c>
      <c r="C10" s="70" t="s">
        <v>43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44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46</v>
      </c>
      <c r="C16" s="63"/>
      <c r="D16" s="64"/>
      <c r="E16" s="61" t="s">
        <v>47</v>
      </c>
      <c r="F16" s="65">
        <v>75000</v>
      </c>
      <c r="G16" s="61">
        <v>6</v>
      </c>
      <c r="H16" s="38">
        <f t="shared" ref="H16" si="0">G16*F16</f>
        <v>450000</v>
      </c>
    </row>
    <row r="17" spans="1:8" ht="16.5" thickBot="1" x14ac:dyDescent="0.3">
      <c r="A17" s="61">
        <v>2</v>
      </c>
      <c r="B17" s="62" t="s">
        <v>48</v>
      </c>
      <c r="C17" s="63"/>
      <c r="D17" s="64"/>
      <c r="E17" s="61" t="s">
        <v>47</v>
      </c>
      <c r="F17" s="65">
        <v>60000</v>
      </c>
      <c r="G17" s="61">
        <v>6</v>
      </c>
      <c r="H17" s="38">
        <f t="shared" ref="H17" si="1">G17*F17</f>
        <v>360000</v>
      </c>
    </row>
    <row r="18" spans="1:8" ht="19.5" customHeight="1" thickBot="1" x14ac:dyDescent="0.3">
      <c r="A18" s="48"/>
      <c r="B18" s="67"/>
      <c r="D18" s="68"/>
      <c r="E18" s="48"/>
      <c r="F18" s="48"/>
      <c r="G18" s="48"/>
    </row>
    <row r="19" spans="1:8" ht="19.5" customHeight="1" thickBot="1" x14ac:dyDescent="0.35">
      <c r="A19" s="66" t="s">
        <v>23</v>
      </c>
      <c r="B19" s="69" t="s">
        <v>50</v>
      </c>
      <c r="C19" s="12"/>
      <c r="D19" s="13"/>
      <c r="E19" s="49"/>
      <c r="F19" s="37" t="s">
        <v>37</v>
      </c>
      <c r="G19" s="6"/>
      <c r="H19" s="7"/>
    </row>
    <row r="20" spans="1:8" ht="19.5" customHeight="1" thickBot="1" x14ac:dyDescent="0.3">
      <c r="A20" s="39"/>
      <c r="B20" s="16" t="s">
        <v>51</v>
      </c>
      <c r="C20" s="4"/>
      <c r="D20" s="17"/>
      <c r="E20" s="52" t="s">
        <v>24</v>
      </c>
      <c r="F20" s="53"/>
      <c r="G20" s="44"/>
      <c r="H20" s="50">
        <f>SUM(H16:H19)</f>
        <v>810000</v>
      </c>
    </row>
    <row r="21" spans="1:8" ht="19.5" customHeight="1" x14ac:dyDescent="0.25">
      <c r="A21" s="24" t="s">
        <v>25</v>
      </c>
      <c r="B21" s="12"/>
      <c r="C21" s="12"/>
      <c r="D21" s="12"/>
      <c r="E21" s="54" t="s">
        <v>29</v>
      </c>
      <c r="F21" s="23"/>
      <c r="G21" s="55">
        <v>0.19</v>
      </c>
      <c r="H21" s="40">
        <f>H20*G21</f>
        <v>153900</v>
      </c>
    </row>
    <row r="22" spans="1:8" ht="19.5" customHeight="1" x14ac:dyDescent="0.25">
      <c r="A22" s="14" t="s">
        <v>30</v>
      </c>
      <c r="E22" s="56" t="s">
        <v>26</v>
      </c>
      <c r="G22" s="59">
        <v>2.5000000000000001E-2</v>
      </c>
      <c r="H22" s="51"/>
    </row>
    <row r="23" spans="1:8" ht="15.75" x14ac:dyDescent="0.25">
      <c r="A23" s="14" t="s">
        <v>49</v>
      </c>
      <c r="E23" s="14"/>
      <c r="F23" s="33"/>
      <c r="G23" s="45"/>
      <c r="H23" s="15"/>
    </row>
    <row r="24" spans="1:8" ht="16.5" thickBot="1" x14ac:dyDescent="0.3">
      <c r="A24" s="14" t="s">
        <v>32</v>
      </c>
      <c r="E24" s="57" t="s">
        <v>27</v>
      </c>
      <c r="F24" s="58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963900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38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PEPINOSA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2025-09-15T17:41:34Z</cp:lastPrinted>
  <dcterms:created xsi:type="dcterms:W3CDTF">2018-11-15T17:29:02Z</dcterms:created>
  <dcterms:modified xsi:type="dcterms:W3CDTF">2025-09-15T22:05:03Z</dcterms:modified>
</cp:coreProperties>
</file>