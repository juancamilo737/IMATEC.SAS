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rencia\Pictures\COTIZACIONES IMATEC\"/>
    </mc:Choice>
  </mc:AlternateContent>
  <xr:revisionPtr revIDLastSave="0" documentId="13_ncr:1_{DA8B2655-81EE-40D4-8FD3-3AFFDF92508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23" i="1"/>
  <c r="H22" i="1"/>
  <c r="H21" i="1"/>
  <c r="H20" i="1"/>
  <c r="H19" i="1"/>
  <c r="H18" i="1" l="1"/>
  <c r="H17" i="1"/>
  <c r="H16" i="1"/>
  <c r="H30" i="1" l="1"/>
  <c r="H29" i="1"/>
  <c r="H28" i="1"/>
  <c r="H32" i="1" s="1"/>
</calcChain>
</file>

<file path=xl/sharedStrings.xml><?xml version="1.0" encoding="utf-8"?>
<sst xmlns="http://schemas.openxmlformats.org/spreadsheetml/2006/main" count="70" uniqueCount="63">
  <si>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</si>
  <si>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</si>
  <si>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</si>
  <si>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</si>
  <si>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</si>
  <si>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</si>
  <si>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</si>
  <si>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</si>
  <si>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</si>
  <si>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</si>
  <si>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</si>
  <si>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</si>
  <si>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</si>
  <si>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</si>
  <si>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</si>
  <si>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</si>
  <si>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</si>
  <si>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</si>
  <si>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</si>
  <si>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</si>
  <si>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</si>
  <si>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</si>
  <si>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</si>
  <si>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</si>
  <si>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</si>
  <si>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</si>
  <si>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</si>
  <si>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</si>
  <si>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</si>
  <si>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</si>
  <si>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</si>
  <si>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</si>
  <si>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</si>
  <si>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</si>
  <si>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</si>
  <si>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</si>
  <si>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</si>
  <si>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</si>
  <si>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</si>
  <si>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</si>
  <si>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</si>
  <si>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</si>
  <si>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</si>
  <si>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 xml:space="preserve">  CALLE  33A  No. 17F - 56                         B/  LA FLORESTA             -   CALI    -                                   CEL.     321 7834969</t>
  </si>
  <si>
    <t>L I Q U I D A C I O N</t>
  </si>
  <si>
    <t xml:space="preserve">   RETEICA</t>
  </si>
  <si>
    <t>FORMA DE PAGO : CREDITO A 15 DIAS</t>
  </si>
  <si>
    <t>ENTREGA INMEDIATA</t>
  </si>
  <si>
    <t>No. 10</t>
  </si>
  <si>
    <t>10 dias</t>
  </si>
  <si>
    <t xml:space="preserve">           C O T I Z A C I O N</t>
  </si>
  <si>
    <t>TUBERIA  A / C  SCH 40  3/4 "</t>
  </si>
  <si>
    <t>TUBO X 6 MTS</t>
  </si>
  <si>
    <t>CODO  A / C  3/4 "  X  90 º</t>
  </si>
  <si>
    <t>UNIVERSAL  A / C  3/4 "  X  150 LBS</t>
  </si>
  <si>
    <t>UNION  A / C  3/4 "  X  300 LBS</t>
  </si>
  <si>
    <t>VALVULA GLOBO  A / C  3/4 "</t>
  </si>
  <si>
    <t xml:space="preserve">TRAMPA TERMODINAMICA 3/4 "  </t>
  </si>
  <si>
    <t>CHEQUE GLOBO  A / C  3/4 "</t>
  </si>
  <si>
    <t>FILTRO  A / C  3/4 "</t>
  </si>
  <si>
    <t>TEE  A / C  3/4 "  X  150 LBS</t>
  </si>
  <si>
    <t>UN MILLON TRESCIENTOS DIECINUEVE MIL TRESCIENTOS</t>
  </si>
  <si>
    <t>VEINTIDOS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</si>
</sst>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28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zoomScaleNormal="100" workbookViewId="0">
      <selection activeCell="K9" sqref="K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36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37</v>
      </c>
      <c r="E8" s="15"/>
      <c r="H8" s="15"/>
    </row>
    <row r="9" spans="1:8" ht="18.75" customHeight="1" thickBot="1" x14ac:dyDescent="0.35">
      <c r="A9" s="21" t="s">
        <v>9</v>
      </c>
      <c r="C9" s="14" t="s">
        <v>38</v>
      </c>
      <c r="E9" s="61" t="s">
        <v>39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47"/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45855</v>
      </c>
    </row>
    <row r="12" spans="1:8" ht="18.75" x14ac:dyDescent="0.3">
      <c r="A12" s="21" t="s">
        <v>11</v>
      </c>
      <c r="C12" s="14" t="s">
        <v>40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33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62">
        <v>1</v>
      </c>
      <c r="B16" s="63" t="s">
        <v>51</v>
      </c>
      <c r="C16" s="63"/>
      <c r="D16" s="64"/>
      <c r="E16" s="62" t="s">
        <v>52</v>
      </c>
      <c r="F16" s="65">
        <v>81000</v>
      </c>
      <c r="G16" s="62">
        <v>2</v>
      </c>
      <c r="H16" s="38">
        <f t="shared" ref="H16" si="0">G16*F16</f>
        <v>162000</v>
      </c>
    </row>
    <row r="17" spans="1:8" ht="16.5" thickBot="1" x14ac:dyDescent="0.3">
      <c r="A17" s="62">
        <v>2</v>
      </c>
      <c r="B17" s="63" t="s">
        <v>53</v>
      </c>
      <c r="C17" s="63"/>
      <c r="D17" s="64"/>
      <c r="E17" s="62" t="s">
        <v>42</v>
      </c>
      <c r="F17" s="65">
        <v>3500</v>
      </c>
      <c r="G17" s="62">
        <v>8</v>
      </c>
      <c r="H17" s="38">
        <f t="shared" ref="H17:H18" si="1">G17*F17</f>
        <v>28000</v>
      </c>
    </row>
    <row r="18" spans="1:8" ht="16.5" thickBot="1" x14ac:dyDescent="0.3">
      <c r="A18" s="62">
        <v>3</v>
      </c>
      <c r="B18" s="63" t="s">
        <v>54</v>
      </c>
      <c r="C18" s="63"/>
      <c r="D18" s="64"/>
      <c r="E18" s="62" t="s">
        <v>42</v>
      </c>
      <c r="F18" s="65">
        <v>9500</v>
      </c>
      <c r="G18" s="62">
        <v>3</v>
      </c>
      <c r="H18" s="38">
        <f t="shared" si="1"/>
        <v>28500</v>
      </c>
    </row>
    <row r="19" spans="1:8" ht="16.5" thickBot="1" x14ac:dyDescent="0.3">
      <c r="A19" s="62">
        <v>4</v>
      </c>
      <c r="B19" s="63" t="s">
        <v>55</v>
      </c>
      <c r="C19" s="63"/>
      <c r="D19" s="64"/>
      <c r="E19" s="62" t="s">
        <v>42</v>
      </c>
      <c r="F19" s="65">
        <v>4000</v>
      </c>
      <c r="G19" s="62">
        <v>4</v>
      </c>
      <c r="H19" s="38">
        <f t="shared" ref="H19:H24" si="2">G19*F19</f>
        <v>16000</v>
      </c>
    </row>
    <row r="20" spans="1:8" ht="16.5" thickBot="1" x14ac:dyDescent="0.3">
      <c r="A20" s="62">
        <v>5</v>
      </c>
      <c r="B20" s="63" t="s">
        <v>56</v>
      </c>
      <c r="C20" s="63"/>
      <c r="D20" s="64"/>
      <c r="E20" s="62" t="s">
        <v>42</v>
      </c>
      <c r="F20" s="65">
        <v>140000</v>
      </c>
      <c r="G20" s="62">
        <v>2</v>
      </c>
      <c r="H20" s="38">
        <f t="shared" si="2"/>
        <v>280000</v>
      </c>
    </row>
    <row r="21" spans="1:8" ht="16.5" thickBot="1" x14ac:dyDescent="0.3">
      <c r="A21" s="62">
        <v>6</v>
      </c>
      <c r="B21" s="63" t="s">
        <v>57</v>
      </c>
      <c r="C21" s="63"/>
      <c r="D21" s="64"/>
      <c r="E21" s="62" t="s">
        <v>42</v>
      </c>
      <c r="F21" s="65">
        <v>420000</v>
      </c>
      <c r="G21" s="62">
        <v>1</v>
      </c>
      <c r="H21" s="38">
        <f t="shared" si="2"/>
        <v>420000</v>
      </c>
    </row>
    <row r="22" spans="1:8" ht="16.5" thickBot="1" x14ac:dyDescent="0.3">
      <c r="A22" s="62">
        <v>7</v>
      </c>
      <c r="B22" s="63" t="s">
        <v>58</v>
      </c>
      <c r="C22" s="63"/>
      <c r="D22" s="64"/>
      <c r="E22" s="62" t="s">
        <v>42</v>
      </c>
      <c r="F22" s="65">
        <v>130000</v>
      </c>
      <c r="G22" s="62">
        <v>1</v>
      </c>
      <c r="H22" s="38">
        <f t="shared" si="2"/>
        <v>130000</v>
      </c>
    </row>
    <row r="23" spans="1:8" ht="16.5" thickBot="1" x14ac:dyDescent="0.3">
      <c r="A23" s="62">
        <v>8</v>
      </c>
      <c r="B23" s="63" t="s">
        <v>59</v>
      </c>
      <c r="C23" s="63"/>
      <c r="D23" s="64"/>
      <c r="E23" s="62" t="s">
        <v>42</v>
      </c>
      <c r="F23" s="65">
        <v>65000</v>
      </c>
      <c r="G23" s="62">
        <v>1</v>
      </c>
      <c r="H23" s="38">
        <f t="shared" si="2"/>
        <v>65000</v>
      </c>
    </row>
    <row r="24" spans="1:8" ht="16.5" thickBot="1" x14ac:dyDescent="0.3">
      <c r="A24" s="62">
        <v>9</v>
      </c>
      <c r="B24" s="63" t="s">
        <v>60</v>
      </c>
      <c r="C24" s="63"/>
      <c r="D24" s="64"/>
      <c r="E24" s="62" t="s">
        <v>42</v>
      </c>
      <c r="F24" s="65">
        <v>3500</v>
      </c>
      <c r="G24" s="62">
        <v>3</v>
      </c>
      <c r="H24" s="38">
        <f t="shared" si="2"/>
        <v>10500</v>
      </c>
    </row>
    <row r="25" spans="1:8" ht="19.5" customHeight="1" thickBot="1" x14ac:dyDescent="0.3">
      <c r="A25" s="49"/>
      <c r="B25" s="67"/>
      <c r="D25" s="68"/>
      <c r="E25" s="49"/>
      <c r="F25" s="49"/>
      <c r="G25" s="49"/>
    </row>
    <row r="26" spans="1:8" ht="19.5" customHeight="1" thickBot="1" x14ac:dyDescent="0.35">
      <c r="A26" s="66" t="s">
        <v>23</v>
      </c>
      <c r="B26" s="69" t="s">
        <v>61</v>
      </c>
      <c r="C26" s="12"/>
      <c r="D26" s="13"/>
      <c r="E26" s="50"/>
      <c r="F26" s="37" t="s">
        <v>44</v>
      </c>
      <c r="G26" s="6"/>
      <c r="H26" s="7"/>
    </row>
    <row r="27" spans="1:8" ht="19.5" customHeight="1" thickBot="1" x14ac:dyDescent="0.3">
      <c r="A27" s="39"/>
      <c r="B27" s="16" t="s">
        <v>62</v>
      </c>
      <c r="C27" s="4"/>
      <c r="D27" s="17"/>
      <c r="E27" s="53" t="s">
        <v>24</v>
      </c>
      <c r="F27" s="54"/>
      <c r="G27" s="45"/>
      <c r="H27" s="51">
        <f>SUM(H16:H24)</f>
        <v>1140000</v>
      </c>
    </row>
    <row r="28" spans="1:8" ht="19.5" customHeight="1" x14ac:dyDescent="0.25">
      <c r="A28" s="24" t="s">
        <v>25</v>
      </c>
      <c r="B28" s="12"/>
      <c r="C28" s="12"/>
      <c r="D28" s="12"/>
      <c r="E28" s="55" t="s">
        <v>29</v>
      </c>
      <c r="F28" s="23"/>
      <c r="G28" s="56">
        <v>0.19</v>
      </c>
      <c r="H28" s="40">
        <f>H27*G28</f>
        <v>216600</v>
      </c>
    </row>
    <row r="29" spans="1:8" ht="19.5" customHeight="1" x14ac:dyDescent="0.25">
      <c r="A29" s="14" t="s">
        <v>46</v>
      </c>
      <c r="E29" s="57" t="s">
        <v>26</v>
      </c>
      <c r="G29" s="60">
        <v>2.5000000000000001E-2</v>
      </c>
      <c r="H29" s="52">
        <f>H27*G29</f>
        <v>28500</v>
      </c>
    </row>
    <row r="30" spans="1:8" ht="15.75" x14ac:dyDescent="0.25">
      <c r="A30" s="14" t="s">
        <v>47</v>
      </c>
      <c r="E30" s="55" t="s">
        <v>45</v>
      </c>
      <c r="F30" s="33"/>
      <c r="G30" s="70">
        <v>7.7000000000000002E-3</v>
      </c>
      <c r="H30" s="52">
        <f>H27*G30</f>
        <v>8778</v>
      </c>
    </row>
    <row r="31" spans="1:8" ht="16.5" thickBot="1" x14ac:dyDescent="0.3">
      <c r="A31" s="14" t="s">
        <v>31</v>
      </c>
      <c r="E31" s="58" t="s">
        <v>27</v>
      </c>
      <c r="F31" s="59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H27+H28-H29-H30</f>
        <v>1319322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43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2025-07-07T14:47:37Z</cp:lastPrinted>
  <dcterms:created xsi:type="dcterms:W3CDTF">2018-11-15T17:29:02Z</dcterms:created>
  <dcterms:modified xsi:type="dcterms:W3CDTF">2025-12-31T22:22:30Z</dcterms:modified>
</cp:coreProperties>
</file>