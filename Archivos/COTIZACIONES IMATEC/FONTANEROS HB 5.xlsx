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951FDA2-E8EF-4AF5-8A20-F0F6458F151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 l="1"/>
  <c r="H17" i="1"/>
  <c r="H16" i="1"/>
  <c r="H23" i="1" l="1"/>
  <c r="H27" i="1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<sst xmlns="http://schemas.openxmlformats.org/spreadsheetml/2006/main" count="60" uniqueCount="58">
  <si>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</si>
  <si>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</si>
  <si>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</si>
  <si>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</si>
  <si>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</si>
  <si>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</si>
  <si>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</si>
  <si>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</si>
  <si>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</si>
  <si>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</si>
  <si>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</si>
  <si>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</si>
  <si>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</si>
  <si>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</si>
  <si>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</si>
  <si>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</si>
  <si>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</si>
  <si>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</si>
  <si>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</si>
  <si>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</si>
  <si>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</si>
  <si>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</si>
  <si>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</si>
  <si>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</si>
  <si>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</si>
  <si>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</si>
  <si>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</si>
  <si>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</si>
  <si>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</si>
  <si>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</si>
  <si>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</si>
  <si>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</si>
  <si>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</si>
  <si>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</si>
  <si>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</si>
  <si>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</si>
  <si>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</si>
  <si>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</si>
  <si>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</si>
  <si>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</si>
  <si>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</si>
  <si>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</si>
  <si>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</si>
  <si>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</si>
  <si>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</si>
  <si>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</si>
  <si>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</si>
  <si>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</si>
  <si>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 xml:space="preserve">           C O T I Z A C I O N</t>
  </si>
  <si>
    <t>No. 5</t>
  </si>
  <si>
    <t>NIPLE  A / C  1/2 "  X  2"</t>
  </si>
  <si>
    <t>NIPLE  A / C  3/4 "  X 2 1/2 "</t>
  </si>
  <si>
    <t>SOPORTE TRANSVERSAL  2 1/2 "</t>
  </si>
  <si>
    <t>FABRICACION</t>
  </si>
  <si>
    <t>ACCESORIO</t>
  </si>
  <si>
    <t>SOPORTE TRANSVERSAL  4 "</t>
  </si>
  <si>
    <t>DOSCIENTOS CINCUENTA Y UN MIL NOVENTA PESOS</t>
  </si>
  <si>
    <t xml:space="preserve">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</si>
</sst>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7" xfId="0" applyFont="1" applyBorder="1"/>
    <xf numFmtId="0" fontId="8" fillId="0" borderId="13" xfId="0" applyFont="1" applyBorder="1"/>
    <xf numFmtId="0" fontId="8" fillId="0" borderId="38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6" zoomScaleNormal="100" workbookViewId="0">
      <selection activeCell="E32" sqref="E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2" t="s">
        <v>44</v>
      </c>
      <c r="F9" s="30" t="s">
        <v>0</v>
      </c>
      <c r="H9" s="28">
        <v>45625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45634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50</v>
      </c>
      <c r="C16" s="56"/>
      <c r="D16" s="57"/>
      <c r="E16" s="53" t="s">
        <v>53</v>
      </c>
      <c r="F16" s="59">
        <v>2500</v>
      </c>
      <c r="G16" s="53">
        <v>2</v>
      </c>
      <c r="H16" s="38">
        <f t="shared" ref="H16" si="0">G16*F16</f>
        <v>5000</v>
      </c>
    </row>
    <row r="17" spans="1:8" ht="16.5" thickBot="1" x14ac:dyDescent="0.3">
      <c r="A17" s="73">
        <v>2</v>
      </c>
      <c r="B17" s="74" t="s">
        <v>51</v>
      </c>
      <c r="C17" s="75"/>
      <c r="D17" s="76"/>
      <c r="E17" s="73" t="s">
        <v>53</v>
      </c>
      <c r="F17" s="77">
        <v>3000</v>
      </c>
      <c r="G17" s="73">
        <v>2</v>
      </c>
      <c r="H17" s="38">
        <f t="shared" ref="H17" si="1">G17*F17</f>
        <v>6000</v>
      </c>
    </row>
    <row r="18" spans="1:8" ht="16.5" thickBot="1" x14ac:dyDescent="0.3">
      <c r="A18" s="73">
        <v>3</v>
      </c>
      <c r="B18" s="74" t="s">
        <v>52</v>
      </c>
      <c r="C18" s="75"/>
      <c r="D18" s="76"/>
      <c r="E18" s="73" t="s">
        <v>54</v>
      </c>
      <c r="F18" s="77">
        <v>65000</v>
      </c>
      <c r="G18" s="73">
        <v>2</v>
      </c>
      <c r="H18" s="38">
        <f t="shared" ref="H18" si="2">G18*F18</f>
        <v>130000</v>
      </c>
    </row>
    <row r="19" spans="1:8" ht="16.5" thickBot="1" x14ac:dyDescent="0.3">
      <c r="A19" s="73">
        <v>4</v>
      </c>
      <c r="B19" s="74" t="s">
        <v>55</v>
      </c>
      <c r="C19" s="75"/>
      <c r="D19" s="76"/>
      <c r="E19" s="73" t="s">
        <v>54</v>
      </c>
      <c r="F19" s="77">
        <v>70000</v>
      </c>
      <c r="G19" s="73">
        <v>1</v>
      </c>
      <c r="H19" s="38">
        <f t="shared" ref="H19" si="3">G19*F19</f>
        <v>70000</v>
      </c>
    </row>
    <row r="20" spans="1:8" ht="19.5" customHeight="1" thickBot="1" x14ac:dyDescent="0.3">
      <c r="A20" s="54"/>
      <c r="B20" s="45"/>
      <c r="C20" s="42"/>
      <c r="D20" s="58"/>
      <c r="E20" s="60"/>
      <c r="F20" s="60"/>
      <c r="G20" s="60"/>
    </row>
    <row r="21" spans="1:8" ht="19.5" customHeight="1" thickBot="1" x14ac:dyDescent="0.35">
      <c r="A21" s="52" t="s">
        <v>23</v>
      </c>
      <c r="B21" s="14" t="s">
        <v>56</v>
      </c>
      <c r="D21" s="15"/>
      <c r="E21" s="61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57</v>
      </c>
      <c r="C22" s="4"/>
      <c r="D22" s="4"/>
      <c r="E22" s="64" t="s">
        <v>24</v>
      </c>
      <c r="F22" s="65"/>
      <c r="G22" s="47"/>
      <c r="H22" s="62">
        <f>SUM(H16:H19)</f>
        <v>211000</v>
      </c>
    </row>
    <row r="23" spans="1:8" ht="19.5" customHeight="1" x14ac:dyDescent="0.25">
      <c r="A23" s="24" t="s">
        <v>25</v>
      </c>
      <c r="B23" s="12"/>
      <c r="C23" s="12"/>
      <c r="D23" s="12"/>
      <c r="E23" s="66" t="s">
        <v>30</v>
      </c>
      <c r="F23" s="23"/>
      <c r="G23" s="67">
        <v>0.19</v>
      </c>
      <c r="H23" s="40">
        <f>H22*G23</f>
        <v>40090</v>
      </c>
    </row>
    <row r="24" spans="1:8" ht="19.5" customHeight="1" x14ac:dyDescent="0.25">
      <c r="A24" s="14" t="s">
        <v>31</v>
      </c>
      <c r="E24" s="68" t="s">
        <v>26</v>
      </c>
      <c r="G24" s="71">
        <v>2.5000000000000001E-2</v>
      </c>
      <c r="H24" s="63"/>
    </row>
    <row r="25" spans="1:8" ht="15.75" x14ac:dyDescent="0.25">
      <c r="A25" s="14" t="s">
        <v>38</v>
      </c>
      <c r="E25" s="14"/>
      <c r="F25" s="33"/>
      <c r="G25" s="48"/>
      <c r="H25" s="15"/>
    </row>
    <row r="26" spans="1:8" ht="16.5" thickBot="1" x14ac:dyDescent="0.3">
      <c r="A26" s="14" t="s">
        <v>34</v>
      </c>
      <c r="E26" s="69" t="s">
        <v>27</v>
      </c>
      <c r="F26" s="70"/>
      <c r="G26" s="49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251090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2024-11-29T14:41:45Z</cp:lastPrinted>
  <dcterms:created xsi:type="dcterms:W3CDTF">2018-11-15T17:29:02Z</dcterms:created>
  <dcterms:modified xsi:type="dcterms:W3CDTF">2024-11-29T14:49:37Z</dcterms:modified>
</cp:coreProperties>
</file>