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11BAF96E-A560-4CAC-B48E-33006C58333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ERVISAF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<sst xmlns="http://schemas.openxmlformats.org/spreadsheetml/2006/main" count="54" uniqueCount="54">
  <si>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</si>
  <si>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</si>
  <si>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</si>
  <si>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</si>
  <si>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</si>
  <si>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</si>
  <si>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</si>
  <si>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</si>
  <si>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</si>
  <si>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</si>
  <si>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</si>
  <si>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</si>
  <si>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</si>
  <si>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</si>
  <si>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</si>
  <si>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</si>
  <si>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</si>
  <si>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</si>
  <si>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</si>
  <si>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</si>
  <si>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</si>
  <si>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</si>
  <si>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</si>
  <si>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</si>
  <si>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</si>
  <si>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</si>
  <si>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</si>
  <si>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</si>
  <si>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</si>
  <si>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</si>
  <si>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</si>
  <si>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</si>
  <si>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</si>
  <si>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</si>
  <si>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</si>
  <si>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</si>
  <si>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</si>
  <si>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</si>
  <si>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</si>
  <si>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</si>
  <si>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SERVISAFE  S.A.S.</t>
  </si>
  <si>
    <t>900 702590</t>
  </si>
  <si>
    <t>CARRERA 1  No. 46 - 45</t>
  </si>
  <si>
    <t>CALI</t>
  </si>
  <si>
    <t>contabilidad@servi-safe.com</t>
  </si>
  <si>
    <t>314 5127322</t>
  </si>
  <si>
    <t>LUIS A. BENAVIDES</t>
  </si>
  <si>
    <t>ENTREGA INMEDIATA</t>
  </si>
  <si>
    <t xml:space="preserve">              R E M I S I O N</t>
  </si>
  <si>
    <t>No.  10</t>
  </si>
  <si>
    <t>10 DIAS</t>
  </si>
  <si>
    <t>VALVULA TIPO KLINGER 1/2 "  X  150  LBS</t>
  </si>
  <si>
    <t>SEISCIENTOS DIECIOCHO MIL OCHOCIENTOS PESOS MDA</t>
  </si>
  <si>
    <t>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</si>
</sst>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" fillId="0" borderId="16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servi-saf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B20" sqref="B2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3"/>
      <c r="H6" s="44"/>
    </row>
    <row r="7" spans="1:8" ht="19.5" thickBot="1" x14ac:dyDescent="0.35">
      <c r="A7" s="20" t="s">
        <v>14</v>
      </c>
      <c r="B7" s="12"/>
      <c r="C7" s="64" t="s">
        <v>40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6" t="s">
        <v>41</v>
      </c>
      <c r="D8" s="67"/>
      <c r="E8" s="46"/>
      <c r="H8" s="15"/>
    </row>
    <row r="9" spans="1:8" ht="18.75" customHeight="1" x14ac:dyDescent="0.3">
      <c r="A9" s="21" t="s">
        <v>9</v>
      </c>
      <c r="C9" s="68" t="s">
        <v>42</v>
      </c>
      <c r="D9" s="23"/>
      <c r="E9" s="69" t="s">
        <v>43</v>
      </c>
      <c r="F9" s="30" t="s">
        <v>0</v>
      </c>
      <c r="H9" s="28">
        <v>45803</v>
      </c>
    </row>
    <row r="10" spans="1:8" ht="18.75" x14ac:dyDescent="0.3">
      <c r="A10" s="21" t="s">
        <v>13</v>
      </c>
      <c r="C10" s="70" t="s">
        <v>44</v>
      </c>
      <c r="D10" s="65"/>
      <c r="E10" s="47"/>
      <c r="F10" s="30" t="s">
        <v>15</v>
      </c>
      <c r="H10" s="29" t="s">
        <v>50</v>
      </c>
    </row>
    <row r="11" spans="1:8" ht="18.75" x14ac:dyDescent="0.3">
      <c r="A11" s="21" t="s">
        <v>10</v>
      </c>
      <c r="C11" s="71"/>
      <c r="D11" s="65"/>
      <c r="E11" s="47"/>
      <c r="F11" s="30" t="s">
        <v>16</v>
      </c>
      <c r="G11" s="30"/>
      <c r="H11" s="28">
        <v>45812</v>
      </c>
    </row>
    <row r="12" spans="1:8" ht="18.75" x14ac:dyDescent="0.3">
      <c r="A12" s="21" t="s">
        <v>11</v>
      </c>
      <c r="C12" s="71" t="s">
        <v>45</v>
      </c>
      <c r="D12" s="65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46</v>
      </c>
      <c r="D13" s="73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4">
        <v>1</v>
      </c>
      <c r="B16" s="75" t="s">
        <v>51</v>
      </c>
      <c r="C16" s="76"/>
      <c r="D16" s="77"/>
      <c r="E16" s="74" t="s">
        <v>37</v>
      </c>
      <c r="F16" s="78">
        <v>520000</v>
      </c>
      <c r="G16" s="74">
        <v>1</v>
      </c>
      <c r="H16" s="38">
        <f t="shared" ref="H16" si="0">G16*F16</f>
        <v>520000</v>
      </c>
    </row>
    <row r="17" spans="1:8" ht="19.5" customHeight="1" thickBot="1" x14ac:dyDescent="0.3">
      <c r="A17" s="50"/>
      <c r="B17" s="45"/>
      <c r="C17" s="42"/>
      <c r="D17" s="51"/>
      <c r="E17" s="52"/>
      <c r="F17" s="52"/>
      <c r="G17" s="52"/>
    </row>
    <row r="18" spans="1:8" ht="19.5" customHeight="1" thickBot="1" x14ac:dyDescent="0.35">
      <c r="A18" s="49" t="s">
        <v>23</v>
      </c>
      <c r="B18" s="14" t="s">
        <v>52</v>
      </c>
      <c r="D18" s="15"/>
      <c r="E18" s="53"/>
      <c r="F18" s="37" t="s">
        <v>38</v>
      </c>
      <c r="G18" s="6"/>
      <c r="H18" s="7"/>
    </row>
    <row r="19" spans="1:8" ht="19.5" customHeight="1" thickBot="1" x14ac:dyDescent="0.3">
      <c r="A19" s="39"/>
      <c r="B19" s="16" t="s">
        <v>53</v>
      </c>
      <c r="C19" s="4"/>
      <c r="D19" s="4"/>
      <c r="E19" s="56" t="s">
        <v>24</v>
      </c>
      <c r="F19" s="57"/>
      <c r="G19" s="46"/>
      <c r="H19" s="54">
        <f>SUM(H16:H18)</f>
        <v>520000</v>
      </c>
    </row>
    <row r="20" spans="1:8" ht="19.5" customHeight="1" x14ac:dyDescent="0.25">
      <c r="A20" s="24" t="s">
        <v>25</v>
      </c>
      <c r="B20" s="12"/>
      <c r="C20" s="12"/>
      <c r="D20" s="12"/>
      <c r="E20" s="58" t="s">
        <v>29</v>
      </c>
      <c r="F20" s="23"/>
      <c r="G20" s="59">
        <v>0.19</v>
      </c>
      <c r="H20" s="40">
        <f>H19*G20</f>
        <v>98800</v>
      </c>
    </row>
    <row r="21" spans="1:8" ht="19.5" customHeight="1" x14ac:dyDescent="0.25">
      <c r="A21" s="14" t="s">
        <v>30</v>
      </c>
      <c r="E21" s="60" t="s">
        <v>26</v>
      </c>
      <c r="G21" s="63">
        <v>2.5000000000000001E-2</v>
      </c>
      <c r="H21" s="55"/>
    </row>
    <row r="22" spans="1:8" ht="15.75" x14ac:dyDescent="0.25">
      <c r="A22" s="14" t="s">
        <v>47</v>
      </c>
      <c r="E22" s="14"/>
      <c r="F22" s="33"/>
      <c r="G22" s="47"/>
      <c r="H22" s="15"/>
    </row>
    <row r="23" spans="1:8" ht="16.5" thickBot="1" x14ac:dyDescent="0.3">
      <c r="A23" s="14" t="s">
        <v>32</v>
      </c>
      <c r="E23" s="61" t="s">
        <v>27</v>
      </c>
      <c r="F23" s="62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618800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39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74907528-4DF9-45E0-899E-03ED0D7EC3B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SERVISAFE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2025-05-22T16:13:48Z</cp:lastPrinted>
  <dcterms:created xsi:type="dcterms:W3CDTF">2018-11-15T17:29:02Z</dcterms:created>
  <dcterms:modified xsi:type="dcterms:W3CDTF">2025-05-26T21:05:02Z</dcterms:modified>
</cp:coreProperties>
</file>