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E:\COTIZACIONES  I M A T E C  COMERCIALIZADORA\"/>
    </mc:Choice>
  </mc:AlternateContent>
  <xr:revisionPtr revIDLastSave="0" documentId="13_ncr:1_{7CEE55A3-3505-44A1-94B9-07D5366DE93A}" xr6:coauthVersionLast="37" xr6:coauthVersionMax="37" xr10:uidLastSave="{00000000-0000-0000-0000-000000000000}"/>
  <bookViews>
    <workbookView xWindow="-120" yWindow="-120" windowWidth="15600" windowHeight="11310" xr2:uid="{00000000-000D-0000-FFFF-FFFF00000000}"/>
  </bookViews>
  <sheets>
    <sheet name="DIMARQUI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8" i="1"/>
  <c r="H16" i="1" l="1"/>
  <c r="H29" i="1" s="1"/>
  <c r="H30" i="1" l="1"/>
  <c r="H34" i="1" s="1"/>
</calcChain>
</file>

<file path=xl/sharedStrings.xml><?xml version="1.0" encoding="utf-8"?>
<sst xmlns="http://schemas.openxmlformats.org/spreadsheetml/2006/main" count="58" uniqueCount="56">
  <si>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</si>
  <si>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</si>
  <si>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</si>
  <si>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</si>
  <si>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</si>
  <si>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</si>
  <si>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</si>
  <si>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</si>
  <si>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</si>
  <si>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</si>
  <si>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</si>
  <si>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</si>
  <si>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</si>
  <si>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</si>
  <si>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</si>
  <si>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</si>
  <si>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</si>
  <si>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</si>
  <si>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</si>
  <si>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</si>
  <si>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</si>
  <si>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</si>
  <si>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</si>
  <si>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</si>
  <si>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</si>
  <si>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</si>
  <si>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</si>
  <si>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</si>
  <si>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</si>
  <si>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</si>
  <si>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</si>
  <si>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</si>
  <si>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</si>
  <si>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</si>
  <si>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</si>
  <si>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</si>
  <si>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</si>
  <si>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</si>
  <si>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CALI</t>
  </si>
  <si>
    <t>8 DIAS</t>
  </si>
  <si>
    <t>ITEM</t>
  </si>
  <si>
    <t>ACCESORIO</t>
  </si>
  <si>
    <t>CONTACTOS   310 8306118       319 7174165        321 7834969</t>
  </si>
  <si>
    <t>ENTREGA INMEDIATA</t>
  </si>
  <si>
    <t xml:space="preserve">DIMARQUIM S.A.S. </t>
  </si>
  <si>
    <t>900 006132</t>
  </si>
  <si>
    <t>CRA 15  No. 29-25</t>
  </si>
  <si>
    <t>contacto@dimarquim.com</t>
  </si>
  <si>
    <t>602 4425002</t>
  </si>
  <si>
    <t>EDINSON CABEZAS</t>
  </si>
  <si>
    <t>ADAPTADOR PARA TANQUE PVC 1 "</t>
  </si>
  <si>
    <t>VALVULA DE BOLA PVC TIPO UNIVERSAL 1 " SOLDA</t>
  </si>
  <si>
    <t>REDUCCION BUJE PVC  1 "  X  3/4 " SOLDAR</t>
  </si>
  <si>
    <t xml:space="preserve">              R E M I S I O N</t>
  </si>
  <si>
    <t xml:space="preserve">CIENTO CUARENTA Y NUEVE MIL NOVECIENTOS </t>
  </si>
  <si>
    <t>CUARENTA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</si>
</sst>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42" fontId="1" fillId="0" borderId="20" xfId="1" applyFont="1" applyBorder="1" applyAlignment="1">
      <alignment horizontal="left"/>
    </xf>
    <xf numFmtId="0" fontId="8" fillId="0" borderId="20" xfId="0" applyFont="1" applyBorder="1"/>
    <xf numFmtId="0" fontId="11" fillId="0" borderId="2" xfId="0" applyFont="1" applyBorder="1"/>
    <xf numFmtId="0" fontId="1" fillId="0" borderId="2" xfId="0" applyFont="1" applyBorder="1" applyAlignment="1">
      <alignment horizontal="center"/>
    </xf>
    <xf numFmtId="0" fontId="8" fillId="0" borderId="26" xfId="0" applyFont="1" applyBorder="1"/>
    <xf numFmtId="0" fontId="8" fillId="0" borderId="2" xfId="0" applyFont="1" applyBorder="1"/>
    <xf numFmtId="0" fontId="8" fillId="0" borderId="25" xfId="0" applyFont="1" applyBorder="1"/>
    <xf numFmtId="42" fontId="11" fillId="0" borderId="2" xfId="1" applyFont="1" applyBorder="1"/>
    <xf numFmtId="42" fontId="1" fillId="0" borderId="25" xfId="1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o@dimarqui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topLeftCell="A13" zoomScaleNormal="100" workbookViewId="0">
      <selection activeCell="C37" sqref="C3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36</v>
      </c>
      <c r="E4" s="19"/>
      <c r="F4" s="20"/>
      <c r="G4" s="6"/>
      <c r="H4" s="7"/>
    </row>
    <row r="5" spans="1:8" ht="19.5" thickBot="1" x14ac:dyDescent="0.35">
      <c r="A5" s="69" t="s">
        <v>42</v>
      </c>
      <c r="B5" s="6"/>
      <c r="C5" s="6"/>
      <c r="D5" s="6"/>
      <c r="E5" s="6"/>
    </row>
    <row r="6" spans="1:8" ht="24.75" customHeight="1" thickBot="1" x14ac:dyDescent="0.45">
      <c r="F6" s="11" t="s">
        <v>53</v>
      </c>
      <c r="G6" s="19"/>
      <c r="H6" s="20"/>
    </row>
    <row r="7" spans="1:8" ht="19.5" thickBot="1" x14ac:dyDescent="0.35">
      <c r="A7" s="21" t="s">
        <v>15</v>
      </c>
      <c r="B7" s="13"/>
      <c r="C7" s="32" t="s">
        <v>44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45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46</v>
      </c>
      <c r="D9" s="25"/>
      <c r="E9" s="26" t="s">
        <v>38</v>
      </c>
      <c r="F9" s="33" t="s">
        <v>0</v>
      </c>
      <c r="H9" s="34">
        <v>45512</v>
      </c>
    </row>
    <row r="10" spans="1:8" ht="18.75" x14ac:dyDescent="0.3">
      <c r="A10" s="22" t="s">
        <v>14</v>
      </c>
      <c r="C10" s="57" t="s">
        <v>47</v>
      </c>
      <c r="D10" s="27"/>
      <c r="E10" s="27"/>
      <c r="F10" s="33" t="s">
        <v>16</v>
      </c>
      <c r="H10" s="35" t="s">
        <v>39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45520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49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40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50</v>
      </c>
      <c r="C16" s="42"/>
      <c r="D16" s="63"/>
      <c r="E16" s="62" t="s">
        <v>41</v>
      </c>
      <c r="F16" s="66">
        <v>14500</v>
      </c>
      <c r="G16" s="62">
        <v>2</v>
      </c>
      <c r="H16" s="64">
        <f>G16*F16</f>
        <v>29000</v>
      </c>
    </row>
    <row r="17" spans="1:10" ht="15.75" thickBot="1" x14ac:dyDescent="0.3">
      <c r="A17" s="68"/>
      <c r="B17" s="4"/>
      <c r="C17" s="4"/>
      <c r="D17" s="68"/>
      <c r="E17" s="4"/>
      <c r="F17" s="72"/>
      <c r="G17" s="73"/>
      <c r="H17" s="55"/>
      <c r="I17" s="39"/>
      <c r="J17" s="39"/>
    </row>
    <row r="18" spans="1:10" ht="15.75" x14ac:dyDescent="0.25">
      <c r="A18" s="62">
        <v>2</v>
      </c>
      <c r="B18" s="41" t="s">
        <v>51</v>
      </c>
      <c r="C18" s="42"/>
      <c r="D18" s="71"/>
      <c r="E18" s="62" t="s">
        <v>41</v>
      </c>
      <c r="F18" s="66">
        <v>45500</v>
      </c>
      <c r="G18" s="62">
        <v>2</v>
      </c>
      <c r="H18" s="64">
        <f>G18*F18</f>
        <v>91000</v>
      </c>
    </row>
    <row r="19" spans="1:10" ht="16.5" thickBot="1" x14ac:dyDescent="0.3">
      <c r="A19" s="73"/>
      <c r="B19" s="74"/>
      <c r="C19" s="75"/>
      <c r="D19" s="76"/>
      <c r="E19" s="73"/>
      <c r="F19" s="77"/>
      <c r="G19" s="73"/>
      <c r="H19" s="78"/>
      <c r="I19" s="39"/>
      <c r="J19" s="39"/>
    </row>
    <row r="20" spans="1:10" ht="15.75" x14ac:dyDescent="0.25">
      <c r="A20" s="62">
        <v>3</v>
      </c>
      <c r="B20" s="41" t="s">
        <v>52</v>
      </c>
      <c r="C20" s="42"/>
      <c r="D20" s="71"/>
      <c r="E20" s="62" t="s">
        <v>41</v>
      </c>
      <c r="F20" s="66">
        <v>3000</v>
      </c>
      <c r="G20" s="62">
        <v>2</v>
      </c>
      <c r="H20" s="70">
        <f>G20*F20</f>
        <v>6000</v>
      </c>
    </row>
    <row r="21" spans="1:10" ht="16.5" thickBot="1" x14ac:dyDescent="0.3">
      <c r="A21" s="73"/>
      <c r="B21" s="74"/>
      <c r="C21" s="75"/>
      <c r="D21" s="75"/>
      <c r="E21" s="79"/>
      <c r="F21" s="77"/>
      <c r="G21" s="73"/>
      <c r="H21" s="68"/>
      <c r="I21" s="39"/>
      <c r="J21" s="39"/>
    </row>
    <row r="22" spans="1:10" ht="15.75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40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G24" s="62"/>
      <c r="H24" s="55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3"/>
      <c r="C26" s="44"/>
      <c r="D26" s="44"/>
      <c r="E26" s="24"/>
      <c r="F26" s="67"/>
      <c r="G26" s="44"/>
      <c r="H26" s="45"/>
    </row>
    <row r="27" spans="1:10" ht="19.5" customHeight="1" thickBot="1" x14ac:dyDescent="0.3">
      <c r="G27" s="4"/>
      <c r="H27" s="68"/>
    </row>
    <row r="28" spans="1:10" ht="19.5" customHeight="1" thickBot="1" x14ac:dyDescent="0.35">
      <c r="A28" s="81" t="s">
        <v>25</v>
      </c>
      <c r="B28" s="12" t="s">
        <v>54</v>
      </c>
      <c r="C28" s="13"/>
      <c r="D28" s="14"/>
      <c r="E28" s="13"/>
      <c r="F28" s="47" t="s">
        <v>31</v>
      </c>
      <c r="G28" s="44"/>
      <c r="H28" s="7"/>
    </row>
    <row r="29" spans="1:10" ht="19.5" customHeight="1" thickBot="1" x14ac:dyDescent="0.3">
      <c r="A29" s="82"/>
      <c r="B29" s="17" t="s">
        <v>55</v>
      </c>
      <c r="C29" s="4"/>
      <c r="D29" s="4"/>
      <c r="E29" s="48" t="s">
        <v>26</v>
      </c>
      <c r="F29" s="49"/>
      <c r="H29" s="58">
        <f>SUM(H16:H21)</f>
        <v>126000</v>
      </c>
    </row>
    <row r="30" spans="1:10" ht="19.5" customHeight="1" x14ac:dyDescent="0.25">
      <c r="A30" s="28" t="s">
        <v>27</v>
      </c>
      <c r="B30" s="13"/>
      <c r="C30" s="13"/>
      <c r="D30" s="14"/>
      <c r="E30" s="3" t="s">
        <v>34</v>
      </c>
      <c r="F30" s="80"/>
      <c r="G30" s="51">
        <v>0.19</v>
      </c>
      <c r="H30" s="59">
        <f>H29*G30</f>
        <v>23940</v>
      </c>
    </row>
    <row r="31" spans="1:10" ht="15.75" x14ac:dyDescent="0.25">
      <c r="A31" s="15" t="s">
        <v>35</v>
      </c>
      <c r="D31" s="16"/>
      <c r="E31" s="49" t="s">
        <v>28</v>
      </c>
      <c r="G31" s="27"/>
      <c r="H31" s="52"/>
    </row>
    <row r="32" spans="1:10" ht="15.75" x14ac:dyDescent="0.25">
      <c r="A32" s="15" t="s">
        <v>43</v>
      </c>
      <c r="D32" s="16"/>
      <c r="F32" s="49"/>
      <c r="G32" s="27"/>
      <c r="H32" s="53"/>
    </row>
    <row r="33" spans="1:8" ht="19.5" thickBot="1" x14ac:dyDescent="0.35">
      <c r="A33" s="15" t="s">
        <v>37</v>
      </c>
      <c r="D33" s="16"/>
      <c r="E33" s="49" t="s">
        <v>29</v>
      </c>
      <c r="F33" s="49"/>
      <c r="G33" s="50" t="s">
        <v>30</v>
      </c>
      <c r="H33" s="54"/>
    </row>
    <row r="34" spans="1:8" ht="16.5" customHeight="1" thickBot="1" x14ac:dyDescent="0.3">
      <c r="A34" s="17"/>
      <c r="B34" s="4"/>
      <c r="C34" s="4"/>
      <c r="D34" s="18"/>
      <c r="F34" s="3"/>
      <c r="H34" s="60">
        <f>H29+H30</f>
        <v>149940</v>
      </c>
    </row>
    <row r="36" spans="1:8" x14ac:dyDescent="0.25">
      <c r="A36" t="s">
        <v>1</v>
      </c>
    </row>
    <row r="38" spans="1:8" ht="15.75" thickBot="1" x14ac:dyDescent="0.3"/>
    <row r="39" spans="1:8" ht="19.5" thickBot="1" x14ac:dyDescent="0.35">
      <c r="A39" s="29" t="s">
        <v>32</v>
      </c>
      <c r="B39" s="6"/>
      <c r="C39" s="6"/>
      <c r="D39" s="6"/>
      <c r="E39" s="6"/>
      <c r="F39" s="6"/>
      <c r="G39" s="6"/>
      <c r="H39" s="7"/>
    </row>
    <row r="48" spans="1:8" ht="18.75" x14ac:dyDescent="0.3">
      <c r="A48" s="5"/>
    </row>
  </sheetData>
  <mergeCells count="1">
    <mergeCell ref="A28:A29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DIMARQUIN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2024-06-21T20:20:25Z</cp:lastPrinted>
  <dcterms:created xsi:type="dcterms:W3CDTF">2018-11-15T17:29:02Z</dcterms:created>
  <dcterms:modified xsi:type="dcterms:W3CDTF">2024-08-09T20:16:02Z</dcterms:modified>
</cp:coreProperties>
</file>