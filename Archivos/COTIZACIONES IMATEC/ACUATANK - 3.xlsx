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C279D26-07BF-4537-9F4B-7911A23072B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CUATANK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4" i="1"/>
  <c r="H23" i="1"/>
  <c r="H22" i="1"/>
  <c r="H21" i="1"/>
  <c r="H20" i="1"/>
  <c r="H19" i="1"/>
  <c r="H18" i="1"/>
  <c r="H17" i="1"/>
  <c r="H16" i="1"/>
  <c r="H28" i="1" l="1"/>
  <c r="H32" i="1" s="1"/>
</calcChain>
</file>

<file path=xl/sharedStrings.xml><?xml version="1.0" encoding="utf-8"?>
<sst xmlns="http://schemas.openxmlformats.org/spreadsheetml/2006/main" count="69" uniqueCount="65">
  <si>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</si>
  <si>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</si>
  <si>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</si>
  <si>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</si>
  <si>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</si>
  <si>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</si>
  <si>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</si>
  <si>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</si>
  <si>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</si>
  <si>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</si>
  <si>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</si>
  <si>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</si>
  <si>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</si>
  <si>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</si>
  <si>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</si>
  <si>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</si>
  <si>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</si>
  <si>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</si>
  <si>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</si>
  <si>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</si>
  <si>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</si>
  <si>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</si>
  <si>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</si>
  <si>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</si>
  <si>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</si>
  <si>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</si>
  <si>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</si>
  <si>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</si>
  <si>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</si>
  <si>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</si>
  <si>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</si>
  <si>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</si>
  <si>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</si>
  <si>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</si>
  <si>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</si>
  <si>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</si>
  <si>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</si>
  <si>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</si>
  <si>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</si>
  <si>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</si>
  <si>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ACUATANK </t>
  </si>
  <si>
    <t>900 639330</t>
  </si>
  <si>
    <t>CARRERA 37 No. 12A-22</t>
  </si>
  <si>
    <t>CALI</t>
  </si>
  <si>
    <t>info@acuatank.com</t>
  </si>
  <si>
    <t>313 7502559</t>
  </si>
  <si>
    <t>ACCESORIO</t>
  </si>
  <si>
    <t xml:space="preserve">           C O T I Z A C I O N</t>
  </si>
  <si>
    <t>L I Q U I D A C I O N</t>
  </si>
  <si>
    <t>LUIS A. BENAVIDES</t>
  </si>
  <si>
    <t>UNIVERSAL PVC SCH 40  3 "</t>
  </si>
  <si>
    <t>CODO PVC  SCH 40  3 "  X  90 º</t>
  </si>
  <si>
    <t>ADAPTADOR PVC MACHO SCH  40  3 "</t>
  </si>
  <si>
    <t>TUBERIA PVC PRESION SCH 40  3 "</t>
  </si>
  <si>
    <t>METRO LINEAL</t>
  </si>
  <si>
    <t xml:space="preserve">SOLDADURA  PVC  </t>
  </si>
  <si>
    <t>1/4 GALON</t>
  </si>
  <si>
    <t>LIMPIADOR PVC</t>
  </si>
  <si>
    <t>SELLANTE SHELLAC  2 0Z</t>
  </si>
  <si>
    <t>FRASCO</t>
  </si>
  <si>
    <t>TEFLON INDUSTRIAL  3/4 " X  15  MTS</t>
  </si>
  <si>
    <t>ROLLO</t>
  </si>
  <si>
    <t>VALVULA DE BOLA PVC  ROSCAR  3 "</t>
  </si>
  <si>
    <t xml:space="preserve">QUINIENTOS CUARENTA Y NUEVE MIL SETECIENTOS </t>
  </si>
  <si>
    <t>OCHENTA PESOS MDA 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</si>
</sst>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2" xfId="0" applyBorder="1"/>
    <xf numFmtId="0" fontId="13" fillId="0" borderId="32" xfId="2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6" xfId="0" applyBorder="1"/>
    <xf numFmtId="0" fontId="1" fillId="0" borderId="14" xfId="0" applyFont="1" applyBorder="1" applyAlignment="1">
      <alignment horizontal="center"/>
    </xf>
    <xf numFmtId="0" fontId="8" fillId="0" borderId="32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16" zoomScaleNormal="100" workbookViewId="0">
      <selection activeCell="E34" sqref="E3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7" t="s">
        <v>41</v>
      </c>
      <c r="D8" s="66"/>
      <c r="E8" s="66"/>
      <c r="H8" s="15"/>
    </row>
    <row r="9" spans="1:8" ht="18.75" customHeight="1" x14ac:dyDescent="0.3">
      <c r="A9" s="21" t="s">
        <v>9</v>
      </c>
      <c r="C9" s="23" t="s">
        <v>42</v>
      </c>
      <c r="D9" s="23"/>
      <c r="E9" s="67" t="s">
        <v>43</v>
      </c>
      <c r="F9" s="30" t="s">
        <v>0</v>
      </c>
      <c r="H9" s="28">
        <v>45693</v>
      </c>
    </row>
    <row r="10" spans="1:8" ht="18.75" x14ac:dyDescent="0.3">
      <c r="A10" s="21" t="s">
        <v>13</v>
      </c>
      <c r="C10" s="68" t="s">
        <v>44</v>
      </c>
      <c r="D10" s="66"/>
      <c r="E10" s="66"/>
      <c r="F10" s="30" t="s">
        <v>15</v>
      </c>
      <c r="H10" s="29" t="s">
        <v>31</v>
      </c>
    </row>
    <row r="11" spans="1:8" ht="18.75" x14ac:dyDescent="0.3">
      <c r="A11" s="21" t="s">
        <v>10</v>
      </c>
      <c r="C11" s="67"/>
      <c r="D11" s="66"/>
      <c r="E11" s="66"/>
      <c r="F11" s="30" t="s">
        <v>16</v>
      </c>
      <c r="G11" s="30"/>
      <c r="H11" s="28">
        <v>45702</v>
      </c>
    </row>
    <row r="12" spans="1:8" ht="18.75" x14ac:dyDescent="0.3">
      <c r="A12" s="21" t="s">
        <v>11</v>
      </c>
      <c r="C12" s="67" t="s">
        <v>45</v>
      </c>
      <c r="D12" s="66"/>
      <c r="E12" s="6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49</v>
      </c>
      <c r="D13" s="66"/>
      <c r="E13" s="6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36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50</v>
      </c>
      <c r="C16" s="50"/>
      <c r="D16" s="51"/>
      <c r="E16" s="48" t="s">
        <v>46</v>
      </c>
      <c r="F16" s="52">
        <v>60000</v>
      </c>
      <c r="G16" s="48">
        <v>1</v>
      </c>
      <c r="H16" s="38">
        <f t="shared" ref="H16" si="0">G16*F16</f>
        <v>60000</v>
      </c>
    </row>
    <row r="17" spans="1:8" ht="16.5" thickBot="1" x14ac:dyDescent="0.3">
      <c r="A17" s="48">
        <v>2</v>
      </c>
      <c r="B17" s="49" t="s">
        <v>51</v>
      </c>
      <c r="C17" s="50"/>
      <c r="D17" s="51"/>
      <c r="E17" s="48" t="s">
        <v>46</v>
      </c>
      <c r="F17" s="52">
        <v>39000</v>
      </c>
      <c r="G17" s="48">
        <v>2</v>
      </c>
      <c r="H17" s="38">
        <f t="shared" ref="H17:H24" si="1">G17*F17</f>
        <v>78000</v>
      </c>
    </row>
    <row r="18" spans="1:8" ht="16.5" thickBot="1" x14ac:dyDescent="0.3">
      <c r="A18" s="48">
        <v>3</v>
      </c>
      <c r="B18" s="49" t="s">
        <v>52</v>
      </c>
      <c r="C18" s="50"/>
      <c r="D18" s="51"/>
      <c r="E18" s="48" t="s">
        <v>46</v>
      </c>
      <c r="F18" s="52">
        <v>21000</v>
      </c>
      <c r="G18" s="48">
        <v>2</v>
      </c>
      <c r="H18" s="38">
        <f t="shared" si="1"/>
        <v>42000</v>
      </c>
    </row>
    <row r="19" spans="1:8" ht="16.5" thickBot="1" x14ac:dyDescent="0.3">
      <c r="A19" s="48">
        <v>4</v>
      </c>
      <c r="B19" s="49" t="s">
        <v>53</v>
      </c>
      <c r="C19" s="50"/>
      <c r="D19" s="51"/>
      <c r="E19" s="48" t="s">
        <v>54</v>
      </c>
      <c r="F19" s="52">
        <v>44000</v>
      </c>
      <c r="G19" s="48">
        <v>1</v>
      </c>
      <c r="H19" s="38">
        <f t="shared" si="1"/>
        <v>44000</v>
      </c>
    </row>
    <row r="20" spans="1:8" ht="16.5" thickBot="1" x14ac:dyDescent="0.3">
      <c r="A20" s="48">
        <v>5</v>
      </c>
      <c r="B20" s="49" t="s">
        <v>55</v>
      </c>
      <c r="C20" s="50"/>
      <c r="D20" s="51"/>
      <c r="E20" s="48" t="s">
        <v>56</v>
      </c>
      <c r="F20" s="52">
        <v>83000</v>
      </c>
      <c r="G20" s="48">
        <v>1</v>
      </c>
      <c r="H20" s="38">
        <f t="shared" si="1"/>
        <v>83000</v>
      </c>
    </row>
    <row r="21" spans="1:8" ht="16.5" thickBot="1" x14ac:dyDescent="0.3">
      <c r="A21" s="48">
        <v>6</v>
      </c>
      <c r="B21" s="49" t="s">
        <v>57</v>
      </c>
      <c r="C21" s="50"/>
      <c r="D21" s="51"/>
      <c r="E21" s="48" t="s">
        <v>56</v>
      </c>
      <c r="F21" s="52">
        <v>45000</v>
      </c>
      <c r="G21" s="48">
        <v>1</v>
      </c>
      <c r="H21" s="38">
        <f t="shared" si="1"/>
        <v>45000</v>
      </c>
    </row>
    <row r="22" spans="1:8" ht="16.5" thickBot="1" x14ac:dyDescent="0.3">
      <c r="A22" s="48">
        <v>7</v>
      </c>
      <c r="B22" s="49" t="s">
        <v>58</v>
      </c>
      <c r="C22" s="50"/>
      <c r="D22" s="51"/>
      <c r="E22" s="48" t="s">
        <v>59</v>
      </c>
      <c r="F22" s="52">
        <v>16000</v>
      </c>
      <c r="G22" s="48">
        <v>1</v>
      </c>
      <c r="H22" s="38">
        <f t="shared" si="1"/>
        <v>16000</v>
      </c>
    </row>
    <row r="23" spans="1:8" ht="16.5" thickBot="1" x14ac:dyDescent="0.3">
      <c r="A23" s="48">
        <v>8</v>
      </c>
      <c r="B23" s="49" t="s">
        <v>60</v>
      </c>
      <c r="C23" s="50"/>
      <c r="D23" s="51"/>
      <c r="E23" s="48" t="s">
        <v>61</v>
      </c>
      <c r="F23" s="52">
        <v>4500</v>
      </c>
      <c r="G23" s="48">
        <v>2</v>
      </c>
      <c r="H23" s="38">
        <f t="shared" si="1"/>
        <v>9000</v>
      </c>
    </row>
    <row r="24" spans="1:8" ht="16.5" thickBot="1" x14ac:dyDescent="0.3">
      <c r="A24" s="74">
        <v>9</v>
      </c>
      <c r="B24" s="75" t="s">
        <v>62</v>
      </c>
      <c r="C24" s="76"/>
      <c r="D24" s="77"/>
      <c r="E24" s="74" t="s">
        <v>46</v>
      </c>
      <c r="F24" s="78">
        <v>85000</v>
      </c>
      <c r="G24" s="74">
        <v>1</v>
      </c>
      <c r="H24" s="38">
        <f t="shared" si="1"/>
        <v>85000</v>
      </c>
    </row>
    <row r="25" spans="1:8" ht="19.5" customHeight="1" thickBot="1" x14ac:dyDescent="0.3">
      <c r="A25" s="53"/>
      <c r="B25" s="70"/>
      <c r="C25" s="71"/>
      <c r="D25" s="72"/>
      <c r="E25" s="53"/>
      <c r="F25" s="53"/>
      <c r="G25" s="53"/>
    </row>
    <row r="26" spans="1:8" ht="19.5" customHeight="1" thickBot="1" x14ac:dyDescent="0.35">
      <c r="A26" s="69" t="s">
        <v>23</v>
      </c>
      <c r="B26" s="73" t="s">
        <v>63</v>
      </c>
      <c r="C26" s="12"/>
      <c r="D26" s="13"/>
      <c r="E26" s="54"/>
      <c r="F26" s="37" t="s">
        <v>48</v>
      </c>
      <c r="G26" s="6"/>
      <c r="H26" s="7"/>
    </row>
    <row r="27" spans="1:8" ht="19.5" customHeight="1" thickBot="1" x14ac:dyDescent="0.3">
      <c r="A27" s="39"/>
      <c r="B27" s="16" t="s">
        <v>64</v>
      </c>
      <c r="C27" s="4"/>
      <c r="D27" s="17"/>
      <c r="E27" s="57" t="s">
        <v>24</v>
      </c>
      <c r="F27" s="58"/>
      <c r="G27" s="44"/>
      <c r="H27" s="55">
        <f>SUM(H16:H24)</f>
        <v>462000</v>
      </c>
    </row>
    <row r="28" spans="1:8" ht="19.5" customHeight="1" x14ac:dyDescent="0.25">
      <c r="A28" s="24" t="s">
        <v>25</v>
      </c>
      <c r="B28" s="12"/>
      <c r="C28" s="12"/>
      <c r="D28" s="12"/>
      <c r="E28" s="59" t="s">
        <v>29</v>
      </c>
      <c r="F28" s="23"/>
      <c r="G28" s="60">
        <v>0.19</v>
      </c>
      <c r="H28" s="40">
        <f>H27*G28</f>
        <v>87780</v>
      </c>
    </row>
    <row r="29" spans="1:8" ht="19.5" customHeight="1" x14ac:dyDescent="0.25">
      <c r="A29" s="14" t="s">
        <v>30</v>
      </c>
      <c r="E29" s="61" t="s">
        <v>26</v>
      </c>
      <c r="G29" s="64">
        <v>2.5000000000000001E-2</v>
      </c>
      <c r="H29" s="56"/>
    </row>
    <row r="30" spans="1:8" ht="15.75" x14ac:dyDescent="0.25">
      <c r="A30" s="14" t="s">
        <v>37</v>
      </c>
      <c r="E30" s="14"/>
      <c r="F30" s="33"/>
      <c r="G30" s="45"/>
      <c r="H30" s="15"/>
    </row>
    <row r="31" spans="1:8" ht="16.5" thickBot="1" x14ac:dyDescent="0.3">
      <c r="A31" s="14" t="s">
        <v>33</v>
      </c>
      <c r="E31" s="62" t="s">
        <v>27</v>
      </c>
      <c r="F31" s="63"/>
      <c r="G31" s="46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</f>
        <v>549780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34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7AD1AAA6-738A-47C2-B43A-1E02FDED811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2025-02-05T15:59:29Z</dcterms:modified>
</cp:coreProperties>
</file>