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657B3F9F-4A4B-4E8D-8616-E12F643A1C3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INTERCO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0" i="1" l="1"/>
  <c r="H27" i="1"/>
  <c r="H25" i="1"/>
  <c r="H22" i="1"/>
  <c r="H21" i="1"/>
  <c r="H20" i="1"/>
  <c r="H19" i="1"/>
  <c r="H18" i="1"/>
  <c r="H17" i="1"/>
  <c r="H16" i="1"/>
  <c r="H26" i="1" l="1"/>
</calcChain>
</file>

<file path=xl/sharedStrings.xml><?xml version="1.0" encoding="utf-8"?>
<sst xmlns="http://schemas.openxmlformats.org/spreadsheetml/2006/main" count="65" uniqueCount="59">
  <si>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</si>
  <si>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</si>
  <si>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</si>
  <si>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</si>
  <si>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</si>
  <si>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</si>
  <si>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</si>
  <si>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</si>
  <si>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</si>
  <si>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</si>
  <si>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</si>
  <si>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</si>
  <si>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</si>
  <si>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</si>
  <si>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</si>
  <si>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</si>
  <si>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</si>
  <si>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</si>
  <si>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</si>
  <si>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</si>
  <si>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</si>
  <si>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</si>
  <si>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</si>
  <si>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</si>
  <si>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</si>
  <si>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</si>
  <si>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</si>
  <si>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</si>
  <si>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</si>
  <si>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</si>
  <si>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</si>
  <si>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</si>
  <si>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</si>
  <si>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</si>
  <si>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</si>
  <si>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</si>
  <si>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</si>
  <si>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</si>
  <si>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</si>
  <si>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</si>
  <si>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</si>
  <si>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</si>
  <si>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901 156767</t>
  </si>
  <si>
    <t>CRA 29 B  No. 11A-50</t>
  </si>
  <si>
    <t>YUMBO</t>
  </si>
  <si>
    <t>notificacionesEPC@intercol.com.co</t>
  </si>
  <si>
    <t>318 3308705</t>
  </si>
  <si>
    <t>LUIS A. BENAVIDES</t>
  </si>
  <si>
    <t>No.  3</t>
  </si>
  <si>
    <t>VALVULA AGUJA AC/INOX 304  1/4 "  X  10000 LBS</t>
  </si>
  <si>
    <t>VALVULA DE BOLA  AC/INOX 304 3/4 " X 1000 LBS</t>
  </si>
  <si>
    <t>TAPON CAP  AC/INOX 304 SCH 40 3 "</t>
  </si>
  <si>
    <t>TAPON CAP  AC/INOX 304 SCH 40 2 "</t>
  </si>
  <si>
    <t xml:space="preserve">BRIDA  A / C  WELD NECK 4 " </t>
  </si>
  <si>
    <t>CODO  A / C  SCH 40  4 "</t>
  </si>
  <si>
    <t>VALVULA DE BOLA  A / C BRIDADA 4 "  X  150  LBS</t>
  </si>
  <si>
    <t>CINCO MILLONES SEIS MIL CINCO PESOS MDA / CTE</t>
  </si>
  <si>
    <t>ENTREGA EN TRES DIAS A PARTIR DE ORDEN DE COMPRA</t>
  </si>
  <si>
    <t>INTERCOL  S.A.S.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</si>
</sst>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32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33" xfId="0" applyFont="1" applyBorder="1" applyAlignment="1">
      <alignment horizontal="center"/>
    </xf>
    <xf numFmtId="0" fontId="8" fillId="0" borderId="34" xfId="0" applyFont="1" applyBorder="1"/>
    <xf numFmtId="0" fontId="8" fillId="0" borderId="35" xfId="0" applyFont="1" applyBorder="1"/>
    <xf numFmtId="0" fontId="8" fillId="0" borderId="36" xfId="0" applyFont="1" applyBorder="1"/>
    <xf numFmtId="42" fontId="11" fillId="0" borderId="33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otificacionesEPC@intercol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5"/>
  <sheetViews>
    <sheetView tabSelected="1" topLeftCell="A2" zoomScaleNormal="100" workbookViewId="0">
      <selection activeCell="M13" sqref="M1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2"/>
      <c r="H6" s="43"/>
    </row>
    <row r="7" spans="1:8" ht="19.5" thickBot="1" x14ac:dyDescent="0.35">
      <c r="A7" s="20" t="s">
        <v>14</v>
      </c>
      <c r="B7" s="12"/>
      <c r="C7" s="59" t="s">
        <v>58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70" t="s">
        <v>42</v>
      </c>
      <c r="D8" s="71"/>
      <c r="E8" s="44"/>
      <c r="H8" s="15"/>
    </row>
    <row r="9" spans="1:8" ht="18.75" customHeight="1" x14ac:dyDescent="0.3">
      <c r="A9" s="21" t="s">
        <v>9</v>
      </c>
      <c r="C9" s="72" t="s">
        <v>43</v>
      </c>
      <c r="D9" s="23"/>
      <c r="E9" s="73" t="s">
        <v>44</v>
      </c>
      <c r="F9" s="30" t="s">
        <v>0</v>
      </c>
      <c r="H9" s="28">
        <v>45847</v>
      </c>
    </row>
    <row r="10" spans="1:8" ht="18.75" x14ac:dyDescent="0.3">
      <c r="A10" s="21" t="s">
        <v>13</v>
      </c>
      <c r="C10" s="74" t="s">
        <v>45</v>
      </c>
      <c r="D10" s="69"/>
      <c r="E10" s="45"/>
      <c r="F10" s="30" t="s">
        <v>15</v>
      </c>
      <c r="H10" s="29" t="s">
        <v>31</v>
      </c>
    </row>
    <row r="11" spans="1:8" ht="18.75" x14ac:dyDescent="0.3">
      <c r="A11" s="21" t="s">
        <v>10</v>
      </c>
      <c r="C11" s="75"/>
      <c r="D11" s="69"/>
      <c r="E11" s="45"/>
      <c r="F11" s="30" t="s">
        <v>16</v>
      </c>
      <c r="G11" s="30"/>
      <c r="H11" s="28">
        <v>45856</v>
      </c>
    </row>
    <row r="12" spans="1:8" ht="18.75" x14ac:dyDescent="0.3">
      <c r="A12" s="21" t="s">
        <v>11</v>
      </c>
      <c r="C12" s="75" t="s">
        <v>46</v>
      </c>
      <c r="D12" s="69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6" t="s">
        <v>47</v>
      </c>
      <c r="D13" s="77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35</v>
      </c>
      <c r="B15" s="83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8">
        <v>1</v>
      </c>
      <c r="B16" s="79" t="s">
        <v>49</v>
      </c>
      <c r="C16" s="80"/>
      <c r="D16" s="81"/>
      <c r="E16" s="78" t="s">
        <v>39</v>
      </c>
      <c r="F16" s="82">
        <v>179000</v>
      </c>
      <c r="G16" s="78">
        <v>7</v>
      </c>
      <c r="H16" s="38">
        <f t="shared" ref="H16" si="0">G16*F16</f>
        <v>1253000</v>
      </c>
    </row>
    <row r="17" spans="1:8" ht="16.5" thickBot="1" x14ac:dyDescent="0.3">
      <c r="A17" s="60">
        <v>2</v>
      </c>
      <c r="B17" s="61" t="s">
        <v>50</v>
      </c>
      <c r="C17" s="62"/>
      <c r="D17" s="63"/>
      <c r="E17" s="60" t="s">
        <v>39</v>
      </c>
      <c r="F17" s="64">
        <v>38000</v>
      </c>
      <c r="G17" s="60">
        <v>6</v>
      </c>
      <c r="H17" s="38">
        <f t="shared" ref="H17:H22" si="1">G17*F17</f>
        <v>228000</v>
      </c>
    </row>
    <row r="18" spans="1:8" ht="16.5" thickBot="1" x14ac:dyDescent="0.3">
      <c r="A18" s="60">
        <v>3</v>
      </c>
      <c r="B18" s="61" t="s">
        <v>51</v>
      </c>
      <c r="C18" s="62"/>
      <c r="D18" s="63"/>
      <c r="E18" s="60" t="s">
        <v>39</v>
      </c>
      <c r="F18" s="64">
        <v>40000</v>
      </c>
      <c r="G18" s="60">
        <v>8</v>
      </c>
      <c r="H18" s="38">
        <f t="shared" si="1"/>
        <v>320000</v>
      </c>
    </row>
    <row r="19" spans="1:8" ht="16.5" thickBot="1" x14ac:dyDescent="0.3">
      <c r="A19" s="60">
        <v>4</v>
      </c>
      <c r="B19" s="61" t="s">
        <v>52</v>
      </c>
      <c r="C19" s="62"/>
      <c r="D19" s="63"/>
      <c r="E19" s="60" t="s">
        <v>39</v>
      </c>
      <c r="F19" s="64">
        <v>21000</v>
      </c>
      <c r="G19" s="60">
        <v>2</v>
      </c>
      <c r="H19" s="38">
        <f t="shared" si="1"/>
        <v>42000</v>
      </c>
    </row>
    <row r="20" spans="1:8" ht="16.5" thickBot="1" x14ac:dyDescent="0.3">
      <c r="A20" s="60">
        <v>5</v>
      </c>
      <c r="B20" s="61" t="s">
        <v>53</v>
      </c>
      <c r="C20" s="62"/>
      <c r="D20" s="63"/>
      <c r="E20" s="60" t="s">
        <v>39</v>
      </c>
      <c r="F20" s="64">
        <v>78000</v>
      </c>
      <c r="G20" s="60">
        <v>7</v>
      </c>
      <c r="H20" s="38">
        <f t="shared" si="1"/>
        <v>546000</v>
      </c>
    </row>
    <row r="21" spans="1:8" ht="16.5" thickBot="1" x14ac:dyDescent="0.3">
      <c r="A21" s="60">
        <v>6</v>
      </c>
      <c r="B21" s="61" t="s">
        <v>54</v>
      </c>
      <c r="C21" s="62"/>
      <c r="D21" s="63"/>
      <c r="E21" s="60" t="s">
        <v>39</v>
      </c>
      <c r="F21" s="64">
        <v>34000</v>
      </c>
      <c r="G21" s="60">
        <v>2</v>
      </c>
      <c r="H21" s="38">
        <f t="shared" si="1"/>
        <v>68000</v>
      </c>
    </row>
    <row r="22" spans="1:8" ht="16.5" thickBot="1" x14ac:dyDescent="0.3">
      <c r="A22" s="60">
        <v>7</v>
      </c>
      <c r="B22" s="61" t="s">
        <v>55</v>
      </c>
      <c r="C22" s="62"/>
      <c r="D22" s="63"/>
      <c r="E22" s="60" t="s">
        <v>39</v>
      </c>
      <c r="F22" s="64">
        <v>920000</v>
      </c>
      <c r="G22" s="60">
        <v>2</v>
      </c>
      <c r="H22" s="38">
        <f t="shared" si="1"/>
        <v>1840000</v>
      </c>
    </row>
    <row r="23" spans="1:8" ht="19.5" customHeight="1" thickBot="1" x14ac:dyDescent="0.3">
      <c r="A23" s="47"/>
      <c r="B23" s="66"/>
      <c r="D23" s="67"/>
      <c r="E23" s="47"/>
      <c r="F23" s="47"/>
      <c r="G23" s="47"/>
    </row>
    <row r="24" spans="1:8" ht="19.5" customHeight="1" thickBot="1" x14ac:dyDescent="0.35">
      <c r="A24" s="65" t="s">
        <v>23</v>
      </c>
      <c r="B24" s="68" t="s">
        <v>56</v>
      </c>
      <c r="C24" s="12"/>
      <c r="D24" s="13"/>
      <c r="E24" s="48"/>
      <c r="F24" s="37" t="s">
        <v>40</v>
      </c>
      <c r="G24" s="6"/>
      <c r="H24" s="7"/>
    </row>
    <row r="25" spans="1:8" ht="19.5" customHeight="1" thickBot="1" x14ac:dyDescent="0.3">
      <c r="A25" s="39"/>
      <c r="B25" s="16"/>
      <c r="C25" s="4"/>
      <c r="D25" s="17"/>
      <c r="E25" s="51" t="s">
        <v>24</v>
      </c>
      <c r="F25" s="52"/>
      <c r="G25" s="44"/>
      <c r="H25" s="49">
        <f>SUM(H16:H22)</f>
        <v>4297000</v>
      </c>
    </row>
    <row r="26" spans="1:8" ht="19.5" customHeight="1" x14ac:dyDescent="0.25">
      <c r="A26" s="24" t="s">
        <v>25</v>
      </c>
      <c r="B26" s="12"/>
      <c r="C26" s="12"/>
      <c r="D26" s="12"/>
      <c r="E26" s="53" t="s">
        <v>29</v>
      </c>
      <c r="F26" s="23"/>
      <c r="G26" s="54">
        <v>0.19</v>
      </c>
      <c r="H26" s="40">
        <f>H25*G26</f>
        <v>816430</v>
      </c>
    </row>
    <row r="27" spans="1:8" ht="19.5" customHeight="1" x14ac:dyDescent="0.25">
      <c r="A27" s="14" t="s">
        <v>30</v>
      </c>
      <c r="E27" s="55" t="s">
        <v>26</v>
      </c>
      <c r="G27" s="58">
        <v>2.5000000000000001E-2</v>
      </c>
      <c r="H27" s="50">
        <f>H25*G27</f>
        <v>107425</v>
      </c>
    </row>
    <row r="28" spans="1:8" ht="15.75" x14ac:dyDescent="0.25">
      <c r="A28" s="14" t="s">
        <v>57</v>
      </c>
      <c r="E28" s="14"/>
      <c r="F28" s="33"/>
      <c r="G28" s="45"/>
      <c r="H28" s="15"/>
    </row>
    <row r="29" spans="1:8" ht="16.5" thickBot="1" x14ac:dyDescent="0.3">
      <c r="A29" s="14" t="s">
        <v>33</v>
      </c>
      <c r="E29" s="56" t="s">
        <v>27</v>
      </c>
      <c r="F29" s="57"/>
      <c r="G29" s="46"/>
      <c r="H29" s="17"/>
    </row>
    <row r="30" spans="1:8" ht="19.5" thickBot="1" x14ac:dyDescent="0.35">
      <c r="A30" s="16"/>
      <c r="B30" s="4"/>
      <c r="C30" s="4"/>
      <c r="D30" s="17"/>
      <c r="F30" s="3"/>
      <c r="G30" s="34" t="s">
        <v>28</v>
      </c>
      <c r="H30" s="36">
        <f>H25+H26-H27</f>
        <v>5006005</v>
      </c>
    </row>
    <row r="31" spans="1:8" ht="16.5" customHeight="1" x14ac:dyDescent="0.25"/>
    <row r="36" spans="1:8" ht="15.75" thickBot="1" x14ac:dyDescent="0.3"/>
    <row r="37" spans="1:8" ht="19.5" thickBot="1" x14ac:dyDescent="0.35">
      <c r="A37" s="25" t="s">
        <v>41</v>
      </c>
      <c r="B37" s="6"/>
      <c r="C37" s="6"/>
      <c r="D37" s="6"/>
      <c r="E37" s="6"/>
      <c r="F37" s="6"/>
      <c r="G37" s="6"/>
      <c r="H37" s="7"/>
    </row>
    <row r="45" spans="1:8" ht="18.75" x14ac:dyDescent="0.3">
      <c r="A45" s="5"/>
    </row>
  </sheetData>
  <hyperlinks>
    <hyperlink ref="C10" r:id="rId1" xr:uid="{82B41451-DB65-40F2-AC5F-99D96BD181E0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INTERCOL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2025-07-09T21:04:09Z</dcterms:modified>
</cp:coreProperties>
</file>