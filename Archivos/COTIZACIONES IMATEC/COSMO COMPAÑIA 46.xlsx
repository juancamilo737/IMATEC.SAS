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8AD0F85-EE3E-4D39-9B56-B3243880D0D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4" i="2"/>
  <c r="H23" i="2"/>
  <c r="H22" i="2"/>
  <c r="H21" i="2"/>
  <c r="H20" i="2"/>
  <c r="H19" i="2"/>
  <c r="H17" i="2"/>
  <c r="H18" i="2"/>
  <c r="H16" i="2"/>
  <c r="H28" i="2" l="1"/>
  <c r="H30" i="2"/>
  <c r="H29" i="2"/>
  <c r="H33" i="2" s="1"/>
</calcChain>
</file>

<file path=xl/sharedStrings.xml><?xml version="1.0" encoding="utf-8"?>
<sst xmlns="http://schemas.openxmlformats.org/spreadsheetml/2006/main" count="73" uniqueCount="66">
  <si>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</si>
  <si>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</si>
  <si>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</si>
  <si>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</si>
  <si>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</si>
  <si>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</si>
  <si>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</si>
  <si>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</si>
  <si>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</si>
  <si>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</si>
  <si>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</si>
  <si>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</si>
  <si>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</si>
  <si>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</si>
  <si>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</si>
  <si>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</si>
  <si>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</si>
  <si>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</si>
  <si>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</si>
  <si>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</si>
  <si>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</si>
  <si>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</si>
  <si>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</si>
  <si>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</si>
  <si>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</si>
  <si>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</si>
  <si>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</si>
  <si>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</si>
  <si>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</si>
  <si>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</si>
  <si>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</si>
  <si>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</si>
  <si>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</si>
  <si>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</si>
  <si>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</si>
  <si>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</si>
  <si>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</si>
  <si>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</si>
  <si>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</si>
  <si>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</si>
  <si>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</si>
  <si>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</si>
  <si>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</si>
  <si>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</si>
  <si>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</si>
  <si>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>ACCESORIO</t>
  </si>
  <si>
    <t>No.  46</t>
  </si>
  <si>
    <t xml:space="preserve">TUBERIA PVC PRESION 3 " </t>
  </si>
  <si>
    <t>TUBO X 6 MTS</t>
  </si>
  <si>
    <t>CODO PVC PRESION  3 "  X  90 º</t>
  </si>
  <si>
    <t>BRIDA PVC  SCH 40  3 "</t>
  </si>
  <si>
    <t>EMPAQUE EN CAUCHO  3 "</t>
  </si>
  <si>
    <t>CODO PVC  PRESION 3 "  X  45 º</t>
  </si>
  <si>
    <t>VALVULA MARIPOSA PVC  3 "</t>
  </si>
  <si>
    <t>VALVULA DE BOLA PVC 3 "  P/S</t>
  </si>
  <si>
    <t>LIMPIADOR PVC</t>
  </si>
  <si>
    <t>1/4 GALON</t>
  </si>
  <si>
    <t>SOLDADURA PVC</t>
  </si>
  <si>
    <t>ENTREGA EN UN DIA  A PARTIR DE ORDEN DE COMPRA</t>
  </si>
  <si>
    <t>TORNILLO A / C G8  5/8  x  3 "  COMPLETO</t>
  </si>
  <si>
    <t>CINCO MILLONES CIENTO SESENTA Y UN MIL TRESCIEN-</t>
  </si>
  <si>
    <t>TOS OCHENTA PESOS MDA / CTE</t>
  </si>
  <si>
    <t xml:space="preserve">O de C  No. </t>
  </si>
  <si>
    <t>GOODYEAR</t>
  </si>
  <si>
    <t>CTO. DE COSTOS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</si>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</sst>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8"/>
  <sheetViews>
    <sheetView tabSelected="1" topLeftCell="A10" zoomScaleNormal="100" workbookViewId="0">
      <selection activeCell="K21" sqref="K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65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46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45747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40</v>
      </c>
      <c r="E12" s="15"/>
      <c r="F12" s="30" t="s">
        <v>62</v>
      </c>
      <c r="H12" s="31">
        <v>24089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64</v>
      </c>
      <c r="G13" s="4"/>
      <c r="H13" s="72" t="s">
        <v>63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47</v>
      </c>
      <c r="C16" s="70"/>
      <c r="D16" s="45"/>
      <c r="E16" s="71" t="s">
        <v>48</v>
      </c>
      <c r="F16" s="66">
        <v>172505</v>
      </c>
      <c r="G16" s="67">
        <v>14</v>
      </c>
      <c r="H16" s="38">
        <f>F16*G16</f>
        <v>2415070</v>
      </c>
    </row>
    <row r="17" spans="1:8" ht="15.75" thickBot="1" x14ac:dyDescent="0.3">
      <c r="A17" s="68">
        <v>2</v>
      </c>
      <c r="B17" s="69" t="s">
        <v>49</v>
      </c>
      <c r="C17" s="70"/>
      <c r="D17" s="45"/>
      <c r="E17" s="71" t="s">
        <v>45</v>
      </c>
      <c r="F17" s="66">
        <v>32429</v>
      </c>
      <c r="G17" s="67">
        <v>26</v>
      </c>
      <c r="H17" s="38">
        <f t="shared" ref="H17:H24" si="0">F17*G17</f>
        <v>843154</v>
      </c>
    </row>
    <row r="18" spans="1:8" ht="15.75" thickBot="1" x14ac:dyDescent="0.3">
      <c r="A18" s="68">
        <v>3</v>
      </c>
      <c r="B18" s="69" t="s">
        <v>50</v>
      </c>
      <c r="C18" s="70"/>
      <c r="D18" s="45"/>
      <c r="E18" s="71" t="s">
        <v>45</v>
      </c>
      <c r="F18" s="66">
        <v>40154</v>
      </c>
      <c r="G18" s="67">
        <v>4</v>
      </c>
      <c r="H18" s="38">
        <f t="shared" si="0"/>
        <v>160616</v>
      </c>
    </row>
    <row r="19" spans="1:8" ht="15.75" thickBot="1" x14ac:dyDescent="0.3">
      <c r="A19" s="68">
        <v>4</v>
      </c>
      <c r="B19" s="69" t="s">
        <v>51</v>
      </c>
      <c r="C19" s="70"/>
      <c r="D19" s="45"/>
      <c r="E19" s="71" t="s">
        <v>45</v>
      </c>
      <c r="F19" s="66">
        <v>11253</v>
      </c>
      <c r="G19" s="67">
        <v>4</v>
      </c>
      <c r="H19" s="38">
        <f t="shared" si="0"/>
        <v>45012</v>
      </c>
    </row>
    <row r="20" spans="1:8" ht="15.75" thickBot="1" x14ac:dyDescent="0.3">
      <c r="A20" s="68">
        <v>5</v>
      </c>
      <c r="B20" s="69" t="s">
        <v>52</v>
      </c>
      <c r="C20" s="70"/>
      <c r="D20" s="45"/>
      <c r="E20" s="71" t="s">
        <v>45</v>
      </c>
      <c r="F20" s="66">
        <v>30690</v>
      </c>
      <c r="G20" s="67">
        <v>4</v>
      </c>
      <c r="H20" s="38">
        <f t="shared" si="0"/>
        <v>122760</v>
      </c>
    </row>
    <row r="21" spans="1:8" ht="15.75" thickBot="1" x14ac:dyDescent="0.3">
      <c r="A21" s="68">
        <v>6</v>
      </c>
      <c r="B21" s="69" t="s">
        <v>53</v>
      </c>
      <c r="C21" s="70"/>
      <c r="D21" s="45"/>
      <c r="E21" s="71" t="s">
        <v>45</v>
      </c>
      <c r="F21" s="66">
        <v>163540</v>
      </c>
      <c r="G21" s="67">
        <v>2</v>
      </c>
      <c r="H21" s="38">
        <f t="shared" si="0"/>
        <v>327080</v>
      </c>
    </row>
    <row r="22" spans="1:8" ht="15.75" thickBot="1" x14ac:dyDescent="0.3">
      <c r="A22" s="68">
        <v>7</v>
      </c>
      <c r="B22" s="69" t="s">
        <v>54</v>
      </c>
      <c r="C22" s="70"/>
      <c r="D22" s="45"/>
      <c r="E22" s="71" t="s">
        <v>45</v>
      </c>
      <c r="F22" s="66">
        <v>52127</v>
      </c>
      <c r="G22" s="67">
        <v>2</v>
      </c>
      <c r="H22" s="38">
        <f t="shared" si="0"/>
        <v>104254</v>
      </c>
    </row>
    <row r="23" spans="1:8" ht="15.75" thickBot="1" x14ac:dyDescent="0.3">
      <c r="A23" s="68">
        <v>8</v>
      </c>
      <c r="B23" s="69" t="s">
        <v>55</v>
      </c>
      <c r="C23" s="70"/>
      <c r="D23" s="45"/>
      <c r="E23" s="71" t="s">
        <v>56</v>
      </c>
      <c r="F23" s="66">
        <v>36177</v>
      </c>
      <c r="G23" s="67">
        <v>3</v>
      </c>
      <c r="H23" s="38">
        <f t="shared" si="0"/>
        <v>108531</v>
      </c>
    </row>
    <row r="24" spans="1:8" ht="15.75" thickBot="1" x14ac:dyDescent="0.3">
      <c r="A24" s="68">
        <v>9</v>
      </c>
      <c r="B24" s="69" t="s">
        <v>57</v>
      </c>
      <c r="C24" s="70"/>
      <c r="D24" s="45"/>
      <c r="E24" s="71" t="s">
        <v>56</v>
      </c>
      <c r="F24" s="66">
        <v>75004</v>
      </c>
      <c r="G24" s="67">
        <v>3</v>
      </c>
      <c r="H24" s="38">
        <f t="shared" si="0"/>
        <v>225012</v>
      </c>
    </row>
    <row r="25" spans="1:8" ht="15.75" thickBot="1" x14ac:dyDescent="0.3">
      <c r="A25" s="73">
        <v>10</v>
      </c>
      <c r="B25" s="64" t="s">
        <v>59</v>
      </c>
      <c r="C25" s="6"/>
      <c r="D25" s="7"/>
      <c r="E25" s="74" t="s">
        <v>45</v>
      </c>
      <c r="F25" s="66">
        <v>2465</v>
      </c>
      <c r="G25" s="67">
        <v>32</v>
      </c>
      <c r="H25" s="38">
        <f t="shared" ref="H25" si="1">F25*G25</f>
        <v>78880</v>
      </c>
    </row>
    <row r="26" spans="1:8" ht="15.75" thickBot="1" x14ac:dyDescent="0.3">
      <c r="B26" s="16"/>
      <c r="C26" s="4"/>
      <c r="D26" s="17"/>
      <c r="F26" s="65"/>
      <c r="G26" s="65"/>
    </row>
    <row r="27" spans="1:8" ht="19.5" customHeight="1" thickBot="1" x14ac:dyDescent="0.35">
      <c r="A27" s="62" t="s">
        <v>22</v>
      </c>
      <c r="B27" s="61" t="s">
        <v>60</v>
      </c>
      <c r="C27" s="12"/>
      <c r="D27" s="13"/>
      <c r="E27" s="64"/>
      <c r="F27" s="37" t="s">
        <v>43</v>
      </c>
      <c r="G27" s="6"/>
      <c r="H27" s="7"/>
    </row>
    <row r="28" spans="1:8" ht="19.5" customHeight="1" thickBot="1" x14ac:dyDescent="0.3">
      <c r="A28" s="39"/>
      <c r="B28" s="16" t="s">
        <v>61</v>
      </c>
      <c r="C28" s="4"/>
      <c r="D28" s="17"/>
      <c r="E28" s="52" t="s">
        <v>23</v>
      </c>
      <c r="F28" s="52"/>
      <c r="G28" s="45"/>
      <c r="H28" s="50">
        <f>SUM(H16:H25)</f>
        <v>4430369</v>
      </c>
    </row>
    <row r="29" spans="1:8" ht="19.5" customHeight="1" x14ac:dyDescent="0.25">
      <c r="A29" s="24" t="s">
        <v>24</v>
      </c>
      <c r="E29" s="53" t="s">
        <v>28</v>
      </c>
      <c r="F29" s="23"/>
      <c r="G29" s="54">
        <v>0.19</v>
      </c>
      <c r="H29" s="40">
        <f>H28*G29</f>
        <v>841770.11</v>
      </c>
    </row>
    <row r="30" spans="1:8" ht="19.5" customHeight="1" x14ac:dyDescent="0.25">
      <c r="A30" s="14" t="s">
        <v>42</v>
      </c>
      <c r="E30" s="55" t="s">
        <v>25</v>
      </c>
      <c r="G30" s="58">
        <v>2.5000000000000001E-2</v>
      </c>
      <c r="H30" s="51">
        <f>H28*G30</f>
        <v>110759.22500000001</v>
      </c>
    </row>
    <row r="31" spans="1:8" ht="15.75" x14ac:dyDescent="0.25">
      <c r="A31" s="14" t="s">
        <v>58</v>
      </c>
      <c r="E31" s="14"/>
      <c r="F31" s="33"/>
      <c r="G31" s="46"/>
      <c r="H31" s="15"/>
    </row>
    <row r="32" spans="1:8" ht="16.5" thickBot="1" x14ac:dyDescent="0.3">
      <c r="A32" s="14" t="s">
        <v>30</v>
      </c>
      <c r="E32" s="56" t="s">
        <v>26</v>
      </c>
      <c r="F32" s="57"/>
      <c r="G32" s="47"/>
      <c r="H32" s="17"/>
    </row>
    <row r="33" spans="1:8" ht="19.5" thickBot="1" x14ac:dyDescent="0.35">
      <c r="A33" s="60"/>
      <c r="B33" s="4"/>
      <c r="C33" s="4"/>
      <c r="D33" s="17"/>
      <c r="F33" s="3"/>
      <c r="G33" s="34" t="s">
        <v>27</v>
      </c>
      <c r="H33" s="36">
        <f>H28+H29-H30</f>
        <v>5161379.8850000007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44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2025-04-01T18:15:30Z</cp:lastPrinted>
  <dcterms:created xsi:type="dcterms:W3CDTF">2018-11-15T17:29:02Z</dcterms:created>
  <dcterms:modified xsi:type="dcterms:W3CDTF">2025-04-01T22:44:55Z</dcterms:modified>
</cp:coreProperties>
</file>