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9B4E2BC-A9ED-42C5-AFE3-BC0C542ACE1B}" xr6:coauthVersionLast="47" xr6:coauthVersionMax="47" xr10:uidLastSave="{00000000-0000-0000-0000-000000000000}"/>
  <bookViews>
    <workbookView xWindow="-120" yWindow="-120" windowWidth="15600" windowHeight="11160" activeTab="1" xr2:uid="{00000000-000D-0000-FFFF-FFFF00000000}"/>
  </bookViews>
  <sheets>
    <sheet name="CMR METALMECANICAS" sheetId="1" r:id="rId1"/>
    <sheet name="CMR METALMECANIC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8" i="2" l="1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48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17" i="1"/>
  <c r="H20" i="1"/>
  <c r="H19" i="1"/>
  <c r="H18" i="1"/>
  <c r="H16" i="1"/>
  <c r="H50" i="2" l="1"/>
  <c r="H49" i="2"/>
  <c r="H53" i="2" s="1"/>
  <c r="H50" i="1"/>
  <c r="H49" i="1"/>
  <c r="H53" i="1" s="1"/>
</calcChain>
</file>

<file path=xl/sharedStrings.xml><?xml version="1.0" encoding="utf-8"?>
<sst xmlns="http://schemas.openxmlformats.org/spreadsheetml/2006/main" count="224" uniqueCount="117">
  <si>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</si>
  <si>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</si>
  <si>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</si>
  <si>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</si>
  <si>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</si>
  <si>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</si>
  <si>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</si>
  <si>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</si>
  <si>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</si>
  <si>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</si>
  <si>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</si>
  <si>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</si>
  <si>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</si>
  <si>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</si>
  <si>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</si>
  <si>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</si>
  <si>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</si>
  <si>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</si>
  <si>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</si>
  <si>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</si>
  <si>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</si>
  <si>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</si>
  <si>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</si>
  <si>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</si>
  <si>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</si>
  <si>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</si>
  <si>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</si>
  <si>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</si>
  <si>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</si>
  <si>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</si>
  <si>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</si>
  <si>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</si>
  <si>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</si>
  <si>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</si>
  <si>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</si>
  <si>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</si>
  <si>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</si>
  <si>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</si>
  <si>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</si>
  <si>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</si>
  <si>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</si>
  <si>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CMR METALMECANICAS S.A.S.</t>
  </si>
  <si>
    <t>901 565033</t>
  </si>
  <si>
    <t>CALLE 32  16-83</t>
  </si>
  <si>
    <t>CALI</t>
  </si>
  <si>
    <t>cmrmetalmecanicas@gmail.com</t>
  </si>
  <si>
    <t>602 4458212</t>
  </si>
  <si>
    <t>EDINSON CABEZAS</t>
  </si>
  <si>
    <t>ACCESORIO</t>
  </si>
  <si>
    <t>TRAMPA FILTRO  A / C 3 /8 " PARA VAPOR</t>
  </si>
  <si>
    <t>TRAMPA FILTRO  A / C 3 /4 " PARA VAPOR</t>
  </si>
  <si>
    <t>TRAMPA FILTRO  A / C  1/2 " PARA VAPOR</t>
  </si>
  <si>
    <t>FILTRO  AC/INOX  304  1/2 "  X  150 LBS ROSCADO</t>
  </si>
  <si>
    <t>FILTRO  AC/INOX  304  3/4 "  X  150 LBS ROSCADO</t>
  </si>
  <si>
    <t>FILTRO  AC/INOX  304  1 "  X  150 LBS ROSCADO</t>
  </si>
  <si>
    <t>VALVULA REGULADORA PILOTEADA 2 " PARA VAPOR</t>
  </si>
  <si>
    <t>VALVULA GLOBO  A / C  1/2 "  X  800 LBS ROSCADA</t>
  </si>
  <si>
    <t>VALVULA GLOBO  A / C  3/4 "  X  800 LBS ROSCADA</t>
  </si>
  <si>
    <t>VALVULA GLOBO  A / C 1 1/2 "  X  800 LBS ROSCADA</t>
  </si>
  <si>
    <t>VALVULA DE ALIVIO EN BRONCE  3/4  "  X  150 LBS</t>
  </si>
  <si>
    <t>VALVULA DE SEGURIDAD EN BRONCE 2 "  X  150 LBS</t>
  </si>
  <si>
    <t>TRAMPA DE BALDE INVERTIDA 1/2 " PARA VAPOR</t>
  </si>
  <si>
    <t>VALVULA DE BOLA AC/INOX 1/2 "  X  1000 LB ROS</t>
  </si>
  <si>
    <t>VALVULA DE BOLA AC/INOX  1 1/2 "  X  1000 LB ROS</t>
  </si>
  <si>
    <t>UNIVERSAL HR 1/2 "  X  150 LBS ROSCADA</t>
  </si>
  <si>
    <t>NIPLE  A/C  1/2 "  X  5 "</t>
  </si>
  <si>
    <t>FABRICACION</t>
  </si>
  <si>
    <t>NIPLE  AC/INOX  1/2 "  X  5 "</t>
  </si>
  <si>
    <t>CODO HR 1/2 "  X  90 º  X 150 LBS ROSCADO</t>
  </si>
  <si>
    <t>TEE AC/INOX  1/2 "  X  150  LBS  ROSCADA</t>
  </si>
  <si>
    <t>CHEQUE CORTINA AC/INOX 304 1/2 " X 200 LBS ROS</t>
  </si>
  <si>
    <t>UNION A / C  1/2 "  X  300 LBS  ROSCADA</t>
  </si>
  <si>
    <t>TAPON MACHO  HR  1/2 "  X  150 LBS ROSCADA</t>
  </si>
  <si>
    <t>REDUCCION BUSHING HR  3/4 "  X  1/2 "  X 150 LBS</t>
  </si>
  <si>
    <t>FILTRO AC/INOX 304  2 "  X  150  LBS  ROSCADO</t>
  </si>
  <si>
    <t>REDUCCION BUSHING HR  1/2 "  X  1/4 "  X  150 LBS</t>
  </si>
  <si>
    <t>UNIVERSAL HR  2 "  X  150 LBS ROSCADA</t>
  </si>
  <si>
    <t>UNION A / C  1/4 "  X  300 LBS  ROSCADA</t>
  </si>
  <si>
    <t>REDUCCION COPA HR  2 "  X  1 "  X  150 LBS  ROSC</t>
  </si>
  <si>
    <t>REDUCCION BUSHING HR  3/4  "  X  1/2 "  X  150 LBS</t>
  </si>
  <si>
    <t>CUARENTA Y UN MILLONES SETENTA Y OCHO MIL CUA-</t>
  </si>
  <si>
    <t>TROCIENTOS OCHENTA Y TRES PESOS MDA / CTE</t>
  </si>
  <si>
    <t>ENTREGAS PARCIALES</t>
  </si>
  <si>
    <t>No. 1/2</t>
  </si>
  <si>
    <t>No. 2/2</t>
  </si>
  <si>
    <t>REDUCCION BUSHING HR  1 1/2 "  X  1/2 "  X 150 LB</t>
  </si>
  <si>
    <t>REDUCCION BUSHING HR  1 1/2 "  X  1 1/4  "  X 150 LB</t>
  </si>
  <si>
    <t>UNIVERSAL HR 1 1/2 "  X  150 LBS ROSCADA</t>
  </si>
  <si>
    <t>CODO HR  3/4  "  X  90º  X  150 LBS ROSC</t>
  </si>
  <si>
    <t>UNIVERSAL HR  3/4  "  X  150 LBS ROSCADA</t>
  </si>
  <si>
    <t>TEE HR  1 1/2 "  X  150 LBS  ROSCADA</t>
  </si>
  <si>
    <t>TEE HR  1  "  X  150 LBS  ROSCADA</t>
  </si>
  <si>
    <t>REDUCCION BUSHING HR  1 "  X  3/44 "  X  150 LBS</t>
  </si>
  <si>
    <t>RED. COPA  AC/INOX  1 1/2 "  X  3/4 "  X 150 L ROSC</t>
  </si>
  <si>
    <t>UNION  A / C  3/4 "  X  3OO LBS ROSCADA</t>
  </si>
  <si>
    <t>UNION  A / C  1 "  X  3OO LBS ROSCADA</t>
  </si>
  <si>
    <t>UNION  A / C  1 1/2 "  X  3OO LBS ROSCADA</t>
  </si>
  <si>
    <t>TEE HR  1 1/4 "  X  150 LBS  ROSCADA</t>
  </si>
  <si>
    <t>TEE HR  1/4 "  X  150 LBS  ROSCADA</t>
  </si>
  <si>
    <t>RED COPA  HR  1 "  X  1/2 "  X  150 LBS ROSCADA</t>
  </si>
  <si>
    <t xml:space="preserve">CODO  HR  1 1/4 "  X  90 º  X  150 LBS </t>
  </si>
  <si>
    <t xml:space="preserve">CODO  HR   3/8  "  X  90 º  X  150 LBS </t>
  </si>
  <si>
    <t>NIPLE  A / C  3/8 "  X  5 "</t>
  </si>
  <si>
    <t>NIPLE  AC/INOX  3/8 "  X  5 "</t>
  </si>
  <si>
    <t>NIPLE  A / C  1 "  X  5 "</t>
  </si>
  <si>
    <t>NIPLE  AC/INOX 1 "  X  5 "</t>
  </si>
  <si>
    <t>NIPLE  A / C  3/4 "  X  5 "</t>
  </si>
  <si>
    <t>NIPLE  AC/INOX  3/4 "  X  5 "</t>
  </si>
  <si>
    <t>NIPLE  A / C  2 "  X  5 "</t>
  </si>
  <si>
    <t>NIPLE  AC/INOX 2 "  X  5 "</t>
  </si>
  <si>
    <t>NIPLE  A / C  1 1/4  "  X  5 "</t>
  </si>
  <si>
    <t>NIPLE  AC/INOX 1 1/4  "  X  5 "</t>
  </si>
  <si>
    <t>SEPARADORES DE HUMEDAD 1 "</t>
  </si>
  <si>
    <t>COLA DE MARRANO  A / C 1/4 "</t>
  </si>
  <si>
    <t>CAJA DE SOLDADURA AC/INOX 3/32 " X  2  KL</t>
  </si>
  <si>
    <t>TRES MILLONES SETECIENTOS CUARENTA Y OCHO MIL</t>
  </si>
  <si>
    <t>TRESCIENTOS OCHENTA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</si>
</sst>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8" fillId="0" borderId="37" xfId="0" applyFont="1" applyBorder="1"/>
    <xf numFmtId="0" fontId="8" fillId="0" borderId="38" xfId="0" applyFont="1" applyBorder="1"/>
    <xf numFmtId="0" fontId="8" fillId="0" borderId="0" xfId="0" applyFont="1"/>
    <xf numFmtId="0" fontId="8" fillId="0" borderId="19" xfId="0" applyFont="1" applyBorder="1"/>
    <xf numFmtId="0" fontId="8" fillId="0" borderId="13" xfId="0" applyFont="1" applyBorder="1"/>
    <xf numFmtId="0" fontId="1" fillId="0" borderId="22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28575</xdr:colOff>
      <xdr:row>1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286E20-D6B2-4C7F-BC68-B6AB4C93B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2209800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mrmetalmecanicas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cmrmetalmecan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8"/>
  <sheetViews>
    <sheetView zoomScaleNormal="100" workbookViewId="0">
      <selection activeCell="H12" sqref="H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83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4" t="s">
        <v>44</v>
      </c>
      <c r="F9" s="30" t="s">
        <v>0</v>
      </c>
      <c r="H9" s="28">
        <v>45618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45627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82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75">
        <v>1</v>
      </c>
      <c r="B16" s="77" t="s">
        <v>49</v>
      </c>
      <c r="C16" s="80"/>
      <c r="D16" s="78"/>
      <c r="E16" s="75" t="s">
        <v>48</v>
      </c>
      <c r="F16" s="76">
        <v>750000</v>
      </c>
      <c r="G16" s="75">
        <v>5</v>
      </c>
      <c r="H16" s="38">
        <f t="shared" ref="H16" si="0">G16*F16</f>
        <v>3750000</v>
      </c>
    </row>
    <row r="17" spans="1:8" ht="16.5" thickBot="1" x14ac:dyDescent="0.3">
      <c r="A17" s="75">
        <v>2</v>
      </c>
      <c r="B17" s="77" t="s">
        <v>51</v>
      </c>
      <c r="C17" s="81"/>
      <c r="D17" s="78"/>
      <c r="E17" s="75" t="s">
        <v>48</v>
      </c>
      <c r="F17" s="76">
        <v>750000</v>
      </c>
      <c r="G17" s="75">
        <v>8</v>
      </c>
      <c r="H17" s="38">
        <f t="shared" ref="H17:H45" si="1">G17*F17</f>
        <v>6000000</v>
      </c>
    </row>
    <row r="18" spans="1:8" ht="16.5" thickBot="1" x14ac:dyDescent="0.3">
      <c r="A18" s="75">
        <v>3</v>
      </c>
      <c r="B18" s="77" t="s">
        <v>50</v>
      </c>
      <c r="C18" s="81"/>
      <c r="D18" s="78"/>
      <c r="E18" s="75" t="s">
        <v>48</v>
      </c>
      <c r="F18" s="76">
        <v>850000</v>
      </c>
      <c r="G18" s="75">
        <v>2</v>
      </c>
      <c r="H18" s="38">
        <f t="shared" si="1"/>
        <v>1700000</v>
      </c>
    </row>
    <row r="19" spans="1:8" ht="16.5" thickBot="1" x14ac:dyDescent="0.3">
      <c r="A19" s="75">
        <v>4</v>
      </c>
      <c r="B19" s="77" t="s">
        <v>52</v>
      </c>
      <c r="C19" s="81"/>
      <c r="D19" s="78"/>
      <c r="E19" s="75" t="s">
        <v>48</v>
      </c>
      <c r="F19" s="76">
        <v>36000</v>
      </c>
      <c r="G19" s="75">
        <v>12</v>
      </c>
      <c r="H19" s="38">
        <f t="shared" si="1"/>
        <v>432000</v>
      </c>
    </row>
    <row r="20" spans="1:8" ht="16.5" thickBot="1" x14ac:dyDescent="0.3">
      <c r="A20" s="54">
        <v>5</v>
      </c>
      <c r="B20" s="77" t="s">
        <v>53</v>
      </c>
      <c r="C20" s="80"/>
      <c r="D20" s="78"/>
      <c r="E20" s="54" t="s">
        <v>48</v>
      </c>
      <c r="F20" s="61">
        <v>50000</v>
      </c>
      <c r="G20" s="54">
        <v>1</v>
      </c>
      <c r="H20" s="38">
        <f t="shared" si="1"/>
        <v>50000</v>
      </c>
    </row>
    <row r="21" spans="1:8" ht="16.5" thickBot="1" x14ac:dyDescent="0.3">
      <c r="A21" s="53">
        <v>6</v>
      </c>
      <c r="B21" s="77" t="s">
        <v>54</v>
      </c>
      <c r="C21" s="79"/>
      <c r="D21" s="58"/>
      <c r="E21" s="53" t="s">
        <v>48</v>
      </c>
      <c r="F21" s="60">
        <v>65700</v>
      </c>
      <c r="G21" s="53">
        <v>1</v>
      </c>
      <c r="H21" s="38">
        <f t="shared" si="1"/>
        <v>65700</v>
      </c>
    </row>
    <row r="22" spans="1:8" ht="16.5" thickBot="1" x14ac:dyDescent="0.3">
      <c r="A22" s="53">
        <v>7</v>
      </c>
      <c r="B22" s="56" t="s">
        <v>55</v>
      </c>
      <c r="C22" s="57"/>
      <c r="D22" s="58"/>
      <c r="E22" s="53" t="s">
        <v>48</v>
      </c>
      <c r="F22" s="60">
        <v>12500000</v>
      </c>
      <c r="G22" s="53">
        <v>1</v>
      </c>
      <c r="H22" s="38">
        <f t="shared" si="1"/>
        <v>12500000</v>
      </c>
    </row>
    <row r="23" spans="1:8" ht="16.5" thickBot="1" x14ac:dyDescent="0.3">
      <c r="A23" s="53">
        <v>8</v>
      </c>
      <c r="B23" s="56" t="s">
        <v>56</v>
      </c>
      <c r="C23" s="57"/>
      <c r="D23" s="58"/>
      <c r="E23" s="53" t="s">
        <v>48</v>
      </c>
      <c r="F23" s="60">
        <v>120000</v>
      </c>
      <c r="G23" s="53">
        <v>7</v>
      </c>
      <c r="H23" s="38">
        <f t="shared" si="1"/>
        <v>840000</v>
      </c>
    </row>
    <row r="24" spans="1:8" ht="16.5" thickBot="1" x14ac:dyDescent="0.3">
      <c r="A24" s="53">
        <v>9</v>
      </c>
      <c r="B24" s="56" t="s">
        <v>57</v>
      </c>
      <c r="C24" s="57"/>
      <c r="D24" s="58"/>
      <c r="E24" s="53" t="s">
        <v>48</v>
      </c>
      <c r="F24" s="60">
        <v>245000</v>
      </c>
      <c r="G24" s="53">
        <v>3</v>
      </c>
      <c r="H24" s="38">
        <f t="shared" si="1"/>
        <v>735000</v>
      </c>
    </row>
    <row r="25" spans="1:8" ht="16.5" thickBot="1" x14ac:dyDescent="0.3">
      <c r="A25" s="53">
        <v>10</v>
      </c>
      <c r="B25" s="56" t="s">
        <v>58</v>
      </c>
      <c r="C25" s="57"/>
      <c r="D25" s="58"/>
      <c r="E25" s="53" t="s">
        <v>48</v>
      </c>
      <c r="F25" s="60">
        <v>384000</v>
      </c>
      <c r="G25" s="53">
        <v>2</v>
      </c>
      <c r="H25" s="38">
        <f t="shared" si="1"/>
        <v>768000</v>
      </c>
    </row>
    <row r="26" spans="1:8" ht="16.5" thickBot="1" x14ac:dyDescent="0.3">
      <c r="A26" s="53">
        <v>11</v>
      </c>
      <c r="B26" s="56" t="s">
        <v>59</v>
      </c>
      <c r="C26" s="57"/>
      <c r="D26" s="58"/>
      <c r="E26" s="53" t="s">
        <v>48</v>
      </c>
      <c r="F26" s="60">
        <v>650000</v>
      </c>
      <c r="G26" s="53">
        <v>4</v>
      </c>
      <c r="H26" s="38">
        <f t="shared" si="1"/>
        <v>2600000</v>
      </c>
    </row>
    <row r="27" spans="1:8" ht="16.5" thickBot="1" x14ac:dyDescent="0.3">
      <c r="A27" s="53">
        <v>12</v>
      </c>
      <c r="B27" s="56" t="s">
        <v>60</v>
      </c>
      <c r="C27" s="57"/>
      <c r="D27" s="58"/>
      <c r="E27" s="53" t="s">
        <v>48</v>
      </c>
      <c r="F27" s="60">
        <v>1100000</v>
      </c>
      <c r="G27" s="53">
        <v>1</v>
      </c>
      <c r="H27" s="38">
        <f t="shared" si="1"/>
        <v>1100000</v>
      </c>
    </row>
    <row r="28" spans="1:8" ht="16.5" thickBot="1" x14ac:dyDescent="0.3">
      <c r="A28" s="53">
        <v>13</v>
      </c>
      <c r="B28" s="56" t="s">
        <v>61</v>
      </c>
      <c r="C28" s="57"/>
      <c r="D28" s="58"/>
      <c r="E28" s="53" t="s">
        <v>48</v>
      </c>
      <c r="F28" s="60">
        <v>590000</v>
      </c>
      <c r="G28" s="53">
        <v>4</v>
      </c>
      <c r="H28" s="38">
        <f t="shared" si="1"/>
        <v>2360000</v>
      </c>
    </row>
    <row r="29" spans="1:8" ht="16.5" thickBot="1" x14ac:dyDescent="0.3">
      <c r="A29" s="53">
        <v>14</v>
      </c>
      <c r="B29" s="56" t="s">
        <v>63</v>
      </c>
      <c r="C29" s="57"/>
      <c r="D29" s="58"/>
      <c r="E29" s="53" t="s">
        <v>48</v>
      </c>
      <c r="F29" s="60">
        <v>114500</v>
      </c>
      <c r="G29" s="53">
        <v>1</v>
      </c>
      <c r="H29" s="38">
        <f t="shared" si="1"/>
        <v>114500</v>
      </c>
    </row>
    <row r="30" spans="1:8" ht="16.5" thickBot="1" x14ac:dyDescent="0.3">
      <c r="A30" s="53">
        <v>15</v>
      </c>
      <c r="B30" s="56" t="s">
        <v>62</v>
      </c>
      <c r="C30" s="57"/>
      <c r="D30" s="58"/>
      <c r="E30" s="53" t="s">
        <v>48</v>
      </c>
      <c r="F30" s="60">
        <v>24900</v>
      </c>
      <c r="G30" s="53">
        <v>10</v>
      </c>
      <c r="H30" s="38">
        <f t="shared" si="1"/>
        <v>249000</v>
      </c>
    </row>
    <row r="31" spans="1:8" ht="16.5" thickBot="1" x14ac:dyDescent="0.3">
      <c r="A31" s="53">
        <v>16</v>
      </c>
      <c r="B31" s="56" t="s">
        <v>64</v>
      </c>
      <c r="C31" s="57"/>
      <c r="D31" s="58"/>
      <c r="E31" s="53" t="s">
        <v>48</v>
      </c>
      <c r="F31" s="60">
        <v>12000</v>
      </c>
      <c r="G31" s="53">
        <v>8</v>
      </c>
      <c r="H31" s="38">
        <f t="shared" si="1"/>
        <v>96000</v>
      </c>
    </row>
    <row r="32" spans="1:8" ht="16.5" thickBot="1" x14ac:dyDescent="0.3">
      <c r="A32" s="53">
        <v>17</v>
      </c>
      <c r="B32" s="56" t="s">
        <v>65</v>
      </c>
      <c r="C32" s="57"/>
      <c r="D32" s="58"/>
      <c r="E32" s="53" t="s">
        <v>66</v>
      </c>
      <c r="F32" s="60">
        <v>3000</v>
      </c>
      <c r="G32" s="53">
        <v>94</v>
      </c>
      <c r="H32" s="38">
        <f t="shared" si="1"/>
        <v>282000</v>
      </c>
    </row>
    <row r="33" spans="1:8" ht="16.5" thickBot="1" x14ac:dyDescent="0.3">
      <c r="A33" s="53">
        <v>18</v>
      </c>
      <c r="B33" s="56" t="s">
        <v>67</v>
      </c>
      <c r="C33" s="57"/>
      <c r="D33" s="58"/>
      <c r="E33" s="53" t="s">
        <v>66</v>
      </c>
      <c r="F33" s="60">
        <v>9500</v>
      </c>
      <c r="G33" s="53">
        <v>94</v>
      </c>
      <c r="H33" s="38">
        <f t="shared" si="1"/>
        <v>893000</v>
      </c>
    </row>
    <row r="34" spans="1:8" ht="16.5" thickBot="1" x14ac:dyDescent="0.3">
      <c r="A34" s="53">
        <v>19</v>
      </c>
      <c r="B34" s="56" t="s">
        <v>68</v>
      </c>
      <c r="C34" s="57"/>
      <c r="D34" s="58"/>
      <c r="E34" s="53" t="s">
        <v>48</v>
      </c>
      <c r="F34" s="60">
        <v>5500</v>
      </c>
      <c r="G34" s="53">
        <v>19</v>
      </c>
      <c r="H34" s="38">
        <f t="shared" si="1"/>
        <v>104500</v>
      </c>
    </row>
    <row r="35" spans="1:8" ht="16.5" thickBot="1" x14ac:dyDescent="0.3">
      <c r="A35" s="53">
        <v>20</v>
      </c>
      <c r="B35" s="56" t="s">
        <v>69</v>
      </c>
      <c r="C35" s="57"/>
      <c r="D35" s="58"/>
      <c r="E35" s="53" t="s">
        <v>48</v>
      </c>
      <c r="F35" s="60">
        <v>7900</v>
      </c>
      <c r="G35" s="53">
        <v>5</v>
      </c>
      <c r="H35" s="38">
        <f t="shared" si="1"/>
        <v>39500</v>
      </c>
    </row>
    <row r="36" spans="1:8" ht="16.5" thickBot="1" x14ac:dyDescent="0.3">
      <c r="A36" s="53">
        <v>21</v>
      </c>
      <c r="B36" s="56" t="s">
        <v>70</v>
      </c>
      <c r="C36" s="57"/>
      <c r="D36" s="58"/>
      <c r="E36" s="53" t="s">
        <v>48</v>
      </c>
      <c r="F36" s="60">
        <v>53500</v>
      </c>
      <c r="G36" s="53">
        <v>5</v>
      </c>
      <c r="H36" s="38">
        <f t="shared" si="1"/>
        <v>267500</v>
      </c>
    </row>
    <row r="37" spans="1:8" ht="16.5" thickBot="1" x14ac:dyDescent="0.3">
      <c r="A37" s="53">
        <v>22</v>
      </c>
      <c r="B37" s="56" t="s">
        <v>71</v>
      </c>
      <c r="C37" s="57"/>
      <c r="D37" s="58"/>
      <c r="E37" s="53" t="s">
        <v>48</v>
      </c>
      <c r="F37" s="60">
        <v>2500</v>
      </c>
      <c r="G37" s="53">
        <v>6</v>
      </c>
      <c r="H37" s="38">
        <f t="shared" si="1"/>
        <v>15000</v>
      </c>
    </row>
    <row r="38" spans="1:8" ht="16.5" thickBot="1" x14ac:dyDescent="0.3">
      <c r="A38" s="53">
        <v>23</v>
      </c>
      <c r="B38" s="56" t="s">
        <v>72</v>
      </c>
      <c r="C38" s="57"/>
      <c r="D38" s="58"/>
      <c r="E38" s="53" t="s">
        <v>48</v>
      </c>
      <c r="F38" s="60">
        <v>1500</v>
      </c>
      <c r="G38" s="53">
        <v>5</v>
      </c>
      <c r="H38" s="38">
        <f t="shared" si="1"/>
        <v>7500</v>
      </c>
    </row>
    <row r="39" spans="1:8" ht="16.5" thickBot="1" x14ac:dyDescent="0.3">
      <c r="A39" s="53">
        <v>24</v>
      </c>
      <c r="B39" s="56" t="s">
        <v>73</v>
      </c>
      <c r="C39" s="57"/>
      <c r="D39" s="58"/>
      <c r="E39" s="53" t="s">
        <v>48</v>
      </c>
      <c r="F39" s="60">
        <v>2200</v>
      </c>
      <c r="G39" s="53">
        <v>4</v>
      </c>
      <c r="H39" s="38">
        <f t="shared" si="1"/>
        <v>8800</v>
      </c>
    </row>
    <row r="40" spans="1:8" ht="16.5" thickBot="1" x14ac:dyDescent="0.3">
      <c r="A40" s="53">
        <v>25</v>
      </c>
      <c r="B40" s="56" t="s">
        <v>74</v>
      </c>
      <c r="C40" s="57"/>
      <c r="D40" s="58"/>
      <c r="E40" s="53" t="s">
        <v>48</v>
      </c>
      <c r="F40" s="60">
        <v>165000</v>
      </c>
      <c r="G40" s="53">
        <v>1</v>
      </c>
      <c r="H40" s="38">
        <f t="shared" si="1"/>
        <v>165000</v>
      </c>
    </row>
    <row r="41" spans="1:8" ht="16.5" thickBot="1" x14ac:dyDescent="0.3">
      <c r="A41" s="53">
        <v>26</v>
      </c>
      <c r="B41" s="56" t="s">
        <v>75</v>
      </c>
      <c r="C41" s="57"/>
      <c r="D41" s="58"/>
      <c r="E41" s="53" t="s">
        <v>48</v>
      </c>
      <c r="F41" s="60">
        <v>2500</v>
      </c>
      <c r="G41" s="53">
        <v>1</v>
      </c>
      <c r="H41" s="38">
        <f t="shared" si="1"/>
        <v>2500</v>
      </c>
    </row>
    <row r="42" spans="1:8" ht="16.5" thickBot="1" x14ac:dyDescent="0.3">
      <c r="A42" s="53">
        <v>27</v>
      </c>
      <c r="B42" s="56" t="s">
        <v>76</v>
      </c>
      <c r="C42" s="57"/>
      <c r="D42" s="58"/>
      <c r="E42" s="53" t="s">
        <v>48</v>
      </c>
      <c r="F42" s="60">
        <v>43000</v>
      </c>
      <c r="G42" s="53">
        <v>2</v>
      </c>
      <c r="H42" s="38">
        <f t="shared" si="1"/>
        <v>86000</v>
      </c>
    </row>
    <row r="43" spans="1:8" ht="16.5" thickBot="1" x14ac:dyDescent="0.3">
      <c r="A43" s="53">
        <v>28</v>
      </c>
      <c r="B43" s="56" t="s">
        <v>77</v>
      </c>
      <c r="C43" s="57"/>
      <c r="D43" s="58"/>
      <c r="E43" s="53" t="s">
        <v>48</v>
      </c>
      <c r="F43" s="60">
        <v>2500</v>
      </c>
      <c r="G43" s="53">
        <v>4</v>
      </c>
      <c r="H43" s="38">
        <f t="shared" si="1"/>
        <v>10000</v>
      </c>
    </row>
    <row r="44" spans="1:8" ht="16.5" thickBot="1" x14ac:dyDescent="0.3">
      <c r="A44" s="53">
        <v>29</v>
      </c>
      <c r="B44" s="56" t="s">
        <v>78</v>
      </c>
      <c r="C44" s="57"/>
      <c r="D44" s="58"/>
      <c r="E44" s="53" t="s">
        <v>48</v>
      </c>
      <c r="F44" s="60">
        <v>10600</v>
      </c>
      <c r="G44" s="53">
        <v>1</v>
      </c>
      <c r="H44" s="38">
        <f t="shared" si="1"/>
        <v>10600</v>
      </c>
    </row>
    <row r="45" spans="1:8" ht="16.5" thickBot="1" x14ac:dyDescent="0.3">
      <c r="A45" s="75">
        <v>30</v>
      </c>
      <c r="B45" s="77" t="s">
        <v>79</v>
      </c>
      <c r="C45" s="81"/>
      <c r="D45" s="78"/>
      <c r="E45" s="75" t="s">
        <v>48</v>
      </c>
      <c r="F45" s="76">
        <v>2100</v>
      </c>
      <c r="G45" s="75">
        <v>4</v>
      </c>
      <c r="H45" s="38">
        <f t="shared" si="1"/>
        <v>8400</v>
      </c>
    </row>
    <row r="46" spans="1:8" ht="19.5" customHeight="1" thickBot="1" x14ac:dyDescent="0.3">
      <c r="A46" s="55"/>
      <c r="B46" s="45"/>
      <c r="C46" s="42"/>
      <c r="D46" s="59"/>
      <c r="E46" s="62"/>
      <c r="F46" s="62"/>
      <c r="G46" s="62"/>
    </row>
    <row r="47" spans="1:8" ht="19.5" customHeight="1" thickBot="1" x14ac:dyDescent="0.35">
      <c r="A47" s="52" t="s">
        <v>23</v>
      </c>
      <c r="B47" s="14" t="s">
        <v>80</v>
      </c>
      <c r="D47" s="15"/>
      <c r="E47" s="63"/>
      <c r="F47" s="37" t="s">
        <v>29</v>
      </c>
      <c r="G47" s="6"/>
      <c r="H47" s="7"/>
    </row>
    <row r="48" spans="1:8" ht="19.5" customHeight="1" thickBot="1" x14ac:dyDescent="0.3">
      <c r="A48" s="39"/>
      <c r="B48" s="16" t="s">
        <v>81</v>
      </c>
      <c r="C48" s="4"/>
      <c r="D48" s="4"/>
      <c r="E48" s="66" t="s">
        <v>24</v>
      </c>
      <c r="F48" s="67"/>
      <c r="G48" s="47"/>
      <c r="H48" s="64">
        <f>SUM(H16:H45)</f>
        <v>35260500</v>
      </c>
    </row>
    <row r="49" spans="1:8" ht="19.5" customHeight="1" x14ac:dyDescent="0.25">
      <c r="A49" s="24" t="s">
        <v>25</v>
      </c>
      <c r="B49" s="12"/>
      <c r="C49" s="12"/>
      <c r="D49" s="12"/>
      <c r="E49" s="68" t="s">
        <v>30</v>
      </c>
      <c r="F49" s="23"/>
      <c r="G49" s="69">
        <v>0.19</v>
      </c>
      <c r="H49" s="40">
        <f>H48*G49</f>
        <v>6699495</v>
      </c>
    </row>
    <row r="50" spans="1:8" ht="19.5" customHeight="1" x14ac:dyDescent="0.25">
      <c r="A50" s="14" t="s">
        <v>31</v>
      </c>
      <c r="E50" s="70" t="s">
        <v>26</v>
      </c>
      <c r="G50" s="73">
        <v>2.5000000000000001E-2</v>
      </c>
      <c r="H50" s="65">
        <f>H48*G50</f>
        <v>881512.5</v>
      </c>
    </row>
    <row r="51" spans="1:8" ht="15.75" x14ac:dyDescent="0.25">
      <c r="A51" s="14" t="s">
        <v>82</v>
      </c>
      <c r="E51" s="14"/>
      <c r="F51" s="33"/>
      <c r="G51" s="48"/>
      <c r="H51" s="15"/>
    </row>
    <row r="52" spans="1:8" ht="16.5" thickBot="1" x14ac:dyDescent="0.3">
      <c r="A52" s="14" t="s">
        <v>34</v>
      </c>
      <c r="E52" s="71" t="s">
        <v>27</v>
      </c>
      <c r="F52" s="72"/>
      <c r="G52" s="49"/>
      <c r="H52" s="17"/>
    </row>
    <row r="53" spans="1:8" ht="19.5" thickBot="1" x14ac:dyDescent="0.35">
      <c r="A53" s="16"/>
      <c r="B53" s="4"/>
      <c r="C53" s="4"/>
      <c r="D53" s="17"/>
      <c r="F53" s="3"/>
      <c r="G53" s="34" t="s">
        <v>28</v>
      </c>
      <c r="H53" s="36">
        <f>H48+H49-H50</f>
        <v>41078482.5</v>
      </c>
    </row>
    <row r="54" spans="1:8" ht="16.5" customHeight="1" x14ac:dyDescent="0.25"/>
    <row r="59" spans="1:8" ht="15.75" thickBot="1" x14ac:dyDescent="0.3"/>
    <row r="60" spans="1:8" ht="19.5" thickBot="1" x14ac:dyDescent="0.35">
      <c r="A60" s="25" t="s">
        <v>35</v>
      </c>
      <c r="B60" s="6"/>
      <c r="C60" s="6"/>
      <c r="D60" s="6"/>
      <c r="E60" s="6"/>
      <c r="F60" s="6"/>
      <c r="G60" s="6"/>
      <c r="H60" s="7"/>
    </row>
    <row r="68" spans="1:1" ht="18.75" x14ac:dyDescent="0.3">
      <c r="A68" s="5"/>
    </row>
  </sheetData>
  <hyperlinks>
    <hyperlink ref="C10" r:id="rId1" xr:uid="{79512A68-01ED-4D2F-874D-B463300E5CDB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702D-0256-4677-BCA9-1E150E5B75C2}">
  <dimension ref="A1:H68"/>
  <sheetViews>
    <sheetView tabSelected="1" workbookViewId="0">
      <selection activeCell="I3" sqref="I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84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4" t="s">
        <v>44</v>
      </c>
      <c r="F9" s="30" t="s">
        <v>0</v>
      </c>
      <c r="H9" s="28">
        <v>45618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45627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82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75">
        <v>31</v>
      </c>
      <c r="B16" s="77" t="s">
        <v>85</v>
      </c>
      <c r="C16" s="80"/>
      <c r="D16" s="78"/>
      <c r="E16" s="75" t="s">
        <v>48</v>
      </c>
      <c r="F16" s="76">
        <v>5600</v>
      </c>
      <c r="G16" s="75">
        <v>3</v>
      </c>
      <c r="H16" s="38">
        <f t="shared" ref="H16:H45" si="0">G16*F16</f>
        <v>16800</v>
      </c>
    </row>
    <row r="17" spans="1:8" ht="16.5" thickBot="1" x14ac:dyDescent="0.3">
      <c r="A17" s="75">
        <v>32</v>
      </c>
      <c r="B17" s="77" t="s">
        <v>86</v>
      </c>
      <c r="C17" s="81"/>
      <c r="D17" s="78"/>
      <c r="E17" s="75" t="s">
        <v>48</v>
      </c>
      <c r="F17" s="76">
        <v>6500</v>
      </c>
      <c r="G17" s="75">
        <v>2</v>
      </c>
      <c r="H17" s="38">
        <f t="shared" si="0"/>
        <v>13000</v>
      </c>
    </row>
    <row r="18" spans="1:8" ht="16.5" thickBot="1" x14ac:dyDescent="0.3">
      <c r="A18" s="75">
        <v>33</v>
      </c>
      <c r="B18" s="77" t="s">
        <v>87</v>
      </c>
      <c r="C18" s="81"/>
      <c r="D18" s="78"/>
      <c r="E18" s="75" t="s">
        <v>48</v>
      </c>
      <c r="F18" s="76">
        <v>29500</v>
      </c>
      <c r="G18" s="75">
        <v>2</v>
      </c>
      <c r="H18" s="38">
        <f t="shared" si="0"/>
        <v>59000</v>
      </c>
    </row>
    <row r="19" spans="1:8" ht="16.5" thickBot="1" x14ac:dyDescent="0.3">
      <c r="A19" s="75">
        <v>34</v>
      </c>
      <c r="B19" s="77" t="s">
        <v>88</v>
      </c>
      <c r="C19" s="81"/>
      <c r="D19" s="78"/>
      <c r="E19" s="75" t="s">
        <v>48</v>
      </c>
      <c r="F19" s="76">
        <v>3500</v>
      </c>
      <c r="G19" s="75">
        <v>9</v>
      </c>
      <c r="H19" s="38">
        <f t="shared" si="0"/>
        <v>31500</v>
      </c>
    </row>
    <row r="20" spans="1:8" ht="16.5" thickBot="1" x14ac:dyDescent="0.3">
      <c r="A20" s="54">
        <v>35</v>
      </c>
      <c r="B20" s="77" t="s">
        <v>89</v>
      </c>
      <c r="C20" s="80"/>
      <c r="D20" s="78"/>
      <c r="E20" s="54" t="s">
        <v>48</v>
      </c>
      <c r="F20" s="61">
        <v>13600</v>
      </c>
      <c r="G20" s="54">
        <v>4</v>
      </c>
      <c r="H20" s="38">
        <f t="shared" si="0"/>
        <v>54400</v>
      </c>
    </row>
    <row r="21" spans="1:8" ht="16.5" thickBot="1" x14ac:dyDescent="0.3">
      <c r="A21" s="53">
        <v>36</v>
      </c>
      <c r="B21" s="77" t="s">
        <v>90</v>
      </c>
      <c r="C21" s="79"/>
      <c r="D21" s="58"/>
      <c r="E21" s="53" t="s">
        <v>48</v>
      </c>
      <c r="F21" s="60">
        <v>12500</v>
      </c>
      <c r="G21" s="53">
        <v>2</v>
      </c>
      <c r="H21" s="38">
        <f t="shared" si="0"/>
        <v>25000</v>
      </c>
    </row>
    <row r="22" spans="1:8" ht="16.5" thickBot="1" x14ac:dyDescent="0.3">
      <c r="A22" s="53">
        <v>37</v>
      </c>
      <c r="B22" s="77" t="s">
        <v>91</v>
      </c>
      <c r="C22" s="57"/>
      <c r="D22" s="58"/>
      <c r="E22" s="53" t="s">
        <v>48</v>
      </c>
      <c r="F22" s="60">
        <v>6500</v>
      </c>
      <c r="G22" s="53">
        <v>1</v>
      </c>
      <c r="H22" s="38">
        <f t="shared" si="0"/>
        <v>6500</v>
      </c>
    </row>
    <row r="23" spans="1:8" ht="16.5" thickBot="1" x14ac:dyDescent="0.3">
      <c r="A23" s="53">
        <v>38</v>
      </c>
      <c r="B23" s="56" t="s">
        <v>92</v>
      </c>
      <c r="C23" s="57"/>
      <c r="D23" s="58"/>
      <c r="E23" s="53" t="s">
        <v>48</v>
      </c>
      <c r="F23" s="60">
        <v>3300</v>
      </c>
      <c r="G23" s="53">
        <v>1</v>
      </c>
      <c r="H23" s="38">
        <f t="shared" si="0"/>
        <v>3300</v>
      </c>
    </row>
    <row r="24" spans="1:8" ht="16.5" thickBot="1" x14ac:dyDescent="0.3">
      <c r="A24" s="53">
        <v>39</v>
      </c>
      <c r="B24" s="56" t="s">
        <v>93</v>
      </c>
      <c r="C24" s="57"/>
      <c r="D24" s="58"/>
      <c r="E24" s="53" t="s">
        <v>48</v>
      </c>
      <c r="F24" s="60">
        <v>20500</v>
      </c>
      <c r="G24" s="53">
        <v>1</v>
      </c>
      <c r="H24" s="38">
        <f t="shared" si="0"/>
        <v>20500</v>
      </c>
    </row>
    <row r="25" spans="1:8" ht="16.5" thickBot="1" x14ac:dyDescent="0.3">
      <c r="A25" s="53">
        <v>40</v>
      </c>
      <c r="B25" s="56" t="s">
        <v>94</v>
      </c>
      <c r="C25" s="57"/>
      <c r="D25" s="58"/>
      <c r="E25" s="53" t="s">
        <v>48</v>
      </c>
      <c r="F25" s="60">
        <v>3500</v>
      </c>
      <c r="G25" s="53">
        <v>4</v>
      </c>
      <c r="H25" s="38">
        <f t="shared" si="0"/>
        <v>14000</v>
      </c>
    </row>
    <row r="26" spans="1:8" ht="16.5" thickBot="1" x14ac:dyDescent="0.3">
      <c r="A26" s="53">
        <v>41</v>
      </c>
      <c r="B26" s="56" t="s">
        <v>95</v>
      </c>
      <c r="C26" s="57"/>
      <c r="D26" s="58"/>
      <c r="E26" s="53" t="s">
        <v>48</v>
      </c>
      <c r="F26" s="60">
        <v>9000</v>
      </c>
      <c r="G26" s="53">
        <v>1</v>
      </c>
      <c r="H26" s="38">
        <f t="shared" si="0"/>
        <v>9000</v>
      </c>
    </row>
    <row r="27" spans="1:8" ht="16.5" thickBot="1" x14ac:dyDescent="0.3">
      <c r="A27" s="53">
        <v>42</v>
      </c>
      <c r="B27" s="56" t="s">
        <v>96</v>
      </c>
      <c r="C27" s="57"/>
      <c r="D27" s="58"/>
      <c r="E27" s="53" t="s">
        <v>48</v>
      </c>
      <c r="F27" s="60">
        <v>29000</v>
      </c>
      <c r="G27" s="53">
        <v>1</v>
      </c>
      <c r="H27" s="38">
        <f t="shared" si="0"/>
        <v>29000</v>
      </c>
    </row>
    <row r="28" spans="1:8" ht="16.5" thickBot="1" x14ac:dyDescent="0.3">
      <c r="A28" s="53">
        <v>43</v>
      </c>
      <c r="B28" s="56" t="s">
        <v>97</v>
      </c>
      <c r="C28" s="57"/>
      <c r="D28" s="58"/>
      <c r="E28" s="53" t="s">
        <v>48</v>
      </c>
      <c r="F28" s="60">
        <v>12000</v>
      </c>
      <c r="G28" s="53">
        <v>1</v>
      </c>
      <c r="H28" s="38">
        <f t="shared" si="0"/>
        <v>12000</v>
      </c>
    </row>
    <row r="29" spans="1:8" ht="16.5" thickBot="1" x14ac:dyDescent="0.3">
      <c r="A29" s="53">
        <v>44</v>
      </c>
      <c r="B29" s="56" t="s">
        <v>98</v>
      </c>
      <c r="C29" s="57"/>
      <c r="D29" s="58"/>
      <c r="E29" s="53" t="s">
        <v>48</v>
      </c>
      <c r="F29" s="60">
        <v>3500</v>
      </c>
      <c r="G29" s="53">
        <v>1</v>
      </c>
      <c r="H29" s="38">
        <f t="shared" si="0"/>
        <v>3500</v>
      </c>
    </row>
    <row r="30" spans="1:8" ht="16.5" thickBot="1" x14ac:dyDescent="0.3">
      <c r="A30" s="53">
        <v>45</v>
      </c>
      <c r="B30" s="56" t="s">
        <v>99</v>
      </c>
      <c r="C30" s="57"/>
      <c r="D30" s="58"/>
      <c r="E30" s="53" t="s">
        <v>48</v>
      </c>
      <c r="F30" s="60">
        <v>7000</v>
      </c>
      <c r="G30" s="53">
        <v>1</v>
      </c>
      <c r="H30" s="38">
        <f t="shared" si="0"/>
        <v>7000</v>
      </c>
    </row>
    <row r="31" spans="1:8" ht="16.5" thickBot="1" x14ac:dyDescent="0.3">
      <c r="A31" s="53">
        <v>46</v>
      </c>
      <c r="B31" s="56" t="s">
        <v>100</v>
      </c>
      <c r="C31" s="57"/>
      <c r="D31" s="58"/>
      <c r="E31" s="53" t="s">
        <v>48</v>
      </c>
      <c r="F31" s="60">
        <v>7500</v>
      </c>
      <c r="G31" s="53">
        <v>1</v>
      </c>
      <c r="H31" s="38">
        <f t="shared" si="0"/>
        <v>7500</v>
      </c>
    </row>
    <row r="32" spans="1:8" ht="16.5" thickBot="1" x14ac:dyDescent="0.3">
      <c r="A32" s="53">
        <v>47</v>
      </c>
      <c r="B32" s="56" t="s">
        <v>101</v>
      </c>
      <c r="C32" s="57"/>
      <c r="D32" s="58"/>
      <c r="E32" s="53" t="s">
        <v>48</v>
      </c>
      <c r="F32" s="60">
        <v>2600</v>
      </c>
      <c r="G32" s="53">
        <v>2</v>
      </c>
      <c r="H32" s="38">
        <f t="shared" si="0"/>
        <v>5200</v>
      </c>
    </row>
    <row r="33" spans="1:8" ht="16.5" thickBot="1" x14ac:dyDescent="0.3">
      <c r="A33" s="53">
        <v>48</v>
      </c>
      <c r="B33" s="56" t="s">
        <v>102</v>
      </c>
      <c r="C33" s="57"/>
      <c r="D33" s="58"/>
      <c r="E33" s="53" t="s">
        <v>66</v>
      </c>
      <c r="F33" s="60">
        <v>2300</v>
      </c>
      <c r="G33" s="53">
        <v>3</v>
      </c>
      <c r="H33" s="38">
        <f t="shared" si="0"/>
        <v>6900</v>
      </c>
    </row>
    <row r="34" spans="1:8" ht="16.5" thickBot="1" x14ac:dyDescent="0.3">
      <c r="A34" s="53">
        <v>49</v>
      </c>
      <c r="B34" s="56" t="s">
        <v>103</v>
      </c>
      <c r="C34" s="57"/>
      <c r="D34" s="58"/>
      <c r="E34" s="53" t="s">
        <v>66</v>
      </c>
      <c r="F34" s="60">
        <v>6600</v>
      </c>
      <c r="G34" s="53">
        <v>3</v>
      </c>
      <c r="H34" s="38">
        <f t="shared" si="0"/>
        <v>19800</v>
      </c>
    </row>
    <row r="35" spans="1:8" ht="16.5" thickBot="1" x14ac:dyDescent="0.3">
      <c r="A35" s="53">
        <v>50</v>
      </c>
      <c r="B35" s="56" t="s">
        <v>104</v>
      </c>
      <c r="C35" s="57"/>
      <c r="D35" s="58"/>
      <c r="E35" s="53" t="s">
        <v>66</v>
      </c>
      <c r="F35" s="60">
        <v>5500</v>
      </c>
      <c r="G35" s="53">
        <v>7</v>
      </c>
      <c r="H35" s="38">
        <f t="shared" si="0"/>
        <v>38500</v>
      </c>
    </row>
    <row r="36" spans="1:8" ht="16.5" thickBot="1" x14ac:dyDescent="0.3">
      <c r="A36" s="53">
        <v>51</v>
      </c>
      <c r="B36" s="56" t="s">
        <v>105</v>
      </c>
      <c r="C36" s="57"/>
      <c r="D36" s="58"/>
      <c r="E36" s="53" t="s">
        <v>66</v>
      </c>
      <c r="F36" s="60">
        <v>17500</v>
      </c>
      <c r="G36" s="53">
        <v>7</v>
      </c>
      <c r="H36" s="38">
        <f t="shared" si="0"/>
        <v>122500</v>
      </c>
    </row>
    <row r="37" spans="1:8" ht="16.5" thickBot="1" x14ac:dyDescent="0.3">
      <c r="A37" s="53">
        <v>52</v>
      </c>
      <c r="B37" s="56" t="s">
        <v>106</v>
      </c>
      <c r="C37" s="57"/>
      <c r="D37" s="58"/>
      <c r="E37" s="53" t="s">
        <v>66</v>
      </c>
      <c r="F37" s="60">
        <v>3200</v>
      </c>
      <c r="G37" s="53">
        <v>9</v>
      </c>
      <c r="H37" s="38">
        <f t="shared" si="0"/>
        <v>28800</v>
      </c>
    </row>
    <row r="38" spans="1:8" ht="16.5" thickBot="1" x14ac:dyDescent="0.3">
      <c r="A38" s="53">
        <v>53</v>
      </c>
      <c r="B38" s="56" t="s">
        <v>107</v>
      </c>
      <c r="C38" s="57"/>
      <c r="D38" s="58"/>
      <c r="E38" s="53" t="s">
        <v>66</v>
      </c>
      <c r="F38" s="60">
        <v>12000</v>
      </c>
      <c r="G38" s="53">
        <v>9</v>
      </c>
      <c r="H38" s="38">
        <f t="shared" si="0"/>
        <v>108000</v>
      </c>
    </row>
    <row r="39" spans="1:8" ht="16.5" thickBot="1" x14ac:dyDescent="0.3">
      <c r="A39" s="53">
        <v>54</v>
      </c>
      <c r="B39" s="56" t="s">
        <v>108</v>
      </c>
      <c r="C39" s="57"/>
      <c r="D39" s="58"/>
      <c r="E39" s="53" t="s">
        <v>66</v>
      </c>
      <c r="F39" s="60">
        <v>13000</v>
      </c>
      <c r="G39" s="53">
        <v>7</v>
      </c>
      <c r="H39" s="38">
        <f t="shared" si="0"/>
        <v>91000</v>
      </c>
    </row>
    <row r="40" spans="1:8" ht="16.5" thickBot="1" x14ac:dyDescent="0.3">
      <c r="A40" s="53">
        <v>55</v>
      </c>
      <c r="B40" s="56" t="s">
        <v>109</v>
      </c>
      <c r="C40" s="57"/>
      <c r="D40" s="58"/>
      <c r="E40" s="53" t="s">
        <v>66</v>
      </c>
      <c r="F40" s="60">
        <v>41000</v>
      </c>
      <c r="G40" s="53">
        <v>7</v>
      </c>
      <c r="H40" s="38">
        <f t="shared" si="0"/>
        <v>287000</v>
      </c>
    </row>
    <row r="41" spans="1:8" ht="16.5" thickBot="1" x14ac:dyDescent="0.3">
      <c r="A41" s="53">
        <v>56</v>
      </c>
      <c r="B41" s="56" t="s">
        <v>110</v>
      </c>
      <c r="C41" s="57"/>
      <c r="D41" s="58"/>
      <c r="E41" s="53" t="s">
        <v>66</v>
      </c>
      <c r="F41" s="60">
        <v>7500</v>
      </c>
      <c r="G41" s="53">
        <v>2</v>
      </c>
      <c r="H41" s="38">
        <f t="shared" si="0"/>
        <v>15000</v>
      </c>
    </row>
    <row r="42" spans="1:8" ht="16.5" thickBot="1" x14ac:dyDescent="0.3">
      <c r="A42" s="53">
        <v>57</v>
      </c>
      <c r="B42" s="56" t="s">
        <v>111</v>
      </c>
      <c r="C42" s="57"/>
      <c r="D42" s="58"/>
      <c r="E42" s="53" t="s">
        <v>66</v>
      </c>
      <c r="F42" s="60">
        <v>21800</v>
      </c>
      <c r="G42" s="53">
        <v>2</v>
      </c>
      <c r="H42" s="38">
        <f t="shared" si="0"/>
        <v>43600</v>
      </c>
    </row>
    <row r="43" spans="1:8" ht="16.5" thickBot="1" x14ac:dyDescent="0.3">
      <c r="A43" s="53">
        <v>58</v>
      </c>
      <c r="B43" s="56" t="s">
        <v>112</v>
      </c>
      <c r="C43" s="57"/>
      <c r="D43" s="58"/>
      <c r="E43" s="53" t="s">
        <v>48</v>
      </c>
      <c r="F43" s="60">
        <v>1980000</v>
      </c>
      <c r="G43" s="53">
        <v>1</v>
      </c>
      <c r="H43" s="38">
        <f t="shared" si="0"/>
        <v>1980000</v>
      </c>
    </row>
    <row r="44" spans="1:8" ht="16.5" thickBot="1" x14ac:dyDescent="0.3">
      <c r="A44" s="53">
        <v>59</v>
      </c>
      <c r="B44" s="56" t="s">
        <v>113</v>
      </c>
      <c r="C44" s="57"/>
      <c r="D44" s="58"/>
      <c r="E44" s="53" t="s">
        <v>48</v>
      </c>
      <c r="F44" s="60">
        <v>25000</v>
      </c>
      <c r="G44" s="53">
        <v>2</v>
      </c>
      <c r="H44" s="38">
        <f t="shared" si="0"/>
        <v>50000</v>
      </c>
    </row>
    <row r="45" spans="1:8" ht="16.5" thickBot="1" x14ac:dyDescent="0.3">
      <c r="A45" s="75">
        <v>60</v>
      </c>
      <c r="B45" s="77" t="s">
        <v>114</v>
      </c>
      <c r="C45" s="81"/>
      <c r="D45" s="78"/>
      <c r="E45" s="75" t="s">
        <v>48</v>
      </c>
      <c r="F45" s="76">
        <v>109200</v>
      </c>
      <c r="G45" s="75">
        <v>1</v>
      </c>
      <c r="H45" s="38">
        <f t="shared" si="0"/>
        <v>109200</v>
      </c>
    </row>
    <row r="46" spans="1:8" ht="19.5" customHeight="1" thickBot="1" x14ac:dyDescent="0.3">
      <c r="A46" s="55"/>
      <c r="B46" s="45"/>
      <c r="C46" s="42"/>
      <c r="D46" s="59"/>
      <c r="E46" s="62"/>
      <c r="F46" s="62"/>
      <c r="G46" s="62"/>
    </row>
    <row r="47" spans="1:8" ht="19.5" customHeight="1" thickBot="1" x14ac:dyDescent="0.35">
      <c r="A47" s="52" t="s">
        <v>23</v>
      </c>
      <c r="B47" s="14" t="s">
        <v>115</v>
      </c>
      <c r="D47" s="15"/>
      <c r="E47" s="63"/>
      <c r="F47" s="37" t="s">
        <v>29</v>
      </c>
      <c r="G47" s="6"/>
      <c r="H47" s="7"/>
    </row>
    <row r="48" spans="1:8" ht="19.5" customHeight="1" thickBot="1" x14ac:dyDescent="0.3">
      <c r="A48" s="39"/>
      <c r="B48" s="16" t="s">
        <v>116</v>
      </c>
      <c r="C48" s="4"/>
      <c r="D48" s="4"/>
      <c r="E48" s="66" t="s">
        <v>24</v>
      </c>
      <c r="F48" s="67"/>
      <c r="G48" s="47"/>
      <c r="H48" s="64">
        <f>SUM(H16:H45)</f>
        <v>3217500</v>
      </c>
    </row>
    <row r="49" spans="1:8" ht="19.5" customHeight="1" x14ac:dyDescent="0.25">
      <c r="A49" s="24" t="s">
        <v>25</v>
      </c>
      <c r="B49" s="12"/>
      <c r="C49" s="12"/>
      <c r="D49" s="12"/>
      <c r="E49" s="68" t="s">
        <v>30</v>
      </c>
      <c r="F49" s="23"/>
      <c r="G49" s="69">
        <v>0.19</v>
      </c>
      <c r="H49" s="40">
        <f>H48*G49</f>
        <v>611325</v>
      </c>
    </row>
    <row r="50" spans="1:8" ht="19.5" customHeight="1" x14ac:dyDescent="0.25">
      <c r="A50" s="14" t="s">
        <v>31</v>
      </c>
      <c r="E50" s="70" t="s">
        <v>26</v>
      </c>
      <c r="G50" s="73">
        <v>2.5000000000000001E-2</v>
      </c>
      <c r="H50" s="65">
        <f>H48*G50</f>
        <v>80437.5</v>
      </c>
    </row>
    <row r="51" spans="1:8" ht="15.75" x14ac:dyDescent="0.25">
      <c r="A51" s="14" t="s">
        <v>82</v>
      </c>
      <c r="E51" s="14"/>
      <c r="F51" s="33"/>
      <c r="G51" s="48"/>
      <c r="H51" s="15"/>
    </row>
    <row r="52" spans="1:8" ht="16.5" thickBot="1" x14ac:dyDescent="0.3">
      <c r="A52" s="14" t="s">
        <v>34</v>
      </c>
      <c r="E52" s="71" t="s">
        <v>27</v>
      </c>
      <c r="F52" s="72"/>
      <c r="G52" s="49"/>
      <c r="H52" s="17"/>
    </row>
    <row r="53" spans="1:8" ht="19.5" thickBot="1" x14ac:dyDescent="0.35">
      <c r="A53" s="16"/>
      <c r="B53" s="4"/>
      <c r="C53" s="4"/>
      <c r="D53" s="17"/>
      <c r="F53" s="3"/>
      <c r="G53" s="34" t="s">
        <v>28</v>
      </c>
      <c r="H53" s="36">
        <f>H48+H49-H50</f>
        <v>3748387.5</v>
      </c>
    </row>
    <row r="54" spans="1:8" ht="16.5" customHeight="1" x14ac:dyDescent="0.25"/>
    <row r="59" spans="1:8" ht="15.75" thickBot="1" x14ac:dyDescent="0.3"/>
    <row r="60" spans="1:8" ht="19.5" thickBot="1" x14ac:dyDescent="0.35">
      <c r="A60" s="25" t="s">
        <v>35</v>
      </c>
      <c r="B60" s="6"/>
      <c r="C60" s="6"/>
      <c r="D60" s="6"/>
      <c r="E60" s="6"/>
      <c r="F60" s="6"/>
      <c r="G60" s="6"/>
      <c r="H60" s="7"/>
    </row>
    <row r="68" spans="1:1" ht="18.75" x14ac:dyDescent="0.3">
      <c r="A68" s="5"/>
    </row>
  </sheetData>
  <hyperlinks>
    <hyperlink ref="C10" r:id="rId1" xr:uid="{6D211E35-C531-41D7-966A-AB2DCA7D511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CMR METALMECANICAS</vt:lpstr>
      <vt:lpstr>CMR METALMECANICA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2024-11-22T22:37:55Z</dcterms:modified>
</cp:coreProperties>
</file>