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6405A7D-A95F-4D69-8175-A2C3C6BBA3A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<sst xmlns="http://schemas.openxmlformats.org/spreadsheetml/2006/main" count="54" uniqueCount="54">
  <si>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</si>
  <si>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</si>
  <si>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</si>
  <si>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</si>
  <si>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</si>
  <si>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</si>
  <si>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</si>
  <si>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</si>
  <si>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</si>
  <si>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</si>
  <si>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</si>
  <si>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</si>
  <si>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</si>
  <si>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</si>
  <si>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</si>
  <si>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</si>
  <si>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</si>
  <si>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</si>
  <si>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</si>
  <si>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</si>
  <si>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</si>
  <si>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</si>
  <si>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</si>
  <si>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</si>
  <si>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</si>
  <si>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</si>
  <si>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</si>
  <si>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</si>
  <si>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</si>
  <si>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</si>
  <si>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</si>
  <si>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</si>
  <si>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</si>
  <si>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</si>
  <si>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</si>
  <si>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</si>
  <si>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</si>
  <si>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</si>
  <si>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</si>
  <si>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</si>
  <si>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</si>
  <si>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</si>
  <si>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</si>
  <si>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</si>
  <si>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</si>
  <si>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6 MTS</t>
  </si>
  <si>
    <t>L I Q U I D A C I O N</t>
  </si>
  <si>
    <t>30 DIAS</t>
  </si>
  <si>
    <t xml:space="preserve">                     INGENIERIA , MONTAJES  Y  ASISTENCIA  TECNICA  S A S</t>
  </si>
  <si>
    <t xml:space="preserve">          C O T I Z A C I O N</t>
  </si>
  <si>
    <t>No. 7</t>
  </si>
  <si>
    <t>TUBERIA ESTRUCTURAL HR  RECT.  60 mm X 40 mm</t>
  </si>
  <si>
    <t xml:space="preserve">SETECIENTOS SESENTA Y CINCO MIL CIENTO SETENTA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</si>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</sst>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4"/>
  <sheetViews>
    <sheetView tabSelected="1" topLeftCell="A4" zoomScale="96" zoomScaleNormal="96" workbookViewId="0">
      <selection activeCell="I22" sqref="I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29</v>
      </c>
    </row>
    <row r="3" spans="1:8" ht="27" thickBot="1" x14ac:dyDescent="0.45">
      <c r="A3" s="11" t="s">
        <v>48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31</v>
      </c>
      <c r="E4" s="19"/>
      <c r="F4" s="20"/>
      <c r="G4" s="6"/>
      <c r="H4" s="7"/>
    </row>
    <row r="5" spans="1:8" ht="19.5" thickBot="1" x14ac:dyDescent="0.35">
      <c r="A5" s="51" t="s">
        <v>35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14</v>
      </c>
      <c r="B7" s="13"/>
      <c r="C7" s="31" t="s">
        <v>37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8</v>
      </c>
      <c r="C8" s="25" t="s">
        <v>38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39</v>
      </c>
      <c r="D9" s="24"/>
      <c r="E9" s="25" t="s">
        <v>33</v>
      </c>
      <c r="F9" s="32" t="s">
        <v>0</v>
      </c>
      <c r="H9" s="33">
        <v>45806</v>
      </c>
    </row>
    <row r="10" spans="1:8" ht="18.75" x14ac:dyDescent="0.3">
      <c r="A10" s="22" t="s">
        <v>13</v>
      </c>
      <c r="C10" s="46" t="s">
        <v>41</v>
      </c>
      <c r="D10" s="26"/>
      <c r="E10" s="26"/>
      <c r="F10" s="32" t="s">
        <v>15</v>
      </c>
      <c r="H10" s="34" t="s">
        <v>47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45815</v>
      </c>
    </row>
    <row r="12" spans="1:8" ht="18.75" x14ac:dyDescent="0.3">
      <c r="A12" s="22" t="s">
        <v>11</v>
      </c>
      <c r="C12" s="25" t="s">
        <v>40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36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34</v>
      </c>
      <c r="B15" s="62" t="s">
        <v>22</v>
      </c>
      <c r="C15" s="19"/>
      <c r="D15" s="7"/>
      <c r="E15" s="37" t="s">
        <v>18</v>
      </c>
      <c r="F15" s="37" t="s">
        <v>20</v>
      </c>
      <c r="G15" s="37" t="s">
        <v>19</v>
      </c>
      <c r="H15" s="37" t="s">
        <v>21</v>
      </c>
    </row>
    <row r="16" spans="1:8" ht="16.5" thickBot="1" x14ac:dyDescent="0.3">
      <c r="A16" s="53">
        <v>1</v>
      </c>
      <c r="B16" s="54" t="s">
        <v>51</v>
      </c>
      <c r="C16" s="55"/>
      <c r="D16" s="56"/>
      <c r="E16" s="57" t="s">
        <v>45</v>
      </c>
      <c r="F16" s="58">
        <v>128600</v>
      </c>
      <c r="G16" s="59">
        <v>5</v>
      </c>
      <c r="H16" s="61">
        <f t="shared" ref="H16" si="0">G16*F16</f>
        <v>643000</v>
      </c>
    </row>
    <row r="17" spans="1:8" ht="15.75" thickBot="1" x14ac:dyDescent="0.3">
      <c r="A17" s="50"/>
      <c r="D17" s="50"/>
      <c r="H17" s="50"/>
    </row>
    <row r="18" spans="1:8" ht="19.5" thickBot="1" x14ac:dyDescent="0.35">
      <c r="A18" s="63" t="s">
        <v>23</v>
      </c>
      <c r="B18" s="12" t="s">
        <v>52</v>
      </c>
      <c r="C18" s="13"/>
      <c r="D18" s="14"/>
      <c r="E18" s="13"/>
      <c r="F18" s="38" t="s">
        <v>46</v>
      </c>
      <c r="G18" s="13"/>
      <c r="H18" s="7"/>
    </row>
    <row r="19" spans="1:8" ht="16.5" customHeight="1" thickBot="1" x14ac:dyDescent="0.3">
      <c r="A19" s="64"/>
      <c r="B19" s="17" t="s">
        <v>53</v>
      </c>
      <c r="C19" s="4"/>
      <c r="D19" s="4"/>
      <c r="E19" s="39" t="s">
        <v>24</v>
      </c>
      <c r="F19" s="40"/>
      <c r="G19" s="26"/>
      <c r="H19" s="47">
        <f>SUM(H16:H16)</f>
        <v>643000</v>
      </c>
    </row>
    <row r="20" spans="1:8" ht="15.75" x14ac:dyDescent="0.25">
      <c r="A20" s="27" t="s">
        <v>25</v>
      </c>
      <c r="D20" s="16"/>
      <c r="E20" s="3" t="s">
        <v>30</v>
      </c>
      <c r="F20" s="60"/>
      <c r="G20" s="42">
        <v>0.19</v>
      </c>
      <c r="H20" s="48">
        <f>H19*G20</f>
        <v>122170</v>
      </c>
    </row>
    <row r="21" spans="1:8" ht="15.75" x14ac:dyDescent="0.25">
      <c r="A21" s="15" t="s">
        <v>43</v>
      </c>
      <c r="D21" s="16"/>
      <c r="E21" s="40" t="s">
        <v>26</v>
      </c>
      <c r="G21">
        <v>0</v>
      </c>
      <c r="H21" s="43">
        <v>0</v>
      </c>
    </row>
    <row r="22" spans="1:8" ht="16.5" thickBot="1" x14ac:dyDescent="0.3">
      <c r="A22" s="15" t="s">
        <v>42</v>
      </c>
      <c r="D22" s="16"/>
      <c r="E22" s="40" t="s">
        <v>27</v>
      </c>
      <c r="F22" s="40"/>
      <c r="G22" s="26"/>
      <c r="H22" s="44"/>
    </row>
    <row r="23" spans="1:8" ht="19.5" thickBot="1" x14ac:dyDescent="0.35">
      <c r="A23" s="52" t="s">
        <v>32</v>
      </c>
      <c r="B23" s="4"/>
      <c r="C23" s="4"/>
      <c r="D23" s="18"/>
      <c r="F23" s="3"/>
      <c r="G23" s="41" t="s">
        <v>28</v>
      </c>
      <c r="H23" s="49">
        <f>H19+H20-H21</f>
        <v>765170</v>
      </c>
    </row>
    <row r="25" spans="1:8" ht="15.75" thickBot="1" x14ac:dyDescent="0.3"/>
    <row r="26" spans="1:8" ht="19.5" thickBot="1" x14ac:dyDescent="0.35">
      <c r="A26" s="28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2025-05-21T16:57:37Z</cp:lastPrinted>
  <dcterms:created xsi:type="dcterms:W3CDTF">2018-11-15T17:29:02Z</dcterms:created>
  <dcterms:modified xsi:type="dcterms:W3CDTF">2025-05-29T16:51:36Z</dcterms:modified>
</cp:coreProperties>
</file>