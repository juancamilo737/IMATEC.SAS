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FCD9A58B-C4C0-4817-AA26-D797E548198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RVISAF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6" i="1"/>
  <c r="H19" i="1" s="1"/>
  <c r="H20" i="1" l="1"/>
  <c r="H22" i="1" l="1"/>
  <c r="H26" i="1" s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<sst xmlns="http://schemas.openxmlformats.org/spreadsheetml/2006/main" count="56" uniqueCount="55">
  <si>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</si>
  <si>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</si>
  <si>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</si>
  <si>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</si>
  <si>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</si>
  <si>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</si>
  <si>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</si>
  <si>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</si>
  <si>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</si>
  <si>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</si>
  <si>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</si>
  <si>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</si>
  <si>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</si>
  <si>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</si>
  <si>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</si>
  <si>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</si>
  <si>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</si>
  <si>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</si>
  <si>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</si>
  <si>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</si>
  <si>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</si>
  <si>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</si>
  <si>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</si>
  <si>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</si>
  <si>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</si>
  <si>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</si>
  <si>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</si>
  <si>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</si>
  <si>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</si>
  <si>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</si>
  <si>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</si>
  <si>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</si>
  <si>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</si>
  <si>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</si>
  <si>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</si>
  <si>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</si>
  <si>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</si>
  <si>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</si>
  <si>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</si>
  <si>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SERVISAFE  S.A.S.</t>
  </si>
  <si>
    <t>900 702590</t>
  </si>
  <si>
    <t>CARRERA 1  No. 46 - 45</t>
  </si>
  <si>
    <t>CALI</t>
  </si>
  <si>
    <t>contabilidad@servi-safe.com</t>
  </si>
  <si>
    <t>314 5127322</t>
  </si>
  <si>
    <t>LUIS A. BENAVIDES</t>
  </si>
  <si>
    <t>ENTREGA INMEDIATA</t>
  </si>
  <si>
    <t>ACCESORIO</t>
  </si>
  <si>
    <t>BUSHING AC/INOX 304   1/2 "  X  3/8 "</t>
  </si>
  <si>
    <t>DESCUENTO</t>
  </si>
  <si>
    <t>QUINIENTOS OCHENTA Y SIETE MIL CIENTO SESENTA Y</t>
  </si>
  <si>
    <t>CINCO PESOS MDA / CTE</t>
  </si>
  <si>
    <t xml:space="preserve">           C O T I Z A C I O N</t>
  </si>
  <si>
    <t>No.  23</t>
  </si>
  <si>
    <t>10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</si>
</sst>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31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29" xfId="0" applyFont="1" applyBorder="1" applyAlignment="1">
      <alignment horizontal="center"/>
    </xf>
    <xf numFmtId="0" fontId="8" fillId="0" borderId="18" xfId="0" applyFont="1" applyBorder="1"/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32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  <xf numFmtId="0" fontId="4" fillId="0" borderId="17" xfId="0" applyFont="1" applyBorder="1"/>
    <xf numFmtId="9" fontId="1" fillId="0" borderId="35" xfId="0" applyNumberFormat="1" applyFont="1" applyBorder="1"/>
    <xf numFmtId="42" fontId="1" fillId="0" borderId="36" xfId="0" applyNumberFormat="1" applyFont="1" applyBorder="1" applyAlignment="1">
      <alignment horizontal="lef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servi-saf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4" zoomScaleNormal="100" workbookViewId="0">
      <selection activeCell="M11" sqref="M1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52</v>
      </c>
      <c r="G6" s="42"/>
      <c r="H6" s="43"/>
    </row>
    <row r="7" spans="1:8" ht="19.5" thickBot="1" x14ac:dyDescent="0.35">
      <c r="A7" s="20" t="s">
        <v>14</v>
      </c>
      <c r="B7" s="12"/>
      <c r="C7" s="59" t="s">
        <v>39</v>
      </c>
      <c r="D7" s="12"/>
      <c r="E7" s="13"/>
      <c r="F7" s="37"/>
      <c r="G7" s="18"/>
      <c r="H7" s="19" t="s">
        <v>53</v>
      </c>
    </row>
    <row r="8" spans="1:8" ht="18.75" x14ac:dyDescent="0.3">
      <c r="A8" s="21" t="s">
        <v>8</v>
      </c>
      <c r="C8" s="61" t="s">
        <v>40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41</v>
      </c>
      <c r="D9" s="23"/>
      <c r="E9" s="64" t="s">
        <v>42</v>
      </c>
      <c r="F9" s="30" t="s">
        <v>0</v>
      </c>
      <c r="H9" s="28">
        <v>45853</v>
      </c>
    </row>
    <row r="10" spans="1:8" ht="18.75" x14ac:dyDescent="0.3">
      <c r="A10" s="21" t="s">
        <v>13</v>
      </c>
      <c r="C10" s="65" t="s">
        <v>43</v>
      </c>
      <c r="D10" s="60"/>
      <c r="E10" s="45"/>
      <c r="F10" s="30" t="s">
        <v>15</v>
      </c>
      <c r="H10" s="29" t="s">
        <v>54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45862</v>
      </c>
    </row>
    <row r="12" spans="1:8" ht="18.75" x14ac:dyDescent="0.3">
      <c r="A12" s="21" t="s">
        <v>11</v>
      </c>
      <c r="C12" s="66" t="s">
        <v>44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45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48</v>
      </c>
      <c r="C16" s="71"/>
      <c r="D16" s="72"/>
      <c r="E16" s="69" t="s">
        <v>47</v>
      </c>
      <c r="F16" s="73">
        <v>2800</v>
      </c>
      <c r="G16" s="69">
        <v>180</v>
      </c>
      <c r="H16" s="38">
        <f t="shared" ref="H16" si="0">G16*F16</f>
        <v>504000</v>
      </c>
    </row>
    <row r="17" spans="1:8" ht="19.5" customHeight="1" thickBot="1" x14ac:dyDescent="0.3">
      <c r="A17" s="47"/>
      <c r="B17" s="76"/>
      <c r="D17" s="77"/>
      <c r="E17" s="47"/>
      <c r="F17" s="47"/>
      <c r="G17" s="47"/>
    </row>
    <row r="18" spans="1:8" ht="19.5" customHeight="1" thickBot="1" x14ac:dyDescent="0.35">
      <c r="A18" s="75" t="s">
        <v>23</v>
      </c>
      <c r="B18" s="78" t="s">
        <v>50</v>
      </c>
      <c r="C18" s="12"/>
      <c r="D18" s="13"/>
      <c r="E18" s="48"/>
      <c r="F18" s="37" t="s">
        <v>37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17"/>
      <c r="E19" s="51" t="s">
        <v>24</v>
      </c>
      <c r="F19" s="52"/>
      <c r="G19" s="44"/>
      <c r="H19" s="49">
        <f>SUM(H16:H18)</f>
        <v>504000</v>
      </c>
    </row>
    <row r="20" spans="1:8" ht="19.5" customHeight="1" thickBot="1" x14ac:dyDescent="0.3">
      <c r="A20" s="24" t="s">
        <v>25</v>
      </c>
      <c r="B20" s="12"/>
      <c r="C20" s="12"/>
      <c r="D20" s="12"/>
      <c r="E20" s="55" t="s">
        <v>49</v>
      </c>
      <c r="F20" s="79"/>
      <c r="G20" s="80">
        <v>0.02</v>
      </c>
      <c r="H20" s="81">
        <f>H19*G20</f>
        <v>10080</v>
      </c>
    </row>
    <row r="21" spans="1:8" ht="19.5" customHeight="1" thickTop="1" x14ac:dyDescent="0.25">
      <c r="A21" s="14" t="s">
        <v>30</v>
      </c>
      <c r="E21" s="53" t="s">
        <v>24</v>
      </c>
      <c r="F21" s="79"/>
      <c r="G21" s="80"/>
      <c r="H21" s="49">
        <f>H19-H20</f>
        <v>493920</v>
      </c>
    </row>
    <row r="22" spans="1:8" ht="15.75" x14ac:dyDescent="0.25">
      <c r="A22" s="14" t="s">
        <v>46</v>
      </c>
      <c r="E22" s="53" t="s">
        <v>29</v>
      </c>
      <c r="F22" s="23"/>
      <c r="G22" s="54">
        <v>0.19</v>
      </c>
      <c r="H22" s="40">
        <f>(H19-H20)*0.19</f>
        <v>93844.800000000003</v>
      </c>
    </row>
    <row r="23" spans="1:8" ht="15.75" x14ac:dyDescent="0.25">
      <c r="A23" s="14" t="s">
        <v>32</v>
      </c>
      <c r="E23" s="55" t="s">
        <v>26</v>
      </c>
      <c r="G23" s="58">
        <v>2.5000000000000001E-2</v>
      </c>
      <c r="H23" s="50"/>
    </row>
    <row r="24" spans="1:8" ht="16.5" thickBot="1" x14ac:dyDescent="0.3">
      <c r="A24" s="16"/>
      <c r="B24" s="4"/>
      <c r="C24" s="4"/>
      <c r="D24" s="17"/>
      <c r="E24" s="14"/>
      <c r="F24" s="33"/>
      <c r="G24" s="45"/>
      <c r="H24" s="15"/>
    </row>
    <row r="25" spans="1:8" ht="16.5" customHeight="1" thickBot="1" x14ac:dyDescent="0.3">
      <c r="E25" s="56" t="s">
        <v>27</v>
      </c>
      <c r="F25" s="57"/>
      <c r="G25" s="46"/>
      <c r="H25" s="17"/>
    </row>
    <row r="26" spans="1:8" ht="19.5" thickBot="1" x14ac:dyDescent="0.35">
      <c r="F26" s="3"/>
      <c r="G26" s="34" t="s">
        <v>28</v>
      </c>
      <c r="H26" s="36">
        <f>H19-H20+H22-H23</f>
        <v>587764.80000000005</v>
      </c>
    </row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SERVISAFE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2025-07-12T14:03:56Z</cp:lastPrinted>
  <dcterms:created xsi:type="dcterms:W3CDTF">2018-11-15T17:29:02Z</dcterms:created>
  <dcterms:modified xsi:type="dcterms:W3CDTF">2025-07-15T19:12:25Z</dcterms:modified>
</cp:coreProperties>
</file>