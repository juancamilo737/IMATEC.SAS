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3BB4FEC-315F-4742-B239-E1F46138293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M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8" i="1"/>
  <c r="H17" i="1"/>
  <c r="H16" i="1"/>
  <c r="H23" i="1" l="1"/>
  <c r="H24" i="1" s="1"/>
  <c r="H27" i="1" l="1"/>
  <c r="H26" i="1"/>
  <c r="H25" i="1"/>
  <c r="H29" i="1" s="1"/>
</calcChain>
</file>

<file path=xl/sharedStrings.xml><?xml version="1.0" encoding="utf-8"?>
<sst xmlns="http://schemas.openxmlformats.org/spreadsheetml/2006/main" count="61" uniqueCount="61">
  <si>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</si>
  <si>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</si>
  <si>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</si>
  <si>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</si>
  <si>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</si>
  <si>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</si>
  <si>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</si>
  <si>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</si>
  <si>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</si>
  <si>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</si>
  <si>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</si>
  <si>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</si>
  <si>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</si>
  <si>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</si>
  <si>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</si>
  <si>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</si>
  <si>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</si>
  <si>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</si>
  <si>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</si>
  <si>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</si>
  <si>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</si>
  <si>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</si>
  <si>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</si>
  <si>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</si>
  <si>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</si>
  <si>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</si>
  <si>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</si>
  <si>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</si>
  <si>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</si>
  <si>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</si>
  <si>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</si>
  <si>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</si>
  <si>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</si>
  <si>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</si>
  <si>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</si>
  <si>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</si>
  <si>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IMAD S.A.S.</t>
  </si>
  <si>
    <t>805 018755</t>
  </si>
  <si>
    <t>CRA 15  No. 31-33</t>
  </si>
  <si>
    <t>CALI</t>
  </si>
  <si>
    <t>contabilidad2@imad.com.co</t>
  </si>
  <si>
    <t>602 4027773</t>
  </si>
  <si>
    <t>EDINSON CABEZAS</t>
  </si>
  <si>
    <t>L I Q U I D A C I O N</t>
  </si>
  <si>
    <t xml:space="preserve">  CALLE  33A  No. 17F - 56                          B/  LA FLORESTA             -   CALI    -                                   CEL.     321 7834969</t>
  </si>
  <si>
    <t>10 DIAS</t>
  </si>
  <si>
    <t xml:space="preserve">           C O T I Z A C I O N</t>
  </si>
  <si>
    <t xml:space="preserve">   RETEICA</t>
  </si>
  <si>
    <t>DESCUENTO</t>
  </si>
  <si>
    <t>SUBTOTAL 2</t>
  </si>
  <si>
    <t>No. 16</t>
  </si>
  <si>
    <t>TUBERIA  A / C  SCH 40  2 1/2  "  X  6  MTS</t>
  </si>
  <si>
    <t xml:space="preserve">TUBO </t>
  </si>
  <si>
    <t>TUBERIA  A / C  SCH 10  8 "  X  5.80 MTS RANURADO</t>
  </si>
  <si>
    <t>TUBO</t>
  </si>
  <si>
    <t>UNION  HD RIGIDA RANURADA  8 "</t>
  </si>
  <si>
    <t>ACCESORIO</t>
  </si>
  <si>
    <t xml:space="preserve">SESENTA Y NUEVE MILLONES  SETECIENTOS OCHENTA Y </t>
  </si>
  <si>
    <t>SEIS MIL NOVENTA Y TRES PESOS MDA / CTE</t>
  </si>
  <si>
    <t>FORMA DE PAGO : ANTICIPO 50 % SALDO A CREDITO A 30 DIAS</t>
  </si>
  <si>
    <t>ENTREGA EN 4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</si>
</sst>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24" xfId="0" applyFont="1" applyBorder="1"/>
    <xf numFmtId="0" fontId="4" fillId="0" borderId="17" xfId="0" applyFont="1" applyBorder="1"/>
    <xf numFmtId="0" fontId="0" fillId="0" borderId="32" xfId="0" applyBorder="1"/>
    <xf numFmtId="9" fontId="1" fillId="0" borderId="32" xfId="0" applyNumberFormat="1" applyFont="1" applyBorder="1"/>
    <xf numFmtId="42" fontId="1" fillId="0" borderId="33" xfId="0" applyNumberFormat="1" applyFont="1" applyBorder="1" applyAlignment="1">
      <alignment horizontal="left"/>
    </xf>
    <xf numFmtId="0" fontId="1" fillId="0" borderId="34" xfId="0" applyFont="1" applyBorder="1" applyAlignment="1">
      <alignment horizontal="left" vertical="top" wrapText="1"/>
    </xf>
    <xf numFmtId="0" fontId="0" fillId="0" borderId="35" xfId="0" applyBorder="1"/>
    <xf numFmtId="0" fontId="0" fillId="0" borderId="36" xfId="0" applyBorder="1"/>
    <xf numFmtId="0" fontId="0" fillId="0" borderId="6" xfId="0" applyBorder="1"/>
    <xf numFmtId="0" fontId="1" fillId="0" borderId="28" xfId="0" applyFont="1" applyBorder="1" applyAlignment="1">
      <alignment horizontal="center"/>
    </xf>
    <xf numFmtId="0" fontId="8" fillId="0" borderId="35" xfId="0" applyFont="1" applyBorder="1"/>
    <xf numFmtId="0" fontId="8" fillId="0" borderId="0" xfId="0" applyFont="1" applyBorder="1"/>
    <xf numFmtId="0" fontId="8" fillId="0" borderId="36" xfId="0" applyFont="1" applyBorder="1"/>
    <xf numFmtId="42" fontId="11" fillId="0" borderId="28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imad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4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45867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45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5.75" customHeight="1" thickBot="1" x14ac:dyDescent="0.3">
      <c r="A16" s="69">
        <v>1</v>
      </c>
      <c r="B16" s="70" t="s">
        <v>51</v>
      </c>
      <c r="C16" s="71"/>
      <c r="D16" s="72"/>
      <c r="E16" s="69" t="s">
        <v>52</v>
      </c>
      <c r="F16" s="73">
        <v>352560</v>
      </c>
      <c r="G16" s="69">
        <v>168</v>
      </c>
      <c r="H16" s="38">
        <f t="shared" ref="H16" si="0">G16*F16</f>
        <v>59230080</v>
      </c>
    </row>
    <row r="17" spans="1:8" ht="15.75" customHeight="1" thickBot="1" x14ac:dyDescent="0.3">
      <c r="A17" s="69">
        <v>2</v>
      </c>
      <c r="B17" s="70" t="s">
        <v>53</v>
      </c>
      <c r="C17" s="71"/>
      <c r="D17" s="72"/>
      <c r="E17" s="69" t="s">
        <v>54</v>
      </c>
      <c r="F17" s="73">
        <v>1001300</v>
      </c>
      <c r="G17" s="69">
        <v>1</v>
      </c>
      <c r="H17" s="38">
        <f t="shared" ref="H17:H18" si="1">G17*F17</f>
        <v>1001300</v>
      </c>
    </row>
    <row r="18" spans="1:8" ht="15.75" customHeight="1" thickBot="1" x14ac:dyDescent="0.3">
      <c r="A18" s="69">
        <v>3</v>
      </c>
      <c r="B18" s="70" t="s">
        <v>55</v>
      </c>
      <c r="C18" s="71"/>
      <c r="D18" s="72"/>
      <c r="E18" s="69" t="s">
        <v>56</v>
      </c>
      <c r="F18" s="73">
        <v>69400</v>
      </c>
      <c r="G18" s="69">
        <v>1</v>
      </c>
      <c r="H18" s="38">
        <f t="shared" si="1"/>
        <v>69400</v>
      </c>
    </row>
    <row r="19" spans="1:8" ht="15.75" customHeight="1" x14ac:dyDescent="0.25">
      <c r="A19" s="84"/>
      <c r="B19" s="85"/>
      <c r="C19" s="86"/>
      <c r="D19" s="87"/>
      <c r="E19" s="84"/>
      <c r="F19" s="88"/>
      <c r="G19" s="84"/>
      <c r="H19" s="89"/>
    </row>
    <row r="20" spans="1:8" ht="19.5" customHeight="1" thickBot="1" x14ac:dyDescent="0.3">
      <c r="A20" s="47"/>
      <c r="B20" s="81"/>
      <c r="D20" s="82"/>
      <c r="E20" s="47"/>
      <c r="F20" s="47"/>
      <c r="G20" s="47"/>
    </row>
    <row r="21" spans="1:8" ht="19.5" customHeight="1" thickBot="1" x14ac:dyDescent="0.35">
      <c r="A21" s="80" t="s">
        <v>23</v>
      </c>
      <c r="B21" s="83" t="s">
        <v>57</v>
      </c>
      <c r="C21" s="12"/>
      <c r="D21" s="13"/>
      <c r="E21" s="48"/>
      <c r="F21" s="37" t="s">
        <v>43</v>
      </c>
      <c r="G21" s="6"/>
      <c r="H21" s="7"/>
    </row>
    <row r="22" spans="1:8" ht="19.5" customHeight="1" thickBot="1" x14ac:dyDescent="0.3">
      <c r="A22" s="39"/>
      <c r="B22" s="16" t="s">
        <v>58</v>
      </c>
      <c r="C22" s="4"/>
      <c r="D22" s="17"/>
      <c r="E22" s="51" t="s">
        <v>24</v>
      </c>
      <c r="F22" s="52"/>
      <c r="G22" s="44"/>
      <c r="H22" s="49">
        <f>SUM(H16:H18)</f>
        <v>60300780</v>
      </c>
    </row>
    <row r="23" spans="1:8" ht="19.5" customHeight="1" thickBot="1" x14ac:dyDescent="0.3">
      <c r="A23" s="24" t="s">
        <v>25</v>
      </c>
      <c r="B23" s="12"/>
      <c r="C23" s="12"/>
      <c r="D23" s="12"/>
      <c r="E23" s="55" t="s">
        <v>48</v>
      </c>
      <c r="F23" s="76"/>
      <c r="G23" s="78">
        <v>0</v>
      </c>
      <c r="H23" s="79">
        <f>H22*G23</f>
        <v>0</v>
      </c>
    </row>
    <row r="24" spans="1:8" ht="19.5" customHeight="1" thickTop="1" x14ac:dyDescent="0.25">
      <c r="A24" s="14" t="s">
        <v>59</v>
      </c>
      <c r="E24" s="55" t="s">
        <v>49</v>
      </c>
      <c r="F24" s="76"/>
      <c r="G24" s="77"/>
      <c r="H24" s="49">
        <f>H22-H23</f>
        <v>60300780</v>
      </c>
    </row>
    <row r="25" spans="1:8" ht="15.75" x14ac:dyDescent="0.25">
      <c r="A25" s="14" t="s">
        <v>60</v>
      </c>
      <c r="E25" s="53" t="s">
        <v>29</v>
      </c>
      <c r="F25" s="23"/>
      <c r="G25" s="54">
        <v>0.19</v>
      </c>
      <c r="H25" s="40">
        <f>H24*G25</f>
        <v>11457148.199999999</v>
      </c>
    </row>
    <row r="26" spans="1:8" ht="15.75" x14ac:dyDescent="0.25">
      <c r="A26" s="14" t="s">
        <v>31</v>
      </c>
      <c r="E26" s="55" t="s">
        <v>26</v>
      </c>
      <c r="G26" s="58">
        <v>2.5000000000000001E-2</v>
      </c>
      <c r="H26" s="50">
        <f>H24*G26</f>
        <v>1507519.5</v>
      </c>
    </row>
    <row r="27" spans="1:8" ht="16.5" thickBot="1" x14ac:dyDescent="0.3">
      <c r="A27" s="16"/>
      <c r="B27" s="4"/>
      <c r="C27" s="4"/>
      <c r="D27" s="17"/>
      <c r="E27" s="53" t="s">
        <v>47</v>
      </c>
      <c r="F27" s="33"/>
      <c r="G27" s="75">
        <v>7.7000000000000002E-3</v>
      </c>
      <c r="H27" s="50">
        <f>H24*G27</f>
        <v>464316.00599999999</v>
      </c>
    </row>
    <row r="28" spans="1:8" ht="16.5" customHeight="1" thickBot="1" x14ac:dyDescent="0.3">
      <c r="E28" s="56" t="s">
        <v>27</v>
      </c>
      <c r="F28" s="57"/>
      <c r="G28" s="46"/>
      <c r="H28" s="17"/>
    </row>
    <row r="29" spans="1:8" ht="19.5" thickBot="1" x14ac:dyDescent="0.35">
      <c r="F29" s="3"/>
      <c r="G29" s="34" t="s">
        <v>28</v>
      </c>
      <c r="H29" s="36">
        <f>H24+H25-H26-H27</f>
        <v>69786092.694000006</v>
      </c>
    </row>
    <row r="33" spans="1:8" ht="15.75" thickBot="1" x14ac:dyDescent="0.3"/>
    <row r="34" spans="1:8" ht="19.5" thickBot="1" x14ac:dyDescent="0.35">
      <c r="A34" s="25" t="s">
        <v>44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D476046D-6B2D-43C3-8278-9FB3483352E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2025-06-04T22:05:57Z</cp:lastPrinted>
  <dcterms:created xsi:type="dcterms:W3CDTF">2018-11-15T17:29:02Z</dcterms:created>
  <dcterms:modified xsi:type="dcterms:W3CDTF">2025-07-29T20:27:55Z</dcterms:modified>
</cp:coreProperties>
</file>