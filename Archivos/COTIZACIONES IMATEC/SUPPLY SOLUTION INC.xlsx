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5423A8C-2D00-4A4F-B44F-D589A8A339A5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3" i="1"/>
  <c r="H18" i="1"/>
  <c r="H17" i="1"/>
  <c r="H16" i="1"/>
  <c r="H21" i="1" l="1"/>
  <c r="H22" i="1" l="1"/>
</calcChain>
</file>

<file path=xl/sharedStrings.xml><?xml version="1.0" encoding="utf-8"?>
<sst xmlns="http://schemas.openxmlformats.org/spreadsheetml/2006/main" count="57" uniqueCount="56">
  <si>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</si>
  <si>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</si>
  <si>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</si>
  <si>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</si>
  <si>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</si>
  <si>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</si>
  <si>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</si>
  <si>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</si>
  <si>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</si>
  <si>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</si>
  <si>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</si>
  <si>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</si>
  <si>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</si>
  <si>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</si>
  <si>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</si>
  <si>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</si>
  <si>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</si>
  <si>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</si>
  <si>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</si>
  <si>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</si>
  <si>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</si>
  <si>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</si>
  <si>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</si>
  <si>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</si>
  <si>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</si>
  <si>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</si>
  <si>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</si>
  <si>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</si>
  <si>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</si>
  <si>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</si>
  <si>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</si>
  <si>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</si>
  <si>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</si>
  <si>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</si>
  <si>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</si>
  <si>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</si>
  <si>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</si>
  <si>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</si>
  <si>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</si>
  <si>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</si>
  <si>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</si>
  <si>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</si>
  <si>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SUPPLY SOLUTIONS INC S.A.S.</t>
  </si>
  <si>
    <t>No.  1</t>
  </si>
  <si>
    <t>901 445626</t>
  </si>
  <si>
    <t>VIA 40  No.  71 - 197  BOD.  419</t>
  </si>
  <si>
    <t>facturacion@supplyinc.com.co</t>
  </si>
  <si>
    <t>301 6047282</t>
  </si>
  <si>
    <t>LUIS A. BENAVIDES</t>
  </si>
  <si>
    <t xml:space="preserve">TUBERIA  AC/INOX SCH 10  14 " </t>
  </si>
  <si>
    <t>METRO LINEAL</t>
  </si>
  <si>
    <t xml:space="preserve">TEE AC/INOX SCH 10 14 " </t>
  </si>
  <si>
    <t>BRIDA AC/INOX 304 SLIP ON 14 "</t>
  </si>
  <si>
    <t>CINCUENTA Y UN MILLONES SETENTA Y TRES MIL SEIS-</t>
  </si>
  <si>
    <t>CIENTOS 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</si>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</sst>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@supplyinc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4" zoomScaleNormal="100" workbookViewId="0">
      <selection activeCell="I17" sqref="I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59" t="s">
        <v>42</v>
      </c>
      <c r="D7" s="12"/>
      <c r="E7" s="13"/>
      <c r="F7" s="37"/>
      <c r="G7" s="18"/>
      <c r="H7" s="19" t="s">
        <v>43</v>
      </c>
    </row>
    <row r="8" spans="1:8" ht="18.75" x14ac:dyDescent="0.3">
      <c r="A8" s="21" t="s">
        <v>8</v>
      </c>
      <c r="C8" s="63" t="s">
        <v>44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45</v>
      </c>
      <c r="E9" s="15"/>
      <c r="F9" s="30" t="s">
        <v>0</v>
      </c>
      <c r="H9" s="28">
        <v>45790</v>
      </c>
    </row>
    <row r="10" spans="1:8" ht="18.75" x14ac:dyDescent="0.3">
      <c r="A10" s="21" t="s">
        <v>13</v>
      </c>
      <c r="C10" s="64" t="s">
        <v>46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45799</v>
      </c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49</v>
      </c>
      <c r="C16" s="67"/>
      <c r="D16" s="68"/>
      <c r="E16" s="65" t="s">
        <v>50</v>
      </c>
      <c r="F16" s="69">
        <v>750000</v>
      </c>
      <c r="G16" s="65">
        <v>36</v>
      </c>
      <c r="H16" s="38">
        <f t="shared" ref="H16:H18" si="0">G16*F16</f>
        <v>27000000</v>
      </c>
    </row>
    <row r="17" spans="1:8" ht="16.5" thickBot="1" x14ac:dyDescent="0.3">
      <c r="A17" s="65">
        <v>2</v>
      </c>
      <c r="B17" s="66" t="s">
        <v>51</v>
      </c>
      <c r="C17" s="67"/>
      <c r="D17" s="68"/>
      <c r="E17" s="65" t="s">
        <v>39</v>
      </c>
      <c r="F17" s="69">
        <v>4100000</v>
      </c>
      <c r="G17" s="65">
        <v>2</v>
      </c>
      <c r="H17" s="38">
        <f t="shared" si="0"/>
        <v>8200000</v>
      </c>
    </row>
    <row r="18" spans="1:8" ht="16.5" thickBot="1" x14ac:dyDescent="0.3">
      <c r="A18" s="65">
        <v>3</v>
      </c>
      <c r="B18" s="66" t="s">
        <v>52</v>
      </c>
      <c r="C18" s="67"/>
      <c r="D18" s="68"/>
      <c r="E18" s="65" t="s">
        <v>39</v>
      </c>
      <c r="F18" s="69">
        <v>1080000</v>
      </c>
      <c r="G18" s="65">
        <v>8</v>
      </c>
      <c r="H18" s="38">
        <f t="shared" si="0"/>
        <v>8640000</v>
      </c>
    </row>
    <row r="19" spans="1:8" ht="19.5" customHeight="1" thickBot="1" x14ac:dyDescent="0.3">
      <c r="A19" s="47"/>
      <c r="B19" s="61"/>
      <c r="D19" s="62"/>
      <c r="E19" s="47"/>
      <c r="F19" s="47"/>
      <c r="G19" s="47"/>
    </row>
    <row r="20" spans="1:8" ht="19.5" customHeight="1" thickBot="1" x14ac:dyDescent="0.35">
      <c r="A20" s="60" t="s">
        <v>23</v>
      </c>
      <c r="B20" s="63" t="s">
        <v>53</v>
      </c>
      <c r="C20" s="12"/>
      <c r="D20" s="13"/>
      <c r="E20" s="48"/>
      <c r="F20" s="37" t="s">
        <v>40</v>
      </c>
      <c r="G20" s="6"/>
      <c r="H20" s="7"/>
    </row>
    <row r="21" spans="1:8" ht="19.5" customHeight="1" thickBot="1" x14ac:dyDescent="0.3">
      <c r="A21" s="39"/>
      <c r="B21" s="16" t="s">
        <v>54</v>
      </c>
      <c r="C21" s="4"/>
      <c r="D21" s="17"/>
      <c r="E21" s="51" t="s">
        <v>24</v>
      </c>
      <c r="F21" s="52"/>
      <c r="G21" s="44"/>
      <c r="H21" s="49">
        <f>SUM(H16:H20)</f>
        <v>43840000</v>
      </c>
    </row>
    <row r="22" spans="1:8" ht="19.5" customHeight="1" x14ac:dyDescent="0.25">
      <c r="A22" s="24" t="s">
        <v>25</v>
      </c>
      <c r="B22" s="12"/>
      <c r="C22" s="12"/>
      <c r="D22" s="12"/>
      <c r="E22" s="53" t="s">
        <v>29</v>
      </c>
      <c r="F22" s="23"/>
      <c r="G22" s="54">
        <v>0.19</v>
      </c>
      <c r="H22" s="40">
        <f>H21*G22</f>
        <v>8329600</v>
      </c>
    </row>
    <row r="23" spans="1:8" ht="19.5" customHeight="1" x14ac:dyDescent="0.25">
      <c r="A23" s="14" t="s">
        <v>30</v>
      </c>
      <c r="E23" s="55" t="s">
        <v>26</v>
      </c>
      <c r="G23" s="58">
        <v>2.5000000000000001E-2</v>
      </c>
      <c r="H23" s="50">
        <f>H21*G23</f>
        <v>1096000</v>
      </c>
    </row>
    <row r="24" spans="1:8" ht="15.75" x14ac:dyDescent="0.25">
      <c r="A24" s="14" t="s">
        <v>55</v>
      </c>
      <c r="E24" s="14"/>
      <c r="F24" s="33"/>
      <c r="G24" s="45"/>
      <c r="H24" s="15"/>
    </row>
    <row r="25" spans="1:8" ht="16.5" thickBot="1" x14ac:dyDescent="0.3">
      <c r="A25" s="14" t="s">
        <v>33</v>
      </c>
      <c r="E25" s="56" t="s">
        <v>27</v>
      </c>
      <c r="F25" s="57"/>
      <c r="G25" s="46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</f>
        <v>51073600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41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7DCAFB94-6B96-4092-8502-6FEE096E3DBC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2025-05-13T16:24:42Z</dcterms:modified>
</cp:coreProperties>
</file>