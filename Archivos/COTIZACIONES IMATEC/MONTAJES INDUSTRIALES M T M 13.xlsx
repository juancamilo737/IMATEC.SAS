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2B63F2F-90BE-42D1-840C-A72D8D75A00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.T.M.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3" i="1"/>
  <c r="H22" i="1"/>
  <c r="H20" i="1"/>
  <c r="H17" i="1"/>
  <c r="H16" i="1"/>
  <c r="H21" i="1" l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<sst xmlns="http://schemas.openxmlformats.org/spreadsheetml/2006/main" count="57" uniqueCount="57">
  <si>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</si>
  <si>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</si>
  <si>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</si>
  <si>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</si>
  <si>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</si>
  <si>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</si>
  <si>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</si>
  <si>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</si>
  <si>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</si>
  <si>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</si>
  <si>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</si>
  <si>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</si>
  <si>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</si>
  <si>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</si>
  <si>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</si>
  <si>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</si>
  <si>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</si>
  <si>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</si>
  <si>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</si>
  <si>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</si>
  <si>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</si>
  <si>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</si>
  <si>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</si>
  <si>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</si>
  <si>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</si>
  <si>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</si>
  <si>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</si>
  <si>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</si>
  <si>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</si>
  <si>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</si>
  <si>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</si>
  <si>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</si>
  <si>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</si>
  <si>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</si>
  <si>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</si>
  <si>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</si>
  <si>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MONTAJES INDUSTRIALES M.T.M. LTDA</t>
  </si>
  <si>
    <t>900 510720</t>
  </si>
  <si>
    <t>CALLE 33 E  No. 27-13</t>
  </si>
  <si>
    <t>CALI</t>
  </si>
  <si>
    <t>mtmltda@yahoo.es</t>
  </si>
  <si>
    <t>602 3737300</t>
  </si>
  <si>
    <t>EDINSON CABEZAS</t>
  </si>
  <si>
    <t xml:space="preserve">              R E M I S I O N</t>
  </si>
  <si>
    <t>ENTREGA INMEDIATA</t>
  </si>
  <si>
    <t>ACCESORIO</t>
  </si>
  <si>
    <t>FORMA DE PAGO : CREDITO A 15 DIAS</t>
  </si>
  <si>
    <t>15 DIAS</t>
  </si>
  <si>
    <t xml:space="preserve">  CALLE  33A  No. 17F - 56                       B/  LA FLORESTA             -   CALI    -                                       CEL.     321 7834969</t>
  </si>
  <si>
    <t>L I Q U I D A C I O N</t>
  </si>
  <si>
    <t>No. 13</t>
  </si>
  <si>
    <t xml:space="preserve">TUBERIA  A / C SCH 40  2 "  </t>
  </si>
  <si>
    <t>TUBO X 6 MTS</t>
  </si>
  <si>
    <t>UNION A / C  2 "  X  3000 LBS  SW</t>
  </si>
  <si>
    <t xml:space="preserve">  RETEICA</t>
  </si>
  <si>
    <t>UN MILLON SEISCIENTOS NOVENTA Y OCHO MIL NOVE-</t>
  </si>
  <si>
    <t>CIENTOS SETENTA Y CUATRO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</si>
</sst>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8" xfId="0" applyBorder="1"/>
    <xf numFmtId="0" fontId="0" fillId="0" borderId="24" xfId="0" applyBorder="1"/>
    <xf numFmtId="0" fontId="13" fillId="0" borderId="9" xfId="2" applyBorder="1"/>
    <xf numFmtId="0" fontId="0" fillId="0" borderId="25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9" xfId="0" applyFont="1" applyBorder="1"/>
    <xf numFmtId="9" fontId="1" fillId="0" borderId="19" xfId="3" applyFont="1" applyBorder="1"/>
    <xf numFmtId="0" fontId="4" fillId="0" borderId="20" xfId="0" applyFont="1" applyBorder="1"/>
    <xf numFmtId="0" fontId="4" fillId="0" borderId="22" xfId="0" applyFont="1" applyBorder="1"/>
    <xf numFmtId="0" fontId="4" fillId="0" borderId="23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0" fillId="0" borderId="26" xfId="0" applyBorder="1"/>
    <xf numFmtId="0" fontId="0" fillId="0" borderId="27" xfId="0" applyBorder="1"/>
    <xf numFmtId="0" fontId="0" fillId="0" borderId="6" xfId="0" applyBorder="1"/>
    <xf numFmtId="0" fontId="0" fillId="0" borderId="8" xfId="0" applyBorder="1"/>
    <xf numFmtId="0" fontId="1" fillId="0" borderId="28" xfId="0" applyFont="1" applyBorder="1" applyAlignment="1">
      <alignment horizontal="left" vertical="top" wrapText="1"/>
    </xf>
    <xf numFmtId="14" fontId="10" fillId="0" borderId="10" xfId="0" applyNumberFormat="1" applyFont="1" applyBorder="1"/>
    <xf numFmtId="0" fontId="1" fillId="0" borderId="17" xfId="0" applyFont="1" applyBorder="1" applyAlignment="1">
      <alignment horizontal="center"/>
    </xf>
    <xf numFmtId="0" fontId="8" fillId="0" borderId="30" xfId="0" applyFont="1" applyBorder="1"/>
    <xf numFmtId="0" fontId="8" fillId="0" borderId="17" xfId="0" applyFont="1" applyBorder="1"/>
    <xf numFmtId="0" fontId="8" fillId="0" borderId="29" xfId="0" applyFont="1" applyBorder="1"/>
    <xf numFmtId="0" fontId="1" fillId="0" borderId="31" xfId="0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21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tmltda@yahoo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B21" sqref="B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3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5" t="s">
        <v>32</v>
      </c>
      <c r="B5" s="6"/>
      <c r="C5" s="6"/>
      <c r="D5" s="6"/>
      <c r="E5" s="6"/>
    </row>
    <row r="6" spans="1:8" ht="24.75" customHeight="1" thickBot="1" x14ac:dyDescent="0.45">
      <c r="F6" s="38" t="s">
        <v>43</v>
      </c>
      <c r="G6" s="39"/>
      <c r="H6" s="40"/>
    </row>
    <row r="7" spans="1:8" ht="19.5" thickBot="1" x14ac:dyDescent="0.35">
      <c r="A7" s="19" t="s">
        <v>14</v>
      </c>
      <c r="B7" s="12"/>
      <c r="C7" s="41" t="s">
        <v>36</v>
      </c>
      <c r="D7" s="6"/>
      <c r="E7" s="6"/>
      <c r="F7" s="35"/>
      <c r="G7" s="17"/>
      <c r="H7" s="18" t="s">
        <v>50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38</v>
      </c>
      <c r="E9" s="57" t="s">
        <v>39</v>
      </c>
      <c r="F9" s="29" t="s">
        <v>0</v>
      </c>
      <c r="H9" s="27">
        <v>45861</v>
      </c>
    </row>
    <row r="10" spans="1:8" ht="18.75" x14ac:dyDescent="0.3">
      <c r="A10" s="20" t="s">
        <v>13</v>
      </c>
      <c r="C10" s="44" t="s">
        <v>40</v>
      </c>
      <c r="E10" s="14"/>
      <c r="F10" s="29" t="s">
        <v>15</v>
      </c>
      <c r="H10" s="28" t="s">
        <v>47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45874</v>
      </c>
    </row>
    <row r="12" spans="1:8" ht="18.75" x14ac:dyDescent="0.3">
      <c r="A12" s="20" t="s">
        <v>11</v>
      </c>
      <c r="C12" s="13" t="s">
        <v>41</v>
      </c>
      <c r="E12" s="14"/>
      <c r="F12" s="29" t="s">
        <v>17</v>
      </c>
      <c r="H12" s="64"/>
    </row>
    <row r="13" spans="1:8" ht="18.75" customHeight="1" thickBot="1" x14ac:dyDescent="0.35">
      <c r="A13" s="21" t="s">
        <v>12</v>
      </c>
      <c r="B13" s="4"/>
      <c r="C13" s="15" t="s">
        <v>42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0" t="s">
        <v>33</v>
      </c>
      <c r="B15" s="58" t="s">
        <v>22</v>
      </c>
      <c r="C15" s="17"/>
      <c r="D15" s="7"/>
      <c r="E15" s="30" t="s">
        <v>18</v>
      </c>
      <c r="F15" s="30" t="s">
        <v>20</v>
      </c>
      <c r="G15" s="30" t="s">
        <v>19</v>
      </c>
      <c r="H15" s="30" t="s">
        <v>21</v>
      </c>
    </row>
    <row r="16" spans="1:8" ht="16.5" thickBot="1" x14ac:dyDescent="0.3">
      <c r="A16" s="65">
        <v>1</v>
      </c>
      <c r="B16" s="66" t="s">
        <v>51</v>
      </c>
      <c r="C16" s="67"/>
      <c r="D16" s="68"/>
      <c r="E16" s="69" t="s">
        <v>52</v>
      </c>
      <c r="F16" s="70">
        <v>232610</v>
      </c>
      <c r="G16" s="69">
        <v>5</v>
      </c>
      <c r="H16" s="71">
        <f t="shared" ref="H16" si="0">G16*F16</f>
        <v>1163050</v>
      </c>
    </row>
    <row r="17" spans="1:8" ht="15.75" x14ac:dyDescent="0.25">
      <c r="A17" s="65">
        <v>2</v>
      </c>
      <c r="B17" s="66" t="s">
        <v>53</v>
      </c>
      <c r="C17" s="67"/>
      <c r="D17" s="68"/>
      <c r="E17" s="69" t="s">
        <v>45</v>
      </c>
      <c r="F17" s="70">
        <v>30500</v>
      </c>
      <c r="G17" s="69">
        <v>10</v>
      </c>
      <c r="H17" s="71">
        <f t="shared" ref="H17" si="1">G17*F17</f>
        <v>305000</v>
      </c>
    </row>
    <row r="18" spans="1:8" ht="19.5" customHeight="1" thickBot="1" x14ac:dyDescent="0.3">
      <c r="A18" s="45"/>
      <c r="B18" s="59"/>
      <c r="D18" s="60"/>
      <c r="E18" s="45"/>
      <c r="F18" s="45"/>
      <c r="G18" s="45"/>
    </row>
    <row r="19" spans="1:8" ht="19.5" customHeight="1" thickBot="1" x14ac:dyDescent="0.35">
      <c r="A19" s="63" t="s">
        <v>23</v>
      </c>
      <c r="B19" s="61" t="s">
        <v>55</v>
      </c>
      <c r="C19" s="12"/>
      <c r="D19" s="62"/>
      <c r="E19" s="46"/>
      <c r="F19" s="35" t="s">
        <v>49</v>
      </c>
      <c r="G19" s="6"/>
      <c r="H19" s="7"/>
    </row>
    <row r="20" spans="1:8" ht="19.5" customHeight="1" thickBot="1" x14ac:dyDescent="0.3">
      <c r="A20" s="36"/>
      <c r="B20" s="15" t="s">
        <v>56</v>
      </c>
      <c r="C20" s="4"/>
      <c r="D20" s="16"/>
      <c r="E20" s="49" t="s">
        <v>24</v>
      </c>
      <c r="F20" s="50"/>
      <c r="G20" s="42"/>
      <c r="H20" s="47">
        <f>SUM(H16:H17)</f>
        <v>1468050</v>
      </c>
    </row>
    <row r="21" spans="1:8" ht="19.5" customHeight="1" x14ac:dyDescent="0.25">
      <c r="A21" s="23" t="s">
        <v>25</v>
      </c>
      <c r="B21" s="12"/>
      <c r="C21" s="12"/>
      <c r="D21" s="12"/>
      <c r="E21" s="51" t="s">
        <v>29</v>
      </c>
      <c r="F21" s="22"/>
      <c r="G21" s="52">
        <v>0.19</v>
      </c>
      <c r="H21" s="37">
        <f>H20*G21</f>
        <v>278929.5</v>
      </c>
    </row>
    <row r="22" spans="1:8" ht="19.5" customHeight="1" x14ac:dyDescent="0.25">
      <c r="A22" s="13" t="s">
        <v>46</v>
      </c>
      <c r="E22" s="53" t="s">
        <v>26</v>
      </c>
      <c r="G22" s="56">
        <v>2.5000000000000001E-2</v>
      </c>
      <c r="H22" s="48">
        <f>H20*G22</f>
        <v>36701.25</v>
      </c>
    </row>
    <row r="23" spans="1:8" ht="15.75" x14ac:dyDescent="0.25">
      <c r="A23" s="13" t="s">
        <v>44</v>
      </c>
      <c r="E23" s="51" t="s">
        <v>54</v>
      </c>
      <c r="F23" s="31"/>
      <c r="G23" s="72">
        <v>7.7000000000000002E-3</v>
      </c>
      <c r="H23" s="48">
        <f>H20*G23</f>
        <v>11303.985000000001</v>
      </c>
    </row>
    <row r="24" spans="1:8" ht="16.5" thickBot="1" x14ac:dyDescent="0.3">
      <c r="A24" s="13" t="s">
        <v>31</v>
      </c>
      <c r="E24" s="54" t="s">
        <v>27</v>
      </c>
      <c r="F24" s="55"/>
      <c r="G24" s="43"/>
      <c r="H24" s="16"/>
    </row>
    <row r="25" spans="1:8" ht="19.5" thickBot="1" x14ac:dyDescent="0.35">
      <c r="A25" s="15"/>
      <c r="B25" s="4"/>
      <c r="C25" s="4"/>
      <c r="D25" s="16"/>
      <c r="F25" s="3"/>
      <c r="G25" s="32" t="s">
        <v>28</v>
      </c>
      <c r="H25" s="34">
        <f>H20+H21-H22-H23</f>
        <v>1698974.2649999999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48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2BCFC76-B764-4524-8643-5DB124DC57C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M.T.M.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2025-05-21T20:15:57Z</cp:lastPrinted>
  <dcterms:created xsi:type="dcterms:W3CDTF">2018-11-15T17:29:02Z</dcterms:created>
  <dcterms:modified xsi:type="dcterms:W3CDTF">2025-07-23T14:53:10Z</dcterms:modified>
</cp:coreProperties>
</file>