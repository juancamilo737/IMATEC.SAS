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639764AC-965C-4CDD-B79D-5697DD43BC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 &amp; V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1" i="1" s="1"/>
  <c r="H22" i="1" l="1"/>
  <c r="H26" i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<sst xmlns="http://schemas.openxmlformats.org/spreadsheetml/2006/main" count="52" uniqueCount="52">
  <si>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</si>
  <si>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</si>
  <si>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</si>
  <si>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</si>
  <si>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</si>
  <si>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</si>
  <si>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</si>
  <si>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</si>
  <si>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</si>
  <si>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</si>
  <si>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</si>
  <si>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</si>
  <si>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</si>
  <si>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</si>
  <si>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</si>
  <si>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</si>
  <si>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</si>
  <si>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</si>
  <si>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</si>
  <si>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</si>
  <si>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</si>
  <si>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</si>
  <si>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</si>
  <si>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</si>
  <si>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</si>
  <si>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</si>
  <si>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</si>
  <si>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</si>
  <si>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</si>
  <si>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</si>
  <si>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</si>
  <si>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</si>
  <si>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</si>
  <si>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</si>
  <si>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</si>
  <si>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</si>
  <si>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</si>
  <si>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</si>
  <si>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  321 7834969</t>
  </si>
  <si>
    <t>EDINSON CABEZAS</t>
  </si>
  <si>
    <t xml:space="preserve">  CALLE  33B  No. 17C - 70   2º PISO               B/  LA FLORESTA             -   CALI    -                   CEL.     321 7834969</t>
  </si>
  <si>
    <t xml:space="preserve">              R E M I S I O N</t>
  </si>
  <si>
    <t>B &amp; V INGENIERIA S.A.S.</t>
  </si>
  <si>
    <t>900 075189</t>
  </si>
  <si>
    <t>CRA 43 C  No. 61SUR-53</t>
  </si>
  <si>
    <t>SABANETA</t>
  </si>
  <si>
    <t>facturaelectronica@byv.com.co</t>
  </si>
  <si>
    <t>604 4442882</t>
  </si>
  <si>
    <t>BRIDA A / C  DN80 PN10  2 "</t>
  </si>
  <si>
    <t>FABRICACION</t>
  </si>
  <si>
    <t>TRESCIENTOS CUARENTA Y CINCO MIL CIEN PESOS MDA / CTE</t>
  </si>
  <si>
    <t>ENTREGA EN 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</si>
</sst>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9" fontId="1" fillId="0" borderId="13" xfId="0" applyNumberFormat="1" applyFont="1" applyBorder="1"/>
    <xf numFmtId="0" fontId="3" fillId="0" borderId="3" xfId="0" applyFont="1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8" fillId="0" borderId="23" xfId="0" applyFont="1" applyBorder="1"/>
    <xf numFmtId="0" fontId="8" fillId="0" borderId="2" xfId="0" applyFont="1" applyBorder="1"/>
    <xf numFmtId="0" fontId="0" fillId="0" borderId="24" xfId="0" applyBorder="1"/>
    <xf numFmtId="0" fontId="1" fillId="0" borderId="3" xfId="0" applyFont="1" applyBorder="1"/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9719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468724" cy="115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electronica@byv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9"/>
  <sheetViews>
    <sheetView tabSelected="1" zoomScale="98" zoomScaleNormal="98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3" t="s">
        <v>31</v>
      </c>
    </row>
    <row r="3" spans="1:8" ht="27" thickBot="1" x14ac:dyDescent="0.45">
      <c r="A3" s="10" t="s">
        <v>18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35</v>
      </c>
      <c r="E4" s="18"/>
      <c r="F4" s="19"/>
      <c r="G4" s="5"/>
      <c r="H4" s="6"/>
    </row>
    <row r="5" spans="1:8" ht="19.5" thickBot="1" x14ac:dyDescent="0.35">
      <c r="A5" s="50" t="s">
        <v>38</v>
      </c>
      <c r="B5" s="5"/>
      <c r="C5" s="5"/>
      <c r="D5" s="5"/>
      <c r="E5" s="5"/>
    </row>
    <row r="6" spans="1:8" ht="24.75" customHeight="1" thickBot="1" x14ac:dyDescent="0.45">
      <c r="F6" s="10" t="s">
        <v>41</v>
      </c>
      <c r="G6" s="18"/>
      <c r="H6" s="19"/>
    </row>
    <row r="7" spans="1:8" ht="19.5" thickBot="1" x14ac:dyDescent="0.35">
      <c r="A7" s="20" t="s">
        <v>14</v>
      </c>
      <c r="B7" s="12"/>
      <c r="C7" s="29" t="s">
        <v>42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 t="s">
        <v>43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44</v>
      </c>
      <c r="D9" s="23"/>
      <c r="E9" s="24" t="s">
        <v>45</v>
      </c>
      <c r="F9" s="30" t="s">
        <v>0</v>
      </c>
      <c r="H9" s="31">
        <v>45517</v>
      </c>
    </row>
    <row r="10" spans="1:8" ht="18.75" x14ac:dyDescent="0.3">
      <c r="A10" s="21" t="s">
        <v>13</v>
      </c>
      <c r="C10" s="44" t="s">
        <v>46</v>
      </c>
      <c r="D10" s="25"/>
      <c r="E10" s="25"/>
      <c r="F10" s="30" t="s">
        <v>15</v>
      </c>
      <c r="H10" s="32" t="s">
        <v>34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45527</v>
      </c>
    </row>
    <row r="12" spans="1:8" ht="18.75" x14ac:dyDescent="0.3">
      <c r="A12" s="21" t="s">
        <v>11</v>
      </c>
      <c r="C12" s="24" t="s">
        <v>47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39</v>
      </c>
      <c r="D13" s="25"/>
      <c r="E13" s="25"/>
      <c r="F13" s="16"/>
      <c r="G13" s="4"/>
      <c r="H13" s="17"/>
    </row>
    <row r="16" spans="1:8" ht="15.75" thickBot="1" x14ac:dyDescent="0.3"/>
    <row r="17" spans="1:8" ht="15.75" thickBot="1" x14ac:dyDescent="0.3">
      <c r="A17" s="35" t="s">
        <v>37</v>
      </c>
      <c r="B17" s="63" t="s">
        <v>23</v>
      </c>
      <c r="C17" s="18"/>
      <c r="D17" s="6"/>
      <c r="E17" s="35" t="s">
        <v>19</v>
      </c>
      <c r="F17" s="35" t="s">
        <v>21</v>
      </c>
      <c r="G17" s="35" t="s">
        <v>20</v>
      </c>
      <c r="H17" s="35" t="s">
        <v>22</v>
      </c>
    </row>
    <row r="18" spans="1:8" ht="16.5" thickBot="1" x14ac:dyDescent="0.3">
      <c r="A18" s="58">
        <v>1</v>
      </c>
      <c r="B18" s="60" t="s">
        <v>48</v>
      </c>
      <c r="C18" s="61"/>
      <c r="D18" s="62"/>
      <c r="E18" s="58" t="s">
        <v>49</v>
      </c>
      <c r="F18" s="59">
        <v>145000</v>
      </c>
      <c r="G18" s="58">
        <v>2</v>
      </c>
      <c r="H18" s="51">
        <f t="shared" ref="H18" si="0">G18*F18</f>
        <v>290000</v>
      </c>
    </row>
    <row r="19" spans="1:8" ht="15.75" thickBot="1" x14ac:dyDescent="0.3">
      <c r="A19" s="48"/>
      <c r="B19" s="53"/>
      <c r="C19" s="54"/>
      <c r="D19" s="55"/>
      <c r="E19" s="48"/>
      <c r="F19" s="49"/>
    </row>
    <row r="20" spans="1:8" ht="19.5" thickBot="1" x14ac:dyDescent="0.35">
      <c r="A20" s="64" t="s">
        <v>24</v>
      </c>
      <c r="B20" s="14" t="s">
        <v>50</v>
      </c>
      <c r="D20" s="15"/>
      <c r="E20" s="12"/>
      <c r="F20" s="36" t="s">
        <v>30</v>
      </c>
      <c r="G20" s="12"/>
      <c r="H20" s="6"/>
    </row>
    <row r="21" spans="1:8" ht="16.5" thickBot="1" x14ac:dyDescent="0.3">
      <c r="A21" s="65"/>
      <c r="B21" s="16"/>
      <c r="C21" s="4"/>
      <c r="D21" s="4"/>
      <c r="E21" s="37" t="s">
        <v>25</v>
      </c>
      <c r="F21" s="38"/>
      <c r="G21" s="25"/>
      <c r="H21" s="45">
        <f>SUM(H18:H18)</f>
        <v>290000</v>
      </c>
    </row>
    <row r="22" spans="1:8" ht="15.75" x14ac:dyDescent="0.25">
      <c r="A22" s="52" t="s">
        <v>26</v>
      </c>
      <c r="B22" s="12"/>
      <c r="C22" s="12"/>
      <c r="D22" s="13"/>
      <c r="E22" s="3" t="s">
        <v>32</v>
      </c>
      <c r="F22" s="38"/>
      <c r="G22" s="56">
        <v>0.19</v>
      </c>
      <c r="H22" s="46">
        <f>H21*G22</f>
        <v>55100</v>
      </c>
    </row>
    <row r="23" spans="1:8" ht="15.75" x14ac:dyDescent="0.25">
      <c r="A23" s="14" t="s">
        <v>33</v>
      </c>
      <c r="D23" s="15"/>
      <c r="E23" s="38" t="s">
        <v>27</v>
      </c>
      <c r="G23">
        <v>0</v>
      </c>
      <c r="H23" s="40"/>
    </row>
    <row r="24" spans="1:8" ht="15.75" x14ac:dyDescent="0.25">
      <c r="A24" s="14" t="s">
        <v>36</v>
      </c>
      <c r="D24" s="15"/>
      <c r="F24" s="38"/>
      <c r="G24" s="25"/>
      <c r="H24" s="41"/>
    </row>
    <row r="25" spans="1:8" ht="16.5" thickBot="1" x14ac:dyDescent="0.3">
      <c r="A25" t="s">
        <v>51</v>
      </c>
      <c r="D25" s="15"/>
      <c r="E25" s="38" t="s">
        <v>28</v>
      </c>
      <c r="F25" s="38"/>
      <c r="G25" s="25"/>
      <c r="H25" s="42"/>
    </row>
    <row r="26" spans="1:8" ht="19.5" thickBot="1" x14ac:dyDescent="0.35">
      <c r="A26" s="16"/>
      <c r="B26" s="4"/>
      <c r="C26" s="4"/>
      <c r="D26" s="17"/>
      <c r="F26" s="3"/>
      <c r="G26" s="39" t="s">
        <v>29</v>
      </c>
      <c r="H26" s="47">
        <f>H21+H22</f>
        <v>345100</v>
      </c>
    </row>
    <row r="28" spans="1:8" ht="15.75" thickBot="1" x14ac:dyDescent="0.3"/>
    <row r="29" spans="1:8" ht="21.75" thickBot="1" x14ac:dyDescent="0.4">
      <c r="A29" s="57" t="s">
        <v>40</v>
      </c>
      <c r="B29" s="5"/>
      <c r="C29" s="5"/>
      <c r="D29" s="5"/>
      <c r="E29" s="5"/>
      <c r="F29" s="5"/>
      <c r="G29" s="5"/>
      <c r="H29" s="6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 &amp; V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2024-07-04T20:41:58Z</cp:lastPrinted>
  <dcterms:created xsi:type="dcterms:W3CDTF">2018-11-15T17:29:02Z</dcterms:created>
  <dcterms:modified xsi:type="dcterms:W3CDTF">2024-08-13T15:21:48Z</dcterms:modified>
</cp:coreProperties>
</file>