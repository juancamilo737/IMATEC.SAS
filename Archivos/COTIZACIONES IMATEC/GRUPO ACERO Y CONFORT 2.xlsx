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16CF3DCF-285C-471D-BCB4-44693588CC5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GRUPO ACER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2" i="1" l="1"/>
  <c r="H29" i="1"/>
  <c r="H27" i="1"/>
  <c r="H24" i="1"/>
  <c r="H23" i="1"/>
  <c r="H22" i="1"/>
  <c r="H21" i="1"/>
  <c r="H20" i="1"/>
  <c r="H19" i="1"/>
  <c r="H18" i="1"/>
  <c r="H17" i="1"/>
  <c r="H16" i="1"/>
  <c r="H28" i="1" l="1"/>
</calcChain>
</file>

<file path=xl/sharedStrings.xml><?xml version="1.0" encoding="utf-8"?>
<sst xmlns="http://schemas.openxmlformats.org/spreadsheetml/2006/main" count="70" uniqueCount="62">
  <si>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</si>
  <si>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</si>
  <si>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</si>
  <si>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</si>
  <si>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</si>
  <si>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</si>
  <si>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</si>
  <si>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</si>
  <si>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</si>
  <si>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</si>
  <si>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</si>
  <si>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</si>
  <si>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</si>
  <si>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</si>
  <si>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</si>
  <si>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</si>
  <si>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</si>
  <si>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</si>
  <si>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</si>
  <si>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</si>
  <si>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</si>
  <si>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</si>
  <si>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</si>
  <si>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</si>
  <si>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</si>
  <si>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</si>
  <si>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</si>
  <si>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</si>
  <si>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</si>
  <si>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</si>
  <si>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</si>
  <si>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</si>
  <si>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</si>
  <si>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</si>
  <si>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</si>
  <si>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</si>
  <si>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</si>
  <si>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</si>
  <si>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</si>
  <si>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</si>
  <si>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CALLE  24  No.  1 - 22</t>
  </si>
  <si>
    <t>CALI</t>
  </si>
  <si>
    <t>901 536366</t>
  </si>
  <si>
    <t>hgonzalezt1212@gmail.com</t>
  </si>
  <si>
    <t>317 4426022</t>
  </si>
  <si>
    <t>LUIS A. BENAVIDEZ</t>
  </si>
  <si>
    <t>GRUPO ACERO Y CONFORT S.A.S.</t>
  </si>
  <si>
    <t xml:space="preserve">           C O T I Z A C I O N</t>
  </si>
  <si>
    <t>No.  2</t>
  </si>
  <si>
    <t>10 DIAS</t>
  </si>
  <si>
    <t>TRAMPA TERMODINAMICA 3/4 " MADE IN INDIA</t>
  </si>
  <si>
    <t>VALVULA SOLENOIDE PARA VAPOR 3/4 " 110 V</t>
  </si>
  <si>
    <t>MANOMETRO CAJA AC/INOX  2 1/2 "  0-100 PSI</t>
  </si>
  <si>
    <t>VALVULA DE SEG. PARA MARMITA 3/4 " A 30 PSI</t>
  </si>
  <si>
    <t>SPRAY BALL AC/INOX  1 "  CLAMP</t>
  </si>
  <si>
    <t>VALVULA TOMA MUESTRA AC/INOX CLAMP 1 "</t>
  </si>
  <si>
    <t>EMPAQUE SILICONA 1 "</t>
  </si>
  <si>
    <t>ABRAZADERA AC/INOX  SANITARIA 1 1/2 "</t>
  </si>
  <si>
    <t>FERULA AC/INOX  2 "</t>
  </si>
  <si>
    <t>TRES MILLONES SEISCIENTOS CINCUENTA Y SIETE MIL</t>
  </si>
  <si>
    <t>CINCUENTA Y DOS PESOS MDA / CTE</t>
  </si>
  <si>
    <t>ENTREGA EN TRES DIAS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</si>
</sst>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8" fillId="0" borderId="28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gonzalezt12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7"/>
  <sheetViews>
    <sheetView tabSelected="1" topLeftCell="A4" zoomScaleNormal="100" workbookViewId="0">
      <selection activeCell="K15" sqref="K1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59" t="s">
        <v>46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2" t="s">
        <v>42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40</v>
      </c>
      <c r="E9" s="15" t="s">
        <v>41</v>
      </c>
      <c r="F9" s="30" t="s">
        <v>0</v>
      </c>
      <c r="H9" s="28">
        <v>45811</v>
      </c>
    </row>
    <row r="10" spans="1:8" ht="18.75" x14ac:dyDescent="0.3">
      <c r="A10" s="21" t="s">
        <v>13</v>
      </c>
      <c r="C10" s="63" t="s">
        <v>43</v>
      </c>
      <c r="E10" s="15"/>
      <c r="F10" s="30" t="s">
        <v>15</v>
      </c>
      <c r="H10" s="29" t="s">
        <v>49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45820</v>
      </c>
    </row>
    <row r="12" spans="1:8" ht="18.75" x14ac:dyDescent="0.3">
      <c r="A12" s="21" t="s">
        <v>11</v>
      </c>
      <c r="C12" s="14" t="s">
        <v>44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45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6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4">
        <v>1</v>
      </c>
      <c r="B16" s="65" t="s">
        <v>50</v>
      </c>
      <c r="C16" s="66"/>
      <c r="D16" s="67"/>
      <c r="E16" s="64" t="s">
        <v>37</v>
      </c>
      <c r="F16" s="68">
        <v>380000</v>
      </c>
      <c r="G16" s="64">
        <v>3</v>
      </c>
      <c r="H16" s="38">
        <f t="shared" ref="H16" si="0">G16*F16</f>
        <v>1140000</v>
      </c>
    </row>
    <row r="17" spans="1:8" ht="16.5" thickBot="1" x14ac:dyDescent="0.3">
      <c r="A17" s="64">
        <v>2</v>
      </c>
      <c r="B17" s="65" t="s">
        <v>51</v>
      </c>
      <c r="C17" s="66"/>
      <c r="D17" s="67"/>
      <c r="E17" s="64" t="s">
        <v>37</v>
      </c>
      <c r="F17" s="68">
        <v>340000</v>
      </c>
      <c r="G17" s="64">
        <v>3</v>
      </c>
      <c r="H17" s="38">
        <f t="shared" ref="H17:H24" si="1">G17*F17</f>
        <v>1020000</v>
      </c>
    </row>
    <row r="18" spans="1:8" ht="16.5" thickBot="1" x14ac:dyDescent="0.3">
      <c r="A18" s="64">
        <v>3</v>
      </c>
      <c r="B18" s="65" t="s">
        <v>52</v>
      </c>
      <c r="C18" s="66"/>
      <c r="D18" s="67"/>
      <c r="E18" s="64" t="s">
        <v>37</v>
      </c>
      <c r="F18" s="68">
        <v>45000</v>
      </c>
      <c r="G18" s="64">
        <v>3</v>
      </c>
      <c r="H18" s="38">
        <f t="shared" si="1"/>
        <v>135000</v>
      </c>
    </row>
    <row r="19" spans="1:8" ht="16.5" thickBot="1" x14ac:dyDescent="0.3">
      <c r="A19" s="64">
        <v>4</v>
      </c>
      <c r="B19" s="65" t="s">
        <v>54</v>
      </c>
      <c r="C19" s="66"/>
      <c r="D19" s="67"/>
      <c r="E19" s="64" t="s">
        <v>37</v>
      </c>
      <c r="F19" s="68">
        <v>140000</v>
      </c>
      <c r="G19" s="64">
        <v>1</v>
      </c>
      <c r="H19" s="38">
        <f t="shared" si="1"/>
        <v>140000</v>
      </c>
    </row>
    <row r="20" spans="1:8" ht="16.5" thickBot="1" x14ac:dyDescent="0.3">
      <c r="A20" s="64">
        <v>5</v>
      </c>
      <c r="B20" s="65" t="s">
        <v>53</v>
      </c>
      <c r="C20" s="66"/>
      <c r="D20" s="67"/>
      <c r="E20" s="64" t="s">
        <v>37</v>
      </c>
      <c r="F20" s="68">
        <v>180000</v>
      </c>
      <c r="G20" s="64">
        <v>3</v>
      </c>
      <c r="H20" s="38">
        <f t="shared" si="1"/>
        <v>540000</v>
      </c>
    </row>
    <row r="21" spans="1:8" ht="16.5" thickBot="1" x14ac:dyDescent="0.3">
      <c r="A21" s="64">
        <v>6</v>
      </c>
      <c r="B21" s="65" t="s">
        <v>55</v>
      </c>
      <c r="C21" s="66"/>
      <c r="D21" s="67"/>
      <c r="E21" s="64" t="s">
        <v>37</v>
      </c>
      <c r="F21" s="68">
        <v>120000</v>
      </c>
      <c r="G21" s="64">
        <v>1</v>
      </c>
      <c r="H21" s="38">
        <f t="shared" si="1"/>
        <v>120000</v>
      </c>
    </row>
    <row r="22" spans="1:8" ht="16.5" thickBot="1" x14ac:dyDescent="0.3">
      <c r="A22" s="64">
        <v>7</v>
      </c>
      <c r="B22" s="65" t="s">
        <v>56</v>
      </c>
      <c r="C22" s="66"/>
      <c r="D22" s="67"/>
      <c r="E22" s="64" t="s">
        <v>37</v>
      </c>
      <c r="F22" s="68">
        <v>1800</v>
      </c>
      <c r="G22" s="64">
        <v>2</v>
      </c>
      <c r="H22" s="38">
        <f t="shared" si="1"/>
        <v>3600</v>
      </c>
    </row>
    <row r="23" spans="1:8" ht="16.5" thickBot="1" x14ac:dyDescent="0.3">
      <c r="A23" s="64">
        <v>8</v>
      </c>
      <c r="B23" s="65" t="s">
        <v>57</v>
      </c>
      <c r="C23" s="66"/>
      <c r="D23" s="67"/>
      <c r="E23" s="64" t="s">
        <v>37</v>
      </c>
      <c r="F23" s="68">
        <v>16000</v>
      </c>
      <c r="G23" s="64">
        <v>2</v>
      </c>
      <c r="H23" s="38">
        <f t="shared" si="1"/>
        <v>32000</v>
      </c>
    </row>
    <row r="24" spans="1:8" ht="16.5" thickBot="1" x14ac:dyDescent="0.3">
      <c r="A24" s="64">
        <v>9</v>
      </c>
      <c r="B24" s="65" t="s">
        <v>58</v>
      </c>
      <c r="C24" s="66"/>
      <c r="D24" s="67"/>
      <c r="E24" s="64" t="s">
        <v>37</v>
      </c>
      <c r="F24" s="68">
        <v>8500</v>
      </c>
      <c r="G24" s="64">
        <v>1</v>
      </c>
      <c r="H24" s="38">
        <f t="shared" si="1"/>
        <v>8500</v>
      </c>
    </row>
    <row r="25" spans="1:8" ht="19.5" customHeight="1" thickBot="1" x14ac:dyDescent="0.3">
      <c r="A25" s="47"/>
      <c r="B25" s="70"/>
      <c r="D25" s="61"/>
      <c r="E25" s="47"/>
      <c r="F25" s="47"/>
      <c r="G25" s="47"/>
    </row>
    <row r="26" spans="1:8" ht="19.5" customHeight="1" thickBot="1" x14ac:dyDescent="0.35">
      <c r="A26" s="60" t="s">
        <v>23</v>
      </c>
      <c r="B26" s="62" t="s">
        <v>59</v>
      </c>
      <c r="C26" s="12"/>
      <c r="D26" s="13"/>
      <c r="E26" s="48"/>
      <c r="F26" s="37" t="s">
        <v>38</v>
      </c>
      <c r="G26" s="6"/>
      <c r="H26" s="7"/>
    </row>
    <row r="27" spans="1:8" ht="19.5" customHeight="1" thickBot="1" x14ac:dyDescent="0.3">
      <c r="A27" s="39"/>
      <c r="B27" s="16" t="s">
        <v>60</v>
      </c>
      <c r="C27" s="4"/>
      <c r="D27" s="17"/>
      <c r="E27" s="51" t="s">
        <v>24</v>
      </c>
      <c r="F27" s="52"/>
      <c r="G27" s="44"/>
      <c r="H27" s="49">
        <f>SUM(H16:H24)</f>
        <v>3139100</v>
      </c>
    </row>
    <row r="28" spans="1:8" ht="19.5" customHeight="1" x14ac:dyDescent="0.25">
      <c r="A28" s="24" t="s">
        <v>25</v>
      </c>
      <c r="B28" s="12"/>
      <c r="C28" s="12"/>
      <c r="D28" s="12"/>
      <c r="E28" s="53" t="s">
        <v>29</v>
      </c>
      <c r="F28" s="23"/>
      <c r="G28" s="54">
        <v>0.19</v>
      </c>
      <c r="H28" s="40">
        <f>H27*G28</f>
        <v>596429</v>
      </c>
    </row>
    <row r="29" spans="1:8" ht="19.5" customHeight="1" x14ac:dyDescent="0.25">
      <c r="A29" s="14" t="s">
        <v>30</v>
      </c>
      <c r="E29" s="55" t="s">
        <v>26</v>
      </c>
      <c r="G29" s="58">
        <v>2.5000000000000001E-2</v>
      </c>
      <c r="H29" s="50">
        <f>H27*G29</f>
        <v>78477.5</v>
      </c>
    </row>
    <row r="30" spans="1:8" ht="15.75" x14ac:dyDescent="0.25">
      <c r="A30" s="14" t="s">
        <v>61</v>
      </c>
      <c r="E30" s="14"/>
      <c r="F30" s="33"/>
      <c r="G30" s="45"/>
      <c r="H30" s="15"/>
    </row>
    <row r="31" spans="1:8" ht="16.5" thickBot="1" x14ac:dyDescent="0.3">
      <c r="A31" s="14" t="s">
        <v>32</v>
      </c>
      <c r="E31" s="56" t="s">
        <v>27</v>
      </c>
      <c r="F31" s="57"/>
      <c r="G31" s="46"/>
      <c r="H31" s="17"/>
    </row>
    <row r="32" spans="1:8" ht="19.5" thickBot="1" x14ac:dyDescent="0.35">
      <c r="A32" s="16"/>
      <c r="B32" s="4"/>
      <c r="C32" s="4"/>
      <c r="D32" s="17"/>
      <c r="F32" s="3"/>
      <c r="G32" s="34" t="s">
        <v>28</v>
      </c>
      <c r="H32" s="36">
        <f>H27+H28-H29</f>
        <v>3657051.5</v>
      </c>
    </row>
    <row r="33" spans="1:8" ht="16.5" customHeight="1" x14ac:dyDescent="0.25"/>
    <row r="38" spans="1:8" ht="15.75" thickBot="1" x14ac:dyDescent="0.3"/>
    <row r="39" spans="1:8" ht="19.5" thickBot="1" x14ac:dyDescent="0.35">
      <c r="A39" s="25" t="s">
        <v>39</v>
      </c>
      <c r="B39" s="6"/>
      <c r="C39" s="6"/>
      <c r="D39" s="6"/>
      <c r="E39" s="6"/>
      <c r="F39" s="6"/>
      <c r="G39" s="6"/>
      <c r="H39" s="7"/>
    </row>
    <row r="47" spans="1:8" ht="18.75" x14ac:dyDescent="0.3">
      <c r="A47" s="5"/>
    </row>
  </sheetData>
  <hyperlinks>
    <hyperlink ref="C10" r:id="rId1" xr:uid="{68B7BC75-333D-4F72-812B-5E9D1DACE74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 ACERO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2025-05-22T19:55:52Z</cp:lastPrinted>
  <dcterms:created xsi:type="dcterms:W3CDTF">2018-11-15T17:29:02Z</dcterms:created>
  <dcterms:modified xsi:type="dcterms:W3CDTF">2025-06-03T18:40:34Z</dcterms:modified>
</cp:coreProperties>
</file>