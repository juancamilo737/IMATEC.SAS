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1A859804-C75D-4D1C-9EFA-24B09A2456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IMO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29" i="1"/>
  <c r="H27" i="1"/>
  <c r="H24" i="1"/>
  <c r="H23" i="1"/>
  <c r="H22" i="1"/>
  <c r="H21" i="1" l="1"/>
  <c r="H20" i="1"/>
  <c r="H19" i="1"/>
  <c r="H18" i="1"/>
  <c r="H17" i="1"/>
  <c r="H16" i="1"/>
  <c r="H28" i="1" l="1"/>
</calcChain>
</file>

<file path=xl/sharedStrings.xml><?xml version="1.0" encoding="utf-8"?>
<sst xmlns="http://schemas.openxmlformats.org/spreadsheetml/2006/main" count="67" uniqueCount="60">
  <si>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</si>
  <si>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</si>
  <si>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</si>
  <si>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</si>
  <si>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</si>
  <si>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</si>
  <si>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</si>
  <si>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</si>
  <si>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</si>
  <si>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</si>
  <si>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</si>
  <si>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</si>
  <si>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</si>
  <si>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</si>
  <si>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</si>
  <si>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</si>
  <si>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</si>
  <si>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</si>
  <si>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</si>
  <si>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</si>
  <si>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</si>
  <si>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</si>
  <si>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</si>
  <si>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</si>
  <si>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</si>
  <si>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</si>
  <si>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</si>
  <si>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</si>
  <si>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</si>
  <si>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</si>
  <si>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</si>
  <si>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</si>
  <si>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</si>
  <si>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</si>
  <si>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</si>
  <si>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</si>
  <si>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</si>
  <si>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</si>
  <si>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</si>
  <si>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PROYECTOS AIMONT S.A.S.</t>
  </si>
  <si>
    <t>900 736134</t>
  </si>
  <si>
    <t>CALLE 39 D  No. 17 F2 - 40</t>
  </si>
  <si>
    <t>315 8252267</t>
  </si>
  <si>
    <t xml:space="preserve">              R E M I S I O N</t>
  </si>
  <si>
    <t>LUIS A. BENAVIDES</t>
  </si>
  <si>
    <t>BUSHING AC/INOX 304  2 "  X  1 "</t>
  </si>
  <si>
    <t xml:space="preserve">VALVULA DE BOLA AC/INOX 304  1 " </t>
  </si>
  <si>
    <t>VALVULA DE BOLA AC/INOX 304  1/2 "</t>
  </si>
  <si>
    <t>FILTRO AC/INOX 304  1 "</t>
  </si>
  <si>
    <t>NIPLE  AC/INOX 304  1 "  X  3 "</t>
  </si>
  <si>
    <t>NIPLE  AC/INOX 304  1/2  "  X  3 "</t>
  </si>
  <si>
    <t>FABRICACION</t>
  </si>
  <si>
    <t>PESOS MDA / CTE</t>
  </si>
  <si>
    <t>ENTREGA INMEDIATA</t>
  </si>
  <si>
    <t>CONTACTOS   310 8306118    321 7834969</t>
  </si>
  <si>
    <t xml:space="preserve">VALVULA DE BOLA AC/INOX 304  1/4 " </t>
  </si>
  <si>
    <t>MANOMETRO AC/INOX  2 1/2 "  0 -200 PSI</t>
  </si>
  <si>
    <t>proyectosaimontsas@hotmail.com</t>
  </si>
  <si>
    <t>SIFON COLA DE MARRANO AC/INOX  1/4 "</t>
  </si>
  <si>
    <t xml:space="preserve">SETECIENTOS CINCUENTA MIL DOSCIENTOS SESENTA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</si>
</sst>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aimonts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11" zoomScaleNormal="100" workbookViewId="0">
      <selection activeCell="J31" sqref="J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54</v>
      </c>
      <c r="B5" s="6"/>
      <c r="C5" s="6"/>
      <c r="D5" s="6"/>
      <c r="E5" s="6"/>
    </row>
    <row r="6" spans="1:8" ht="24.75" customHeight="1" thickBot="1" x14ac:dyDescent="0.45">
      <c r="F6" s="41" t="s">
        <v>43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/>
      <c r="F9" s="30" t="s">
        <v>0</v>
      </c>
      <c r="H9" s="28">
        <v>45917</v>
      </c>
    </row>
    <row r="10" spans="1:8" ht="18.75" x14ac:dyDescent="0.3">
      <c r="A10" s="21" t="s">
        <v>13</v>
      </c>
      <c r="C10" s="70" t="s">
        <v>57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45</v>
      </c>
      <c r="C16" s="63"/>
      <c r="D16" s="64"/>
      <c r="E16" s="61" t="s">
        <v>36</v>
      </c>
      <c r="F16" s="65">
        <v>4000</v>
      </c>
      <c r="G16" s="61">
        <v>3</v>
      </c>
      <c r="H16" s="38">
        <f t="shared" ref="H16" si="0">G16*F16</f>
        <v>12000</v>
      </c>
    </row>
    <row r="17" spans="1:8" ht="16.5" thickBot="1" x14ac:dyDescent="0.3">
      <c r="A17" s="61">
        <v>2</v>
      </c>
      <c r="B17" s="62" t="s">
        <v>46</v>
      </c>
      <c r="C17" s="63"/>
      <c r="D17" s="64"/>
      <c r="E17" s="61" t="s">
        <v>36</v>
      </c>
      <c r="F17" s="65">
        <v>65000</v>
      </c>
      <c r="G17" s="61">
        <v>2</v>
      </c>
      <c r="H17" s="38">
        <f t="shared" ref="H17:H21" si="1">G17*F17</f>
        <v>130000</v>
      </c>
    </row>
    <row r="18" spans="1:8" ht="16.5" thickBot="1" x14ac:dyDescent="0.3">
      <c r="A18" s="61">
        <v>3</v>
      </c>
      <c r="B18" s="62" t="s">
        <v>47</v>
      </c>
      <c r="C18" s="63"/>
      <c r="D18" s="64"/>
      <c r="E18" s="61" t="s">
        <v>36</v>
      </c>
      <c r="F18" s="65">
        <v>28000</v>
      </c>
      <c r="G18" s="61">
        <v>1</v>
      </c>
      <c r="H18" s="38">
        <f t="shared" si="1"/>
        <v>28000</v>
      </c>
    </row>
    <row r="19" spans="1:8" ht="16.5" thickBot="1" x14ac:dyDescent="0.3">
      <c r="A19" s="61">
        <v>4</v>
      </c>
      <c r="B19" s="62" t="s">
        <v>48</v>
      </c>
      <c r="C19" s="63"/>
      <c r="D19" s="64"/>
      <c r="E19" s="61" t="s">
        <v>36</v>
      </c>
      <c r="F19" s="65">
        <v>60000</v>
      </c>
      <c r="G19" s="61">
        <v>1</v>
      </c>
      <c r="H19" s="38">
        <f t="shared" si="1"/>
        <v>60000</v>
      </c>
    </row>
    <row r="20" spans="1:8" ht="16.5" thickBot="1" x14ac:dyDescent="0.3">
      <c r="A20" s="61">
        <v>5</v>
      </c>
      <c r="B20" s="62" t="s">
        <v>49</v>
      </c>
      <c r="C20" s="63"/>
      <c r="D20" s="64"/>
      <c r="E20" s="61" t="s">
        <v>51</v>
      </c>
      <c r="F20" s="65">
        <v>11000</v>
      </c>
      <c r="G20" s="61">
        <v>1</v>
      </c>
      <c r="H20" s="38">
        <f t="shared" si="1"/>
        <v>11000</v>
      </c>
    </row>
    <row r="21" spans="1:8" ht="16.5" thickBot="1" x14ac:dyDescent="0.3">
      <c r="A21" s="61">
        <v>6</v>
      </c>
      <c r="B21" s="62" t="s">
        <v>50</v>
      </c>
      <c r="C21" s="63"/>
      <c r="D21" s="64"/>
      <c r="E21" s="61" t="s">
        <v>51</v>
      </c>
      <c r="F21" s="65">
        <v>7000</v>
      </c>
      <c r="G21" s="61">
        <v>1</v>
      </c>
      <c r="H21" s="38">
        <f t="shared" si="1"/>
        <v>7000</v>
      </c>
    </row>
    <row r="22" spans="1:8" ht="16.5" thickBot="1" x14ac:dyDescent="0.3">
      <c r="A22" s="61">
        <v>2</v>
      </c>
      <c r="B22" s="62" t="s">
        <v>55</v>
      </c>
      <c r="C22" s="63"/>
      <c r="D22" s="64"/>
      <c r="E22" s="61" t="s">
        <v>36</v>
      </c>
      <c r="F22" s="65">
        <v>26000</v>
      </c>
      <c r="G22" s="61">
        <v>4</v>
      </c>
      <c r="H22" s="38">
        <f t="shared" ref="H22:H24" si="2">G22*F22</f>
        <v>104000</v>
      </c>
    </row>
    <row r="23" spans="1:8" ht="16.5" thickBot="1" x14ac:dyDescent="0.3">
      <c r="A23" s="61">
        <v>2</v>
      </c>
      <c r="B23" s="62" t="s">
        <v>56</v>
      </c>
      <c r="C23" s="63"/>
      <c r="D23" s="64"/>
      <c r="E23" s="61" t="s">
        <v>36</v>
      </c>
      <c r="F23" s="65">
        <v>45000</v>
      </c>
      <c r="G23" s="61">
        <v>4</v>
      </c>
      <c r="H23" s="38">
        <f t="shared" si="2"/>
        <v>180000</v>
      </c>
    </row>
    <row r="24" spans="1:8" ht="16.5" thickBot="1" x14ac:dyDescent="0.3">
      <c r="A24" s="61">
        <v>2</v>
      </c>
      <c r="B24" s="62" t="s">
        <v>58</v>
      </c>
      <c r="C24" s="63"/>
      <c r="D24" s="64"/>
      <c r="E24" s="61" t="s">
        <v>36</v>
      </c>
      <c r="F24" s="65">
        <v>28000</v>
      </c>
      <c r="G24" s="61">
        <v>4</v>
      </c>
      <c r="H24" s="38">
        <f t="shared" si="2"/>
        <v>112000</v>
      </c>
    </row>
    <row r="25" spans="1:8" ht="19.5" customHeight="1" thickBot="1" x14ac:dyDescent="0.3">
      <c r="A25" s="48"/>
      <c r="B25" s="67"/>
      <c r="D25" s="68"/>
      <c r="E25" s="48"/>
      <c r="F25" s="48"/>
      <c r="G25" s="48"/>
    </row>
    <row r="26" spans="1:8" ht="19.5" customHeight="1" thickBot="1" x14ac:dyDescent="0.35">
      <c r="A26" s="66" t="s">
        <v>23</v>
      </c>
      <c r="B26" s="69" t="s">
        <v>59</v>
      </c>
      <c r="C26" s="12"/>
      <c r="D26" s="13"/>
      <c r="E26" s="49"/>
      <c r="F26" s="37" t="s">
        <v>37</v>
      </c>
      <c r="G26" s="6"/>
      <c r="H26" s="7"/>
    </row>
    <row r="27" spans="1:8" ht="19.5" customHeight="1" thickBot="1" x14ac:dyDescent="0.3">
      <c r="A27" s="39"/>
      <c r="B27" s="16" t="s">
        <v>52</v>
      </c>
      <c r="C27" s="4"/>
      <c r="D27" s="17"/>
      <c r="E27" s="52" t="s">
        <v>24</v>
      </c>
      <c r="F27" s="53"/>
      <c r="G27" s="44"/>
      <c r="H27" s="50">
        <f>SUM(H16:H24)</f>
        <v>644000</v>
      </c>
    </row>
    <row r="28" spans="1:8" ht="19.5" customHeight="1" x14ac:dyDescent="0.25">
      <c r="A28" s="24" t="s">
        <v>25</v>
      </c>
      <c r="B28" s="12"/>
      <c r="C28" s="12"/>
      <c r="D28" s="12"/>
      <c r="E28" s="54" t="s">
        <v>29</v>
      </c>
      <c r="F28" s="23"/>
      <c r="G28" s="55">
        <v>0.19</v>
      </c>
      <c r="H28" s="40">
        <f>H27*G28</f>
        <v>122360</v>
      </c>
    </row>
    <row r="29" spans="1:8" ht="19.5" customHeight="1" x14ac:dyDescent="0.25">
      <c r="A29" s="14" t="s">
        <v>30</v>
      </c>
      <c r="E29" s="56" t="s">
        <v>26</v>
      </c>
      <c r="G29" s="59">
        <v>2.5000000000000001E-2</v>
      </c>
      <c r="H29" s="51">
        <f>H27*G29</f>
        <v>16100</v>
      </c>
    </row>
    <row r="30" spans="1:8" ht="15.75" x14ac:dyDescent="0.25">
      <c r="A30" s="14" t="s">
        <v>53</v>
      </c>
      <c r="E30" s="14"/>
      <c r="F30" s="33"/>
      <c r="G30" s="45"/>
      <c r="H30" s="15"/>
    </row>
    <row r="31" spans="1:8" ht="16.5" thickBot="1" x14ac:dyDescent="0.3">
      <c r="A31" s="14" t="s">
        <v>32</v>
      </c>
      <c r="E31" s="57" t="s">
        <v>27</v>
      </c>
      <c r="F31" s="58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</f>
        <v>750260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38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30FC35CF-2A0F-4A1A-89BE-FAE7BA62E54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2025-09-17T14:16:03Z</cp:lastPrinted>
  <dcterms:created xsi:type="dcterms:W3CDTF">2018-11-15T17:29:02Z</dcterms:created>
  <dcterms:modified xsi:type="dcterms:W3CDTF">2025-09-17T14:37:22Z</dcterms:modified>
</cp:coreProperties>
</file>