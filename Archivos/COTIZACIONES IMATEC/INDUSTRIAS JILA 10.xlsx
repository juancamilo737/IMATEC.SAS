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85EACF9-0D91-48A8-9A0F-CA120C240A7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3" i="1"/>
  <c r="H20" i="1"/>
  <c r="H19" i="1"/>
  <c r="H18" i="1"/>
  <c r="H17" i="1"/>
  <c r="H16" i="1"/>
  <c r="H24" i="1" l="1"/>
  <c r="H27" i="1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<sst xmlns="http://schemas.openxmlformats.org/spreadsheetml/2006/main" count="62" uniqueCount="59">
  <si>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</si>
  <si>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</si>
  <si>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</si>
  <si>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</si>
  <si>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</si>
  <si>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</si>
  <si>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</si>
  <si>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</si>
  <si>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</si>
  <si>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</si>
  <si>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</si>
  <si>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</si>
  <si>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</si>
  <si>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</si>
  <si>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</si>
  <si>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</si>
  <si>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</si>
  <si>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</si>
  <si>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</si>
  <si>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</si>
  <si>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</si>
  <si>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</si>
  <si>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</si>
  <si>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</si>
  <si>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</si>
  <si>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</si>
  <si>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</si>
  <si>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</si>
  <si>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</si>
  <si>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</si>
  <si>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</si>
  <si>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</si>
  <si>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</si>
  <si>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</si>
  <si>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</si>
  <si>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</si>
  <si>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</si>
  <si>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</si>
  <si>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</si>
  <si>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</si>
  <si>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</si>
  <si>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</si>
  <si>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</si>
  <si>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</si>
  <si>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</si>
  <si>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L I Q U I D A C I O N</t>
  </si>
  <si>
    <t xml:space="preserve">                     INGENIERIA , MONTAJES  Y  ASISTENCIA  TECNICA  S A S</t>
  </si>
  <si>
    <t>No. 10</t>
  </si>
  <si>
    <t>10 dias</t>
  </si>
  <si>
    <t xml:space="preserve">          C O T I Z A C I O N</t>
  </si>
  <si>
    <t>EMPAQUE SILICONA 1 1/2 "</t>
  </si>
  <si>
    <t>ACCESORIO</t>
  </si>
  <si>
    <t>ABRAZADERA  AC/INOX 304  1 1/2 "</t>
  </si>
  <si>
    <t>CODO  AC/INOX 304 CLAMP  1 "  X  90 º</t>
  </si>
  <si>
    <t>FERULA  AC/INOX 304  C LARGO  2 "</t>
  </si>
  <si>
    <t>TUBERIA  AC/INOX 304 SANITARIO  1 "</t>
  </si>
  <si>
    <t>TUBO X 6 MTS</t>
  </si>
  <si>
    <t>UN MILLON SETECIENTOS NOVENTA Y CUATRO MIL DOS-</t>
  </si>
  <si>
    <t>CIENTOS DIECISIETE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</si>
</sst>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0" fontId="1" fillId="0" borderId="2" xfId="0" applyFont="1" applyBorder="1" applyAlignment="1">
      <alignment horizontal="center"/>
    </xf>
    <xf numFmtId="0" fontId="8" fillId="0" borderId="21" xfId="0" applyFont="1" applyBorder="1"/>
    <xf numFmtId="0" fontId="8" fillId="0" borderId="2" xfId="0" applyFont="1" applyBorder="1"/>
    <xf numFmtId="0" fontId="8" fillId="0" borderId="19" xfId="0" applyFont="1" applyBorder="1"/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42" fontId="1" fillId="0" borderId="24" xfId="1" applyFont="1" applyBorder="1" applyAlignment="1">
      <alignment horizontal="left"/>
    </xf>
    <xf numFmtId="0" fontId="1" fillId="0" borderId="3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30" xfId="2" applyBorder="1"/>
    <xf numFmtId="0" fontId="0" fillId="0" borderId="31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10" fontId="1" fillId="0" borderId="0" xfId="0" applyNumberFormat="1" applyFont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zoomScale="96" zoomScaleNormal="96" workbookViewId="0">
      <selection activeCell="L7" sqref="L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4" t="s">
        <v>29</v>
      </c>
    </row>
    <row r="3" spans="1:8" ht="27" thickBot="1" x14ac:dyDescent="0.45">
      <c r="A3" s="11" t="s">
        <v>46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31</v>
      </c>
      <c r="E4" s="19"/>
      <c r="F4" s="20"/>
      <c r="G4" s="6"/>
      <c r="H4" s="7"/>
    </row>
    <row r="5" spans="1:8" ht="19.5" thickBot="1" x14ac:dyDescent="0.35">
      <c r="A5" s="49" t="s">
        <v>35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47</v>
      </c>
    </row>
    <row r="8" spans="1:8" ht="18.75" x14ac:dyDescent="0.3">
      <c r="A8" s="22" t="s">
        <v>8</v>
      </c>
      <c r="C8" s="61" t="s">
        <v>38</v>
      </c>
      <c r="D8" s="62"/>
      <c r="E8" s="63"/>
      <c r="F8" s="12"/>
      <c r="G8" s="13"/>
      <c r="H8" s="14"/>
    </row>
    <row r="9" spans="1:8" ht="18.75" customHeight="1" x14ac:dyDescent="0.3">
      <c r="A9" s="22" t="s">
        <v>9</v>
      </c>
      <c r="C9" s="64" t="s">
        <v>39</v>
      </c>
      <c r="D9" s="24"/>
      <c r="E9" s="65" t="s">
        <v>33</v>
      </c>
      <c r="F9" s="31" t="s">
        <v>0</v>
      </c>
      <c r="H9" s="32">
        <v>45826</v>
      </c>
    </row>
    <row r="10" spans="1:8" ht="18.75" x14ac:dyDescent="0.3">
      <c r="A10" s="22" t="s">
        <v>13</v>
      </c>
      <c r="C10" s="66" t="s">
        <v>41</v>
      </c>
      <c r="D10" s="25"/>
      <c r="E10" s="67"/>
      <c r="F10" s="31" t="s">
        <v>15</v>
      </c>
      <c r="H10" s="33" t="s">
        <v>48</v>
      </c>
    </row>
    <row r="11" spans="1:8" ht="18.75" x14ac:dyDescent="0.3">
      <c r="A11" s="22" t="s">
        <v>10</v>
      </c>
      <c r="C11" s="68"/>
      <c r="D11" s="25"/>
      <c r="E11" s="67"/>
      <c r="F11" s="31" t="s">
        <v>16</v>
      </c>
      <c r="G11" s="34"/>
      <c r="H11" s="32">
        <v>45835</v>
      </c>
    </row>
    <row r="12" spans="1:8" ht="18.75" x14ac:dyDescent="0.3">
      <c r="A12" s="22" t="s">
        <v>11</v>
      </c>
      <c r="C12" s="68" t="s">
        <v>40</v>
      </c>
      <c r="D12" s="25"/>
      <c r="E12" s="67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69" t="s">
        <v>36</v>
      </c>
      <c r="D13" s="70"/>
      <c r="E13" s="71"/>
      <c r="F13" s="17"/>
      <c r="G13" s="4"/>
      <c r="H13" s="18"/>
    </row>
    <row r="14" spans="1:8" ht="15.75" thickBot="1" x14ac:dyDescent="0.3"/>
    <row r="15" spans="1:8" ht="15.75" thickBot="1" x14ac:dyDescent="0.3">
      <c r="A15" s="36" t="s">
        <v>34</v>
      </c>
      <c r="B15" s="60" t="s">
        <v>22</v>
      </c>
      <c r="C15" s="19"/>
      <c r="D15" s="7"/>
      <c r="E15" s="36" t="s">
        <v>18</v>
      </c>
      <c r="F15" s="36" t="s">
        <v>20</v>
      </c>
      <c r="G15" s="36" t="s">
        <v>19</v>
      </c>
      <c r="H15" s="36" t="s">
        <v>21</v>
      </c>
    </row>
    <row r="16" spans="1:8" ht="16.5" thickBot="1" x14ac:dyDescent="0.3">
      <c r="A16" s="51">
        <v>1</v>
      </c>
      <c r="B16" s="52" t="s">
        <v>50</v>
      </c>
      <c r="C16" s="53"/>
      <c r="D16" s="54"/>
      <c r="E16" s="55" t="s">
        <v>51</v>
      </c>
      <c r="F16" s="56">
        <v>1900</v>
      </c>
      <c r="G16" s="57">
        <v>40</v>
      </c>
      <c r="H16" s="59">
        <f t="shared" ref="H16" si="0">G16*F16</f>
        <v>76000</v>
      </c>
    </row>
    <row r="17" spans="1:8" ht="16.5" thickBot="1" x14ac:dyDescent="0.3">
      <c r="A17" s="51">
        <v>2</v>
      </c>
      <c r="B17" s="52" t="s">
        <v>52</v>
      </c>
      <c r="C17" s="53"/>
      <c r="D17" s="54"/>
      <c r="E17" s="55" t="s">
        <v>51</v>
      </c>
      <c r="F17" s="56">
        <v>14000</v>
      </c>
      <c r="G17" s="57">
        <v>39</v>
      </c>
      <c r="H17" s="59">
        <f t="shared" ref="H17:H20" si="1">G17*F17</f>
        <v>546000</v>
      </c>
    </row>
    <row r="18" spans="1:8" ht="16.5" thickBot="1" x14ac:dyDescent="0.3">
      <c r="A18" s="51">
        <v>3</v>
      </c>
      <c r="B18" s="52" t="s">
        <v>53</v>
      </c>
      <c r="C18" s="53"/>
      <c r="D18" s="54"/>
      <c r="E18" s="55" t="s">
        <v>51</v>
      </c>
      <c r="F18" s="56">
        <v>29900</v>
      </c>
      <c r="G18" s="57">
        <v>19</v>
      </c>
      <c r="H18" s="59">
        <f t="shared" si="1"/>
        <v>568100</v>
      </c>
    </row>
    <row r="19" spans="1:8" ht="16.5" thickBot="1" x14ac:dyDescent="0.3">
      <c r="A19" s="51">
        <v>4</v>
      </c>
      <c r="B19" s="52" t="s">
        <v>54</v>
      </c>
      <c r="C19" s="53"/>
      <c r="D19" s="54"/>
      <c r="E19" s="55" t="s">
        <v>51</v>
      </c>
      <c r="F19" s="56">
        <v>11000</v>
      </c>
      <c r="G19" s="57">
        <v>20</v>
      </c>
      <c r="H19" s="59">
        <f t="shared" si="1"/>
        <v>220000</v>
      </c>
    </row>
    <row r="20" spans="1:8" ht="16.5" thickBot="1" x14ac:dyDescent="0.3">
      <c r="A20" s="51">
        <v>5</v>
      </c>
      <c r="B20" s="53" t="s">
        <v>55</v>
      </c>
      <c r="C20" s="6"/>
      <c r="D20" s="54"/>
      <c r="E20" s="55" t="s">
        <v>56</v>
      </c>
      <c r="F20" s="56">
        <v>130000</v>
      </c>
      <c r="G20" s="57">
        <v>1</v>
      </c>
      <c r="H20" s="59">
        <f t="shared" si="1"/>
        <v>130000</v>
      </c>
    </row>
    <row r="21" spans="1:8" ht="15.75" thickBot="1" x14ac:dyDescent="0.3">
      <c r="A21" s="48"/>
      <c r="D21" s="48"/>
      <c r="H21" s="48"/>
    </row>
    <row r="22" spans="1:8" ht="19.5" thickBot="1" x14ac:dyDescent="0.35">
      <c r="A22" s="73" t="s">
        <v>23</v>
      </c>
      <c r="B22" s="12" t="s">
        <v>57</v>
      </c>
      <c r="C22" s="13"/>
      <c r="D22" s="14"/>
      <c r="E22" s="13"/>
      <c r="F22" s="37" t="s">
        <v>45</v>
      </c>
      <c r="G22" s="13"/>
      <c r="H22" s="7"/>
    </row>
    <row r="23" spans="1:8" ht="16.5" customHeight="1" thickBot="1" x14ac:dyDescent="0.3">
      <c r="A23" s="74"/>
      <c r="B23" s="17" t="s">
        <v>58</v>
      </c>
      <c r="C23" s="4"/>
      <c r="D23" s="4"/>
      <c r="E23" s="38" t="s">
        <v>24</v>
      </c>
      <c r="F23" s="39"/>
      <c r="G23" s="25"/>
      <c r="H23" s="45">
        <f>SUM(H16:H20)</f>
        <v>1540100</v>
      </c>
    </row>
    <row r="24" spans="1:8" ht="15.75" x14ac:dyDescent="0.25">
      <c r="A24" s="26" t="s">
        <v>25</v>
      </c>
      <c r="D24" s="16"/>
      <c r="E24" s="3" t="s">
        <v>30</v>
      </c>
      <c r="F24" s="58"/>
      <c r="G24" s="41">
        <v>0.19</v>
      </c>
      <c r="H24" s="46">
        <f>H23*G24</f>
        <v>292619</v>
      </c>
    </row>
    <row r="25" spans="1:8" ht="15.75" x14ac:dyDescent="0.25">
      <c r="A25" s="15" t="s">
        <v>43</v>
      </c>
      <c r="D25" s="16"/>
      <c r="E25" s="39" t="s">
        <v>26</v>
      </c>
      <c r="G25" s="72">
        <v>2.5000000000000001E-2</v>
      </c>
      <c r="H25" s="42">
        <f>H23*G25</f>
        <v>38502.5</v>
      </c>
    </row>
    <row r="26" spans="1:8" ht="16.5" thickBot="1" x14ac:dyDescent="0.3">
      <c r="A26" s="15" t="s">
        <v>42</v>
      </c>
      <c r="D26" s="16"/>
      <c r="E26" s="39" t="s">
        <v>27</v>
      </c>
      <c r="F26" s="39"/>
      <c r="G26" s="25"/>
      <c r="H26" s="43"/>
    </row>
    <row r="27" spans="1:8" ht="19.5" thickBot="1" x14ac:dyDescent="0.35">
      <c r="A27" s="50" t="s">
        <v>32</v>
      </c>
      <c r="B27" s="4"/>
      <c r="C27" s="4"/>
      <c r="D27" s="18"/>
      <c r="F27" s="3"/>
      <c r="G27" s="40" t="s">
        <v>28</v>
      </c>
      <c r="H27" s="47">
        <f>H23+H24-H25</f>
        <v>1794216.5</v>
      </c>
    </row>
    <row r="29" spans="1:8" ht="15.75" thickBot="1" x14ac:dyDescent="0.3"/>
    <row r="30" spans="1:8" ht="19.5" thickBot="1" x14ac:dyDescent="0.35">
      <c r="A30" s="27" t="s">
        <v>44</v>
      </c>
      <c r="B30" s="6"/>
      <c r="C30" s="6"/>
      <c r="D30" s="6"/>
      <c r="E30" s="6"/>
      <c r="F30" s="6"/>
      <c r="G30" s="6"/>
      <c r="H30" s="7"/>
    </row>
    <row r="38" spans="1:1" ht="18.75" x14ac:dyDescent="0.3">
      <c r="A38" s="5"/>
    </row>
  </sheetData>
  <mergeCells count="1">
    <mergeCell ref="A22:A23"/>
  </mergeCells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2025-06-09T21:36:46Z</cp:lastPrinted>
  <dcterms:created xsi:type="dcterms:W3CDTF">2018-11-15T17:29:02Z</dcterms:created>
  <dcterms:modified xsi:type="dcterms:W3CDTF">2025-06-18T21:55:39Z</dcterms:modified>
</cp:coreProperties>
</file>