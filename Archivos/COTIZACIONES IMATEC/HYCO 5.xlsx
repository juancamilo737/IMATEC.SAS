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08C9A32-76A2-48B3-B160-81EE7B515BE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YCO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21" i="1"/>
  <c r="H20" i="1"/>
  <c r="H19" i="1"/>
  <c r="H18" i="1"/>
  <c r="H17" i="1"/>
  <c r="H16" i="1"/>
  <c r="H26" i="1" l="1"/>
  <c r="H30" i="1" s="1"/>
</calcChain>
</file>

<file path=xl/sharedStrings.xml><?xml version="1.0" encoding="utf-8"?>
<sst xmlns="http://schemas.openxmlformats.org/spreadsheetml/2006/main" count="66" uniqueCount="60">
  <si>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</si>
  <si>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</si>
  <si>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</si>
  <si>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</si>
  <si>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</si>
  <si>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</si>
  <si>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</si>
  <si>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</si>
  <si>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</si>
  <si>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</si>
  <si>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</si>
  <si>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</si>
  <si>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</si>
  <si>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</si>
  <si>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</si>
  <si>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</si>
  <si>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</si>
  <si>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</si>
  <si>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</si>
  <si>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</si>
  <si>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</si>
  <si>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</si>
  <si>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</si>
  <si>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</si>
  <si>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</si>
  <si>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</si>
  <si>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</si>
  <si>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</si>
  <si>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</si>
  <si>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</si>
  <si>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</si>
  <si>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</si>
  <si>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</si>
  <si>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</si>
  <si>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</si>
  <si>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</si>
  <si>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</si>
  <si>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</si>
  <si>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</si>
  <si>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HYCO  S.A.S.</t>
  </si>
  <si>
    <t>800 244445</t>
  </si>
  <si>
    <t>CALLE 50 Nte.  5N-30</t>
  </si>
  <si>
    <t>CALI</t>
  </si>
  <si>
    <t>hycocomercial@hyco.com.co</t>
  </si>
  <si>
    <t>602 3989041</t>
  </si>
  <si>
    <t>EDINSON CABEZAS</t>
  </si>
  <si>
    <t>ENTREGA INMEDIATA</t>
  </si>
  <si>
    <t>FORMA DE PAGO : CREDITO A 20 DIAS</t>
  </si>
  <si>
    <t xml:space="preserve">              R E M I S I O N</t>
  </si>
  <si>
    <t>20 DIAS</t>
  </si>
  <si>
    <t>No. 5</t>
  </si>
  <si>
    <t>TORNILLO BCC  3/8 "-16  X  1,75</t>
  </si>
  <si>
    <t>TORNILLO BCC  3/8 "-16  X  1,50</t>
  </si>
  <si>
    <t>TORNILLO  BBC 1/2 "  X 13 X 3,5</t>
  </si>
  <si>
    <t>TORNILLO  BBC  M10  X  1,5 X  45 mm</t>
  </si>
  <si>
    <t xml:space="preserve">O RING  2 - 219 - 90 </t>
  </si>
  <si>
    <t xml:space="preserve">O RING  2 - 214 - 90 </t>
  </si>
  <si>
    <t xml:space="preserve">O RING  2 - 232 - 90 </t>
  </si>
  <si>
    <t>TRESCIENTOS CINCUENTA Y NUEVE MIL TRESCIENTOS</t>
  </si>
  <si>
    <t>OCHENTA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</si>
</sst>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ycocomercial@hyc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topLeftCell="A7" zoomScaleNormal="100" workbookViewId="0">
      <selection activeCell="J27" sqref="J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39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7" t="s">
        <v>40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41</v>
      </c>
      <c r="D9" s="23"/>
      <c r="E9" s="70" t="s">
        <v>42</v>
      </c>
      <c r="F9" s="30" t="s">
        <v>0</v>
      </c>
      <c r="H9" s="28">
        <v>45826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 t="s">
        <v>49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45835</v>
      </c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77">
        <v>1</v>
      </c>
      <c r="B16" s="67" t="s">
        <v>51</v>
      </c>
      <c r="C16" s="68"/>
      <c r="D16" s="46"/>
      <c r="E16" s="78" t="s">
        <v>38</v>
      </c>
      <c r="F16" s="76">
        <v>950</v>
      </c>
      <c r="G16" s="75">
        <v>40</v>
      </c>
      <c r="H16" s="38">
        <f>F16*G16</f>
        <v>38000</v>
      </c>
    </row>
    <row r="17" spans="1:8" ht="15.75" thickBot="1" x14ac:dyDescent="0.3">
      <c r="A17" s="77">
        <v>2</v>
      </c>
      <c r="B17" s="67" t="s">
        <v>52</v>
      </c>
      <c r="C17" s="68"/>
      <c r="D17" s="46"/>
      <c r="E17" s="78" t="s">
        <v>38</v>
      </c>
      <c r="F17" s="76">
        <v>2000</v>
      </c>
      <c r="G17" s="75">
        <v>44</v>
      </c>
      <c r="H17" s="38">
        <f t="shared" ref="H17:H22" si="0">F17*G17</f>
        <v>88000</v>
      </c>
    </row>
    <row r="18" spans="1:8" ht="15.75" thickBot="1" x14ac:dyDescent="0.3">
      <c r="A18" s="77">
        <v>3</v>
      </c>
      <c r="B18" s="67" t="s">
        <v>53</v>
      </c>
      <c r="C18" s="68"/>
      <c r="D18" s="46"/>
      <c r="E18" s="78" t="s">
        <v>38</v>
      </c>
      <c r="F18" s="76">
        <v>2500</v>
      </c>
      <c r="G18" s="75">
        <v>42</v>
      </c>
      <c r="H18" s="38">
        <f t="shared" si="0"/>
        <v>105000</v>
      </c>
    </row>
    <row r="19" spans="1:8" ht="15.75" thickBot="1" x14ac:dyDescent="0.3">
      <c r="A19" s="77">
        <v>4</v>
      </c>
      <c r="B19" s="67" t="s">
        <v>54</v>
      </c>
      <c r="C19" s="68"/>
      <c r="D19" s="46"/>
      <c r="E19" s="78" t="s">
        <v>38</v>
      </c>
      <c r="F19" s="76">
        <v>950</v>
      </c>
      <c r="G19" s="75">
        <v>12</v>
      </c>
      <c r="H19" s="38">
        <f t="shared" si="0"/>
        <v>11400</v>
      </c>
    </row>
    <row r="20" spans="1:8" ht="15.75" thickBot="1" x14ac:dyDescent="0.3">
      <c r="A20" s="77">
        <v>5</v>
      </c>
      <c r="B20" s="67" t="s">
        <v>55</v>
      </c>
      <c r="C20" s="68"/>
      <c r="D20" s="46"/>
      <c r="E20" s="78" t="s">
        <v>38</v>
      </c>
      <c r="F20" s="76">
        <v>900</v>
      </c>
      <c r="G20" s="75">
        <v>10</v>
      </c>
      <c r="H20" s="38">
        <f t="shared" si="0"/>
        <v>9000</v>
      </c>
    </row>
    <row r="21" spans="1:8" ht="15.75" thickBot="1" x14ac:dyDescent="0.3">
      <c r="A21" s="77">
        <v>6</v>
      </c>
      <c r="B21" s="67" t="s">
        <v>56</v>
      </c>
      <c r="C21" s="68"/>
      <c r="D21" s="46"/>
      <c r="E21" s="78" t="s">
        <v>38</v>
      </c>
      <c r="F21" s="76">
        <v>1300</v>
      </c>
      <c r="G21" s="75">
        <v>12</v>
      </c>
      <c r="H21" s="38">
        <f t="shared" si="0"/>
        <v>15600</v>
      </c>
    </row>
    <row r="22" spans="1:8" ht="15.75" thickBot="1" x14ac:dyDescent="0.3">
      <c r="A22" s="77">
        <v>7</v>
      </c>
      <c r="B22" s="67" t="s">
        <v>57</v>
      </c>
      <c r="C22" s="68"/>
      <c r="D22" s="46"/>
      <c r="E22" s="78" t="s">
        <v>38</v>
      </c>
      <c r="F22" s="76">
        <v>3500</v>
      </c>
      <c r="G22" s="75">
        <v>10</v>
      </c>
      <c r="H22" s="38">
        <f t="shared" si="0"/>
        <v>35000</v>
      </c>
    </row>
    <row r="23" spans="1:8" ht="19.5" customHeight="1" thickBot="1" x14ac:dyDescent="0.3">
      <c r="A23" s="51"/>
      <c r="B23" s="45"/>
      <c r="C23" s="42"/>
      <c r="D23" s="52"/>
      <c r="E23" s="53"/>
      <c r="F23" s="53"/>
      <c r="G23" s="53"/>
    </row>
    <row r="24" spans="1:8" ht="19.5" customHeight="1" thickBot="1" x14ac:dyDescent="0.35">
      <c r="A24" s="50" t="s">
        <v>23</v>
      </c>
      <c r="B24" s="14" t="s">
        <v>58</v>
      </c>
      <c r="D24" s="15"/>
      <c r="E24" s="54"/>
      <c r="F24" s="37" t="s">
        <v>29</v>
      </c>
      <c r="G24" s="6"/>
      <c r="H24" s="7"/>
    </row>
    <row r="25" spans="1:8" ht="19.5" customHeight="1" thickBot="1" x14ac:dyDescent="0.3">
      <c r="A25" s="39"/>
      <c r="B25" s="16" t="s">
        <v>59</v>
      </c>
      <c r="C25" s="4"/>
      <c r="D25" s="4"/>
      <c r="E25" s="57" t="s">
        <v>24</v>
      </c>
      <c r="F25" s="58"/>
      <c r="G25" s="46"/>
      <c r="H25" s="55">
        <f>SUM(H16:H22)</f>
        <v>302000</v>
      </c>
    </row>
    <row r="26" spans="1:8" ht="19.5" customHeight="1" x14ac:dyDescent="0.25">
      <c r="A26" s="24" t="s">
        <v>25</v>
      </c>
      <c r="B26" s="12"/>
      <c r="C26" s="12"/>
      <c r="D26" s="12"/>
      <c r="E26" s="59" t="s">
        <v>30</v>
      </c>
      <c r="F26" s="23"/>
      <c r="G26" s="60">
        <v>0.19</v>
      </c>
      <c r="H26" s="40">
        <f>H25*G26</f>
        <v>57380</v>
      </c>
    </row>
    <row r="27" spans="1:8" ht="19.5" customHeight="1" x14ac:dyDescent="0.25">
      <c r="A27" s="14" t="s">
        <v>47</v>
      </c>
      <c r="E27" s="61" t="s">
        <v>26</v>
      </c>
      <c r="G27" s="64">
        <v>2.5000000000000001E-2</v>
      </c>
      <c r="H27" s="56"/>
    </row>
    <row r="28" spans="1:8" ht="15.75" x14ac:dyDescent="0.25">
      <c r="A28" s="14" t="s">
        <v>46</v>
      </c>
      <c r="E28" s="14"/>
      <c r="F28" s="33"/>
      <c r="G28" s="47"/>
      <c r="H28" s="15"/>
    </row>
    <row r="29" spans="1:8" ht="16.5" thickBot="1" x14ac:dyDescent="0.3">
      <c r="A29" s="14" t="s">
        <v>32</v>
      </c>
      <c r="E29" s="62" t="s">
        <v>27</v>
      </c>
      <c r="F29" s="63"/>
      <c r="G29" s="48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H25+H26-H27</f>
        <v>359380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33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B3C2CC52-953A-45D9-ADAD-F285DE0A52F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HYCO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2025-06-14T14:11:43Z</cp:lastPrinted>
  <dcterms:created xsi:type="dcterms:W3CDTF">2018-11-15T17:29:02Z</dcterms:created>
  <dcterms:modified xsi:type="dcterms:W3CDTF">2025-06-18T19:53:15Z</dcterms:modified>
</cp:coreProperties>
</file>