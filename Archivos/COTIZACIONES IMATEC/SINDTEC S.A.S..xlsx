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A35A8992-D486-478E-BA29-A8DCF520D0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INDTE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2" i="1"/>
  <c r="H31" i="1"/>
  <c r="H29" i="1"/>
  <c r="H26" i="1"/>
  <c r="H25" i="1"/>
  <c r="H24" i="1"/>
  <c r="H23" i="1"/>
  <c r="H22" i="1"/>
  <c r="H20" i="1"/>
  <c r="H16" i="1"/>
  <c r="H30" i="1" l="1"/>
</calcChain>
</file>

<file path=xl/sharedStrings.xml><?xml version="1.0" encoding="utf-8"?>
<sst xmlns="http://schemas.openxmlformats.org/spreadsheetml/2006/main" count="66" uniqueCount="62">
  <si>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</si>
  <si>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</si>
  <si>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</si>
  <si>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</si>
  <si>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</si>
  <si>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</si>
  <si>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</si>
  <si>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</si>
  <si>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</si>
  <si>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</si>
  <si>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</si>
  <si>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</si>
  <si>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</si>
  <si>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</si>
  <si>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</si>
  <si>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</si>
  <si>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</si>
  <si>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</si>
  <si>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</si>
  <si>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</si>
  <si>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</si>
  <si>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</si>
  <si>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</si>
  <si>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</si>
  <si>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</si>
  <si>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</si>
  <si>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</si>
  <si>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</si>
  <si>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</si>
  <si>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</si>
  <si>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</si>
  <si>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</si>
  <si>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</si>
  <si>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</si>
  <si>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</si>
  <si>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</si>
  <si>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</si>
  <si>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</si>
  <si>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</si>
  <si>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</si>
  <si>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</si>
  <si>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</si>
  <si>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SINDTEC S.A.S  OSCAR ORTIZ</t>
  </si>
  <si>
    <t>No. 1</t>
  </si>
  <si>
    <t>ARMARIO AC/INOX 304 CAL 14 CON ACABADO ELEC</t>
  </si>
  <si>
    <t>TROSTATICO EN MEDIDAS : 1,9 M ALTURA,50 CMT</t>
  </si>
  <si>
    <t>ANCHO ,40 CMT FONDO . DIVIDIDO EN 2 COMPAR-</t>
  </si>
  <si>
    <t>TIMIENTOS. CON PUERTA LISA Y DOS PERCHEROS</t>
  </si>
  <si>
    <t>GABINETE TIPO 3 EN AC/INOX 304  77 CMT X 77 CMT</t>
  </si>
  <si>
    <t>X 23 CMTS DE FONDO</t>
  </si>
  <si>
    <t>ROLLO</t>
  </si>
  <si>
    <t>FABRICACION</t>
  </si>
  <si>
    <t xml:space="preserve">SOPORTE PARA CANASTILLA </t>
  </si>
  <si>
    <t>MANGUERA TIPO BOMBERO 1 1/2 " X 30 MTS ULFM</t>
  </si>
  <si>
    <t>VALVULA ANGULAR 2 1/2 " BRONCE TAPA PLASTICA</t>
  </si>
  <si>
    <t>LLAVES SPANNER PARA GABINETE</t>
  </si>
  <si>
    <t>HACHA PICO ACERO FORJADO 4 LBS PARA GABINET</t>
  </si>
  <si>
    <t xml:space="preserve">   RETEICA </t>
  </si>
  <si>
    <t>DIECINUEVE MILLONES CUATROCIENTOS CINCUENTA Y</t>
  </si>
  <si>
    <t>TRES MIL CINCUENTA Y SEIS PESOS MDA / CTE</t>
  </si>
  <si>
    <t>ENTREGA EN 30 DIAS POSTERIOR A ORDEN DE COMPRA</t>
  </si>
  <si>
    <t>LUIS A. BENAVIDES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</si>
</sst>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7" xfId="0" applyFont="1" applyBorder="1" applyAlignment="1">
      <alignment horizontal="center"/>
    </xf>
    <xf numFmtId="0" fontId="8" fillId="0" borderId="30" xfId="0" applyFont="1" applyBorder="1"/>
    <xf numFmtId="0" fontId="8" fillId="0" borderId="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5" zoomScaleNormal="100" workbookViewId="0">
      <selection activeCell="C14" sqref="C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43</v>
      </c>
    </row>
    <row r="8" spans="1:8" ht="18.75" x14ac:dyDescent="0.3">
      <c r="A8" s="21" t="s">
        <v>8</v>
      </c>
      <c r="C8" s="68"/>
      <c r="D8" s="12"/>
      <c r="E8" s="13"/>
      <c r="H8" s="15"/>
    </row>
    <row r="9" spans="1:8" ht="18.75" customHeight="1" x14ac:dyDescent="0.3">
      <c r="A9" s="21" t="s">
        <v>9</v>
      </c>
      <c r="C9" s="14"/>
      <c r="E9" s="15"/>
      <c r="F9" s="30" t="s">
        <v>0</v>
      </c>
      <c r="H9" s="28">
        <v>45894</v>
      </c>
    </row>
    <row r="10" spans="1:8" ht="18.75" x14ac:dyDescent="0.3">
      <c r="A10" s="21" t="s">
        <v>13</v>
      </c>
      <c r="C10" s="69"/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45904</v>
      </c>
    </row>
    <row r="12" spans="1:8" ht="18.75" x14ac:dyDescent="0.3">
      <c r="A12" s="21" t="s">
        <v>11</v>
      </c>
      <c r="C12" s="14"/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61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44</v>
      </c>
      <c r="C16" s="62"/>
      <c r="D16" s="63"/>
      <c r="E16" s="60" t="s">
        <v>51</v>
      </c>
      <c r="F16" s="64">
        <v>5590000</v>
      </c>
      <c r="G16" s="60">
        <v>2</v>
      </c>
      <c r="H16" s="38">
        <f t="shared" ref="H16" si="0">G16*F16</f>
        <v>11180000</v>
      </c>
    </row>
    <row r="17" spans="1:8" ht="15.75" x14ac:dyDescent="0.25">
      <c r="A17" s="70"/>
      <c r="B17" s="61" t="s">
        <v>45</v>
      </c>
      <c r="C17" s="62"/>
      <c r="D17" s="63"/>
      <c r="E17" s="70"/>
      <c r="F17" s="74"/>
      <c r="G17" s="70"/>
      <c r="H17" s="75"/>
    </row>
    <row r="18" spans="1:8" ht="15.75" x14ac:dyDescent="0.25">
      <c r="A18" s="70"/>
      <c r="B18" s="61" t="s">
        <v>46</v>
      </c>
      <c r="C18" s="62"/>
      <c r="D18" s="63"/>
      <c r="E18" s="70"/>
      <c r="F18" s="74"/>
      <c r="G18" s="70"/>
      <c r="H18" s="75"/>
    </row>
    <row r="19" spans="1:8" ht="16.5" thickBot="1" x14ac:dyDescent="0.3">
      <c r="A19" s="70"/>
      <c r="B19" s="71" t="s">
        <v>47</v>
      </c>
      <c r="C19" s="72"/>
      <c r="D19" s="73"/>
      <c r="E19" s="70"/>
      <c r="F19" s="74"/>
      <c r="G19" s="70"/>
      <c r="H19" s="75"/>
    </row>
    <row r="20" spans="1:8" ht="16.5" thickBot="1" x14ac:dyDescent="0.3">
      <c r="A20" s="60">
        <v>2</v>
      </c>
      <c r="B20" s="61" t="s">
        <v>48</v>
      </c>
      <c r="C20" s="62"/>
      <c r="D20" s="63"/>
      <c r="E20" s="60" t="s">
        <v>39</v>
      </c>
      <c r="F20" s="64">
        <v>2100000</v>
      </c>
      <c r="G20" s="60">
        <v>2</v>
      </c>
      <c r="H20" s="38">
        <f t="shared" ref="H20:H26" si="1">G20*F20</f>
        <v>4200000</v>
      </c>
    </row>
    <row r="21" spans="1:8" ht="16.5" thickBot="1" x14ac:dyDescent="0.3">
      <c r="A21" s="60"/>
      <c r="B21" s="61" t="s">
        <v>49</v>
      </c>
      <c r="C21" s="62"/>
      <c r="D21" s="63"/>
      <c r="E21" s="60"/>
      <c r="F21" s="64"/>
      <c r="G21" s="60"/>
      <c r="H21" s="38"/>
    </row>
    <row r="22" spans="1:8" ht="16.5" thickBot="1" x14ac:dyDescent="0.3">
      <c r="A22" s="60">
        <v>3</v>
      </c>
      <c r="B22" s="61" t="s">
        <v>53</v>
      </c>
      <c r="C22" s="62"/>
      <c r="D22" s="63"/>
      <c r="E22" s="60" t="s">
        <v>50</v>
      </c>
      <c r="F22" s="64">
        <v>123000</v>
      </c>
      <c r="G22" s="60">
        <v>2</v>
      </c>
      <c r="H22" s="38">
        <f t="shared" si="1"/>
        <v>246000</v>
      </c>
    </row>
    <row r="23" spans="1:8" ht="16.5" thickBot="1" x14ac:dyDescent="0.3">
      <c r="A23" s="60">
        <v>4</v>
      </c>
      <c r="B23" s="61" t="s">
        <v>52</v>
      </c>
      <c r="C23" s="62"/>
      <c r="D23" s="63"/>
      <c r="E23" s="60" t="s">
        <v>39</v>
      </c>
      <c r="F23" s="64">
        <v>28000</v>
      </c>
      <c r="G23" s="60">
        <v>2</v>
      </c>
      <c r="H23" s="38">
        <f t="shared" si="1"/>
        <v>56000</v>
      </c>
    </row>
    <row r="24" spans="1:8" ht="16.5" thickBot="1" x14ac:dyDescent="0.3">
      <c r="A24" s="60">
        <v>5</v>
      </c>
      <c r="B24" s="61" t="s">
        <v>54</v>
      </c>
      <c r="C24" s="62"/>
      <c r="D24" s="63"/>
      <c r="E24" s="60" t="s">
        <v>39</v>
      </c>
      <c r="F24" s="64">
        <v>451000</v>
      </c>
      <c r="G24" s="60">
        <v>2</v>
      </c>
      <c r="H24" s="38">
        <f t="shared" si="1"/>
        <v>902000</v>
      </c>
    </row>
    <row r="25" spans="1:8" ht="16.5" thickBot="1" x14ac:dyDescent="0.3">
      <c r="A25" s="60">
        <v>6</v>
      </c>
      <c r="B25" s="61" t="s">
        <v>55</v>
      </c>
      <c r="C25" s="62"/>
      <c r="D25" s="63"/>
      <c r="E25" s="60" t="s">
        <v>39</v>
      </c>
      <c r="F25" s="64">
        <v>19000</v>
      </c>
      <c r="G25" s="60">
        <v>2</v>
      </c>
      <c r="H25" s="38">
        <f t="shared" si="1"/>
        <v>38000</v>
      </c>
    </row>
    <row r="26" spans="1:8" ht="16.5" thickBot="1" x14ac:dyDescent="0.3">
      <c r="A26" s="60">
        <v>7</v>
      </c>
      <c r="B26" s="61" t="s">
        <v>56</v>
      </c>
      <c r="C26" s="62"/>
      <c r="D26" s="63"/>
      <c r="E26" s="60" t="s">
        <v>39</v>
      </c>
      <c r="F26" s="64">
        <v>93500</v>
      </c>
      <c r="G26" s="60">
        <v>2</v>
      </c>
      <c r="H26" s="38">
        <f t="shared" si="1"/>
        <v>187000</v>
      </c>
    </row>
    <row r="27" spans="1:8" ht="19.5" customHeight="1" thickBot="1" x14ac:dyDescent="0.3">
      <c r="A27" s="47"/>
      <c r="B27" s="66"/>
      <c r="D27" s="67"/>
      <c r="E27" s="47"/>
      <c r="F27" s="47"/>
      <c r="G27" s="47"/>
    </row>
    <row r="28" spans="1:8" ht="19.5" customHeight="1" thickBot="1" x14ac:dyDescent="0.35">
      <c r="A28" s="65" t="s">
        <v>23</v>
      </c>
      <c r="B28" s="68" t="s">
        <v>58</v>
      </c>
      <c r="C28" s="12"/>
      <c r="D28" s="13"/>
      <c r="E28" s="48"/>
      <c r="F28" s="37" t="s">
        <v>40</v>
      </c>
      <c r="G28" s="6"/>
      <c r="H28" s="7"/>
    </row>
    <row r="29" spans="1:8" ht="19.5" customHeight="1" thickBot="1" x14ac:dyDescent="0.3">
      <c r="A29" s="39"/>
      <c r="B29" s="16" t="s">
        <v>59</v>
      </c>
      <c r="C29" s="4"/>
      <c r="D29" s="17"/>
      <c r="E29" s="51" t="s">
        <v>24</v>
      </c>
      <c r="F29" s="52"/>
      <c r="G29" s="44"/>
      <c r="H29" s="49">
        <f>SUM(H16:H26)</f>
        <v>16809000</v>
      </c>
    </row>
    <row r="30" spans="1:8" ht="19.5" customHeight="1" x14ac:dyDescent="0.25">
      <c r="A30" s="24" t="s">
        <v>25</v>
      </c>
      <c r="B30" s="12"/>
      <c r="C30" s="12"/>
      <c r="D30" s="12"/>
      <c r="E30" s="53" t="s">
        <v>29</v>
      </c>
      <c r="F30" s="23"/>
      <c r="G30" s="54">
        <v>0.19</v>
      </c>
      <c r="H30" s="40">
        <f>H29*G30</f>
        <v>3193710</v>
      </c>
    </row>
    <row r="31" spans="1:8" ht="19.5" customHeight="1" x14ac:dyDescent="0.25">
      <c r="A31" s="14" t="s">
        <v>30</v>
      </c>
      <c r="E31" s="55" t="s">
        <v>26</v>
      </c>
      <c r="G31" s="58">
        <v>2.5000000000000001E-2</v>
      </c>
      <c r="H31" s="50">
        <f>H29*G31</f>
        <v>420225</v>
      </c>
    </row>
    <row r="32" spans="1:8" ht="15.75" x14ac:dyDescent="0.25">
      <c r="A32" s="14" t="s">
        <v>60</v>
      </c>
      <c r="E32" s="53" t="s">
        <v>57</v>
      </c>
      <c r="F32" s="33"/>
      <c r="G32" s="76">
        <v>7.7000000000000002E-3</v>
      </c>
      <c r="H32" s="50">
        <f>H29*G32</f>
        <v>129429.3</v>
      </c>
    </row>
    <row r="33" spans="1:8" ht="16.5" thickBot="1" x14ac:dyDescent="0.3">
      <c r="A33" s="14" t="s">
        <v>33</v>
      </c>
      <c r="E33" s="56" t="s">
        <v>27</v>
      </c>
      <c r="F33" s="57"/>
      <c r="G33" s="45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H29+H30-H31-H32</f>
        <v>19453055.699999999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41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SINDTEC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2025-08-25T22:42:06Z</dcterms:modified>
</cp:coreProperties>
</file>