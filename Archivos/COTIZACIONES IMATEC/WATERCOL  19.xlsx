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339CDFD-C400-44DA-9AC6-100EE247F41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<sst xmlns="http://schemas.openxmlformats.org/spreadsheetml/2006/main" count="58" uniqueCount="56">
  <si>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</si>
  <si>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</si>
  <si>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</si>
  <si>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</si>
  <si>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</si>
  <si>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</si>
  <si>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</si>
  <si>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</si>
  <si>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</si>
  <si>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</si>
  <si>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</si>
  <si>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</si>
  <si>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</si>
  <si>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</si>
  <si>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</si>
  <si>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</si>
  <si>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</si>
  <si>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</si>
  <si>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</si>
  <si>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</si>
  <si>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</si>
  <si>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</si>
  <si>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</si>
  <si>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</si>
  <si>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</si>
  <si>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</si>
  <si>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</si>
  <si>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</si>
  <si>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</si>
  <si>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</si>
  <si>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</si>
  <si>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</si>
  <si>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</si>
  <si>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</si>
  <si>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</si>
  <si>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</si>
  <si>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</si>
  <si>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</si>
  <si>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</si>
  <si>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</si>
  <si>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</si>
  <si>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</si>
  <si>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</si>
  <si>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</si>
  <si>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</si>
  <si>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</si>
  <si>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</si>
  <si>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 xml:space="preserve">           C O T I Z A C I O N</t>
  </si>
  <si>
    <t>ENTREGA EN TRES DIAS A PARTIR DE ORDEN DE COMPRA</t>
  </si>
  <si>
    <t>L I Q U I D A C I O N</t>
  </si>
  <si>
    <t>No. 19</t>
  </si>
  <si>
    <t>VALVULA REGULADORA DE AGUA 1 "</t>
  </si>
  <si>
    <t>MANOMETRO AC/INOX CARATULA 2 1/2 " 0-150 PSI</t>
  </si>
  <si>
    <t>FILTRO EN BRONCE  1 "</t>
  </si>
  <si>
    <t>QUINIENTOS CINCUENTA Y SEIS MIL  NOVECIENTOS VEIN</t>
  </si>
  <si>
    <t>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</si>
</sst>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35</v>
      </c>
      <c r="E4" s="19"/>
      <c r="F4" s="20"/>
      <c r="G4" s="6"/>
      <c r="H4" s="7"/>
    </row>
    <row r="5" spans="1:8" ht="19.5" thickBot="1" x14ac:dyDescent="0.35">
      <c r="A5" s="50" t="s">
        <v>37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9"/>
      <c r="H6" s="20"/>
    </row>
    <row r="7" spans="1:8" ht="19.5" thickBot="1" x14ac:dyDescent="0.35">
      <c r="A7" s="21" t="s">
        <v>14</v>
      </c>
      <c r="B7" s="13"/>
      <c r="C7" s="30" t="s">
        <v>38</v>
      </c>
      <c r="D7" s="13"/>
      <c r="E7" s="14"/>
      <c r="F7" s="27"/>
      <c r="G7" s="19"/>
      <c r="H7" s="20" t="s">
        <v>50</v>
      </c>
    </row>
    <row r="8" spans="1:8" ht="18.75" x14ac:dyDescent="0.3">
      <c r="A8" s="22" t="s">
        <v>8</v>
      </c>
      <c r="C8" s="63" t="s">
        <v>39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40</v>
      </c>
      <c r="D9" s="24"/>
      <c r="E9" s="67" t="s">
        <v>41</v>
      </c>
      <c r="F9" s="31" t="s">
        <v>0</v>
      </c>
      <c r="H9" s="32">
        <v>45759</v>
      </c>
    </row>
    <row r="10" spans="1:8" ht="18.75" x14ac:dyDescent="0.3">
      <c r="A10" s="22" t="s">
        <v>13</v>
      </c>
      <c r="C10" s="68" t="s">
        <v>42</v>
      </c>
      <c r="D10" s="25"/>
      <c r="E10" s="69"/>
      <c r="F10" s="31" t="s">
        <v>15</v>
      </c>
      <c r="H10" s="33" t="s">
        <v>34</v>
      </c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>
        <v>45768</v>
      </c>
    </row>
    <row r="12" spans="1:8" ht="18.75" x14ac:dyDescent="0.3">
      <c r="A12" s="22" t="s">
        <v>11</v>
      </c>
      <c r="C12" s="70" t="s">
        <v>43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44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51</v>
      </c>
      <c r="C16" s="58"/>
      <c r="D16" s="59"/>
      <c r="E16" s="60" t="s">
        <v>45</v>
      </c>
      <c r="F16" s="61">
        <v>300000</v>
      </c>
      <c r="G16" s="56">
        <v>1</v>
      </c>
      <c r="H16" s="51">
        <f t="shared" ref="H16" si="0">G16*F16</f>
        <v>300000</v>
      </c>
    </row>
    <row r="17" spans="1:8" ht="16.5" thickBot="1" x14ac:dyDescent="0.3">
      <c r="A17" s="56">
        <v>2</v>
      </c>
      <c r="B17" s="57" t="s">
        <v>52</v>
      </c>
      <c r="C17" s="58"/>
      <c r="D17" s="59"/>
      <c r="E17" s="60" t="s">
        <v>45</v>
      </c>
      <c r="F17" s="61">
        <v>60000</v>
      </c>
      <c r="G17" s="56">
        <v>1</v>
      </c>
      <c r="H17" s="51">
        <f t="shared" ref="H17:H18" si="1">G17*F17</f>
        <v>60000</v>
      </c>
    </row>
    <row r="18" spans="1:8" ht="16.5" thickBot="1" x14ac:dyDescent="0.3">
      <c r="A18" s="56">
        <v>3</v>
      </c>
      <c r="B18" s="57" t="s">
        <v>53</v>
      </c>
      <c r="C18" s="58"/>
      <c r="D18" s="59"/>
      <c r="E18" s="60" t="s">
        <v>45</v>
      </c>
      <c r="F18" s="61">
        <v>108000</v>
      </c>
      <c r="G18" s="56">
        <v>1</v>
      </c>
      <c r="H18" s="51">
        <f t="shared" si="1"/>
        <v>108000</v>
      </c>
    </row>
    <row r="19" spans="1:8" ht="19.5" customHeight="1" thickBot="1" x14ac:dyDescent="0.35">
      <c r="A19" s="52" t="s">
        <v>25</v>
      </c>
      <c r="B19" s="12" t="s">
        <v>54</v>
      </c>
      <c r="C19" s="13"/>
      <c r="D19" s="14"/>
      <c r="E19" s="13"/>
      <c r="F19" s="37" t="s">
        <v>49</v>
      </c>
      <c r="G19" s="13"/>
      <c r="H19" s="7"/>
    </row>
    <row r="20" spans="1:8" ht="19.5" customHeight="1" thickBot="1" x14ac:dyDescent="0.3">
      <c r="A20" s="53"/>
      <c r="B20" s="17" t="s">
        <v>55</v>
      </c>
      <c r="C20" s="4"/>
      <c r="D20" s="4"/>
      <c r="E20" s="38" t="s">
        <v>26</v>
      </c>
      <c r="F20" s="39"/>
      <c r="G20" s="25"/>
      <c r="H20" s="46">
        <f>SUM(H16:H18)</f>
        <v>468000</v>
      </c>
    </row>
    <row r="21" spans="1:8" ht="19.5" customHeight="1" x14ac:dyDescent="0.25">
      <c r="A21" s="26" t="s">
        <v>27</v>
      </c>
      <c r="B21" s="13"/>
      <c r="C21" s="13"/>
      <c r="D21" s="14"/>
      <c r="E21" s="3" t="s">
        <v>32</v>
      </c>
      <c r="F21" s="62"/>
      <c r="G21" s="41">
        <v>0.19</v>
      </c>
      <c r="H21" s="47">
        <f>H20*G21</f>
        <v>88920</v>
      </c>
    </row>
    <row r="22" spans="1:8" ht="19.5" customHeight="1" x14ac:dyDescent="0.25">
      <c r="A22" s="15" t="s">
        <v>33</v>
      </c>
      <c r="D22" s="16"/>
      <c r="E22" s="39" t="s">
        <v>28</v>
      </c>
      <c r="G22" s="55">
        <v>2.5000000000000001E-2</v>
      </c>
      <c r="H22" s="42"/>
    </row>
    <row r="23" spans="1:8" ht="15.75" x14ac:dyDescent="0.25">
      <c r="A23" s="15" t="s">
        <v>48</v>
      </c>
      <c r="D23" s="16"/>
      <c r="F23" s="39"/>
      <c r="G23" s="25"/>
      <c r="H23" s="43"/>
    </row>
    <row r="24" spans="1:8" ht="16.5" thickBot="1" x14ac:dyDescent="0.3">
      <c r="A24" s="15" t="s">
        <v>36</v>
      </c>
      <c r="D24" s="16"/>
      <c r="E24" s="39" t="s">
        <v>29</v>
      </c>
      <c r="F24" s="39"/>
      <c r="G24" s="25"/>
      <c r="H24" s="44"/>
    </row>
    <row r="25" spans="1:8" ht="19.5" thickBot="1" x14ac:dyDescent="0.35">
      <c r="A25" s="17"/>
      <c r="B25" s="4"/>
      <c r="C25" s="4"/>
      <c r="D25" s="18"/>
      <c r="F25" s="3"/>
      <c r="G25" s="40" t="s">
        <v>30</v>
      </c>
      <c r="H25" s="48">
        <f>H20+H21-H22</f>
        <v>556920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7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2025-04-12T15:41:55Z</dcterms:modified>
</cp:coreProperties>
</file>