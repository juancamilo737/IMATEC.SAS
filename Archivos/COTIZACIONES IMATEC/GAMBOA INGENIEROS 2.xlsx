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75DB09F-A3FA-4258-89F0-AF60E4E30A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6" i="1" l="1"/>
  <c r="H64" i="1"/>
  <c r="H63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16" i="1" l="1"/>
  <c r="H61" i="1" s="1"/>
  <c r="H62" i="1" l="1"/>
</calcChain>
</file>

<file path=xl/sharedStrings.xml><?xml version="1.0" encoding="utf-8"?>
<sst xmlns="http://schemas.openxmlformats.org/spreadsheetml/2006/main" count="181" uniqueCount="85">
  <si>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</si>
  <si>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</si>
  <si>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</si>
  <si>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</si>
  <si>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</si>
  <si>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</si>
  <si>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</si>
  <si>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</si>
  <si>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</si>
  <si>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</si>
  <si>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</si>
  <si>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</si>
  <si>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</si>
  <si>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</si>
  <si>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</si>
  <si>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</si>
  <si>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</si>
  <si>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</si>
  <si>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</si>
  <si>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</si>
  <si>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</si>
  <si>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</si>
  <si>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</si>
  <si>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</si>
  <si>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</si>
  <si>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</si>
  <si>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</si>
  <si>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</si>
  <si>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</si>
  <si>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</si>
  <si>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</si>
  <si>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</si>
  <si>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</si>
  <si>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</si>
  <si>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</si>
  <si>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</si>
  <si>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</si>
  <si>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</si>
  <si>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</si>
  <si>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</si>
  <si>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</si>
  <si>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</si>
  <si>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GAMBOA INGENIEROS SAS</t>
  </si>
  <si>
    <t>900 798846</t>
  </si>
  <si>
    <t>CALLE 13 E  No. 35-06</t>
  </si>
  <si>
    <t>CALI</t>
  </si>
  <si>
    <t>edgargamboafajardo@gmail.com</t>
  </si>
  <si>
    <t>602 3350376</t>
  </si>
  <si>
    <t>EDINSON CABEZAS</t>
  </si>
  <si>
    <t>No.  2</t>
  </si>
  <si>
    <t xml:space="preserve">   RETEICA</t>
  </si>
  <si>
    <t>CIENTO OCHENTA Y NUEVE MILLONES SETECIENTOS CIN</t>
  </si>
  <si>
    <t>CO MIL QUINIENTOS OCHENTA Y OCHO PESOS MDA CTE</t>
  </si>
  <si>
    <t>TUBERIA  A / C  SCH 10</t>
  </si>
  <si>
    <t>TUBERIA  A / C  SCH 40</t>
  </si>
  <si>
    <t>10 "</t>
  </si>
  <si>
    <t>6 "</t>
  </si>
  <si>
    <t>4 "</t>
  </si>
  <si>
    <t>1 "</t>
  </si>
  <si>
    <t>8 "</t>
  </si>
  <si>
    <t>2 1/2 "</t>
  </si>
  <si>
    <t>1 1/4 "</t>
  </si>
  <si>
    <t>CODO HD RANURADO  90 º</t>
  </si>
  <si>
    <t>CODO CALLE HD RANURADO 90 º</t>
  </si>
  <si>
    <t>CODO HD ROSCADO 90 º</t>
  </si>
  <si>
    <t>TEE HD RANURADA</t>
  </si>
  <si>
    <t>TEE HD MECANICA RANURADA</t>
  </si>
  <si>
    <t>STRAP TEE SALIDA ROSCADA</t>
  </si>
  <si>
    <t>2 1/2 "  X  1"</t>
  </si>
  <si>
    <t>1 1/4 "  X  1 "</t>
  </si>
  <si>
    <t>REDUCCION HD RANURADA</t>
  </si>
  <si>
    <t>REDUCCION COPA GALVANIZADA</t>
  </si>
  <si>
    <t>BUSHING HO ROSCADO X 150 LBS</t>
  </si>
  <si>
    <t>1 "  X  1/2 "</t>
  </si>
  <si>
    <t xml:space="preserve">ACOPLE RIGIDO RANURADO </t>
  </si>
  <si>
    <t xml:space="preserve">4 " </t>
  </si>
  <si>
    <t>SENSOR FLUJO TIPO PALETA</t>
  </si>
  <si>
    <t>VALVULA RISER CHECK RANURADA</t>
  </si>
  <si>
    <t>VALVULA DE ALIVIO 1/2 "</t>
  </si>
  <si>
    <t>VALVULA DE PRUEBA Y DRENAJE</t>
  </si>
  <si>
    <t>VALVULA MARIPOSA SUPERVISADA</t>
  </si>
  <si>
    <t>VALVULA DESAIRADORA</t>
  </si>
  <si>
    <t>VALVULA SIAMESA CON PLACA Y</t>
  </si>
  <si>
    <t>CHEQUE RANURADO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</si>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</sst>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gargamboafajar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81"/>
  <sheetViews>
    <sheetView tabSelected="1" topLeftCell="A52" zoomScaleNormal="100" workbookViewId="0">
      <selection activeCell="J67" sqref="J6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6.570312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0" t="s">
        <v>43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44</v>
      </c>
      <c r="D9" s="23"/>
      <c r="E9" s="73" t="s">
        <v>45</v>
      </c>
      <c r="F9" s="30" t="s">
        <v>0</v>
      </c>
      <c r="H9" s="28">
        <v>45850</v>
      </c>
    </row>
    <row r="10" spans="1:8" ht="18.75" x14ac:dyDescent="0.3">
      <c r="A10" s="21" t="s">
        <v>13</v>
      </c>
      <c r="C10" s="74" t="s">
        <v>46</v>
      </c>
      <c r="D10" s="75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6"/>
      <c r="D11" s="75"/>
      <c r="E11" s="45"/>
      <c r="F11" s="30" t="s">
        <v>16</v>
      </c>
      <c r="G11" s="30"/>
      <c r="H11" s="28">
        <v>45859</v>
      </c>
    </row>
    <row r="12" spans="1:8" ht="18.75" x14ac:dyDescent="0.3">
      <c r="A12" s="21" t="s">
        <v>11</v>
      </c>
      <c r="C12" s="76" t="s">
        <v>47</v>
      </c>
      <c r="D12" s="75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48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53</v>
      </c>
      <c r="C16" s="63"/>
      <c r="D16" s="64" t="s">
        <v>55</v>
      </c>
      <c r="E16" s="61" t="s">
        <v>39</v>
      </c>
      <c r="F16" s="65">
        <v>1266400</v>
      </c>
      <c r="G16" s="61">
        <v>20</v>
      </c>
      <c r="H16" s="38">
        <f t="shared" ref="H16:H58" si="0">G16*F16</f>
        <v>25328000</v>
      </c>
    </row>
    <row r="17" spans="1:8" ht="16.5" thickBot="1" x14ac:dyDescent="0.3">
      <c r="A17" s="61">
        <v>2</v>
      </c>
      <c r="B17" s="62" t="s">
        <v>53</v>
      </c>
      <c r="C17" s="63"/>
      <c r="D17" s="64" t="s">
        <v>56</v>
      </c>
      <c r="E17" s="61" t="s">
        <v>39</v>
      </c>
      <c r="F17" s="65">
        <v>537600</v>
      </c>
      <c r="G17" s="61">
        <v>30</v>
      </c>
      <c r="H17" s="38">
        <f t="shared" si="0"/>
        <v>16128000</v>
      </c>
    </row>
    <row r="18" spans="1:8" ht="16.5" thickBot="1" x14ac:dyDescent="0.3">
      <c r="A18" s="61">
        <v>3</v>
      </c>
      <c r="B18" s="62" t="s">
        <v>53</v>
      </c>
      <c r="C18" s="63"/>
      <c r="D18" s="64" t="s">
        <v>57</v>
      </c>
      <c r="E18" s="61" t="s">
        <v>39</v>
      </c>
      <c r="F18" s="65">
        <v>408600</v>
      </c>
      <c r="G18" s="61">
        <v>30</v>
      </c>
      <c r="H18" s="38">
        <f t="shared" si="0"/>
        <v>12258000</v>
      </c>
    </row>
    <row r="19" spans="1:8" ht="16.5" thickBot="1" x14ac:dyDescent="0.3">
      <c r="A19" s="61">
        <v>4</v>
      </c>
      <c r="B19" s="62" t="s">
        <v>53</v>
      </c>
      <c r="C19" s="63"/>
      <c r="D19" s="64" t="s">
        <v>60</v>
      </c>
      <c r="E19" s="61" t="s">
        <v>39</v>
      </c>
      <c r="F19" s="65">
        <v>204400</v>
      </c>
      <c r="G19" s="61">
        <v>120</v>
      </c>
      <c r="H19" s="38">
        <f t="shared" si="0"/>
        <v>24528000</v>
      </c>
    </row>
    <row r="20" spans="1:8" ht="16.5" thickBot="1" x14ac:dyDescent="0.3">
      <c r="A20" s="61">
        <v>5</v>
      </c>
      <c r="B20" s="62" t="s">
        <v>54</v>
      </c>
      <c r="C20" s="63"/>
      <c r="D20" s="64" t="s">
        <v>61</v>
      </c>
      <c r="E20" s="61" t="s">
        <v>39</v>
      </c>
      <c r="F20" s="65">
        <v>102950</v>
      </c>
      <c r="G20" s="61">
        <v>5</v>
      </c>
      <c r="H20" s="38">
        <f t="shared" si="0"/>
        <v>514750</v>
      </c>
    </row>
    <row r="21" spans="1:8" ht="16.5" thickBot="1" x14ac:dyDescent="0.3">
      <c r="A21" s="61">
        <v>6</v>
      </c>
      <c r="B21" s="62" t="s">
        <v>62</v>
      </c>
      <c r="C21" s="63"/>
      <c r="D21" s="64" t="s">
        <v>55</v>
      </c>
      <c r="E21" s="61" t="s">
        <v>39</v>
      </c>
      <c r="F21" s="65">
        <v>347700</v>
      </c>
      <c r="G21" s="61">
        <v>4</v>
      </c>
      <c r="H21" s="38">
        <f t="shared" si="0"/>
        <v>1390800</v>
      </c>
    </row>
    <row r="22" spans="1:8" ht="16.5" thickBot="1" x14ac:dyDescent="0.3">
      <c r="A22" s="61">
        <v>7</v>
      </c>
      <c r="B22" s="62" t="s">
        <v>62</v>
      </c>
      <c r="C22" s="63"/>
      <c r="D22" s="64" t="s">
        <v>59</v>
      </c>
      <c r="E22" s="61" t="s">
        <v>39</v>
      </c>
      <c r="F22" s="65">
        <v>166160</v>
      </c>
      <c r="G22" s="61">
        <v>1</v>
      </c>
      <c r="H22" s="38">
        <f t="shared" si="0"/>
        <v>166160</v>
      </c>
    </row>
    <row r="23" spans="1:8" ht="16.5" thickBot="1" x14ac:dyDescent="0.3">
      <c r="A23" s="61">
        <v>8</v>
      </c>
      <c r="B23" s="62" t="s">
        <v>62</v>
      </c>
      <c r="C23" s="63"/>
      <c r="D23" s="64" t="s">
        <v>60</v>
      </c>
      <c r="E23" s="61" t="s">
        <v>39</v>
      </c>
      <c r="F23" s="65">
        <v>20700</v>
      </c>
      <c r="G23" s="61">
        <v>415</v>
      </c>
      <c r="H23" s="38">
        <f t="shared" si="0"/>
        <v>8590500</v>
      </c>
    </row>
    <row r="24" spans="1:8" ht="16.5" thickBot="1" x14ac:dyDescent="0.3">
      <c r="A24" s="61">
        <v>9</v>
      </c>
      <c r="B24" s="62" t="s">
        <v>63</v>
      </c>
      <c r="C24" s="63"/>
      <c r="D24" s="64" t="s">
        <v>61</v>
      </c>
      <c r="E24" s="61" t="s">
        <v>39</v>
      </c>
      <c r="F24" s="65">
        <v>3850</v>
      </c>
      <c r="G24" s="61">
        <v>1326</v>
      </c>
      <c r="H24" s="38">
        <f t="shared" si="0"/>
        <v>5105100</v>
      </c>
    </row>
    <row r="25" spans="1:8" ht="16.5" thickBot="1" x14ac:dyDescent="0.3">
      <c r="A25" s="61">
        <v>10</v>
      </c>
      <c r="B25" s="62" t="s">
        <v>64</v>
      </c>
      <c r="C25" s="63"/>
      <c r="D25" s="64" t="s">
        <v>58</v>
      </c>
      <c r="E25" s="61" t="s">
        <v>39</v>
      </c>
      <c r="F25" s="65">
        <v>3850</v>
      </c>
      <c r="G25" s="61">
        <v>23</v>
      </c>
      <c r="H25" s="38">
        <f t="shared" si="0"/>
        <v>88550</v>
      </c>
    </row>
    <row r="26" spans="1:8" ht="16.5" thickBot="1" x14ac:dyDescent="0.3">
      <c r="A26" s="61">
        <v>11</v>
      </c>
      <c r="B26" s="62" t="s">
        <v>65</v>
      </c>
      <c r="C26" s="63"/>
      <c r="D26" s="64" t="s">
        <v>55</v>
      </c>
      <c r="E26" s="61" t="s">
        <v>39</v>
      </c>
      <c r="F26" s="65">
        <v>519750</v>
      </c>
      <c r="G26" s="61">
        <v>8</v>
      </c>
      <c r="H26" s="38">
        <f t="shared" si="0"/>
        <v>4158000</v>
      </c>
    </row>
    <row r="27" spans="1:8" ht="16.5" thickBot="1" x14ac:dyDescent="0.3">
      <c r="A27" s="61">
        <v>12</v>
      </c>
      <c r="B27" s="62" t="s">
        <v>65</v>
      </c>
      <c r="C27" s="63"/>
      <c r="D27" s="64" t="s">
        <v>56</v>
      </c>
      <c r="E27" s="61" t="s">
        <v>39</v>
      </c>
      <c r="F27" s="65">
        <v>117200</v>
      </c>
      <c r="G27" s="61">
        <v>4</v>
      </c>
      <c r="H27" s="38">
        <f t="shared" si="0"/>
        <v>468800</v>
      </c>
    </row>
    <row r="28" spans="1:8" ht="16.5" thickBot="1" x14ac:dyDescent="0.3">
      <c r="A28" s="61">
        <v>13</v>
      </c>
      <c r="B28" s="62" t="s">
        <v>65</v>
      </c>
      <c r="C28" s="63"/>
      <c r="D28" s="64" t="s">
        <v>57</v>
      </c>
      <c r="E28" s="61" t="s">
        <v>39</v>
      </c>
      <c r="F28" s="65">
        <v>60150</v>
      </c>
      <c r="G28" s="61">
        <v>2</v>
      </c>
      <c r="H28" s="38">
        <f t="shared" si="0"/>
        <v>120300</v>
      </c>
    </row>
    <row r="29" spans="1:8" ht="16.5" thickBot="1" x14ac:dyDescent="0.3">
      <c r="A29" s="61">
        <v>14</v>
      </c>
      <c r="B29" s="62" t="s">
        <v>65</v>
      </c>
      <c r="C29" s="63"/>
      <c r="D29" s="64" t="s">
        <v>60</v>
      </c>
      <c r="E29" s="61" t="s">
        <v>39</v>
      </c>
      <c r="F29" s="65">
        <v>25300</v>
      </c>
      <c r="G29" s="61">
        <v>4</v>
      </c>
      <c r="H29" s="38">
        <f t="shared" si="0"/>
        <v>101200</v>
      </c>
    </row>
    <row r="30" spans="1:8" ht="16.5" thickBot="1" x14ac:dyDescent="0.3">
      <c r="A30" s="61">
        <v>15</v>
      </c>
      <c r="B30" s="62" t="s">
        <v>66</v>
      </c>
      <c r="C30" s="63"/>
      <c r="D30" s="64" t="s">
        <v>60</v>
      </c>
      <c r="E30" s="61" t="s">
        <v>39</v>
      </c>
      <c r="F30" s="65">
        <v>53200</v>
      </c>
      <c r="G30" s="61">
        <v>204</v>
      </c>
      <c r="H30" s="38">
        <f t="shared" si="0"/>
        <v>10852800</v>
      </c>
    </row>
    <row r="31" spans="1:8" ht="16.5" thickBot="1" x14ac:dyDescent="0.3">
      <c r="A31" s="61">
        <v>16</v>
      </c>
      <c r="B31" s="62" t="s">
        <v>66</v>
      </c>
      <c r="C31" s="63"/>
      <c r="D31" s="64" t="s">
        <v>61</v>
      </c>
      <c r="E31" s="61" t="s">
        <v>39</v>
      </c>
      <c r="F31" s="65">
        <v>13650</v>
      </c>
      <c r="G31" s="61">
        <v>1343</v>
      </c>
      <c r="H31" s="38">
        <f t="shared" si="0"/>
        <v>18331950</v>
      </c>
    </row>
    <row r="32" spans="1:8" ht="16.5" thickBot="1" x14ac:dyDescent="0.3">
      <c r="A32" s="61">
        <v>17</v>
      </c>
      <c r="B32" s="62" t="s">
        <v>67</v>
      </c>
      <c r="C32" s="63"/>
      <c r="D32" s="64" t="s">
        <v>68</v>
      </c>
      <c r="E32" s="61" t="s">
        <v>39</v>
      </c>
      <c r="F32" s="65">
        <v>19400</v>
      </c>
      <c r="G32" s="61">
        <v>14</v>
      </c>
      <c r="H32" s="38">
        <f t="shared" si="0"/>
        <v>271600</v>
      </c>
    </row>
    <row r="33" spans="1:8" ht="16.5" thickBot="1" x14ac:dyDescent="0.3">
      <c r="A33" s="61">
        <v>18</v>
      </c>
      <c r="B33" s="62" t="s">
        <v>67</v>
      </c>
      <c r="C33" s="63"/>
      <c r="D33" s="64" t="s">
        <v>69</v>
      </c>
      <c r="E33" s="61" t="s">
        <v>39</v>
      </c>
      <c r="F33" s="65">
        <v>9680</v>
      </c>
      <c r="G33" s="61">
        <v>19</v>
      </c>
      <c r="H33" s="38">
        <f t="shared" si="0"/>
        <v>183920</v>
      </c>
    </row>
    <row r="34" spans="1:8" ht="16.5" thickBot="1" x14ac:dyDescent="0.3">
      <c r="A34" s="61">
        <v>19</v>
      </c>
      <c r="B34" s="62" t="s">
        <v>70</v>
      </c>
      <c r="C34" s="63"/>
      <c r="D34" s="64" t="s">
        <v>59</v>
      </c>
      <c r="E34" s="61" t="s">
        <v>39</v>
      </c>
      <c r="F34" s="65">
        <v>183600</v>
      </c>
      <c r="G34" s="61">
        <v>12</v>
      </c>
      <c r="H34" s="38">
        <f t="shared" si="0"/>
        <v>2203200</v>
      </c>
    </row>
    <row r="35" spans="1:8" ht="16.5" thickBot="1" x14ac:dyDescent="0.3">
      <c r="A35" s="61">
        <v>20</v>
      </c>
      <c r="B35" s="62" t="s">
        <v>70</v>
      </c>
      <c r="C35" s="63"/>
      <c r="D35" s="64" t="s">
        <v>56</v>
      </c>
      <c r="E35" s="61" t="s">
        <v>39</v>
      </c>
      <c r="F35" s="65">
        <v>76400</v>
      </c>
      <c r="G35" s="61">
        <v>3</v>
      </c>
      <c r="H35" s="38">
        <f t="shared" si="0"/>
        <v>229200</v>
      </c>
    </row>
    <row r="36" spans="1:8" ht="16.5" thickBot="1" x14ac:dyDescent="0.3">
      <c r="A36" s="61">
        <v>21</v>
      </c>
      <c r="B36" s="62" t="s">
        <v>70</v>
      </c>
      <c r="C36" s="63"/>
      <c r="D36" s="64" t="s">
        <v>57</v>
      </c>
      <c r="E36" s="61" t="s">
        <v>39</v>
      </c>
      <c r="F36" s="65">
        <v>76400</v>
      </c>
      <c r="G36" s="61">
        <v>1</v>
      </c>
      <c r="H36" s="38">
        <f t="shared" si="0"/>
        <v>76400</v>
      </c>
    </row>
    <row r="37" spans="1:8" ht="16.5" thickBot="1" x14ac:dyDescent="0.3">
      <c r="A37" s="61">
        <v>22</v>
      </c>
      <c r="B37" s="62" t="s">
        <v>70</v>
      </c>
      <c r="C37" s="63"/>
      <c r="D37" s="64" t="s">
        <v>60</v>
      </c>
      <c r="E37" s="61" t="s">
        <v>39</v>
      </c>
      <c r="F37" s="65">
        <v>19350</v>
      </c>
      <c r="G37" s="61">
        <v>3</v>
      </c>
      <c r="H37" s="38">
        <f t="shared" si="0"/>
        <v>58050</v>
      </c>
    </row>
    <row r="38" spans="1:8" ht="16.5" thickBot="1" x14ac:dyDescent="0.3">
      <c r="A38" s="61">
        <v>23</v>
      </c>
      <c r="B38" s="62" t="s">
        <v>71</v>
      </c>
      <c r="C38" s="63"/>
      <c r="D38" s="64" t="s">
        <v>69</v>
      </c>
      <c r="E38" s="61" t="s">
        <v>39</v>
      </c>
      <c r="F38" s="65">
        <v>5850</v>
      </c>
      <c r="G38" s="61">
        <v>1</v>
      </c>
      <c r="H38" s="38">
        <f t="shared" si="0"/>
        <v>5850</v>
      </c>
    </row>
    <row r="39" spans="1:8" ht="16.5" thickBot="1" x14ac:dyDescent="0.3">
      <c r="A39" s="61">
        <v>24</v>
      </c>
      <c r="B39" s="62" t="s">
        <v>72</v>
      </c>
      <c r="C39" s="63"/>
      <c r="D39" s="64" t="s">
        <v>73</v>
      </c>
      <c r="E39" s="61" t="s">
        <v>39</v>
      </c>
      <c r="F39" s="65">
        <v>2350</v>
      </c>
      <c r="G39" s="61">
        <v>50</v>
      </c>
      <c r="H39" s="38">
        <f t="shared" si="0"/>
        <v>117500</v>
      </c>
    </row>
    <row r="40" spans="1:8" ht="16.5" thickBot="1" x14ac:dyDescent="0.3">
      <c r="A40" s="61">
        <v>25</v>
      </c>
      <c r="B40" s="62" t="s">
        <v>72</v>
      </c>
      <c r="C40" s="63"/>
      <c r="D40" s="64" t="s">
        <v>69</v>
      </c>
      <c r="E40" s="61" t="s">
        <v>39</v>
      </c>
      <c r="F40" s="65">
        <v>3750</v>
      </c>
      <c r="G40" s="61">
        <v>16</v>
      </c>
      <c r="H40" s="38">
        <f t="shared" si="0"/>
        <v>60000</v>
      </c>
    </row>
    <row r="41" spans="1:8" ht="16.5" thickBot="1" x14ac:dyDescent="0.3">
      <c r="A41" s="61">
        <v>26</v>
      </c>
      <c r="B41" s="62" t="s">
        <v>74</v>
      </c>
      <c r="C41" s="63"/>
      <c r="D41" s="64" t="s">
        <v>55</v>
      </c>
      <c r="E41" s="61" t="s">
        <v>39</v>
      </c>
      <c r="F41" s="65">
        <v>127110</v>
      </c>
      <c r="G41" s="61">
        <v>76</v>
      </c>
      <c r="H41" s="38">
        <f t="shared" si="0"/>
        <v>9660360</v>
      </c>
    </row>
    <row r="42" spans="1:8" ht="16.5" thickBot="1" x14ac:dyDescent="0.3">
      <c r="A42" s="61">
        <v>27</v>
      </c>
      <c r="B42" s="62" t="s">
        <v>74</v>
      </c>
      <c r="C42" s="63"/>
      <c r="D42" s="64" t="s">
        <v>59</v>
      </c>
      <c r="E42" s="61" t="s">
        <v>39</v>
      </c>
      <c r="F42" s="65">
        <v>72300</v>
      </c>
      <c r="G42" s="61">
        <v>8</v>
      </c>
      <c r="H42" s="38">
        <f t="shared" si="0"/>
        <v>578400</v>
      </c>
    </row>
    <row r="43" spans="1:8" ht="16.5" thickBot="1" x14ac:dyDescent="0.3">
      <c r="A43" s="61">
        <v>28</v>
      </c>
      <c r="B43" s="62" t="s">
        <v>74</v>
      </c>
      <c r="C43" s="63"/>
      <c r="D43" s="64" t="s">
        <v>56</v>
      </c>
      <c r="E43" s="61" t="s">
        <v>39</v>
      </c>
      <c r="F43" s="65">
        <v>38500</v>
      </c>
      <c r="G43" s="61">
        <v>45</v>
      </c>
      <c r="H43" s="38">
        <f t="shared" si="0"/>
        <v>1732500</v>
      </c>
    </row>
    <row r="44" spans="1:8" ht="16.5" thickBot="1" x14ac:dyDescent="0.3">
      <c r="A44" s="61">
        <v>29</v>
      </c>
      <c r="B44" s="62" t="s">
        <v>74</v>
      </c>
      <c r="C44" s="63"/>
      <c r="D44" s="64" t="s">
        <v>75</v>
      </c>
      <c r="E44" s="61" t="s">
        <v>39</v>
      </c>
      <c r="F44" s="65">
        <v>20550</v>
      </c>
      <c r="G44" s="61">
        <v>62</v>
      </c>
      <c r="H44" s="38">
        <f t="shared" si="0"/>
        <v>1274100</v>
      </c>
    </row>
    <row r="45" spans="1:8" ht="16.5" thickBot="1" x14ac:dyDescent="0.3">
      <c r="A45" s="61">
        <v>30</v>
      </c>
      <c r="B45" s="62" t="s">
        <v>74</v>
      </c>
      <c r="C45" s="63"/>
      <c r="D45" s="64" t="s">
        <v>60</v>
      </c>
      <c r="E45" s="61" t="s">
        <v>39</v>
      </c>
      <c r="F45" s="65">
        <v>15600</v>
      </c>
      <c r="G45" s="61">
        <v>130</v>
      </c>
      <c r="H45" s="38">
        <f t="shared" si="0"/>
        <v>2028000</v>
      </c>
    </row>
    <row r="46" spans="1:8" ht="16.5" thickBot="1" x14ac:dyDescent="0.3">
      <c r="A46" s="61">
        <v>31</v>
      </c>
      <c r="B46" s="62" t="s">
        <v>76</v>
      </c>
      <c r="C46" s="63"/>
      <c r="D46" s="64" t="s">
        <v>59</v>
      </c>
      <c r="E46" s="61" t="s">
        <v>39</v>
      </c>
      <c r="F46" s="65">
        <v>373900</v>
      </c>
      <c r="G46" s="61">
        <v>4</v>
      </c>
      <c r="H46" s="38">
        <f t="shared" si="0"/>
        <v>1495600</v>
      </c>
    </row>
    <row r="47" spans="1:8" ht="16.5" thickBot="1" x14ac:dyDescent="0.3">
      <c r="A47" s="61">
        <v>32</v>
      </c>
      <c r="B47" s="62" t="s">
        <v>76</v>
      </c>
      <c r="C47" s="63"/>
      <c r="D47" s="64" t="s">
        <v>57</v>
      </c>
      <c r="E47" s="61" t="s">
        <v>39</v>
      </c>
      <c r="F47" s="65">
        <v>362400</v>
      </c>
      <c r="G47" s="61">
        <v>1</v>
      </c>
      <c r="H47" s="38">
        <f t="shared" si="0"/>
        <v>362400</v>
      </c>
    </row>
    <row r="48" spans="1:8" ht="16.5" thickBot="1" x14ac:dyDescent="0.3">
      <c r="A48" s="61">
        <v>33</v>
      </c>
      <c r="B48" s="62" t="s">
        <v>76</v>
      </c>
      <c r="C48" s="63"/>
      <c r="D48" s="64" t="s">
        <v>60</v>
      </c>
      <c r="E48" s="61" t="s">
        <v>39</v>
      </c>
      <c r="F48" s="65">
        <v>352750</v>
      </c>
      <c r="G48" s="61">
        <v>1</v>
      </c>
      <c r="H48" s="38">
        <f t="shared" si="0"/>
        <v>352750</v>
      </c>
    </row>
    <row r="49" spans="1:8" ht="16.5" thickBot="1" x14ac:dyDescent="0.3">
      <c r="A49" s="61">
        <v>34</v>
      </c>
      <c r="B49" s="62" t="s">
        <v>77</v>
      </c>
      <c r="C49" s="63"/>
      <c r="D49" s="64" t="s">
        <v>59</v>
      </c>
      <c r="E49" s="61" t="s">
        <v>39</v>
      </c>
      <c r="F49" s="65">
        <v>960100</v>
      </c>
      <c r="G49" s="61">
        <v>4</v>
      </c>
      <c r="H49" s="38">
        <f t="shared" si="0"/>
        <v>3840400</v>
      </c>
    </row>
    <row r="50" spans="1:8" ht="16.5" thickBot="1" x14ac:dyDescent="0.3">
      <c r="A50" s="61">
        <v>35</v>
      </c>
      <c r="B50" s="62" t="s">
        <v>77</v>
      </c>
      <c r="C50" s="63"/>
      <c r="D50" s="64" t="s">
        <v>57</v>
      </c>
      <c r="E50" s="61" t="s">
        <v>39</v>
      </c>
      <c r="F50" s="65">
        <v>330300</v>
      </c>
      <c r="G50" s="61">
        <v>1</v>
      </c>
      <c r="H50" s="38">
        <f t="shared" si="0"/>
        <v>330300</v>
      </c>
    </row>
    <row r="51" spans="1:8" ht="16.5" thickBot="1" x14ac:dyDescent="0.3">
      <c r="A51" s="61">
        <v>36</v>
      </c>
      <c r="B51" s="62" t="s">
        <v>77</v>
      </c>
      <c r="C51" s="63"/>
      <c r="D51" s="64" t="s">
        <v>60</v>
      </c>
      <c r="E51" s="61" t="s">
        <v>39</v>
      </c>
      <c r="F51" s="65">
        <v>234000</v>
      </c>
      <c r="G51" s="61">
        <v>1</v>
      </c>
      <c r="H51" s="38">
        <f t="shared" si="0"/>
        <v>234000</v>
      </c>
    </row>
    <row r="52" spans="1:8" ht="16.5" thickBot="1" x14ac:dyDescent="0.3">
      <c r="A52" s="61">
        <v>37</v>
      </c>
      <c r="B52" s="62" t="s">
        <v>78</v>
      </c>
      <c r="C52" s="63"/>
      <c r="D52" s="64"/>
      <c r="E52" s="61" t="s">
        <v>39</v>
      </c>
      <c r="F52" s="65">
        <v>360800</v>
      </c>
      <c r="G52" s="61">
        <v>6</v>
      </c>
      <c r="H52" s="38">
        <f t="shared" si="0"/>
        <v>2164800</v>
      </c>
    </row>
    <row r="53" spans="1:8" ht="16.5" thickBot="1" x14ac:dyDescent="0.3">
      <c r="A53" s="61">
        <v>38</v>
      </c>
      <c r="B53" s="62" t="s">
        <v>79</v>
      </c>
      <c r="C53" s="63"/>
      <c r="D53" s="64" t="s">
        <v>58</v>
      </c>
      <c r="E53" s="61" t="s">
        <v>39</v>
      </c>
      <c r="F53" s="65">
        <v>171500</v>
      </c>
      <c r="G53" s="61">
        <v>6</v>
      </c>
      <c r="H53" s="38">
        <f t="shared" si="0"/>
        <v>1029000</v>
      </c>
    </row>
    <row r="54" spans="1:8" ht="16.5" thickBot="1" x14ac:dyDescent="0.3">
      <c r="A54" s="61">
        <v>39</v>
      </c>
      <c r="B54" s="62" t="s">
        <v>80</v>
      </c>
      <c r="C54" s="63"/>
      <c r="D54" s="64" t="s">
        <v>59</v>
      </c>
      <c r="E54" s="61" t="s">
        <v>39</v>
      </c>
      <c r="F54" s="65">
        <v>1057300</v>
      </c>
      <c r="G54" s="61">
        <v>4</v>
      </c>
      <c r="H54" s="38">
        <f t="shared" si="0"/>
        <v>4229200</v>
      </c>
    </row>
    <row r="55" spans="1:8" ht="16.5" thickBot="1" x14ac:dyDescent="0.3">
      <c r="A55" s="61">
        <v>40</v>
      </c>
      <c r="B55" s="62" t="s">
        <v>80</v>
      </c>
      <c r="C55" s="63"/>
      <c r="D55" s="64" t="s">
        <v>57</v>
      </c>
      <c r="E55" s="61" t="s">
        <v>39</v>
      </c>
      <c r="F55" s="65">
        <v>482500</v>
      </c>
      <c r="G55" s="61">
        <v>1</v>
      </c>
      <c r="H55" s="38">
        <f t="shared" si="0"/>
        <v>482500</v>
      </c>
    </row>
    <row r="56" spans="1:8" ht="16.5" thickBot="1" x14ac:dyDescent="0.3">
      <c r="A56" s="61">
        <v>41</v>
      </c>
      <c r="B56" s="62" t="s">
        <v>80</v>
      </c>
      <c r="C56" s="63"/>
      <c r="D56" s="64" t="s">
        <v>60</v>
      </c>
      <c r="E56" s="61" t="s">
        <v>39</v>
      </c>
      <c r="F56" s="65">
        <v>409500</v>
      </c>
      <c r="G56" s="61">
        <v>1</v>
      </c>
      <c r="H56" s="38">
        <f t="shared" si="0"/>
        <v>409500</v>
      </c>
    </row>
    <row r="57" spans="1:8" ht="16.5" thickBot="1" x14ac:dyDescent="0.3">
      <c r="A57" s="61">
        <v>42</v>
      </c>
      <c r="B57" s="62" t="s">
        <v>81</v>
      </c>
      <c r="C57" s="63"/>
      <c r="D57" s="64" t="s">
        <v>58</v>
      </c>
      <c r="E57" s="61" t="s">
        <v>39</v>
      </c>
      <c r="F57" s="65">
        <v>328300</v>
      </c>
      <c r="G57" s="61">
        <v>4</v>
      </c>
      <c r="H57" s="38">
        <f t="shared" si="0"/>
        <v>1313200</v>
      </c>
    </row>
    <row r="58" spans="1:8" ht="16.5" thickBot="1" x14ac:dyDescent="0.3">
      <c r="A58" s="61">
        <v>43</v>
      </c>
      <c r="B58" s="62" t="s">
        <v>82</v>
      </c>
      <c r="C58" s="63"/>
      <c r="D58" s="64"/>
      <c r="E58" s="61" t="s">
        <v>39</v>
      </c>
      <c r="F58" s="65">
        <v>1067200</v>
      </c>
      <c r="G58" s="61">
        <v>1</v>
      </c>
      <c r="H58" s="38">
        <f t="shared" si="0"/>
        <v>1067200</v>
      </c>
    </row>
    <row r="59" spans="1:8" ht="19.5" customHeight="1" thickBot="1" x14ac:dyDescent="0.3">
      <c r="A59" s="48"/>
      <c r="B59" s="67" t="s">
        <v>83</v>
      </c>
      <c r="D59" s="68"/>
      <c r="E59" s="48"/>
      <c r="F59" s="48"/>
      <c r="G59" s="48"/>
    </row>
    <row r="60" spans="1:8" ht="19.5" customHeight="1" thickBot="1" x14ac:dyDescent="0.35">
      <c r="A60" s="66" t="s">
        <v>23</v>
      </c>
      <c r="B60" s="69" t="s">
        <v>51</v>
      </c>
      <c r="C60" s="12"/>
      <c r="D60" s="13"/>
      <c r="E60" s="49"/>
      <c r="F60" s="37" t="s">
        <v>40</v>
      </c>
      <c r="G60" s="6"/>
      <c r="H60" s="7"/>
    </row>
    <row r="61" spans="1:8" ht="19.5" customHeight="1" thickBot="1" x14ac:dyDescent="0.3">
      <c r="A61" s="39"/>
      <c r="B61" s="16" t="s">
        <v>52</v>
      </c>
      <c r="C61" s="4"/>
      <c r="D61" s="17"/>
      <c r="E61" s="52" t="s">
        <v>24</v>
      </c>
      <c r="F61" s="53"/>
      <c r="G61" s="44"/>
      <c r="H61" s="50">
        <f>SUM(H16:H60)</f>
        <v>163920840</v>
      </c>
    </row>
    <row r="62" spans="1:8" ht="19.5" customHeight="1" x14ac:dyDescent="0.25">
      <c r="A62" s="24" t="s">
        <v>25</v>
      </c>
      <c r="B62" s="12"/>
      <c r="C62" s="12"/>
      <c r="D62" s="12"/>
      <c r="E62" s="54" t="s">
        <v>29</v>
      </c>
      <c r="F62" s="23"/>
      <c r="G62" s="55">
        <v>0.19</v>
      </c>
      <c r="H62" s="40">
        <f>H61*G62</f>
        <v>31144959.600000001</v>
      </c>
    </row>
    <row r="63" spans="1:8" ht="19.5" customHeight="1" x14ac:dyDescent="0.25">
      <c r="A63" s="14" t="s">
        <v>30</v>
      </c>
      <c r="E63" s="56" t="s">
        <v>26</v>
      </c>
      <c r="G63" s="59">
        <v>2.5000000000000001E-2</v>
      </c>
      <c r="H63" s="51">
        <f>H61*G63</f>
        <v>4098021</v>
      </c>
    </row>
    <row r="64" spans="1:8" ht="15.75" x14ac:dyDescent="0.25">
      <c r="A64" s="14" t="s">
        <v>84</v>
      </c>
      <c r="E64" s="54" t="s">
        <v>50</v>
      </c>
      <c r="F64" s="33"/>
      <c r="G64" s="79">
        <v>7.7000000000000002E-3</v>
      </c>
      <c r="H64" s="51">
        <f>H61*G64</f>
        <v>1262190.4680000001</v>
      </c>
    </row>
    <row r="65" spans="1:8" ht="16.5" thickBot="1" x14ac:dyDescent="0.3">
      <c r="A65" s="14" t="s">
        <v>33</v>
      </c>
      <c r="E65" s="57" t="s">
        <v>27</v>
      </c>
      <c r="F65" s="58"/>
      <c r="G65" s="46"/>
      <c r="H65" s="17"/>
    </row>
    <row r="66" spans="1:8" ht="19.5" thickBot="1" x14ac:dyDescent="0.35">
      <c r="A66" s="16"/>
      <c r="B66" s="4"/>
      <c r="C66" s="4"/>
      <c r="D66" s="17"/>
      <c r="F66" s="3"/>
      <c r="G66" s="34" t="s">
        <v>28</v>
      </c>
      <c r="H66" s="36">
        <f>H61+H62-H63-H64</f>
        <v>189705588.132</v>
      </c>
    </row>
    <row r="67" spans="1:8" ht="16.5" customHeight="1" x14ac:dyDescent="0.25"/>
    <row r="72" spans="1:8" ht="15.75" thickBot="1" x14ac:dyDescent="0.3"/>
    <row r="73" spans="1:8" ht="19.5" thickBot="1" x14ac:dyDescent="0.35">
      <c r="A73" s="25" t="s">
        <v>41</v>
      </c>
      <c r="B73" s="6"/>
      <c r="C73" s="6"/>
      <c r="D73" s="6"/>
      <c r="E73" s="6"/>
      <c r="F73" s="6"/>
      <c r="G73" s="6"/>
      <c r="H73" s="7"/>
    </row>
    <row r="81" spans="1:1" ht="18.75" x14ac:dyDescent="0.3">
      <c r="A81" s="5"/>
    </row>
  </sheetData>
  <hyperlinks>
    <hyperlink ref="C10" r:id="rId1" xr:uid="{FDDE7F69-B9DF-4F90-90A6-5EBA87ECECC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2025-07-12T17:20:21Z</dcterms:modified>
</cp:coreProperties>
</file>