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5F693B8-27AF-47AF-903E-34C21DD3F30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R PROYEC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9" i="1"/>
  <c r="H27" i="1"/>
  <c r="H24" i="1"/>
  <c r="H23" i="1"/>
  <c r="H22" i="1"/>
  <c r="H21" i="1"/>
  <c r="H20" i="1"/>
  <c r="H19" i="1"/>
  <c r="H18" i="1"/>
  <c r="H17" i="1"/>
  <c r="H16" i="1"/>
  <c r="H28" i="1" l="1"/>
</calcChain>
</file>

<file path=xl/sharedStrings.xml><?xml version="1.0" encoding="utf-8"?>
<sst xmlns="http://schemas.openxmlformats.org/spreadsheetml/2006/main" count="71" uniqueCount="65">
  <si>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</si>
  <si>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</si>
  <si>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</si>
  <si>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</si>
  <si>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</si>
  <si>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</si>
  <si>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</si>
  <si>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</si>
  <si>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</si>
  <si>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</si>
  <si>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</si>
  <si>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</si>
  <si>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</si>
  <si>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</si>
  <si>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</si>
  <si>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</si>
  <si>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</si>
  <si>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</si>
  <si>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</si>
  <si>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</si>
  <si>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</si>
  <si>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</si>
  <si>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</si>
  <si>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</si>
  <si>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</si>
  <si>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</si>
  <si>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</si>
  <si>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</si>
  <si>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</si>
  <si>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</si>
  <si>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</si>
  <si>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</si>
  <si>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</si>
  <si>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</si>
  <si>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</si>
  <si>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</si>
  <si>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</si>
  <si>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</si>
  <si>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</si>
  <si>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</si>
  <si>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</si>
  <si>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</si>
  <si>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FERNANDO ADOLFO RAYO MONA</t>
  </si>
  <si>
    <t>1130 659476</t>
  </si>
  <si>
    <t>CALLE 83  No. 28A-33</t>
  </si>
  <si>
    <t>fer14042009@hotmail.com</t>
  </si>
  <si>
    <t>F R PROYECTOS SEGURIDAD INDUSTRIAL</t>
  </si>
  <si>
    <t>317 553 4241</t>
  </si>
  <si>
    <t>EDINSON CABEZAS</t>
  </si>
  <si>
    <t>No. 1</t>
  </si>
  <si>
    <t>CALI</t>
  </si>
  <si>
    <t>TEE MECANICA 4 "  X  2 1/2 " RANURADA</t>
  </si>
  <si>
    <t>NIPLE  A / C 2 1/2 "  X  6 " ROSCA/RANURA</t>
  </si>
  <si>
    <t>FABRICACION</t>
  </si>
  <si>
    <t>UNION HD RANURADA 4 "</t>
  </si>
  <si>
    <t>UNION HD RANURADA  2 1/2  "</t>
  </si>
  <si>
    <t>CODO HD  RANURADA  4 "  X  90 º</t>
  </si>
  <si>
    <t>TUBERIA  A / C  SCH 10  4 "</t>
  </si>
  <si>
    <t>METRO LINEAL</t>
  </si>
  <si>
    <t>GABINETE CLASE 1 CON VALVULA 2 1/2 "</t>
  </si>
  <si>
    <t>VALVULA ANGULAR  2 1/2 " SUPERVISADA</t>
  </si>
  <si>
    <t>SOPORTE TIPO PERA  4 "</t>
  </si>
  <si>
    <t>ENTREGA INMEDIATA</t>
  </si>
  <si>
    <t>DIEZ MILLONES QUINIENTOS SESENTA MIL VEINTISEIS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</si>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</sst>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1404200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5" zoomScaleNormal="100" workbookViewId="0">
      <selection activeCell="E33" sqref="E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50</v>
      </c>
      <c r="F9" s="30" t="s">
        <v>0</v>
      </c>
      <c r="H9" s="28">
        <v>45638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 t="s">
        <v>46</v>
      </c>
      <c r="D11" s="66"/>
      <c r="E11" s="47"/>
      <c r="F11" s="30" t="s">
        <v>16</v>
      </c>
      <c r="G11" s="30"/>
      <c r="H11" s="28">
        <v>45647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41</v>
      </c>
      <c r="F16" s="79">
        <v>47500</v>
      </c>
      <c r="G16" s="75">
        <v>5</v>
      </c>
      <c r="H16" s="38">
        <f t="shared" ref="H16" si="0">G16*F16</f>
        <v>237500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53</v>
      </c>
      <c r="F17" s="79">
        <v>22500</v>
      </c>
      <c r="G17" s="75">
        <v>5</v>
      </c>
      <c r="H17" s="38">
        <f t="shared" ref="H17:H24" si="1">G17*F17</f>
        <v>112500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41</v>
      </c>
      <c r="F18" s="79">
        <v>26500</v>
      </c>
      <c r="G18" s="75">
        <v>6</v>
      </c>
      <c r="H18" s="38">
        <f t="shared" si="1"/>
        <v>159000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41</v>
      </c>
      <c r="F19" s="79">
        <v>20300</v>
      </c>
      <c r="G19" s="75">
        <v>5</v>
      </c>
      <c r="H19" s="38">
        <f t="shared" si="1"/>
        <v>101500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41</v>
      </c>
      <c r="F20" s="79">
        <v>46000</v>
      </c>
      <c r="G20" s="75">
        <v>2</v>
      </c>
      <c r="H20" s="38">
        <f t="shared" si="1"/>
        <v>92000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58</v>
      </c>
      <c r="F21" s="79">
        <v>91000</v>
      </c>
      <c r="G21" s="75">
        <v>17.399999999999999</v>
      </c>
      <c r="H21" s="38">
        <f t="shared" si="1"/>
        <v>1583399.9999999998</v>
      </c>
    </row>
    <row r="22" spans="1:8" ht="16.5" thickBot="1" x14ac:dyDescent="0.3">
      <c r="A22" s="75">
        <v>7</v>
      </c>
      <c r="B22" s="76" t="s">
        <v>59</v>
      </c>
      <c r="C22" s="77"/>
      <c r="D22" s="78"/>
      <c r="E22" s="75" t="s">
        <v>41</v>
      </c>
      <c r="F22" s="79">
        <v>731900</v>
      </c>
      <c r="G22" s="75">
        <v>5</v>
      </c>
      <c r="H22" s="38">
        <f t="shared" si="1"/>
        <v>3659500</v>
      </c>
    </row>
    <row r="23" spans="1:8" ht="16.5" thickBot="1" x14ac:dyDescent="0.3">
      <c r="A23" s="75">
        <v>8</v>
      </c>
      <c r="B23" s="76" t="s">
        <v>60</v>
      </c>
      <c r="C23" s="77"/>
      <c r="D23" s="78"/>
      <c r="E23" s="75" t="s">
        <v>41</v>
      </c>
      <c r="F23" s="79">
        <v>617500</v>
      </c>
      <c r="G23" s="75">
        <v>5</v>
      </c>
      <c r="H23" s="38">
        <f t="shared" si="1"/>
        <v>3087500</v>
      </c>
    </row>
    <row r="24" spans="1:8" ht="16.5" thickBot="1" x14ac:dyDescent="0.3">
      <c r="A24" s="75">
        <v>9</v>
      </c>
      <c r="B24" s="76" t="s">
        <v>61</v>
      </c>
      <c r="C24" s="77"/>
      <c r="D24" s="78"/>
      <c r="E24" s="75" t="s">
        <v>41</v>
      </c>
      <c r="F24" s="79">
        <v>4500</v>
      </c>
      <c r="G24" s="75">
        <v>7</v>
      </c>
      <c r="H24" s="38">
        <f t="shared" si="1"/>
        <v>31500</v>
      </c>
    </row>
    <row r="25" spans="1:8" ht="19.5" customHeight="1" thickBot="1" x14ac:dyDescent="0.3">
      <c r="A25" s="51"/>
      <c r="B25" s="45"/>
      <c r="C25" s="42"/>
      <c r="D25" s="52"/>
      <c r="E25" s="53"/>
      <c r="F25" s="53"/>
      <c r="G25" s="53"/>
    </row>
    <row r="26" spans="1:8" ht="19.5" customHeight="1" thickBot="1" x14ac:dyDescent="0.35">
      <c r="A26" s="50" t="s">
        <v>23</v>
      </c>
      <c r="B26" s="14" t="s">
        <v>63</v>
      </c>
      <c r="D26" s="15"/>
      <c r="E26" s="54"/>
      <c r="F26" s="37" t="s">
        <v>29</v>
      </c>
      <c r="G26" s="6"/>
      <c r="H26" s="7"/>
    </row>
    <row r="27" spans="1:8" ht="19.5" customHeight="1" thickBot="1" x14ac:dyDescent="0.3">
      <c r="A27" s="39"/>
      <c r="B27" s="16" t="s">
        <v>64</v>
      </c>
      <c r="C27" s="4"/>
      <c r="D27" s="4"/>
      <c r="E27" s="57" t="s">
        <v>24</v>
      </c>
      <c r="F27" s="58"/>
      <c r="G27" s="46"/>
      <c r="H27" s="55">
        <f>SUM(H16:H24)</f>
        <v>9064400</v>
      </c>
    </row>
    <row r="28" spans="1:8" ht="19.5" customHeight="1" x14ac:dyDescent="0.25">
      <c r="A28" s="24" t="s">
        <v>25</v>
      </c>
      <c r="B28" s="12"/>
      <c r="C28" s="12"/>
      <c r="D28" s="12"/>
      <c r="E28" s="59" t="s">
        <v>30</v>
      </c>
      <c r="F28" s="23"/>
      <c r="G28" s="60">
        <v>0.19</v>
      </c>
      <c r="H28" s="40">
        <f>H27*G28</f>
        <v>1722236</v>
      </c>
    </row>
    <row r="29" spans="1:8" ht="19.5" customHeight="1" x14ac:dyDescent="0.25">
      <c r="A29" s="14" t="s">
        <v>31</v>
      </c>
      <c r="E29" s="61" t="s">
        <v>26</v>
      </c>
      <c r="G29" s="64">
        <v>2.5000000000000001E-2</v>
      </c>
      <c r="H29" s="56">
        <f>H27*G29</f>
        <v>226610</v>
      </c>
    </row>
    <row r="30" spans="1:8" ht="15.75" x14ac:dyDescent="0.25">
      <c r="A30" s="14" t="s">
        <v>62</v>
      </c>
      <c r="E30" s="14"/>
      <c r="F30" s="33"/>
      <c r="G30" s="47"/>
      <c r="H30" s="15"/>
    </row>
    <row r="31" spans="1:8" ht="16.5" thickBot="1" x14ac:dyDescent="0.3">
      <c r="A31" s="14" t="s">
        <v>34</v>
      </c>
      <c r="E31" s="62" t="s">
        <v>27</v>
      </c>
      <c r="F31" s="63"/>
      <c r="G31" s="48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10560026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35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CA3E0E5-A69A-46BC-B116-25F5FBA5CC5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2024-12-12T15:57:32Z</dcterms:modified>
</cp:coreProperties>
</file>