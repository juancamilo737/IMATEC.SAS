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F21E6B3-D2F6-4A19-8C5C-D34F7BCA8E1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MFACAUC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32" i="1" s="1"/>
  <c r="H34" i="1" l="1"/>
  <c r="H38" i="1"/>
  <c r="H40" i="1" s="1"/>
  <c r="H37" i="1"/>
  <c r="H36" i="1"/>
  <c r="H33" i="1"/>
  <c r="H35" i="1" s="1"/>
  <c r="H39" i="1" s="1"/>
  <c r="H41" i="1" s="1"/>
</calcChain>
</file>

<file path=xl/sharedStrings.xml><?xml version="1.0" encoding="utf-8"?>
<sst xmlns="http://schemas.openxmlformats.org/spreadsheetml/2006/main" count="72" uniqueCount="72">
  <si>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</si>
  <si>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</si>
  <si>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</si>
  <si>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</si>
  <si>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</si>
  <si>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</si>
  <si>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</si>
  <si>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</si>
  <si>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</si>
  <si>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</si>
  <si>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</si>
  <si>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</si>
  <si>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</si>
  <si>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</si>
  <si>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</si>
  <si>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</si>
  <si>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</si>
  <si>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</si>
  <si>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</si>
  <si>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</si>
  <si>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</si>
  <si>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</si>
  <si>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</si>
  <si>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</si>
  <si>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</si>
  <si>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</si>
  <si>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</si>
  <si>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</si>
  <si>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IVA</t>
  </si>
  <si>
    <t xml:space="preserve">                                   JAVIER LOZANO TAMAYO C.C. 16´654.252</t>
  </si>
  <si>
    <t>CONTACTOS   310 8306118    319 7174165    321 7834969</t>
  </si>
  <si>
    <t>ITEM</t>
  </si>
  <si>
    <t xml:space="preserve">                       INGENIERIA , MONTAJES  Y  ASISTENCIA  TECNICA  S A S</t>
  </si>
  <si>
    <t xml:space="preserve">           C O T I Z A C I O N</t>
  </si>
  <si>
    <t>L I Q U I D A C I O N</t>
  </si>
  <si>
    <t xml:space="preserve">  CALLE  33A  No.   17F - 56                           B/  LA FLORESTA             -   CALI    -                                       CEL.     321 7834969</t>
  </si>
  <si>
    <t>COMFACAUCA</t>
  </si>
  <si>
    <t>891 500182</t>
  </si>
  <si>
    <t>CL 2 Nte.  6A - 54</t>
  </si>
  <si>
    <t>POPAYAN</t>
  </si>
  <si>
    <t>fraelectronicarecibibda@comfacauca.com</t>
  </si>
  <si>
    <t>20 DIAS</t>
  </si>
  <si>
    <t>DESMONTE Y REPOSICION DE GRAMA SINTETICA</t>
  </si>
  <si>
    <t>MTS 2</t>
  </si>
  <si>
    <t>RETIRO DE GRAMA SINTETICA EXISTENTE EN DOS</t>
  </si>
  <si>
    <t>CANCHAS DE FUTBOL 7 DEL COMPLEJO RECREA-</t>
  </si>
  <si>
    <t>CIONAL PISOJE DE LA CIUDAD DE POPAYAN. ACON -</t>
  </si>
  <si>
    <t>DICIONAMIENTO DE AREA Y DISPOSICION FINAL DE</t>
  </si>
  <si>
    <t>LA GRAMA RETIRADA .</t>
  </si>
  <si>
    <t>INSTALACION DE 1630 MTS 2  DE GRAMA BICOLOR</t>
  </si>
  <si>
    <t>DE 50 mm MONOFILAMENTO CON ADICION DE ARE</t>
  </si>
  <si>
    <t>NA SILICE Y CAUCHO GRANULADO CBR . EN PROPOR</t>
  </si>
  <si>
    <t>CION DE 20 KG DE ARENA POR MT2 DE GRAMA Y  8</t>
  </si>
  <si>
    <t>KG DE GRANULADO POR MT2 DE GRAMA.</t>
  </si>
  <si>
    <t>EN LOS 1630 MT2 COTIZADOS SE HALLAN INCLUIDOS</t>
  </si>
  <si>
    <t xml:space="preserve">BLANCO. </t>
  </si>
  <si>
    <t xml:space="preserve">LOS NECESARIOS PARA LA DEMARCACION EN COLOR </t>
  </si>
  <si>
    <t>FORMA DE PAGO : CONTRA ENTREGA DE LA OBRA</t>
  </si>
  <si>
    <t>ENTREGA EN 30 DIAS HABILES</t>
  </si>
  <si>
    <t>DISPOSICION FINAL DE LOS EXCEDENTE, DE ACUERDO A LA DIRECTRIZ QUE</t>
  </si>
  <si>
    <t>INDIQUE LA COORDINACION DEL PARQUE.</t>
  </si>
  <si>
    <t>SUB TOTAL</t>
  </si>
  <si>
    <t xml:space="preserve">ADMINISTRACION </t>
  </si>
  <si>
    <t xml:space="preserve">IMPREVISTOS </t>
  </si>
  <si>
    <t xml:space="preserve">UTILIDAD  </t>
  </si>
  <si>
    <t>IVA SOBRE UTILIDAD</t>
  </si>
  <si>
    <t>DOSCIENTOS TREINTA Y NUEVE MILLONES OCHOCIENTOS</t>
  </si>
  <si>
    <t>CUARENTA Y NUEVE MIL SEISCIENTOS DIEZ PESOS M/CTE</t>
  </si>
  <si>
    <t xml:space="preserve">No. </t>
  </si>
  <si>
    <t>PISOJE</t>
  </si>
  <si>
    <t>602 8231868</t>
  </si>
  <si>
    <t>CAMILO ALBERTO PEÑA PINZON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</si>
</sst>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3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6" xfId="0" applyFont="1" applyBorder="1"/>
    <xf numFmtId="0" fontId="1" fillId="0" borderId="14" xfId="0" applyFont="1" applyBorder="1" applyAlignment="1">
      <alignment horizontal="left" vertical="top" wrapText="1"/>
    </xf>
    <xf numFmtId="0" fontId="0" fillId="0" borderId="24" xfId="0" applyBorder="1"/>
    <xf numFmtId="0" fontId="0" fillId="0" borderId="25" xfId="0" applyBorder="1"/>
    <xf numFmtId="0" fontId="0" fillId="0" borderId="6" xfId="0" applyBorder="1"/>
    <xf numFmtId="0" fontId="13" fillId="0" borderId="9" xfId="2" applyBorder="1"/>
    <xf numFmtId="0" fontId="1" fillId="0" borderId="23" xfId="0" applyFont="1" applyBorder="1" applyAlignment="1">
      <alignment horizontal="center"/>
    </xf>
    <xf numFmtId="0" fontId="8" fillId="0" borderId="24" xfId="0" applyFont="1" applyBorder="1"/>
    <xf numFmtId="0" fontId="8" fillId="0" borderId="0" xfId="0" applyFont="1" applyBorder="1"/>
    <xf numFmtId="0" fontId="8" fillId="0" borderId="25" xfId="0" applyFont="1" applyBorder="1"/>
    <xf numFmtId="42" fontId="11" fillId="0" borderId="23" xfId="1" applyFont="1" applyBorder="1" applyAlignment="1">
      <alignment horizontal="center"/>
    </xf>
    <xf numFmtId="42" fontId="1" fillId="0" borderId="26" xfId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0" fontId="0" fillId="0" borderId="27" xfId="0" applyBorder="1"/>
    <xf numFmtId="0" fontId="1" fillId="0" borderId="28" xfId="0" applyFont="1" applyBorder="1" applyAlignment="1">
      <alignment horizontal="center"/>
    </xf>
    <xf numFmtId="42" fontId="11" fillId="0" borderId="28" xfId="1" applyFont="1" applyBorder="1" applyAlignment="1">
      <alignment horizontal="center"/>
    </xf>
    <xf numFmtId="0" fontId="1" fillId="0" borderId="3" xfId="0" applyFont="1" applyBorder="1"/>
    <xf numFmtId="0" fontId="4" fillId="0" borderId="29" xfId="0" applyFont="1" applyBorder="1"/>
    <xf numFmtId="0" fontId="4" fillId="0" borderId="30" xfId="0" applyFont="1" applyBorder="1"/>
    <xf numFmtId="0" fontId="4" fillId="0" borderId="31" xfId="0" applyFont="1" applyBorder="1"/>
    <xf numFmtId="0" fontId="14" fillId="0" borderId="0" xfId="0" applyFont="1"/>
    <xf numFmtId="9" fontId="1" fillId="0" borderId="0" xfId="0" applyNumberFormat="1" applyFont="1"/>
    <xf numFmtId="42" fontId="1" fillId="0" borderId="0" xfId="0" applyNumberFormat="1" applyFont="1"/>
    <xf numFmtId="42" fontId="1" fillId="0" borderId="32" xfId="0" applyNumberFormat="1" applyFont="1" applyBorder="1"/>
    <xf numFmtId="42" fontId="1" fillId="0" borderId="0" xfId="1" applyFont="1"/>
    <xf numFmtId="0" fontId="15" fillId="0" borderId="0" xfId="0" applyFont="1" applyFill="1" applyBorder="1"/>
    <xf numFmtId="42" fontId="1" fillId="0" borderId="2" xfId="0" applyNumberFormat="1" applyFont="1" applyBorder="1"/>
    <xf numFmtId="0" fontId="5" fillId="0" borderId="1" xfId="0" applyFont="1" applyBorder="1" applyAlignment="1">
      <alignment horizontal="center"/>
    </xf>
    <xf numFmtId="42" fontId="4" fillId="0" borderId="1" xfId="0" applyNumberFormat="1" applyFont="1" applyBorder="1"/>
    <xf numFmtId="0" fontId="0" fillId="0" borderId="21" xfId="0" applyBorder="1"/>
    <xf numFmtId="10" fontId="1" fillId="0" borderId="22" xfId="0" applyNumberFormat="1" applyFont="1" applyBorder="1"/>
    <xf numFmtId="0" fontId="4" fillId="0" borderId="0" xfId="0" applyFont="1" applyBorder="1"/>
    <xf numFmtId="0" fontId="0" fillId="0" borderId="0" xfId="0" applyBorder="1"/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raelectronicarecibibda@comfacauc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2"/>
  <sheetViews>
    <sheetView tabSelected="1" topLeftCell="A10" zoomScaleNormal="100" workbookViewId="0">
      <selection activeCell="G24" sqref="G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8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/>
    </row>
    <row r="3" spans="1:8" ht="27" thickBot="1" x14ac:dyDescent="0.45">
      <c r="A3" s="11" t="s">
        <v>32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6" t="s">
        <v>30</v>
      </c>
      <c r="B5" s="6"/>
      <c r="C5" s="6"/>
      <c r="D5" s="6"/>
      <c r="E5" s="6"/>
    </row>
    <row r="6" spans="1:8" ht="24.75" customHeight="1" thickBot="1" x14ac:dyDescent="0.45">
      <c r="F6" s="40" t="s">
        <v>33</v>
      </c>
      <c r="G6" s="41"/>
      <c r="H6" s="42"/>
    </row>
    <row r="7" spans="1:8" ht="19.5" thickBot="1" x14ac:dyDescent="0.35">
      <c r="A7" s="20" t="s">
        <v>14</v>
      </c>
      <c r="B7" s="12"/>
      <c r="C7" s="52" t="s">
        <v>36</v>
      </c>
      <c r="D7" s="12"/>
      <c r="E7" s="13"/>
      <c r="F7" s="36"/>
      <c r="G7" s="85" t="s">
        <v>68</v>
      </c>
      <c r="H7" s="86">
        <v>110825001</v>
      </c>
    </row>
    <row r="8" spans="1:8" ht="18.75" x14ac:dyDescent="0.3">
      <c r="A8" s="21" t="s">
        <v>8</v>
      </c>
      <c r="C8" s="56" t="s">
        <v>37</v>
      </c>
      <c r="D8" s="12"/>
      <c r="E8" s="13"/>
      <c r="H8" s="15"/>
    </row>
    <row r="9" spans="1:8" ht="18.75" customHeight="1" x14ac:dyDescent="0.3">
      <c r="A9" s="21" t="s">
        <v>9</v>
      </c>
      <c r="C9" s="14" t="s">
        <v>38</v>
      </c>
      <c r="E9" s="15" t="s">
        <v>39</v>
      </c>
      <c r="F9" s="30" t="s">
        <v>0</v>
      </c>
      <c r="H9" s="28">
        <v>45880</v>
      </c>
    </row>
    <row r="10" spans="1:8" ht="18.75" x14ac:dyDescent="0.3">
      <c r="A10" s="21" t="s">
        <v>13</v>
      </c>
      <c r="C10" s="57" t="s">
        <v>40</v>
      </c>
      <c r="E10" s="15"/>
      <c r="F10" s="30" t="s">
        <v>15</v>
      </c>
      <c r="H10" s="29" t="s">
        <v>41</v>
      </c>
    </row>
    <row r="11" spans="1:8" ht="18.75" x14ac:dyDescent="0.3">
      <c r="A11" s="21" t="s">
        <v>10</v>
      </c>
      <c r="C11" s="14" t="s">
        <v>69</v>
      </c>
      <c r="E11" s="15"/>
      <c r="F11" s="30" t="s">
        <v>16</v>
      </c>
      <c r="G11" s="30"/>
      <c r="H11" s="28">
        <v>45899</v>
      </c>
    </row>
    <row r="12" spans="1:8" ht="18.75" x14ac:dyDescent="0.3">
      <c r="A12" s="21" t="s">
        <v>11</v>
      </c>
      <c r="C12" s="14" t="s">
        <v>70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71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31</v>
      </c>
      <c r="B15" s="68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6">
        <v>1</v>
      </c>
      <c r="B16" s="69" t="s">
        <v>42</v>
      </c>
      <c r="C16" s="70"/>
      <c r="D16" s="71"/>
      <c r="E16" s="66" t="s">
        <v>43</v>
      </c>
      <c r="F16" s="67">
        <v>105000</v>
      </c>
      <c r="G16" s="66">
        <v>1630</v>
      </c>
      <c r="H16" s="37">
        <f t="shared" ref="H16" si="0">G16*F16</f>
        <v>171150000</v>
      </c>
    </row>
    <row r="17" spans="1:8" ht="15.75" x14ac:dyDescent="0.25">
      <c r="A17" s="58"/>
      <c r="B17" s="59" t="s">
        <v>44</v>
      </c>
      <c r="C17" s="60"/>
      <c r="D17" s="61"/>
      <c r="E17" s="58"/>
      <c r="F17" s="62"/>
      <c r="G17" s="58"/>
      <c r="H17" s="63"/>
    </row>
    <row r="18" spans="1:8" ht="15.75" x14ac:dyDescent="0.25">
      <c r="A18" s="58"/>
      <c r="B18" s="59" t="s">
        <v>45</v>
      </c>
      <c r="C18" s="60"/>
      <c r="D18" s="61"/>
      <c r="E18" s="58"/>
      <c r="F18" s="62"/>
      <c r="G18" s="58"/>
      <c r="H18" s="64"/>
    </row>
    <row r="19" spans="1:8" ht="15.75" x14ac:dyDescent="0.25">
      <c r="A19" s="58"/>
      <c r="B19" s="59" t="s">
        <v>46</v>
      </c>
      <c r="C19" s="60"/>
      <c r="D19" s="61"/>
      <c r="E19" s="58"/>
      <c r="F19" s="62"/>
      <c r="G19" s="58"/>
      <c r="H19" s="64"/>
    </row>
    <row r="20" spans="1:8" ht="15.75" x14ac:dyDescent="0.25">
      <c r="A20" s="58"/>
      <c r="B20" s="59" t="s">
        <v>47</v>
      </c>
      <c r="C20" s="60"/>
      <c r="D20" s="61"/>
      <c r="E20" s="58"/>
      <c r="F20" s="62"/>
      <c r="G20" s="58"/>
      <c r="H20" s="64"/>
    </row>
    <row r="21" spans="1:8" ht="15.75" x14ac:dyDescent="0.25">
      <c r="A21" s="58"/>
      <c r="B21" s="59" t="s">
        <v>48</v>
      </c>
      <c r="C21" s="60"/>
      <c r="D21" s="61"/>
      <c r="E21" s="58"/>
      <c r="F21" s="62"/>
      <c r="G21" s="58"/>
      <c r="H21" s="64"/>
    </row>
    <row r="22" spans="1:8" ht="15.75" x14ac:dyDescent="0.25">
      <c r="A22" s="58"/>
      <c r="B22" s="59" t="s">
        <v>49</v>
      </c>
      <c r="C22" s="60"/>
      <c r="D22" s="61"/>
      <c r="E22" s="58"/>
      <c r="F22" s="62"/>
      <c r="G22" s="58"/>
      <c r="H22" s="64"/>
    </row>
    <row r="23" spans="1:8" ht="15.75" x14ac:dyDescent="0.25">
      <c r="A23" s="58"/>
      <c r="B23" s="59" t="s">
        <v>50</v>
      </c>
      <c r="C23" s="60"/>
      <c r="D23" s="61"/>
      <c r="E23" s="58"/>
      <c r="F23" s="62"/>
      <c r="G23" s="58"/>
      <c r="H23" s="64"/>
    </row>
    <row r="24" spans="1:8" ht="15.75" x14ac:dyDescent="0.25">
      <c r="A24" s="58"/>
      <c r="B24" s="59" t="s">
        <v>51</v>
      </c>
      <c r="C24" s="60"/>
      <c r="D24" s="61"/>
      <c r="E24" s="58"/>
      <c r="F24" s="62"/>
      <c r="G24" s="58"/>
      <c r="H24" s="64"/>
    </row>
    <row r="25" spans="1:8" ht="15.75" x14ac:dyDescent="0.25">
      <c r="A25" s="58"/>
      <c r="B25" s="59" t="s">
        <v>52</v>
      </c>
      <c r="C25" s="60"/>
      <c r="D25" s="61"/>
      <c r="E25" s="58"/>
      <c r="F25" s="62"/>
      <c r="G25" s="58"/>
      <c r="H25" s="64"/>
    </row>
    <row r="26" spans="1:8" ht="15.75" x14ac:dyDescent="0.25">
      <c r="A26" s="58"/>
      <c r="B26" s="59" t="s">
        <v>53</v>
      </c>
      <c r="C26" s="60"/>
      <c r="D26" s="61"/>
      <c r="E26" s="58"/>
      <c r="F26" s="62"/>
      <c r="G26" s="58"/>
      <c r="H26" s="64"/>
    </row>
    <row r="27" spans="1:8" ht="15.75" x14ac:dyDescent="0.25">
      <c r="A27" s="58"/>
      <c r="B27" s="59" t="s">
        <v>54</v>
      </c>
      <c r="C27" s="60"/>
      <c r="D27" s="61"/>
      <c r="E27" s="58"/>
      <c r="F27" s="62"/>
      <c r="G27" s="58"/>
      <c r="H27" s="64"/>
    </row>
    <row r="28" spans="1:8" ht="15.75" x14ac:dyDescent="0.25">
      <c r="A28" s="58"/>
      <c r="B28" s="59" t="s">
        <v>56</v>
      </c>
      <c r="C28" s="60"/>
      <c r="D28" s="61"/>
      <c r="E28" s="58"/>
      <c r="F28" s="62"/>
      <c r="G28" s="58"/>
      <c r="H28" s="64"/>
    </row>
    <row r="29" spans="1:8" ht="15.75" x14ac:dyDescent="0.25">
      <c r="A29" s="58"/>
      <c r="B29" s="59" t="s">
        <v>55</v>
      </c>
      <c r="C29" s="60"/>
      <c r="D29" s="61"/>
      <c r="E29" s="58"/>
      <c r="F29" s="62"/>
      <c r="G29" s="58"/>
      <c r="H29" s="64"/>
    </row>
    <row r="30" spans="1:8" ht="19.5" customHeight="1" thickBot="1" x14ac:dyDescent="0.3">
      <c r="A30" s="44"/>
      <c r="B30" s="54"/>
      <c r="D30" s="55"/>
      <c r="E30" s="44"/>
      <c r="F30" s="44"/>
      <c r="G30" s="44"/>
      <c r="H30" s="65"/>
    </row>
    <row r="31" spans="1:8" ht="19.5" customHeight="1" thickBot="1" x14ac:dyDescent="0.35">
      <c r="A31" s="53" t="s">
        <v>23</v>
      </c>
      <c r="B31" s="56" t="s">
        <v>66</v>
      </c>
      <c r="C31" s="12"/>
      <c r="D31" s="13"/>
      <c r="E31" s="45"/>
      <c r="F31" s="36" t="s">
        <v>34</v>
      </c>
      <c r="G31" s="6"/>
      <c r="H31" s="7"/>
    </row>
    <row r="32" spans="1:8" ht="19.5" customHeight="1" thickBot="1" x14ac:dyDescent="0.3">
      <c r="A32" s="38"/>
      <c r="B32" s="16" t="s">
        <v>67</v>
      </c>
      <c r="C32" s="4"/>
      <c r="D32" s="17"/>
      <c r="E32" s="48" t="s">
        <v>24</v>
      </c>
      <c r="F32" s="49"/>
      <c r="G32" s="43"/>
      <c r="H32" s="46">
        <f>SUM(H16:H31)</f>
        <v>171150000</v>
      </c>
    </row>
    <row r="33" spans="1:8" ht="19.5" customHeight="1" x14ac:dyDescent="0.25">
      <c r="A33" s="24" t="s">
        <v>25</v>
      </c>
      <c r="B33" s="12"/>
      <c r="C33" s="12"/>
      <c r="D33" s="13"/>
      <c r="E33" s="83" t="s">
        <v>28</v>
      </c>
      <c r="F33" s="23"/>
      <c r="G33" s="50">
        <v>0.19</v>
      </c>
      <c r="H33" s="39">
        <f>H32*G33</f>
        <v>32518500</v>
      </c>
    </row>
    <row r="34" spans="1:8" ht="19.5" customHeight="1" thickBot="1" x14ac:dyDescent="0.3">
      <c r="A34" s="14" t="s">
        <v>57</v>
      </c>
      <c r="B34" s="84"/>
      <c r="C34" s="84"/>
      <c r="D34" s="15"/>
      <c r="E34" s="51" t="s">
        <v>26</v>
      </c>
      <c r="F34" s="81"/>
      <c r="G34" s="82">
        <v>2.5000000000000001E-2</v>
      </c>
      <c r="H34" s="47">
        <f>H32*G34</f>
        <v>4278750</v>
      </c>
    </row>
    <row r="35" spans="1:8" ht="19.5" thickBot="1" x14ac:dyDescent="0.35">
      <c r="A35" s="14" t="s">
        <v>58</v>
      </c>
      <c r="B35" s="84"/>
      <c r="C35" s="84"/>
      <c r="D35" s="15"/>
      <c r="F35" s="3"/>
      <c r="G35" s="33" t="s">
        <v>61</v>
      </c>
      <c r="H35" s="35">
        <f>H32+H33</f>
        <v>203668500</v>
      </c>
    </row>
    <row r="36" spans="1:8" x14ac:dyDescent="0.25">
      <c r="A36" s="14" t="s">
        <v>59</v>
      </c>
      <c r="B36" s="84"/>
      <c r="C36" s="84"/>
      <c r="D36" s="15"/>
      <c r="F36" s="72" t="s">
        <v>62</v>
      </c>
      <c r="G36" s="73">
        <v>0.09</v>
      </c>
      <c r="H36" s="74">
        <f>H32*G36</f>
        <v>15403500</v>
      </c>
    </row>
    <row r="37" spans="1:8" ht="15.75" thickBot="1" x14ac:dyDescent="0.3">
      <c r="A37" s="16" t="s">
        <v>60</v>
      </c>
      <c r="B37" s="4"/>
      <c r="C37" s="4"/>
      <c r="D37" s="17"/>
      <c r="F37" s="72" t="s">
        <v>63</v>
      </c>
      <c r="G37" s="73">
        <v>0.05</v>
      </c>
      <c r="H37" s="74">
        <f>H32*G37</f>
        <v>8557500</v>
      </c>
    </row>
    <row r="38" spans="1:8" ht="16.5" customHeight="1" thickBot="1" x14ac:dyDescent="0.3">
      <c r="F38" s="72" t="s">
        <v>64</v>
      </c>
      <c r="G38" s="73">
        <v>0.06</v>
      </c>
      <c r="H38" s="75">
        <f>H32*G38</f>
        <v>10269000</v>
      </c>
    </row>
    <row r="39" spans="1:8" ht="15.75" thickTop="1" x14ac:dyDescent="0.25">
      <c r="H39" s="76">
        <f>H35+H36+H37+H38</f>
        <v>237898500</v>
      </c>
    </row>
    <row r="40" spans="1:8" ht="15.75" thickBot="1" x14ac:dyDescent="0.3">
      <c r="F40" s="77" t="s">
        <v>65</v>
      </c>
      <c r="G40" s="73">
        <v>0.19</v>
      </c>
      <c r="H40" s="78">
        <f>H38*G40</f>
        <v>1951110</v>
      </c>
    </row>
    <row r="41" spans="1:8" ht="19.5" thickBot="1" x14ac:dyDescent="0.35">
      <c r="G41" s="79" t="s">
        <v>27</v>
      </c>
      <c r="H41" s="80">
        <f>H39+H40</f>
        <v>239849610</v>
      </c>
    </row>
    <row r="43" spans="1:8" ht="15.75" thickBot="1" x14ac:dyDescent="0.3"/>
    <row r="44" spans="1:8" ht="19.5" thickBot="1" x14ac:dyDescent="0.35">
      <c r="A44" s="25" t="s">
        <v>35</v>
      </c>
      <c r="B44" s="6"/>
      <c r="C44" s="6"/>
      <c r="D44" s="6"/>
      <c r="E44" s="6"/>
      <c r="F44" s="6"/>
      <c r="G44" s="6"/>
      <c r="H44" s="7"/>
    </row>
    <row r="52" spans="1:1" ht="18.75" x14ac:dyDescent="0.3">
      <c r="A52" s="5"/>
    </row>
  </sheetData>
  <hyperlinks>
    <hyperlink ref="C10" r:id="rId1" xr:uid="{50CC588E-B838-4A90-BD11-8FB3CE2E62C9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COMFACAUCA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2025-08-11T16:17:59Z</dcterms:modified>
</cp:coreProperties>
</file>