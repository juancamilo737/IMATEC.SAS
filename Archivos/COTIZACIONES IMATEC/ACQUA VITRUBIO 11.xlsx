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C22955F-A928-4124-9B4C-D8542B52CF9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4" i="1" s="1"/>
  <c r="H26" i="1"/>
  <c r="H25" i="1" l="1"/>
  <c r="H29" i="1" s="1"/>
</calcChain>
</file>

<file path=xl/sharedStrings.xml><?xml version="1.0" encoding="utf-8"?>
<sst xmlns="http://schemas.openxmlformats.org/spreadsheetml/2006/main" count="59" uniqueCount="57">
  <si>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</si>
  <si>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</si>
  <si>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</si>
  <si>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</si>
  <si>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</si>
  <si>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</si>
  <si>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</si>
  <si>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</si>
  <si>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</si>
  <si>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</si>
  <si>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</si>
  <si>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</si>
  <si>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</si>
  <si>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</si>
  <si>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</si>
  <si>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</si>
  <si>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</si>
  <si>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</si>
  <si>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</si>
  <si>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</si>
  <si>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</si>
  <si>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</si>
  <si>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</si>
  <si>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</si>
  <si>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</si>
  <si>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</si>
  <si>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</si>
  <si>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</si>
  <si>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</si>
  <si>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</si>
  <si>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</si>
  <si>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</si>
  <si>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</si>
  <si>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</si>
  <si>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</si>
  <si>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</si>
  <si>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</si>
  <si>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</si>
  <si>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</si>
  <si>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</si>
  <si>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</si>
  <si>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</si>
  <si>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</si>
  <si>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</si>
  <si>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</si>
  <si>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</si>
  <si>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</si>
  <si>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CALLE  33B  No. 17C - 70  2º  PISO               B/  LA FLORESTA             -   CALI    -                                  CEL.     321 7834969</t>
  </si>
  <si>
    <t>VALVULA MARIPOSA CUERPO EN HIERRO CORTINA</t>
  </si>
  <si>
    <t>EN AC/INOX 304  8 "  X  150 LB</t>
  </si>
  <si>
    <t>EN AC/INOX 304  10 "  X  150 LB</t>
  </si>
  <si>
    <t>ENTREGA EN 4 DIAS</t>
  </si>
  <si>
    <t>FORMA DE PAGO : CONTADO</t>
  </si>
  <si>
    <t>DOS MILLONES NOVECIENTOS CUARENTA Y SIETE MIL</t>
  </si>
  <si>
    <t>CUATROCIENTOS CINCUENTA PESOS MDA / CTE</t>
  </si>
  <si>
    <t xml:space="preserve">              R E M I S I O N</t>
  </si>
  <si>
    <t>No.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</si>
</sst>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0" fillId="0" borderId="26" xfId="0" applyBorder="1"/>
    <xf numFmtId="10" fontId="1" fillId="0" borderId="0" xfId="0" applyNumberFormat="1" applyFont="1"/>
    <xf numFmtId="0" fontId="1" fillId="0" borderId="11" xfId="0" applyFont="1" applyBorder="1"/>
    <xf numFmtId="0" fontId="11" fillId="0" borderId="25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topLeftCell="A2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/>
      <c r="E2" s="55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10" ht="19.5" thickBot="1" x14ac:dyDescent="0.35">
      <c r="A5" s="68" t="s">
        <v>40</v>
      </c>
      <c r="B5" s="6"/>
      <c r="C5" s="6"/>
      <c r="D5" s="6"/>
      <c r="E5" s="6"/>
    </row>
    <row r="6" spans="1:10" ht="24.75" customHeight="1" thickBot="1" x14ac:dyDescent="0.45">
      <c r="F6" s="11" t="s">
        <v>55</v>
      </c>
      <c r="G6" s="19"/>
      <c r="H6" s="20"/>
    </row>
    <row r="7" spans="1:10" ht="19.5" thickBot="1" x14ac:dyDescent="0.35">
      <c r="A7" s="21" t="s">
        <v>15</v>
      </c>
      <c r="B7" s="13"/>
      <c r="C7" s="32" t="s">
        <v>41</v>
      </c>
      <c r="D7" s="13"/>
      <c r="E7" s="14"/>
      <c r="F7" s="29"/>
      <c r="G7" s="19"/>
      <c r="H7" s="20" t="s">
        <v>56</v>
      </c>
    </row>
    <row r="8" spans="1:10" ht="18.75" x14ac:dyDescent="0.3">
      <c r="A8" s="22" t="s">
        <v>9</v>
      </c>
      <c r="C8" s="26" t="s">
        <v>42</v>
      </c>
      <c r="D8" s="27"/>
      <c r="E8" s="27"/>
      <c r="F8" s="12"/>
      <c r="G8" s="13"/>
      <c r="H8" s="14"/>
    </row>
    <row r="9" spans="1:10" ht="18.75" customHeight="1" x14ac:dyDescent="0.3">
      <c r="A9" s="22" t="s">
        <v>10</v>
      </c>
      <c r="C9" s="25" t="s">
        <v>43</v>
      </c>
      <c r="D9" s="25"/>
      <c r="E9" s="26" t="s">
        <v>44</v>
      </c>
      <c r="F9" s="33" t="s">
        <v>0</v>
      </c>
      <c r="H9" s="34">
        <v>45604</v>
      </c>
    </row>
    <row r="10" spans="1:10" ht="18.75" x14ac:dyDescent="0.3">
      <c r="A10" s="22" t="s">
        <v>14</v>
      </c>
      <c r="C10" s="56" t="s">
        <v>45</v>
      </c>
      <c r="D10" s="27"/>
      <c r="E10" s="27"/>
      <c r="F10" s="33" t="s">
        <v>16</v>
      </c>
      <c r="H10" s="35" t="s">
        <v>37</v>
      </c>
    </row>
    <row r="11" spans="1:10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45613</v>
      </c>
    </row>
    <row r="12" spans="1:10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10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10" ht="15.75" thickBot="1" x14ac:dyDescent="0.3"/>
    <row r="15" spans="1:10" ht="15.75" thickBot="1" x14ac:dyDescent="0.3">
      <c r="A15" s="38" t="s">
        <v>38</v>
      </c>
      <c r="B15" s="60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10" ht="15.75" x14ac:dyDescent="0.25">
      <c r="A16" s="61">
        <v>1</v>
      </c>
      <c r="B16" s="41" t="s">
        <v>48</v>
      </c>
      <c r="C16" s="42"/>
      <c r="D16" s="40"/>
      <c r="E16" s="61" t="s">
        <v>39</v>
      </c>
      <c r="F16" s="64">
        <v>550000</v>
      </c>
      <c r="G16" s="61">
        <v>2</v>
      </c>
      <c r="H16" s="62">
        <f>G16*F16</f>
        <v>1100000</v>
      </c>
      <c r="I16" s="39"/>
      <c r="J16" s="39"/>
    </row>
    <row r="17" spans="1:10" ht="16.5" thickBot="1" x14ac:dyDescent="0.3">
      <c r="B17" s="41" t="s">
        <v>49</v>
      </c>
      <c r="C17" s="42"/>
      <c r="D17" s="40"/>
      <c r="F17" s="63"/>
      <c r="G17" s="61"/>
      <c r="H17" s="40"/>
      <c r="I17" s="39"/>
      <c r="J17" s="39"/>
    </row>
    <row r="18" spans="1:10" ht="15.75" x14ac:dyDescent="0.25">
      <c r="A18" s="61">
        <v>2</v>
      </c>
      <c r="B18" s="41" t="s">
        <v>48</v>
      </c>
      <c r="C18" s="42"/>
      <c r="D18" s="40"/>
      <c r="E18" s="61" t="s">
        <v>39</v>
      </c>
      <c r="F18" s="64">
        <v>1430000</v>
      </c>
      <c r="G18" s="61">
        <v>1</v>
      </c>
      <c r="H18" s="62">
        <f>G18*F18</f>
        <v>1430000</v>
      </c>
    </row>
    <row r="19" spans="1:10" ht="16.5" thickBot="1" x14ac:dyDescent="0.3">
      <c r="B19" s="41" t="s">
        <v>50</v>
      </c>
      <c r="C19" s="42"/>
      <c r="D19" s="40"/>
      <c r="F19" s="63"/>
      <c r="G19" s="61"/>
      <c r="H19" s="72"/>
      <c r="I19" s="39"/>
      <c r="J19" s="39"/>
    </row>
    <row r="20" spans="1:10" ht="19.5" customHeight="1" x14ac:dyDescent="0.25">
      <c r="B20" s="41"/>
      <c r="C20" s="42"/>
      <c r="D20" s="42"/>
      <c r="E20" s="46"/>
      <c r="F20" s="65"/>
      <c r="H20" s="40"/>
      <c r="I20" s="39"/>
      <c r="J20" s="39"/>
    </row>
    <row r="21" spans="1:10" ht="19.5" customHeight="1" x14ac:dyDescent="0.25">
      <c r="B21" s="43"/>
      <c r="C21" s="44"/>
      <c r="D21" s="44"/>
      <c r="E21" s="24"/>
      <c r="F21" s="66"/>
      <c r="G21" s="44"/>
      <c r="H21" s="45"/>
    </row>
    <row r="22" spans="1:10" ht="19.5" customHeight="1" thickBot="1" x14ac:dyDescent="0.3">
      <c r="H22" s="67"/>
    </row>
    <row r="23" spans="1:10" ht="19.5" customHeight="1" thickBot="1" x14ac:dyDescent="0.35">
      <c r="A23" s="73" t="s">
        <v>25</v>
      </c>
      <c r="B23" s="12" t="s">
        <v>53</v>
      </c>
      <c r="C23" s="13"/>
      <c r="D23" s="14"/>
      <c r="E23" s="13"/>
      <c r="F23" s="47" t="s">
        <v>31</v>
      </c>
      <c r="G23" s="13"/>
      <c r="H23" s="7"/>
    </row>
    <row r="24" spans="1:10" ht="19.5" customHeight="1" thickBot="1" x14ac:dyDescent="0.3">
      <c r="A24" s="74"/>
      <c r="B24" s="17" t="s">
        <v>54</v>
      </c>
      <c r="C24" s="4"/>
      <c r="D24" s="4"/>
      <c r="E24" s="48" t="s">
        <v>26</v>
      </c>
      <c r="F24" s="49"/>
      <c r="G24" s="27"/>
      <c r="H24" s="57">
        <f>SUM(H16:H19)</f>
        <v>2530000</v>
      </c>
    </row>
    <row r="25" spans="1:10" ht="19.5" customHeight="1" x14ac:dyDescent="0.25">
      <c r="A25" s="28" t="s">
        <v>27</v>
      </c>
      <c r="B25" s="13"/>
      <c r="C25" s="13"/>
      <c r="D25" s="14"/>
      <c r="E25" s="3" t="s">
        <v>33</v>
      </c>
      <c r="F25" s="69"/>
      <c r="G25" s="51">
        <v>0.19</v>
      </c>
      <c r="H25" s="58">
        <f>H24*G25</f>
        <v>480700</v>
      </c>
    </row>
    <row r="26" spans="1:10" ht="15.75" x14ac:dyDescent="0.25">
      <c r="A26" s="15" t="s">
        <v>52</v>
      </c>
      <c r="D26" s="16"/>
      <c r="E26" s="49" t="s">
        <v>28</v>
      </c>
      <c r="G26" s="70">
        <v>2.5000000000000001E-2</v>
      </c>
      <c r="H26" s="52">
        <f>H24*G26</f>
        <v>63250</v>
      </c>
    </row>
    <row r="27" spans="1:10" ht="15.75" x14ac:dyDescent="0.25">
      <c r="A27" s="15" t="s">
        <v>51</v>
      </c>
      <c r="D27" s="16"/>
      <c r="F27" s="49"/>
      <c r="G27" s="27"/>
      <c r="H27" s="53"/>
    </row>
    <row r="28" spans="1:10" ht="16.5" thickBot="1" x14ac:dyDescent="0.3">
      <c r="A28" s="15" t="s">
        <v>35</v>
      </c>
      <c r="D28" s="16"/>
      <c r="E28" s="49" t="s">
        <v>29</v>
      </c>
      <c r="F28" s="49"/>
      <c r="G28" s="27"/>
      <c r="H28" s="54"/>
    </row>
    <row r="29" spans="1:10" ht="16.5" customHeight="1" thickBot="1" x14ac:dyDescent="0.35">
      <c r="A29" s="71"/>
      <c r="B29" s="4"/>
      <c r="C29" s="4"/>
      <c r="D29" s="18"/>
      <c r="F29" s="3"/>
      <c r="G29" s="50" t="s">
        <v>30</v>
      </c>
      <c r="H29" s="59">
        <f>H24+H25-H26</f>
        <v>2947450</v>
      </c>
    </row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9" t="s">
        <v>47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2024-11-08T14:14:19Z</cp:lastPrinted>
  <dcterms:created xsi:type="dcterms:W3CDTF">2018-11-15T17:29:02Z</dcterms:created>
  <dcterms:modified xsi:type="dcterms:W3CDTF">2024-11-08T14:32:40Z</dcterms:modified>
</cp:coreProperties>
</file>