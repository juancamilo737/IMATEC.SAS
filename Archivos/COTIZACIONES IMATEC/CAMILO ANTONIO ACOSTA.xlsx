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B94A922-6566-4DB5-B340-D0DC88DF3FF5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AMILO ACOS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19" i="1"/>
  <c r="H18" i="1"/>
  <c r="H17" i="1"/>
  <c r="H16" i="1" l="1"/>
  <c r="H22" i="1" s="1"/>
  <c r="H23" i="1" l="1"/>
</calcChain>
</file>

<file path=xl/sharedStrings.xml><?xml version="1.0" encoding="utf-8"?>
<sst xmlns="http://schemas.openxmlformats.org/spreadsheetml/2006/main" count="58" uniqueCount="55">
  <si>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</si>
  <si>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</si>
  <si>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</si>
  <si>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</si>
  <si>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</si>
  <si>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</si>
  <si>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</si>
  <si>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</si>
  <si>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</si>
  <si>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</si>
  <si>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</si>
  <si>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</si>
  <si>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</si>
  <si>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</si>
  <si>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</si>
  <si>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</si>
  <si>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</si>
  <si>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</si>
  <si>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</si>
  <si>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</si>
  <si>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</si>
  <si>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</si>
  <si>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</si>
  <si>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</si>
  <si>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</si>
  <si>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</si>
  <si>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</si>
  <si>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</si>
  <si>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</si>
  <si>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</si>
  <si>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</si>
  <si>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</si>
  <si>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</si>
  <si>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</si>
  <si>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</si>
  <si>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</si>
  <si>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</si>
  <si>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</si>
  <si>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</si>
  <si>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</si>
  <si>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</si>
  <si>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CAMILO ANTONIO ACOSTA HERNANDEZ</t>
  </si>
  <si>
    <t>CALLE 44 No. 3N-09</t>
  </si>
  <si>
    <t>CALI</t>
  </si>
  <si>
    <t>camilo.acosta627@gmail.com</t>
  </si>
  <si>
    <t>311 3832435</t>
  </si>
  <si>
    <t>EDINSON CABEZAS</t>
  </si>
  <si>
    <t>BRIDA SLIP ON A / C 3 "  X  150 LB</t>
  </si>
  <si>
    <t>ACCESORIO</t>
  </si>
  <si>
    <t>BRIDA SLIP ON A / C 2 "  X  150 LB</t>
  </si>
  <si>
    <t>BRIDA SLIP ON A / C 4 "  X  150 LB</t>
  </si>
  <si>
    <t>BRIDA SLIP ON A / C  24 "  X  150 LB</t>
  </si>
  <si>
    <t>DOS MILLONES QUINIENTOS DOS MIL CUATROCIENTOS</t>
  </si>
  <si>
    <t>VEINTE PESOS MDA / CTE</t>
  </si>
  <si>
    <t>ENTREGA EN DOS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</si>
</sst>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8" xfId="0" applyFont="1" applyBorder="1"/>
    <xf numFmtId="0" fontId="8" fillId="0" borderId="13" xfId="0" applyFont="1" applyBorder="1"/>
    <xf numFmtId="0" fontId="8" fillId="0" borderId="39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milo.acosta62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0" zoomScaleNormal="100" workbookViewId="0">
      <selection activeCell="E27" sqref="E27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70" t="s">
        <v>41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72">
        <v>14839572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42</v>
      </c>
      <c r="D9" s="23"/>
      <c r="E9" s="75" t="s">
        <v>43</v>
      </c>
      <c r="F9" s="30" t="s">
        <v>0</v>
      </c>
      <c r="H9" s="28">
        <v>45595</v>
      </c>
    </row>
    <row r="10" spans="1:8" ht="18.75" x14ac:dyDescent="0.3">
      <c r="A10" s="21" t="s">
        <v>13</v>
      </c>
      <c r="C10" s="76" t="s">
        <v>44</v>
      </c>
      <c r="D10" s="71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7"/>
      <c r="D11" s="71"/>
      <c r="E11" s="47"/>
      <c r="F11" s="30" t="s">
        <v>16</v>
      </c>
      <c r="G11" s="30"/>
      <c r="H11" s="28">
        <v>45604</v>
      </c>
    </row>
    <row r="12" spans="1:8" ht="18.75" x14ac:dyDescent="0.3">
      <c r="A12" s="21" t="s">
        <v>11</v>
      </c>
      <c r="C12" s="77" t="s">
        <v>45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46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47</v>
      </c>
      <c r="C16" s="54"/>
      <c r="D16" s="55"/>
      <c r="E16" s="51" t="s">
        <v>48</v>
      </c>
      <c r="F16" s="57">
        <v>35500</v>
      </c>
      <c r="G16" s="51">
        <v>7</v>
      </c>
      <c r="H16" s="38">
        <f t="shared" ref="H16" si="0">G16*F16</f>
        <v>248500</v>
      </c>
    </row>
    <row r="17" spans="1:8" ht="16.5" thickBot="1" x14ac:dyDescent="0.3">
      <c r="A17" s="51">
        <v>2</v>
      </c>
      <c r="B17" s="53" t="s">
        <v>49</v>
      </c>
      <c r="C17" s="54"/>
      <c r="D17" s="55"/>
      <c r="E17" s="51" t="s">
        <v>48</v>
      </c>
      <c r="F17" s="57">
        <v>23500</v>
      </c>
      <c r="G17" s="51">
        <v>2</v>
      </c>
      <c r="H17" s="38">
        <f t="shared" ref="H17:H18" si="1">G17*F17</f>
        <v>47000</v>
      </c>
    </row>
    <row r="18" spans="1:8" ht="16.5" thickBot="1" x14ac:dyDescent="0.3">
      <c r="A18" s="51">
        <v>3</v>
      </c>
      <c r="B18" s="53" t="s">
        <v>50</v>
      </c>
      <c r="C18" s="54"/>
      <c r="D18" s="55"/>
      <c r="E18" s="51" t="s">
        <v>48</v>
      </c>
      <c r="F18" s="57">
        <v>51500</v>
      </c>
      <c r="G18" s="51">
        <v>1</v>
      </c>
      <c r="H18" s="38">
        <f t="shared" si="1"/>
        <v>51500</v>
      </c>
    </row>
    <row r="19" spans="1:8" ht="16.5" thickBot="1" x14ac:dyDescent="0.3">
      <c r="A19" s="80">
        <v>4</v>
      </c>
      <c r="B19" s="81" t="s">
        <v>51</v>
      </c>
      <c r="C19" s="82"/>
      <c r="D19" s="83"/>
      <c r="E19" s="80" t="s">
        <v>48</v>
      </c>
      <c r="F19" s="84">
        <v>900500</v>
      </c>
      <c r="G19" s="80">
        <v>2</v>
      </c>
      <c r="H19" s="38">
        <f t="shared" ref="H19" si="2">G19*F19</f>
        <v>1801000</v>
      </c>
    </row>
    <row r="20" spans="1:8" ht="19.5" customHeight="1" thickBot="1" x14ac:dyDescent="0.3">
      <c r="A20" s="52"/>
      <c r="B20" s="45"/>
      <c r="C20" s="42"/>
      <c r="D20" s="56"/>
      <c r="E20" s="58"/>
      <c r="F20" s="58"/>
      <c r="G20" s="58"/>
    </row>
    <row r="21" spans="1:8" ht="19.5" customHeight="1" thickBot="1" x14ac:dyDescent="0.35">
      <c r="A21" s="50" t="s">
        <v>23</v>
      </c>
      <c r="B21" s="14" t="s">
        <v>52</v>
      </c>
      <c r="D21" s="15"/>
      <c r="E21" s="59"/>
      <c r="F21" s="37" t="s">
        <v>29</v>
      </c>
      <c r="G21" s="6"/>
      <c r="H21" s="7"/>
    </row>
    <row r="22" spans="1:8" ht="19.5" customHeight="1" thickBot="1" x14ac:dyDescent="0.3">
      <c r="A22" s="39"/>
      <c r="B22" s="16" t="s">
        <v>53</v>
      </c>
      <c r="C22" s="4"/>
      <c r="D22" s="4"/>
      <c r="E22" s="62" t="s">
        <v>24</v>
      </c>
      <c r="F22" s="63"/>
      <c r="G22" s="46"/>
      <c r="H22" s="60">
        <f>SUM(H16:H21)</f>
        <v>2148000</v>
      </c>
    </row>
    <row r="23" spans="1:8" ht="19.5" customHeight="1" x14ac:dyDescent="0.25">
      <c r="A23" s="24" t="s">
        <v>25</v>
      </c>
      <c r="B23" s="12"/>
      <c r="C23" s="12"/>
      <c r="D23" s="12"/>
      <c r="E23" s="64" t="s">
        <v>30</v>
      </c>
      <c r="F23" s="23"/>
      <c r="G23" s="65">
        <v>0.19</v>
      </c>
      <c r="H23" s="40">
        <f>H22*G23</f>
        <v>408120</v>
      </c>
    </row>
    <row r="24" spans="1:8" ht="19.5" customHeight="1" x14ac:dyDescent="0.25">
      <c r="A24" s="14" t="s">
        <v>31</v>
      </c>
      <c r="E24" s="66" t="s">
        <v>26</v>
      </c>
      <c r="G24" s="69">
        <v>2.5000000000000001E-2</v>
      </c>
      <c r="H24" s="61">
        <f>H22*G24</f>
        <v>53700</v>
      </c>
    </row>
    <row r="25" spans="1:8" ht="15.75" x14ac:dyDescent="0.25">
      <c r="A25" s="14" t="s">
        <v>54</v>
      </c>
      <c r="E25" s="14"/>
      <c r="F25" s="33"/>
      <c r="G25" s="47"/>
      <c r="H25" s="15"/>
    </row>
    <row r="26" spans="1:8" ht="16.5" thickBot="1" x14ac:dyDescent="0.3">
      <c r="A26" s="14" t="s">
        <v>34</v>
      </c>
      <c r="E26" s="67" t="s">
        <v>27</v>
      </c>
      <c r="F26" s="68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2502420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25AEEA5B-EAAD-4CA3-B580-B45A07F0336F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CAMILO ACOSTA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2024-10-30T21:29:31Z</dcterms:modified>
</cp:coreProperties>
</file>