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8ACE2F0A-B1F3-4D78-8A17-A1871C3C91BA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1" i="1"/>
  <c r="H20" i="1"/>
  <c r="H19" i="1"/>
  <c r="H18" i="1"/>
  <c r="H17" i="1"/>
  <c r="H16" i="1"/>
  <c r="H25" i="1" s="1"/>
  <c r="H26" i="1" l="1"/>
  <c r="H29" i="1" s="1"/>
</calcChain>
</file>

<file path=xl/sharedStrings.xml><?xml version="1.0" encoding="utf-8"?>
<sst xmlns="http://schemas.openxmlformats.org/spreadsheetml/2006/main" count="68" uniqueCount="62">
  <si>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</si>
  <si>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</si>
  <si>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</si>
  <si>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</si>
  <si>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</si>
  <si>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</si>
  <si>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</si>
  <si>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</si>
  <si>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</si>
  <si>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</si>
  <si>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</si>
  <si>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</si>
  <si>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</si>
  <si>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</si>
  <si>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</si>
  <si>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</si>
  <si>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</si>
  <si>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</si>
  <si>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</si>
  <si>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</si>
  <si>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</si>
  <si>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</si>
  <si>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</si>
  <si>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</si>
  <si>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</si>
  <si>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</si>
  <si>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</si>
  <si>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</si>
  <si>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</si>
  <si>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</si>
  <si>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</si>
  <si>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</si>
  <si>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</si>
  <si>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</si>
  <si>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</si>
  <si>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</si>
  <si>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</si>
  <si>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</si>
  <si>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</si>
  <si>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</si>
  <si>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</si>
  <si>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</si>
  <si>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</si>
  <si>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</si>
  <si>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</si>
  <si>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</si>
  <si>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</si>
  <si>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</si>
  <si>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TEE HD RANURADA 4 "</t>
  </si>
  <si>
    <t>COPA HD RANURADA  4 "  X  2 1/2 "</t>
  </si>
  <si>
    <t>CODO HD RANURADO  4 "  X  90 º</t>
  </si>
  <si>
    <t>UNION HD RANURADA  4 "</t>
  </si>
  <si>
    <t>TAPON HD RANURADO  4 "</t>
  </si>
  <si>
    <t>TAPON HD RANURADO  2 1/2  "</t>
  </si>
  <si>
    <t>UNION HD RANURADA 2 1/2 "</t>
  </si>
  <si>
    <t xml:space="preserve">         </t>
  </si>
  <si>
    <t>UN MILLON CIENTO TREINTA MIL QUINIENTOS PESOS</t>
  </si>
  <si>
    <t>MDA / CTE</t>
  </si>
  <si>
    <t>ENTREGA INMEDIATA</t>
  </si>
  <si>
    <t xml:space="preserve">              R E M I S I O N</t>
  </si>
  <si>
    <t>No. 21 - 1</t>
  </si>
  <si>
    <t>P 26996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</si>
</sst>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7" xfId="0" applyBorder="1"/>
    <xf numFmtId="0" fontId="0" fillId="0" borderId="14" xfId="0" applyBorder="1"/>
    <xf numFmtId="0" fontId="5" fillId="0" borderId="19" xfId="0" applyFont="1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8" xfId="0" applyFont="1" applyBorder="1" applyAlignment="1">
      <alignment horizontal="center"/>
    </xf>
    <xf numFmtId="42" fontId="1" fillId="0" borderId="20" xfId="0" applyNumberFormat="1" applyFont="1" applyBorder="1" applyAlignment="1">
      <alignment horizontal="left"/>
    </xf>
    <xf numFmtId="0" fontId="0" fillId="0" borderId="3" xfId="0" applyBorder="1"/>
    <xf numFmtId="42" fontId="1" fillId="0" borderId="20" xfId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9" xfId="0" applyFont="1" applyBorder="1"/>
    <xf numFmtId="9" fontId="1" fillId="0" borderId="24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1" fillId="0" borderId="25" xfId="0" applyFont="1" applyBorder="1" applyAlignment="1">
      <alignment horizont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1" fillId="0" borderId="27" xfId="0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0" zoomScaleNormal="100" workbookViewId="0">
      <selection activeCell="F32" sqref="F32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0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8</v>
      </c>
      <c r="B4" s="6"/>
      <c r="C4" s="6"/>
      <c r="D4" s="30" t="s">
        <v>32</v>
      </c>
      <c r="E4" s="19"/>
      <c r="F4" s="20"/>
      <c r="G4" s="6"/>
      <c r="H4" s="7"/>
    </row>
    <row r="5" spans="1:8" ht="19.5" thickBot="1" x14ac:dyDescent="0.35">
      <c r="A5" s="44" t="s">
        <v>36</v>
      </c>
      <c r="B5" s="6"/>
      <c r="C5" s="6"/>
      <c r="D5" s="6"/>
      <c r="E5" s="6"/>
    </row>
    <row r="6" spans="1:8" ht="24.75" customHeight="1" thickBot="1" x14ac:dyDescent="0.45">
      <c r="F6" s="11" t="s">
        <v>59</v>
      </c>
      <c r="G6" s="19"/>
      <c r="H6" s="20"/>
    </row>
    <row r="7" spans="1:8" ht="19.5" thickBot="1" x14ac:dyDescent="0.35">
      <c r="A7" s="21" t="s">
        <v>15</v>
      </c>
      <c r="B7" s="13"/>
      <c r="C7" s="31" t="s">
        <v>38</v>
      </c>
      <c r="D7" s="13"/>
      <c r="E7" s="14"/>
      <c r="F7" s="28"/>
      <c r="G7" s="19"/>
      <c r="H7" s="20" t="s">
        <v>60</v>
      </c>
    </row>
    <row r="8" spans="1:8" ht="18.75" x14ac:dyDescent="0.3">
      <c r="A8" s="22" t="s">
        <v>9</v>
      </c>
      <c r="C8" s="25" t="s">
        <v>39</v>
      </c>
      <c r="D8" s="26"/>
      <c r="E8" s="26"/>
      <c r="F8" s="12"/>
      <c r="G8" s="13"/>
      <c r="H8" s="14"/>
    </row>
    <row r="9" spans="1:8" ht="18.75" customHeight="1" x14ac:dyDescent="0.3">
      <c r="A9" s="22" t="s">
        <v>10</v>
      </c>
      <c r="C9" s="24" t="s">
        <v>40</v>
      </c>
      <c r="D9" s="24"/>
      <c r="E9" s="25" t="s">
        <v>34</v>
      </c>
      <c r="F9" s="32" t="s">
        <v>0</v>
      </c>
      <c r="H9" s="33">
        <v>45742</v>
      </c>
    </row>
    <row r="10" spans="1:8" ht="18.75" x14ac:dyDescent="0.3">
      <c r="A10" s="22" t="s">
        <v>14</v>
      </c>
      <c r="C10" s="41" t="s">
        <v>41</v>
      </c>
      <c r="D10" s="26"/>
      <c r="E10" s="26"/>
      <c r="F10" s="32" t="s">
        <v>16</v>
      </c>
      <c r="H10" s="34"/>
    </row>
    <row r="11" spans="1:8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/>
    </row>
    <row r="12" spans="1:8" ht="18.75" x14ac:dyDescent="0.3">
      <c r="A12" s="22" t="s">
        <v>12</v>
      </c>
      <c r="C12" s="25" t="s">
        <v>42</v>
      </c>
      <c r="D12" s="26"/>
      <c r="E12" s="26"/>
      <c r="F12" s="32" t="s">
        <v>44</v>
      </c>
      <c r="H12" s="34" t="s">
        <v>61</v>
      </c>
    </row>
    <row r="13" spans="1:8" ht="18.75" customHeight="1" thickBot="1" x14ac:dyDescent="0.35">
      <c r="A13" s="23" t="s">
        <v>13</v>
      </c>
      <c r="B13" s="4"/>
      <c r="C13" s="25" t="s">
        <v>37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45" t="s">
        <v>35</v>
      </c>
      <c r="B15" s="27" t="s">
        <v>23</v>
      </c>
      <c r="C15" s="57"/>
      <c r="D15" s="14"/>
      <c r="E15" s="45" t="s">
        <v>19</v>
      </c>
      <c r="F15" s="45" t="s">
        <v>21</v>
      </c>
      <c r="G15" s="45" t="s">
        <v>20</v>
      </c>
      <c r="H15" s="45" t="s">
        <v>22</v>
      </c>
    </row>
    <row r="16" spans="1:8" ht="16.5" thickBot="1" x14ac:dyDescent="0.3">
      <c r="A16" s="58">
        <v>1</v>
      </c>
      <c r="B16" s="59" t="s">
        <v>48</v>
      </c>
      <c r="C16" s="60"/>
      <c r="D16" s="61"/>
      <c r="E16" s="62" t="s">
        <v>47</v>
      </c>
      <c r="F16" s="63">
        <v>59500</v>
      </c>
      <c r="G16" s="62">
        <v>4</v>
      </c>
      <c r="H16" s="64">
        <f t="shared" ref="H16:H22" si="0">G16*F16</f>
        <v>238000</v>
      </c>
    </row>
    <row r="17" spans="1:8" ht="16.5" thickBot="1" x14ac:dyDescent="0.3">
      <c r="A17" s="58">
        <v>2</v>
      </c>
      <c r="B17" s="59" t="s">
        <v>49</v>
      </c>
      <c r="C17" s="60"/>
      <c r="D17" s="61"/>
      <c r="E17" s="62" t="s">
        <v>47</v>
      </c>
      <c r="F17" s="63">
        <v>22000</v>
      </c>
      <c r="G17" s="62">
        <v>4</v>
      </c>
      <c r="H17" s="64">
        <f t="shared" si="0"/>
        <v>88000</v>
      </c>
    </row>
    <row r="18" spans="1:8" ht="16.5" thickBot="1" x14ac:dyDescent="0.3">
      <c r="A18" s="58">
        <v>3</v>
      </c>
      <c r="B18" s="59" t="s">
        <v>50</v>
      </c>
      <c r="C18" s="60"/>
      <c r="D18" s="61"/>
      <c r="E18" s="62" t="s">
        <v>47</v>
      </c>
      <c r="F18" s="63">
        <v>35000</v>
      </c>
      <c r="G18" s="62">
        <v>4</v>
      </c>
      <c r="H18" s="64">
        <f t="shared" si="0"/>
        <v>140000</v>
      </c>
    </row>
    <row r="19" spans="1:8" ht="16.5" thickBot="1" x14ac:dyDescent="0.3">
      <c r="A19" s="58">
        <v>4</v>
      </c>
      <c r="B19" s="59" t="s">
        <v>51</v>
      </c>
      <c r="C19" s="60"/>
      <c r="D19" s="61"/>
      <c r="E19" s="62" t="s">
        <v>47</v>
      </c>
      <c r="F19" s="63">
        <v>21000</v>
      </c>
      <c r="G19" s="62">
        <v>10</v>
      </c>
      <c r="H19" s="64">
        <f t="shared" si="0"/>
        <v>210000</v>
      </c>
    </row>
    <row r="20" spans="1:8" ht="16.5" thickBot="1" x14ac:dyDescent="0.3">
      <c r="A20" s="58">
        <v>5</v>
      </c>
      <c r="B20" s="59" t="s">
        <v>52</v>
      </c>
      <c r="C20" s="60"/>
      <c r="D20" s="61"/>
      <c r="E20" s="62" t="s">
        <v>47</v>
      </c>
      <c r="F20" s="63">
        <v>16000</v>
      </c>
      <c r="G20" s="62">
        <v>1</v>
      </c>
      <c r="H20" s="64">
        <f t="shared" si="0"/>
        <v>16000</v>
      </c>
    </row>
    <row r="21" spans="1:8" ht="16.5" thickBot="1" x14ac:dyDescent="0.3">
      <c r="A21" s="58">
        <v>6</v>
      </c>
      <c r="B21" s="59" t="s">
        <v>53</v>
      </c>
      <c r="C21" s="60"/>
      <c r="D21" s="61"/>
      <c r="E21" s="62" t="s">
        <v>47</v>
      </c>
      <c r="F21" s="63">
        <v>9000</v>
      </c>
      <c r="G21" s="62">
        <v>2</v>
      </c>
      <c r="H21" s="64">
        <f t="shared" si="0"/>
        <v>18000</v>
      </c>
    </row>
    <row r="22" spans="1:8" ht="15.75" x14ac:dyDescent="0.25">
      <c r="A22" s="58">
        <v>7</v>
      </c>
      <c r="B22" s="59" t="s">
        <v>54</v>
      </c>
      <c r="C22" s="60"/>
      <c r="D22" s="61"/>
      <c r="E22" s="62" t="s">
        <v>47</v>
      </c>
      <c r="F22" s="63">
        <v>16000</v>
      </c>
      <c r="G22" s="62">
        <v>15</v>
      </c>
      <c r="H22" s="64">
        <f t="shared" si="0"/>
        <v>240000</v>
      </c>
    </row>
    <row r="23" spans="1:8" ht="19.5" customHeight="1" thickBot="1" x14ac:dyDescent="0.3">
      <c r="H23" s="36"/>
    </row>
    <row r="24" spans="1:8" ht="19.5" customHeight="1" thickBot="1" x14ac:dyDescent="0.35">
      <c r="A24" s="65" t="s">
        <v>24</v>
      </c>
      <c r="B24" s="12" t="s">
        <v>56</v>
      </c>
      <c r="C24" s="13"/>
      <c r="D24" s="13"/>
      <c r="E24" s="47"/>
      <c r="F24" s="44" t="s">
        <v>45</v>
      </c>
      <c r="G24" s="6"/>
      <c r="H24" s="7"/>
    </row>
    <row r="25" spans="1:8" ht="19.5" customHeight="1" thickBot="1" x14ac:dyDescent="0.3">
      <c r="A25" s="66"/>
      <c r="B25" s="17" t="s">
        <v>57</v>
      </c>
      <c r="C25" s="4"/>
      <c r="D25" s="4"/>
      <c r="E25" s="54" t="s">
        <v>25</v>
      </c>
      <c r="F25" s="55"/>
      <c r="G25" s="7"/>
      <c r="H25" s="46">
        <f>SUM(H16:H22)</f>
        <v>950000</v>
      </c>
    </row>
    <row r="26" spans="1:8" ht="19.5" customHeight="1" thickBot="1" x14ac:dyDescent="0.3">
      <c r="A26" s="27" t="s">
        <v>26</v>
      </c>
      <c r="B26" s="13"/>
      <c r="C26" s="13"/>
      <c r="D26" s="14"/>
      <c r="E26" s="52" t="s">
        <v>31</v>
      </c>
      <c r="F26" s="37"/>
      <c r="G26" s="53">
        <v>0.19</v>
      </c>
      <c r="H26" s="42">
        <f>H25*G26</f>
        <v>180500</v>
      </c>
    </row>
    <row r="27" spans="1:8" ht="16.5" thickBot="1" x14ac:dyDescent="0.3">
      <c r="A27" s="15" t="s">
        <v>43</v>
      </c>
      <c r="D27" s="16"/>
      <c r="E27" s="49" t="s">
        <v>27</v>
      </c>
      <c r="G27" s="56">
        <v>2.5000000000000001E-2</v>
      </c>
      <c r="H27" s="48"/>
    </row>
    <row r="28" spans="1:8" ht="16.5" thickBot="1" x14ac:dyDescent="0.3">
      <c r="A28" s="15" t="s">
        <v>58</v>
      </c>
      <c r="D28" s="16"/>
      <c r="E28" s="50" t="s">
        <v>28</v>
      </c>
      <c r="F28" s="51"/>
      <c r="G28" s="18"/>
      <c r="H28" s="39"/>
    </row>
    <row r="29" spans="1:8" ht="19.5" thickBot="1" x14ac:dyDescent="0.35">
      <c r="A29" s="15" t="s">
        <v>33</v>
      </c>
      <c r="D29" s="16"/>
      <c r="G29" s="38" t="s">
        <v>29</v>
      </c>
      <c r="H29" s="43">
        <f>H25+H26-H27</f>
        <v>1130500</v>
      </c>
    </row>
    <row r="30" spans="1:8" ht="16.5" customHeight="1" thickBot="1" x14ac:dyDescent="0.3">
      <c r="A30" s="17"/>
      <c r="B30" s="4"/>
      <c r="C30" s="4"/>
      <c r="D30" s="18"/>
      <c r="F30" s="3"/>
    </row>
    <row r="32" spans="1:8" x14ac:dyDescent="0.25">
      <c r="A32" t="s">
        <v>1</v>
      </c>
      <c r="C32" t="s">
        <v>55</v>
      </c>
    </row>
    <row r="34" spans="1:8" ht="15.75" thickBot="1" x14ac:dyDescent="0.3"/>
    <row r="35" spans="1:8" ht="19.5" thickBot="1" x14ac:dyDescent="0.35">
      <c r="A35" s="28" t="s">
        <v>46</v>
      </c>
      <c r="B35" s="6"/>
      <c r="C35" s="6"/>
      <c r="D35" s="6"/>
      <c r="E35" s="6"/>
      <c r="F35" s="6"/>
      <c r="G35" s="6"/>
      <c r="H35" s="7"/>
    </row>
    <row r="44" spans="1:8" ht="18.75" x14ac:dyDescent="0.3">
      <c r="A44" s="5"/>
    </row>
  </sheetData>
  <mergeCells count="1">
    <mergeCell ref="A24:A25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2025-03-05T19:05:24Z</cp:lastPrinted>
  <dcterms:created xsi:type="dcterms:W3CDTF">2018-11-15T17:29:02Z</dcterms:created>
  <dcterms:modified xsi:type="dcterms:W3CDTF">2025-03-26T15:46:42Z</dcterms:modified>
</cp:coreProperties>
</file>