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07BF599-895C-491A-BDC3-49BF44AE06C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8" i="1"/>
  <c r="H17" i="1"/>
  <c r="H16" i="1"/>
  <c r="H22" i="1" l="1"/>
  <c r="H25" i="1" s="1"/>
</calcChain>
</file>

<file path=xl/sharedStrings.xml><?xml version="1.0" encoding="utf-8"?>
<sst xmlns="http://schemas.openxmlformats.org/spreadsheetml/2006/main" count="60" uniqueCount="58">
  <si>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</si>
  <si>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</si>
  <si>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</si>
  <si>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</si>
  <si>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</si>
  <si>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</si>
  <si>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</si>
  <si>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</si>
  <si>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</si>
  <si>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</si>
  <si>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</si>
  <si>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</si>
  <si>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</si>
  <si>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</si>
  <si>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</si>
  <si>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</si>
  <si>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</si>
  <si>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</si>
  <si>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</si>
  <si>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</si>
  <si>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</si>
  <si>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</si>
  <si>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</si>
  <si>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</si>
  <si>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</si>
  <si>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</si>
  <si>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</si>
  <si>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</si>
  <si>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</si>
  <si>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</si>
  <si>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</si>
  <si>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</si>
  <si>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</si>
  <si>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</si>
  <si>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</si>
  <si>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</si>
  <si>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</si>
  <si>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</si>
  <si>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</si>
  <si>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</si>
  <si>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</si>
  <si>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</si>
  <si>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</si>
  <si>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</si>
  <si>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</si>
  <si>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</si>
  <si>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</si>
  <si>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</si>
  <si>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 xml:space="preserve">         </t>
  </si>
  <si>
    <t xml:space="preserve">             R E M I S I O N</t>
  </si>
  <si>
    <t>ENTREGA INMEDIATA</t>
  </si>
  <si>
    <t>No. 29</t>
  </si>
  <si>
    <t>P-27546</t>
  </si>
  <si>
    <t>SOPORTE TIPO PERA  2  "</t>
  </si>
  <si>
    <t>SOPORTE TIPO PERA  1 1/4   "</t>
  </si>
  <si>
    <t>SOPORTE TIPO PERA  3  "</t>
  </si>
  <si>
    <t>TRESCIENTOS CUARENTA Y UN MIL QUINIENTOS TREINTA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</si>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</sst>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J25" sqref="J25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51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45751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/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/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 t="s">
        <v>52</v>
      </c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53</v>
      </c>
      <c r="C16" s="60"/>
      <c r="D16" s="61"/>
      <c r="E16" s="62" t="s">
        <v>47</v>
      </c>
      <c r="F16" s="63">
        <v>2000</v>
      </c>
      <c r="G16" s="62">
        <v>50</v>
      </c>
      <c r="H16" s="64">
        <f t="shared" ref="H16" si="0">G16*F16</f>
        <v>100000</v>
      </c>
    </row>
    <row r="17" spans="1:8" ht="16.5" thickBot="1" x14ac:dyDescent="0.3">
      <c r="A17" s="58">
        <v>1</v>
      </c>
      <c r="B17" s="59" t="s">
        <v>54</v>
      </c>
      <c r="C17" s="60"/>
      <c r="D17" s="61"/>
      <c r="E17" s="62" t="s">
        <v>47</v>
      </c>
      <c r="F17" s="63">
        <v>1350</v>
      </c>
      <c r="G17" s="62">
        <v>20</v>
      </c>
      <c r="H17" s="64">
        <f t="shared" ref="H17:H18" si="1">G17*F17</f>
        <v>27000</v>
      </c>
    </row>
    <row r="18" spans="1:8" ht="15.75" x14ac:dyDescent="0.25">
      <c r="A18" s="58">
        <v>1</v>
      </c>
      <c r="B18" s="59" t="s">
        <v>55</v>
      </c>
      <c r="C18" s="60"/>
      <c r="D18" s="61"/>
      <c r="E18" s="62" t="s">
        <v>47</v>
      </c>
      <c r="F18" s="63">
        <v>3200</v>
      </c>
      <c r="G18" s="62">
        <v>50</v>
      </c>
      <c r="H18" s="64">
        <f t="shared" si="1"/>
        <v>160000</v>
      </c>
    </row>
    <row r="19" spans="1:8" ht="19.5" customHeight="1" thickBot="1" x14ac:dyDescent="0.3">
      <c r="H19" s="36"/>
    </row>
    <row r="20" spans="1:8" ht="19.5" customHeight="1" thickBot="1" x14ac:dyDescent="0.35">
      <c r="A20" s="65" t="s">
        <v>24</v>
      </c>
      <c r="B20" s="12" t="s">
        <v>56</v>
      </c>
      <c r="C20" s="13"/>
      <c r="D20" s="13"/>
      <c r="E20" s="47"/>
      <c r="F20" s="44" t="s">
        <v>45</v>
      </c>
      <c r="G20" s="6"/>
      <c r="H20" s="7"/>
    </row>
    <row r="21" spans="1:8" ht="19.5" customHeight="1" thickBot="1" x14ac:dyDescent="0.3">
      <c r="A21" s="66"/>
      <c r="B21" s="17" t="s">
        <v>57</v>
      </c>
      <c r="C21" s="4"/>
      <c r="D21" s="4"/>
      <c r="E21" s="54" t="s">
        <v>25</v>
      </c>
      <c r="F21" s="55"/>
      <c r="G21" s="7"/>
      <c r="H21" s="46">
        <f>SUM(H16:H18)</f>
        <v>287000</v>
      </c>
    </row>
    <row r="22" spans="1:8" ht="19.5" customHeight="1" thickBot="1" x14ac:dyDescent="0.3">
      <c r="A22" s="27" t="s">
        <v>26</v>
      </c>
      <c r="B22" s="13"/>
      <c r="C22" s="13"/>
      <c r="D22" s="14"/>
      <c r="E22" s="52" t="s">
        <v>31</v>
      </c>
      <c r="F22" s="37"/>
      <c r="G22" s="53">
        <v>0.19</v>
      </c>
      <c r="H22" s="42">
        <f>H21*G22</f>
        <v>54530</v>
      </c>
    </row>
    <row r="23" spans="1:8" ht="16.5" thickBot="1" x14ac:dyDescent="0.3">
      <c r="A23" s="15" t="s">
        <v>43</v>
      </c>
      <c r="D23" s="16"/>
      <c r="E23" s="49" t="s">
        <v>27</v>
      </c>
      <c r="G23" s="56">
        <v>2.5000000000000001E-2</v>
      </c>
      <c r="H23" s="48"/>
    </row>
    <row r="24" spans="1:8" ht="16.5" thickBot="1" x14ac:dyDescent="0.3">
      <c r="A24" s="15" t="s">
        <v>50</v>
      </c>
      <c r="D24" s="16"/>
      <c r="E24" s="50" t="s">
        <v>28</v>
      </c>
      <c r="F24" s="51"/>
      <c r="G24" s="18"/>
      <c r="H24" s="39"/>
    </row>
    <row r="25" spans="1:8" ht="19.5" thickBot="1" x14ac:dyDescent="0.35">
      <c r="A25" s="17" t="s">
        <v>33</v>
      </c>
      <c r="B25" s="4"/>
      <c r="C25" s="4"/>
      <c r="D25" s="18"/>
      <c r="G25" s="38" t="s">
        <v>29</v>
      </c>
      <c r="H25" s="43">
        <f>H21+H22-H23</f>
        <v>341530</v>
      </c>
    </row>
    <row r="26" spans="1:8" ht="16.5" customHeight="1" x14ac:dyDescent="0.25">
      <c r="F26" s="3"/>
    </row>
    <row r="28" spans="1:8" x14ac:dyDescent="0.25">
      <c r="A28" t="s">
        <v>1</v>
      </c>
      <c r="C28" t="s">
        <v>48</v>
      </c>
    </row>
    <row r="30" spans="1:8" ht="15.75" thickBot="1" x14ac:dyDescent="0.3"/>
    <row r="31" spans="1:8" ht="19.5" thickBot="1" x14ac:dyDescent="0.35">
      <c r="A31" s="28" t="s">
        <v>46</v>
      </c>
      <c r="B31" s="6"/>
      <c r="C31" s="6"/>
      <c r="D31" s="6"/>
      <c r="E31" s="6"/>
      <c r="F31" s="6"/>
      <c r="G31" s="6"/>
      <c r="H31" s="7"/>
    </row>
    <row r="40" spans="1:1" ht="18.75" x14ac:dyDescent="0.3">
      <c r="A40" s="5"/>
    </row>
  </sheetData>
  <mergeCells count="1">
    <mergeCell ref="A20:A21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2025-04-03T21:59:01Z</cp:lastPrinted>
  <dcterms:created xsi:type="dcterms:W3CDTF">2018-11-15T17:29:02Z</dcterms:created>
  <dcterms:modified xsi:type="dcterms:W3CDTF">2025-04-03T22:01:48Z</dcterms:modified>
</cp:coreProperties>
</file>