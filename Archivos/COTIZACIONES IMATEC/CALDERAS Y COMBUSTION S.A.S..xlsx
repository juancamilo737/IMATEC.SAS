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C23FE8F4-AEAC-45BF-B320-A3A379201F48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ALDERAS Y COMBUS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6" i="1"/>
  <c r="H25" i="1"/>
  <c r="H24" i="1"/>
  <c r="H23" i="1"/>
  <c r="H22" i="1"/>
  <c r="H21" i="1"/>
  <c r="H20" i="1"/>
  <c r="H19" i="1"/>
  <c r="H18" i="1"/>
  <c r="H17" i="1"/>
  <c r="H16" i="1"/>
  <c r="H30" i="1" l="1"/>
  <c r="H34" i="1" s="1"/>
</calcChain>
</file>

<file path=xl/sharedStrings.xml><?xml version="1.0" encoding="utf-8"?>
<sst xmlns="http://schemas.openxmlformats.org/spreadsheetml/2006/main" count="74" uniqueCount="67">
  <si>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</si>
  <si>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</si>
  <si>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</si>
  <si>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</si>
  <si>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</si>
  <si>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</si>
  <si>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</si>
  <si>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</si>
  <si>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</si>
  <si>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</si>
  <si>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</si>
  <si>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</si>
  <si>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</si>
  <si>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</si>
  <si>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</si>
  <si>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</si>
  <si>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</si>
  <si>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</si>
  <si>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</si>
  <si>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</si>
  <si>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</si>
  <si>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</si>
  <si>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</si>
  <si>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</si>
  <si>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</si>
  <si>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</si>
  <si>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</si>
  <si>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</si>
  <si>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</si>
  <si>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</si>
  <si>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</si>
  <si>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</si>
  <si>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</si>
  <si>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</si>
  <si>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</si>
  <si>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</si>
  <si>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</si>
  <si>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</si>
  <si>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</si>
  <si>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</si>
  <si>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</si>
  <si>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</si>
  <si>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No. 1</t>
  </si>
  <si>
    <t>CALDERAS Y COMBUSTION S.A.S.</t>
  </si>
  <si>
    <t>901 812569</t>
  </si>
  <si>
    <t>KM 2 VIA SAN RAFAEL  LC 16</t>
  </si>
  <si>
    <t>YUMBO</t>
  </si>
  <si>
    <t>calderascombustionsas@gmail.com</t>
  </si>
  <si>
    <t>320 6785122</t>
  </si>
  <si>
    <t>EDINSON CABEZAS</t>
  </si>
  <si>
    <t>CODO A / C  SCH 40  1 1/2 "  X  90º P/S</t>
  </si>
  <si>
    <t>TEE  A / C  SCH 40  1 1/2 "  P/S</t>
  </si>
  <si>
    <t>VALVULA P/D BRONCE 1 1/2 "  X  150 LBS  ROSCADA</t>
  </si>
  <si>
    <t>BRIDA  A / C SLIP ON  1 1/2 "  X  150 LBS</t>
  </si>
  <si>
    <t>TUBERIA  A / C  SCH 40  1  1/2 "</t>
  </si>
  <si>
    <t>TUBO X 6 MTS</t>
  </si>
  <si>
    <t xml:space="preserve">TUBERIA PVC PRESION 1/2 "  </t>
  </si>
  <si>
    <t>CODO PVC PRESION 1/2 "  X  90 º</t>
  </si>
  <si>
    <t xml:space="preserve">TEE PVC PRESION 1/2 " </t>
  </si>
  <si>
    <t>ADAPATDOR HEMBRA PVC PRESION 1/2 "</t>
  </si>
  <si>
    <t xml:space="preserve">SOLDADURA PVC </t>
  </si>
  <si>
    <t>1/8 GALON</t>
  </si>
  <si>
    <t>ANGUKO HR  1 1/2 "  X  1/8 "</t>
  </si>
  <si>
    <t>X 6 MTS</t>
  </si>
  <si>
    <t>UN MILLON TRESCIENTOS CINCUENTA Y CUATRO MIL</t>
  </si>
  <si>
    <t>CIENTO SESENTA Y NUEVE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</si>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</sst>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lderascombustion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abSelected="1" topLeftCell="A7" zoomScaleNormal="100" workbookViewId="0">
      <selection activeCell="J27" sqref="J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43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7" t="s">
        <v>44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45</v>
      </c>
      <c r="D9" s="23"/>
      <c r="E9" s="70" t="s">
        <v>46</v>
      </c>
      <c r="F9" s="30" t="s">
        <v>0</v>
      </c>
      <c r="H9" s="28">
        <v>45722</v>
      </c>
    </row>
    <row r="10" spans="1:8" ht="18.75" x14ac:dyDescent="0.3">
      <c r="A10" s="21" t="s">
        <v>13</v>
      </c>
      <c r="C10" s="71" t="s">
        <v>47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45731</v>
      </c>
    </row>
    <row r="12" spans="1:8" ht="18.75" x14ac:dyDescent="0.3">
      <c r="A12" s="21" t="s">
        <v>11</v>
      </c>
      <c r="C12" s="72" t="s">
        <v>48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49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39</v>
      </c>
      <c r="F16" s="79">
        <v>4750</v>
      </c>
      <c r="G16" s="75">
        <v>6</v>
      </c>
      <c r="H16" s="38">
        <f t="shared" ref="H16" si="0">G16*F16</f>
        <v>28500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39</v>
      </c>
      <c r="F17" s="79">
        <v>16650</v>
      </c>
      <c r="G17" s="75">
        <v>1</v>
      </c>
      <c r="H17" s="38">
        <f t="shared" ref="H17:H26" si="1">G17*F17</f>
        <v>16650</v>
      </c>
    </row>
    <row r="18" spans="1:8" ht="16.5" thickBot="1" x14ac:dyDescent="0.3">
      <c r="A18" s="75">
        <v>3</v>
      </c>
      <c r="B18" s="76" t="s">
        <v>52</v>
      </c>
      <c r="C18" s="77"/>
      <c r="D18" s="78"/>
      <c r="E18" s="75" t="s">
        <v>39</v>
      </c>
      <c r="F18" s="79">
        <v>184500</v>
      </c>
      <c r="G18" s="75">
        <v>3</v>
      </c>
      <c r="H18" s="38">
        <f t="shared" si="1"/>
        <v>553500</v>
      </c>
    </row>
    <row r="19" spans="1:8" ht="16.5" thickBot="1" x14ac:dyDescent="0.3">
      <c r="A19" s="75">
        <v>4</v>
      </c>
      <c r="B19" s="76" t="s">
        <v>53</v>
      </c>
      <c r="C19" s="77"/>
      <c r="D19" s="78"/>
      <c r="E19" s="75" t="s">
        <v>39</v>
      </c>
      <c r="F19" s="79">
        <v>17850</v>
      </c>
      <c r="G19" s="75">
        <v>4</v>
      </c>
      <c r="H19" s="38">
        <f t="shared" si="1"/>
        <v>71400</v>
      </c>
    </row>
    <row r="20" spans="1:8" ht="16.5" thickBot="1" x14ac:dyDescent="0.3">
      <c r="A20" s="75">
        <v>5</v>
      </c>
      <c r="B20" s="76" t="s">
        <v>54</v>
      </c>
      <c r="C20" s="77"/>
      <c r="D20" s="78"/>
      <c r="E20" s="75" t="s">
        <v>55</v>
      </c>
      <c r="F20" s="79">
        <v>168300</v>
      </c>
      <c r="G20" s="75">
        <v>2</v>
      </c>
      <c r="H20" s="38">
        <f t="shared" si="1"/>
        <v>336600</v>
      </c>
    </row>
    <row r="21" spans="1:8" ht="16.5" thickBot="1" x14ac:dyDescent="0.3">
      <c r="A21" s="75">
        <v>6</v>
      </c>
      <c r="B21" s="76" t="s">
        <v>56</v>
      </c>
      <c r="C21" s="77"/>
      <c r="D21" s="78"/>
      <c r="E21" s="75" t="s">
        <v>55</v>
      </c>
      <c r="F21" s="79">
        <v>13150</v>
      </c>
      <c r="G21" s="75">
        <v>2</v>
      </c>
      <c r="H21" s="38">
        <f t="shared" si="1"/>
        <v>26300</v>
      </c>
    </row>
    <row r="22" spans="1:8" ht="16.5" thickBot="1" x14ac:dyDescent="0.3">
      <c r="A22" s="75">
        <v>7</v>
      </c>
      <c r="B22" s="76" t="s">
        <v>57</v>
      </c>
      <c r="C22" s="77"/>
      <c r="D22" s="78"/>
      <c r="E22" s="75" t="s">
        <v>39</v>
      </c>
      <c r="F22" s="79">
        <v>509</v>
      </c>
      <c r="G22" s="75">
        <v>10</v>
      </c>
      <c r="H22" s="38">
        <f t="shared" si="1"/>
        <v>5090</v>
      </c>
    </row>
    <row r="23" spans="1:8" ht="16.5" thickBot="1" x14ac:dyDescent="0.3">
      <c r="A23" s="75">
        <v>8</v>
      </c>
      <c r="B23" s="76" t="s">
        <v>58</v>
      </c>
      <c r="C23" s="77"/>
      <c r="D23" s="78"/>
      <c r="E23" s="75" t="s">
        <v>39</v>
      </c>
      <c r="F23" s="79">
        <v>671</v>
      </c>
      <c r="G23" s="75">
        <v>1</v>
      </c>
      <c r="H23" s="38">
        <f t="shared" si="1"/>
        <v>671</v>
      </c>
    </row>
    <row r="24" spans="1:8" ht="16.5" thickBot="1" x14ac:dyDescent="0.3">
      <c r="A24" s="75">
        <v>9</v>
      </c>
      <c r="B24" s="76" t="s">
        <v>59</v>
      </c>
      <c r="C24" s="77"/>
      <c r="D24" s="78"/>
      <c r="E24" s="75" t="s">
        <v>39</v>
      </c>
      <c r="F24" s="79">
        <v>396</v>
      </c>
      <c r="G24" s="75">
        <v>1</v>
      </c>
      <c r="H24" s="38">
        <f t="shared" si="1"/>
        <v>396</v>
      </c>
    </row>
    <row r="25" spans="1:8" ht="16.5" thickBot="1" x14ac:dyDescent="0.3">
      <c r="A25" s="75">
        <v>10</v>
      </c>
      <c r="B25" s="76" t="s">
        <v>60</v>
      </c>
      <c r="C25" s="77"/>
      <c r="D25" s="78"/>
      <c r="E25" s="75" t="s">
        <v>61</v>
      </c>
      <c r="F25" s="79">
        <v>41700</v>
      </c>
      <c r="G25" s="75">
        <v>1</v>
      </c>
      <c r="H25" s="38">
        <f t="shared" si="1"/>
        <v>41700</v>
      </c>
    </row>
    <row r="26" spans="1:8" ht="16.5" thickBot="1" x14ac:dyDescent="0.3">
      <c r="A26" s="75">
        <v>11</v>
      </c>
      <c r="B26" s="76" t="s">
        <v>62</v>
      </c>
      <c r="C26" s="77"/>
      <c r="D26" s="78"/>
      <c r="E26" s="75" t="s">
        <v>63</v>
      </c>
      <c r="F26" s="79">
        <v>57150</v>
      </c>
      <c r="G26" s="75">
        <v>1</v>
      </c>
      <c r="H26" s="38">
        <f t="shared" si="1"/>
        <v>57150</v>
      </c>
    </row>
    <row r="27" spans="1:8" ht="19.5" customHeight="1" thickBot="1" x14ac:dyDescent="0.3">
      <c r="A27" s="51"/>
      <c r="B27" s="45"/>
      <c r="C27" s="42"/>
      <c r="D27" s="52"/>
      <c r="E27" s="53"/>
      <c r="F27" s="53"/>
      <c r="G27" s="53"/>
    </row>
    <row r="28" spans="1:8" ht="19.5" customHeight="1" thickBot="1" x14ac:dyDescent="0.35">
      <c r="A28" s="50" t="s">
        <v>23</v>
      </c>
      <c r="B28" s="14" t="s">
        <v>64</v>
      </c>
      <c r="D28" s="15"/>
      <c r="E28" s="54"/>
      <c r="F28" s="37" t="s">
        <v>40</v>
      </c>
      <c r="G28" s="6"/>
      <c r="H28" s="7"/>
    </row>
    <row r="29" spans="1:8" ht="19.5" customHeight="1" thickBot="1" x14ac:dyDescent="0.3">
      <c r="A29" s="39"/>
      <c r="B29" s="16" t="s">
        <v>65</v>
      </c>
      <c r="C29" s="4"/>
      <c r="D29" s="4"/>
      <c r="E29" s="57" t="s">
        <v>24</v>
      </c>
      <c r="F29" s="58"/>
      <c r="G29" s="46"/>
      <c r="H29" s="55">
        <f>SUM(H16:H26)</f>
        <v>1137957</v>
      </c>
    </row>
    <row r="30" spans="1:8" ht="19.5" customHeight="1" x14ac:dyDescent="0.25">
      <c r="A30" s="24" t="s">
        <v>25</v>
      </c>
      <c r="B30" s="12"/>
      <c r="C30" s="12"/>
      <c r="D30" s="12"/>
      <c r="E30" s="59" t="s">
        <v>29</v>
      </c>
      <c r="F30" s="23"/>
      <c r="G30" s="60">
        <v>0.19</v>
      </c>
      <c r="H30" s="40">
        <f>H29*G30</f>
        <v>216211.83000000002</v>
      </c>
    </row>
    <row r="31" spans="1:8" ht="19.5" customHeight="1" x14ac:dyDescent="0.25">
      <c r="A31" s="14" t="s">
        <v>30</v>
      </c>
      <c r="E31" s="61" t="s">
        <v>26</v>
      </c>
      <c r="G31" s="64">
        <v>2.5000000000000001E-2</v>
      </c>
      <c r="H31" s="56"/>
    </row>
    <row r="32" spans="1:8" ht="15.75" x14ac:dyDescent="0.25">
      <c r="A32" s="14" t="s">
        <v>66</v>
      </c>
      <c r="E32" s="14"/>
      <c r="F32" s="33"/>
      <c r="G32" s="47"/>
      <c r="H32" s="15"/>
    </row>
    <row r="33" spans="1:8" ht="16.5" thickBot="1" x14ac:dyDescent="0.3">
      <c r="A33" s="14" t="s">
        <v>33</v>
      </c>
      <c r="E33" s="62" t="s">
        <v>27</v>
      </c>
      <c r="F33" s="63"/>
      <c r="G33" s="48"/>
      <c r="H33" s="17"/>
    </row>
    <row r="34" spans="1:8" ht="19.5" thickBot="1" x14ac:dyDescent="0.35">
      <c r="A34" s="16"/>
      <c r="B34" s="4"/>
      <c r="C34" s="4"/>
      <c r="D34" s="17"/>
      <c r="F34" s="3"/>
      <c r="G34" s="34" t="s">
        <v>28</v>
      </c>
      <c r="H34" s="36">
        <f>H29+H30</f>
        <v>1354168.83</v>
      </c>
    </row>
    <row r="35" spans="1:8" ht="16.5" customHeight="1" x14ac:dyDescent="0.25"/>
    <row r="40" spans="1:8" ht="15.75" thickBot="1" x14ac:dyDescent="0.3"/>
    <row r="41" spans="1:8" ht="19.5" thickBot="1" x14ac:dyDescent="0.35">
      <c r="A41" s="25" t="s">
        <v>41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DC280D4B-2388-4F81-99C3-30E56CADD0F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CALDERAS Y COMBUSTION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2025-03-06T18:06:03Z</dcterms:modified>
</cp:coreProperties>
</file>