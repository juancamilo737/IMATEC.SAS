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DD9D316-18B0-4362-9F4A-E483D8DFCD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IS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1" l="1"/>
  <c r="H44" i="1"/>
  <c r="H43" i="1"/>
  <c r="H42" i="1"/>
  <c r="H41" i="1"/>
  <c r="H40" i="1"/>
  <c r="H39" i="1"/>
  <c r="H38" i="1"/>
  <c r="H37" i="1"/>
  <c r="H36" i="1"/>
  <c r="H35" i="1"/>
  <c r="H34" i="1"/>
  <c r="H33" i="1"/>
  <c r="H32" i="1" l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9" i="1" l="1"/>
  <c r="H48" i="1"/>
  <c r="H52" i="1" s="1"/>
</calcChain>
</file>

<file path=xl/sharedStrings.xml><?xml version="1.0" encoding="utf-8"?>
<sst xmlns="http://schemas.openxmlformats.org/spreadsheetml/2006/main" count="110" uniqueCount="83">
  <si>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</si>
  <si>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</si>
  <si>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</si>
  <si>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</si>
  <si>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</si>
  <si>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</si>
  <si>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</si>
  <si>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</si>
  <si>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</si>
  <si>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</si>
  <si>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</si>
  <si>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</si>
  <si>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</si>
  <si>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</si>
  <si>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</si>
  <si>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</si>
  <si>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</si>
  <si>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</si>
  <si>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</si>
  <si>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</si>
  <si>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</si>
  <si>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</si>
  <si>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</si>
  <si>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</si>
  <si>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</si>
  <si>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</si>
  <si>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</si>
  <si>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</si>
  <si>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</si>
  <si>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</si>
  <si>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</si>
  <si>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</si>
  <si>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</si>
  <si>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</si>
  <si>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</si>
  <si>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</si>
  <si>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</si>
  <si>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</si>
  <si>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</si>
  <si>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</si>
  <si>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</si>
  <si>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CISAM INGENIERIA S.A.S.</t>
  </si>
  <si>
    <t>900 636950</t>
  </si>
  <si>
    <t>CALLE 7 OESTE  No. 2 - 80 APTO 301</t>
  </si>
  <si>
    <t>CALI</t>
  </si>
  <si>
    <t>ing.arturogomez@gmail.com</t>
  </si>
  <si>
    <t>602 3465930</t>
  </si>
  <si>
    <t>EDINSON CABEZAS</t>
  </si>
  <si>
    <t>FORMA DE PAGO : 70 % ANTICIPO  SALDO CONTRA ENTREGA</t>
  </si>
  <si>
    <t>ENTREGA EN OCHO DIAS HABILES POSTERIOR A ORDEN DE COMPRA</t>
  </si>
  <si>
    <t>No. 2</t>
  </si>
  <si>
    <t>UNION MECANICA PVC  6 "</t>
  </si>
  <si>
    <t>TEE  HO  EXT. LISO  4 "  X  3 "</t>
  </si>
  <si>
    <t>UNION DE REPARACION PVC  3 "</t>
  </si>
  <si>
    <t>UNION DE REPARACION PVC  8 "</t>
  </si>
  <si>
    <t xml:space="preserve">CODOS  HD 4 "  X  90 " EXTREMO LISO </t>
  </si>
  <si>
    <t xml:space="preserve">RED COPA  HD  4 "  X  3 " EXTREMO LISO </t>
  </si>
  <si>
    <t>TEE HD  3 "  EXTREMO LISO</t>
  </si>
  <si>
    <t>UNION MECANICA PVC  3 "</t>
  </si>
  <si>
    <t>CODO  HD  3 "  X  90 º EXTREMO LISO</t>
  </si>
  <si>
    <t>TEE  HD  10 "  X  3 "  EXTREMO LISO</t>
  </si>
  <si>
    <t>UNION MECANICA PVC  10 "</t>
  </si>
  <si>
    <t>RED COPA  HD  10 "  X  3 " EXTREMO LISO</t>
  </si>
  <si>
    <t>CODO HD  8 "  X  90 º  EXTREMO LISO</t>
  </si>
  <si>
    <t>RED COPA  HD  8 "  X  4 "  EXTREMO LISO</t>
  </si>
  <si>
    <t>VALVULA P/D SELLO ELASTICO 8 " EXTREMO LISO</t>
  </si>
  <si>
    <t>TEE HD  8 "  X  6 "  EXTREMO LISO</t>
  </si>
  <si>
    <t>TEE HD  6 "  X  3 "  EXTREMO LISO</t>
  </si>
  <si>
    <t>CODO  HD  6 "  X  45 º EXTREMO LISO</t>
  </si>
  <si>
    <t>TEE HD  6 "  EXTREMO LISO</t>
  </si>
  <si>
    <t>RED COPA  HD  6 "  X  3 "  EXTREMO LISO</t>
  </si>
  <si>
    <t>CODO HD  3 "  X  45 º  EXTREMO LISO</t>
  </si>
  <si>
    <t>VALVULA P/D SELLO ELASTICO 4 " EXTREMO LISO</t>
  </si>
  <si>
    <t>CODO HD  3 "  X  11,25 "  EXTREMO LISO</t>
  </si>
  <si>
    <t>TUBO X 6 MTS</t>
  </si>
  <si>
    <t>TUBERIA PVC BIO ORIENTADA PR 160 PSI 6 "</t>
  </si>
  <si>
    <t>TUBERIA PVC BIO ORIENTADA PR 160 PSI 2 "</t>
  </si>
  <si>
    <t>TEE HD 6 " JUNTA HIDRAULICA 6 "</t>
  </si>
  <si>
    <t xml:space="preserve">VALVULA P/D HD  6 " JUNTA HIDRAULICA </t>
  </si>
  <si>
    <t>REDUCCION HD  6 "  X  2 " JUNTA HIDRAULICA</t>
  </si>
  <si>
    <t xml:space="preserve">ADAPATADOR BRIDA UNIVERSAL 2 " </t>
  </si>
  <si>
    <t>SESENTA Y SEIS MILLONES CUATROCIENTOS SESENTA Y</t>
  </si>
  <si>
    <t>DOS MIL CUATROCIENTOS TREINTA Y DOS PESOS MDCTE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</si>
</sst>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.arturogom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7"/>
  <sheetViews>
    <sheetView tabSelected="1" topLeftCell="A32" zoomScaleNormal="100" workbookViewId="0">
      <selection activeCell="J47" sqref="J4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51</v>
      </c>
      <c r="C16" s="67"/>
      <c r="D16" s="68"/>
      <c r="E16" s="65" t="s">
        <v>38</v>
      </c>
      <c r="F16" s="69">
        <v>175500</v>
      </c>
      <c r="G16" s="65">
        <v>9</v>
      </c>
      <c r="H16" s="38">
        <f t="shared" ref="H16" si="0">G16*F16</f>
        <v>1579500</v>
      </c>
    </row>
    <row r="17" spans="1:8" ht="16.5" thickBot="1" x14ac:dyDescent="0.3">
      <c r="A17" s="65">
        <v>2</v>
      </c>
      <c r="B17" s="66" t="s">
        <v>52</v>
      </c>
      <c r="C17" s="67"/>
      <c r="D17" s="68"/>
      <c r="E17" s="65" t="s">
        <v>38</v>
      </c>
      <c r="F17" s="69">
        <v>310635</v>
      </c>
      <c r="G17" s="65">
        <v>6</v>
      </c>
      <c r="H17" s="38">
        <f t="shared" ref="H17:H32" si="1">G17*F17</f>
        <v>1863810</v>
      </c>
    </row>
    <row r="18" spans="1:8" ht="16.5" thickBot="1" x14ac:dyDescent="0.3">
      <c r="A18" s="65">
        <v>3</v>
      </c>
      <c r="B18" s="66" t="s">
        <v>53</v>
      </c>
      <c r="C18" s="67"/>
      <c r="D18" s="68"/>
      <c r="E18" s="65" t="s">
        <v>38</v>
      </c>
      <c r="F18" s="69">
        <v>51975</v>
      </c>
      <c r="G18" s="65">
        <v>97</v>
      </c>
      <c r="H18" s="38">
        <f t="shared" si="1"/>
        <v>5041575</v>
      </c>
    </row>
    <row r="19" spans="1:8" ht="16.5" thickBot="1" x14ac:dyDescent="0.3">
      <c r="A19" s="65">
        <v>4</v>
      </c>
      <c r="B19" s="66" t="s">
        <v>55</v>
      </c>
      <c r="C19" s="67"/>
      <c r="D19" s="68"/>
      <c r="E19" s="65" t="s">
        <v>38</v>
      </c>
      <c r="F19" s="69">
        <v>225855</v>
      </c>
      <c r="G19" s="65">
        <v>3</v>
      </c>
      <c r="H19" s="38">
        <f t="shared" si="1"/>
        <v>677565</v>
      </c>
    </row>
    <row r="20" spans="1:8" ht="16.5" thickBot="1" x14ac:dyDescent="0.3">
      <c r="A20" s="65">
        <v>5</v>
      </c>
      <c r="B20" s="66" t="s">
        <v>56</v>
      </c>
      <c r="C20" s="67"/>
      <c r="D20" s="68"/>
      <c r="E20" s="65" t="s">
        <v>38</v>
      </c>
      <c r="F20" s="69">
        <v>159705</v>
      </c>
      <c r="G20" s="65">
        <v>6</v>
      </c>
      <c r="H20" s="38">
        <f t="shared" si="1"/>
        <v>958230</v>
      </c>
    </row>
    <row r="21" spans="1:8" ht="16.5" thickBot="1" x14ac:dyDescent="0.3">
      <c r="A21" s="65">
        <v>6</v>
      </c>
      <c r="B21" s="66" t="s">
        <v>57</v>
      </c>
      <c r="C21" s="67"/>
      <c r="D21" s="68"/>
      <c r="E21" s="65" t="s">
        <v>38</v>
      </c>
      <c r="F21" s="69">
        <v>219375</v>
      </c>
      <c r="G21" s="65">
        <v>25</v>
      </c>
      <c r="H21" s="38">
        <f t="shared" si="1"/>
        <v>5484375</v>
      </c>
    </row>
    <row r="22" spans="1:8" ht="16.5" thickBot="1" x14ac:dyDescent="0.3">
      <c r="A22" s="65">
        <v>7</v>
      </c>
      <c r="B22" s="66" t="s">
        <v>58</v>
      </c>
      <c r="C22" s="67"/>
      <c r="D22" s="68"/>
      <c r="E22" s="65" t="s">
        <v>38</v>
      </c>
      <c r="F22" s="69">
        <v>54259</v>
      </c>
      <c r="G22" s="65">
        <v>73</v>
      </c>
      <c r="H22" s="38">
        <f t="shared" si="1"/>
        <v>3960907</v>
      </c>
    </row>
    <row r="23" spans="1:8" ht="16.5" thickBot="1" x14ac:dyDescent="0.3">
      <c r="A23" s="65">
        <v>8</v>
      </c>
      <c r="B23" s="66" t="s">
        <v>59</v>
      </c>
      <c r="C23" s="67"/>
      <c r="D23" s="68"/>
      <c r="E23" s="65" t="s">
        <v>38</v>
      </c>
      <c r="F23" s="69">
        <v>145530</v>
      </c>
      <c r="G23" s="65">
        <v>10</v>
      </c>
      <c r="H23" s="38">
        <f t="shared" si="1"/>
        <v>1455300</v>
      </c>
    </row>
    <row r="24" spans="1:8" ht="16.5" thickBot="1" x14ac:dyDescent="0.3">
      <c r="A24" s="65">
        <v>9</v>
      </c>
      <c r="B24" s="66" t="s">
        <v>60</v>
      </c>
      <c r="C24" s="67"/>
      <c r="D24" s="68"/>
      <c r="E24" s="65" t="s">
        <v>38</v>
      </c>
      <c r="F24" s="69">
        <v>1453950</v>
      </c>
      <c r="G24" s="65">
        <v>1</v>
      </c>
      <c r="H24" s="38">
        <f t="shared" si="1"/>
        <v>1453950</v>
      </c>
    </row>
    <row r="25" spans="1:8" ht="16.5" thickBot="1" x14ac:dyDescent="0.3">
      <c r="A25" s="65">
        <v>10</v>
      </c>
      <c r="B25" s="66" t="s">
        <v>61</v>
      </c>
      <c r="C25" s="67"/>
      <c r="D25" s="68"/>
      <c r="E25" s="65" t="s">
        <v>38</v>
      </c>
      <c r="F25" s="69">
        <v>540785</v>
      </c>
      <c r="G25" s="65">
        <v>2</v>
      </c>
      <c r="H25" s="38">
        <f t="shared" si="1"/>
        <v>1081570</v>
      </c>
    </row>
    <row r="26" spans="1:8" ht="16.5" thickBot="1" x14ac:dyDescent="0.3">
      <c r="A26" s="65">
        <v>11</v>
      </c>
      <c r="B26" s="66" t="s">
        <v>62</v>
      </c>
      <c r="C26" s="67"/>
      <c r="D26" s="68"/>
      <c r="E26" s="65" t="s">
        <v>38</v>
      </c>
      <c r="F26" s="69">
        <v>902475</v>
      </c>
      <c r="G26" s="65">
        <v>1</v>
      </c>
      <c r="H26" s="38">
        <f t="shared" si="1"/>
        <v>902475</v>
      </c>
    </row>
    <row r="27" spans="1:8" ht="16.5" thickBot="1" x14ac:dyDescent="0.3">
      <c r="A27" s="65">
        <v>12</v>
      </c>
      <c r="B27" s="66" t="s">
        <v>54</v>
      </c>
      <c r="C27" s="67"/>
      <c r="D27" s="68"/>
      <c r="E27" s="65" t="s">
        <v>38</v>
      </c>
      <c r="F27" s="69">
        <v>303750</v>
      </c>
      <c r="G27" s="65">
        <v>7</v>
      </c>
      <c r="H27" s="38">
        <f t="shared" si="1"/>
        <v>2126250</v>
      </c>
    </row>
    <row r="28" spans="1:8" ht="16.5" thickBot="1" x14ac:dyDescent="0.3">
      <c r="A28" s="65">
        <v>13</v>
      </c>
      <c r="B28" s="66" t="s">
        <v>63</v>
      </c>
      <c r="C28" s="67"/>
      <c r="D28" s="68"/>
      <c r="E28" s="65" t="s">
        <v>38</v>
      </c>
      <c r="F28" s="69">
        <v>837000</v>
      </c>
      <c r="G28" s="65">
        <v>2</v>
      </c>
      <c r="H28" s="38">
        <f t="shared" si="1"/>
        <v>1674000</v>
      </c>
    </row>
    <row r="29" spans="1:8" ht="16.5" thickBot="1" x14ac:dyDescent="0.3">
      <c r="A29" s="65">
        <v>14</v>
      </c>
      <c r="B29" s="66" t="s">
        <v>64</v>
      </c>
      <c r="C29" s="67"/>
      <c r="D29" s="68"/>
      <c r="E29" s="65" t="s">
        <v>38</v>
      </c>
      <c r="F29" s="69">
        <v>452250</v>
      </c>
      <c r="G29" s="65">
        <v>2</v>
      </c>
      <c r="H29" s="38">
        <f t="shared" si="1"/>
        <v>904500</v>
      </c>
    </row>
    <row r="30" spans="1:8" ht="16.5" thickBot="1" x14ac:dyDescent="0.3">
      <c r="A30" s="65">
        <v>15</v>
      </c>
      <c r="B30" s="66" t="s">
        <v>65</v>
      </c>
      <c r="C30" s="67"/>
      <c r="D30" s="68"/>
      <c r="E30" s="65" t="s">
        <v>38</v>
      </c>
      <c r="F30" s="69">
        <v>2111400</v>
      </c>
      <c r="G30" s="65">
        <v>1</v>
      </c>
      <c r="H30" s="38">
        <f t="shared" si="1"/>
        <v>2111400</v>
      </c>
    </row>
    <row r="31" spans="1:8" ht="16.5" thickBot="1" x14ac:dyDescent="0.3">
      <c r="A31" s="65">
        <v>16</v>
      </c>
      <c r="B31" s="66" t="s">
        <v>66</v>
      </c>
      <c r="C31" s="67"/>
      <c r="D31" s="68"/>
      <c r="E31" s="65" t="s">
        <v>38</v>
      </c>
      <c r="F31" s="69">
        <v>1039500</v>
      </c>
      <c r="G31" s="65">
        <v>1</v>
      </c>
      <c r="H31" s="38">
        <f t="shared" si="1"/>
        <v>1039500</v>
      </c>
    </row>
    <row r="32" spans="1:8" ht="16.5" thickBot="1" x14ac:dyDescent="0.3">
      <c r="A32" s="65">
        <v>17</v>
      </c>
      <c r="B32" s="66" t="s">
        <v>67</v>
      </c>
      <c r="C32" s="67"/>
      <c r="D32" s="68"/>
      <c r="E32" s="65" t="s">
        <v>38</v>
      </c>
      <c r="F32" s="69">
        <v>310500</v>
      </c>
      <c r="G32" s="65">
        <v>3</v>
      </c>
      <c r="H32" s="38">
        <f t="shared" si="1"/>
        <v>931500</v>
      </c>
    </row>
    <row r="33" spans="1:8" ht="16.5" thickBot="1" x14ac:dyDescent="0.3">
      <c r="A33" s="65">
        <v>18</v>
      </c>
      <c r="B33" s="66" t="s">
        <v>68</v>
      </c>
      <c r="C33" s="67"/>
      <c r="D33" s="68"/>
      <c r="E33" s="65" t="s">
        <v>38</v>
      </c>
      <c r="F33" s="69">
        <v>379957</v>
      </c>
      <c r="G33" s="65">
        <v>2</v>
      </c>
      <c r="H33" s="38">
        <f t="shared" ref="H33:H44" si="2">G33*F33</f>
        <v>759914</v>
      </c>
    </row>
    <row r="34" spans="1:8" ht="16.5" thickBot="1" x14ac:dyDescent="0.3">
      <c r="A34" s="65">
        <v>19</v>
      </c>
      <c r="B34" s="66" t="s">
        <v>69</v>
      </c>
      <c r="C34" s="67"/>
      <c r="D34" s="68"/>
      <c r="E34" s="65" t="s">
        <v>38</v>
      </c>
      <c r="F34" s="69">
        <v>620392</v>
      </c>
      <c r="G34" s="65">
        <v>1</v>
      </c>
      <c r="H34" s="38">
        <f t="shared" si="2"/>
        <v>620392</v>
      </c>
    </row>
    <row r="35" spans="1:8" ht="16.5" thickBot="1" x14ac:dyDescent="0.3">
      <c r="A35" s="65">
        <v>20</v>
      </c>
      <c r="B35" s="66" t="s">
        <v>70</v>
      </c>
      <c r="C35" s="67"/>
      <c r="D35" s="68"/>
      <c r="E35" s="65" t="s">
        <v>38</v>
      </c>
      <c r="F35" s="69">
        <v>310500</v>
      </c>
      <c r="G35" s="65">
        <v>1</v>
      </c>
      <c r="H35" s="38">
        <f t="shared" si="2"/>
        <v>310500</v>
      </c>
    </row>
    <row r="36" spans="1:8" ht="16.5" thickBot="1" x14ac:dyDescent="0.3">
      <c r="A36" s="65">
        <v>21</v>
      </c>
      <c r="B36" s="66" t="s">
        <v>71</v>
      </c>
      <c r="C36" s="67"/>
      <c r="D36" s="68"/>
      <c r="E36" s="65" t="s">
        <v>38</v>
      </c>
      <c r="F36" s="69">
        <v>133650</v>
      </c>
      <c r="G36" s="65">
        <v>28</v>
      </c>
      <c r="H36" s="38">
        <f t="shared" si="2"/>
        <v>3742200</v>
      </c>
    </row>
    <row r="37" spans="1:8" ht="16.5" thickBot="1" x14ac:dyDescent="0.3">
      <c r="A37" s="65">
        <v>22</v>
      </c>
      <c r="B37" s="66" t="s">
        <v>72</v>
      </c>
      <c r="C37" s="67"/>
      <c r="D37" s="68"/>
      <c r="E37" s="65" t="s">
        <v>38</v>
      </c>
      <c r="F37" s="69">
        <v>747900</v>
      </c>
      <c r="G37" s="65">
        <v>1</v>
      </c>
      <c r="H37" s="38">
        <f t="shared" si="2"/>
        <v>747900</v>
      </c>
    </row>
    <row r="38" spans="1:8" ht="16.5" thickBot="1" x14ac:dyDescent="0.3">
      <c r="A38" s="65">
        <v>23</v>
      </c>
      <c r="B38" s="66" t="s">
        <v>73</v>
      </c>
      <c r="C38" s="67"/>
      <c r="D38" s="68"/>
      <c r="E38" s="65" t="s">
        <v>38</v>
      </c>
      <c r="F38" s="69">
        <v>125550</v>
      </c>
      <c r="G38" s="65">
        <v>2</v>
      </c>
      <c r="H38" s="38">
        <f t="shared" si="2"/>
        <v>251100</v>
      </c>
    </row>
    <row r="39" spans="1:8" ht="16.5" thickBot="1" x14ac:dyDescent="0.3">
      <c r="A39" s="65">
        <v>24</v>
      </c>
      <c r="B39" s="66" t="s">
        <v>75</v>
      </c>
      <c r="C39" s="67"/>
      <c r="D39" s="68"/>
      <c r="E39" s="65" t="s">
        <v>74</v>
      </c>
      <c r="F39" s="69">
        <v>472500</v>
      </c>
      <c r="G39" s="65">
        <v>16</v>
      </c>
      <c r="H39" s="38">
        <f t="shared" si="2"/>
        <v>7560000</v>
      </c>
    </row>
    <row r="40" spans="1:8" ht="16.5" thickBot="1" x14ac:dyDescent="0.3">
      <c r="A40" s="65">
        <v>25</v>
      </c>
      <c r="B40" s="66" t="s">
        <v>76</v>
      </c>
      <c r="C40" s="67"/>
      <c r="D40" s="68"/>
      <c r="E40" s="65" t="s">
        <v>74</v>
      </c>
      <c r="F40" s="69">
        <v>63045</v>
      </c>
      <c r="G40" s="65">
        <v>3</v>
      </c>
      <c r="H40" s="38">
        <f t="shared" si="2"/>
        <v>189135</v>
      </c>
    </row>
    <row r="41" spans="1:8" ht="16.5" thickBot="1" x14ac:dyDescent="0.3">
      <c r="A41" s="65">
        <v>26</v>
      </c>
      <c r="B41" s="66" t="s">
        <v>77</v>
      </c>
      <c r="C41" s="67"/>
      <c r="D41" s="68"/>
      <c r="E41" s="65" t="s">
        <v>38</v>
      </c>
      <c r="F41" s="69">
        <v>668250</v>
      </c>
      <c r="G41" s="65">
        <v>3</v>
      </c>
      <c r="H41" s="38">
        <f t="shared" si="2"/>
        <v>2004750</v>
      </c>
    </row>
    <row r="42" spans="1:8" ht="16.5" thickBot="1" x14ac:dyDescent="0.3">
      <c r="A42" s="65">
        <v>27</v>
      </c>
      <c r="B42" s="66" t="s">
        <v>78</v>
      </c>
      <c r="C42" s="67"/>
      <c r="D42" s="68"/>
      <c r="E42" s="65" t="s">
        <v>38</v>
      </c>
      <c r="F42" s="69">
        <v>1601775</v>
      </c>
      <c r="G42" s="65">
        <v>4</v>
      </c>
      <c r="H42" s="38">
        <f t="shared" si="2"/>
        <v>6407100</v>
      </c>
    </row>
    <row r="43" spans="1:8" ht="16.5" thickBot="1" x14ac:dyDescent="0.3">
      <c r="A43" s="65">
        <v>28</v>
      </c>
      <c r="B43" s="66" t="s">
        <v>79</v>
      </c>
      <c r="C43" s="67"/>
      <c r="D43" s="68"/>
      <c r="E43" s="65" t="s">
        <v>38</v>
      </c>
      <c r="F43" s="69">
        <v>268650</v>
      </c>
      <c r="G43" s="65">
        <v>2</v>
      </c>
      <c r="H43" s="38">
        <f t="shared" si="2"/>
        <v>537300</v>
      </c>
    </row>
    <row r="44" spans="1:8" ht="16.5" thickBot="1" x14ac:dyDescent="0.3">
      <c r="A44" s="65">
        <v>29</v>
      </c>
      <c r="B44" s="66" t="s">
        <v>80</v>
      </c>
      <c r="C44" s="67"/>
      <c r="D44" s="68"/>
      <c r="E44" s="65" t="s">
        <v>38</v>
      </c>
      <c r="F44" s="69">
        <v>112100</v>
      </c>
      <c r="G44" s="65">
        <v>6</v>
      </c>
      <c r="H44" s="38">
        <f t="shared" si="2"/>
        <v>672600</v>
      </c>
    </row>
    <row r="45" spans="1:8" ht="19.5" customHeight="1" thickBot="1" x14ac:dyDescent="0.3">
      <c r="A45" s="47"/>
      <c r="B45" s="61"/>
      <c r="D45" s="62"/>
      <c r="E45" s="47"/>
      <c r="F45" s="47"/>
      <c r="G45" s="47"/>
    </row>
    <row r="46" spans="1:8" ht="19.5" customHeight="1" thickBot="1" x14ac:dyDescent="0.35">
      <c r="A46" s="60" t="s">
        <v>23</v>
      </c>
      <c r="B46" s="63" t="s">
        <v>81</v>
      </c>
      <c r="C46" s="12"/>
      <c r="D46" s="13"/>
      <c r="E46" s="48"/>
      <c r="F46" s="37" t="s">
        <v>39</v>
      </c>
      <c r="G46" s="6"/>
      <c r="H46" s="7"/>
    </row>
    <row r="47" spans="1:8" ht="19.5" customHeight="1" thickBot="1" x14ac:dyDescent="0.3">
      <c r="A47" s="39"/>
      <c r="B47" s="16" t="s">
        <v>82</v>
      </c>
      <c r="C47" s="4"/>
      <c r="D47" s="17"/>
      <c r="E47" s="51" t="s">
        <v>24</v>
      </c>
      <c r="F47" s="52"/>
      <c r="G47" s="44"/>
      <c r="H47" s="49">
        <f>SUM(H16:H44)</f>
        <v>57049298</v>
      </c>
    </row>
    <row r="48" spans="1:8" ht="19.5" customHeight="1" x14ac:dyDescent="0.25">
      <c r="A48" s="24" t="s">
        <v>25</v>
      </c>
      <c r="B48" s="12"/>
      <c r="C48" s="12"/>
      <c r="D48" s="12"/>
      <c r="E48" s="53" t="s">
        <v>29</v>
      </c>
      <c r="F48" s="23"/>
      <c r="G48" s="54">
        <v>0.19</v>
      </c>
      <c r="H48" s="40">
        <f>H47*G48</f>
        <v>10839366.620000001</v>
      </c>
    </row>
    <row r="49" spans="1:8" ht="19.5" customHeight="1" x14ac:dyDescent="0.25">
      <c r="A49" s="14" t="s">
        <v>48</v>
      </c>
      <c r="E49" s="55" t="s">
        <v>26</v>
      </c>
      <c r="G49" s="58">
        <v>2.5000000000000001E-2</v>
      </c>
      <c r="H49" s="50">
        <f>H47*G49</f>
        <v>1426232.4500000002</v>
      </c>
    </row>
    <row r="50" spans="1:8" ht="15.75" x14ac:dyDescent="0.25">
      <c r="A50" s="14" t="s">
        <v>49</v>
      </c>
      <c r="E50" s="14"/>
      <c r="F50" s="33"/>
      <c r="G50" s="45"/>
      <c r="H50" s="15"/>
    </row>
    <row r="51" spans="1:8" ht="16.5" thickBot="1" x14ac:dyDescent="0.3">
      <c r="A51" s="14" t="s">
        <v>32</v>
      </c>
      <c r="E51" s="56" t="s">
        <v>27</v>
      </c>
      <c r="F51" s="57"/>
      <c r="G51" s="46"/>
      <c r="H51" s="17"/>
    </row>
    <row r="52" spans="1:8" ht="19.5" thickBot="1" x14ac:dyDescent="0.35">
      <c r="A52" s="16"/>
      <c r="B52" s="4"/>
      <c r="C52" s="4"/>
      <c r="D52" s="17"/>
      <c r="F52" s="3"/>
      <c r="G52" s="34" t="s">
        <v>28</v>
      </c>
      <c r="H52" s="36">
        <f>H47+H48-H49</f>
        <v>66462432.170000002</v>
      </c>
    </row>
    <row r="53" spans="1:8" ht="16.5" customHeight="1" x14ac:dyDescent="0.25"/>
    <row r="58" spans="1:8" ht="15.75" thickBot="1" x14ac:dyDescent="0.3"/>
    <row r="59" spans="1:8" ht="19.5" thickBot="1" x14ac:dyDescent="0.35">
      <c r="A59" s="25" t="s">
        <v>40</v>
      </c>
      <c r="B59" s="6"/>
      <c r="C59" s="6"/>
      <c r="D59" s="6"/>
      <c r="E59" s="6"/>
      <c r="F59" s="6"/>
      <c r="G59" s="6"/>
      <c r="H59" s="7"/>
    </row>
    <row r="67" spans="1:1" ht="18.75" x14ac:dyDescent="0.3">
      <c r="A67" s="5"/>
    </row>
  </sheetData>
  <hyperlinks>
    <hyperlink ref="C10" r:id="rId1" xr:uid="{634E7AAD-1F14-42D6-BDBB-EC1D815552F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2025-06-25T20:42:13Z</dcterms:modified>
</cp:coreProperties>
</file>