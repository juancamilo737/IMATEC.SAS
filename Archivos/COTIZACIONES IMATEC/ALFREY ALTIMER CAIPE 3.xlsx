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AA8B99D-58F9-42C4-8647-BC0E7B16B4D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LFREY CAIP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<sst xmlns="http://schemas.openxmlformats.org/spreadsheetml/2006/main" count="55" uniqueCount="54">
  <si>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</si>
  <si>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</si>
  <si>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</si>
  <si>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</si>
  <si>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</si>
  <si>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</si>
  <si>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</si>
  <si>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</si>
  <si>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</si>
  <si>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</si>
  <si>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</si>
  <si>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</si>
  <si>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</si>
  <si>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</si>
  <si>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</si>
  <si>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</si>
  <si>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</si>
  <si>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</si>
  <si>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</si>
  <si>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</si>
  <si>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</si>
  <si>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</si>
  <si>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</si>
  <si>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</si>
  <si>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</si>
  <si>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</si>
  <si>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</si>
  <si>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</si>
  <si>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</si>
  <si>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</si>
  <si>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</si>
  <si>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</si>
  <si>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</si>
  <si>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</si>
  <si>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</si>
  <si>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</si>
  <si>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</si>
  <si>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</si>
  <si>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</si>
  <si>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</si>
  <si>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</si>
  <si>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ALFREY ALTIMER CAIPE QUIROZ</t>
  </si>
  <si>
    <t>VEREDA GUAN SECTOR CANTERIA</t>
  </si>
  <si>
    <t>CUMBAL</t>
  </si>
  <si>
    <t>alfrey05@gmail.com</t>
  </si>
  <si>
    <t>320 7639891</t>
  </si>
  <si>
    <t>LUIS ANTONIO BENAVIDEZ</t>
  </si>
  <si>
    <t>No. 3</t>
  </si>
  <si>
    <t>VALVULA GLOBO BRONCE  1 "  X  150 LBS</t>
  </si>
  <si>
    <t>VALVULA GLOBO BRONCE  2 "  X  200 LBS</t>
  </si>
  <si>
    <t>OCHOCIENTOS QUINCE MIL CIENTO CINCUENTA PESOS</t>
  </si>
  <si>
    <t>MDA / CTE</t>
  </si>
  <si>
    <t>ENTREGA INMEDIATA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</si>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</sst>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0" fillId="0" borderId="33" xfId="0" applyBorder="1"/>
    <xf numFmtId="0" fontId="13" fillId="0" borderId="33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frey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72">
        <v>98388908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42</v>
      </c>
      <c r="D9" s="23"/>
      <c r="E9" s="72" t="s">
        <v>43</v>
      </c>
      <c r="F9" s="30" t="s">
        <v>0</v>
      </c>
      <c r="H9" s="28">
        <v>45671</v>
      </c>
    </row>
    <row r="10" spans="1:8" ht="18.75" x14ac:dyDescent="0.3">
      <c r="A10" s="21" t="s">
        <v>13</v>
      </c>
      <c r="C10" s="73" t="s">
        <v>44</v>
      </c>
      <c r="D10" s="66"/>
      <c r="E10" s="66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66"/>
      <c r="F11" s="30" t="s">
        <v>16</v>
      </c>
      <c r="G11" s="30"/>
      <c r="H11" s="28">
        <v>45680</v>
      </c>
    </row>
    <row r="12" spans="1:8" ht="18.75" x14ac:dyDescent="0.3">
      <c r="A12" s="21" t="s">
        <v>11</v>
      </c>
      <c r="C12" s="72" t="s">
        <v>45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7">
        <v>1</v>
      </c>
      <c r="B16" s="68" t="s">
        <v>48</v>
      </c>
      <c r="C16" s="69"/>
      <c r="D16" s="70"/>
      <c r="E16" s="67" t="s">
        <v>40</v>
      </c>
      <c r="F16" s="71">
        <v>205000</v>
      </c>
      <c r="G16" s="67">
        <v>1</v>
      </c>
      <c r="H16" s="38">
        <f t="shared" ref="H16" si="0">G16*F16</f>
        <v>205000</v>
      </c>
    </row>
    <row r="17" spans="1:8" ht="16.5" thickBot="1" x14ac:dyDescent="0.3">
      <c r="A17" s="67">
        <v>2</v>
      </c>
      <c r="B17" s="68" t="s">
        <v>49</v>
      </c>
      <c r="C17" s="69"/>
      <c r="D17" s="70"/>
      <c r="E17" s="67" t="s">
        <v>40</v>
      </c>
      <c r="F17" s="71">
        <v>480000</v>
      </c>
      <c r="G17" s="67">
        <v>1</v>
      </c>
      <c r="H17" s="38">
        <f t="shared" ref="H17" si="1">G17*F17</f>
        <v>480000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50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4"/>
      <c r="E20" s="57" t="s">
        <v>24</v>
      </c>
      <c r="F20" s="58"/>
      <c r="G20" s="46"/>
      <c r="H20" s="55">
        <f>SUM(H16:H19)</f>
        <v>685000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130150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52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815150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117BFBC-9A58-471C-BD6A-EE3FC522ABF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ALFREY CAIPE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2025-01-14T16:54:54Z</cp:lastPrinted>
  <dcterms:created xsi:type="dcterms:W3CDTF">2018-11-15T17:29:02Z</dcterms:created>
  <dcterms:modified xsi:type="dcterms:W3CDTF">2025-01-14T17:08:51Z</dcterms:modified>
</cp:coreProperties>
</file>