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6E66727-E365-4550-BE87-7417BC13E28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5" i="1"/>
  <c r="H19" i="1" l="1"/>
  <c r="H23" i="1" l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<sst xmlns="http://schemas.openxmlformats.org/spreadsheetml/2006/main" count="56" uniqueCount="56">
  <si>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</si>
  <si>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</si>
  <si>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</si>
  <si>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</si>
  <si>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</si>
  <si>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</si>
  <si>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</si>
  <si>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</si>
  <si>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</si>
  <si>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</si>
  <si>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</si>
  <si>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</si>
  <si>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</si>
  <si>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</si>
  <si>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</si>
  <si>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</si>
  <si>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</si>
  <si>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</si>
  <si>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</si>
  <si>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</si>
  <si>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</si>
  <si>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</si>
  <si>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</si>
  <si>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</si>
  <si>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</si>
  <si>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</si>
  <si>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</si>
  <si>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</si>
  <si>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</si>
  <si>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</si>
  <si>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</si>
  <si>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</si>
  <si>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</si>
  <si>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</si>
  <si>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</si>
  <si>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</si>
  <si>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</si>
  <si>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</si>
  <si>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</si>
  <si>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</si>
  <si>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</si>
  <si>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</si>
  <si>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</si>
  <si>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</si>
  <si>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</si>
  <si>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</si>
  <si>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</si>
  <si>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 xml:space="preserve">           C O T I Z A C I O N</t>
  </si>
  <si>
    <t>10 DIAS</t>
  </si>
  <si>
    <t>FORMA DE PAGO :  CREDITO A 30 DIAS</t>
  </si>
  <si>
    <t xml:space="preserve">TUBERIA A / C SCH 40   4 "  </t>
  </si>
  <si>
    <t>TUBO X 6 MTS</t>
  </si>
  <si>
    <t>VEINTISEIS MILLONES QUINIENTOS SETENTA Y UN MIL</t>
  </si>
  <si>
    <t>SEISCIENTOS OCHO PESOS MDA / CTE</t>
  </si>
  <si>
    <t>ENTREGA EN TRES   DIAS A PARTIR DE ORDEN DE COMPRA</t>
  </si>
  <si>
    <t>No.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</si>
</sst>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7"/>
  <sheetViews>
    <sheetView tabSelected="1" zoomScaleNormal="100" workbookViewId="0">
      <selection activeCell="H7" sqref="H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47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55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45748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 t="s">
        <v>48</v>
      </c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>
        <v>45756</v>
      </c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50</v>
      </c>
      <c r="C15" s="53"/>
      <c r="D15" s="54"/>
      <c r="E15" s="55" t="s">
        <v>51</v>
      </c>
      <c r="F15" s="76">
        <v>560000</v>
      </c>
      <c r="G15" s="77">
        <v>41</v>
      </c>
      <c r="H15" s="56">
        <f t="shared" ref="H15" si="0">F15*G15</f>
        <v>22960000</v>
      </c>
      <c r="I15" s="37"/>
      <c r="J15" s="37"/>
    </row>
    <row r="16" spans="1:10" ht="15.75" thickBot="1" x14ac:dyDescent="0.3">
      <c r="A16" s="51"/>
      <c r="D16" s="38"/>
      <c r="H16" s="38"/>
    </row>
    <row r="17" spans="1:8" ht="19.5" customHeight="1" thickBot="1" x14ac:dyDescent="0.35">
      <c r="A17" s="78" t="s">
        <v>25</v>
      </c>
      <c r="B17" s="12" t="s">
        <v>52</v>
      </c>
      <c r="C17" s="13"/>
      <c r="D17" s="14"/>
      <c r="E17" s="48"/>
      <c r="F17" s="57" t="s">
        <v>44</v>
      </c>
      <c r="G17" s="6"/>
      <c r="H17" s="7"/>
    </row>
    <row r="18" spans="1:8" ht="19.5" customHeight="1" thickBot="1" x14ac:dyDescent="0.3">
      <c r="A18" s="79"/>
      <c r="B18" s="17" t="s">
        <v>53</v>
      </c>
      <c r="C18" s="4"/>
      <c r="D18" s="18"/>
      <c r="E18" s="58" t="s">
        <v>26</v>
      </c>
      <c r="F18" s="59"/>
      <c r="G18" s="60"/>
      <c r="H18" s="43">
        <f>SUM(H15:H15)</f>
        <v>22960000</v>
      </c>
    </row>
    <row r="19" spans="1:8" ht="19.5" customHeight="1" x14ac:dyDescent="0.25">
      <c r="A19" s="26" t="s">
        <v>27</v>
      </c>
      <c r="B19" s="13"/>
      <c r="C19" s="13"/>
      <c r="D19" s="14"/>
      <c r="E19" s="61" t="s">
        <v>41</v>
      </c>
      <c r="F19" s="41"/>
      <c r="G19" s="62">
        <v>0.19</v>
      </c>
      <c r="H19" s="43">
        <f>H18*0.19</f>
        <v>4362400</v>
      </c>
    </row>
    <row r="20" spans="1:8" ht="15.75" x14ac:dyDescent="0.25">
      <c r="A20" s="46" t="s">
        <v>49</v>
      </c>
      <c r="D20" s="16"/>
      <c r="E20" s="63" t="s">
        <v>28</v>
      </c>
      <c r="F20" s="40"/>
      <c r="G20" s="64">
        <v>2.5000000000000001E-2</v>
      </c>
      <c r="H20" s="43">
        <f>H18*G20</f>
        <v>574000</v>
      </c>
    </row>
    <row r="21" spans="1:8" ht="15.75" x14ac:dyDescent="0.25">
      <c r="A21" s="46" t="s">
        <v>54</v>
      </c>
      <c r="D21" s="16"/>
      <c r="E21" s="61" t="s">
        <v>45</v>
      </c>
      <c r="G21" s="75">
        <v>7.7000000000000002E-3</v>
      </c>
      <c r="H21" s="43">
        <f>H18*G21</f>
        <v>176792</v>
      </c>
    </row>
    <row r="22" spans="1:8" ht="16.5" thickBot="1" x14ac:dyDescent="0.3">
      <c r="A22" s="15" t="s">
        <v>31</v>
      </c>
      <c r="D22" s="16"/>
      <c r="E22" s="66"/>
      <c r="F22" s="67"/>
      <c r="G22" s="68"/>
      <c r="H22" s="44"/>
    </row>
    <row r="23" spans="1:8" ht="16.5" customHeight="1" thickBot="1" x14ac:dyDescent="0.35">
      <c r="A23" s="17"/>
      <c r="B23" s="4"/>
      <c r="C23" s="4"/>
      <c r="D23" s="18"/>
      <c r="F23" s="3"/>
      <c r="G23" s="42" t="s">
        <v>29</v>
      </c>
      <c r="H23" s="39">
        <f>H18+H19-H20-H21</f>
        <v>26571608</v>
      </c>
    </row>
    <row r="25" spans="1:8" x14ac:dyDescent="0.25">
      <c r="A25" t="s">
        <v>1</v>
      </c>
    </row>
    <row r="27" spans="1:8" ht="15.75" thickBot="1" x14ac:dyDescent="0.3"/>
    <row r="28" spans="1:8" ht="19.5" thickBot="1" x14ac:dyDescent="0.35">
      <c r="A28" s="27" t="s">
        <v>46</v>
      </c>
      <c r="B28" s="6"/>
      <c r="C28" s="6"/>
      <c r="D28" s="6"/>
      <c r="E28" s="6"/>
      <c r="F28" s="6"/>
      <c r="G28" s="6"/>
      <c r="H28" s="7"/>
    </row>
    <row r="37" spans="1:1" ht="18.75" x14ac:dyDescent="0.3">
      <c r="A37" s="5"/>
    </row>
  </sheetData>
  <mergeCells count="1">
    <mergeCell ref="A17:A18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2025-04-05T16:29:33Z</dcterms:modified>
</cp:coreProperties>
</file>