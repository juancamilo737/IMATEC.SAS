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1BF02C-5213-4D67-977D-815AB1BC778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2" l="1"/>
  <c r="H46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 l="1"/>
  <c r="H18" i="2"/>
  <c r="H17" i="2"/>
  <c r="H16" i="2"/>
  <c r="H47" i="2" l="1"/>
  <c r="H51" i="2" s="1"/>
</calcChain>
</file>

<file path=xl/sharedStrings.xml><?xml version="1.0" encoding="utf-8"?>
<sst xmlns="http://schemas.openxmlformats.org/spreadsheetml/2006/main" count="109" uniqueCount="85">
  <si>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</si>
  <si>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</si>
  <si>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</si>
  <si>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</si>
  <si>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</si>
  <si>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</si>
  <si>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</si>
  <si>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</si>
  <si>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</si>
  <si>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</si>
  <si>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</si>
  <si>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</si>
  <si>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</si>
  <si>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</si>
  <si>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</si>
  <si>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</si>
  <si>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</si>
  <si>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</si>
  <si>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</si>
  <si>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</si>
  <si>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</si>
  <si>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</si>
  <si>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</si>
  <si>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</si>
  <si>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</si>
  <si>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</si>
  <si>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</si>
  <si>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</si>
  <si>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</si>
  <si>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</si>
  <si>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</si>
  <si>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</si>
  <si>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</si>
  <si>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</si>
  <si>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</si>
  <si>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</si>
  <si>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</si>
  <si>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</si>
  <si>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</si>
  <si>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</si>
  <si>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</si>
  <si>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</si>
  <si>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</si>
  <si>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</si>
  <si>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</si>
  <si>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</si>
  <si>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</si>
  <si>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</si>
  <si>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No.  65</t>
  </si>
  <si>
    <t xml:space="preserve">           C O T I Z A C I O N</t>
  </si>
  <si>
    <t>10 DIAS</t>
  </si>
  <si>
    <t>TEE AC/INOX 316 SANITARIA  4 " P/S</t>
  </si>
  <si>
    <t>REDUCCION COPA  AC/INOX 316  SANIRARIA  4 " X 1 "AR</t>
  </si>
  <si>
    <t>VALVULA MARIPOSA  AC/INOX 3016 FERULADA 1 "</t>
  </si>
  <si>
    <t>CODO AC/INOX 316  SANITARIO 1 "  X  90 º  P/S</t>
  </si>
  <si>
    <t>JUEGO DE ABRAZADERA/FERULA/EMPAQUE 1 "</t>
  </si>
  <si>
    <t>TUBERIA  AC/INOX 316 SANITARIA 1 "</t>
  </si>
  <si>
    <t>TUBO X 6 MTS</t>
  </si>
  <si>
    <t>TEE AC/INOX 316 SANITARIA 1 "  P/S</t>
  </si>
  <si>
    <t>REDUCCION COPA  AC/INOX 316 SANITARIA 1 " X  1/2 "</t>
  </si>
  <si>
    <t>NIPLE  AC/INOX 316  1/2 "  X  2 "</t>
  </si>
  <si>
    <t>FABRICACION</t>
  </si>
  <si>
    <t>CODO  AC/INOX 316  1/2 "  X  90 º  X  150 LBS ROSCADO</t>
  </si>
  <si>
    <t>NIPLE  AC/INOX 316  1/2 "  X  3 "</t>
  </si>
  <si>
    <t>EMPAQUE SILICONA 1 "</t>
  </si>
  <si>
    <t>ABRAZADERA AC/INOX 304  1 "</t>
  </si>
  <si>
    <t>SOPORTE TIPO COLOMBINA  AC/INOX 304  1 "</t>
  </si>
  <si>
    <t>TUBERIA CUADRADA AC/INOX 304  50 mm  X  2 mm</t>
  </si>
  <si>
    <t>TUBO X 6MTS</t>
  </si>
  <si>
    <t>TEE AC/INOX 316 SANITARIA 2 "</t>
  </si>
  <si>
    <t>VALVULA MARIPOSA AC/INOX 316 SANITARIA 2 " CLAMP</t>
  </si>
  <si>
    <t>CODO  AC/INOX 316 SANITARIO 2 "  X  90 º</t>
  </si>
  <si>
    <t>JUEGO DE ABRAZADERA/FERULA/EMPAQUE 2 "</t>
  </si>
  <si>
    <t>TUBERIA  AC/INOX 316 SANITARIA 2 "</t>
  </si>
  <si>
    <t xml:space="preserve">NIPLE  AC/INOX 316  1 1 /2 "  X 2 " </t>
  </si>
  <si>
    <t>ACOPLE PARA MANGUERA PARTE A  1 1/2 "</t>
  </si>
  <si>
    <t>NIPLE  AC/INOX 316  1 "  X  6 "</t>
  </si>
  <si>
    <t>VALVULA DE BOLA AC/INOX 316  1 " X 1000 LBS ROSCADA</t>
  </si>
  <si>
    <t>TUBERIA  AC/INOX 316  SCH 40  1 "</t>
  </si>
  <si>
    <t>EMPAQUE SILICONA 2 "</t>
  </si>
  <si>
    <t>ABRAZADERA AC/INOX 304  2 "</t>
  </si>
  <si>
    <t>SOPORTE TIPO COLOMBINA  AC/INOX 304  2 "</t>
  </si>
  <si>
    <t>DIECISIETE MILLONES DOSCIENTOS OCHENTA Y CIN</t>
  </si>
  <si>
    <t>CO MIL SETECIENTOS ONCE 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</si>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</sst>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11" xfId="0" applyFont="1" applyBorder="1"/>
    <xf numFmtId="0" fontId="8" fillId="0" borderId="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66"/>
  <sheetViews>
    <sheetView tabSelected="1" topLeftCell="A4" zoomScaleNormal="100" workbookViewId="0">
      <selection activeCell="K48" sqref="K4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2" t="s">
        <v>48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45860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45869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0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69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32" t="s">
        <v>19</v>
      </c>
      <c r="G15" s="32" t="s">
        <v>18</v>
      </c>
      <c r="H15" s="32" t="s">
        <v>20</v>
      </c>
    </row>
    <row r="16" spans="1:8" ht="15.75" thickBot="1" x14ac:dyDescent="0.3">
      <c r="A16" s="65">
        <v>1</v>
      </c>
      <c r="B16" s="66" t="s">
        <v>51</v>
      </c>
      <c r="C16" s="67"/>
      <c r="D16" s="45"/>
      <c r="E16" s="68" t="s">
        <v>47</v>
      </c>
      <c r="F16" s="71">
        <v>71500</v>
      </c>
      <c r="G16" s="72">
        <v>2</v>
      </c>
      <c r="H16" s="38">
        <f>F16*G16</f>
        <v>143000</v>
      </c>
    </row>
    <row r="17" spans="1:8" ht="15.75" thickBot="1" x14ac:dyDescent="0.3">
      <c r="A17" s="65">
        <v>2</v>
      </c>
      <c r="B17" s="66" t="s">
        <v>52</v>
      </c>
      <c r="C17" s="67"/>
      <c r="D17" s="45"/>
      <c r="E17" s="68" t="s">
        <v>47</v>
      </c>
      <c r="F17" s="71">
        <v>135000</v>
      </c>
      <c r="G17" s="72">
        <v>2</v>
      </c>
      <c r="H17" s="38">
        <f t="shared" ref="H17:H43" si="0">F17*G17</f>
        <v>270000</v>
      </c>
    </row>
    <row r="18" spans="1:8" ht="15.75" thickBot="1" x14ac:dyDescent="0.3">
      <c r="A18" s="65">
        <v>3</v>
      </c>
      <c r="B18" s="66" t="s">
        <v>53</v>
      </c>
      <c r="C18" s="67"/>
      <c r="D18" s="45"/>
      <c r="E18" s="68" t="s">
        <v>47</v>
      </c>
      <c r="F18" s="71">
        <v>145000</v>
      </c>
      <c r="G18" s="72">
        <v>6</v>
      </c>
      <c r="H18" s="38">
        <f t="shared" si="0"/>
        <v>870000</v>
      </c>
    </row>
    <row r="19" spans="1:8" ht="15.75" thickBot="1" x14ac:dyDescent="0.3">
      <c r="A19" s="65">
        <v>4</v>
      </c>
      <c r="B19" s="66" t="s">
        <v>54</v>
      </c>
      <c r="C19" s="67"/>
      <c r="D19" s="45"/>
      <c r="E19" s="68" t="s">
        <v>47</v>
      </c>
      <c r="F19" s="71">
        <v>20200</v>
      </c>
      <c r="G19" s="72">
        <v>18</v>
      </c>
      <c r="H19" s="38">
        <f t="shared" si="0"/>
        <v>363600</v>
      </c>
    </row>
    <row r="20" spans="1:8" ht="15.75" thickBot="1" x14ac:dyDescent="0.3">
      <c r="A20" s="65">
        <v>5</v>
      </c>
      <c r="B20" s="66" t="s">
        <v>55</v>
      </c>
      <c r="C20" s="67"/>
      <c r="D20" s="45"/>
      <c r="E20" s="68" t="s">
        <v>47</v>
      </c>
      <c r="F20" s="71">
        <v>25000</v>
      </c>
      <c r="G20" s="72">
        <v>6</v>
      </c>
      <c r="H20" s="38">
        <f t="shared" si="0"/>
        <v>150000</v>
      </c>
    </row>
    <row r="21" spans="1:8" ht="15.75" thickBot="1" x14ac:dyDescent="0.3">
      <c r="A21" s="65">
        <v>6</v>
      </c>
      <c r="B21" s="66" t="s">
        <v>56</v>
      </c>
      <c r="C21" s="67"/>
      <c r="D21" s="45"/>
      <c r="E21" s="68" t="s">
        <v>57</v>
      </c>
      <c r="F21" s="71">
        <v>249658</v>
      </c>
      <c r="G21" s="72">
        <v>13</v>
      </c>
      <c r="H21" s="38">
        <f t="shared" si="0"/>
        <v>3245554</v>
      </c>
    </row>
    <row r="22" spans="1:8" ht="15.75" thickBot="1" x14ac:dyDescent="0.3">
      <c r="A22" s="65">
        <v>7</v>
      </c>
      <c r="B22" s="66" t="s">
        <v>58</v>
      </c>
      <c r="C22" s="67"/>
      <c r="D22" s="45"/>
      <c r="E22" s="68" t="s">
        <v>47</v>
      </c>
      <c r="F22" s="71">
        <v>29284</v>
      </c>
      <c r="G22" s="72">
        <v>4</v>
      </c>
      <c r="H22" s="38">
        <f t="shared" si="0"/>
        <v>117136</v>
      </c>
    </row>
    <row r="23" spans="1:8" ht="15.75" thickBot="1" x14ac:dyDescent="0.3">
      <c r="A23" s="65">
        <v>8</v>
      </c>
      <c r="B23" s="66" t="s">
        <v>59</v>
      </c>
      <c r="C23" s="67"/>
      <c r="D23" s="45"/>
      <c r="E23" s="68" t="s">
        <v>47</v>
      </c>
      <c r="F23" s="71">
        <v>36000</v>
      </c>
      <c r="G23" s="72">
        <v>4</v>
      </c>
      <c r="H23" s="38">
        <f t="shared" si="0"/>
        <v>144000</v>
      </c>
    </row>
    <row r="24" spans="1:8" ht="15.75" thickBot="1" x14ac:dyDescent="0.3">
      <c r="A24" s="65">
        <v>9</v>
      </c>
      <c r="B24" s="66" t="s">
        <v>60</v>
      </c>
      <c r="C24" s="67"/>
      <c r="D24" s="45"/>
      <c r="E24" s="68" t="s">
        <v>61</v>
      </c>
      <c r="F24" s="71">
        <v>4500</v>
      </c>
      <c r="G24" s="72">
        <v>5</v>
      </c>
      <c r="H24" s="38">
        <f t="shared" si="0"/>
        <v>22500</v>
      </c>
    </row>
    <row r="25" spans="1:8" ht="15.75" thickBot="1" x14ac:dyDescent="0.3">
      <c r="A25" s="65">
        <v>10</v>
      </c>
      <c r="B25" s="66" t="s">
        <v>62</v>
      </c>
      <c r="C25" s="67"/>
      <c r="D25" s="45"/>
      <c r="E25" s="68" t="s">
        <v>47</v>
      </c>
      <c r="F25" s="71">
        <v>5670</v>
      </c>
      <c r="G25" s="72">
        <v>2</v>
      </c>
      <c r="H25" s="38">
        <f t="shared" si="0"/>
        <v>11340</v>
      </c>
    </row>
    <row r="26" spans="1:8" ht="15.75" thickBot="1" x14ac:dyDescent="0.3">
      <c r="A26" s="65">
        <v>11</v>
      </c>
      <c r="B26" s="66" t="s">
        <v>63</v>
      </c>
      <c r="C26" s="67"/>
      <c r="D26" s="45"/>
      <c r="E26" s="68" t="s">
        <v>61</v>
      </c>
      <c r="F26" s="71">
        <v>5900</v>
      </c>
      <c r="G26" s="72">
        <v>2</v>
      </c>
      <c r="H26" s="38">
        <f t="shared" si="0"/>
        <v>11800</v>
      </c>
    </row>
    <row r="27" spans="1:8" ht="15.75" thickBot="1" x14ac:dyDescent="0.3">
      <c r="A27" s="65">
        <v>12</v>
      </c>
      <c r="B27" s="66" t="s">
        <v>64</v>
      </c>
      <c r="C27" s="67"/>
      <c r="D27" s="45"/>
      <c r="E27" s="68" t="s">
        <v>47</v>
      </c>
      <c r="F27" s="71">
        <v>1350</v>
      </c>
      <c r="G27" s="72">
        <v>15</v>
      </c>
      <c r="H27" s="38">
        <f t="shared" si="0"/>
        <v>20250</v>
      </c>
    </row>
    <row r="28" spans="1:8" ht="15.75" thickBot="1" x14ac:dyDescent="0.3">
      <c r="A28" s="65">
        <v>13</v>
      </c>
      <c r="B28" s="66" t="s">
        <v>65</v>
      </c>
      <c r="C28" s="67"/>
      <c r="D28" s="45"/>
      <c r="E28" s="68" t="s">
        <v>47</v>
      </c>
      <c r="F28" s="71">
        <v>12900</v>
      </c>
      <c r="G28" s="72">
        <v>15</v>
      </c>
      <c r="H28" s="38">
        <f t="shared" si="0"/>
        <v>193500</v>
      </c>
    </row>
    <row r="29" spans="1:8" ht="15.75" thickBot="1" x14ac:dyDescent="0.3">
      <c r="A29" s="65">
        <v>14</v>
      </c>
      <c r="B29" s="66" t="s">
        <v>66</v>
      </c>
      <c r="C29" s="67"/>
      <c r="D29" s="45"/>
      <c r="E29" s="68" t="s">
        <v>47</v>
      </c>
      <c r="F29" s="71">
        <v>9000</v>
      </c>
      <c r="G29" s="72">
        <v>24</v>
      </c>
      <c r="H29" s="38">
        <f t="shared" si="0"/>
        <v>216000</v>
      </c>
    </row>
    <row r="30" spans="1:8" ht="15.75" thickBot="1" x14ac:dyDescent="0.3">
      <c r="A30" s="65">
        <v>15</v>
      </c>
      <c r="B30" s="66" t="s">
        <v>67</v>
      </c>
      <c r="C30" s="67"/>
      <c r="D30" s="45"/>
      <c r="E30" s="68" t="s">
        <v>68</v>
      </c>
      <c r="F30" s="71">
        <v>286460</v>
      </c>
      <c r="G30" s="72">
        <v>4</v>
      </c>
      <c r="H30" s="38">
        <f t="shared" si="0"/>
        <v>1145840</v>
      </c>
    </row>
    <row r="31" spans="1:8" ht="15.75" thickBot="1" x14ac:dyDescent="0.3">
      <c r="A31" s="65">
        <v>16</v>
      </c>
      <c r="B31" s="66" t="s">
        <v>69</v>
      </c>
      <c r="C31" s="67"/>
      <c r="D31" s="45"/>
      <c r="E31" s="68" t="s">
        <v>47</v>
      </c>
      <c r="F31" s="71">
        <v>82700</v>
      </c>
      <c r="G31" s="72">
        <v>6</v>
      </c>
      <c r="H31" s="38">
        <f t="shared" si="0"/>
        <v>496200</v>
      </c>
    </row>
    <row r="32" spans="1:8" ht="15.75" thickBot="1" x14ac:dyDescent="0.3">
      <c r="A32" s="65">
        <v>17</v>
      </c>
      <c r="B32" s="66" t="s">
        <v>70</v>
      </c>
      <c r="C32" s="67"/>
      <c r="D32" s="45"/>
      <c r="E32" s="68" t="s">
        <v>47</v>
      </c>
      <c r="F32" s="71">
        <v>262500</v>
      </c>
      <c r="G32" s="72">
        <v>4</v>
      </c>
      <c r="H32" s="38">
        <f t="shared" si="0"/>
        <v>1050000</v>
      </c>
    </row>
    <row r="33" spans="1:8" ht="15.75" thickBot="1" x14ac:dyDescent="0.3">
      <c r="A33" s="65">
        <v>18</v>
      </c>
      <c r="B33" s="66" t="s">
        <v>71</v>
      </c>
      <c r="C33" s="67"/>
      <c r="D33" s="45"/>
      <c r="E33" s="68" t="s">
        <v>47</v>
      </c>
      <c r="F33" s="71">
        <v>28500</v>
      </c>
      <c r="G33" s="72">
        <v>18</v>
      </c>
      <c r="H33" s="38">
        <f t="shared" si="0"/>
        <v>513000</v>
      </c>
    </row>
    <row r="34" spans="1:8" ht="15.75" thickBot="1" x14ac:dyDescent="0.3">
      <c r="A34" s="65">
        <v>19</v>
      </c>
      <c r="B34" s="66" t="s">
        <v>72</v>
      </c>
      <c r="C34" s="67"/>
      <c r="D34" s="45"/>
      <c r="E34" s="68" t="s">
        <v>47</v>
      </c>
      <c r="F34" s="71">
        <v>38300</v>
      </c>
      <c r="G34" s="72">
        <v>10</v>
      </c>
      <c r="H34" s="38">
        <f t="shared" si="0"/>
        <v>383000</v>
      </c>
    </row>
    <row r="35" spans="1:8" ht="15.75" thickBot="1" x14ac:dyDescent="0.3">
      <c r="A35" s="65">
        <v>20</v>
      </c>
      <c r="B35" s="66" t="s">
        <v>73</v>
      </c>
      <c r="C35" s="67"/>
      <c r="D35" s="45"/>
      <c r="E35" s="68" t="s">
        <v>57</v>
      </c>
      <c r="F35" s="71">
        <v>466000</v>
      </c>
      <c r="G35" s="72">
        <v>8</v>
      </c>
      <c r="H35" s="38">
        <f t="shared" si="0"/>
        <v>3728000</v>
      </c>
    </row>
    <row r="36" spans="1:8" ht="15.75" thickBot="1" x14ac:dyDescent="0.3">
      <c r="A36" s="65">
        <v>21</v>
      </c>
      <c r="B36" s="66" t="s">
        <v>74</v>
      </c>
      <c r="C36" s="67"/>
      <c r="D36" s="45"/>
      <c r="E36" s="68" t="s">
        <v>61</v>
      </c>
      <c r="F36" s="71">
        <v>18000</v>
      </c>
      <c r="G36" s="72">
        <v>2</v>
      </c>
      <c r="H36" s="38">
        <f t="shared" si="0"/>
        <v>36000</v>
      </c>
    </row>
    <row r="37" spans="1:8" ht="15.75" thickBot="1" x14ac:dyDescent="0.3">
      <c r="A37" s="65">
        <v>22</v>
      </c>
      <c r="B37" s="66" t="s">
        <v>75</v>
      </c>
      <c r="C37" s="67"/>
      <c r="D37" s="45"/>
      <c r="E37" s="68" t="s">
        <v>47</v>
      </c>
      <c r="F37" s="71">
        <v>35000</v>
      </c>
      <c r="G37" s="72">
        <v>2</v>
      </c>
      <c r="H37" s="38">
        <f t="shared" si="0"/>
        <v>70000</v>
      </c>
    </row>
    <row r="38" spans="1:8" ht="15.75" thickBot="1" x14ac:dyDescent="0.3">
      <c r="A38" s="65">
        <v>23</v>
      </c>
      <c r="B38" s="66" t="s">
        <v>76</v>
      </c>
      <c r="C38" s="67"/>
      <c r="D38" s="45"/>
      <c r="E38" s="68" t="s">
        <v>61</v>
      </c>
      <c r="F38" s="71">
        <v>22500</v>
      </c>
      <c r="G38" s="72">
        <v>2</v>
      </c>
      <c r="H38" s="38">
        <f t="shared" si="0"/>
        <v>45000</v>
      </c>
    </row>
    <row r="39" spans="1:8" ht="15.75" thickBot="1" x14ac:dyDescent="0.3">
      <c r="A39" s="65">
        <v>24</v>
      </c>
      <c r="B39" s="66" t="s">
        <v>77</v>
      </c>
      <c r="C39" s="67"/>
      <c r="D39" s="45"/>
      <c r="E39" s="68" t="s">
        <v>47</v>
      </c>
      <c r="F39" s="71">
        <v>60900</v>
      </c>
      <c r="G39" s="72">
        <v>2</v>
      </c>
      <c r="H39" s="38">
        <f t="shared" si="0"/>
        <v>121800</v>
      </c>
    </row>
    <row r="40" spans="1:8" ht="15.75" thickBot="1" x14ac:dyDescent="0.3">
      <c r="A40" s="65">
        <v>25</v>
      </c>
      <c r="B40" s="66" t="s">
        <v>78</v>
      </c>
      <c r="C40" s="67"/>
      <c r="D40" s="45"/>
      <c r="E40" s="68" t="s">
        <v>57</v>
      </c>
      <c r="F40" s="71">
        <v>479250</v>
      </c>
      <c r="G40" s="72">
        <v>2</v>
      </c>
      <c r="H40" s="38">
        <f t="shared" si="0"/>
        <v>958500</v>
      </c>
    </row>
    <row r="41" spans="1:8" ht="15.75" thickBot="1" x14ac:dyDescent="0.3">
      <c r="A41" s="65">
        <v>26</v>
      </c>
      <c r="B41" s="66" t="s">
        <v>79</v>
      </c>
      <c r="C41" s="67"/>
      <c r="D41" s="45"/>
      <c r="E41" s="68" t="s">
        <v>47</v>
      </c>
      <c r="F41" s="71">
        <v>1700</v>
      </c>
      <c r="G41" s="72">
        <v>15</v>
      </c>
      <c r="H41" s="38">
        <f t="shared" si="0"/>
        <v>25500</v>
      </c>
    </row>
    <row r="42" spans="1:8" ht="15.75" thickBot="1" x14ac:dyDescent="0.3">
      <c r="A42" s="65">
        <v>27</v>
      </c>
      <c r="B42" s="66" t="s">
        <v>80</v>
      </c>
      <c r="C42" s="67"/>
      <c r="D42" s="45"/>
      <c r="E42" s="68" t="s">
        <v>47</v>
      </c>
      <c r="F42" s="71">
        <v>10800</v>
      </c>
      <c r="G42" s="72">
        <v>15</v>
      </c>
      <c r="H42" s="38">
        <f t="shared" si="0"/>
        <v>162000</v>
      </c>
    </row>
    <row r="43" spans="1:8" ht="15.75" thickBot="1" x14ac:dyDescent="0.3">
      <c r="A43" s="65">
        <v>28</v>
      </c>
      <c r="B43" s="66" t="s">
        <v>81</v>
      </c>
      <c r="C43" s="67"/>
      <c r="D43" s="45"/>
      <c r="E43" s="68" t="s">
        <v>47</v>
      </c>
      <c r="F43" s="71">
        <v>13500</v>
      </c>
      <c r="G43" s="72">
        <v>24</v>
      </c>
      <c r="H43" s="38">
        <f t="shared" si="0"/>
        <v>324000</v>
      </c>
    </row>
    <row r="44" spans="1:8" ht="15.75" thickBot="1" x14ac:dyDescent="0.3">
      <c r="B44" s="16"/>
      <c r="C44" s="4"/>
      <c r="D44" s="17"/>
      <c r="F44" s="64"/>
      <c r="G44" s="64"/>
    </row>
    <row r="45" spans="1:8" ht="19.5" customHeight="1" thickBot="1" x14ac:dyDescent="0.35">
      <c r="A45" s="61" t="s">
        <v>22</v>
      </c>
      <c r="B45" s="74" t="s">
        <v>82</v>
      </c>
      <c r="C45" s="12"/>
      <c r="D45" s="13"/>
      <c r="E45" s="63"/>
      <c r="F45" s="37" t="s">
        <v>43</v>
      </c>
      <c r="G45" s="6"/>
      <c r="H45" s="7"/>
    </row>
    <row r="46" spans="1:8" ht="19.5" customHeight="1" thickBot="1" x14ac:dyDescent="0.3">
      <c r="A46" s="39"/>
      <c r="B46" s="73" t="s">
        <v>83</v>
      </c>
      <c r="C46" s="4"/>
      <c r="D46" s="17"/>
      <c r="E46" s="52" t="s">
        <v>23</v>
      </c>
      <c r="F46" s="52"/>
      <c r="G46" s="45"/>
      <c r="H46" s="50">
        <f>SUM(H16:H43)</f>
        <v>14837520</v>
      </c>
    </row>
    <row r="47" spans="1:8" ht="19.5" customHeight="1" x14ac:dyDescent="0.25">
      <c r="A47" s="24" t="s">
        <v>24</v>
      </c>
      <c r="E47" s="53" t="s">
        <v>28</v>
      </c>
      <c r="F47" s="23"/>
      <c r="G47" s="54">
        <v>0.19</v>
      </c>
      <c r="H47" s="40">
        <f>H46*G47</f>
        <v>2819128.8</v>
      </c>
    </row>
    <row r="48" spans="1:8" ht="19.5" customHeight="1" x14ac:dyDescent="0.25">
      <c r="A48" s="14" t="s">
        <v>42</v>
      </c>
      <c r="E48" s="55" t="s">
        <v>25</v>
      </c>
      <c r="G48" s="58">
        <v>2.5000000000000001E-2</v>
      </c>
      <c r="H48" s="51">
        <f>H46*G48</f>
        <v>370938</v>
      </c>
    </row>
    <row r="49" spans="1:8" ht="15.75" x14ac:dyDescent="0.25">
      <c r="A49" s="14" t="s">
        <v>84</v>
      </c>
      <c r="E49" s="14"/>
      <c r="F49" s="33"/>
      <c r="G49" s="46"/>
      <c r="H49" s="15"/>
    </row>
    <row r="50" spans="1:8" ht="16.5" thickBot="1" x14ac:dyDescent="0.3">
      <c r="A50" s="14" t="s">
        <v>30</v>
      </c>
      <c r="E50" s="56" t="s">
        <v>26</v>
      </c>
      <c r="F50" s="57"/>
      <c r="G50" s="47"/>
      <c r="H50" s="17"/>
    </row>
    <row r="51" spans="1:8" ht="19.5" thickBot="1" x14ac:dyDescent="0.35">
      <c r="A51" s="60"/>
      <c r="B51" s="4"/>
      <c r="C51" s="4"/>
      <c r="D51" s="17"/>
      <c r="F51" s="3"/>
      <c r="G51" s="34" t="s">
        <v>27</v>
      </c>
      <c r="H51" s="36">
        <f>H46+H47-H48</f>
        <v>17285710.800000001</v>
      </c>
    </row>
    <row r="52" spans="1:8" ht="16.5" customHeight="1" x14ac:dyDescent="0.25"/>
    <row r="57" spans="1:8" ht="15.75" thickBot="1" x14ac:dyDescent="0.3"/>
    <row r="58" spans="1:8" ht="19.5" thickBot="1" x14ac:dyDescent="0.35">
      <c r="A58" s="25" t="s">
        <v>44</v>
      </c>
      <c r="B58" s="6"/>
      <c r="C58" s="6"/>
      <c r="D58" s="6"/>
      <c r="E58" s="6"/>
      <c r="F58" s="6"/>
      <c r="G58" s="6"/>
      <c r="H58" s="7"/>
    </row>
    <row r="66" spans="1:1" ht="18.75" x14ac:dyDescent="0.3">
      <c r="A66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2025-07-11T17:21:53Z</cp:lastPrinted>
  <dcterms:created xsi:type="dcterms:W3CDTF">2018-11-15T17:29:02Z</dcterms:created>
  <dcterms:modified xsi:type="dcterms:W3CDTF">2025-07-22T16:56:19Z</dcterms:modified>
</cp:coreProperties>
</file>