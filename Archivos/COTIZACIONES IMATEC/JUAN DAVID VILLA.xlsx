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6CC72032-9A48-40EC-8236-D09CD530A4C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JUAN DAVID VILL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2" i="1"/>
  <c r="H23" i="1" l="1"/>
  <c r="H21" i="1"/>
  <c r="H20" i="1"/>
  <c r="H19" i="1"/>
  <c r="H18" i="1"/>
  <c r="H17" i="1"/>
  <c r="H16" i="1"/>
  <c r="H27" i="1" l="1"/>
  <c r="H31" i="1" s="1"/>
</calcChain>
</file>

<file path=xl/sharedStrings.xml><?xml version="1.0" encoding="utf-8"?>
<sst xmlns="http://schemas.openxmlformats.org/spreadsheetml/2006/main" count="67" uniqueCount="62">
  <si>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</si>
  <si>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</si>
  <si>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</si>
  <si>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</si>
  <si>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</si>
  <si>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</si>
  <si>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</si>
  <si>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</si>
  <si>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</si>
  <si>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</si>
  <si>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</si>
  <si>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</si>
  <si>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</si>
  <si>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</si>
  <si>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</si>
  <si>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</si>
  <si>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</si>
  <si>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</si>
  <si>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</si>
  <si>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</si>
  <si>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</si>
  <si>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</si>
  <si>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</si>
  <si>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</si>
  <si>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</si>
  <si>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</si>
  <si>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</si>
  <si>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</si>
  <si>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</si>
  <si>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</si>
  <si>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</si>
  <si>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</si>
  <si>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</si>
  <si>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</si>
  <si>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</si>
  <si>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</si>
  <si>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</si>
  <si>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</si>
  <si>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</si>
  <si>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</si>
  <si>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JUAN DAVID VILLA</t>
  </si>
  <si>
    <t xml:space="preserve">              R E M I S I O N</t>
  </si>
  <si>
    <t>TUBERIA  AC/INOX 316 SCH 40  2 " X 5,80 MTS</t>
  </si>
  <si>
    <t>TUBO</t>
  </si>
  <si>
    <t>TEE HR ROSCADA 2 "  X  150  LBS</t>
  </si>
  <si>
    <t>TEE AC/INOX 304  2 "  X  150 LBS ROSCADA</t>
  </si>
  <si>
    <t>UNIVERSAL AC/INOX 304  2 "</t>
  </si>
  <si>
    <t>TAPON MACHO AC/INOX 304  2 "</t>
  </si>
  <si>
    <t>YEE GALVANIZADA  2 "</t>
  </si>
  <si>
    <t>SERVICIO DE ROSCADO AC/INOX  2 "</t>
  </si>
  <si>
    <t>FABRICACION</t>
  </si>
  <si>
    <t>ENTREGA INMEDIATA</t>
  </si>
  <si>
    <t>No.  1</t>
  </si>
  <si>
    <t>EDINSON CABEZAS</t>
  </si>
  <si>
    <t>NIPLE GALVANIZADO 3/8 "  X  2 "</t>
  </si>
  <si>
    <t>juandavilla32@gmail.com</t>
  </si>
  <si>
    <t>CALI</t>
  </si>
  <si>
    <t>CRA  66  B  OESTE No.  13 - 33</t>
  </si>
  <si>
    <t>DOS MILLONES CUATROCIENTOS TREINTA Y TRES MIL</t>
  </si>
  <si>
    <t>TRESCIENTOS PESOS MDA / CTE</t>
  </si>
  <si>
    <t>323 4639036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</si>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</sst>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andavilla3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6"/>
  <sheetViews>
    <sheetView tabSelected="1" topLeftCell="A12" zoomScaleNormal="100" workbookViewId="0">
      <selection activeCell="D34" sqref="D3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10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10" ht="20.25" customHeight="1" thickBot="1" x14ac:dyDescent="0.4">
      <c r="D2" s="2"/>
      <c r="E2" s="35" t="s">
        <v>35</v>
      </c>
    </row>
    <row r="3" spans="1:10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10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10" ht="19.5" thickBot="1" x14ac:dyDescent="0.35">
      <c r="A5" s="37" t="s">
        <v>33</v>
      </c>
      <c r="B5" s="6"/>
      <c r="C5" s="6"/>
      <c r="D5" s="6"/>
      <c r="E5" s="6"/>
    </row>
    <row r="6" spans="1:10" ht="24.75" customHeight="1" thickBot="1" x14ac:dyDescent="0.45">
      <c r="F6" s="41" t="s">
        <v>41</v>
      </c>
      <c r="G6" s="42"/>
      <c r="H6" s="43"/>
    </row>
    <row r="7" spans="1:10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52</v>
      </c>
    </row>
    <row r="8" spans="1:10" ht="18.75" x14ac:dyDescent="0.3">
      <c r="A8" s="21" t="s">
        <v>8</v>
      </c>
      <c r="C8" s="63">
        <v>10301047</v>
      </c>
      <c r="D8" s="12"/>
      <c r="E8" s="13"/>
      <c r="H8" s="15"/>
    </row>
    <row r="9" spans="1:10" ht="18.75" customHeight="1" x14ac:dyDescent="0.3">
      <c r="A9" s="21" t="s">
        <v>9</v>
      </c>
      <c r="C9" s="14" t="s">
        <v>57</v>
      </c>
      <c r="E9" s="15" t="s">
        <v>56</v>
      </c>
      <c r="F9" s="30" t="s">
        <v>0</v>
      </c>
      <c r="H9" s="28">
        <v>45803</v>
      </c>
    </row>
    <row r="10" spans="1:10" ht="18.75" x14ac:dyDescent="0.3">
      <c r="A10" s="21" t="s">
        <v>13</v>
      </c>
      <c r="C10" s="64" t="s">
        <v>55</v>
      </c>
      <c r="E10" s="15"/>
      <c r="F10" s="30" t="s">
        <v>15</v>
      </c>
      <c r="H10" s="29"/>
    </row>
    <row r="11" spans="1:10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10" ht="18.75" x14ac:dyDescent="0.3">
      <c r="A12" s="21" t="s">
        <v>11</v>
      </c>
      <c r="C12" s="14" t="s">
        <v>60</v>
      </c>
      <c r="E12" s="15"/>
      <c r="F12" s="30" t="s">
        <v>17</v>
      </c>
      <c r="H12" s="31"/>
      <c r="J12" t="s">
        <v>61</v>
      </c>
    </row>
    <row r="13" spans="1:10" ht="18.75" customHeight="1" thickBot="1" x14ac:dyDescent="0.35">
      <c r="A13" s="22" t="s">
        <v>12</v>
      </c>
      <c r="B13" s="4"/>
      <c r="C13" s="16" t="s">
        <v>53</v>
      </c>
      <c r="D13" s="4"/>
      <c r="E13" s="17"/>
      <c r="F13" s="4"/>
      <c r="G13" s="4"/>
      <c r="H13" s="17"/>
    </row>
    <row r="14" spans="1:10" ht="15.75" thickBot="1" x14ac:dyDescent="0.3"/>
    <row r="15" spans="1:10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10" ht="16.5" thickBot="1" x14ac:dyDescent="0.3">
      <c r="A16" s="65">
        <v>1</v>
      </c>
      <c r="B16" s="66" t="s">
        <v>42</v>
      </c>
      <c r="C16" s="67"/>
      <c r="D16" s="68"/>
      <c r="E16" s="65" t="s">
        <v>43</v>
      </c>
      <c r="F16" s="69">
        <v>1318978</v>
      </c>
      <c r="G16" s="65">
        <v>1</v>
      </c>
      <c r="H16" s="38">
        <f t="shared" ref="H16" si="0">G16*F16</f>
        <v>1318978</v>
      </c>
    </row>
    <row r="17" spans="1:8" ht="16.5" thickBot="1" x14ac:dyDescent="0.3">
      <c r="A17" s="65">
        <v>2</v>
      </c>
      <c r="B17" s="66" t="s">
        <v>44</v>
      </c>
      <c r="C17" s="67"/>
      <c r="D17" s="68"/>
      <c r="E17" s="65" t="s">
        <v>37</v>
      </c>
      <c r="F17" s="69">
        <v>17582</v>
      </c>
      <c r="G17" s="65">
        <v>6</v>
      </c>
      <c r="H17" s="38">
        <f t="shared" ref="H17:H23" si="1">G17*F17</f>
        <v>105492</v>
      </c>
    </row>
    <row r="18" spans="1:8" ht="16.5" thickBot="1" x14ac:dyDescent="0.3">
      <c r="A18" s="65">
        <v>3</v>
      </c>
      <c r="B18" s="66" t="s">
        <v>45</v>
      </c>
      <c r="C18" s="67"/>
      <c r="D18" s="68"/>
      <c r="E18" s="65" t="s">
        <v>37</v>
      </c>
      <c r="F18" s="69">
        <v>46688</v>
      </c>
      <c r="G18" s="65">
        <v>4</v>
      </c>
      <c r="H18" s="38">
        <f t="shared" si="1"/>
        <v>186752</v>
      </c>
    </row>
    <row r="19" spans="1:8" ht="16.5" thickBot="1" x14ac:dyDescent="0.3">
      <c r="A19" s="65">
        <v>4</v>
      </c>
      <c r="B19" s="66" t="s">
        <v>46</v>
      </c>
      <c r="C19" s="67"/>
      <c r="D19" s="68"/>
      <c r="E19" s="65" t="s">
        <v>37</v>
      </c>
      <c r="F19" s="69">
        <v>68904</v>
      </c>
      <c r="G19" s="65">
        <v>2</v>
      </c>
      <c r="H19" s="38">
        <f t="shared" si="1"/>
        <v>137808</v>
      </c>
    </row>
    <row r="20" spans="1:8" ht="16.5" thickBot="1" x14ac:dyDescent="0.3">
      <c r="A20" s="65">
        <v>5</v>
      </c>
      <c r="B20" s="66" t="s">
        <v>47</v>
      </c>
      <c r="C20" s="67"/>
      <c r="D20" s="68"/>
      <c r="E20" s="65" t="s">
        <v>37</v>
      </c>
      <c r="F20" s="69">
        <v>20076</v>
      </c>
      <c r="G20" s="65">
        <v>10</v>
      </c>
      <c r="H20" s="38">
        <f t="shared" si="1"/>
        <v>200760</v>
      </c>
    </row>
    <row r="21" spans="1:8" ht="16.5" thickBot="1" x14ac:dyDescent="0.3">
      <c r="A21" s="65">
        <v>6</v>
      </c>
      <c r="B21" s="66" t="s">
        <v>48</v>
      </c>
      <c r="C21" s="67"/>
      <c r="D21" s="68"/>
      <c r="E21" s="65" t="s">
        <v>37</v>
      </c>
      <c r="F21" s="69">
        <v>55000</v>
      </c>
      <c r="G21" s="65">
        <v>1</v>
      </c>
      <c r="H21" s="38">
        <f t="shared" si="1"/>
        <v>55000</v>
      </c>
    </row>
    <row r="22" spans="1:8" ht="16.5" thickBot="1" x14ac:dyDescent="0.3">
      <c r="A22" s="65">
        <v>7</v>
      </c>
      <c r="B22" s="66" t="s">
        <v>54</v>
      </c>
      <c r="C22" s="67"/>
      <c r="D22" s="68"/>
      <c r="E22" s="65" t="s">
        <v>50</v>
      </c>
      <c r="F22" s="69">
        <v>3000</v>
      </c>
      <c r="G22" s="65">
        <v>10</v>
      </c>
      <c r="H22" s="38">
        <f t="shared" si="1"/>
        <v>30000</v>
      </c>
    </row>
    <row r="23" spans="1:8" ht="16.5" thickBot="1" x14ac:dyDescent="0.3">
      <c r="A23" s="65">
        <v>8</v>
      </c>
      <c r="B23" s="66" t="s">
        <v>49</v>
      </c>
      <c r="C23" s="67"/>
      <c r="D23" s="68"/>
      <c r="E23" s="65" t="s">
        <v>50</v>
      </c>
      <c r="F23" s="69">
        <v>5000</v>
      </c>
      <c r="G23" s="65">
        <v>2</v>
      </c>
      <c r="H23" s="38">
        <f t="shared" si="1"/>
        <v>10000</v>
      </c>
    </row>
    <row r="24" spans="1:8" ht="19.5" customHeight="1" thickBot="1" x14ac:dyDescent="0.3">
      <c r="A24" s="47"/>
      <c r="B24" s="61"/>
      <c r="D24" s="62"/>
      <c r="E24" s="47"/>
      <c r="F24" s="47"/>
      <c r="G24" s="47"/>
    </row>
    <row r="25" spans="1:8" ht="19.5" customHeight="1" thickBot="1" x14ac:dyDescent="0.35">
      <c r="A25" s="60" t="s">
        <v>23</v>
      </c>
      <c r="B25" s="63" t="s">
        <v>58</v>
      </c>
      <c r="C25" s="12"/>
      <c r="D25" s="13"/>
      <c r="E25" s="48"/>
      <c r="F25" s="37" t="s">
        <v>38</v>
      </c>
      <c r="G25" s="6"/>
      <c r="H25" s="7"/>
    </row>
    <row r="26" spans="1:8" ht="19.5" customHeight="1" thickBot="1" x14ac:dyDescent="0.3">
      <c r="A26" s="39"/>
      <c r="B26" s="16" t="s">
        <v>59</v>
      </c>
      <c r="C26" s="4"/>
      <c r="D26" s="17"/>
      <c r="E26" s="51" t="s">
        <v>24</v>
      </c>
      <c r="F26" s="52"/>
      <c r="G26" s="44"/>
      <c r="H26" s="49">
        <f>SUM(H16:H23)</f>
        <v>2044790</v>
      </c>
    </row>
    <row r="27" spans="1:8" ht="19.5" customHeight="1" x14ac:dyDescent="0.25">
      <c r="A27" s="24" t="s">
        <v>25</v>
      </c>
      <c r="B27" s="12"/>
      <c r="C27" s="12"/>
      <c r="D27" s="12"/>
      <c r="E27" s="53" t="s">
        <v>29</v>
      </c>
      <c r="F27" s="23"/>
      <c r="G27" s="54">
        <v>0.19</v>
      </c>
      <c r="H27" s="40">
        <f>H26*G27</f>
        <v>388510.1</v>
      </c>
    </row>
    <row r="28" spans="1:8" ht="19.5" customHeight="1" x14ac:dyDescent="0.25">
      <c r="A28" s="14" t="s">
        <v>30</v>
      </c>
      <c r="E28" s="55" t="s">
        <v>26</v>
      </c>
      <c r="G28" s="58">
        <v>2.5000000000000001E-2</v>
      </c>
      <c r="H28" s="50"/>
    </row>
    <row r="29" spans="1:8" ht="15.75" x14ac:dyDescent="0.25">
      <c r="A29" s="14" t="s">
        <v>51</v>
      </c>
      <c r="E29" s="14"/>
      <c r="F29" s="33"/>
      <c r="G29" s="45"/>
      <c r="H29" s="15"/>
    </row>
    <row r="30" spans="1:8" ht="16.5" thickBot="1" x14ac:dyDescent="0.3">
      <c r="A30" s="14" t="s">
        <v>32</v>
      </c>
      <c r="E30" s="56" t="s">
        <v>27</v>
      </c>
      <c r="F30" s="57"/>
      <c r="G30" s="46"/>
      <c r="H30" s="17"/>
    </row>
    <row r="31" spans="1:8" ht="19.5" thickBot="1" x14ac:dyDescent="0.35">
      <c r="A31" s="16"/>
      <c r="B31" s="4"/>
      <c r="C31" s="4"/>
      <c r="D31" s="17"/>
      <c r="F31" s="3"/>
      <c r="G31" s="34" t="s">
        <v>28</v>
      </c>
      <c r="H31" s="36">
        <f>H26+H27</f>
        <v>2433300.1</v>
      </c>
    </row>
    <row r="32" spans="1:8" ht="16.5" customHeight="1" x14ac:dyDescent="0.25"/>
    <row r="37" spans="1:8" ht="15.75" thickBot="1" x14ac:dyDescent="0.3"/>
    <row r="38" spans="1:8" ht="19.5" thickBot="1" x14ac:dyDescent="0.35">
      <c r="A38" s="25" t="s">
        <v>39</v>
      </c>
      <c r="B38" s="6"/>
      <c r="C38" s="6"/>
      <c r="D38" s="6"/>
      <c r="E38" s="6"/>
      <c r="F38" s="6"/>
      <c r="G38" s="6"/>
      <c r="H38" s="7"/>
    </row>
    <row r="46" spans="1:8" ht="18.75" x14ac:dyDescent="0.3">
      <c r="A46" s="5"/>
    </row>
  </sheetData>
  <hyperlinks>
    <hyperlink ref="C10" r:id="rId1" xr:uid="{8F43A36E-74A2-490C-90FB-7E00F398DFF6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JUAN DAVID VILLA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2025-05-26T19:45:32Z</cp:lastPrinted>
  <dcterms:created xsi:type="dcterms:W3CDTF">2018-11-15T17:29:02Z</dcterms:created>
  <dcterms:modified xsi:type="dcterms:W3CDTF">2025-05-26T22:26:36Z</dcterms:modified>
</cp:coreProperties>
</file>