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000~4400\"/>
    </mc:Choice>
  </mc:AlternateContent>
  <xr:revisionPtr revIDLastSave="0" documentId="13_ncr:1_{0B5FDB8F-70D4-4C28-A099-F80B8D1C813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V M TERMOCALDERA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4" i="1"/>
  <c r="H23" i="1"/>
  <c r="H21" i="1"/>
  <c r="H18" i="1"/>
  <c r="H17" i="1"/>
  <c r="H16" i="1"/>
  <c r="H22" i="1" l="1"/>
</calcChain>
</file>

<file path=xl/sharedStrings.xml><?xml version="1.0" encoding="utf-8"?>
<sst xmlns="http://schemas.openxmlformats.org/spreadsheetml/2006/main" count="59" uniqueCount="57">
  <si>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</si>
  <si>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</si>
  <si>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</si>
  <si>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</si>
  <si>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</si>
  <si>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</si>
  <si>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</si>
  <si>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</si>
  <si>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</si>
  <si>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</si>
  <si>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</si>
  <si>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</si>
  <si>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</si>
  <si>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</si>
  <si>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</si>
  <si>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</si>
  <si>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</si>
  <si>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</si>
  <si>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</si>
  <si>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</si>
  <si>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</si>
  <si>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</si>
  <si>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</si>
  <si>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</si>
  <si>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</si>
  <si>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</si>
  <si>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</si>
  <si>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</si>
  <si>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</si>
  <si>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</si>
  <si>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</si>
  <si>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</si>
  <si>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</si>
  <si>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</si>
  <si>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</si>
  <si>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</si>
  <si>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</si>
  <si>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</si>
  <si>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ACCESORIO</t>
  </si>
  <si>
    <t>901 360107</t>
  </si>
  <si>
    <t>CALLE 47 B  No. 30B-10</t>
  </si>
  <si>
    <t>PALMIRA</t>
  </si>
  <si>
    <t>vmtermocladeras.contabilidad@gmail.com</t>
  </si>
  <si>
    <t>314 7238455</t>
  </si>
  <si>
    <t>EDINSON CABEZAS</t>
  </si>
  <si>
    <t>FORMA DE PAGO : CONTADO</t>
  </si>
  <si>
    <t xml:space="preserve">          C O T I Z A C I O N</t>
  </si>
  <si>
    <t>No.  3</t>
  </si>
  <si>
    <t>BRIDA  AC/INOX 304 CIEGA  10 "  X  150  LBS</t>
  </si>
  <si>
    <t>BRIDA  AC/INOX 304 CIEGA  6 "  X  150  LBS</t>
  </si>
  <si>
    <t>BRIDA AC/INOX 304 SLIP ON 3 "  X  150  LBS</t>
  </si>
  <si>
    <t xml:space="preserve">  RETEICA</t>
  </si>
  <si>
    <t>UN MILLON SETECIENTOS OCHENTA Y UN MIL CUATRO-</t>
  </si>
  <si>
    <t>CIENTOS NOVENTA PESOS MDA / CTE</t>
  </si>
  <si>
    <t>ENTREGA EN DOS DIAS POSTERIOR A ORDEN DE COMPRA</t>
  </si>
  <si>
    <t xml:space="preserve">  CALLE  33A  No. 17F - 56                              B/  LA FLORESTA             -   CALI    -                                   CEL.     321 7834969</t>
  </si>
  <si>
    <t>V M TERMOCALDERAS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</si>
</sst>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42" fontId="1" fillId="0" borderId="17" xfId="0" applyNumberFormat="1" applyFont="1" applyBorder="1"/>
    <xf numFmtId="0" fontId="0" fillId="0" borderId="16" xfId="0" applyBorder="1"/>
    <xf numFmtId="0" fontId="12" fillId="0" borderId="0" xfId="0" applyFont="1" applyAlignment="1">
      <alignment horizontal="center"/>
    </xf>
    <xf numFmtId="42" fontId="1" fillId="0" borderId="17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8" fillId="0" borderId="19" xfId="0" applyFont="1" applyBorder="1"/>
    <xf numFmtId="0" fontId="8" fillId="0" borderId="4" xfId="0" applyFont="1" applyBorder="1"/>
    <xf numFmtId="0" fontId="8" fillId="0" borderId="18" xfId="0" applyFont="1" applyBorder="1"/>
    <xf numFmtId="0" fontId="1" fillId="0" borderId="19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8" fillId="0" borderId="7" xfId="0" applyFont="1" applyBorder="1"/>
    <xf numFmtId="42" fontId="1" fillId="0" borderId="4" xfId="1" applyFont="1" applyBorder="1" applyAlignment="1">
      <alignment horizontal="left"/>
    </xf>
    <xf numFmtId="0" fontId="0" fillId="0" borderId="20" xfId="0" applyBorder="1"/>
    <xf numFmtId="0" fontId="4" fillId="0" borderId="3" xfId="0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3" fillId="0" borderId="26" xfId="2" applyBorder="1"/>
    <xf numFmtId="0" fontId="0" fillId="0" borderId="27" xfId="0" applyBorder="1"/>
    <xf numFmtId="0" fontId="0" fillId="0" borderId="26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42" fontId="1" fillId="0" borderId="17" xfId="0" applyNumberFormat="1" applyFont="1" applyBorder="1" applyAlignment="1">
      <alignment horizontal="left"/>
    </xf>
    <xf numFmtId="0" fontId="0" fillId="0" borderId="3" xfId="0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5" xfId="0" applyNumberFormat="1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28" xfId="0" applyFont="1" applyBorder="1"/>
    <xf numFmtId="0" fontId="4" fillId="0" borderId="29" xfId="0" applyFont="1" applyBorder="1"/>
    <xf numFmtId="0" fontId="1" fillId="0" borderId="27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mtermocladeras.contabilida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1"/>
  <sheetViews>
    <sheetView tabSelected="1" topLeftCell="A7" zoomScaleNormal="100" workbookViewId="0">
      <selection activeCell="K22" sqref="K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9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7" t="s">
        <v>7</v>
      </c>
      <c r="B4" s="6"/>
      <c r="C4" s="6"/>
      <c r="D4" s="28" t="s">
        <v>35</v>
      </c>
      <c r="E4" s="18"/>
      <c r="F4" s="19"/>
      <c r="G4" s="6"/>
      <c r="H4" s="7"/>
    </row>
    <row r="5" spans="1:8" ht="19.5" thickBot="1" x14ac:dyDescent="0.35">
      <c r="A5" s="43" t="s">
        <v>37</v>
      </c>
      <c r="B5" s="6"/>
      <c r="C5" s="6"/>
      <c r="D5" s="6"/>
      <c r="E5" s="6"/>
    </row>
    <row r="6" spans="1:8" ht="24.75" customHeight="1" thickBot="1" x14ac:dyDescent="0.45">
      <c r="F6" s="11" t="s">
        <v>46</v>
      </c>
      <c r="G6" s="18"/>
      <c r="H6" s="19"/>
    </row>
    <row r="7" spans="1:8" ht="19.5" thickBot="1" x14ac:dyDescent="0.35">
      <c r="A7" s="20" t="s">
        <v>14</v>
      </c>
      <c r="B7" s="13"/>
      <c r="C7" s="58" t="s">
        <v>56</v>
      </c>
      <c r="D7" s="6"/>
      <c r="E7" s="7"/>
      <c r="F7" s="26"/>
      <c r="G7" s="18"/>
      <c r="H7" s="19" t="s">
        <v>47</v>
      </c>
    </row>
    <row r="8" spans="1:8" ht="18.75" x14ac:dyDescent="0.3">
      <c r="A8" s="21" t="s">
        <v>8</v>
      </c>
      <c r="C8" s="59" t="s">
        <v>39</v>
      </c>
      <c r="D8" s="60"/>
      <c r="E8" s="61"/>
      <c r="F8" s="12"/>
      <c r="G8" s="13"/>
      <c r="H8" s="14"/>
    </row>
    <row r="9" spans="1:8" ht="18.75" customHeight="1" x14ac:dyDescent="0.3">
      <c r="A9" s="21" t="s">
        <v>9</v>
      </c>
      <c r="C9" s="62" t="s">
        <v>40</v>
      </c>
      <c r="D9" s="23"/>
      <c r="E9" s="63" t="s">
        <v>41</v>
      </c>
      <c r="F9" s="29" t="s">
        <v>0</v>
      </c>
      <c r="H9" s="30">
        <v>45853</v>
      </c>
    </row>
    <row r="10" spans="1:8" ht="18.75" x14ac:dyDescent="0.3">
      <c r="A10" s="21" t="s">
        <v>13</v>
      </c>
      <c r="C10" s="64" t="s">
        <v>42</v>
      </c>
      <c r="D10" s="24"/>
      <c r="E10" s="65"/>
      <c r="F10" s="29" t="s">
        <v>15</v>
      </c>
      <c r="H10" s="31" t="s">
        <v>34</v>
      </c>
    </row>
    <row r="11" spans="1:8" ht="18.75" x14ac:dyDescent="0.3">
      <c r="A11" s="21" t="s">
        <v>10</v>
      </c>
      <c r="C11" s="66"/>
      <c r="D11" s="24"/>
      <c r="E11" s="65"/>
      <c r="F11" s="29" t="s">
        <v>16</v>
      </c>
      <c r="G11" s="32"/>
      <c r="H11" s="30">
        <v>45862</v>
      </c>
    </row>
    <row r="12" spans="1:8" ht="18.75" x14ac:dyDescent="0.3">
      <c r="A12" s="21" t="s">
        <v>11</v>
      </c>
      <c r="C12" s="66" t="s">
        <v>43</v>
      </c>
      <c r="D12" s="24"/>
      <c r="E12" s="65"/>
      <c r="F12" s="29" t="s">
        <v>17</v>
      </c>
      <c r="H12" s="33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69"/>
      <c r="F13" s="16"/>
      <c r="G13" s="4"/>
      <c r="H13" s="17"/>
    </row>
    <row r="14" spans="1:8" ht="15.75" thickBot="1" x14ac:dyDescent="0.3"/>
    <row r="15" spans="1:8" ht="15.75" thickBot="1" x14ac:dyDescent="0.3">
      <c r="A15" s="47" t="s">
        <v>19</v>
      </c>
      <c r="B15" s="42" t="s">
        <v>24</v>
      </c>
      <c r="C15" s="18"/>
      <c r="D15" s="7"/>
      <c r="E15" s="34" t="s">
        <v>20</v>
      </c>
      <c r="F15" s="34" t="s">
        <v>22</v>
      </c>
      <c r="G15" s="34" t="s">
        <v>21</v>
      </c>
      <c r="H15" s="34" t="s">
        <v>23</v>
      </c>
    </row>
    <row r="16" spans="1:8" ht="16.5" thickBot="1" x14ac:dyDescent="0.3">
      <c r="A16" s="48">
        <v>1</v>
      </c>
      <c r="B16" s="49" t="s">
        <v>48</v>
      </c>
      <c r="C16" s="50"/>
      <c r="D16" s="51"/>
      <c r="E16" s="52" t="s">
        <v>38</v>
      </c>
      <c r="F16" s="53">
        <v>963000</v>
      </c>
      <c r="G16" s="48">
        <v>1</v>
      </c>
      <c r="H16" s="44">
        <f t="shared" ref="H16" si="0">G16*F16</f>
        <v>963000</v>
      </c>
    </row>
    <row r="17" spans="1:8" ht="15.75" customHeight="1" thickBot="1" x14ac:dyDescent="0.3">
      <c r="A17" s="48">
        <v>2</v>
      </c>
      <c r="B17" s="49" t="s">
        <v>49</v>
      </c>
      <c r="C17" s="50"/>
      <c r="D17" s="51"/>
      <c r="E17" s="52" t="s">
        <v>38</v>
      </c>
      <c r="F17" s="53">
        <v>467000</v>
      </c>
      <c r="G17" s="48">
        <v>1</v>
      </c>
      <c r="H17" s="44">
        <f t="shared" ref="H17:H18" si="1">G17*F17</f>
        <v>467000</v>
      </c>
    </row>
    <row r="18" spans="1:8" ht="16.5" thickBot="1" x14ac:dyDescent="0.3">
      <c r="A18" s="48">
        <v>3</v>
      </c>
      <c r="B18" s="49" t="s">
        <v>50</v>
      </c>
      <c r="C18" s="50"/>
      <c r="D18" s="51"/>
      <c r="E18" s="52" t="s">
        <v>38</v>
      </c>
      <c r="F18" s="53">
        <v>109350</v>
      </c>
      <c r="G18" s="48">
        <v>1</v>
      </c>
      <c r="H18" s="44">
        <f t="shared" si="1"/>
        <v>109350</v>
      </c>
    </row>
    <row r="19" spans="1:8" ht="16.5" thickBot="1" x14ac:dyDescent="0.3">
      <c r="A19" s="54"/>
      <c r="B19" s="55"/>
      <c r="C19" s="55"/>
      <c r="D19" s="55"/>
      <c r="E19" s="48"/>
      <c r="F19" s="53"/>
      <c r="G19" s="48"/>
      <c r="H19" s="56"/>
    </row>
    <row r="20" spans="1:8" ht="19.5" customHeight="1" thickBot="1" x14ac:dyDescent="0.35">
      <c r="A20" s="45" t="s">
        <v>25</v>
      </c>
      <c r="B20" s="12" t="s">
        <v>52</v>
      </c>
      <c r="C20" s="13"/>
      <c r="D20" s="14"/>
      <c r="E20" s="71"/>
      <c r="F20" s="43" t="s">
        <v>31</v>
      </c>
      <c r="G20" s="6"/>
      <c r="H20" s="7"/>
    </row>
    <row r="21" spans="1:8" ht="19.5" customHeight="1" thickBot="1" x14ac:dyDescent="0.3">
      <c r="A21" s="46"/>
      <c r="B21" s="16" t="s">
        <v>53</v>
      </c>
      <c r="C21" s="4"/>
      <c r="D21" s="4"/>
      <c r="E21" s="72" t="s">
        <v>26</v>
      </c>
      <c r="F21" s="73"/>
      <c r="G21" s="61"/>
      <c r="H21" s="70">
        <f>SUM(H16:H18)</f>
        <v>1539350</v>
      </c>
    </row>
    <row r="22" spans="1:8" ht="19.5" customHeight="1" x14ac:dyDescent="0.25">
      <c r="A22" s="25" t="s">
        <v>27</v>
      </c>
      <c r="B22" s="13"/>
      <c r="C22" s="13"/>
      <c r="D22" s="13"/>
      <c r="E22" s="74" t="s">
        <v>33</v>
      </c>
      <c r="F22" s="57"/>
      <c r="G22" s="75">
        <v>0.19</v>
      </c>
      <c r="H22" s="40">
        <f>H21*G22</f>
        <v>292476.5</v>
      </c>
    </row>
    <row r="23" spans="1:8" ht="19.5" customHeight="1" x14ac:dyDescent="0.25">
      <c r="A23" s="15" t="s">
        <v>45</v>
      </c>
      <c r="E23" s="76" t="s">
        <v>28</v>
      </c>
      <c r="G23" s="77">
        <v>2.5000000000000001E-2</v>
      </c>
      <c r="H23" s="37">
        <f>H21*G23</f>
        <v>38483.75</v>
      </c>
    </row>
    <row r="24" spans="1:8" ht="15.75" x14ac:dyDescent="0.25">
      <c r="A24" s="15" t="s">
        <v>54</v>
      </c>
      <c r="E24" s="74" t="s">
        <v>51</v>
      </c>
      <c r="F24" s="35"/>
      <c r="G24" s="80">
        <v>7.7000000000000002E-3</v>
      </c>
      <c r="H24" s="37">
        <f>H21*G24</f>
        <v>11852.995000000001</v>
      </c>
    </row>
    <row r="25" spans="1:8" ht="16.5" thickBot="1" x14ac:dyDescent="0.3">
      <c r="A25" s="15" t="s">
        <v>36</v>
      </c>
      <c r="E25" s="78" t="s">
        <v>29</v>
      </c>
      <c r="F25" s="79"/>
      <c r="G25" s="69"/>
      <c r="H25" s="38"/>
    </row>
    <row r="26" spans="1:8" ht="19.5" thickBot="1" x14ac:dyDescent="0.35">
      <c r="A26" s="16"/>
      <c r="B26" s="4"/>
      <c r="C26" s="4"/>
      <c r="D26" s="17"/>
      <c r="F26" s="3"/>
      <c r="G26" s="36" t="s">
        <v>30</v>
      </c>
      <c r="H26" s="41">
        <f>H21+H22-H23-H24</f>
        <v>1781489.7549999999</v>
      </c>
    </row>
    <row r="27" spans="1:8" ht="16.5" customHeight="1" x14ac:dyDescent="0.25"/>
    <row r="32" spans="1:8" ht="15.75" thickBot="1" x14ac:dyDescent="0.3"/>
    <row r="33" spans="1:8" ht="19.5" thickBot="1" x14ac:dyDescent="0.35">
      <c r="A33" s="26" t="s">
        <v>55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 M TERMOCALDERAS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2025-08-25T18:15:04Z</dcterms:modified>
</cp:coreProperties>
</file>