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80A7DCA-2473-4FE5-B5E4-6F183A766EE8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UB HIDROSANIATAR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6" i="1"/>
  <c r="H25" i="1"/>
  <c r="H24" i="1"/>
  <c r="H23" i="1"/>
  <c r="H22" i="1"/>
  <c r="H21" i="1"/>
  <c r="H20" i="1"/>
  <c r="H19" i="1"/>
  <c r="H18" i="1"/>
  <c r="H17" i="1"/>
  <c r="H16" i="1"/>
  <c r="H31" i="1" l="1"/>
  <c r="H30" i="1"/>
  <c r="H34" i="1" s="1"/>
</calcChain>
</file>

<file path=xl/sharedStrings.xml><?xml version="1.0" encoding="utf-8"?>
<sst xmlns="http://schemas.openxmlformats.org/spreadsheetml/2006/main" count="75" uniqueCount="66">
  <si>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</si>
  <si>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</si>
  <si>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</si>
  <si>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</si>
  <si>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</si>
  <si>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</si>
  <si>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</si>
  <si>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</si>
  <si>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</si>
  <si>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</si>
  <si>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</si>
  <si>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</si>
  <si>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</si>
  <si>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</si>
  <si>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</si>
  <si>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</si>
  <si>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</si>
  <si>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</si>
  <si>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</si>
  <si>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</si>
  <si>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</si>
  <si>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</si>
  <si>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</si>
  <si>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</si>
  <si>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</si>
  <si>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</si>
  <si>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</si>
  <si>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</si>
  <si>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</si>
  <si>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</si>
  <si>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</si>
  <si>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</si>
  <si>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</si>
  <si>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</si>
  <si>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</si>
  <si>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</si>
  <si>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</si>
  <si>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</si>
  <si>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</si>
  <si>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</si>
  <si>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UB HIDROSANITARIO S.A.S.</t>
  </si>
  <si>
    <t>900 638632</t>
  </si>
  <si>
    <t>CRA 12  No. 3S-18</t>
  </si>
  <si>
    <t>JAMUNDI</t>
  </si>
  <si>
    <t>hidrosanitariossas@outlook.com</t>
  </si>
  <si>
    <t>318 4294271</t>
  </si>
  <si>
    <t>LUIS A. BENAVIDES</t>
  </si>
  <si>
    <t xml:space="preserve"> </t>
  </si>
  <si>
    <t>No. 5</t>
  </si>
  <si>
    <t xml:space="preserve">           C O T I Z A C I O N </t>
  </si>
  <si>
    <t>TUBERIA  A / C SCH 10  RANURADA  4 "</t>
  </si>
  <si>
    <t>METRO LINEAL</t>
  </si>
  <si>
    <t>NIPLE  A / C  2 1/2 "  X  4 "</t>
  </si>
  <si>
    <t>TEE MECANICA RANURADA  4 "  X  2 1/2 "</t>
  </si>
  <si>
    <t>CODO  HD RANURADO 2 1/2 "  X  90 º</t>
  </si>
  <si>
    <t>CODO  HD RANURADO  4 "  X  90 º</t>
  </si>
  <si>
    <t>UNION HD RANURADA  4 "</t>
  </si>
  <si>
    <t>UNION HD RANURADA  2 1/2 "</t>
  </si>
  <si>
    <t>VALVULA ANGULAR  2 1/2 "</t>
  </si>
  <si>
    <t>GABINETE PARA VALVULA</t>
  </si>
  <si>
    <t>SOPORTE PERA  4 "</t>
  </si>
  <si>
    <t>SOPORTE PERA  2 1/2 "</t>
  </si>
  <si>
    <t>CINCO MILLONES CIENTO CATORCE MIL NOVECIENTOS</t>
  </si>
  <si>
    <t>NUEVE PESOS MDA / CTE</t>
  </si>
  <si>
    <t>FORMA DE PAGO : CREDITO 15 DIAS</t>
  </si>
  <si>
    <t>ENTREGA EN DOS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</si>
</sst>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29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idrosanitariossa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9"/>
  <sheetViews>
    <sheetView tabSelected="1" zoomScaleNormal="100" workbookViewId="0">
      <selection activeCell="G12" sqref="G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61" t="s">
        <v>40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3" t="s">
        <v>41</v>
      </c>
      <c r="D8" s="64"/>
      <c r="E8" s="44"/>
      <c r="H8" s="15" t="s">
        <v>47</v>
      </c>
    </row>
    <row r="9" spans="1:8" ht="18.75" customHeight="1" x14ac:dyDescent="0.3">
      <c r="A9" s="21" t="s">
        <v>9</v>
      </c>
      <c r="C9" s="65" t="s">
        <v>42</v>
      </c>
      <c r="D9" s="23"/>
      <c r="E9" s="66" t="s">
        <v>43</v>
      </c>
      <c r="F9" s="30" t="s">
        <v>0</v>
      </c>
      <c r="H9" s="28">
        <v>45659</v>
      </c>
    </row>
    <row r="10" spans="1:8" ht="18.75" x14ac:dyDescent="0.3">
      <c r="A10" s="21" t="s">
        <v>13</v>
      </c>
      <c r="C10" s="67" t="s">
        <v>44</v>
      </c>
      <c r="D10" s="62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8"/>
      <c r="D11" s="62"/>
      <c r="E11" s="45"/>
      <c r="F11" s="30" t="s">
        <v>16</v>
      </c>
      <c r="G11" s="30"/>
      <c r="H11" s="28">
        <v>45668</v>
      </c>
    </row>
    <row r="12" spans="1:8" ht="18.75" x14ac:dyDescent="0.3">
      <c r="A12" s="21" t="s">
        <v>11</v>
      </c>
      <c r="C12" s="68" t="s">
        <v>45</v>
      </c>
      <c r="D12" s="62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9" t="s">
        <v>46</v>
      </c>
      <c r="D13" s="70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36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1">
        <v>1</v>
      </c>
      <c r="B16" s="72" t="s">
        <v>50</v>
      </c>
      <c r="C16" s="73"/>
      <c r="D16" s="74"/>
      <c r="E16" s="71" t="s">
        <v>51</v>
      </c>
      <c r="F16" s="75">
        <v>87500</v>
      </c>
      <c r="G16" s="71">
        <v>11.6</v>
      </c>
      <c r="H16" s="38">
        <f t="shared" ref="H16" si="0">G16*F16</f>
        <v>1015000</v>
      </c>
    </row>
    <row r="17" spans="1:8" ht="16.5" thickBot="1" x14ac:dyDescent="0.3">
      <c r="A17" s="71">
        <v>2</v>
      </c>
      <c r="B17" s="72" t="s">
        <v>52</v>
      </c>
      <c r="C17" s="73"/>
      <c r="D17" s="74"/>
      <c r="E17" s="71" t="s">
        <v>39</v>
      </c>
      <c r="F17" s="75">
        <v>28000</v>
      </c>
      <c r="G17" s="71">
        <v>5</v>
      </c>
      <c r="H17" s="38">
        <f t="shared" ref="H17:H26" si="1">G17*F17</f>
        <v>140000</v>
      </c>
    </row>
    <row r="18" spans="1:8" ht="16.5" thickBot="1" x14ac:dyDescent="0.3">
      <c r="A18" s="71">
        <v>3</v>
      </c>
      <c r="B18" s="72" t="s">
        <v>53</v>
      </c>
      <c r="C18" s="73"/>
      <c r="D18" s="74"/>
      <c r="E18" s="71" t="s">
        <v>39</v>
      </c>
      <c r="F18" s="75">
        <v>45700</v>
      </c>
      <c r="G18" s="71">
        <v>4</v>
      </c>
      <c r="H18" s="38">
        <f t="shared" si="1"/>
        <v>182800</v>
      </c>
    </row>
    <row r="19" spans="1:8" ht="16.5" thickBot="1" x14ac:dyDescent="0.3">
      <c r="A19" s="71">
        <v>4</v>
      </c>
      <c r="B19" s="72" t="s">
        <v>54</v>
      </c>
      <c r="C19" s="73"/>
      <c r="D19" s="74"/>
      <c r="E19" s="71" t="s">
        <v>39</v>
      </c>
      <c r="F19" s="75">
        <v>25800</v>
      </c>
      <c r="G19" s="71">
        <v>3</v>
      </c>
      <c r="H19" s="38">
        <f t="shared" si="1"/>
        <v>77400</v>
      </c>
    </row>
    <row r="20" spans="1:8" ht="16.5" thickBot="1" x14ac:dyDescent="0.3">
      <c r="A20" s="71">
        <v>5</v>
      </c>
      <c r="B20" s="72" t="s">
        <v>55</v>
      </c>
      <c r="C20" s="73"/>
      <c r="D20" s="74"/>
      <c r="E20" s="71" t="s">
        <v>39</v>
      </c>
      <c r="F20" s="75">
        <v>44200</v>
      </c>
      <c r="G20" s="71">
        <v>2</v>
      </c>
      <c r="H20" s="38">
        <f t="shared" si="1"/>
        <v>88400</v>
      </c>
    </row>
    <row r="21" spans="1:8" ht="16.5" thickBot="1" x14ac:dyDescent="0.3">
      <c r="A21" s="71">
        <v>6</v>
      </c>
      <c r="B21" s="72" t="s">
        <v>56</v>
      </c>
      <c r="C21" s="73"/>
      <c r="D21" s="74"/>
      <c r="E21" s="71" t="s">
        <v>39</v>
      </c>
      <c r="F21" s="75">
        <v>25400</v>
      </c>
      <c r="G21" s="71">
        <v>9</v>
      </c>
      <c r="H21" s="38">
        <f t="shared" si="1"/>
        <v>228600</v>
      </c>
    </row>
    <row r="22" spans="1:8" ht="16.5" thickBot="1" x14ac:dyDescent="0.3">
      <c r="A22" s="71">
        <v>7</v>
      </c>
      <c r="B22" s="72" t="s">
        <v>57</v>
      </c>
      <c r="C22" s="73"/>
      <c r="D22" s="74"/>
      <c r="E22" s="71" t="s">
        <v>39</v>
      </c>
      <c r="F22" s="75">
        <v>19460</v>
      </c>
      <c r="G22" s="71">
        <v>8</v>
      </c>
      <c r="H22" s="38">
        <f t="shared" si="1"/>
        <v>155680</v>
      </c>
    </row>
    <row r="23" spans="1:8" ht="16.5" thickBot="1" x14ac:dyDescent="0.3">
      <c r="A23" s="71">
        <v>8</v>
      </c>
      <c r="B23" s="72" t="s">
        <v>58</v>
      </c>
      <c r="C23" s="73"/>
      <c r="D23" s="74"/>
      <c r="E23" s="71" t="s">
        <v>39</v>
      </c>
      <c r="F23" s="75">
        <v>349800</v>
      </c>
      <c r="G23" s="71">
        <v>5</v>
      </c>
      <c r="H23" s="38">
        <f t="shared" si="1"/>
        <v>1749000</v>
      </c>
    </row>
    <row r="24" spans="1:8" ht="16.5" thickBot="1" x14ac:dyDescent="0.3">
      <c r="A24" s="71">
        <v>9</v>
      </c>
      <c r="B24" s="72" t="s">
        <v>59</v>
      </c>
      <c r="C24" s="73"/>
      <c r="D24" s="74"/>
      <c r="E24" s="71" t="s">
        <v>39</v>
      </c>
      <c r="F24" s="75">
        <v>130000</v>
      </c>
      <c r="G24" s="71">
        <v>5</v>
      </c>
      <c r="H24" s="38">
        <f t="shared" si="1"/>
        <v>650000</v>
      </c>
    </row>
    <row r="25" spans="1:8" ht="16.5" thickBot="1" x14ac:dyDescent="0.3">
      <c r="A25" s="71">
        <v>10</v>
      </c>
      <c r="B25" s="72" t="s">
        <v>60</v>
      </c>
      <c r="C25" s="73"/>
      <c r="D25" s="74"/>
      <c r="E25" s="71" t="s">
        <v>39</v>
      </c>
      <c r="F25" s="75">
        <v>6000</v>
      </c>
      <c r="G25" s="71">
        <v>11</v>
      </c>
      <c r="H25" s="38">
        <f t="shared" si="1"/>
        <v>66000</v>
      </c>
    </row>
    <row r="26" spans="1:8" ht="16.5" thickBot="1" x14ac:dyDescent="0.3">
      <c r="A26" s="71">
        <v>11</v>
      </c>
      <c r="B26" s="72" t="s">
        <v>61</v>
      </c>
      <c r="C26" s="73"/>
      <c r="D26" s="74"/>
      <c r="E26" s="71" t="s">
        <v>39</v>
      </c>
      <c r="F26" s="75">
        <v>4700</v>
      </c>
      <c r="G26" s="71">
        <v>8</v>
      </c>
      <c r="H26" s="38">
        <f t="shared" si="1"/>
        <v>37600</v>
      </c>
    </row>
    <row r="27" spans="1:8" ht="19.5" customHeight="1" thickBot="1" x14ac:dyDescent="0.3">
      <c r="A27" s="76"/>
      <c r="B27" s="77"/>
      <c r="C27" s="70"/>
      <c r="D27" s="78"/>
      <c r="E27" s="49"/>
      <c r="F27" s="49"/>
      <c r="G27" s="49"/>
    </row>
    <row r="28" spans="1:8" ht="19.5" customHeight="1" thickBot="1" x14ac:dyDescent="0.35">
      <c r="A28" s="48" t="s">
        <v>23</v>
      </c>
      <c r="B28" s="14" t="s">
        <v>62</v>
      </c>
      <c r="D28" s="15"/>
      <c r="E28" s="50"/>
      <c r="F28" s="37" t="s">
        <v>29</v>
      </c>
      <c r="G28" s="6"/>
      <c r="H28" s="7"/>
    </row>
    <row r="29" spans="1:8" ht="19.5" customHeight="1" thickBot="1" x14ac:dyDescent="0.3">
      <c r="A29" s="39"/>
      <c r="B29" s="16" t="s">
        <v>63</v>
      </c>
      <c r="C29" s="4"/>
      <c r="D29" s="4"/>
      <c r="E29" s="53" t="s">
        <v>24</v>
      </c>
      <c r="F29" s="54"/>
      <c r="G29" s="44"/>
      <c r="H29" s="51">
        <f>SUM(H16:H26)</f>
        <v>4390480</v>
      </c>
    </row>
    <row r="30" spans="1:8" ht="19.5" customHeight="1" x14ac:dyDescent="0.25">
      <c r="A30" s="24" t="s">
        <v>25</v>
      </c>
      <c r="B30" s="12"/>
      <c r="C30" s="12"/>
      <c r="D30" s="12"/>
      <c r="E30" s="55" t="s">
        <v>30</v>
      </c>
      <c r="F30" s="23"/>
      <c r="G30" s="56">
        <v>0.19</v>
      </c>
      <c r="H30" s="40">
        <f>H29*G30</f>
        <v>834191.2</v>
      </c>
    </row>
    <row r="31" spans="1:8" ht="19.5" customHeight="1" x14ac:dyDescent="0.25">
      <c r="A31" s="14" t="s">
        <v>64</v>
      </c>
      <c r="E31" s="57" t="s">
        <v>26</v>
      </c>
      <c r="G31" s="60">
        <v>2.5000000000000001E-2</v>
      </c>
      <c r="H31" s="52">
        <f>H29*G31</f>
        <v>109762</v>
      </c>
    </row>
    <row r="32" spans="1:8" ht="15.75" x14ac:dyDescent="0.25">
      <c r="A32" s="14" t="s">
        <v>65</v>
      </c>
      <c r="E32" s="14"/>
      <c r="F32" s="33"/>
      <c r="G32" s="45"/>
      <c r="H32" s="15"/>
    </row>
    <row r="33" spans="1:8" ht="16.5" thickBot="1" x14ac:dyDescent="0.3">
      <c r="A33" s="14" t="s">
        <v>33</v>
      </c>
      <c r="E33" s="58" t="s">
        <v>27</v>
      </c>
      <c r="F33" s="59"/>
      <c r="G33" s="46"/>
      <c r="H33" s="17"/>
    </row>
    <row r="34" spans="1:8" ht="19.5" thickBot="1" x14ac:dyDescent="0.35">
      <c r="A34" s="16"/>
      <c r="B34" s="4"/>
      <c r="C34" s="4"/>
      <c r="D34" s="17"/>
      <c r="F34" s="3"/>
      <c r="G34" s="34" t="s">
        <v>28</v>
      </c>
      <c r="H34" s="36">
        <f>H29+H30-H31</f>
        <v>5114909.2</v>
      </c>
    </row>
    <row r="35" spans="1:8" ht="16.5" customHeight="1" x14ac:dyDescent="0.25"/>
    <row r="40" spans="1:8" ht="15.75" thickBot="1" x14ac:dyDescent="0.3"/>
    <row r="41" spans="1:8" ht="19.5" thickBot="1" x14ac:dyDescent="0.35">
      <c r="A41" s="25" t="s">
        <v>34</v>
      </c>
      <c r="B41" s="6"/>
      <c r="C41" s="6"/>
      <c r="D41" s="6"/>
      <c r="E41" s="6"/>
      <c r="F41" s="6"/>
      <c r="G41" s="6"/>
      <c r="H41" s="7"/>
    </row>
    <row r="49" spans="1:1" ht="18.75" x14ac:dyDescent="0.3">
      <c r="A49" s="5"/>
    </row>
  </sheetData>
  <hyperlinks>
    <hyperlink ref="C10" r:id="rId1" xr:uid="{B078E709-34D5-4DD9-8EE3-544C5E414A8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UB HIDROSANIATARIO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2024-12-19T17:01:23Z</cp:lastPrinted>
  <dcterms:created xsi:type="dcterms:W3CDTF">2018-11-15T17:29:02Z</dcterms:created>
  <dcterms:modified xsi:type="dcterms:W3CDTF">2025-01-02T20:56:42Z</dcterms:modified>
</cp:coreProperties>
</file>