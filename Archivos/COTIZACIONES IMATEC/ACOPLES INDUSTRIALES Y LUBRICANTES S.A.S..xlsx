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47AA1E90-DEC0-483D-8265-FBDB6336E77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1" i="1" s="1"/>
  <c r="H22" i="1" l="1"/>
  <c r="H26" i="1" s="1"/>
</calcChain>
</file>

<file path=xl/sharedStrings.xml><?xml version="1.0" encoding="utf-8"?>
<sst xmlns="http://schemas.openxmlformats.org/spreadsheetml/2006/main" count="56" uniqueCount="54">
  <si>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</si>
  <si>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</si>
  <si>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</si>
  <si>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</si>
  <si>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</si>
  <si>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</si>
  <si>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</si>
  <si>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</si>
  <si>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</si>
  <si>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</si>
  <si>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</si>
  <si>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</si>
  <si>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</si>
  <si>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</si>
  <si>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</si>
  <si>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</si>
  <si>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</si>
  <si>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</si>
  <si>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</si>
  <si>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</si>
  <si>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</si>
  <si>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</si>
  <si>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</si>
  <si>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</si>
  <si>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</si>
  <si>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</si>
  <si>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</si>
  <si>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</si>
  <si>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</si>
  <si>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</si>
  <si>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</si>
  <si>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</si>
  <si>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</si>
  <si>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</si>
  <si>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</si>
  <si>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</si>
  <si>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</si>
  <si>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</si>
  <si>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</si>
  <si>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</si>
  <si>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TEE AC/INOX 316  3/8 OD  X 3/8  OD X 3/8 OD</t>
  </si>
  <si>
    <t>JUEGO DE ANILLOS 3/8 "</t>
  </si>
  <si>
    <t>TUERCA AC/INOX 316  3/8 "  OD</t>
  </si>
  <si>
    <t>TRESCIENTOS ONCE MIL SETECIENTOS OCHENTA PESOS</t>
  </si>
  <si>
    <t>MDA / CTE</t>
  </si>
  <si>
    <t>ENTREGA INMEDIATA</t>
  </si>
  <si>
    <t>ACOPLES INDUSTRIALES Y LUBRICANTES  S.A.S.</t>
  </si>
  <si>
    <t xml:space="preserve">              R E M I S I O N</t>
  </si>
  <si>
    <t>901 425821</t>
  </si>
  <si>
    <t>CRA  13 A No. 7 - 07</t>
  </si>
  <si>
    <t>CALI</t>
  </si>
  <si>
    <t>acoplesylubricantes@gmail.com</t>
  </si>
  <si>
    <t>315 5707065</t>
  </si>
  <si>
    <t>EDINSON CABEZAS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</si>
</sst>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oplesylubricant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zoomScaleNormal="100" workbookViewId="0">
      <selection activeCell="C14" sqref="C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59" t="s">
        <v>46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3" t="s">
        <v>48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49</v>
      </c>
      <c r="E9" s="15" t="s">
        <v>50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64" t="s">
        <v>51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52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53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40</v>
      </c>
      <c r="C16" s="67"/>
      <c r="D16" s="68"/>
      <c r="E16" s="65" t="s">
        <v>37</v>
      </c>
      <c r="F16" s="69">
        <v>135000</v>
      </c>
      <c r="G16" s="65">
        <v>1</v>
      </c>
      <c r="H16" s="38">
        <f t="shared" ref="H16" si="0">G16*F16</f>
        <v>135000</v>
      </c>
    </row>
    <row r="17" spans="1:8" ht="16.5" thickBot="1" x14ac:dyDescent="0.3">
      <c r="A17" s="65">
        <v>2</v>
      </c>
      <c r="B17" s="66" t="s">
        <v>41</v>
      </c>
      <c r="C17" s="67"/>
      <c r="D17" s="68"/>
      <c r="E17" s="65" t="s">
        <v>37</v>
      </c>
      <c r="F17" s="69">
        <v>23000</v>
      </c>
      <c r="G17" s="65">
        <v>2</v>
      </c>
      <c r="H17" s="38">
        <f t="shared" ref="H17:H18" si="1">G17*F17</f>
        <v>46000</v>
      </c>
    </row>
    <row r="18" spans="1:8" ht="16.5" thickBot="1" x14ac:dyDescent="0.3">
      <c r="A18" s="65">
        <v>3</v>
      </c>
      <c r="B18" s="66" t="s">
        <v>42</v>
      </c>
      <c r="C18" s="67"/>
      <c r="D18" s="68"/>
      <c r="E18" s="65" t="s">
        <v>37</v>
      </c>
      <c r="F18" s="69">
        <v>27000</v>
      </c>
      <c r="G18" s="65">
        <v>3</v>
      </c>
      <c r="H18" s="38">
        <f t="shared" si="1"/>
        <v>81000</v>
      </c>
    </row>
    <row r="19" spans="1:8" ht="19.5" customHeight="1" thickBot="1" x14ac:dyDescent="0.3">
      <c r="A19" s="47"/>
      <c r="B19" s="61"/>
      <c r="D19" s="62"/>
      <c r="E19" s="47"/>
      <c r="F19" s="47"/>
      <c r="G19" s="47"/>
    </row>
    <row r="20" spans="1:8" ht="19.5" customHeight="1" thickBot="1" x14ac:dyDescent="0.35">
      <c r="A20" s="60" t="s">
        <v>23</v>
      </c>
      <c r="B20" s="63" t="s">
        <v>43</v>
      </c>
      <c r="C20" s="12"/>
      <c r="D20" s="13"/>
      <c r="E20" s="48"/>
      <c r="F20" s="37" t="s">
        <v>38</v>
      </c>
      <c r="G20" s="6"/>
      <c r="H20" s="7"/>
    </row>
    <row r="21" spans="1:8" ht="19.5" customHeight="1" thickBot="1" x14ac:dyDescent="0.3">
      <c r="A21" s="39"/>
      <c r="B21" s="16" t="s">
        <v>44</v>
      </c>
      <c r="C21" s="4"/>
      <c r="D21" s="17"/>
      <c r="E21" s="51" t="s">
        <v>24</v>
      </c>
      <c r="F21" s="52"/>
      <c r="G21" s="44"/>
      <c r="H21" s="49">
        <f>SUM(H16:H20)</f>
        <v>262000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49780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45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311780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39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CC0A5A48-CE09-4049-8BAE-A82C1A6C1805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2025-06-07T17:56:35Z</dcterms:modified>
</cp:coreProperties>
</file>