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CFAEEC5-8069-4284-9F01-7C2CFE75E41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<sst xmlns="http://schemas.openxmlformats.org/spreadsheetml/2006/main" count="56" uniqueCount="55">
  <si>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</si>
  <si>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</si>
  <si>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</si>
  <si>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</si>
  <si>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</si>
  <si>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</si>
  <si>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</si>
  <si>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</si>
  <si>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</si>
  <si>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</si>
  <si>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</si>
  <si>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</si>
  <si>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</si>
  <si>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</si>
  <si>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</si>
  <si>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</si>
  <si>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</si>
  <si>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</si>
  <si>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</si>
  <si>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</si>
  <si>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</si>
  <si>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</si>
  <si>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</si>
  <si>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</si>
  <si>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</si>
  <si>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</si>
  <si>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</si>
  <si>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</si>
  <si>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</si>
  <si>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</si>
  <si>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</si>
  <si>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</si>
  <si>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</si>
  <si>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</si>
  <si>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</si>
  <si>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</si>
  <si>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</si>
  <si>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</si>
  <si>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</si>
  <si>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O de C  No.</t>
  </si>
  <si>
    <t>INGENIERIA EN CONTROL Y AUTOMATIZACION ELECTROMECANICA S.A.S</t>
  </si>
  <si>
    <t xml:space="preserve">           C O T I Z A C I O N</t>
  </si>
  <si>
    <t>10 DIAS</t>
  </si>
  <si>
    <t>900 615176</t>
  </si>
  <si>
    <t>CRA 27 A  No. 42  - 13</t>
  </si>
  <si>
    <t>TULUA</t>
  </si>
  <si>
    <t>ingecaej@hotmail.com</t>
  </si>
  <si>
    <t>314 8856849</t>
  </si>
  <si>
    <t>EDINSON CABEZAS</t>
  </si>
  <si>
    <t>VALVULA MARIPOSA CUERPO HO DISCO INOX  6 "</t>
  </si>
  <si>
    <t>CODO A / C SCH 40  8 "  X  90 º</t>
  </si>
  <si>
    <t>No. 1</t>
  </si>
  <si>
    <t>SETECIENTOS SESENTA MIL SETECIENTOS OCHO PESOS</t>
  </si>
  <si>
    <t>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</si>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</sst>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gecaej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2" zoomScaleNormal="100" workbookViewId="0">
      <selection activeCell="I20" sqref="I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2"/>
      <c r="H6" s="43"/>
    </row>
    <row r="7" spans="1:8" ht="19.5" thickBot="1" x14ac:dyDescent="0.35">
      <c r="A7" s="20" t="s">
        <v>14</v>
      </c>
      <c r="B7" s="12"/>
      <c r="C7" s="60" t="s">
        <v>40</v>
      </c>
      <c r="D7" s="12"/>
      <c r="E7" s="13"/>
      <c r="F7" s="37"/>
      <c r="G7" s="18"/>
      <c r="H7" s="19" t="s">
        <v>51</v>
      </c>
    </row>
    <row r="8" spans="1:8" ht="18.75" x14ac:dyDescent="0.3">
      <c r="A8" s="21" t="s">
        <v>8</v>
      </c>
      <c r="C8" s="69" t="s">
        <v>43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44</v>
      </c>
      <c r="E9" s="15" t="s">
        <v>45</v>
      </c>
      <c r="F9" s="30" t="s">
        <v>0</v>
      </c>
      <c r="H9" s="28">
        <v>45762</v>
      </c>
    </row>
    <row r="10" spans="1:8" ht="18.75" x14ac:dyDescent="0.3">
      <c r="A10" s="21" t="s">
        <v>13</v>
      </c>
      <c r="C10" s="70" t="s">
        <v>46</v>
      </c>
      <c r="E10" s="15"/>
      <c r="F10" s="30" t="s">
        <v>15</v>
      </c>
      <c r="H10" s="29" t="s">
        <v>42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45771</v>
      </c>
    </row>
    <row r="12" spans="1:8" ht="18.75" x14ac:dyDescent="0.3">
      <c r="A12" s="21" t="s">
        <v>11</v>
      </c>
      <c r="C12" s="14" t="s">
        <v>47</v>
      </c>
      <c r="E12" s="15"/>
      <c r="F12" s="30" t="s">
        <v>39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33</v>
      </c>
      <c r="B15" s="24" t="s">
        <v>21</v>
      </c>
      <c r="C15" s="42"/>
      <c r="D15" s="13"/>
      <c r="E15" s="47" t="s">
        <v>17</v>
      </c>
      <c r="F15" s="47" t="s">
        <v>19</v>
      </c>
      <c r="G15" s="47" t="s">
        <v>18</v>
      </c>
      <c r="H15" s="32" t="s">
        <v>20</v>
      </c>
    </row>
    <row r="16" spans="1:8" ht="16.5" thickBot="1" x14ac:dyDescent="0.3">
      <c r="A16" s="61">
        <v>1</v>
      </c>
      <c r="B16" s="62" t="s">
        <v>49</v>
      </c>
      <c r="C16" s="63"/>
      <c r="D16" s="64"/>
      <c r="E16" s="61" t="s">
        <v>36</v>
      </c>
      <c r="F16" s="65">
        <v>423000</v>
      </c>
      <c r="G16" s="61">
        <v>1</v>
      </c>
      <c r="H16" s="38">
        <f t="shared" ref="H16:H17" si="0">G16*F16</f>
        <v>423000</v>
      </c>
    </row>
    <row r="17" spans="1:8" ht="16.5" thickBot="1" x14ac:dyDescent="0.3">
      <c r="A17" s="61">
        <v>2</v>
      </c>
      <c r="B17" s="62" t="s">
        <v>50</v>
      </c>
      <c r="C17" s="63"/>
      <c r="D17" s="64"/>
      <c r="E17" s="61" t="s">
        <v>36</v>
      </c>
      <c r="F17" s="65">
        <v>216250</v>
      </c>
      <c r="G17" s="61">
        <v>1</v>
      </c>
      <c r="H17" s="38">
        <f t="shared" si="0"/>
        <v>216250</v>
      </c>
    </row>
    <row r="18" spans="1:8" ht="19.5" customHeight="1" thickBot="1" x14ac:dyDescent="0.3">
      <c r="A18" s="48"/>
      <c r="B18" s="67"/>
      <c r="D18" s="68"/>
      <c r="E18" s="48"/>
      <c r="F18" s="48"/>
      <c r="G18" s="48"/>
    </row>
    <row r="19" spans="1:8" ht="19.5" customHeight="1" thickBot="1" x14ac:dyDescent="0.35">
      <c r="A19" s="66" t="s">
        <v>22</v>
      </c>
      <c r="B19" s="69" t="s">
        <v>52</v>
      </c>
      <c r="C19" s="12"/>
      <c r="D19" s="13"/>
      <c r="E19" s="49"/>
      <c r="F19" s="37" t="s">
        <v>37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17"/>
      <c r="E20" s="52" t="s">
        <v>23</v>
      </c>
      <c r="F20" s="53"/>
      <c r="G20" s="44"/>
      <c r="H20" s="50">
        <f>SUM(H16:H17)</f>
        <v>639250</v>
      </c>
    </row>
    <row r="21" spans="1:8" ht="19.5" customHeight="1" x14ac:dyDescent="0.25">
      <c r="A21" s="24" t="s">
        <v>24</v>
      </c>
      <c r="B21" s="12"/>
      <c r="C21" s="12"/>
      <c r="D21" s="12"/>
      <c r="E21" s="54" t="s">
        <v>28</v>
      </c>
      <c r="F21" s="23"/>
      <c r="G21" s="55">
        <v>0.19</v>
      </c>
      <c r="H21" s="40">
        <f>H20*G21</f>
        <v>121457.5</v>
      </c>
    </row>
    <row r="22" spans="1:8" ht="19.5" customHeight="1" x14ac:dyDescent="0.25">
      <c r="A22" s="14" t="s">
        <v>29</v>
      </c>
      <c r="E22" s="56" t="s">
        <v>25</v>
      </c>
      <c r="G22" s="59">
        <v>2.5000000000000001E-2</v>
      </c>
      <c r="H22" s="51"/>
    </row>
    <row r="23" spans="1:8" ht="15.75" x14ac:dyDescent="0.25">
      <c r="A23" s="14" t="s">
        <v>54</v>
      </c>
      <c r="E23" s="14"/>
      <c r="F23" s="33"/>
      <c r="G23" s="45"/>
      <c r="H23" s="15"/>
    </row>
    <row r="24" spans="1:8" ht="16.5" thickBot="1" x14ac:dyDescent="0.3">
      <c r="A24" s="14" t="s">
        <v>31</v>
      </c>
      <c r="E24" s="57" t="s">
        <v>26</v>
      </c>
      <c r="F24" s="58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27</v>
      </c>
      <c r="H25" s="36">
        <f>H20+H21-H22</f>
        <v>760707.5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38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88E5DF52-DC4E-41F3-8200-E91ACB10F11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2025-03-22T16:14:13Z</cp:lastPrinted>
  <dcterms:created xsi:type="dcterms:W3CDTF">2018-11-15T17:29:02Z</dcterms:created>
  <dcterms:modified xsi:type="dcterms:W3CDTF">2025-04-16T16:35:35Z</dcterms:modified>
</cp:coreProperties>
</file>