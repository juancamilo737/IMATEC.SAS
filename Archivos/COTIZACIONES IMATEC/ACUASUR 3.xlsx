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BBFBF27-2EF0-48E4-9E22-CECF6470D24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33" i="1"/>
  <c r="H31" i="1"/>
  <c r="H27" i="1"/>
  <c r="H26" i="1"/>
  <c r="H25" i="1"/>
  <c r="H24" i="1"/>
  <c r="H23" i="1"/>
  <c r="H21" i="1"/>
  <c r="H19" i="1"/>
  <c r="H18" i="1"/>
  <c r="H17" i="1"/>
  <c r="H16" i="1"/>
  <c r="H32" i="1" l="1"/>
</calcChain>
</file>

<file path=xl/sharedStrings.xml><?xml version="1.0" encoding="utf-8"?>
<sst xmlns="http://schemas.openxmlformats.org/spreadsheetml/2006/main" count="74" uniqueCount="66">
  <si>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</si>
  <si>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</si>
  <si>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</si>
  <si>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</si>
  <si>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</si>
  <si>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</si>
  <si>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</si>
  <si>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</si>
  <si>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</si>
  <si>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</si>
  <si>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</si>
  <si>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</si>
  <si>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</si>
  <si>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</si>
  <si>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</si>
  <si>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</si>
  <si>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</si>
  <si>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</si>
  <si>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</si>
  <si>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</si>
  <si>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</si>
  <si>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</si>
  <si>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</si>
  <si>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</si>
  <si>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</si>
  <si>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</si>
  <si>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</si>
  <si>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</si>
  <si>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</si>
  <si>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</si>
  <si>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</si>
  <si>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</si>
  <si>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</si>
  <si>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</si>
  <si>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</si>
  <si>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</si>
  <si>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</si>
  <si>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</si>
  <si>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</si>
  <si>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</si>
  <si>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</si>
  <si>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</si>
  <si>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</si>
  <si>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</si>
  <si>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</si>
  <si>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</si>
  <si>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</si>
  <si>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</si>
  <si>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</si>
  <si>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ADAPTADOR DE NOVAFORT A PVC  10 "</t>
  </si>
  <si>
    <t>ADAPTADOR DE NOVAFORT A PVC  8 "</t>
  </si>
  <si>
    <t>ACCESORIO</t>
  </si>
  <si>
    <t>CODO NOVAFORT  8 "  X  90º</t>
  </si>
  <si>
    <t>VALVULA MARIPOSA CORTINA AC/INOX 304  X</t>
  </si>
  <si>
    <t>CORTINA EN HIERRO  8 "  X  150 LB</t>
  </si>
  <si>
    <t>CORTINA EN HIERRO  10 "  X  150 LB</t>
  </si>
  <si>
    <t>TUBERIA NOVAFORT  8 "</t>
  </si>
  <si>
    <t>METRO LINEAL</t>
  </si>
  <si>
    <t>BRIDA LOCA 8"  CON ACCESORIOS</t>
  </si>
  <si>
    <t>BRIDA LOCA  10"  CON ACCESORIOS</t>
  </si>
  <si>
    <t>NIPLE EN AC/INOX 304  8 "  X  20 CMTS</t>
  </si>
  <si>
    <t>FABRCACION</t>
  </si>
  <si>
    <t>NIPLE EN AC/INOX 304  10 "  X  24 CMTS</t>
  </si>
  <si>
    <t>DOCE MILLONES SETECIENTOS CINCUENTA Y OCHO MIL</t>
  </si>
  <si>
    <t>SETECIENTOS TREINTA Y UN PESOS MDA / CTE</t>
  </si>
  <si>
    <t>No.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</si>
</sst>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5" xfId="0" applyBorder="1"/>
    <xf numFmtId="0" fontId="0" fillId="0" borderId="13" xfId="0" applyBorder="1"/>
    <xf numFmtId="0" fontId="0" fillId="0" borderId="39" xfId="0" applyBorder="1"/>
    <xf numFmtId="0" fontId="0" fillId="0" borderId="24" xfId="0" applyBorder="1"/>
    <xf numFmtId="0" fontId="13" fillId="0" borderId="25" xfId="2" applyBorder="1"/>
    <xf numFmtId="0" fontId="0" fillId="0" borderId="27" xfId="0" applyBorder="1"/>
    <xf numFmtId="0" fontId="0" fillId="0" borderId="28" xfId="0" applyBorder="1"/>
    <xf numFmtId="0" fontId="0" fillId="0" borderId="21" xfId="0" applyBorder="1"/>
    <xf numFmtId="0" fontId="0" fillId="0" borderId="22" xfId="0" applyBorder="1"/>
    <xf numFmtId="0" fontId="5" fillId="0" borderId="5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1"/>
  <sheetViews>
    <sheetView tabSelected="1" topLeftCell="A13" zoomScaleNormal="100" workbookViewId="0">
      <selection activeCell="I29" sqref="I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76" t="s">
        <v>42</v>
      </c>
      <c r="D7" s="12"/>
      <c r="E7" s="13"/>
      <c r="F7" s="37"/>
      <c r="G7" s="18"/>
      <c r="H7" s="86" t="s">
        <v>65</v>
      </c>
    </row>
    <row r="8" spans="1:8" ht="18.75" x14ac:dyDescent="0.3">
      <c r="A8" s="21" t="s">
        <v>8</v>
      </c>
      <c r="C8" s="84" t="s">
        <v>43</v>
      </c>
      <c r="D8" s="85"/>
      <c r="E8" s="46"/>
      <c r="H8" s="15"/>
    </row>
    <row r="9" spans="1:8" ht="18.75" customHeight="1" x14ac:dyDescent="0.3">
      <c r="A9" s="21" t="s">
        <v>9</v>
      </c>
      <c r="C9" s="79" t="s">
        <v>44</v>
      </c>
      <c r="D9" s="23"/>
      <c r="E9" s="80" t="s">
        <v>45</v>
      </c>
      <c r="F9" s="30" t="s">
        <v>0</v>
      </c>
      <c r="H9" s="28">
        <v>45563</v>
      </c>
    </row>
    <row r="10" spans="1:8" ht="18.75" x14ac:dyDescent="0.3">
      <c r="A10" s="21" t="s">
        <v>13</v>
      </c>
      <c r="C10" s="81" t="s">
        <v>46</v>
      </c>
      <c r="D10" s="78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7"/>
      <c r="D11" s="78"/>
      <c r="E11" s="47"/>
      <c r="F11" s="30" t="s">
        <v>16</v>
      </c>
      <c r="G11" s="30"/>
      <c r="H11" s="28">
        <v>45572</v>
      </c>
    </row>
    <row r="12" spans="1:8" ht="18.75" x14ac:dyDescent="0.3">
      <c r="A12" s="21" t="s">
        <v>11</v>
      </c>
      <c r="C12" s="77" t="s">
        <v>47</v>
      </c>
      <c r="D12" s="78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82" t="s">
        <v>48</v>
      </c>
      <c r="D13" s="8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6" t="s">
        <v>49</v>
      </c>
      <c r="C16" s="57"/>
      <c r="D16" s="58"/>
      <c r="E16" s="53" t="s">
        <v>51</v>
      </c>
      <c r="F16" s="62">
        <v>369000</v>
      </c>
      <c r="G16" s="53">
        <v>2</v>
      </c>
      <c r="H16" s="38">
        <f t="shared" ref="H16" si="0">G16*F16</f>
        <v>738000</v>
      </c>
    </row>
    <row r="17" spans="1:8" ht="16.5" thickBot="1" x14ac:dyDescent="0.3">
      <c r="A17" s="54">
        <v>2</v>
      </c>
      <c r="B17" s="49" t="s">
        <v>50</v>
      </c>
      <c r="C17" s="49"/>
      <c r="D17" s="60"/>
      <c r="E17" s="54" t="s">
        <v>51</v>
      </c>
      <c r="F17" s="63">
        <v>160500</v>
      </c>
      <c r="G17" s="54">
        <v>4</v>
      </c>
      <c r="H17" s="38">
        <f t="shared" ref="H17:H27" si="1">G17*F17</f>
        <v>642000</v>
      </c>
    </row>
    <row r="18" spans="1:8" ht="16.5" thickBot="1" x14ac:dyDescent="0.3">
      <c r="A18" s="54">
        <v>3</v>
      </c>
      <c r="B18" s="59" t="s">
        <v>52</v>
      </c>
      <c r="C18" s="49"/>
      <c r="D18" s="60"/>
      <c r="E18" s="54" t="s">
        <v>51</v>
      </c>
      <c r="F18" s="63">
        <v>154000</v>
      </c>
      <c r="G18" s="54">
        <v>4</v>
      </c>
      <c r="H18" s="38">
        <f t="shared" si="1"/>
        <v>616000</v>
      </c>
    </row>
    <row r="19" spans="1:8" ht="16.5" thickBot="1" x14ac:dyDescent="0.3">
      <c r="A19" s="54">
        <v>4</v>
      </c>
      <c r="B19" s="59" t="s">
        <v>53</v>
      </c>
      <c r="C19" s="49"/>
      <c r="D19" s="60"/>
      <c r="E19" s="54" t="s">
        <v>51</v>
      </c>
      <c r="F19" s="63">
        <v>546000</v>
      </c>
      <c r="G19" s="54">
        <v>2</v>
      </c>
      <c r="H19" s="38">
        <f t="shared" si="1"/>
        <v>1092000</v>
      </c>
    </row>
    <row r="20" spans="1:8" ht="16.5" thickBot="1" x14ac:dyDescent="0.3">
      <c r="A20" s="54"/>
      <c r="B20" s="59" t="s">
        <v>54</v>
      </c>
      <c r="C20" s="49"/>
      <c r="D20" s="60"/>
      <c r="E20" s="54"/>
      <c r="F20" s="63"/>
      <c r="G20" s="54"/>
      <c r="H20" s="38"/>
    </row>
    <row r="21" spans="1:8" ht="16.5" thickBot="1" x14ac:dyDescent="0.3">
      <c r="A21" s="54">
        <v>5</v>
      </c>
      <c r="B21" s="59" t="s">
        <v>53</v>
      </c>
      <c r="C21" s="49"/>
      <c r="D21" s="60"/>
      <c r="E21" s="54" t="s">
        <v>51</v>
      </c>
      <c r="F21" s="63">
        <v>1317500</v>
      </c>
      <c r="G21" s="54">
        <v>1</v>
      </c>
      <c r="H21" s="38">
        <f t="shared" si="1"/>
        <v>1317500</v>
      </c>
    </row>
    <row r="22" spans="1:8" ht="16.5" thickBot="1" x14ac:dyDescent="0.3">
      <c r="A22" s="54"/>
      <c r="B22" s="59" t="s">
        <v>55</v>
      </c>
      <c r="C22" s="49"/>
      <c r="D22" s="60"/>
      <c r="E22" s="54"/>
      <c r="F22" s="63"/>
      <c r="G22" s="54"/>
      <c r="H22" s="38"/>
    </row>
    <row r="23" spans="1:8" ht="16.5" thickBot="1" x14ac:dyDescent="0.3">
      <c r="A23" s="54">
        <v>6</v>
      </c>
      <c r="B23" s="59" t="s">
        <v>56</v>
      </c>
      <c r="C23" s="49"/>
      <c r="D23" s="60"/>
      <c r="E23" s="54" t="s">
        <v>57</v>
      </c>
      <c r="F23" s="63">
        <v>38850</v>
      </c>
      <c r="G23" s="54">
        <v>12</v>
      </c>
      <c r="H23" s="38">
        <f t="shared" si="1"/>
        <v>466200</v>
      </c>
    </row>
    <row r="24" spans="1:8" ht="16.5" thickBot="1" x14ac:dyDescent="0.3">
      <c r="A24" s="54">
        <v>7</v>
      </c>
      <c r="B24" s="59" t="s">
        <v>58</v>
      </c>
      <c r="C24" s="49"/>
      <c r="D24" s="60"/>
      <c r="E24" s="54" t="s">
        <v>51</v>
      </c>
      <c r="F24" s="63">
        <v>140000</v>
      </c>
      <c r="G24" s="54">
        <v>4</v>
      </c>
      <c r="H24" s="38">
        <f t="shared" si="1"/>
        <v>560000</v>
      </c>
    </row>
    <row r="25" spans="1:8" ht="16.5" thickBot="1" x14ac:dyDescent="0.3">
      <c r="A25" s="54">
        <v>8</v>
      </c>
      <c r="B25" s="59" t="s">
        <v>59</v>
      </c>
      <c r="C25" s="49"/>
      <c r="D25" s="60"/>
      <c r="E25" s="54" t="s">
        <v>51</v>
      </c>
      <c r="F25" s="63">
        <v>310000</v>
      </c>
      <c r="G25" s="54">
        <v>2</v>
      </c>
      <c r="H25" s="38">
        <f t="shared" si="1"/>
        <v>620000</v>
      </c>
    </row>
    <row r="26" spans="1:8" ht="16.5" thickBot="1" x14ac:dyDescent="0.3">
      <c r="A26" s="54">
        <v>9</v>
      </c>
      <c r="B26" s="59" t="s">
        <v>60</v>
      </c>
      <c r="C26" s="49"/>
      <c r="D26" s="60"/>
      <c r="E26" s="54" t="s">
        <v>61</v>
      </c>
      <c r="F26" s="63">
        <v>750000</v>
      </c>
      <c r="G26" s="54">
        <v>4</v>
      </c>
      <c r="H26" s="38">
        <f t="shared" si="1"/>
        <v>3000000</v>
      </c>
    </row>
    <row r="27" spans="1:8" ht="16.5" thickBot="1" x14ac:dyDescent="0.3">
      <c r="A27" s="54">
        <v>10</v>
      </c>
      <c r="B27" s="59" t="s">
        <v>62</v>
      </c>
      <c r="C27" s="49"/>
      <c r="D27" s="60"/>
      <c r="E27" s="54" t="s">
        <v>61</v>
      </c>
      <c r="F27" s="63">
        <v>950000</v>
      </c>
      <c r="G27" s="54">
        <v>2</v>
      </c>
      <c r="H27" s="38">
        <f t="shared" si="1"/>
        <v>1900000</v>
      </c>
    </row>
    <row r="28" spans="1:8" ht="15.75" x14ac:dyDescent="0.25">
      <c r="A28" s="54"/>
      <c r="B28" s="59"/>
      <c r="C28" s="49"/>
      <c r="D28" s="60"/>
      <c r="E28" s="54"/>
      <c r="F28" s="63"/>
      <c r="G28" s="54"/>
      <c r="H28" s="50"/>
    </row>
    <row r="29" spans="1:8" ht="19.5" customHeight="1" thickBot="1" x14ac:dyDescent="0.3">
      <c r="A29" s="55"/>
      <c r="B29" s="45"/>
      <c r="C29" s="42"/>
      <c r="D29" s="61"/>
      <c r="E29" s="64"/>
      <c r="F29" s="64"/>
      <c r="G29" s="64"/>
    </row>
    <row r="30" spans="1:8" ht="19.5" customHeight="1" thickBot="1" x14ac:dyDescent="0.35">
      <c r="A30" s="52" t="s">
        <v>23</v>
      </c>
      <c r="B30" s="14" t="s">
        <v>63</v>
      </c>
      <c r="D30" s="15"/>
      <c r="E30" s="65"/>
      <c r="F30" s="37" t="s">
        <v>29</v>
      </c>
      <c r="G30" s="6"/>
      <c r="H30" s="7"/>
    </row>
    <row r="31" spans="1:8" ht="19.5" customHeight="1" thickBot="1" x14ac:dyDescent="0.3">
      <c r="A31" s="39"/>
      <c r="B31" s="16" t="s">
        <v>64</v>
      </c>
      <c r="C31" s="4"/>
      <c r="D31" s="4"/>
      <c r="E31" s="68" t="s">
        <v>24</v>
      </c>
      <c r="F31" s="69"/>
      <c r="G31" s="46"/>
      <c r="H31" s="66">
        <f>SUM(H16:H27)</f>
        <v>10951700</v>
      </c>
    </row>
    <row r="32" spans="1:8" ht="19.5" customHeight="1" x14ac:dyDescent="0.25">
      <c r="A32" s="24" t="s">
        <v>25</v>
      </c>
      <c r="B32" s="12"/>
      <c r="C32" s="12"/>
      <c r="D32" s="12"/>
      <c r="E32" s="70" t="s">
        <v>30</v>
      </c>
      <c r="F32" s="23"/>
      <c r="G32" s="71">
        <v>0.19</v>
      </c>
      <c r="H32" s="40">
        <f>H31*G32</f>
        <v>2080823</v>
      </c>
    </row>
    <row r="33" spans="1:8" ht="19.5" customHeight="1" x14ac:dyDescent="0.25">
      <c r="A33" s="14" t="s">
        <v>31</v>
      </c>
      <c r="E33" s="72" t="s">
        <v>26</v>
      </c>
      <c r="G33" s="75">
        <v>2.5000000000000001E-2</v>
      </c>
      <c r="H33" s="67">
        <f>H31*G33</f>
        <v>273792.5</v>
      </c>
    </row>
    <row r="34" spans="1:8" ht="15.75" x14ac:dyDescent="0.25">
      <c r="A34" s="14" t="s">
        <v>38</v>
      </c>
      <c r="E34" s="14"/>
      <c r="F34" s="33"/>
      <c r="G34" s="47"/>
      <c r="H34" s="15"/>
    </row>
    <row r="35" spans="1:8" ht="16.5" thickBot="1" x14ac:dyDescent="0.3">
      <c r="A35" s="14" t="s">
        <v>34</v>
      </c>
      <c r="E35" s="73" t="s">
        <v>27</v>
      </c>
      <c r="F35" s="74"/>
      <c r="G35" s="48"/>
      <c r="H35" s="17"/>
    </row>
    <row r="36" spans="1:8" ht="19.5" thickBot="1" x14ac:dyDescent="0.35">
      <c r="A36" s="16"/>
      <c r="B36" s="4"/>
      <c r="C36" s="4"/>
      <c r="D36" s="17"/>
      <c r="F36" s="3"/>
      <c r="G36" s="34" t="s">
        <v>28</v>
      </c>
      <c r="H36" s="36">
        <f>H31+H32-H33</f>
        <v>12758730.5</v>
      </c>
    </row>
    <row r="37" spans="1:8" ht="16.5" customHeight="1" x14ac:dyDescent="0.25"/>
    <row r="42" spans="1:8" ht="15.75" thickBot="1" x14ac:dyDescent="0.3"/>
    <row r="43" spans="1:8" ht="19.5" thickBot="1" x14ac:dyDescent="0.35">
      <c r="A43" s="25" t="s">
        <v>35</v>
      </c>
      <c r="B43" s="6"/>
      <c r="C43" s="6"/>
      <c r="D43" s="6"/>
      <c r="E43" s="6"/>
      <c r="F43" s="6"/>
      <c r="G43" s="6"/>
      <c r="H43" s="7"/>
    </row>
    <row r="51" spans="1:1" ht="18.75" x14ac:dyDescent="0.3">
      <c r="A51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2024-09-28T20:31:17Z</dcterms:modified>
</cp:coreProperties>
</file>