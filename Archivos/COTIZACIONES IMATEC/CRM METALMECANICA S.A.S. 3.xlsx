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3C5E78B2-684C-4B21-B0B5-B307FFD57801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MR METALMECANICA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7" i="2" l="1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49" i="2" l="1"/>
  <c r="H48" i="2"/>
  <c r="H52" i="2" s="1"/>
</calcChain>
</file>

<file path=xl/sharedStrings.xml><?xml version="1.0" encoding="utf-8"?>
<sst xmlns="http://schemas.openxmlformats.org/spreadsheetml/2006/main" count="110" uniqueCount="84">
  <si>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</si>
  <si>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</si>
  <si>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</si>
  <si>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</si>
  <si>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</si>
  <si>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</si>
  <si>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</si>
  <si>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</si>
  <si>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</si>
  <si>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</si>
  <si>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</si>
  <si>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</si>
  <si>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</si>
  <si>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</si>
  <si>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</si>
  <si>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</si>
  <si>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</si>
  <si>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</si>
  <si>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</si>
  <si>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</si>
  <si>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</si>
  <si>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</si>
  <si>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</si>
  <si>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</si>
  <si>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</si>
  <si>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</si>
  <si>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</si>
  <si>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</si>
  <si>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</si>
  <si>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</si>
  <si>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</si>
  <si>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</si>
  <si>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</si>
  <si>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</si>
  <si>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</si>
  <si>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</si>
  <si>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</si>
  <si>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</si>
  <si>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</si>
  <si>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</si>
  <si>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</si>
  <si>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CMR METALMECANICAS S.A.S.</t>
  </si>
  <si>
    <t>901 565033</t>
  </si>
  <si>
    <t>CALLE 32  16-83</t>
  </si>
  <si>
    <t>CALI</t>
  </si>
  <si>
    <t>cmrmetalmecanicas@gmail.com</t>
  </si>
  <si>
    <t>602 4458212</t>
  </si>
  <si>
    <t>EDINSON CABEZAS</t>
  </si>
  <si>
    <t>ACCESORIO</t>
  </si>
  <si>
    <t>FABRICACION</t>
  </si>
  <si>
    <t>No. 3</t>
  </si>
  <si>
    <t>TUBERIA AC/INOX  SCH 40  2 "  X  6  MTS</t>
  </si>
  <si>
    <t>TUBO</t>
  </si>
  <si>
    <t>TUBERIA AC/INOX  SCH 40  3/4 "  X  6  MTS</t>
  </si>
  <si>
    <t>TUBERIA AC/INOX  SCH 40  1 "  X  6  MTS</t>
  </si>
  <si>
    <t>TUBERIA AC/INOX  SCH 40  1/2 "  X  6  MTS</t>
  </si>
  <si>
    <t>CODO AC/INOX 304  3/4 "  X  90 º  X 150 LBS ROSCA</t>
  </si>
  <si>
    <t>CODO AC/INOX 304  1 "  X  90 º  X 150 LBS ROSCA</t>
  </si>
  <si>
    <t>COLA DE MARRANO AC/INOX  1/4 "</t>
  </si>
  <si>
    <t>CODO  AC/INOX  1/2 "  X  90 º  X 150 LBS ROSCADO</t>
  </si>
  <si>
    <t>UNIVERSAL  AC/INOX  2 "  X  150 LBS ROSCADA</t>
  </si>
  <si>
    <t>UNIVERSAL  AC/INOX  1 "  X  150 LBS ROSCADA</t>
  </si>
  <si>
    <t>UNIVERSAL  AC/INOX  1/2 "  X  150 LBS ROSCADA</t>
  </si>
  <si>
    <t>UNIVERSAL  AC/INOX  3/4"  X  150 LBS ROSCADA</t>
  </si>
  <si>
    <t>CODO AC/INOX  304  2 " X  90 º X 150 LBS ROSCADO</t>
  </si>
  <si>
    <t>TEE AC/INOX 304  1/2 "  X  150  LBS ROSCADA</t>
  </si>
  <si>
    <t>TEE AC/INOX 304  2 "  X  150  LBS ROSCADA</t>
  </si>
  <si>
    <t>REDUCCION BUSHING  2 "  X 1/2 "  X  150 ROSCADO</t>
  </si>
  <si>
    <t>REDUCCION BUSHING  3/4  "  X 1/2 "  X  150 ROSCA</t>
  </si>
  <si>
    <t>REDUCCION BUSHING  1 "  X 1/2 "  X  150 ROSCADO</t>
  </si>
  <si>
    <t>TAPON MACHO  AC/INOX 304  1/2 "  X  150 LBS ROS</t>
  </si>
  <si>
    <t>NIPLE  AC/INOX 304  1 /2 "  X  2 1/2 "</t>
  </si>
  <si>
    <t>NIPLE  AC/INOX 304  2 "  X  40 CMTS</t>
  </si>
  <si>
    <t>NIPLE  AC/INOX 304  3/4 "  X   2 "</t>
  </si>
  <si>
    <t>NIPLE  AC/INOX 304  3/4  "  X  4 "</t>
  </si>
  <si>
    <t>NIPLE  AC/INOX 304  1 "  X  4 "</t>
  </si>
  <si>
    <t>TEFLON INDUSTRIAL</t>
  </si>
  <si>
    <t>ROLLO</t>
  </si>
  <si>
    <t>CODO AC/INOX  1 "  X  90 º  X  150 LBS ROSCADO</t>
  </si>
  <si>
    <t>TAPON MACHO AC/INOX  2 "  X  150 LBS ROSCADO</t>
  </si>
  <si>
    <t>UNION AC/INOX 304  3/4 "</t>
  </si>
  <si>
    <t>CINCO MILLONES OCHOCIENTOS CINCUENTA Y CINCO MIL</t>
  </si>
  <si>
    <t>DOSCIENTOS CUARENTA Y TRES PESOS MDA / CTE</t>
  </si>
  <si>
    <t>ENTREGAS EN TRES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</si>
</sst>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8" fillId="0" borderId="37" xfId="0" applyFont="1" applyBorder="1"/>
    <xf numFmtId="0" fontId="8" fillId="0" borderId="38" xfId="0" applyFont="1" applyBorder="1"/>
    <xf numFmtId="0" fontId="8" fillId="0" borderId="0" xfId="0" applyFont="1"/>
    <xf numFmtId="0" fontId="8" fillId="0" borderId="19" xfId="0" applyFont="1" applyBorder="1"/>
    <xf numFmtId="0" fontId="8" fillId="0" borderId="13" xfId="0" applyFont="1" applyBorder="1"/>
    <xf numFmtId="0" fontId="1" fillId="0" borderId="22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28575</xdr:colOff>
      <xdr:row>1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286E20-D6B2-4C7F-BC68-B6AB4C93B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2209800" cy="1162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mrmetalmecanic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702D-0256-4677-BCA9-1E150E5B75C2}">
  <dimension ref="A1:H67"/>
  <sheetViews>
    <sheetView tabSelected="1" topLeftCell="A35" workbookViewId="0">
      <selection activeCell="E52" sqref="E5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8554687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6"/>
      <c r="F7" s="37"/>
      <c r="G7" s="18"/>
      <c r="H7" s="19" t="s">
        <v>50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4" t="s">
        <v>44</v>
      </c>
      <c r="F9" s="30" t="s">
        <v>0</v>
      </c>
      <c r="H9" s="28">
        <v>45681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45691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82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75">
        <v>1</v>
      </c>
      <c r="B16" s="77" t="s">
        <v>51</v>
      </c>
      <c r="C16" s="80"/>
      <c r="D16" s="78"/>
      <c r="E16" s="75" t="s">
        <v>52</v>
      </c>
      <c r="F16" s="76">
        <v>656500</v>
      </c>
      <c r="G16" s="75">
        <v>2</v>
      </c>
      <c r="H16" s="38">
        <f t="shared" ref="H16:H44" si="0">G16*F16</f>
        <v>1313000</v>
      </c>
    </row>
    <row r="17" spans="1:8" ht="16.5" thickBot="1" x14ac:dyDescent="0.3">
      <c r="A17" s="75">
        <v>2</v>
      </c>
      <c r="B17" s="77" t="s">
        <v>53</v>
      </c>
      <c r="C17" s="81"/>
      <c r="D17" s="78"/>
      <c r="E17" s="75" t="s">
        <v>52</v>
      </c>
      <c r="F17" s="76">
        <v>293190</v>
      </c>
      <c r="G17" s="75">
        <v>2</v>
      </c>
      <c r="H17" s="38">
        <f t="shared" si="0"/>
        <v>586380</v>
      </c>
    </row>
    <row r="18" spans="1:8" ht="16.5" thickBot="1" x14ac:dyDescent="0.3">
      <c r="A18" s="75">
        <v>3</v>
      </c>
      <c r="B18" s="77" t="s">
        <v>54</v>
      </c>
      <c r="C18" s="81"/>
      <c r="D18" s="78"/>
      <c r="E18" s="75" t="s">
        <v>52</v>
      </c>
      <c r="F18" s="76">
        <v>301990</v>
      </c>
      <c r="G18" s="75">
        <v>3</v>
      </c>
      <c r="H18" s="38">
        <f t="shared" si="0"/>
        <v>905970</v>
      </c>
    </row>
    <row r="19" spans="1:8" ht="16.5" thickBot="1" x14ac:dyDescent="0.3">
      <c r="A19" s="75">
        <v>4</v>
      </c>
      <c r="B19" s="77" t="s">
        <v>55</v>
      </c>
      <c r="C19" s="81"/>
      <c r="D19" s="78"/>
      <c r="E19" s="75" t="s">
        <v>52</v>
      </c>
      <c r="F19" s="76">
        <v>156700</v>
      </c>
      <c r="G19" s="75">
        <v>2</v>
      </c>
      <c r="H19" s="38">
        <f t="shared" si="0"/>
        <v>313400</v>
      </c>
    </row>
    <row r="20" spans="1:8" ht="16.5" thickBot="1" x14ac:dyDescent="0.3">
      <c r="A20" s="54">
        <v>5</v>
      </c>
      <c r="B20" s="77" t="s">
        <v>56</v>
      </c>
      <c r="C20" s="80"/>
      <c r="D20" s="78"/>
      <c r="E20" s="54" t="s">
        <v>48</v>
      </c>
      <c r="F20" s="61">
        <v>10530</v>
      </c>
      <c r="G20" s="54">
        <v>20</v>
      </c>
      <c r="H20" s="38">
        <f t="shared" si="0"/>
        <v>210600</v>
      </c>
    </row>
    <row r="21" spans="1:8" ht="16.5" thickBot="1" x14ac:dyDescent="0.3">
      <c r="A21" s="53">
        <v>6</v>
      </c>
      <c r="B21" s="77" t="s">
        <v>57</v>
      </c>
      <c r="C21" s="79"/>
      <c r="D21" s="58"/>
      <c r="E21" s="53" t="s">
        <v>48</v>
      </c>
      <c r="F21" s="60">
        <v>14100</v>
      </c>
      <c r="G21" s="53">
        <v>8</v>
      </c>
      <c r="H21" s="38">
        <f t="shared" si="0"/>
        <v>112800</v>
      </c>
    </row>
    <row r="22" spans="1:8" ht="16.5" thickBot="1" x14ac:dyDescent="0.3">
      <c r="A22" s="53">
        <v>7</v>
      </c>
      <c r="B22" s="77" t="s">
        <v>58</v>
      </c>
      <c r="C22" s="57"/>
      <c r="D22" s="58"/>
      <c r="E22" s="53" t="s">
        <v>48</v>
      </c>
      <c r="F22" s="60">
        <v>35000</v>
      </c>
      <c r="G22" s="53">
        <v>5</v>
      </c>
      <c r="H22" s="38">
        <f t="shared" si="0"/>
        <v>175000</v>
      </c>
    </row>
    <row r="23" spans="1:8" ht="16.5" thickBot="1" x14ac:dyDescent="0.3">
      <c r="A23" s="53">
        <v>8</v>
      </c>
      <c r="B23" s="56" t="s">
        <v>59</v>
      </c>
      <c r="C23" s="57"/>
      <c r="D23" s="58"/>
      <c r="E23" s="53" t="s">
        <v>48</v>
      </c>
      <c r="F23" s="60">
        <v>6240</v>
      </c>
      <c r="G23" s="53">
        <v>8</v>
      </c>
      <c r="H23" s="38">
        <f t="shared" si="0"/>
        <v>49920</v>
      </c>
    </row>
    <row r="24" spans="1:8" ht="16.5" thickBot="1" x14ac:dyDescent="0.3">
      <c r="A24" s="53">
        <v>9</v>
      </c>
      <c r="B24" s="56" t="s">
        <v>60</v>
      </c>
      <c r="C24" s="57"/>
      <c r="D24" s="58"/>
      <c r="E24" s="53" t="s">
        <v>48</v>
      </c>
      <c r="F24" s="60">
        <v>75400</v>
      </c>
      <c r="G24" s="53">
        <v>3</v>
      </c>
      <c r="H24" s="38">
        <f t="shared" si="0"/>
        <v>226200</v>
      </c>
    </row>
    <row r="25" spans="1:8" ht="16.5" thickBot="1" x14ac:dyDescent="0.3">
      <c r="A25" s="53">
        <v>10</v>
      </c>
      <c r="B25" s="56" t="s">
        <v>61</v>
      </c>
      <c r="C25" s="57"/>
      <c r="D25" s="58"/>
      <c r="E25" s="53" t="s">
        <v>48</v>
      </c>
      <c r="F25" s="60">
        <v>30160</v>
      </c>
      <c r="G25" s="53">
        <v>2</v>
      </c>
      <c r="H25" s="38">
        <f t="shared" si="0"/>
        <v>60320</v>
      </c>
    </row>
    <row r="26" spans="1:8" ht="16.5" thickBot="1" x14ac:dyDescent="0.3">
      <c r="A26" s="53">
        <v>11</v>
      </c>
      <c r="B26" s="56" t="s">
        <v>62</v>
      </c>
      <c r="C26" s="57"/>
      <c r="D26" s="58"/>
      <c r="E26" s="53" t="s">
        <v>48</v>
      </c>
      <c r="F26" s="60">
        <v>16740</v>
      </c>
      <c r="G26" s="53">
        <v>5</v>
      </c>
      <c r="H26" s="38">
        <f t="shared" si="0"/>
        <v>83700</v>
      </c>
    </row>
    <row r="27" spans="1:8" ht="16.5" thickBot="1" x14ac:dyDescent="0.3">
      <c r="A27" s="53">
        <v>12</v>
      </c>
      <c r="B27" s="56" t="s">
        <v>63</v>
      </c>
      <c r="C27" s="57"/>
      <c r="D27" s="58"/>
      <c r="E27" s="53" t="s">
        <v>48</v>
      </c>
      <c r="F27" s="60">
        <v>22680</v>
      </c>
      <c r="G27" s="53">
        <v>5</v>
      </c>
      <c r="H27" s="38">
        <f t="shared" si="0"/>
        <v>113400</v>
      </c>
    </row>
    <row r="28" spans="1:8" ht="16.5" thickBot="1" x14ac:dyDescent="0.3">
      <c r="A28" s="53">
        <v>13</v>
      </c>
      <c r="B28" s="56" t="s">
        <v>61</v>
      </c>
      <c r="C28" s="57"/>
      <c r="D28" s="58"/>
      <c r="E28" s="53" t="s">
        <v>48</v>
      </c>
      <c r="F28" s="60">
        <v>30160</v>
      </c>
      <c r="G28" s="53">
        <v>3</v>
      </c>
      <c r="H28" s="38">
        <f t="shared" si="0"/>
        <v>90480</v>
      </c>
    </row>
    <row r="29" spans="1:8" ht="16.5" thickBot="1" x14ac:dyDescent="0.3">
      <c r="A29" s="53">
        <v>14</v>
      </c>
      <c r="B29" s="56" t="s">
        <v>64</v>
      </c>
      <c r="C29" s="57"/>
      <c r="D29" s="58"/>
      <c r="E29" s="53" t="s">
        <v>48</v>
      </c>
      <c r="F29" s="60">
        <v>40160</v>
      </c>
      <c r="G29" s="53">
        <v>3</v>
      </c>
      <c r="H29" s="38">
        <f t="shared" si="0"/>
        <v>120480</v>
      </c>
    </row>
    <row r="30" spans="1:8" ht="16.5" thickBot="1" x14ac:dyDescent="0.3">
      <c r="A30" s="53">
        <v>15</v>
      </c>
      <c r="B30" s="56" t="s">
        <v>65</v>
      </c>
      <c r="C30" s="57"/>
      <c r="D30" s="58"/>
      <c r="E30" s="53" t="s">
        <v>48</v>
      </c>
      <c r="F30" s="60">
        <v>9620</v>
      </c>
      <c r="G30" s="53">
        <v>3</v>
      </c>
      <c r="H30" s="38">
        <f t="shared" si="0"/>
        <v>28860</v>
      </c>
    </row>
    <row r="31" spans="1:8" ht="16.5" thickBot="1" x14ac:dyDescent="0.3">
      <c r="A31" s="53">
        <v>16</v>
      </c>
      <c r="B31" s="56" t="s">
        <v>66</v>
      </c>
      <c r="C31" s="57"/>
      <c r="D31" s="58"/>
      <c r="E31" s="53" t="s">
        <v>48</v>
      </c>
      <c r="F31" s="60">
        <v>54740</v>
      </c>
      <c r="G31" s="53">
        <v>1</v>
      </c>
      <c r="H31" s="38">
        <f t="shared" si="0"/>
        <v>54740</v>
      </c>
    </row>
    <row r="32" spans="1:8" ht="16.5" thickBot="1" x14ac:dyDescent="0.3">
      <c r="A32" s="53">
        <v>17</v>
      </c>
      <c r="B32" s="56" t="s">
        <v>67</v>
      </c>
      <c r="C32" s="57"/>
      <c r="D32" s="58"/>
      <c r="E32" s="53" t="s">
        <v>48</v>
      </c>
      <c r="F32" s="60">
        <v>28340</v>
      </c>
      <c r="G32" s="53">
        <v>1</v>
      </c>
      <c r="H32" s="38">
        <f t="shared" si="0"/>
        <v>28340</v>
      </c>
    </row>
    <row r="33" spans="1:8" ht="16.5" thickBot="1" x14ac:dyDescent="0.3">
      <c r="A33" s="53">
        <v>18</v>
      </c>
      <c r="B33" s="56" t="s">
        <v>68</v>
      </c>
      <c r="C33" s="57"/>
      <c r="D33" s="58"/>
      <c r="E33" s="53" t="s">
        <v>48</v>
      </c>
      <c r="F33" s="60">
        <v>6240</v>
      </c>
      <c r="G33" s="53">
        <v>6</v>
      </c>
      <c r="H33" s="38">
        <f t="shared" si="0"/>
        <v>37440</v>
      </c>
    </row>
    <row r="34" spans="1:8" ht="16.5" thickBot="1" x14ac:dyDescent="0.3">
      <c r="A34" s="53">
        <v>19</v>
      </c>
      <c r="B34" s="56" t="s">
        <v>69</v>
      </c>
      <c r="C34" s="57"/>
      <c r="D34" s="58"/>
      <c r="E34" s="53" t="s">
        <v>48</v>
      </c>
      <c r="F34" s="60">
        <v>8760</v>
      </c>
      <c r="G34" s="53">
        <v>3</v>
      </c>
      <c r="H34" s="38">
        <f t="shared" si="0"/>
        <v>26280</v>
      </c>
    </row>
    <row r="35" spans="1:8" ht="16.5" thickBot="1" x14ac:dyDescent="0.3">
      <c r="A35" s="53">
        <v>20</v>
      </c>
      <c r="B35" s="56" t="s">
        <v>70</v>
      </c>
      <c r="C35" s="57"/>
      <c r="D35" s="58"/>
      <c r="E35" s="53" t="s">
        <v>48</v>
      </c>
      <c r="F35" s="60">
        <v>4160</v>
      </c>
      <c r="G35" s="53">
        <v>3</v>
      </c>
      <c r="H35" s="38">
        <f t="shared" si="0"/>
        <v>12480</v>
      </c>
    </row>
    <row r="36" spans="1:8" ht="16.5" thickBot="1" x14ac:dyDescent="0.3">
      <c r="A36" s="53">
        <v>21</v>
      </c>
      <c r="B36" s="56" t="s">
        <v>71</v>
      </c>
      <c r="C36" s="57"/>
      <c r="D36" s="58"/>
      <c r="E36" s="53" t="s">
        <v>49</v>
      </c>
      <c r="F36" s="60">
        <v>4320</v>
      </c>
      <c r="G36" s="53">
        <v>15</v>
      </c>
      <c r="H36" s="38">
        <f t="shared" si="0"/>
        <v>64800</v>
      </c>
    </row>
    <row r="37" spans="1:8" ht="16.5" thickBot="1" x14ac:dyDescent="0.3">
      <c r="A37" s="53">
        <v>22</v>
      </c>
      <c r="B37" s="56" t="s">
        <v>72</v>
      </c>
      <c r="C37" s="57"/>
      <c r="D37" s="58"/>
      <c r="E37" s="53" t="s">
        <v>49</v>
      </c>
      <c r="F37" s="60">
        <v>62640</v>
      </c>
      <c r="G37" s="53">
        <v>1</v>
      </c>
      <c r="H37" s="38">
        <f t="shared" si="0"/>
        <v>62640</v>
      </c>
    </row>
    <row r="38" spans="1:8" ht="16.5" thickBot="1" x14ac:dyDescent="0.3">
      <c r="A38" s="53">
        <v>23</v>
      </c>
      <c r="B38" s="56" t="s">
        <v>73</v>
      </c>
      <c r="C38" s="57"/>
      <c r="D38" s="58"/>
      <c r="E38" s="53" t="s">
        <v>49</v>
      </c>
      <c r="F38" s="60">
        <v>4320</v>
      </c>
      <c r="G38" s="53">
        <v>10</v>
      </c>
      <c r="H38" s="38">
        <f t="shared" si="0"/>
        <v>43200</v>
      </c>
    </row>
    <row r="39" spans="1:8" ht="16.5" thickBot="1" x14ac:dyDescent="0.3">
      <c r="A39" s="53">
        <v>24</v>
      </c>
      <c r="B39" s="56" t="s">
        <v>74</v>
      </c>
      <c r="C39" s="57"/>
      <c r="D39" s="58"/>
      <c r="E39" s="53" t="s">
        <v>49</v>
      </c>
      <c r="F39" s="60">
        <v>8320</v>
      </c>
      <c r="G39" s="53">
        <v>10</v>
      </c>
      <c r="H39" s="38">
        <f t="shared" si="0"/>
        <v>83200</v>
      </c>
    </row>
    <row r="40" spans="1:8" ht="16.5" thickBot="1" x14ac:dyDescent="0.3">
      <c r="A40" s="53">
        <v>25</v>
      </c>
      <c r="B40" s="56" t="s">
        <v>75</v>
      </c>
      <c r="C40" s="57"/>
      <c r="D40" s="58"/>
      <c r="E40" s="53" t="s">
        <v>49</v>
      </c>
      <c r="F40" s="60">
        <v>10270</v>
      </c>
      <c r="G40" s="53">
        <v>8</v>
      </c>
      <c r="H40" s="38">
        <f t="shared" si="0"/>
        <v>82160</v>
      </c>
    </row>
    <row r="41" spans="1:8" ht="16.5" thickBot="1" x14ac:dyDescent="0.3">
      <c r="A41" s="53">
        <v>26</v>
      </c>
      <c r="B41" s="56" t="s">
        <v>76</v>
      </c>
      <c r="C41" s="57"/>
      <c r="D41" s="58"/>
      <c r="E41" s="53" t="s">
        <v>77</v>
      </c>
      <c r="F41" s="60">
        <v>4500</v>
      </c>
      <c r="G41" s="53">
        <v>3</v>
      </c>
      <c r="H41" s="38">
        <f t="shared" si="0"/>
        <v>13500</v>
      </c>
    </row>
    <row r="42" spans="1:8" ht="16.5" thickBot="1" x14ac:dyDescent="0.3">
      <c r="A42" s="53">
        <v>27</v>
      </c>
      <c r="B42" s="56" t="s">
        <v>78</v>
      </c>
      <c r="C42" s="57"/>
      <c r="D42" s="58"/>
      <c r="E42" s="53" t="s">
        <v>48</v>
      </c>
      <c r="F42" s="60">
        <v>14100</v>
      </c>
      <c r="G42" s="53">
        <v>3</v>
      </c>
      <c r="H42" s="38">
        <f t="shared" si="0"/>
        <v>42300</v>
      </c>
    </row>
    <row r="43" spans="1:8" ht="16.5" thickBot="1" x14ac:dyDescent="0.3">
      <c r="A43" s="53">
        <v>28</v>
      </c>
      <c r="B43" s="56" t="s">
        <v>79</v>
      </c>
      <c r="C43" s="57"/>
      <c r="D43" s="58"/>
      <c r="E43" s="53" t="s">
        <v>48</v>
      </c>
      <c r="F43" s="60">
        <v>21970</v>
      </c>
      <c r="G43" s="53">
        <v>1</v>
      </c>
      <c r="H43" s="38">
        <f t="shared" si="0"/>
        <v>21970</v>
      </c>
    </row>
    <row r="44" spans="1:8" ht="16.5" thickBot="1" x14ac:dyDescent="0.3">
      <c r="A44" s="75">
        <v>29</v>
      </c>
      <c r="B44" s="77" t="s">
        <v>80</v>
      </c>
      <c r="C44" s="81"/>
      <c r="D44" s="78"/>
      <c r="E44" s="75" t="s">
        <v>48</v>
      </c>
      <c r="F44" s="76">
        <v>5200</v>
      </c>
      <c r="G44" s="75">
        <v>12</v>
      </c>
      <c r="H44" s="38">
        <f t="shared" si="0"/>
        <v>62400</v>
      </c>
    </row>
    <row r="45" spans="1:8" ht="19.5" customHeight="1" thickBot="1" x14ac:dyDescent="0.3">
      <c r="A45" s="55"/>
      <c r="B45" s="45"/>
      <c r="C45" s="42"/>
      <c r="D45" s="59"/>
      <c r="E45" s="62"/>
      <c r="F45" s="62"/>
      <c r="G45" s="62"/>
    </row>
    <row r="46" spans="1:8" ht="19.5" customHeight="1" thickBot="1" x14ac:dyDescent="0.35">
      <c r="A46" s="52" t="s">
        <v>23</v>
      </c>
      <c r="B46" s="14" t="s">
        <v>81</v>
      </c>
      <c r="D46" s="15"/>
      <c r="E46" s="63"/>
      <c r="F46" s="37" t="s">
        <v>29</v>
      </c>
      <c r="G46" s="6"/>
      <c r="H46" s="7"/>
    </row>
    <row r="47" spans="1:8" ht="19.5" customHeight="1" thickBot="1" x14ac:dyDescent="0.3">
      <c r="A47" s="39"/>
      <c r="B47" s="16" t="s">
        <v>82</v>
      </c>
      <c r="C47" s="4"/>
      <c r="D47" s="4"/>
      <c r="E47" s="66" t="s">
        <v>24</v>
      </c>
      <c r="F47" s="67"/>
      <c r="G47" s="47"/>
      <c r="H47" s="64">
        <f>SUM(H16:H44)</f>
        <v>5025960</v>
      </c>
    </row>
    <row r="48" spans="1:8" ht="19.5" customHeight="1" x14ac:dyDescent="0.25">
      <c r="A48" s="24" t="s">
        <v>25</v>
      </c>
      <c r="B48" s="12"/>
      <c r="C48" s="12"/>
      <c r="D48" s="12"/>
      <c r="E48" s="68" t="s">
        <v>30</v>
      </c>
      <c r="F48" s="23"/>
      <c r="G48" s="69">
        <v>0.19</v>
      </c>
      <c r="H48" s="40">
        <f>H47*G48</f>
        <v>954932.4</v>
      </c>
    </row>
    <row r="49" spans="1:8" ht="19.5" customHeight="1" x14ac:dyDescent="0.25">
      <c r="A49" s="14" t="s">
        <v>31</v>
      </c>
      <c r="E49" s="70" t="s">
        <v>26</v>
      </c>
      <c r="G49" s="73">
        <v>2.5000000000000001E-2</v>
      </c>
      <c r="H49" s="65">
        <f>H47*G49</f>
        <v>125649</v>
      </c>
    </row>
    <row r="50" spans="1:8" ht="15.75" x14ac:dyDescent="0.25">
      <c r="A50" s="14" t="s">
        <v>83</v>
      </c>
      <c r="E50" s="14"/>
      <c r="F50" s="33"/>
      <c r="G50" s="48"/>
      <c r="H50" s="15"/>
    </row>
    <row r="51" spans="1:8" ht="16.5" thickBot="1" x14ac:dyDescent="0.3">
      <c r="A51" s="14" t="s">
        <v>34</v>
      </c>
      <c r="E51" s="71" t="s">
        <v>27</v>
      </c>
      <c r="F51" s="72"/>
      <c r="G51" s="49"/>
      <c r="H51" s="17"/>
    </row>
    <row r="52" spans="1:8" ht="19.5" thickBot="1" x14ac:dyDescent="0.35">
      <c r="A52" s="16"/>
      <c r="B52" s="4"/>
      <c r="C52" s="4"/>
      <c r="D52" s="17"/>
      <c r="F52" s="3"/>
      <c r="G52" s="34" t="s">
        <v>28</v>
      </c>
      <c r="H52" s="36">
        <f>H47+H48-H49</f>
        <v>5855243.4000000004</v>
      </c>
    </row>
    <row r="53" spans="1:8" ht="16.5" customHeight="1" x14ac:dyDescent="0.25"/>
    <row r="58" spans="1:8" ht="15.75" thickBot="1" x14ac:dyDescent="0.3"/>
    <row r="59" spans="1:8" ht="19.5" thickBot="1" x14ac:dyDescent="0.35">
      <c r="A59" s="25" t="s">
        <v>35</v>
      </c>
      <c r="B59" s="6"/>
      <c r="C59" s="6"/>
      <c r="D59" s="6"/>
      <c r="E59" s="6"/>
      <c r="F59" s="6"/>
      <c r="G59" s="6"/>
      <c r="H59" s="7"/>
    </row>
    <row r="67" spans="1:1" ht="18.75" x14ac:dyDescent="0.3">
      <c r="A67" s="5"/>
    </row>
  </sheetData>
  <hyperlinks>
    <hyperlink ref="C10" r:id="rId1" xr:uid="{6D211E35-C531-41D7-966A-AB2DCA7D511E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CMR METALMECANICA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2025-01-24T16:21:06Z</dcterms:modified>
</cp:coreProperties>
</file>