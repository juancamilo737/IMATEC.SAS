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8832084-BC44-4C40-8B15-346BA33525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5" i="1" l="1"/>
  <c r="H24" i="1"/>
  <c r="H27" i="1" s="1"/>
</calcChain>
</file>

<file path=xl/sharedStrings.xml><?xml version="1.0" encoding="utf-8"?>
<sst xmlns="http://schemas.openxmlformats.org/spreadsheetml/2006/main" count="63" uniqueCount="61">
  <si>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</si>
  <si>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</si>
  <si>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</si>
  <si>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</si>
  <si>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</si>
  <si>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</si>
  <si>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</si>
  <si>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</si>
  <si>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</si>
  <si>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</si>
  <si>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</si>
  <si>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</si>
  <si>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</si>
  <si>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</si>
  <si>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</si>
  <si>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</si>
  <si>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</si>
  <si>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</si>
  <si>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</si>
  <si>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</si>
  <si>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</si>
  <si>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</si>
  <si>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</si>
  <si>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</si>
  <si>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</si>
  <si>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</si>
  <si>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</si>
  <si>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</si>
  <si>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</si>
  <si>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</si>
  <si>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</si>
  <si>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</si>
  <si>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</si>
  <si>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</si>
  <si>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</si>
  <si>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</si>
  <si>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</si>
  <si>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</si>
  <si>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</si>
  <si>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</si>
  <si>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</si>
  <si>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</si>
  <si>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</si>
  <si>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</si>
  <si>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</si>
  <si>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</si>
  <si>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</si>
  <si>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C O T I Z A C I O N</t>
  </si>
  <si>
    <t>ACCESORIO</t>
  </si>
  <si>
    <t>ENTREGA EN TRES DIAS A PARTIR DE ORDEN DE COMPRA</t>
  </si>
  <si>
    <t>10 DIAS</t>
  </si>
  <si>
    <t>No. 41</t>
  </si>
  <si>
    <t>CODO PVC NOVAFORT  6 "  X  45 º</t>
  </si>
  <si>
    <t>ADHESIVO EPOXICO NOVAFORT</t>
  </si>
  <si>
    <t>1/4 GALON</t>
  </si>
  <si>
    <t>SILLA Y PVC  14 "  X  6 "</t>
  </si>
  <si>
    <t>TUBERIA PVC  NOVAFORT 6 "</t>
  </si>
  <si>
    <t>TUBO X 6 MTS</t>
  </si>
  <si>
    <t>COLLARIN HD  3 "  X  1/2 "</t>
  </si>
  <si>
    <t>VEINTIOCHO MILLONES SETECIENTOS CINCUENTA Y</t>
  </si>
  <si>
    <t>CUATRO MIL QUINIENTOS TREINTA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</si>
</sst>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4" xfId="0" applyBorder="1"/>
    <xf numFmtId="0" fontId="5" fillId="0" borderId="17" xfId="0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center"/>
    </xf>
    <xf numFmtId="42" fontId="1" fillId="0" borderId="18" xfId="0" applyNumberFormat="1" applyFont="1" applyBorder="1" applyAlignment="1">
      <alignment horizontal="left"/>
    </xf>
    <xf numFmtId="0" fontId="0" fillId="0" borderId="3" xfId="0" applyBorder="1"/>
    <xf numFmtId="42" fontId="1" fillId="0" borderId="18" xfId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2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1" fillId="0" borderId="25" xfId="0" applyFont="1" applyBorder="1" applyAlignment="1">
      <alignment horizontal="center"/>
    </xf>
    <xf numFmtId="42" fontId="11" fillId="0" borderId="25" xfId="1" applyFont="1" applyBorder="1" applyAlignment="1">
      <alignment horizontal="center"/>
    </xf>
    <xf numFmtId="42" fontId="1" fillId="0" borderId="27" xfId="1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4" xfId="0" applyFont="1" applyBorder="1"/>
    <xf numFmtId="0" fontId="8" fillId="0" borderId="30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5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8" fillId="0" borderId="7" xfId="0" applyFont="1" applyBorder="1"/>
    <xf numFmtId="0" fontId="1" fillId="0" borderId="7" xfId="0" applyFont="1" applyBorder="1" applyAlignment="1">
      <alignment horizontal="center"/>
    </xf>
    <xf numFmtId="42" fontId="11" fillId="0" borderId="7" xfId="1" applyFont="1" applyBorder="1" applyAlignment="1">
      <alignment horizontal="center"/>
    </xf>
    <xf numFmtId="42" fontId="1" fillId="0" borderId="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25" xfId="0" applyBorder="1"/>
    <xf numFmtId="0" fontId="0" fillId="0" borderId="27" xfId="0" applyBorder="1"/>
    <xf numFmtId="0" fontId="0" fillId="0" borderId="32" xfId="0" applyBorder="1"/>
    <xf numFmtId="0" fontId="0" fillId="0" borderId="33" xfId="0" applyBorder="1"/>
    <xf numFmtId="0" fontId="13" fillId="0" borderId="19" xfId="2" applyBorder="1"/>
    <xf numFmtId="0" fontId="0" fillId="0" borderId="3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35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38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32</v>
      </c>
      <c r="E4" s="19"/>
      <c r="F4" s="20"/>
      <c r="G4" s="6"/>
      <c r="H4" s="7"/>
    </row>
    <row r="5" spans="1:8" ht="19.5" thickBot="1" x14ac:dyDescent="0.35">
      <c r="A5" s="41" t="s">
        <v>36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9"/>
      <c r="H6" s="20"/>
    </row>
    <row r="7" spans="1:8" ht="19.5" thickBot="1" x14ac:dyDescent="0.35">
      <c r="A7" s="21" t="s">
        <v>15</v>
      </c>
      <c r="B7" s="13"/>
      <c r="C7" s="30" t="s">
        <v>38</v>
      </c>
      <c r="D7" s="13"/>
      <c r="E7" s="14"/>
      <c r="F7" s="27"/>
      <c r="G7" s="19"/>
      <c r="H7" s="20" t="s">
        <v>51</v>
      </c>
    </row>
    <row r="8" spans="1:8" ht="18.75" x14ac:dyDescent="0.3">
      <c r="A8" s="22" t="s">
        <v>9</v>
      </c>
      <c r="C8" s="76" t="s">
        <v>39</v>
      </c>
      <c r="D8" s="77"/>
      <c r="E8" s="78"/>
      <c r="F8" s="12"/>
      <c r="G8" s="13"/>
      <c r="H8" s="14"/>
    </row>
    <row r="9" spans="1:8" ht="18.75" customHeight="1" x14ac:dyDescent="0.3">
      <c r="A9" s="22" t="s">
        <v>10</v>
      </c>
      <c r="C9" s="79" t="s">
        <v>40</v>
      </c>
      <c r="D9" s="24"/>
      <c r="E9" s="80" t="s">
        <v>34</v>
      </c>
      <c r="F9" s="31" t="s">
        <v>0</v>
      </c>
      <c r="H9" s="32">
        <v>45874</v>
      </c>
    </row>
    <row r="10" spans="1:8" ht="18.75" x14ac:dyDescent="0.3">
      <c r="A10" s="22" t="s">
        <v>14</v>
      </c>
      <c r="C10" s="81" t="s">
        <v>41</v>
      </c>
      <c r="D10" s="25"/>
      <c r="E10" s="82"/>
      <c r="F10" s="31" t="s">
        <v>16</v>
      </c>
      <c r="H10" s="33" t="s">
        <v>50</v>
      </c>
    </row>
    <row r="11" spans="1:8" ht="18.75" x14ac:dyDescent="0.3">
      <c r="A11" s="22" t="s">
        <v>11</v>
      </c>
      <c r="C11" s="83"/>
      <c r="D11" s="25"/>
      <c r="E11" s="82"/>
      <c r="F11" s="31" t="s">
        <v>17</v>
      </c>
      <c r="G11" s="34"/>
      <c r="H11" s="32">
        <v>45883</v>
      </c>
    </row>
    <row r="12" spans="1:8" ht="18.75" x14ac:dyDescent="0.3">
      <c r="A12" s="22" t="s">
        <v>12</v>
      </c>
      <c r="C12" s="83" t="s">
        <v>42</v>
      </c>
      <c r="D12" s="25"/>
      <c r="E12" s="82"/>
      <c r="F12" s="31" t="s">
        <v>44</v>
      </c>
      <c r="H12" s="33"/>
    </row>
    <row r="13" spans="1:8" ht="18.75" customHeight="1" thickBot="1" x14ac:dyDescent="0.35">
      <c r="A13" s="23" t="s">
        <v>13</v>
      </c>
      <c r="B13" s="4"/>
      <c r="C13" s="84" t="s">
        <v>37</v>
      </c>
      <c r="D13" s="85"/>
      <c r="E13" s="86"/>
      <c r="F13" s="17"/>
      <c r="G13" s="4"/>
      <c r="H13" s="18"/>
    </row>
    <row r="14" spans="1:8" ht="15.75" thickBot="1" x14ac:dyDescent="0.3"/>
    <row r="15" spans="1:8" ht="15.75" thickBot="1" x14ac:dyDescent="0.3">
      <c r="A15" s="42" t="s">
        <v>35</v>
      </c>
      <c r="B15" s="26" t="s">
        <v>23</v>
      </c>
      <c r="C15" s="54"/>
      <c r="D15" s="14"/>
      <c r="E15" s="42" t="s">
        <v>19</v>
      </c>
      <c r="F15" s="42" t="s">
        <v>21</v>
      </c>
      <c r="G15" s="42" t="s">
        <v>20</v>
      </c>
      <c r="H15" s="42" t="s">
        <v>22</v>
      </c>
    </row>
    <row r="16" spans="1:8" ht="16.5" thickBot="1" x14ac:dyDescent="0.3">
      <c r="A16" s="55">
        <v>1</v>
      </c>
      <c r="B16" s="56" t="s">
        <v>52</v>
      </c>
      <c r="C16" s="57"/>
      <c r="D16" s="58"/>
      <c r="E16" s="59" t="s">
        <v>48</v>
      </c>
      <c r="F16" s="60">
        <v>39000</v>
      </c>
      <c r="G16" s="59">
        <v>40</v>
      </c>
      <c r="H16" s="61">
        <f t="shared" ref="H16" si="0">G16*F16</f>
        <v>1560000</v>
      </c>
    </row>
    <row r="17" spans="1:8" ht="16.5" thickBot="1" x14ac:dyDescent="0.3">
      <c r="A17" s="62">
        <v>2</v>
      </c>
      <c r="B17" s="63" t="s">
        <v>53</v>
      </c>
      <c r="C17" s="64"/>
      <c r="D17" s="65"/>
      <c r="E17" s="66" t="s">
        <v>54</v>
      </c>
      <c r="F17" s="67">
        <v>110500</v>
      </c>
      <c r="G17" s="66">
        <v>60</v>
      </c>
      <c r="H17" s="68">
        <f t="shared" ref="H17:H19" si="1">G17*F17</f>
        <v>6630000</v>
      </c>
    </row>
    <row r="18" spans="1:8" ht="16.5" thickBot="1" x14ac:dyDescent="0.3">
      <c r="A18" s="55">
        <v>3</v>
      </c>
      <c r="B18" s="56" t="s">
        <v>55</v>
      </c>
      <c r="C18" s="57"/>
      <c r="D18" s="58"/>
      <c r="E18" s="59" t="s">
        <v>48</v>
      </c>
      <c r="F18" s="60">
        <v>214500</v>
      </c>
      <c r="G18" s="59">
        <v>40</v>
      </c>
      <c r="H18" s="61">
        <f t="shared" si="1"/>
        <v>8580000</v>
      </c>
    </row>
    <row r="19" spans="1:8" ht="16.5" thickBot="1" x14ac:dyDescent="0.3">
      <c r="A19" s="62">
        <v>4</v>
      </c>
      <c r="B19" s="56" t="s">
        <v>56</v>
      </c>
      <c r="C19" s="57"/>
      <c r="D19" s="58"/>
      <c r="E19" s="59" t="s">
        <v>57</v>
      </c>
      <c r="F19" s="60">
        <v>138000</v>
      </c>
      <c r="G19" s="59">
        <v>40</v>
      </c>
      <c r="H19" s="61">
        <f t="shared" si="1"/>
        <v>5520000</v>
      </c>
    </row>
    <row r="20" spans="1:8" ht="16.5" thickBot="1" x14ac:dyDescent="0.3">
      <c r="A20" s="62">
        <v>5</v>
      </c>
      <c r="B20" s="56" t="s">
        <v>58</v>
      </c>
      <c r="C20" s="57"/>
      <c r="D20" s="58"/>
      <c r="E20" s="59" t="s">
        <v>48</v>
      </c>
      <c r="F20" s="60">
        <v>59800</v>
      </c>
      <c r="G20" s="59">
        <v>40</v>
      </c>
      <c r="H20" s="61">
        <f t="shared" ref="H20" si="2">G20*F20</f>
        <v>2392000</v>
      </c>
    </row>
    <row r="21" spans="1:8" ht="16.5" thickBot="1" x14ac:dyDescent="0.3">
      <c r="A21" s="69"/>
      <c r="B21" s="70"/>
      <c r="C21" s="70"/>
      <c r="D21" s="70"/>
      <c r="E21" s="71"/>
      <c r="F21" s="72"/>
      <c r="G21" s="71"/>
      <c r="H21" s="73"/>
    </row>
    <row r="22" spans="1:8" ht="19.5" customHeight="1" thickBot="1" x14ac:dyDescent="0.35">
      <c r="A22" s="74" t="s">
        <v>24</v>
      </c>
      <c r="B22" s="12" t="s">
        <v>59</v>
      </c>
      <c r="C22" s="13"/>
      <c r="D22" s="13"/>
      <c r="E22" s="44"/>
      <c r="F22" s="41" t="s">
        <v>45</v>
      </c>
      <c r="G22" s="6"/>
      <c r="H22" s="7"/>
    </row>
    <row r="23" spans="1:8" ht="19.5" customHeight="1" thickBot="1" x14ac:dyDescent="0.3">
      <c r="A23" s="75"/>
      <c r="B23" s="17" t="s">
        <v>60</v>
      </c>
      <c r="C23" s="4"/>
      <c r="D23" s="4"/>
      <c r="E23" s="51" t="s">
        <v>25</v>
      </c>
      <c r="F23" s="52"/>
      <c r="G23" s="7"/>
      <c r="H23" s="43">
        <f>SUM(H16:H20)</f>
        <v>24682000</v>
      </c>
    </row>
    <row r="24" spans="1:8" ht="19.5" customHeight="1" thickBot="1" x14ac:dyDescent="0.3">
      <c r="A24" s="26" t="s">
        <v>26</v>
      </c>
      <c r="B24" s="13"/>
      <c r="C24" s="13"/>
      <c r="D24" s="14"/>
      <c r="E24" s="49" t="s">
        <v>31</v>
      </c>
      <c r="F24" s="35"/>
      <c r="G24" s="50">
        <v>0.19</v>
      </c>
      <c r="H24" s="39">
        <f>H23*G24</f>
        <v>4689580</v>
      </c>
    </row>
    <row r="25" spans="1:8" ht="16.5" thickBot="1" x14ac:dyDescent="0.3">
      <c r="A25" s="15" t="s">
        <v>43</v>
      </c>
      <c r="D25" s="16"/>
      <c r="E25" s="46" t="s">
        <v>27</v>
      </c>
      <c r="G25" s="53">
        <v>2.5000000000000001E-2</v>
      </c>
      <c r="H25" s="45">
        <f>H23*G25</f>
        <v>617050</v>
      </c>
    </row>
    <row r="26" spans="1:8" ht="16.5" thickBot="1" x14ac:dyDescent="0.3">
      <c r="A26" s="15" t="s">
        <v>49</v>
      </c>
      <c r="D26" s="16"/>
      <c r="E26" s="47" t="s">
        <v>28</v>
      </c>
      <c r="F26" s="48"/>
      <c r="G26" s="18"/>
      <c r="H26" s="37"/>
    </row>
    <row r="27" spans="1:8" ht="19.5" thickBot="1" x14ac:dyDescent="0.35">
      <c r="A27" s="15" t="s">
        <v>33</v>
      </c>
      <c r="D27" s="16"/>
      <c r="G27" s="36" t="s">
        <v>29</v>
      </c>
      <c r="H27" s="40">
        <f>H23+H24-H25</f>
        <v>28754530</v>
      </c>
    </row>
    <row r="28" spans="1:8" ht="16.5" customHeight="1" thickBot="1" x14ac:dyDescent="0.3">
      <c r="A28" s="17"/>
      <c r="B28" s="4"/>
      <c r="C28" s="4"/>
      <c r="D28" s="18"/>
      <c r="F28" s="3"/>
    </row>
    <row r="30" spans="1:8" x14ac:dyDescent="0.25">
      <c r="A30" t="s">
        <v>1</v>
      </c>
    </row>
    <row r="32" spans="1:8" ht="15.75" thickBot="1" x14ac:dyDescent="0.3"/>
    <row r="33" spans="1:8" ht="19.5" thickBot="1" x14ac:dyDescent="0.35">
      <c r="A33" s="27" t="s">
        <v>46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2025-08-05T20:50:01Z</dcterms:modified>
</cp:coreProperties>
</file>