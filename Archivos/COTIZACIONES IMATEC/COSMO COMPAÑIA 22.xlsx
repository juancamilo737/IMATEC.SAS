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A0D6C120-98EC-4EEE-90BE-ED51623F216E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20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2" l="1"/>
  <c r="H17" i="2"/>
  <c r="H16" i="2"/>
  <c r="H20" i="2" s="1"/>
  <c r="H21" i="2" l="1"/>
  <c r="H25" i="2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<sst xmlns="http://schemas.openxmlformats.org/spreadsheetml/2006/main" count="56" uniqueCount="56">
  <si>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</si>
  <si>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</si>
  <si>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</si>
  <si>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</si>
  <si>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</si>
  <si>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</si>
  <si>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</si>
  <si>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</si>
  <si>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</si>
  <si>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</si>
  <si>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</si>
  <si>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</si>
  <si>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</si>
  <si>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</si>
  <si>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</si>
  <si>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</si>
  <si>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</si>
  <si>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</si>
  <si>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</si>
  <si>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</si>
  <si>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</si>
  <si>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</si>
  <si>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</si>
  <si>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</si>
  <si>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</si>
  <si>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</si>
  <si>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</si>
  <si>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</si>
  <si>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</si>
  <si>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</si>
  <si>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</si>
  <si>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</si>
  <si>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</si>
  <si>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</si>
  <si>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</si>
  <si>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</si>
  <si>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</si>
  <si>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</si>
  <si>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</si>
  <si>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</si>
  <si>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</si>
  <si>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</si>
  <si>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</si>
  <si>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</si>
  <si>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</si>
  <si>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</si>
  <si>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</si>
  <si>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>ACCESORIO</t>
  </si>
  <si>
    <t>FORMA DE PAGO : CREDITO A 30 DIAS</t>
  </si>
  <si>
    <t xml:space="preserve">            C O T I Z A C I O N</t>
  </si>
  <si>
    <t>No.  22</t>
  </si>
  <si>
    <t>TUBERIA  AC/INOX 304  SCH 40  14 "</t>
  </si>
  <si>
    <t>TUBO X 6 MTS</t>
  </si>
  <si>
    <t>CODO  A / C SCH 40  3 "  X  90  SOLDAR</t>
  </si>
  <si>
    <t>CATORCE MILLONES TRESCIENTOS UN MIL OCHOCIEN-</t>
  </si>
  <si>
    <t>TOS TREINTA Y UN PESOS 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</si>
</sst>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3" xfId="0" applyBorder="1"/>
    <xf numFmtId="0" fontId="0" fillId="0" borderId="27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2" fontId="11" fillId="0" borderId="28" xfId="1" applyFont="1" applyBorder="1" applyAlignment="1">
      <alignment horizontal="center"/>
    </xf>
    <xf numFmtId="0" fontId="1" fillId="0" borderId="2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0"/>
  <sheetViews>
    <sheetView tabSelected="1" topLeftCell="A11" zoomScale="106" zoomScaleNormal="106" workbookViewId="0">
      <selection activeCell="E27" sqref="E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44" t="s">
        <v>39</v>
      </c>
      <c r="D7" s="6"/>
      <c r="E7" s="6"/>
      <c r="F7" s="37"/>
      <c r="G7" s="18"/>
      <c r="H7" s="63" t="s">
        <v>50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59" t="s">
        <v>42</v>
      </c>
      <c r="F9" s="30" t="s">
        <v>0</v>
      </c>
      <c r="H9" s="28">
        <v>45589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45598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4">
        <v>1</v>
      </c>
      <c r="B16" s="61" t="s">
        <v>51</v>
      </c>
      <c r="C16" s="12"/>
      <c r="D16" s="13"/>
      <c r="E16" s="65" t="s">
        <v>52</v>
      </c>
      <c r="F16" s="66">
        <v>12220000</v>
      </c>
      <c r="G16" s="67">
        <v>1</v>
      </c>
      <c r="H16" s="38">
        <f t="shared" ref="H16" si="0">G16*F16</f>
        <v>12220000</v>
      </c>
    </row>
    <row r="17" spans="1:8" ht="15.75" thickBot="1" x14ac:dyDescent="0.3">
      <c r="A17" s="70">
        <v>2</v>
      </c>
      <c r="B17" s="68" t="s">
        <v>53</v>
      </c>
      <c r="C17" s="6"/>
      <c r="D17" s="7"/>
      <c r="E17" s="71" t="s">
        <v>47</v>
      </c>
      <c r="F17" s="72">
        <v>18750</v>
      </c>
      <c r="G17" s="73">
        <v>3</v>
      </c>
      <c r="H17" s="38">
        <f t="shared" ref="H17" si="1">G17*F17</f>
        <v>56250</v>
      </c>
    </row>
    <row r="18" spans="1:8" ht="15.75" thickBot="1" x14ac:dyDescent="0.3">
      <c r="B18" s="16"/>
      <c r="C18" s="4"/>
      <c r="D18" s="17"/>
      <c r="F18" s="69"/>
      <c r="G18" s="69"/>
    </row>
    <row r="19" spans="1:8" ht="19.5" customHeight="1" thickBot="1" x14ac:dyDescent="0.35">
      <c r="A19" s="62" t="s">
        <v>23</v>
      </c>
      <c r="B19" s="61" t="s">
        <v>54</v>
      </c>
      <c r="C19" s="12"/>
      <c r="D19" s="13"/>
      <c r="E19" s="68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55</v>
      </c>
      <c r="C20" s="4"/>
      <c r="D20" s="17"/>
      <c r="E20" s="52" t="s">
        <v>24</v>
      </c>
      <c r="F20" s="52"/>
      <c r="G20" s="45"/>
      <c r="H20" s="50">
        <f>SUM(H16:H17)</f>
        <v>12276250</v>
      </c>
    </row>
    <row r="21" spans="1:8" ht="19.5" customHeight="1" x14ac:dyDescent="0.25">
      <c r="A21" s="24" t="s">
        <v>25</v>
      </c>
      <c r="E21" s="53" t="s">
        <v>30</v>
      </c>
      <c r="F21" s="23"/>
      <c r="G21" s="54">
        <v>0.19</v>
      </c>
      <c r="H21" s="40">
        <f>H20*G21</f>
        <v>2332487.5</v>
      </c>
    </row>
    <row r="22" spans="1:8" ht="19.5" customHeight="1" x14ac:dyDescent="0.25">
      <c r="A22" s="14" t="s">
        <v>48</v>
      </c>
      <c r="E22" s="55" t="s">
        <v>26</v>
      </c>
      <c r="G22" s="58">
        <v>2.5000000000000001E-2</v>
      </c>
      <c r="H22" s="51">
        <f>H20*G22</f>
        <v>306906.25</v>
      </c>
    </row>
    <row r="23" spans="1:8" ht="15.75" x14ac:dyDescent="0.25">
      <c r="A23" s="14" t="s">
        <v>46</v>
      </c>
      <c r="E23" s="14"/>
      <c r="F23" s="33"/>
      <c r="G23" s="46"/>
      <c r="H23" s="15"/>
    </row>
    <row r="24" spans="1:8" ht="16.5" thickBot="1" x14ac:dyDescent="0.3">
      <c r="A24" s="14" t="s">
        <v>33</v>
      </c>
      <c r="E24" s="56" t="s">
        <v>27</v>
      </c>
      <c r="F24" s="57"/>
      <c r="G24" s="47"/>
      <c r="H24" s="17"/>
    </row>
    <row r="25" spans="1:8" ht="19.5" thickBot="1" x14ac:dyDescent="0.35">
      <c r="A25" s="60"/>
      <c r="B25" s="4"/>
      <c r="C25" s="4"/>
      <c r="D25" s="17"/>
      <c r="F25" s="3"/>
      <c r="G25" s="34" t="s">
        <v>28</v>
      </c>
      <c r="H25" s="36">
        <f>H20+H21-H22</f>
        <v>14301831.25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2024-10-01T14:17:55Z</cp:lastPrinted>
  <dcterms:created xsi:type="dcterms:W3CDTF">2018-11-15T17:29:02Z</dcterms:created>
  <dcterms:modified xsi:type="dcterms:W3CDTF">2024-10-24T17:29:01Z</dcterms:modified>
</cp:coreProperties>
</file>