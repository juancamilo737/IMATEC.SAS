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223DA7C-0BDA-40B6-B24A-ECB343711F6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s="1"/>
  <c r="H25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<sst xmlns="http://schemas.openxmlformats.org/spreadsheetml/2006/main" count="62" uniqueCount="59">
  <si>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</si>
  <si>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</si>
  <si>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</si>
  <si>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</si>
  <si>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</si>
  <si>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</si>
  <si>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</si>
  <si>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</si>
  <si>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</si>
  <si>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</si>
  <si>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</si>
  <si>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</si>
  <si>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</si>
  <si>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</si>
  <si>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</si>
  <si>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</si>
  <si>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</si>
  <si>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</si>
  <si>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</si>
  <si>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</si>
  <si>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</si>
  <si>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</si>
  <si>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</si>
  <si>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</si>
  <si>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</si>
  <si>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</si>
  <si>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</si>
  <si>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</si>
  <si>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</si>
  <si>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</si>
  <si>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</si>
  <si>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</si>
  <si>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</si>
  <si>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</si>
  <si>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</si>
  <si>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</si>
  <si>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</si>
  <si>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</si>
  <si>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</si>
  <si>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</si>
  <si>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</si>
  <si>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</si>
  <si>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</si>
  <si>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</si>
  <si>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</si>
  <si>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 xml:space="preserve">  CALLE  33A  No. 17F - 56               B/  LA FLORESTA             -   CALI    -                                          CEL.     321 7834969</t>
  </si>
  <si>
    <t>FORMA DE PAGO : CREDITO 30 DIAS</t>
  </si>
  <si>
    <t xml:space="preserve">              R E M I S I O N</t>
  </si>
  <si>
    <t>30 dias</t>
  </si>
  <si>
    <t>No. 20</t>
  </si>
  <si>
    <t>TEE AC/INOX 304  1 "  X  150 LBS</t>
  </si>
  <si>
    <t>TAPON MACHO AC/INOX 304  1 "</t>
  </si>
  <si>
    <t>VALVULA AC/INOX  4 TORNILLOS  1 "</t>
  </si>
  <si>
    <t>CHEQUE VERTICAL AC/INOX 316  1 "</t>
  </si>
  <si>
    <t>NIPLE AC/INOX  304  1 "  X  4 "</t>
  </si>
  <si>
    <t>FABRICACION</t>
  </si>
  <si>
    <t>DOS MILLONES TRESCIENTOS NUEVE MIL CUATROCIEN-</t>
  </si>
  <si>
    <t>TOS NOVENTA Y SEIS PESOS MDA / CTE</t>
  </si>
  <si>
    <t>ENTREGA EN DOS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</si>
</sst>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45832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45861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42</v>
      </c>
      <c r="F16" s="66">
        <v>13500</v>
      </c>
      <c r="G16" s="62">
        <v>12</v>
      </c>
      <c r="H16" s="37">
        <f t="shared" ref="H16" si="0">G16*F16</f>
        <v>162000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42</v>
      </c>
      <c r="F17" s="66">
        <v>5800</v>
      </c>
      <c r="G17" s="62">
        <v>12</v>
      </c>
      <c r="H17" s="37">
        <f t="shared" ref="H17:H20" si="1">G17*F17</f>
        <v>69600</v>
      </c>
    </row>
    <row r="18" spans="1:8" ht="16.5" thickBot="1" x14ac:dyDescent="0.3">
      <c r="A18" s="62">
        <v>3</v>
      </c>
      <c r="B18" s="63" t="s">
        <v>52</v>
      </c>
      <c r="C18" s="64"/>
      <c r="D18" s="65"/>
      <c r="E18" s="62" t="s">
        <v>42</v>
      </c>
      <c r="F18" s="66">
        <v>68400</v>
      </c>
      <c r="G18" s="62">
        <v>12</v>
      </c>
      <c r="H18" s="37">
        <f t="shared" si="1"/>
        <v>820800</v>
      </c>
    </row>
    <row r="19" spans="1:8" ht="16.5" thickBot="1" x14ac:dyDescent="0.3">
      <c r="A19" s="62">
        <v>4</v>
      </c>
      <c r="B19" s="63" t="s">
        <v>53</v>
      </c>
      <c r="C19" s="64"/>
      <c r="D19" s="65"/>
      <c r="E19" s="62" t="s">
        <v>42</v>
      </c>
      <c r="F19" s="66">
        <v>65000</v>
      </c>
      <c r="G19" s="62">
        <v>12</v>
      </c>
      <c r="H19" s="37">
        <f t="shared" si="1"/>
        <v>780000</v>
      </c>
    </row>
    <row r="20" spans="1:8" ht="16.5" thickBot="1" x14ac:dyDescent="0.3">
      <c r="A20" s="62">
        <v>5</v>
      </c>
      <c r="B20" s="63" t="s">
        <v>54</v>
      </c>
      <c r="C20" s="64"/>
      <c r="D20" s="65"/>
      <c r="E20" s="62" t="s">
        <v>55</v>
      </c>
      <c r="F20" s="66">
        <v>12500</v>
      </c>
      <c r="G20" s="62">
        <v>12</v>
      </c>
      <c r="H20" s="37">
        <f t="shared" si="1"/>
        <v>150000</v>
      </c>
    </row>
    <row r="21" spans="1:8" ht="19.5" customHeight="1" thickBot="1" x14ac:dyDescent="0.3">
      <c r="A21" s="48"/>
      <c r="B21" s="68"/>
      <c r="D21" s="69"/>
      <c r="E21" s="48"/>
      <c r="F21" s="48"/>
      <c r="G21" s="48"/>
    </row>
    <row r="22" spans="1:8" ht="19.5" customHeight="1" thickBot="1" x14ac:dyDescent="0.35">
      <c r="A22" s="67" t="s">
        <v>23</v>
      </c>
      <c r="B22" s="70" t="s">
        <v>56</v>
      </c>
      <c r="C22" s="12"/>
      <c r="D22" s="71"/>
      <c r="E22" s="49"/>
      <c r="F22" s="36" t="s">
        <v>43</v>
      </c>
      <c r="G22" s="6"/>
      <c r="H22" s="7"/>
    </row>
    <row r="23" spans="1:8" ht="19.5" customHeight="1" thickBot="1" x14ac:dyDescent="0.3">
      <c r="A23" s="38"/>
      <c r="B23" s="15" t="s">
        <v>57</v>
      </c>
      <c r="C23" s="4"/>
      <c r="D23" s="16"/>
      <c r="E23" s="52" t="s">
        <v>24</v>
      </c>
      <c r="F23" s="53"/>
      <c r="G23" s="44"/>
      <c r="H23" s="50">
        <f>SUM(H16:H20)</f>
        <v>1982400</v>
      </c>
    </row>
    <row r="24" spans="1:8" ht="19.5" customHeight="1" x14ac:dyDescent="0.25">
      <c r="A24" s="23" t="s">
        <v>25</v>
      </c>
      <c r="B24" s="12"/>
      <c r="C24" s="12"/>
      <c r="D24" s="12"/>
      <c r="E24" s="54" t="s">
        <v>29</v>
      </c>
      <c r="F24" s="22"/>
      <c r="G24" s="55">
        <v>0.19</v>
      </c>
      <c r="H24" s="39">
        <f>H23*G24</f>
        <v>376656</v>
      </c>
    </row>
    <row r="25" spans="1:8" ht="19.5" customHeight="1" x14ac:dyDescent="0.25">
      <c r="A25" s="13" t="s">
        <v>46</v>
      </c>
      <c r="E25" s="56" t="s">
        <v>26</v>
      </c>
      <c r="G25" s="59">
        <v>2.5000000000000001E-2</v>
      </c>
      <c r="H25" s="51">
        <f>H23*G25</f>
        <v>49560</v>
      </c>
    </row>
    <row r="26" spans="1:8" ht="15.75" x14ac:dyDescent="0.25">
      <c r="A26" s="13" t="s">
        <v>58</v>
      </c>
      <c r="E26" s="13"/>
      <c r="F26" s="32"/>
      <c r="G26" s="45"/>
      <c r="H26" s="14"/>
    </row>
    <row r="27" spans="1:8" ht="16.5" thickBot="1" x14ac:dyDescent="0.3">
      <c r="A27" s="13" t="s">
        <v>31</v>
      </c>
      <c r="E27" s="57" t="s">
        <v>27</v>
      </c>
      <c r="F27" s="58"/>
      <c r="G27" s="46"/>
      <c r="H27" s="16"/>
    </row>
    <row r="28" spans="1:8" ht="19.5" thickBot="1" x14ac:dyDescent="0.35">
      <c r="A28" s="15"/>
      <c r="B28" s="4"/>
      <c r="C28" s="4"/>
      <c r="D28" s="16"/>
      <c r="F28" s="3"/>
      <c r="G28" s="33" t="s">
        <v>28</v>
      </c>
      <c r="H28" s="35">
        <f>H23+H24-H25</f>
        <v>2309496</v>
      </c>
    </row>
    <row r="29" spans="1:8" ht="16.5" customHeight="1" x14ac:dyDescent="0.25"/>
    <row r="34" spans="1:8" ht="15.75" thickBot="1" x14ac:dyDescent="0.3"/>
    <row r="35" spans="1:8" ht="19.5" thickBot="1" x14ac:dyDescent="0.35">
      <c r="A35" s="24" t="s">
        <v>45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2025-05-27T16:40:58Z</cp:lastPrinted>
  <dcterms:created xsi:type="dcterms:W3CDTF">2018-11-15T17:29:02Z</dcterms:created>
  <dcterms:modified xsi:type="dcterms:W3CDTF">2025-06-24T21:13:34Z</dcterms:modified>
</cp:coreProperties>
</file>