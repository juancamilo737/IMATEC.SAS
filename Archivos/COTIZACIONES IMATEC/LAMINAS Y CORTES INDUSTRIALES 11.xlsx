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98EAF87-9EF0-438F-94F8-2BBBCF18BA6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15" i="1"/>
  <c r="H27" i="1" l="1"/>
  <c r="H25" i="1"/>
  <c r="H29" i="1" l="1"/>
</calcChain>
</file>

<file path=xl/sharedStrings.xml><?xml version="1.0" encoding="utf-8"?>
<sst xmlns="http://schemas.openxmlformats.org/spreadsheetml/2006/main" count="68" uniqueCount="63">
  <si>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</si>
  <si>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</si>
  <si>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</si>
  <si>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</si>
  <si>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</si>
  <si>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</si>
  <si>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</si>
  <si>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</si>
  <si>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</si>
  <si>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</si>
  <si>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</si>
  <si>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</si>
  <si>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</si>
  <si>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</si>
  <si>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</si>
  <si>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</si>
  <si>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</si>
  <si>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</si>
  <si>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</si>
  <si>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</si>
  <si>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</si>
  <si>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</si>
  <si>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</si>
  <si>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</si>
  <si>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</si>
  <si>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</si>
  <si>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</si>
  <si>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</si>
  <si>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</si>
  <si>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</si>
  <si>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</si>
  <si>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</si>
  <si>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</si>
  <si>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</si>
  <si>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</si>
  <si>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</si>
  <si>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</si>
  <si>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</si>
  <si>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</si>
  <si>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</si>
  <si>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</si>
  <si>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</si>
  <si>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</si>
  <si>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</si>
  <si>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</si>
  <si>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</si>
  <si>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</si>
  <si>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 xml:space="preserve">           C O T I Z A C I O N</t>
  </si>
  <si>
    <t>10 DIAS</t>
  </si>
  <si>
    <t>FORMA DE PAGO :  CREDITO A 30 DIAS</t>
  </si>
  <si>
    <t>ENTREGA EN TRES   DIAS A PARTIR DE ORDEN DE COMPRA</t>
  </si>
  <si>
    <t>No. 17</t>
  </si>
  <si>
    <t>UNION AC/INOX 316  1 "  X  150 LBS ROSCADA</t>
  </si>
  <si>
    <t>ACCESORIO</t>
  </si>
  <si>
    <t>UNION AC/INOX 316  3/4  "  X  150 LBS ROSCADA</t>
  </si>
  <si>
    <t>TUBERIA  AC/INOX 316 SCH 10  2 "</t>
  </si>
  <si>
    <t>METRO LINEAL</t>
  </si>
  <si>
    <t>TUBERIA  AC/INOX 316 SCH 40  2 "</t>
  </si>
  <si>
    <t>BRIDA AC/INOX 316 SLIP ON  2 "  X  150 LBS</t>
  </si>
  <si>
    <t>CODO AC/INOX 316  SCH 10  2 1/2 "  X 90 º</t>
  </si>
  <si>
    <t>CODO AC/INOX 316  SCH 40  2 1/2 "  X 90 º</t>
  </si>
  <si>
    <t>UN MILLON CUATROCIENTOS TREINTAY OCHO MIL TREIN</t>
  </si>
  <si>
    <t>TA Y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</si>
</sst>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3"/>
  <sheetViews>
    <sheetView tabSelected="1" topLeftCell="A7" zoomScaleNormal="100" workbookViewId="0">
      <selection activeCell="F29" sqref="F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47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51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45750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 t="s">
        <v>48</v>
      </c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>
        <v>45759</v>
      </c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52</v>
      </c>
      <c r="C15" s="53"/>
      <c r="D15" s="54"/>
      <c r="E15" s="55" t="s">
        <v>53</v>
      </c>
      <c r="F15" s="76">
        <v>12500</v>
      </c>
      <c r="G15" s="77">
        <v>1</v>
      </c>
      <c r="H15" s="56">
        <f t="shared" ref="H15" si="0">F15*G15</f>
        <v>12500</v>
      </c>
      <c r="I15" s="37"/>
      <c r="J15" s="37"/>
    </row>
    <row r="16" spans="1:10" ht="19.5" customHeight="1" thickBot="1" x14ac:dyDescent="0.3">
      <c r="A16" s="52">
        <v>2</v>
      </c>
      <c r="B16" s="53" t="s">
        <v>54</v>
      </c>
      <c r="C16" s="53"/>
      <c r="D16" s="54"/>
      <c r="E16" s="55" t="s">
        <v>53</v>
      </c>
      <c r="F16" s="76">
        <v>13800</v>
      </c>
      <c r="G16" s="77">
        <v>1</v>
      </c>
      <c r="H16" s="56">
        <f t="shared" ref="H16:H21" si="1">F16*G16</f>
        <v>13800</v>
      </c>
      <c r="I16" s="37"/>
      <c r="J16" s="37"/>
    </row>
    <row r="17" spans="1:10" ht="19.5" customHeight="1" thickBot="1" x14ac:dyDescent="0.3">
      <c r="A17" s="52">
        <v>3</v>
      </c>
      <c r="B17" s="53" t="s">
        <v>55</v>
      </c>
      <c r="C17" s="53"/>
      <c r="D17" s="54"/>
      <c r="E17" s="55" t="s">
        <v>56</v>
      </c>
      <c r="F17" s="76">
        <v>165000</v>
      </c>
      <c r="G17" s="77">
        <v>1</v>
      </c>
      <c r="H17" s="56">
        <f t="shared" si="1"/>
        <v>165000</v>
      </c>
      <c r="I17" s="37"/>
      <c r="J17" s="37"/>
    </row>
    <row r="18" spans="1:10" ht="19.5" customHeight="1" thickBot="1" x14ac:dyDescent="0.3">
      <c r="A18" s="52">
        <v>4</v>
      </c>
      <c r="B18" s="53" t="s">
        <v>57</v>
      </c>
      <c r="C18" s="53"/>
      <c r="D18" s="54"/>
      <c r="E18" s="55" t="s">
        <v>56</v>
      </c>
      <c r="F18" s="76">
        <v>240000</v>
      </c>
      <c r="G18" s="77">
        <v>1</v>
      </c>
      <c r="H18" s="56">
        <f t="shared" si="1"/>
        <v>240000</v>
      </c>
      <c r="I18" s="37"/>
      <c r="J18" s="37"/>
    </row>
    <row r="19" spans="1:10" ht="19.5" customHeight="1" thickBot="1" x14ac:dyDescent="0.3">
      <c r="A19" s="52">
        <v>5</v>
      </c>
      <c r="B19" s="53" t="s">
        <v>58</v>
      </c>
      <c r="C19" s="53"/>
      <c r="D19" s="54"/>
      <c r="E19" s="55" t="s">
        <v>53</v>
      </c>
      <c r="F19" s="76">
        <v>149800</v>
      </c>
      <c r="G19" s="77">
        <v>1</v>
      </c>
      <c r="H19" s="56">
        <f t="shared" si="1"/>
        <v>149800</v>
      </c>
      <c r="I19" s="37"/>
      <c r="J19" s="37"/>
    </row>
    <row r="20" spans="1:10" ht="19.5" customHeight="1" thickBot="1" x14ac:dyDescent="0.3">
      <c r="A20" s="52">
        <v>6</v>
      </c>
      <c r="B20" s="53" t="s">
        <v>59</v>
      </c>
      <c r="C20" s="53"/>
      <c r="D20" s="54"/>
      <c r="E20" s="55" t="s">
        <v>53</v>
      </c>
      <c r="F20" s="76">
        <v>62550</v>
      </c>
      <c r="G20" s="77">
        <v>4</v>
      </c>
      <c r="H20" s="56">
        <f t="shared" si="1"/>
        <v>250200</v>
      </c>
      <c r="I20" s="37"/>
      <c r="J20" s="37"/>
    </row>
    <row r="21" spans="1:10" ht="19.5" customHeight="1" thickBot="1" x14ac:dyDescent="0.3">
      <c r="A21" s="52">
        <v>7</v>
      </c>
      <c r="B21" s="53" t="s">
        <v>60</v>
      </c>
      <c r="C21" s="53"/>
      <c r="D21" s="54"/>
      <c r="E21" s="55" t="s">
        <v>53</v>
      </c>
      <c r="F21" s="76">
        <v>96250</v>
      </c>
      <c r="G21" s="77">
        <v>4</v>
      </c>
      <c r="H21" s="56">
        <f t="shared" si="1"/>
        <v>385000</v>
      </c>
      <c r="I21" s="37"/>
      <c r="J21" s="37"/>
    </row>
    <row r="22" spans="1:10" ht="15.75" thickBot="1" x14ac:dyDescent="0.3">
      <c r="A22" s="51"/>
      <c r="D22" s="38"/>
      <c r="H22" s="38"/>
    </row>
    <row r="23" spans="1:10" ht="19.5" customHeight="1" thickBot="1" x14ac:dyDescent="0.35">
      <c r="A23" s="78" t="s">
        <v>25</v>
      </c>
      <c r="B23" s="12" t="s">
        <v>61</v>
      </c>
      <c r="C23" s="13"/>
      <c r="D23" s="14"/>
      <c r="E23" s="48"/>
      <c r="F23" s="57" t="s">
        <v>44</v>
      </c>
      <c r="G23" s="6"/>
      <c r="H23" s="7"/>
    </row>
    <row r="24" spans="1:10" ht="19.5" customHeight="1" thickBot="1" x14ac:dyDescent="0.3">
      <c r="A24" s="79"/>
      <c r="B24" s="17" t="s">
        <v>62</v>
      </c>
      <c r="C24" s="4"/>
      <c r="D24" s="18"/>
      <c r="E24" s="58" t="s">
        <v>26</v>
      </c>
      <c r="F24" s="59"/>
      <c r="G24" s="60"/>
      <c r="H24" s="43">
        <f>SUM(H15:H21)</f>
        <v>1216300</v>
      </c>
    </row>
    <row r="25" spans="1:10" ht="19.5" customHeight="1" x14ac:dyDescent="0.25">
      <c r="A25" s="26" t="s">
        <v>27</v>
      </c>
      <c r="B25" s="13"/>
      <c r="C25" s="13"/>
      <c r="D25" s="14"/>
      <c r="E25" s="61" t="s">
        <v>41</v>
      </c>
      <c r="F25" s="41"/>
      <c r="G25" s="62">
        <v>0.19</v>
      </c>
      <c r="H25" s="43">
        <f>H24*0.19</f>
        <v>231097</v>
      </c>
    </row>
    <row r="26" spans="1:10" ht="15.75" x14ac:dyDescent="0.25">
      <c r="A26" s="46" t="s">
        <v>49</v>
      </c>
      <c r="D26" s="16"/>
      <c r="E26" s="63" t="s">
        <v>28</v>
      </c>
      <c r="F26" s="40"/>
      <c r="G26" s="64">
        <v>2.5000000000000001E-2</v>
      </c>
      <c r="H26" s="43"/>
    </row>
    <row r="27" spans="1:10" ht="15.75" x14ac:dyDescent="0.25">
      <c r="A27" s="46" t="s">
        <v>50</v>
      </c>
      <c r="D27" s="16"/>
      <c r="E27" s="61" t="s">
        <v>45</v>
      </c>
      <c r="G27" s="75">
        <v>7.7000000000000002E-3</v>
      </c>
      <c r="H27" s="43">
        <f>H24*G27</f>
        <v>9365.51</v>
      </c>
    </row>
    <row r="28" spans="1:10" ht="16.5" thickBot="1" x14ac:dyDescent="0.3">
      <c r="A28" s="15" t="s">
        <v>31</v>
      </c>
      <c r="D28" s="16"/>
      <c r="E28" s="66"/>
      <c r="F28" s="67"/>
      <c r="G28" s="68"/>
      <c r="H28" s="44"/>
    </row>
    <row r="29" spans="1:10" ht="16.5" customHeight="1" thickBot="1" x14ac:dyDescent="0.35">
      <c r="A29" s="17"/>
      <c r="B29" s="4"/>
      <c r="C29" s="4"/>
      <c r="D29" s="18"/>
      <c r="F29" s="3"/>
      <c r="G29" s="42" t="s">
        <v>29</v>
      </c>
      <c r="H29" s="39">
        <f>H24+H25-H26-H27</f>
        <v>1438031.49</v>
      </c>
    </row>
    <row r="31" spans="1:10" x14ac:dyDescent="0.25">
      <c r="A31" t="s">
        <v>1</v>
      </c>
    </row>
    <row r="33" spans="1:8" ht="15.75" thickBot="1" x14ac:dyDescent="0.3"/>
    <row r="34" spans="1:8" ht="19.5" thickBot="1" x14ac:dyDescent="0.35">
      <c r="A34" s="27" t="s">
        <v>46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2025-04-03T15:35:18Z</dcterms:modified>
</cp:coreProperties>
</file>