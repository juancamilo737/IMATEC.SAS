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6E3F959-063F-43C0-9131-B641C1FB1AA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ETALBA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<sst xmlns="http://schemas.openxmlformats.org/spreadsheetml/2006/main" count="55" uniqueCount="55">
  <si>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</si>
  <si>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</si>
  <si>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</si>
  <si>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</si>
  <si>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</si>
  <si>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</si>
  <si>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</si>
  <si>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</si>
  <si>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</si>
  <si>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</si>
  <si>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</si>
  <si>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</si>
  <si>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</si>
  <si>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</si>
  <si>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</si>
  <si>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</si>
  <si>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</si>
  <si>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</si>
  <si>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</si>
  <si>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</si>
  <si>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</si>
  <si>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</si>
  <si>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</si>
  <si>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</si>
  <si>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</si>
  <si>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</si>
  <si>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</si>
  <si>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</si>
  <si>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</si>
  <si>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</si>
  <si>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</si>
  <si>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</si>
  <si>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</si>
  <si>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</si>
  <si>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</si>
  <si>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METALMECANICAS BASTIDAS S.A.S.</t>
  </si>
  <si>
    <t>METALBAS S.A.S.</t>
  </si>
  <si>
    <t xml:space="preserve"> 800 190459</t>
  </si>
  <si>
    <t>CALI</t>
  </si>
  <si>
    <t>metalbas@metalbas.co</t>
  </si>
  <si>
    <t>602 4417174</t>
  </si>
  <si>
    <t>LUIS A. BENAVIDES</t>
  </si>
  <si>
    <t>CALLE 37  No.  8A-89</t>
  </si>
  <si>
    <t>ACCESORIO</t>
  </si>
  <si>
    <t>VR. TOTAL</t>
  </si>
  <si>
    <t>L I Q U I D A C I O N</t>
  </si>
  <si>
    <t xml:space="preserve">  CALLE  33A  No. 17F - 56                            B/  LA FLORESTA             -   CALI    -                                   CEL.     321 7834969</t>
  </si>
  <si>
    <t>ENTREGA EN TRES DIAS A PARTIR DE DORDEN DE COMPRA</t>
  </si>
  <si>
    <t>FORMA DE PAGO : CREDITO A 15 DIAS</t>
  </si>
  <si>
    <t>LUBRICADOR PARA AIRE  1 "</t>
  </si>
  <si>
    <t>No. 27</t>
  </si>
  <si>
    <t>15 DIAS</t>
  </si>
  <si>
    <t xml:space="preserve">              R E M I S I O N</t>
  </si>
  <si>
    <t>CUATROCIENTOS SETENTA MIL CINCUENTA PESOS MDA</t>
  </si>
  <si>
    <t>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</si>
</sst>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1" xfId="0" applyBorder="1"/>
    <xf numFmtId="0" fontId="8" fillId="0" borderId="2" xfId="0" applyFont="1" applyBorder="1"/>
    <xf numFmtId="42" fontId="1" fillId="0" borderId="4" xfId="1" applyFont="1" applyBorder="1" applyAlignment="1">
      <alignment horizontal="left"/>
    </xf>
    <xf numFmtId="0" fontId="10" fillId="0" borderId="12" xfId="0" applyFont="1" applyBorder="1"/>
    <xf numFmtId="42" fontId="1" fillId="0" borderId="1" xfId="0" applyNumberFormat="1" applyFont="1" applyBorder="1" applyAlignment="1">
      <alignment horizontal="center"/>
    </xf>
    <xf numFmtId="42" fontId="1" fillId="0" borderId="5" xfId="0" applyNumberFormat="1" applyFont="1" applyBorder="1"/>
    <xf numFmtId="0" fontId="0" fillId="0" borderId="6" xfId="0" applyBorder="1"/>
    <xf numFmtId="0" fontId="10" fillId="0" borderId="9" xfId="0" applyFont="1" applyBorder="1"/>
    <xf numFmtId="0" fontId="10" fillId="0" borderId="0" xfId="0" applyFont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talbas@metalba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23" sqref="J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1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29</v>
      </c>
      <c r="E4" s="17"/>
      <c r="F4" s="18"/>
      <c r="G4" s="6"/>
      <c r="H4" s="7"/>
    </row>
    <row r="5" spans="1:8" ht="19.5" thickBot="1" x14ac:dyDescent="0.35">
      <c r="A5" s="33" t="s">
        <v>31</v>
      </c>
      <c r="B5" s="6"/>
      <c r="C5" s="6"/>
      <c r="D5" s="6"/>
      <c r="E5" s="6"/>
    </row>
    <row r="6" spans="1:8" ht="24.75" customHeight="1" thickBot="1" x14ac:dyDescent="0.45">
      <c r="F6" s="36" t="s">
        <v>52</v>
      </c>
      <c r="G6" s="37"/>
      <c r="H6" s="38"/>
    </row>
    <row r="7" spans="1:8" ht="19.5" thickBot="1" x14ac:dyDescent="0.35">
      <c r="A7" s="19" t="s">
        <v>14</v>
      </c>
      <c r="B7" s="12"/>
      <c r="C7" s="39" t="s">
        <v>35</v>
      </c>
      <c r="D7" s="6"/>
      <c r="E7" s="6"/>
      <c r="F7" s="33"/>
      <c r="G7" s="17"/>
      <c r="H7" s="18" t="s">
        <v>50</v>
      </c>
    </row>
    <row r="8" spans="1:8" ht="19.5" thickBot="1" x14ac:dyDescent="0.35">
      <c r="A8" s="20" t="s">
        <v>8</v>
      </c>
      <c r="C8" s="13" t="s">
        <v>37</v>
      </c>
      <c r="E8" s="14"/>
      <c r="F8" s="63"/>
      <c r="G8" s="12"/>
      <c r="H8" s="38"/>
    </row>
    <row r="9" spans="1:8" ht="18.75" customHeight="1" thickBot="1" x14ac:dyDescent="0.35">
      <c r="A9" s="20" t="s">
        <v>9</v>
      </c>
      <c r="C9" s="13" t="s">
        <v>42</v>
      </c>
      <c r="E9" s="57" t="s">
        <v>38</v>
      </c>
      <c r="F9" s="64" t="s">
        <v>0</v>
      </c>
      <c r="H9" s="27">
        <v>45853</v>
      </c>
    </row>
    <row r="10" spans="1:8" ht="18.75" x14ac:dyDescent="0.3">
      <c r="A10" s="20" t="s">
        <v>13</v>
      </c>
      <c r="C10" s="43" t="s">
        <v>39</v>
      </c>
      <c r="E10" s="14"/>
      <c r="F10" s="64" t="s">
        <v>15</v>
      </c>
      <c r="H10" s="28" t="s">
        <v>51</v>
      </c>
    </row>
    <row r="11" spans="1:8" ht="18.75" x14ac:dyDescent="0.3">
      <c r="A11" s="20" t="s">
        <v>10</v>
      </c>
      <c r="C11" s="13" t="s">
        <v>36</v>
      </c>
      <c r="E11" s="14"/>
      <c r="F11" s="64" t="s">
        <v>16</v>
      </c>
      <c r="G11" s="65"/>
      <c r="H11" s="27">
        <v>45868</v>
      </c>
    </row>
    <row r="12" spans="1:8" ht="18.75" x14ac:dyDescent="0.3">
      <c r="A12" s="20" t="s">
        <v>11</v>
      </c>
      <c r="C12" s="13" t="s">
        <v>40</v>
      </c>
      <c r="E12" s="14"/>
      <c r="F12" s="64" t="s">
        <v>17</v>
      </c>
      <c r="H12" s="14"/>
    </row>
    <row r="13" spans="1:8" ht="18.75" customHeight="1" thickBot="1" x14ac:dyDescent="0.35">
      <c r="A13" s="21" t="s">
        <v>12</v>
      </c>
      <c r="B13" s="4"/>
      <c r="C13" s="15" t="s">
        <v>41</v>
      </c>
      <c r="D13" s="4"/>
      <c r="E13" s="16"/>
      <c r="F13" s="15"/>
      <c r="G13" s="4"/>
      <c r="H13" s="60"/>
    </row>
    <row r="14" spans="1:8" ht="15.75" thickBot="1" x14ac:dyDescent="0.3">
      <c r="H14" s="16"/>
    </row>
    <row r="15" spans="1:8" ht="15.75" thickBot="1" x14ac:dyDescent="0.3">
      <c r="A15" s="71" t="s">
        <v>32</v>
      </c>
      <c r="B15" s="72" t="s">
        <v>21</v>
      </c>
      <c r="C15" s="17"/>
      <c r="D15" s="7"/>
      <c r="E15" s="71" t="s">
        <v>18</v>
      </c>
      <c r="F15" s="71" t="s">
        <v>20</v>
      </c>
      <c r="G15" s="71" t="s">
        <v>19</v>
      </c>
      <c r="H15" s="44" t="s">
        <v>44</v>
      </c>
    </row>
    <row r="16" spans="1:8" ht="16.5" thickBot="1" x14ac:dyDescent="0.3">
      <c r="A16" s="66">
        <v>1</v>
      </c>
      <c r="B16" s="67" t="s">
        <v>49</v>
      </c>
      <c r="C16" s="58"/>
      <c r="D16" s="68"/>
      <c r="E16" s="66" t="s">
        <v>43</v>
      </c>
      <c r="F16" s="69">
        <v>395000</v>
      </c>
      <c r="G16" s="70">
        <v>1</v>
      </c>
      <c r="H16" s="61">
        <f>F16*G16</f>
        <v>395000</v>
      </c>
    </row>
    <row r="17" spans="1:8" ht="15.75" thickBot="1" x14ac:dyDescent="0.3">
      <c r="A17" s="6"/>
      <c r="B17" s="6"/>
      <c r="C17" s="6"/>
      <c r="D17" s="6"/>
    </row>
    <row r="18" spans="1:8" ht="19.5" customHeight="1" thickBot="1" x14ac:dyDescent="0.35">
      <c r="A18" s="45" t="s">
        <v>22</v>
      </c>
      <c r="B18" s="13" t="s">
        <v>53</v>
      </c>
      <c r="D18" s="14"/>
      <c r="E18" s="46"/>
      <c r="F18" s="33" t="s">
        <v>45</v>
      </c>
      <c r="G18" s="6"/>
      <c r="H18" s="59"/>
    </row>
    <row r="19" spans="1:8" ht="19.5" customHeight="1" thickBot="1" x14ac:dyDescent="0.3">
      <c r="A19" s="34"/>
      <c r="B19" s="15" t="s">
        <v>54</v>
      </c>
      <c r="C19" s="4"/>
      <c r="D19" s="4"/>
      <c r="E19" s="49" t="s">
        <v>23</v>
      </c>
      <c r="F19" s="50"/>
      <c r="G19" s="40"/>
      <c r="H19" s="62">
        <f>SUM(H16:H16)</f>
        <v>395000</v>
      </c>
    </row>
    <row r="20" spans="1:8" ht="19.5" customHeight="1" x14ac:dyDescent="0.25">
      <c r="A20" s="23" t="s">
        <v>24</v>
      </c>
      <c r="B20" s="12"/>
      <c r="C20" s="12"/>
      <c r="D20" s="12"/>
      <c r="E20" s="51" t="s">
        <v>28</v>
      </c>
      <c r="F20" s="22"/>
      <c r="G20" s="52">
        <v>0.19</v>
      </c>
      <c r="H20" s="47">
        <f>H19*G20</f>
        <v>75050</v>
      </c>
    </row>
    <row r="21" spans="1:8" ht="19.5" customHeight="1" x14ac:dyDescent="0.25">
      <c r="A21" s="13" t="s">
        <v>48</v>
      </c>
      <c r="E21" s="53" t="s">
        <v>25</v>
      </c>
      <c r="G21" s="56">
        <v>2.5000000000000001E-2</v>
      </c>
      <c r="H21" s="35"/>
    </row>
    <row r="22" spans="1:8" ht="15.75" x14ac:dyDescent="0.25">
      <c r="A22" s="13" t="s">
        <v>47</v>
      </c>
      <c r="E22" s="13"/>
      <c r="F22" s="29"/>
      <c r="G22" s="41"/>
      <c r="H22" s="48"/>
    </row>
    <row r="23" spans="1:8" ht="16.5" thickBot="1" x14ac:dyDescent="0.3">
      <c r="A23" s="13" t="s">
        <v>30</v>
      </c>
      <c r="E23" s="54" t="s">
        <v>26</v>
      </c>
      <c r="F23" s="55"/>
      <c r="G23" s="42"/>
      <c r="H23" s="14"/>
    </row>
    <row r="24" spans="1:8" ht="19.5" thickBot="1" x14ac:dyDescent="0.35">
      <c r="A24" s="15"/>
      <c r="B24" s="4"/>
      <c r="C24" s="4"/>
      <c r="D24" s="16"/>
      <c r="F24" s="3"/>
      <c r="G24" s="30" t="s">
        <v>27</v>
      </c>
      <c r="H24" s="32">
        <f>H19+H20-H21</f>
        <v>470050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4" t="s">
        <v>46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C6E14ED1-F478-4022-A0A1-2CE3519ABBC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METALBAS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2025-07-15T13:45:38Z</cp:lastPrinted>
  <dcterms:created xsi:type="dcterms:W3CDTF">2018-11-15T17:29:02Z</dcterms:created>
  <dcterms:modified xsi:type="dcterms:W3CDTF">2025-07-15T15:55:37Z</dcterms:modified>
</cp:coreProperties>
</file>