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E80F7FE2-A683-464C-B442-09B99DA5AB5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JRL S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/>
  <c r="H16" i="1"/>
  <c r="H23" i="1" l="1"/>
  <c r="H27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<sst xmlns="http://schemas.openxmlformats.org/spreadsheetml/2006/main" count="58" uniqueCount="56">
  <si>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</si>
  <si>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</si>
  <si>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</si>
  <si>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</si>
  <si>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</si>
  <si>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</si>
  <si>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</si>
  <si>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</si>
  <si>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</si>
  <si>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</si>
  <si>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</si>
  <si>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</si>
  <si>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</si>
  <si>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</si>
  <si>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</si>
  <si>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</si>
  <si>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</si>
  <si>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</si>
  <si>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</si>
  <si>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</si>
  <si>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</si>
  <si>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</si>
  <si>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</si>
  <si>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</si>
  <si>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</si>
  <si>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</si>
  <si>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</si>
  <si>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</si>
  <si>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</si>
  <si>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</si>
  <si>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</si>
  <si>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</si>
  <si>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</si>
  <si>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</si>
  <si>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</si>
  <si>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</si>
  <si>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</si>
  <si>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</si>
  <si>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SERVICIOS PARA LA INDUSTRIA JRL S.A.S.</t>
  </si>
  <si>
    <t>901 054255</t>
  </si>
  <si>
    <t>CALLE 20 SUR  No. 12B-04</t>
  </si>
  <si>
    <t>BUGA</t>
  </si>
  <si>
    <t>gerencia@jrl-sas.co</t>
  </si>
  <si>
    <t>315 5632902</t>
  </si>
  <si>
    <t>LUIS A. BENAVIDES</t>
  </si>
  <si>
    <t>ACCESORIO</t>
  </si>
  <si>
    <t>L I Q U I D A C I O N</t>
  </si>
  <si>
    <t xml:space="preserve">  CALLE  33A  No. 17F - 56                        B/  LA FLORESTA             -   CALI    -                                         CEL.     321 7834969</t>
  </si>
  <si>
    <t>No.13</t>
  </si>
  <si>
    <t>VISOR AC/INOX SANITARIO 2 " DOS FERULAS DOS</t>
  </si>
  <si>
    <t>ABRAZADERAS Y DOS EMPAQUES</t>
  </si>
  <si>
    <t>REDUCCION COPA AC/INOX SCH 10  2 " X 1 1/2 "</t>
  </si>
  <si>
    <t>EMPAQUE 2 "  PARA MSM</t>
  </si>
  <si>
    <t>SETECIENTOS SETENTA Y NUEVE MIL CUATROCIENTOS</t>
  </si>
  <si>
    <t>CINCUENTA PESOS MDA / CTE</t>
  </si>
  <si>
    <t xml:space="preserve">              R E M I S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</si>
</sst>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8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1" fillId="0" borderId="29" xfId="0" applyFont="1" applyBorder="1" applyAlignment="1">
      <alignment horizontal="left" vertical="top" wrapText="1"/>
    </xf>
    <xf numFmtId="0" fontId="0" fillId="0" borderId="27" xfId="0" applyBorder="1"/>
    <xf numFmtId="0" fontId="0" fillId="0" borderId="6" xfId="0" applyBorder="1"/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42" fontId="11" fillId="0" borderId="32" xfId="1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8" fillId="0" borderId="32" xfId="0" applyFont="1" applyBorder="1"/>
    <xf numFmtId="0" fontId="1" fillId="0" borderId="3" xfId="0" applyFont="1" applyBorder="1"/>
    <xf numFmtId="42" fontId="1" fillId="0" borderId="0" xfId="1" applyFont="1" applyBorder="1" applyAlignment="1">
      <alignment horizontal="left"/>
    </xf>
    <xf numFmtId="0" fontId="1" fillId="0" borderId="33" xfId="0" applyFont="1" applyBorder="1" applyAlignment="1">
      <alignment horizontal="center"/>
    </xf>
    <xf numFmtId="0" fontId="8" fillId="0" borderId="33" xfId="0" applyFont="1" applyBorder="1"/>
    <xf numFmtId="0" fontId="8" fillId="0" borderId="34" xfId="0" applyFont="1" applyBorder="1"/>
    <xf numFmtId="0" fontId="1" fillId="0" borderId="3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rencia@jrl-s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7" zoomScaleNormal="100" workbookViewId="0">
      <selection activeCell="J11" sqref="J1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55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45808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/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/>
    </row>
    <row r="12" spans="1:8" ht="18.75" x14ac:dyDescent="0.3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7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2">
        <v>1</v>
      </c>
      <c r="B16" s="76" t="s">
        <v>49</v>
      </c>
      <c r="C16" s="76"/>
      <c r="D16" s="76"/>
      <c r="E16" s="73" t="s">
        <v>45</v>
      </c>
      <c r="F16" s="74">
        <v>250000</v>
      </c>
      <c r="G16" s="75">
        <v>2</v>
      </c>
      <c r="H16" s="38">
        <f t="shared" ref="H16" si="0">G16*F16</f>
        <v>500000</v>
      </c>
    </row>
    <row r="17" spans="1:8" ht="16.5" thickBot="1" x14ac:dyDescent="0.3">
      <c r="A17" s="79"/>
      <c r="B17" s="80" t="s">
        <v>50</v>
      </c>
      <c r="C17" s="60"/>
      <c r="D17" s="81"/>
      <c r="E17" s="82"/>
      <c r="F17" s="83"/>
      <c r="G17" s="84"/>
      <c r="H17" s="78"/>
    </row>
    <row r="18" spans="1:8" ht="16.5" thickBot="1" x14ac:dyDescent="0.3">
      <c r="A18" s="72">
        <v>2</v>
      </c>
      <c r="B18" s="76" t="s">
        <v>51</v>
      </c>
      <c r="C18" s="76"/>
      <c r="D18" s="76"/>
      <c r="E18" s="73" t="s">
        <v>45</v>
      </c>
      <c r="F18" s="74">
        <v>30000</v>
      </c>
      <c r="G18" s="75">
        <v>4</v>
      </c>
      <c r="H18" s="38">
        <f t="shared" ref="H18:H19" si="1">G18*F18</f>
        <v>120000</v>
      </c>
    </row>
    <row r="19" spans="1:8" ht="16.5" thickBot="1" x14ac:dyDescent="0.3">
      <c r="A19" s="72">
        <v>3</v>
      </c>
      <c r="B19" s="76" t="s">
        <v>52</v>
      </c>
      <c r="C19" s="76"/>
      <c r="D19" s="76"/>
      <c r="E19" s="73" t="s">
        <v>45</v>
      </c>
      <c r="F19" s="74">
        <v>3500</v>
      </c>
      <c r="G19" s="75">
        <v>10</v>
      </c>
      <c r="H19" s="38">
        <f t="shared" si="1"/>
        <v>35000</v>
      </c>
    </row>
    <row r="20" spans="1:8" ht="19.5" customHeight="1" thickBot="1" x14ac:dyDescent="0.3">
      <c r="A20" s="47"/>
      <c r="D20" s="70"/>
      <c r="E20" s="47"/>
      <c r="F20" s="47"/>
      <c r="G20" s="47"/>
    </row>
    <row r="21" spans="1:8" ht="19.5" customHeight="1" thickBot="1" x14ac:dyDescent="0.35">
      <c r="A21" s="69" t="s">
        <v>23</v>
      </c>
      <c r="B21" s="71" t="s">
        <v>53</v>
      </c>
      <c r="C21" s="12"/>
      <c r="D21" s="13"/>
      <c r="E21" s="48"/>
      <c r="F21" s="37" t="s">
        <v>46</v>
      </c>
      <c r="G21" s="6"/>
      <c r="H21" s="7"/>
    </row>
    <row r="22" spans="1:8" ht="19.5" customHeight="1" thickBot="1" x14ac:dyDescent="0.3">
      <c r="A22" s="39"/>
      <c r="B22" s="16" t="s">
        <v>54</v>
      </c>
      <c r="C22" s="4"/>
      <c r="D22" s="17"/>
      <c r="E22" s="51" t="s">
        <v>24</v>
      </c>
      <c r="F22" s="52"/>
      <c r="G22" s="44"/>
      <c r="H22" s="49">
        <f>SUM(H16:H19)</f>
        <v>655000</v>
      </c>
    </row>
    <row r="23" spans="1:8" ht="19.5" customHeight="1" x14ac:dyDescent="0.25">
      <c r="A23" s="24" t="s">
        <v>25</v>
      </c>
      <c r="B23" s="12"/>
      <c r="C23" s="12"/>
      <c r="D23" s="12"/>
      <c r="E23" s="53" t="s">
        <v>29</v>
      </c>
      <c r="F23" s="23"/>
      <c r="G23" s="54">
        <v>0.19</v>
      </c>
      <c r="H23" s="40">
        <f>H22*G23</f>
        <v>124450</v>
      </c>
    </row>
    <row r="24" spans="1:8" ht="19.5" customHeight="1" x14ac:dyDescent="0.25">
      <c r="A24" s="14" t="s">
        <v>30</v>
      </c>
      <c r="E24" s="55" t="s">
        <v>26</v>
      </c>
      <c r="G24" s="58">
        <v>2.5000000000000001E-2</v>
      </c>
      <c r="H24" s="50"/>
    </row>
    <row r="25" spans="1:8" ht="15.75" x14ac:dyDescent="0.25">
      <c r="A25" s="14" t="s">
        <v>35</v>
      </c>
      <c r="E25" s="14"/>
      <c r="F25" s="33"/>
      <c r="G25" s="45"/>
      <c r="H25" s="15"/>
    </row>
    <row r="26" spans="1:8" ht="16.5" thickBot="1" x14ac:dyDescent="0.3">
      <c r="A26" s="14" t="s">
        <v>32</v>
      </c>
      <c r="E26" s="56" t="s">
        <v>27</v>
      </c>
      <c r="F26" s="57"/>
      <c r="G26" s="46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</f>
        <v>779450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47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C013117B-A38F-4CB6-97FD-52F4FB68373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JRL 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2025-05-07T17:30:49Z</cp:lastPrinted>
  <dcterms:created xsi:type="dcterms:W3CDTF">2018-11-15T17:29:02Z</dcterms:created>
  <dcterms:modified xsi:type="dcterms:W3CDTF">2025-05-31T17:47:16Z</dcterms:modified>
</cp:coreProperties>
</file>