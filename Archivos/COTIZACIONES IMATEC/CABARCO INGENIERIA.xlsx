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5823EA4-DEE8-4BC8-B27C-843A2E66331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BARCO INGENIERI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18" i="1"/>
  <c r="H16" i="1"/>
  <c r="H21" i="1" s="1"/>
  <c r="H22" i="1" l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<sst xmlns="http://schemas.openxmlformats.org/spreadsheetml/2006/main" count="57" uniqueCount="55">
  <si>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</si>
  <si>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</si>
  <si>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</si>
  <si>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</si>
  <si>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</si>
  <si>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</si>
  <si>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</si>
  <si>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</si>
  <si>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</si>
  <si>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</si>
  <si>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</si>
  <si>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</si>
  <si>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</si>
  <si>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</si>
  <si>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</si>
  <si>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</si>
  <si>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</si>
  <si>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</si>
  <si>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</si>
  <si>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</si>
  <si>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</si>
  <si>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</si>
  <si>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</si>
  <si>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</si>
  <si>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</si>
  <si>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</si>
  <si>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</si>
  <si>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</si>
  <si>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</si>
  <si>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</si>
  <si>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</si>
  <si>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</si>
  <si>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</si>
  <si>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</si>
  <si>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</si>
  <si>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</si>
  <si>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</si>
  <si>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</si>
  <si>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</si>
  <si>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</si>
  <si>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CABARCO INGENIERIA SAS</t>
  </si>
  <si>
    <t>900 824641</t>
  </si>
  <si>
    <t>CRA 4  No. 26-24</t>
  </si>
  <si>
    <t>info@cabarco.com</t>
  </si>
  <si>
    <t>311 6353465</t>
  </si>
  <si>
    <t>LUIS A. BENAVIDES</t>
  </si>
  <si>
    <t>PASAMURO A/C DE 0,6 MT BXB DN 24" CON PINES</t>
  </si>
  <si>
    <t>PASAMURO A/C DE 0,6 MT BXB DN 28" CON PINES</t>
  </si>
  <si>
    <t>AL CENTRO DE 3/4 "  X  12 CMTS ( 8 PINES )</t>
  </si>
  <si>
    <t>FABRICACION</t>
  </si>
  <si>
    <t>FORMA DE PAGO : CREDITO  30 DIAS</t>
  </si>
  <si>
    <t>TRECE MILLONES CUARENTA Y OCHO MIL PESOS MDA /</t>
  </si>
  <si>
    <t>CTE</t>
  </si>
  <si>
    <t>ENTREGA EN 8 DIAS A PARTIR DE ORDEN DE COMPRA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</si>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</sst>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2" xfId="0" applyFont="1" applyBorder="1"/>
    <xf numFmtId="42" fontId="1" fillId="0" borderId="23" xfId="1" applyFont="1" applyBorder="1" applyAlignment="1">
      <alignment horizontal="left"/>
    </xf>
    <xf numFmtId="0" fontId="8" fillId="0" borderId="17" xfId="0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4" xfId="0" applyBorder="1"/>
    <xf numFmtId="0" fontId="0" fillId="0" borderId="23" xfId="0" applyBorder="1"/>
    <xf numFmtId="0" fontId="1" fillId="0" borderId="0" xfId="0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cabar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5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8" t="s">
        <v>39</v>
      </c>
      <c r="B5" s="6"/>
      <c r="C5" s="6"/>
      <c r="D5" s="6"/>
      <c r="E5" s="6"/>
    </row>
    <row r="6" spans="1:8" ht="24.75" customHeight="1" thickBot="1" x14ac:dyDescent="0.45">
      <c r="F6" s="11" t="s">
        <v>54</v>
      </c>
      <c r="G6" s="19"/>
      <c r="H6" s="20"/>
    </row>
    <row r="7" spans="1:8" ht="19.5" thickBot="1" x14ac:dyDescent="0.35">
      <c r="A7" s="21" t="s">
        <v>14</v>
      </c>
      <c r="B7" s="13"/>
      <c r="C7" s="31" t="s">
        <v>40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42</v>
      </c>
      <c r="D9" s="24"/>
      <c r="E9" s="25" t="s">
        <v>37</v>
      </c>
      <c r="F9" s="32" t="s">
        <v>0</v>
      </c>
      <c r="H9" s="33">
        <v>45465</v>
      </c>
    </row>
    <row r="10" spans="1:8" ht="18.75" x14ac:dyDescent="0.3">
      <c r="A10" s="22" t="s">
        <v>13</v>
      </c>
      <c r="C10" s="49" t="s">
        <v>43</v>
      </c>
      <c r="D10" s="26"/>
      <c r="E10" s="26"/>
      <c r="F10" s="32" t="s">
        <v>15</v>
      </c>
      <c r="H10" s="34" t="s">
        <v>34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45475</v>
      </c>
    </row>
    <row r="12" spans="1:8" ht="18.75" x14ac:dyDescent="0.3">
      <c r="A12" s="22" t="s">
        <v>11</v>
      </c>
      <c r="C12" s="25" t="s">
        <v>44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45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5" t="s">
        <v>19</v>
      </c>
      <c r="B15" s="53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4">
        <v>1</v>
      </c>
      <c r="B16" s="38" t="s">
        <v>46</v>
      </c>
      <c r="C16" s="39"/>
      <c r="D16" s="55"/>
      <c r="E16" s="62" t="s">
        <v>49</v>
      </c>
      <c r="F16" s="57">
        <v>5000000</v>
      </c>
      <c r="G16" s="54">
        <v>1</v>
      </c>
      <c r="H16" s="60">
        <f t="shared" ref="H16:H18" si="0">G16*F16</f>
        <v>5000000</v>
      </c>
    </row>
    <row r="17" spans="1:8" ht="16.5" thickBot="1" x14ac:dyDescent="0.3">
      <c r="A17" s="54"/>
      <c r="B17" s="38" t="s">
        <v>48</v>
      </c>
      <c r="C17" s="39"/>
      <c r="D17" s="61"/>
      <c r="E17" s="62"/>
      <c r="F17" s="56"/>
      <c r="G17" s="54"/>
      <c r="H17" s="60"/>
    </row>
    <row r="18" spans="1:8" ht="16.5" thickBot="1" x14ac:dyDescent="0.3">
      <c r="A18" s="54">
        <v>4</v>
      </c>
      <c r="B18" s="38" t="s">
        <v>47</v>
      </c>
      <c r="C18" s="39"/>
      <c r="D18" s="61"/>
      <c r="E18" s="62" t="s">
        <v>49</v>
      </c>
      <c r="F18" s="56">
        <v>6200000</v>
      </c>
      <c r="G18" s="54">
        <v>1</v>
      </c>
      <c r="H18" s="60">
        <f t="shared" si="0"/>
        <v>6200000</v>
      </c>
    </row>
    <row r="19" spans="1:8" ht="16.5" customHeight="1" thickBot="1" x14ac:dyDescent="0.3">
      <c r="A19" s="66"/>
      <c r="B19" s="39" t="s">
        <v>48</v>
      </c>
      <c r="D19" s="66"/>
      <c r="H19" s="67"/>
    </row>
    <row r="20" spans="1:8" ht="19.5" customHeight="1" thickBot="1" x14ac:dyDescent="0.35">
      <c r="A20" s="63" t="s">
        <v>25</v>
      </c>
      <c r="B20" s="12" t="s">
        <v>51</v>
      </c>
      <c r="C20" s="13"/>
      <c r="D20" s="14"/>
      <c r="E20" s="13"/>
      <c r="F20" s="40" t="s">
        <v>31</v>
      </c>
      <c r="G20" s="13"/>
      <c r="H20" s="7"/>
    </row>
    <row r="21" spans="1:8" ht="19.5" customHeight="1" thickBot="1" x14ac:dyDescent="0.3">
      <c r="A21" s="64"/>
      <c r="B21" s="17" t="s">
        <v>52</v>
      </c>
      <c r="C21" s="4"/>
      <c r="D21" s="4"/>
      <c r="E21" s="41" t="s">
        <v>26</v>
      </c>
      <c r="F21" s="42"/>
      <c r="G21" s="26"/>
      <c r="H21" s="50">
        <f>SUM(H16:H20)</f>
        <v>11200000</v>
      </c>
    </row>
    <row r="22" spans="1:8" ht="19.5" customHeight="1" thickBot="1" x14ac:dyDescent="0.3">
      <c r="A22" s="27" t="s">
        <v>27</v>
      </c>
      <c r="B22" s="13"/>
      <c r="C22" s="13"/>
      <c r="D22" s="14"/>
      <c r="E22" s="3" t="s">
        <v>33</v>
      </c>
      <c r="F22" s="59"/>
      <c r="G22" s="44">
        <v>0.19</v>
      </c>
      <c r="H22" s="51">
        <f>H21*G22</f>
        <v>2128000</v>
      </c>
    </row>
    <row r="23" spans="1:8" ht="19.5" customHeight="1" thickTop="1" x14ac:dyDescent="0.25">
      <c r="A23" s="15" t="s">
        <v>50</v>
      </c>
      <c r="D23" s="16"/>
      <c r="E23" s="42" t="s">
        <v>28</v>
      </c>
      <c r="G23" s="68">
        <v>2.5</v>
      </c>
      <c r="H23" s="45">
        <f>H21*G23/100</f>
        <v>280000</v>
      </c>
    </row>
    <row r="24" spans="1:8" ht="15.75" x14ac:dyDescent="0.25">
      <c r="A24" s="15" t="s">
        <v>53</v>
      </c>
      <c r="D24" s="16"/>
      <c r="F24" s="42"/>
      <c r="G24" s="26"/>
      <c r="H24" s="46"/>
    </row>
    <row r="25" spans="1:8" ht="16.5" thickBot="1" x14ac:dyDescent="0.3">
      <c r="A25" s="15" t="s">
        <v>36</v>
      </c>
      <c r="D25" s="16"/>
      <c r="E25" s="42" t="s">
        <v>29</v>
      </c>
      <c r="F25" s="42"/>
      <c r="G25" s="26"/>
      <c r="H25" s="47"/>
    </row>
    <row r="26" spans="1:8" ht="19.5" thickBot="1" x14ac:dyDescent="0.35">
      <c r="A26" s="17"/>
      <c r="B26" s="4"/>
      <c r="C26" s="4"/>
      <c r="D26" s="18"/>
      <c r="F26" s="3"/>
      <c r="G26" s="43" t="s">
        <v>30</v>
      </c>
      <c r="H26" s="52">
        <f>H21+H22-H23</f>
        <v>13048000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8" t="s">
        <v>38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CABARCO INGENIERIA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2024-10-11T16:01:19Z</dcterms:modified>
</cp:coreProperties>
</file>