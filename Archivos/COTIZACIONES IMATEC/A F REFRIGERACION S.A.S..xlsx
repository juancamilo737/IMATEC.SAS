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COTIZACIONES  I M A T E C  COMERCIALIZADORA\"/>
    </mc:Choice>
  </mc:AlternateContent>
  <xr:revisionPtr revIDLastSave="0" documentId="13_ncr:1_{30DCE188-9647-42D4-A999-8CB0E72A4E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 F REFRIGERACION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28" i="1"/>
  <c r="H27" i="1"/>
  <c r="H26" i="1"/>
  <c r="H25" i="1"/>
  <c r="H24" i="1"/>
  <c r="H23" i="1"/>
  <c r="H21" i="1"/>
  <c r="H22" i="1"/>
  <c r="H20" i="1"/>
  <c r="H19" i="1"/>
  <c r="H18" i="1"/>
  <c r="H17" i="1"/>
  <c r="H16" i="1"/>
  <c r="H33" i="1" l="1"/>
  <c r="H32" i="1"/>
  <c r="H36" i="1" s="1"/>
</calcChain>
</file>

<file path=xl/sharedStrings.xml><?xml version="1.0" encoding="utf-8"?>
<sst xmlns="http://schemas.openxmlformats.org/spreadsheetml/2006/main" count="77" uniqueCount="65">
  <si>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</si>
  <si>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</si>
  <si>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</si>
  <si>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</si>
  <si>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</si>
  <si>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</si>
  <si>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</si>
  <si>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</si>
  <si>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</si>
  <si>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</si>
  <si>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</si>
  <si>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</si>
  <si>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</si>
  <si>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</si>
  <si>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</si>
  <si>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</si>
  <si>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</si>
  <si>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</si>
  <si>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</si>
  <si>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</si>
  <si>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</si>
  <si>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</si>
  <si>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</si>
  <si>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</si>
  <si>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</si>
  <si>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</si>
  <si>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</si>
  <si>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</si>
  <si>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</si>
  <si>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</si>
  <si>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</si>
  <si>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</si>
  <si>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</si>
  <si>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</si>
  <si>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</si>
  <si>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</si>
  <si>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</si>
  <si>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</si>
  <si>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</si>
  <si>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</si>
  <si>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ACCESORIO</t>
  </si>
  <si>
    <t xml:space="preserve">              R E M I S I O N</t>
  </si>
  <si>
    <t>A F REFRIGERACION S.A.S.</t>
  </si>
  <si>
    <t>805 012769</t>
  </si>
  <si>
    <t>CALLE 42 Nte.  4N-174</t>
  </si>
  <si>
    <t>CALI</t>
  </si>
  <si>
    <t>contabilidad@afrefrigeracion.com.co</t>
  </si>
  <si>
    <t>602 5248988</t>
  </si>
  <si>
    <t>UNION HD RANUARDA 2 1/2 "</t>
  </si>
  <si>
    <t>BRIDA A / C SLIP ON 2 1/2 "  X  150 LB</t>
  </si>
  <si>
    <t>JUNTA ANTIVIBRATORIA CAUCHO BRIDA 2 1/2 "</t>
  </si>
  <si>
    <t>JUNTA ANTIVIBRATORIA CAUCHO BRIDA 3 "</t>
  </si>
  <si>
    <t>JUNTA ANTIVIBRATORIA CAUCHO BRIDA 1 1/2 "</t>
  </si>
  <si>
    <t>JUNTA ANTIVIBRATORIA CAUCHO BRIDA 1 "</t>
  </si>
  <si>
    <t>VALVULA DE BOLA BRONCE  2 1/2 " ROSCADA</t>
  </si>
  <si>
    <t>VALVULA DE BOLA BRONCE  2  " ROSCADA</t>
  </si>
  <si>
    <t>VALVULA DE BOLA BRONCE  1/4  " ROSCADA</t>
  </si>
  <si>
    <t>NIPLE A / C 2 1/2 "  X 40 CMTS  RANURAXRANURA</t>
  </si>
  <si>
    <t>SIFON COLA DE MARRANO A / C  1/4 "</t>
  </si>
  <si>
    <t>BUSHING GALVANIZADO 1/2 "  X  1/4 "</t>
  </si>
  <si>
    <t>SIFON COLA DE MARRANO AC/INOX 1/4 "</t>
  </si>
  <si>
    <t>OCHENTA Y DOS PESOS MDA / CTE</t>
  </si>
  <si>
    <t>FORMA DE PAGO : CREDITO A 30 DIAS</t>
  </si>
  <si>
    <t>ENTREGA EN DOS DIAS APARTIR DE ORDEN DE COMPRA</t>
  </si>
  <si>
    <t>CINCO MILLONES DOSCIENTOS SESENTA Y SIETE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</si>
</sst>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7" xfId="0" applyFont="1" applyBorder="1" applyAlignment="1">
      <alignment horizontal="left" vertical="top" wrapText="1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  <xf numFmtId="0" fontId="0" fillId="0" borderId="16" xfId="0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/>
    <xf numFmtId="0" fontId="0" fillId="0" borderId="0" xfId="0" applyBorder="1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afrefrigeracio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topLeftCell="A25" zoomScaleNormal="100" workbookViewId="0">
      <selection activeCell="B31" sqref="B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35</v>
      </c>
      <c r="E4" s="19"/>
      <c r="F4" s="20"/>
      <c r="G4" s="6"/>
      <c r="H4" s="7"/>
    </row>
    <row r="5" spans="1:8" ht="19.5" thickBot="1" x14ac:dyDescent="0.35">
      <c r="A5" s="51" t="s">
        <v>38</v>
      </c>
      <c r="B5" s="6"/>
      <c r="C5" s="6"/>
      <c r="D5" s="6"/>
      <c r="E5" s="6"/>
    </row>
    <row r="6" spans="1:8" ht="24.75" customHeight="1" thickBot="1" x14ac:dyDescent="0.45">
      <c r="F6" s="11" t="s">
        <v>41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45</v>
      </c>
      <c r="F9" s="32" t="s">
        <v>0</v>
      </c>
      <c r="H9" s="33">
        <v>45516</v>
      </c>
    </row>
    <row r="10" spans="1:8" ht="18.75" x14ac:dyDescent="0.3">
      <c r="A10" s="22" t="s">
        <v>13</v>
      </c>
      <c r="C10" s="47" t="s">
        <v>46</v>
      </c>
      <c r="D10" s="26"/>
      <c r="E10" s="26"/>
      <c r="F10" s="32" t="s">
        <v>15</v>
      </c>
      <c r="H10" s="34" t="s">
        <v>34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45526</v>
      </c>
    </row>
    <row r="12" spans="1:8" ht="18.75" x14ac:dyDescent="0.3">
      <c r="A12" s="22" t="s">
        <v>11</v>
      </c>
      <c r="C12" s="25" t="s">
        <v>47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39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5" t="s">
        <v>19</v>
      </c>
      <c r="B15" s="27" t="s">
        <v>24</v>
      </c>
      <c r="C15" s="71"/>
      <c r="D15" s="14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67">
        <v>1</v>
      </c>
      <c r="B16" s="73" t="s">
        <v>48</v>
      </c>
      <c r="C16" s="74"/>
      <c r="D16" s="75"/>
      <c r="E16" s="55" t="s">
        <v>40</v>
      </c>
      <c r="F16" s="59">
        <v>14500</v>
      </c>
      <c r="G16" s="55">
        <v>2</v>
      </c>
      <c r="H16" s="52">
        <f t="shared" ref="H16" si="0">G16*F16</f>
        <v>29000</v>
      </c>
    </row>
    <row r="17" spans="1:8" ht="16.5" thickBot="1" x14ac:dyDescent="0.3">
      <c r="A17" s="68">
        <v>2</v>
      </c>
      <c r="B17" s="56" t="s">
        <v>49</v>
      </c>
      <c r="C17" s="57"/>
      <c r="D17" s="58"/>
      <c r="E17" s="55" t="s">
        <v>40</v>
      </c>
      <c r="F17" s="59">
        <v>40000</v>
      </c>
      <c r="G17" s="55">
        <v>2</v>
      </c>
      <c r="H17" s="52">
        <f t="shared" ref="H17:H21" si="1">G17*F17</f>
        <v>80000</v>
      </c>
    </row>
    <row r="18" spans="1:8" ht="16.5" thickBot="1" x14ac:dyDescent="0.3">
      <c r="A18" s="68">
        <v>3</v>
      </c>
      <c r="B18" s="56" t="s">
        <v>50</v>
      </c>
      <c r="C18" s="57"/>
      <c r="D18" s="58"/>
      <c r="E18" s="55" t="s">
        <v>40</v>
      </c>
      <c r="F18" s="59">
        <v>115000</v>
      </c>
      <c r="G18" s="55">
        <v>2</v>
      </c>
      <c r="H18" s="52">
        <f t="shared" si="1"/>
        <v>230000</v>
      </c>
    </row>
    <row r="19" spans="1:8" ht="16.5" thickBot="1" x14ac:dyDescent="0.3">
      <c r="A19" s="68">
        <v>4</v>
      </c>
      <c r="B19" s="56" t="s">
        <v>51</v>
      </c>
      <c r="C19" s="57"/>
      <c r="D19" s="58"/>
      <c r="E19" s="55" t="s">
        <v>40</v>
      </c>
      <c r="F19" s="59">
        <v>145000</v>
      </c>
      <c r="G19" s="55">
        <v>2</v>
      </c>
      <c r="H19" s="52">
        <f t="shared" si="1"/>
        <v>290000</v>
      </c>
    </row>
    <row r="20" spans="1:8" ht="16.5" thickBot="1" x14ac:dyDescent="0.3">
      <c r="A20" s="68">
        <v>5</v>
      </c>
      <c r="B20" s="56" t="s">
        <v>52</v>
      </c>
      <c r="C20" s="57"/>
      <c r="D20" s="58"/>
      <c r="E20" s="55" t="s">
        <v>40</v>
      </c>
      <c r="F20" s="59">
        <v>95000</v>
      </c>
      <c r="G20" s="55">
        <v>2</v>
      </c>
      <c r="H20" s="52">
        <f t="shared" si="1"/>
        <v>190000</v>
      </c>
    </row>
    <row r="21" spans="1:8" ht="16.5" thickBot="1" x14ac:dyDescent="0.3">
      <c r="A21" s="68">
        <v>6</v>
      </c>
      <c r="B21" s="56" t="s">
        <v>53</v>
      </c>
      <c r="C21" s="57"/>
      <c r="D21" s="58"/>
      <c r="E21" s="55" t="s">
        <v>40</v>
      </c>
      <c r="F21" s="59">
        <v>80000</v>
      </c>
      <c r="G21" s="55">
        <v>2</v>
      </c>
      <c r="H21" s="52">
        <f t="shared" si="1"/>
        <v>160000</v>
      </c>
    </row>
    <row r="22" spans="1:8" ht="16.5" thickBot="1" x14ac:dyDescent="0.3">
      <c r="A22" s="68">
        <v>7</v>
      </c>
      <c r="B22" s="56" t="s">
        <v>54</v>
      </c>
      <c r="C22" s="57"/>
      <c r="D22" s="58"/>
      <c r="E22" s="55" t="s">
        <v>40</v>
      </c>
      <c r="F22" s="59">
        <v>247000</v>
      </c>
      <c r="G22" s="55">
        <v>11</v>
      </c>
      <c r="H22" s="52">
        <f t="shared" ref="H22" si="2">G22*F22</f>
        <v>2717000</v>
      </c>
    </row>
    <row r="23" spans="1:8" ht="16.5" thickBot="1" x14ac:dyDescent="0.3">
      <c r="A23" s="68">
        <v>8</v>
      </c>
      <c r="B23" s="56" t="s">
        <v>55</v>
      </c>
      <c r="C23" s="57"/>
      <c r="D23" s="58"/>
      <c r="E23" s="55" t="s">
        <v>40</v>
      </c>
      <c r="F23" s="59">
        <v>90000</v>
      </c>
      <c r="G23" s="55">
        <v>4</v>
      </c>
      <c r="H23" s="52">
        <f t="shared" ref="H23" si="3">G23*F23</f>
        <v>360000</v>
      </c>
    </row>
    <row r="24" spans="1:8" ht="16.5" thickBot="1" x14ac:dyDescent="0.3">
      <c r="A24" s="68">
        <v>9</v>
      </c>
      <c r="B24" s="56" t="s">
        <v>56</v>
      </c>
      <c r="C24" s="57"/>
      <c r="D24" s="58"/>
      <c r="E24" s="55" t="s">
        <v>40</v>
      </c>
      <c r="F24" s="59">
        <v>9500</v>
      </c>
      <c r="G24" s="55">
        <v>9</v>
      </c>
      <c r="H24" s="52">
        <f t="shared" ref="H24:H28" si="4">G24*F24</f>
        <v>85500</v>
      </c>
    </row>
    <row r="25" spans="1:8" ht="16.5" thickBot="1" x14ac:dyDescent="0.3">
      <c r="A25" s="69">
        <v>10</v>
      </c>
      <c r="B25" s="76" t="s">
        <v>57</v>
      </c>
      <c r="C25" s="61"/>
      <c r="D25" s="77"/>
      <c r="E25" s="60" t="s">
        <v>40</v>
      </c>
      <c r="F25" s="62">
        <v>44000</v>
      </c>
      <c r="G25" s="60">
        <v>2</v>
      </c>
      <c r="H25" s="63">
        <f t="shared" si="4"/>
        <v>88000</v>
      </c>
    </row>
    <row r="26" spans="1:8" ht="16.5" thickBot="1" x14ac:dyDescent="0.3">
      <c r="A26" s="69">
        <v>11</v>
      </c>
      <c r="B26" s="76" t="s">
        <v>58</v>
      </c>
      <c r="C26" s="61"/>
      <c r="D26" s="77"/>
      <c r="E26" s="60" t="s">
        <v>40</v>
      </c>
      <c r="F26" s="62">
        <v>18000</v>
      </c>
      <c r="G26" s="60">
        <v>6</v>
      </c>
      <c r="H26" s="63">
        <f t="shared" si="4"/>
        <v>108000</v>
      </c>
    </row>
    <row r="27" spans="1:8" ht="16.5" thickBot="1" x14ac:dyDescent="0.3">
      <c r="A27" s="69">
        <v>12</v>
      </c>
      <c r="B27" s="76" t="s">
        <v>59</v>
      </c>
      <c r="C27" s="61"/>
      <c r="D27" s="77"/>
      <c r="E27" s="60" t="s">
        <v>40</v>
      </c>
      <c r="F27" s="62">
        <v>1800</v>
      </c>
      <c r="G27" s="60">
        <v>2</v>
      </c>
      <c r="H27" s="63">
        <f t="shared" si="4"/>
        <v>3600</v>
      </c>
    </row>
    <row r="28" spans="1:8" ht="16.5" thickBot="1" x14ac:dyDescent="0.3">
      <c r="A28" s="69">
        <v>13</v>
      </c>
      <c r="B28" s="76" t="s">
        <v>60</v>
      </c>
      <c r="C28" s="61"/>
      <c r="D28" s="77"/>
      <c r="E28" s="60" t="s">
        <v>40</v>
      </c>
      <c r="F28" s="62">
        <v>30000</v>
      </c>
      <c r="G28" s="60">
        <v>6</v>
      </c>
      <c r="H28" s="63">
        <f t="shared" si="4"/>
        <v>180000</v>
      </c>
    </row>
    <row r="29" spans="1:8" ht="16.5" thickBot="1" x14ac:dyDescent="0.3">
      <c r="A29" s="70"/>
      <c r="B29" s="78"/>
      <c r="C29" s="79"/>
      <c r="D29" s="80"/>
      <c r="E29" s="60"/>
      <c r="F29" s="62"/>
      <c r="G29" s="60"/>
      <c r="H29" s="63"/>
    </row>
    <row r="30" spans="1:8" ht="19.5" customHeight="1" thickBot="1" x14ac:dyDescent="0.35">
      <c r="A30" s="66" t="s">
        <v>25</v>
      </c>
      <c r="B30" s="15" t="s">
        <v>64</v>
      </c>
      <c r="C30" s="72"/>
      <c r="D30" s="16"/>
      <c r="E30" s="13"/>
      <c r="F30" s="38" t="s">
        <v>31</v>
      </c>
      <c r="G30" s="13"/>
      <c r="H30" s="7"/>
    </row>
    <row r="31" spans="1:8" ht="19.5" customHeight="1" thickBot="1" x14ac:dyDescent="0.3">
      <c r="A31" s="53"/>
      <c r="B31" s="17" t="s">
        <v>61</v>
      </c>
      <c r="C31" s="4"/>
      <c r="D31" s="4"/>
      <c r="E31" s="39" t="s">
        <v>26</v>
      </c>
      <c r="F31" s="40"/>
      <c r="G31" s="26"/>
      <c r="H31" s="48">
        <f>SUM(H16:H28)</f>
        <v>4521100</v>
      </c>
    </row>
    <row r="32" spans="1:8" ht="19.5" customHeight="1" x14ac:dyDescent="0.25">
      <c r="A32" s="27" t="s">
        <v>27</v>
      </c>
      <c r="B32" s="13"/>
      <c r="C32" s="13"/>
      <c r="D32" s="14"/>
      <c r="E32" s="3" t="s">
        <v>33</v>
      </c>
      <c r="F32" s="64"/>
      <c r="G32" s="42">
        <v>0.19</v>
      </c>
      <c r="H32" s="49">
        <f>H31*G32</f>
        <v>859009</v>
      </c>
    </row>
    <row r="33" spans="1:8" ht="19.5" customHeight="1" x14ac:dyDescent="0.25">
      <c r="A33" s="15" t="s">
        <v>62</v>
      </c>
      <c r="D33" s="16"/>
      <c r="E33" s="40" t="s">
        <v>28</v>
      </c>
      <c r="G33" s="54">
        <v>2.5000000000000001E-2</v>
      </c>
      <c r="H33" s="43">
        <f>H31*G33</f>
        <v>113027.5</v>
      </c>
    </row>
    <row r="34" spans="1:8" ht="15.75" x14ac:dyDescent="0.25">
      <c r="A34" s="15" t="s">
        <v>63</v>
      </c>
      <c r="D34" s="16"/>
      <c r="F34" s="40"/>
      <c r="G34" s="26"/>
      <c r="H34" s="44"/>
    </row>
    <row r="35" spans="1:8" ht="16.5" thickBot="1" x14ac:dyDescent="0.3">
      <c r="A35" s="15" t="s">
        <v>36</v>
      </c>
      <c r="D35" s="16"/>
      <c r="E35" s="40" t="s">
        <v>29</v>
      </c>
      <c r="F35" s="40"/>
      <c r="G35" s="26"/>
      <c r="H35" s="45"/>
    </row>
    <row r="36" spans="1:8" ht="19.5" thickBot="1" x14ac:dyDescent="0.35">
      <c r="A36" s="17"/>
      <c r="B36" s="4"/>
      <c r="C36" s="4"/>
      <c r="D36" s="18"/>
      <c r="F36" s="3"/>
      <c r="G36" s="41" t="s">
        <v>30</v>
      </c>
      <c r="H36" s="50">
        <f>H31+H32-H33</f>
        <v>5267081.5</v>
      </c>
    </row>
    <row r="37" spans="1:8" ht="16.5" customHeight="1" x14ac:dyDescent="0.25"/>
    <row r="42" spans="1:8" ht="15.75" thickBot="1" x14ac:dyDescent="0.3"/>
    <row r="43" spans="1:8" ht="19.5" thickBot="1" x14ac:dyDescent="0.35">
      <c r="A43" s="28" t="s">
        <v>37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 F REFRIGERACION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2024-08-12T15:18:38Z</dcterms:modified>
</cp:coreProperties>
</file>