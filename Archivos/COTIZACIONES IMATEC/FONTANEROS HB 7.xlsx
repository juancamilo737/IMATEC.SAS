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B317AFD-9BF2-4999-BC2A-393DE0B4E31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ONTANEROS HB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8" i="1"/>
  <c r="H17" i="1"/>
  <c r="H16" i="1"/>
  <c r="H22" i="1" l="1"/>
  <c r="H26" i="1" s="1"/>
</calcChain>
</file>

<file path=xl/sharedStrings.xml><?xml version="1.0" encoding="utf-8"?>
<sst xmlns="http://schemas.openxmlformats.org/spreadsheetml/2006/main" count="58" uniqueCount="56">
  <si>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</si>
  <si>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</si>
  <si>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</si>
  <si>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</si>
  <si>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</si>
  <si>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</si>
  <si>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</si>
  <si>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</si>
  <si>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</si>
  <si>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</si>
  <si>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</si>
  <si>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</si>
  <si>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</si>
  <si>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</si>
  <si>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</si>
  <si>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</si>
  <si>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</si>
  <si>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</si>
  <si>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</si>
  <si>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</si>
  <si>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</si>
  <si>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</si>
  <si>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</si>
  <si>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</si>
  <si>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</si>
  <si>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</si>
  <si>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</si>
  <si>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</si>
  <si>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</si>
  <si>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</si>
  <si>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</si>
  <si>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</si>
  <si>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</si>
  <si>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</si>
  <si>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</si>
  <si>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</si>
  <si>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</si>
  <si>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</si>
  <si>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</si>
  <si>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</si>
  <si>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</si>
  <si>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FONTANEROS HB S.A.S.</t>
  </si>
  <si>
    <t>900 499017</t>
  </si>
  <si>
    <t>CRA 45 A  No. 129A-14</t>
  </si>
  <si>
    <t>BOGOTÁ</t>
  </si>
  <si>
    <t>fontaneroshb@yahoo.com</t>
  </si>
  <si>
    <t>601 5204281</t>
  </si>
  <si>
    <t>LUIS A. BENAVIDES</t>
  </si>
  <si>
    <t>ACCESORIO</t>
  </si>
  <si>
    <t xml:space="preserve">              R E M I S I O N </t>
  </si>
  <si>
    <t>No. 7</t>
  </si>
  <si>
    <t>STRAP HD  4 "  X  1 "  NPT</t>
  </si>
  <si>
    <t>COPA  HD  RANURADA  4 "  X  2 1/2 "</t>
  </si>
  <si>
    <t>UNION HD  RANURADA  2 1/2 "</t>
  </si>
  <si>
    <t xml:space="preserve">DOSCIENTOS OCHO MIL OCHOCIENTOS CUARENTA Y </t>
  </si>
  <si>
    <t>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</si>
</sst>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7" xfId="0" applyFont="1" applyBorder="1"/>
    <xf numFmtId="0" fontId="8" fillId="0" borderId="13" xfId="0" applyFont="1" applyBorder="1"/>
    <xf numFmtId="0" fontId="8" fillId="0" borderId="38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ontaneroshb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16" zoomScaleNormal="100" workbookViewId="0">
      <selection activeCell="C31" sqref="C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 t="s">
        <v>50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2" t="s">
        <v>44</v>
      </c>
      <c r="F9" s="30" t="s">
        <v>0</v>
      </c>
      <c r="H9" s="28">
        <v>45637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45646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51</v>
      </c>
      <c r="C16" s="56"/>
      <c r="D16" s="57"/>
      <c r="E16" s="53" t="s">
        <v>48</v>
      </c>
      <c r="F16" s="59">
        <v>40000</v>
      </c>
      <c r="G16" s="53">
        <v>1</v>
      </c>
      <c r="H16" s="38">
        <f t="shared" ref="H16" si="0">G16*F16</f>
        <v>40000</v>
      </c>
    </row>
    <row r="17" spans="1:8" ht="16.5" thickBot="1" x14ac:dyDescent="0.3">
      <c r="A17" s="73">
        <v>2</v>
      </c>
      <c r="B17" s="74" t="s">
        <v>52</v>
      </c>
      <c r="C17" s="75"/>
      <c r="D17" s="76"/>
      <c r="E17" s="73" t="s">
        <v>48</v>
      </c>
      <c r="F17" s="77">
        <v>24500</v>
      </c>
      <c r="G17" s="73">
        <v>1</v>
      </c>
      <c r="H17" s="38">
        <f t="shared" ref="H17:H18" si="1">G17*F17</f>
        <v>24500</v>
      </c>
    </row>
    <row r="18" spans="1:8" ht="16.5" thickBot="1" x14ac:dyDescent="0.3">
      <c r="A18" s="73">
        <v>3</v>
      </c>
      <c r="B18" s="74" t="s">
        <v>53</v>
      </c>
      <c r="C18" s="75"/>
      <c r="D18" s="76"/>
      <c r="E18" s="73" t="s">
        <v>48</v>
      </c>
      <c r="F18" s="77">
        <v>18500</v>
      </c>
      <c r="G18" s="73">
        <v>6</v>
      </c>
      <c r="H18" s="38">
        <f t="shared" si="1"/>
        <v>111000</v>
      </c>
    </row>
    <row r="19" spans="1:8" ht="19.5" customHeight="1" thickBot="1" x14ac:dyDescent="0.3">
      <c r="A19" s="54"/>
      <c r="B19" s="45"/>
      <c r="C19" s="42"/>
      <c r="D19" s="58"/>
      <c r="E19" s="60"/>
      <c r="F19" s="60"/>
      <c r="G19" s="60"/>
    </row>
    <row r="20" spans="1:8" ht="19.5" customHeight="1" thickBot="1" x14ac:dyDescent="0.35">
      <c r="A20" s="52" t="s">
        <v>23</v>
      </c>
      <c r="B20" s="14" t="s">
        <v>54</v>
      </c>
      <c r="D20" s="15"/>
      <c r="E20" s="61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55</v>
      </c>
      <c r="C21" s="4"/>
      <c r="D21" s="4"/>
      <c r="E21" s="64" t="s">
        <v>24</v>
      </c>
      <c r="F21" s="65"/>
      <c r="G21" s="47"/>
      <c r="H21" s="62">
        <f>SUM(H16:H18)</f>
        <v>175500</v>
      </c>
    </row>
    <row r="22" spans="1:8" ht="19.5" customHeight="1" x14ac:dyDescent="0.25">
      <c r="A22" s="24" t="s">
        <v>25</v>
      </c>
      <c r="B22" s="12"/>
      <c r="C22" s="12"/>
      <c r="D22" s="12"/>
      <c r="E22" s="66" t="s">
        <v>30</v>
      </c>
      <c r="F22" s="23"/>
      <c r="G22" s="67">
        <v>0.19</v>
      </c>
      <c r="H22" s="40">
        <f>H21*G22</f>
        <v>33345</v>
      </c>
    </row>
    <row r="23" spans="1:8" ht="19.5" customHeight="1" x14ac:dyDescent="0.25">
      <c r="A23" s="14" t="s">
        <v>31</v>
      </c>
      <c r="E23" s="68" t="s">
        <v>26</v>
      </c>
      <c r="G23" s="71">
        <v>2.5000000000000001E-2</v>
      </c>
      <c r="H23" s="63"/>
    </row>
    <row r="24" spans="1:8" ht="15.75" x14ac:dyDescent="0.25">
      <c r="A24" s="14" t="s">
        <v>38</v>
      </c>
      <c r="E24" s="14"/>
      <c r="F24" s="33"/>
      <c r="G24" s="48"/>
      <c r="H24" s="15"/>
    </row>
    <row r="25" spans="1:8" ht="16.5" thickBot="1" x14ac:dyDescent="0.3">
      <c r="A25" s="14" t="s">
        <v>34</v>
      </c>
      <c r="E25" s="69" t="s">
        <v>27</v>
      </c>
      <c r="F25" s="70"/>
      <c r="G25" s="49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208845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35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FAC03976-53FE-4AEA-B7BB-6F0EA4224C0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FONTANEROS HB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2024-11-29T14:41:45Z</cp:lastPrinted>
  <dcterms:created xsi:type="dcterms:W3CDTF">2018-11-15T17:29:02Z</dcterms:created>
  <dcterms:modified xsi:type="dcterms:W3CDTF">2024-12-11T15:38:17Z</dcterms:modified>
</cp:coreProperties>
</file>