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F:\COTIZACIONES  I M A T E C  SAS\"/>
    </mc:Choice>
  </mc:AlternateContent>
  <xr:revisionPtr revIDLastSave="0" documentId="13_ncr:1_{C3E55855-1E1D-4F15-982B-317A9C08A815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BAÑOS OLIV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3" i="1" l="1"/>
  <c r="H30" i="1"/>
  <c r="H29" i="1"/>
  <c r="H28" i="1"/>
  <c r="H27" i="1"/>
  <c r="H36" i="1" s="1"/>
  <c r="H26" i="1"/>
  <c r="H25" i="1"/>
  <c r="H24" i="1"/>
  <c r="H23" i="1"/>
  <c r="H22" i="1"/>
  <c r="H21" i="1"/>
  <c r="H20" i="1"/>
  <c r="H19" i="1"/>
  <c r="H18" i="1"/>
  <c r="H35" i="1" s="1"/>
  <c r="H38" i="1" s="1"/>
</calcChain>
</file>

<file path=xl/sharedStrings.xml><?xml version="1.0" encoding="utf-8"?>
<sst xmlns="http://schemas.openxmlformats.org/spreadsheetml/2006/main" count="75" uniqueCount="65">
  <si>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</si>
  <si>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</si>
  <si>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</si>
  <si>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</si>
  <si>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</si>
  <si>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</si>
  <si>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</si>
  <si>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</si>
  <si>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</si>
  <si>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</si>
  <si>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</si>
  <si>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</si>
  <si>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</si>
  <si>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</si>
  <si>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</si>
  <si>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</si>
  <si>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</si>
  <si>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10 DIAS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</si>
  <si>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</si>
  <si>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</si>
  <si>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</si>
  <si>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</si>
  <si>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 xml:space="preserve">                   JAVIER LOZANO TAMAYO C.C. 16´654.252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</si>
  <si>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</si>
  <si>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</si>
  <si>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</si>
  <si>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</si>
  <si>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</si>
  <si>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</si>
  <si>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</si>
  <si>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</si>
  <si>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</si>
  <si>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TOTAL</t>
  </si>
  <si>
    <t>L I Q U I D A C  I O N</t>
  </si>
  <si>
    <t>ITEM</t>
  </si>
  <si>
    <t>PAGO DE CONTADO</t>
  </si>
  <si>
    <t>SE ENTREGA EN CALI</t>
  </si>
  <si>
    <t>LUIS BENAVIDEZ</t>
  </si>
  <si>
    <t xml:space="preserve">MAS IVA </t>
  </si>
  <si>
    <t>ENTREGA INMEDIATA</t>
  </si>
  <si>
    <t>JOSE DANIEL BAÑOS OLIVA</t>
  </si>
  <si>
    <t>1144 105432</t>
  </si>
  <si>
    <t>CRA 64  No. 13-05</t>
  </si>
  <si>
    <t>CALI</t>
  </si>
  <si>
    <t>jdaniel_p98@hotmail.com</t>
  </si>
  <si>
    <t>305 7574209</t>
  </si>
  <si>
    <t>TUBERIA INOX 304 SCH 40 ROSCA  X  RANURA</t>
  </si>
  <si>
    <t xml:space="preserve">METRO LINEAL </t>
  </si>
  <si>
    <t>CODO INOX 304 ROSCAR  3 "  X  90 º</t>
  </si>
  <si>
    <t>ACCESORIO</t>
  </si>
  <si>
    <t xml:space="preserve">VALVULA DE PIE HELBERT  3 " </t>
  </si>
  <si>
    <t>NIPLE INOX 304 ROSCAR  3 "  X  1,40 MTS</t>
  </si>
  <si>
    <t>NIPLE INOX 304 ROSCAR  3 "  X  1,0 MTS</t>
  </si>
  <si>
    <t>CODO HD RANURADO  3 "  X 45 º</t>
  </si>
  <si>
    <t>TAPON HD RANURADO  3 "</t>
  </si>
  <si>
    <t>COPA HD RANURADA  3 "  X  2 "</t>
  </si>
  <si>
    <t>NIPLE INOX 304 ROSCA  X  RANURA  2 "  X  4 "</t>
  </si>
  <si>
    <t>UNION HD RANURADA  3 "</t>
  </si>
  <si>
    <t>UNION HD RANURADA  2 "</t>
  </si>
  <si>
    <t xml:space="preserve">  CALLE  33B  No. 17C - 70   2º  PISO               B/  LA FLORESTA             -   CALI    -                                  CEL.     321 7834969</t>
  </si>
  <si>
    <t>ROLLOS DE TEFLON INDUSTRIAL 3/4 "  X  15 MTS</t>
  </si>
  <si>
    <t>INSUMO</t>
  </si>
  <si>
    <t xml:space="preserve">TARROS SHELLAC   2 ONZAS </t>
  </si>
  <si>
    <t xml:space="preserve">CINCO MILLONES SEISCIENTOS OCHENTA Y OCHO MIL </t>
  </si>
  <si>
    <t>NOVECIENTOS VEINTIOCHO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</si>
</sst>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8" xfId="0" applyBorder="1"/>
    <xf numFmtId="0" fontId="0" fillId="0" borderId="17" xfId="0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1" fillId="0" borderId="7" xfId="0" applyFont="1" applyBorder="1"/>
    <xf numFmtId="0" fontId="8" fillId="0" borderId="13" xfId="0" applyFont="1" applyBorder="1"/>
    <xf numFmtId="0" fontId="8" fillId="0" borderId="16" xfId="0" applyFont="1" applyBorder="1"/>
    <xf numFmtId="42" fontId="12" fillId="0" borderId="1" xfId="1" applyFont="1" applyBorder="1" applyAlignment="1">
      <alignment horizontal="center"/>
    </xf>
    <xf numFmtId="42" fontId="1" fillId="0" borderId="1" xfId="0" applyNumberFormat="1" applyFont="1" applyBorder="1"/>
    <xf numFmtId="0" fontId="5" fillId="0" borderId="7" xfId="0" applyFont="1" applyBorder="1"/>
    <xf numFmtId="0" fontId="4" fillId="0" borderId="17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9" xfId="0" applyFont="1" applyBorder="1"/>
    <xf numFmtId="0" fontId="5" fillId="0" borderId="21" xfId="0" applyFont="1" applyBorder="1"/>
    <xf numFmtId="9" fontId="1" fillId="0" borderId="17" xfId="0" applyNumberFormat="1" applyFont="1" applyBorder="1"/>
    <xf numFmtId="42" fontId="1" fillId="0" borderId="20" xfId="0" applyNumberFormat="1" applyFont="1" applyBorder="1"/>
    <xf numFmtId="42" fontId="1" fillId="0" borderId="22" xfId="1" applyFont="1" applyBorder="1"/>
    <xf numFmtId="42" fontId="1" fillId="0" borderId="22" xfId="0" applyNumberFormat="1" applyFont="1" applyBorder="1"/>
    <xf numFmtId="0" fontId="0" fillId="0" borderId="21" xfId="0" applyBorder="1"/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42" fontId="1" fillId="0" borderId="26" xfId="1" applyFont="1" applyBorder="1" applyAlignment="1">
      <alignment horizontal="center"/>
    </xf>
    <xf numFmtId="0" fontId="13" fillId="0" borderId="17" xfId="2" applyBorder="1"/>
    <xf numFmtId="10" fontId="1" fillId="0" borderId="14" xfId="0" applyNumberFormat="1" applyFont="1" applyBorder="1"/>
    <xf numFmtId="0" fontId="0" fillId="0" borderId="27" xfId="0" applyBorder="1"/>
    <xf numFmtId="0" fontId="1" fillId="0" borderId="9" xfId="0" applyFont="1" applyBorder="1"/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8" fillId="0" borderId="28" xfId="0" applyFont="1" applyBorder="1"/>
    <xf numFmtId="0" fontId="8" fillId="0" borderId="17" xfId="0" applyFont="1" applyBorder="1"/>
    <xf numFmtId="0" fontId="8" fillId="0" borderId="14" xfId="0" applyFont="1" applyBorder="1"/>
    <xf numFmtId="0" fontId="8" fillId="0" borderId="15" xfId="0" applyFont="1" applyBorder="1"/>
    <xf numFmtId="0" fontId="1" fillId="0" borderId="20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daniel_p98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59"/>
  <sheetViews>
    <sheetView tabSelected="1" topLeftCell="A22" zoomScaleNormal="100" workbookViewId="0">
      <selection activeCell="F44" sqref="F4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8" width="16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</row>
    <row r="3" spans="1:8" ht="27" thickBot="1" x14ac:dyDescent="0.45">
      <c r="A3" s="11" t="s">
        <v>21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22</v>
      </c>
      <c r="E4" s="19"/>
      <c r="F4" s="20"/>
      <c r="G4" s="6"/>
      <c r="H4" s="7"/>
    </row>
    <row r="5" spans="1:8" ht="15.75" thickBot="1" x14ac:dyDescent="0.3"/>
    <row r="6" spans="1:8" ht="24.75" customHeight="1" thickBot="1" x14ac:dyDescent="0.45">
      <c r="F6" s="11" t="s">
        <v>20</v>
      </c>
      <c r="G6" s="19"/>
      <c r="H6" s="20"/>
    </row>
    <row r="7" spans="1:8" ht="19.5" thickBot="1" x14ac:dyDescent="0.35">
      <c r="A7" s="21" t="s">
        <v>15</v>
      </c>
      <c r="B7" s="13"/>
      <c r="C7" s="31" t="s">
        <v>40</v>
      </c>
      <c r="D7" s="13"/>
      <c r="E7" s="14"/>
      <c r="F7" s="28"/>
      <c r="G7" s="19"/>
      <c r="H7" s="20"/>
    </row>
    <row r="8" spans="1:8" ht="18.75" x14ac:dyDescent="0.3">
      <c r="A8" s="22" t="s">
        <v>9</v>
      </c>
      <c r="C8" s="25" t="s">
        <v>41</v>
      </c>
      <c r="D8" s="26"/>
      <c r="E8" s="26"/>
      <c r="F8" s="12"/>
      <c r="G8" s="13"/>
      <c r="H8" s="14"/>
    </row>
    <row r="9" spans="1:8" ht="18.75" customHeight="1" x14ac:dyDescent="0.3">
      <c r="A9" s="22" t="s">
        <v>10</v>
      </c>
      <c r="C9" s="24" t="s">
        <v>42</v>
      </c>
      <c r="D9" s="24"/>
      <c r="E9" s="25" t="s">
        <v>43</v>
      </c>
      <c r="F9" s="32" t="s">
        <v>0</v>
      </c>
      <c r="H9" s="33">
        <v>45462</v>
      </c>
    </row>
    <row r="10" spans="1:8" ht="18.75" x14ac:dyDescent="0.3">
      <c r="A10" s="22" t="s">
        <v>14</v>
      </c>
      <c r="C10" s="59" t="s">
        <v>44</v>
      </c>
      <c r="D10" s="26"/>
      <c r="E10" s="26"/>
      <c r="F10" s="32" t="s">
        <v>16</v>
      </c>
      <c r="H10" s="34" t="s">
        <v>17</v>
      </c>
    </row>
    <row r="11" spans="1:8" ht="18.75" x14ac:dyDescent="0.3">
      <c r="A11" s="22" t="s">
        <v>11</v>
      </c>
      <c r="C11" s="25"/>
      <c r="D11" s="26"/>
      <c r="E11" s="26"/>
      <c r="F11" s="32" t="s">
        <v>18</v>
      </c>
      <c r="G11" s="35"/>
      <c r="H11" s="33">
        <v>45472</v>
      </c>
    </row>
    <row r="12" spans="1:8" ht="18.75" x14ac:dyDescent="0.3">
      <c r="A12" s="22" t="s">
        <v>12</v>
      </c>
      <c r="C12" s="25" t="s">
        <v>45</v>
      </c>
      <c r="D12" s="26"/>
      <c r="E12" s="26"/>
      <c r="F12" s="32" t="s">
        <v>19</v>
      </c>
      <c r="H12" s="36">
        <v>1</v>
      </c>
    </row>
    <row r="13" spans="1:8" ht="18.75" customHeight="1" thickBot="1" x14ac:dyDescent="0.35">
      <c r="A13" s="23" t="s">
        <v>13</v>
      </c>
      <c r="B13" s="4"/>
      <c r="C13" s="25" t="s">
        <v>37</v>
      </c>
      <c r="D13" s="26"/>
      <c r="E13" s="26"/>
      <c r="F13" s="17"/>
      <c r="G13" s="4"/>
      <c r="H13" s="18"/>
    </row>
    <row r="16" spans="1:8" ht="15.75" thickBot="1" x14ac:dyDescent="0.3"/>
    <row r="17" spans="1:10" ht="15.75" thickBot="1" x14ac:dyDescent="0.3">
      <c r="A17" s="37" t="s">
        <v>34</v>
      </c>
      <c r="B17" s="12" t="s">
        <v>27</v>
      </c>
      <c r="C17" s="39"/>
      <c r="D17" s="13"/>
      <c r="E17" s="55" t="s">
        <v>23</v>
      </c>
      <c r="F17" s="56" t="s">
        <v>25</v>
      </c>
      <c r="G17" s="56" t="s">
        <v>24</v>
      </c>
      <c r="H17" s="57" t="s">
        <v>26</v>
      </c>
    </row>
    <row r="18" spans="1:10" ht="16.5" thickBot="1" x14ac:dyDescent="0.3">
      <c r="A18" s="63">
        <v>1</v>
      </c>
      <c r="B18" s="40" t="s">
        <v>46</v>
      </c>
      <c r="C18" s="41"/>
      <c r="D18" s="65"/>
      <c r="E18" s="64" t="s">
        <v>47</v>
      </c>
      <c r="F18" s="42">
        <v>210000</v>
      </c>
      <c r="G18" s="37">
        <v>12</v>
      </c>
      <c r="H18" s="58">
        <f t="shared" ref="H18:H28" si="0">F18*G18</f>
        <v>2520000</v>
      </c>
    </row>
    <row r="19" spans="1:10" ht="16.5" thickBot="1" x14ac:dyDescent="0.3">
      <c r="A19" s="63">
        <v>2</v>
      </c>
      <c r="B19" s="40" t="s">
        <v>48</v>
      </c>
      <c r="C19" s="41"/>
      <c r="D19" s="65"/>
      <c r="E19" s="64" t="s">
        <v>49</v>
      </c>
      <c r="F19" s="42">
        <v>82500</v>
      </c>
      <c r="G19" s="37">
        <v>2</v>
      </c>
      <c r="H19" s="58">
        <f t="shared" si="0"/>
        <v>165000</v>
      </c>
    </row>
    <row r="20" spans="1:10" ht="16.5" thickBot="1" x14ac:dyDescent="0.3">
      <c r="A20" s="63">
        <v>3</v>
      </c>
      <c r="B20" s="40" t="s">
        <v>51</v>
      </c>
      <c r="C20" s="41"/>
      <c r="D20" s="65"/>
      <c r="E20" s="64" t="s">
        <v>49</v>
      </c>
      <c r="F20" s="42">
        <v>309500</v>
      </c>
      <c r="G20" s="37">
        <v>2</v>
      </c>
      <c r="H20" s="58">
        <f t="shared" si="0"/>
        <v>619000</v>
      </c>
    </row>
    <row r="21" spans="1:10" ht="16.5" thickBot="1" x14ac:dyDescent="0.3">
      <c r="A21" s="63">
        <v>4</v>
      </c>
      <c r="B21" s="40" t="s">
        <v>50</v>
      </c>
      <c r="C21" s="41"/>
      <c r="D21" s="65"/>
      <c r="E21" s="64" t="s">
        <v>49</v>
      </c>
      <c r="F21" s="42">
        <v>452000</v>
      </c>
      <c r="G21" s="37">
        <v>2</v>
      </c>
      <c r="H21" s="58">
        <f t="shared" si="0"/>
        <v>904000</v>
      </c>
    </row>
    <row r="22" spans="1:10" ht="16.5" thickBot="1" x14ac:dyDescent="0.3">
      <c r="A22" s="63">
        <v>5</v>
      </c>
      <c r="B22" s="40" t="s">
        <v>52</v>
      </c>
      <c r="C22" s="41"/>
      <c r="D22" s="65"/>
      <c r="E22" s="64" t="s">
        <v>49</v>
      </c>
      <c r="F22" s="42">
        <v>269000</v>
      </c>
      <c r="G22" s="37">
        <v>1</v>
      </c>
      <c r="H22" s="58">
        <f t="shared" si="0"/>
        <v>269000</v>
      </c>
    </row>
    <row r="23" spans="1:10" ht="16.5" thickBot="1" x14ac:dyDescent="0.3">
      <c r="A23" s="63">
        <v>6</v>
      </c>
      <c r="B23" s="40" t="s">
        <v>53</v>
      </c>
      <c r="C23" s="41"/>
      <c r="D23" s="65"/>
      <c r="E23" s="64" t="s">
        <v>49</v>
      </c>
      <c r="F23" s="42">
        <v>19900</v>
      </c>
      <c r="G23" s="37">
        <v>4</v>
      </c>
      <c r="H23" s="58">
        <f t="shared" si="0"/>
        <v>79600</v>
      </c>
    </row>
    <row r="24" spans="1:10" ht="16.5" thickBot="1" x14ac:dyDescent="0.3">
      <c r="A24" s="63">
        <v>7</v>
      </c>
      <c r="B24" s="40" t="s">
        <v>54</v>
      </c>
      <c r="C24" s="41"/>
      <c r="D24" s="65"/>
      <c r="E24" s="64" t="s">
        <v>49</v>
      </c>
      <c r="F24" s="42">
        <v>10000</v>
      </c>
      <c r="G24" s="37">
        <v>1</v>
      </c>
      <c r="H24" s="58">
        <f t="shared" si="0"/>
        <v>10000</v>
      </c>
    </row>
    <row r="25" spans="1:10" ht="16.5" thickBot="1" x14ac:dyDescent="0.3">
      <c r="A25" s="63">
        <v>8</v>
      </c>
      <c r="B25" s="40" t="s">
        <v>55</v>
      </c>
      <c r="C25" s="41"/>
      <c r="D25" s="65"/>
      <c r="E25" s="64" t="s">
        <v>49</v>
      </c>
      <c r="F25" s="42">
        <v>12500</v>
      </c>
      <c r="G25" s="37">
        <v>2</v>
      </c>
      <c r="H25" s="58">
        <f t="shared" si="0"/>
        <v>25000</v>
      </c>
    </row>
    <row r="26" spans="1:10" ht="16.5" thickBot="1" x14ac:dyDescent="0.3">
      <c r="A26" s="63">
        <v>9</v>
      </c>
      <c r="B26" s="40" t="s">
        <v>56</v>
      </c>
      <c r="C26" s="41"/>
      <c r="D26" s="65"/>
      <c r="E26" s="64" t="s">
        <v>49</v>
      </c>
      <c r="F26" s="42">
        <v>28800</v>
      </c>
      <c r="G26" s="37">
        <v>2</v>
      </c>
      <c r="H26" s="58">
        <f t="shared" si="0"/>
        <v>57600</v>
      </c>
    </row>
    <row r="27" spans="1:10" ht="16.5" thickBot="1" x14ac:dyDescent="0.3">
      <c r="A27" s="63">
        <v>10</v>
      </c>
      <c r="B27" s="40" t="s">
        <v>57</v>
      </c>
      <c r="C27" s="41"/>
      <c r="D27" s="65"/>
      <c r="E27" s="64" t="s">
        <v>49</v>
      </c>
      <c r="F27" s="42">
        <v>15000</v>
      </c>
      <c r="G27" s="37">
        <v>9</v>
      </c>
      <c r="H27" s="58">
        <f t="shared" si="0"/>
        <v>135000</v>
      </c>
    </row>
    <row r="28" spans="1:10" ht="16.5" thickBot="1" x14ac:dyDescent="0.3">
      <c r="A28" s="63">
        <v>11</v>
      </c>
      <c r="B28" s="66" t="s">
        <v>58</v>
      </c>
      <c r="C28" s="67"/>
      <c r="D28" s="68"/>
      <c r="E28" s="64" t="s">
        <v>49</v>
      </c>
      <c r="F28" s="42">
        <v>11500</v>
      </c>
      <c r="G28" s="37">
        <v>2</v>
      </c>
      <c r="H28" s="58">
        <f t="shared" si="0"/>
        <v>23000</v>
      </c>
    </row>
    <row r="29" spans="1:10" ht="16.5" thickBot="1" x14ac:dyDescent="0.3">
      <c r="A29" s="63">
        <v>12</v>
      </c>
      <c r="B29" s="40" t="s">
        <v>60</v>
      </c>
      <c r="C29" s="41"/>
      <c r="D29" s="65"/>
      <c r="E29" s="64" t="s">
        <v>61</v>
      </c>
      <c r="F29" s="42">
        <v>5000</v>
      </c>
      <c r="G29" s="37">
        <v>5</v>
      </c>
      <c r="H29" s="58">
        <f t="shared" ref="H29:H30" si="1">F29*G29</f>
        <v>25000</v>
      </c>
    </row>
    <row r="30" spans="1:10" ht="16.5" thickBot="1" x14ac:dyDescent="0.3">
      <c r="A30" s="63">
        <v>13</v>
      </c>
      <c r="B30" s="66" t="s">
        <v>62</v>
      </c>
      <c r="C30" s="67"/>
      <c r="D30" s="68"/>
      <c r="E30" s="64" t="s">
        <v>61</v>
      </c>
      <c r="F30" s="42">
        <v>17000</v>
      </c>
      <c r="G30" s="37">
        <v>3</v>
      </c>
      <c r="H30" s="58">
        <f t="shared" si="1"/>
        <v>51000</v>
      </c>
    </row>
    <row r="31" spans="1:10" ht="19.5" customHeight="1" thickBot="1" x14ac:dyDescent="0.3">
      <c r="I31" s="38"/>
      <c r="J31" s="38"/>
    </row>
    <row r="32" spans="1:10" ht="19.5" customHeight="1" thickBot="1" x14ac:dyDescent="0.35">
      <c r="A32" s="69" t="s">
        <v>28</v>
      </c>
      <c r="B32" s="12" t="s">
        <v>63</v>
      </c>
      <c r="C32" s="13"/>
      <c r="D32" s="14"/>
      <c r="E32" s="13"/>
      <c r="F32" s="44" t="s">
        <v>33</v>
      </c>
      <c r="G32" s="13"/>
      <c r="H32" s="7"/>
    </row>
    <row r="33" spans="1:8" ht="19.5" customHeight="1" thickBot="1" x14ac:dyDescent="0.3">
      <c r="A33" s="70"/>
      <c r="B33" s="17" t="s">
        <v>64</v>
      </c>
      <c r="C33" s="4"/>
      <c r="D33" s="4"/>
      <c r="E33" s="45" t="s">
        <v>29</v>
      </c>
      <c r="F33" s="46"/>
      <c r="G33" s="26"/>
      <c r="H33" s="51">
        <f>SUM(H18:H30)</f>
        <v>4883200</v>
      </c>
    </row>
    <row r="34" spans="1:8" ht="19.5" customHeight="1" x14ac:dyDescent="0.25">
      <c r="A34" s="27" t="s">
        <v>30</v>
      </c>
      <c r="B34" s="13"/>
      <c r="C34" s="13"/>
      <c r="D34" s="14"/>
      <c r="E34" s="47"/>
      <c r="F34" s="46"/>
      <c r="G34" s="26"/>
      <c r="H34" s="52"/>
    </row>
    <row r="35" spans="1:8" ht="19.5" customHeight="1" x14ac:dyDescent="0.25">
      <c r="A35" s="62" t="s">
        <v>35</v>
      </c>
      <c r="D35" s="16"/>
      <c r="E35" s="3" t="s">
        <v>38</v>
      </c>
      <c r="F35" s="48"/>
      <c r="G35" s="50">
        <v>0.19</v>
      </c>
      <c r="H35" s="53">
        <f>H33*G35</f>
        <v>927808</v>
      </c>
    </row>
    <row r="36" spans="1:8" ht="19.5" customHeight="1" x14ac:dyDescent="0.25">
      <c r="A36" s="62" t="s">
        <v>39</v>
      </c>
      <c r="D36" s="16"/>
      <c r="E36" s="46" t="s">
        <v>31</v>
      </c>
      <c r="F36" s="46"/>
      <c r="G36" s="60">
        <v>2.5000000000000001E-2</v>
      </c>
      <c r="H36" s="53">
        <f>H33*G36</f>
        <v>122080</v>
      </c>
    </row>
    <row r="37" spans="1:8" ht="19.5" customHeight="1" thickBot="1" x14ac:dyDescent="0.3">
      <c r="A37" s="15" t="s">
        <v>36</v>
      </c>
      <c r="D37" s="16"/>
      <c r="E37" s="61"/>
      <c r="F37" s="46"/>
      <c r="G37" s="26"/>
      <c r="H37" s="54"/>
    </row>
    <row r="38" spans="1:8" ht="19.5" customHeight="1" thickBot="1" x14ac:dyDescent="0.35">
      <c r="A38" s="17"/>
      <c r="B38" s="4"/>
      <c r="C38" s="4"/>
      <c r="D38" s="18"/>
      <c r="F38" s="3"/>
      <c r="G38" s="49" t="s">
        <v>32</v>
      </c>
      <c r="H38" s="43">
        <f>H33+H35-H36</f>
        <v>5688928</v>
      </c>
    </row>
    <row r="39" spans="1:8" ht="19.5" customHeight="1" thickBot="1" x14ac:dyDescent="0.3"/>
    <row r="40" spans="1:8" ht="19.5" customHeight="1" thickBot="1" x14ac:dyDescent="0.35">
      <c r="A40" s="28" t="s">
        <v>59</v>
      </c>
      <c r="B40" s="6"/>
      <c r="C40" s="6"/>
      <c r="D40" s="6"/>
      <c r="E40" s="6"/>
      <c r="F40" s="6"/>
      <c r="G40" s="6"/>
      <c r="H40" s="7"/>
    </row>
    <row r="41" spans="1:8" ht="19.5" customHeight="1" x14ac:dyDescent="0.25"/>
    <row r="45" spans="1:8" ht="16.5" customHeight="1" x14ac:dyDescent="0.25"/>
    <row r="47" spans="1:8" x14ac:dyDescent="0.25">
      <c r="A47" t="s">
        <v>1</v>
      </c>
    </row>
    <row r="59" spans="1:1" ht="18.75" x14ac:dyDescent="0.3">
      <c r="A59" s="5"/>
    </row>
  </sheetData>
  <mergeCells count="1">
    <mergeCell ref="A32:A33"/>
  </mergeCells>
  <hyperlinks>
    <hyperlink ref="C10" r:id="rId1" xr:uid="{6984D6AB-6EC6-48F3-8D33-0853C9932D2E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BAÑOS OLIVA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2023-03-16T17:43:01Z</cp:lastPrinted>
  <dcterms:created xsi:type="dcterms:W3CDTF">2018-11-15T17:29:02Z</dcterms:created>
  <dcterms:modified xsi:type="dcterms:W3CDTF">2024-06-19T18:24:44Z</dcterms:modified>
</cp:coreProperties>
</file>