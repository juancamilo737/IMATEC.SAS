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6395D85-5346-4FA6-B587-30D70774F8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4" i="1" l="1"/>
  <c r="H23" i="1"/>
  <c r="H22" i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<sst xmlns="http://schemas.openxmlformats.org/spreadsheetml/2006/main" count="58" uniqueCount="57">
  <si>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</si>
  <si>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</si>
  <si>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</si>
  <si>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</si>
  <si>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</si>
  <si>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</si>
  <si>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</si>
  <si>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</si>
  <si>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</si>
  <si>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</si>
  <si>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</si>
  <si>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</si>
  <si>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</si>
  <si>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</si>
  <si>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</si>
  <si>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</si>
  <si>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</si>
  <si>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</si>
  <si>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</si>
  <si>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</si>
  <si>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</si>
  <si>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</si>
  <si>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</si>
  <si>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</si>
  <si>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</si>
  <si>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</si>
  <si>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</si>
  <si>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</si>
  <si>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</si>
  <si>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</si>
  <si>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</si>
  <si>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</si>
  <si>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</si>
  <si>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</si>
  <si>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</si>
  <si>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</si>
  <si>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</si>
  <si>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</si>
  <si>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</si>
  <si>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</si>
  <si>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</si>
  <si>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</si>
  <si>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</si>
  <si>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 xml:space="preserve">  CALLE  33A  No. 17F - 56                         B/  LA FLORESTA             -   CALI    -                                   CEL.     321 7834969</t>
  </si>
  <si>
    <t>L I Q U I D A C I O N</t>
  </si>
  <si>
    <t xml:space="preserve">   RETEICA</t>
  </si>
  <si>
    <t xml:space="preserve">              R E M I S I O N</t>
  </si>
  <si>
    <t>No. 8</t>
  </si>
  <si>
    <t>NIPLE  AC/INOX 304  1 1/2 "  X 6 "</t>
  </si>
  <si>
    <t>VALVULA BOLA AC/INOX 316  1 1/2 "</t>
  </si>
  <si>
    <t>FABRICACION</t>
  </si>
  <si>
    <t>ACOPLE AC/INOX 304 ROSCA ESP. X NPT M 1 1/2 "</t>
  </si>
  <si>
    <t>15 DIAS</t>
  </si>
  <si>
    <t>SETECIENTOS NOVENTA Y DOS MIL SETECIENTOS CIN-</t>
  </si>
  <si>
    <t>CUENTA Y UN MIL PESOS MDA / CTE</t>
  </si>
  <si>
    <t>FORMA DE PAGO : CREDITO A 15 DIAS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</si>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</sst>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28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30" xfId="0" applyBorder="1"/>
    <xf numFmtId="0" fontId="0" fillId="0" borderId="6" xfId="0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M24" sqref="M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36</v>
      </c>
      <c r="D7" s="6"/>
      <c r="E7" s="6"/>
      <c r="F7" s="37"/>
      <c r="G7" s="18"/>
      <c r="H7" s="19" t="s">
        <v>47</v>
      </c>
    </row>
    <row r="8" spans="1:8" ht="19.5" thickBot="1" x14ac:dyDescent="0.35">
      <c r="A8" s="21" t="s">
        <v>8</v>
      </c>
      <c r="C8" s="14" t="s">
        <v>37</v>
      </c>
      <c r="E8" s="15"/>
      <c r="H8" s="15"/>
    </row>
    <row r="9" spans="1:8" ht="18.75" customHeight="1" thickBot="1" x14ac:dyDescent="0.35">
      <c r="A9" s="21" t="s">
        <v>9</v>
      </c>
      <c r="C9" s="14" t="s">
        <v>38</v>
      </c>
      <c r="E9" s="61" t="s">
        <v>39</v>
      </c>
      <c r="F9" s="30" t="s">
        <v>0</v>
      </c>
      <c r="H9" s="28">
        <v>45843</v>
      </c>
    </row>
    <row r="10" spans="1:8" ht="18.75" x14ac:dyDescent="0.3">
      <c r="A10" s="21" t="s">
        <v>13</v>
      </c>
      <c r="C10" s="47"/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45857</v>
      </c>
    </row>
    <row r="12" spans="1:8" ht="18.75" x14ac:dyDescent="0.3">
      <c r="A12" s="21" t="s">
        <v>11</v>
      </c>
      <c r="C12" s="14" t="s">
        <v>40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33</v>
      </c>
      <c r="B15" s="24" t="s">
        <v>22</v>
      </c>
      <c r="C15" s="42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62">
        <v>1</v>
      </c>
      <c r="B16" s="63" t="s">
        <v>51</v>
      </c>
      <c r="C16" s="63"/>
      <c r="D16" s="64"/>
      <c r="E16" s="62" t="s">
        <v>50</v>
      </c>
      <c r="F16" s="65">
        <v>570000</v>
      </c>
      <c r="G16" s="62">
        <v>1</v>
      </c>
      <c r="H16" s="38">
        <f t="shared" ref="H16" si="0">G16*F16</f>
        <v>570000</v>
      </c>
    </row>
    <row r="17" spans="1:8" ht="16.5" thickBot="1" x14ac:dyDescent="0.3">
      <c r="A17" s="62">
        <v>2</v>
      </c>
      <c r="B17" s="63" t="s">
        <v>49</v>
      </c>
      <c r="C17" s="63"/>
      <c r="D17" s="64"/>
      <c r="E17" s="62" t="s">
        <v>42</v>
      </c>
      <c r="F17" s="65">
        <v>93000</v>
      </c>
      <c r="G17" s="62">
        <v>1</v>
      </c>
      <c r="H17" s="38">
        <f t="shared" ref="H17:H18" si="1">G17*F17</f>
        <v>93000</v>
      </c>
    </row>
    <row r="18" spans="1:8" ht="16.5" thickBot="1" x14ac:dyDescent="0.3">
      <c r="A18" s="62">
        <v>3</v>
      </c>
      <c r="B18" s="63" t="s">
        <v>48</v>
      </c>
      <c r="C18" s="63"/>
      <c r="D18" s="64"/>
      <c r="E18" s="62" t="s">
        <v>50</v>
      </c>
      <c r="F18" s="65">
        <v>22000</v>
      </c>
      <c r="G18" s="62">
        <v>1</v>
      </c>
      <c r="H18" s="38">
        <f t="shared" si="1"/>
        <v>22000</v>
      </c>
    </row>
    <row r="19" spans="1:8" ht="19.5" customHeight="1" thickBot="1" x14ac:dyDescent="0.3">
      <c r="A19" s="49"/>
      <c r="B19" s="67"/>
      <c r="D19" s="68"/>
      <c r="E19" s="49"/>
      <c r="F19" s="49"/>
      <c r="G19" s="49"/>
    </row>
    <row r="20" spans="1:8" ht="19.5" customHeight="1" thickBot="1" x14ac:dyDescent="0.35">
      <c r="A20" s="66" t="s">
        <v>23</v>
      </c>
      <c r="B20" s="69" t="s">
        <v>53</v>
      </c>
      <c r="C20" s="12"/>
      <c r="D20" s="13"/>
      <c r="E20" s="50"/>
      <c r="F20" s="37" t="s">
        <v>44</v>
      </c>
      <c r="G20" s="6"/>
      <c r="H20" s="7"/>
    </row>
    <row r="21" spans="1:8" ht="19.5" customHeight="1" thickBot="1" x14ac:dyDescent="0.3">
      <c r="A21" s="39"/>
      <c r="B21" s="16" t="s">
        <v>54</v>
      </c>
      <c r="C21" s="4"/>
      <c r="D21" s="17"/>
      <c r="E21" s="53" t="s">
        <v>24</v>
      </c>
      <c r="F21" s="54"/>
      <c r="G21" s="45"/>
      <c r="H21" s="51">
        <f>SUM(H16:H18)</f>
        <v>685000</v>
      </c>
    </row>
    <row r="22" spans="1:8" ht="19.5" customHeight="1" x14ac:dyDescent="0.25">
      <c r="A22" s="24" t="s">
        <v>25</v>
      </c>
      <c r="B22" s="12"/>
      <c r="C22" s="12"/>
      <c r="D22" s="12"/>
      <c r="E22" s="55" t="s">
        <v>29</v>
      </c>
      <c r="F22" s="23"/>
      <c r="G22" s="56">
        <v>0.19</v>
      </c>
      <c r="H22" s="40">
        <f>H21*G22</f>
        <v>130150</v>
      </c>
    </row>
    <row r="23" spans="1:8" ht="19.5" customHeight="1" x14ac:dyDescent="0.25">
      <c r="A23" s="14" t="s">
        <v>55</v>
      </c>
      <c r="E23" s="57" t="s">
        <v>26</v>
      </c>
      <c r="G23" s="60">
        <v>2.5000000000000001E-2</v>
      </c>
      <c r="H23" s="52">
        <f>H21*G23</f>
        <v>17125</v>
      </c>
    </row>
    <row r="24" spans="1:8" ht="15.75" x14ac:dyDescent="0.25">
      <c r="A24" s="14" t="s">
        <v>56</v>
      </c>
      <c r="E24" s="55" t="s">
        <v>45</v>
      </c>
      <c r="F24" s="33"/>
      <c r="G24" s="70">
        <v>7.7000000000000002E-3</v>
      </c>
      <c r="H24" s="52">
        <f>H21*G24</f>
        <v>5274.5</v>
      </c>
    </row>
    <row r="25" spans="1:8" ht="16.5" thickBot="1" x14ac:dyDescent="0.3">
      <c r="A25" s="14" t="s">
        <v>31</v>
      </c>
      <c r="E25" s="58" t="s">
        <v>27</v>
      </c>
      <c r="F25" s="59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792750.5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43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2025-03-10T15:00:36Z</cp:lastPrinted>
  <dcterms:created xsi:type="dcterms:W3CDTF">2018-11-15T17:29:02Z</dcterms:created>
  <dcterms:modified xsi:type="dcterms:W3CDTF">2025-07-05T18:23:02Z</dcterms:modified>
</cp:coreProperties>
</file>