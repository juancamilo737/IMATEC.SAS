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7096124-695A-4847-9E80-65574BC09A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CIONES INDUSTRI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0" i="1" s="1"/>
  <c r="H21" i="1" l="1"/>
  <c r="H25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<sst xmlns="http://schemas.openxmlformats.org/spreadsheetml/2006/main" count="54" uniqueCount="54">
  <si>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</si>
  <si>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</si>
  <si>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</si>
  <si>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</si>
  <si>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</si>
  <si>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</si>
  <si>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</si>
  <si>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</si>
  <si>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</si>
  <si>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</si>
  <si>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</si>
  <si>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</si>
  <si>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</si>
  <si>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</si>
  <si>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</si>
  <si>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</si>
  <si>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</si>
  <si>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</si>
  <si>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</si>
  <si>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</si>
  <si>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</si>
  <si>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</si>
  <si>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</si>
  <si>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</si>
  <si>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</si>
  <si>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</si>
  <si>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</si>
  <si>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</si>
  <si>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</si>
  <si>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</si>
  <si>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</si>
  <si>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</si>
  <si>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</si>
  <si>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</si>
  <si>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</si>
  <si>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>SOLUCIONES INDUSTRIALES SAS</t>
  </si>
  <si>
    <t>CARRERA 27 A No. 13-180</t>
  </si>
  <si>
    <t>YUMBO</t>
  </si>
  <si>
    <t>SOIND1@HOTMAIL.COM</t>
  </si>
  <si>
    <t>MANUEL</t>
  </si>
  <si>
    <t>321 9063875</t>
  </si>
  <si>
    <t>ENTREGA EN CALI</t>
  </si>
  <si>
    <t>TIEMPO DE ENTREGA: TRES DIAS POSTERIOR A TRANSFERENCIA</t>
  </si>
  <si>
    <t xml:space="preserve">ITEM </t>
  </si>
  <si>
    <t>No.  7</t>
  </si>
  <si>
    <t>TUBERIA AC/INOX CUADRADA CAL 18 1 1/4 "</t>
  </si>
  <si>
    <t xml:space="preserve">TUBO X 5,80 </t>
  </si>
  <si>
    <t>L I Q U I D A C I O N</t>
  </si>
  <si>
    <t>OCHOCIENTOS NUEVE MIL DOSCIENTOS PESOS MDA</t>
  </si>
  <si>
    <t>CTE</t>
  </si>
  <si>
    <t xml:space="preserve">  CALLE  33A  No. 17F - 56               B/  LA FLORESTA             -   CALI    -                                  CEL.     321 7834969</t>
  </si>
  <si>
    <t>LUIS A BENAVIDES</t>
  </si>
  <si>
    <t xml:space="preserve">             R E M I S I O N</t>
  </si>
  <si>
    <t>890 327858-6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</si>
</sst>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" fillId="0" borderId="1" xfId="0" applyNumberFormat="1" applyFont="1" applyBorder="1"/>
    <xf numFmtId="0" fontId="4" fillId="0" borderId="13" xfId="0" applyFont="1" applyBorder="1"/>
    <xf numFmtId="0" fontId="5" fillId="0" borderId="16" xfId="0" applyFont="1" applyBorder="1"/>
    <xf numFmtId="42" fontId="1" fillId="0" borderId="17" xfId="1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" fillId="0" borderId="18" xfId="0" applyFont="1" applyBorder="1" applyAlignment="1">
      <alignment horizontal="center"/>
    </xf>
    <xf numFmtId="0" fontId="13" fillId="0" borderId="0" xfId="0" applyFont="1" applyAlignment="1">
      <alignment horizontal="center"/>
    </xf>
    <xf numFmtId="42" fontId="12" fillId="0" borderId="16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2" fontId="1" fillId="0" borderId="20" xfId="1" applyFont="1" applyBorder="1" applyAlignment="1">
      <alignment horizontal="center"/>
    </xf>
    <xf numFmtId="0" fontId="1" fillId="0" borderId="3" xfId="0" applyFont="1" applyBorder="1"/>
    <xf numFmtId="0" fontId="1" fillId="0" borderId="12" xfId="0" applyFont="1" applyBorder="1" applyAlignment="1">
      <alignment horizontal="center"/>
    </xf>
    <xf numFmtId="0" fontId="0" fillId="0" borderId="3" xfId="0" applyBorder="1"/>
    <xf numFmtId="0" fontId="8" fillId="0" borderId="21" xfId="0" applyFont="1" applyBorder="1"/>
    <xf numFmtId="0" fontId="8" fillId="0" borderId="4" xfId="0" applyFont="1" applyBorder="1"/>
    <xf numFmtId="0" fontId="8" fillId="0" borderId="5" xfId="0" applyFont="1" applyBorder="1"/>
    <xf numFmtId="0" fontId="4" fillId="0" borderId="19" xfId="0" applyFont="1" applyBorder="1"/>
    <xf numFmtId="0" fontId="5" fillId="0" borderId="4" xfId="0" applyFont="1" applyBorder="1"/>
    <xf numFmtId="0" fontId="4" fillId="0" borderId="22" xfId="0" applyFont="1" applyBorder="1"/>
    <xf numFmtId="0" fontId="4" fillId="0" borderId="23" xfId="0" applyFont="1" applyBorder="1"/>
    <xf numFmtId="0" fontId="0" fillId="0" borderId="24" xfId="0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0" fontId="0" fillId="0" borderId="27" xfId="0" applyBorder="1"/>
    <xf numFmtId="0" fontId="4" fillId="0" borderId="28" xfId="0" applyFont="1" applyBorder="1"/>
    <xf numFmtId="0" fontId="4" fillId="0" borderId="29" xfId="0" applyFont="1" applyBorder="1"/>
    <xf numFmtId="0" fontId="0" fillId="0" borderId="30" xfId="0" applyBorder="1"/>
    <xf numFmtId="0" fontId="0" fillId="0" borderId="22" xfId="0" applyBorder="1"/>
    <xf numFmtId="0" fontId="0" fillId="0" borderId="23" xfId="0" applyBorder="1"/>
    <xf numFmtId="0" fontId="0" fillId="0" borderId="31" xfId="0" applyBorder="1"/>
    <xf numFmtId="0" fontId="0" fillId="0" borderId="25" xfId="0" applyBorder="1"/>
    <xf numFmtId="0" fontId="14" fillId="0" borderId="26" xfId="2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IND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1"/>
  <sheetViews>
    <sheetView tabSelected="1" topLeftCell="A4" zoomScaleNormal="100" workbookViewId="0">
      <selection activeCell="I13" sqref="I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4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5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20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52</v>
      </c>
      <c r="G6" s="19"/>
      <c r="H6" s="20"/>
    </row>
    <row r="7" spans="1:8" ht="19.5" thickBot="1" x14ac:dyDescent="0.35">
      <c r="A7" s="21" t="s">
        <v>15</v>
      </c>
      <c r="B7" s="13"/>
      <c r="C7" s="30" t="s">
        <v>35</v>
      </c>
      <c r="D7" s="13"/>
      <c r="E7" s="14"/>
      <c r="F7" s="27"/>
      <c r="G7" s="19"/>
      <c r="H7" s="20" t="s">
        <v>44</v>
      </c>
    </row>
    <row r="8" spans="1:8" ht="18.75" x14ac:dyDescent="0.3">
      <c r="A8" s="22" t="s">
        <v>9</v>
      </c>
      <c r="C8" s="67" t="s">
        <v>53</v>
      </c>
      <c r="D8" s="68"/>
      <c r="E8" s="59"/>
      <c r="F8" s="13"/>
      <c r="G8" s="13"/>
      <c r="H8" s="14"/>
    </row>
    <row r="9" spans="1:8" ht="18.75" customHeight="1" x14ac:dyDescent="0.3">
      <c r="A9" s="22" t="s">
        <v>10</v>
      </c>
      <c r="C9" s="69" t="s">
        <v>36</v>
      </c>
      <c r="D9" s="24"/>
      <c r="E9" s="70" t="s">
        <v>37</v>
      </c>
      <c r="F9" s="33" t="s">
        <v>0</v>
      </c>
      <c r="H9" s="31">
        <v>45807</v>
      </c>
    </row>
    <row r="10" spans="1:8" ht="18.75" x14ac:dyDescent="0.3">
      <c r="A10" s="22" t="s">
        <v>14</v>
      </c>
      <c r="C10" s="71" t="s">
        <v>38</v>
      </c>
      <c r="D10" s="25"/>
      <c r="E10" s="63"/>
      <c r="F10" s="33" t="s">
        <v>16</v>
      </c>
      <c r="H10" s="32"/>
    </row>
    <row r="11" spans="1:8" ht="18.75" x14ac:dyDescent="0.3">
      <c r="A11" s="22" t="s">
        <v>11</v>
      </c>
      <c r="C11" s="72" t="s">
        <v>39</v>
      </c>
      <c r="D11" s="25"/>
      <c r="E11" s="63"/>
      <c r="F11" s="33" t="s">
        <v>17</v>
      </c>
      <c r="G11" s="33"/>
      <c r="H11" s="31"/>
    </row>
    <row r="12" spans="1:8" ht="18.75" x14ac:dyDescent="0.3">
      <c r="A12" s="22" t="s">
        <v>12</v>
      </c>
      <c r="C12" s="72" t="s">
        <v>40</v>
      </c>
      <c r="D12" s="25"/>
      <c r="E12" s="63"/>
      <c r="F12" s="33" t="s">
        <v>18</v>
      </c>
      <c r="H12" s="34"/>
    </row>
    <row r="13" spans="1:8" ht="18.75" customHeight="1" thickBot="1" x14ac:dyDescent="0.35">
      <c r="A13" s="23" t="s">
        <v>13</v>
      </c>
      <c r="B13" s="4"/>
      <c r="C13" s="73" t="s">
        <v>51</v>
      </c>
      <c r="D13" s="74"/>
      <c r="E13" s="66"/>
      <c r="F13" s="4"/>
      <c r="G13" s="4"/>
      <c r="H13" s="18"/>
    </row>
    <row r="14" spans="1:8" ht="13.5" customHeight="1" x14ac:dyDescent="0.25"/>
    <row r="15" spans="1:8" ht="15.75" thickBot="1" x14ac:dyDescent="0.3"/>
    <row r="16" spans="1:8" ht="15.75" thickBot="1" x14ac:dyDescent="0.3">
      <c r="A16" s="35" t="s">
        <v>43</v>
      </c>
      <c r="B16" s="49" t="s">
        <v>25</v>
      </c>
      <c r="C16" s="19"/>
      <c r="D16" s="6"/>
      <c r="E16" s="44" t="s">
        <v>21</v>
      </c>
      <c r="F16" s="35" t="s">
        <v>23</v>
      </c>
      <c r="G16" s="35" t="s">
        <v>22</v>
      </c>
      <c r="H16" s="35" t="s">
        <v>24</v>
      </c>
    </row>
    <row r="17" spans="1:10" ht="16.5" thickBot="1" x14ac:dyDescent="0.3">
      <c r="A17" s="51"/>
      <c r="B17" s="52" t="s">
        <v>45</v>
      </c>
      <c r="C17" s="53"/>
      <c r="D17" s="54"/>
      <c r="E17" s="50" t="s">
        <v>46</v>
      </c>
      <c r="F17" s="46">
        <v>136000</v>
      </c>
      <c r="G17" s="47">
        <v>5</v>
      </c>
      <c r="H17" s="48">
        <f>G17*F17</f>
        <v>680000</v>
      </c>
    </row>
    <row r="18" spans="1:10" ht="19.5" customHeight="1" thickBot="1" x14ac:dyDescent="0.3">
      <c r="I18" s="36"/>
      <c r="J18" s="36"/>
    </row>
    <row r="19" spans="1:10" ht="19.5" customHeight="1" thickBot="1" x14ac:dyDescent="0.35">
      <c r="A19" s="75" t="s">
        <v>26</v>
      </c>
      <c r="B19" s="12" t="s">
        <v>48</v>
      </c>
      <c r="C19" s="13"/>
      <c r="D19" s="14"/>
      <c r="E19" s="51"/>
      <c r="F19" s="56" t="s">
        <v>47</v>
      </c>
      <c r="G19" s="6"/>
      <c r="H19" s="7"/>
      <c r="I19" s="36"/>
      <c r="J19" s="36"/>
    </row>
    <row r="20" spans="1:10" ht="19.5" customHeight="1" thickBot="1" x14ac:dyDescent="0.3">
      <c r="A20" s="76"/>
      <c r="B20" s="17" t="s">
        <v>49</v>
      </c>
      <c r="C20" s="4"/>
      <c r="D20" s="4"/>
      <c r="E20" s="57" t="s">
        <v>27</v>
      </c>
      <c r="F20" s="58"/>
      <c r="G20" s="59"/>
      <c r="H20" s="41">
        <f>SUM(H17:H17)</f>
        <v>680000</v>
      </c>
      <c r="I20" s="36"/>
      <c r="J20" s="36"/>
    </row>
    <row r="21" spans="1:10" ht="19.5" customHeight="1" x14ac:dyDescent="0.25">
      <c r="A21" s="26" t="s">
        <v>28</v>
      </c>
      <c r="B21" s="13"/>
      <c r="C21" s="13"/>
      <c r="D21" s="13"/>
      <c r="E21" s="60" t="s">
        <v>33</v>
      </c>
      <c r="F21" s="55"/>
      <c r="G21" s="61">
        <v>0.19</v>
      </c>
      <c r="H21" s="40">
        <f>H20*G21</f>
        <v>129200</v>
      </c>
      <c r="I21" s="36"/>
      <c r="J21" s="36"/>
    </row>
    <row r="22" spans="1:10" ht="19.5" customHeight="1" x14ac:dyDescent="0.25">
      <c r="A22" s="15" t="s">
        <v>34</v>
      </c>
      <c r="E22" s="62" t="s">
        <v>29</v>
      </c>
      <c r="G22" s="16">
        <v>0</v>
      </c>
      <c r="H22" s="41"/>
      <c r="I22" s="36"/>
      <c r="J22" s="36"/>
    </row>
    <row r="23" spans="1:10" ht="19.5" customHeight="1" x14ac:dyDescent="0.25">
      <c r="A23" s="15" t="s">
        <v>42</v>
      </c>
      <c r="E23" s="15"/>
      <c r="F23" s="38"/>
      <c r="G23" s="63"/>
      <c r="H23" s="42"/>
      <c r="I23" s="36"/>
      <c r="J23" s="36"/>
    </row>
    <row r="24" spans="1:10" ht="19.5" customHeight="1" thickBot="1" x14ac:dyDescent="0.3">
      <c r="A24" s="15" t="s">
        <v>41</v>
      </c>
      <c r="E24" s="64" t="s">
        <v>30</v>
      </c>
      <c r="F24" s="65"/>
      <c r="G24" s="66"/>
      <c r="H24" s="43"/>
    </row>
    <row r="25" spans="1:10" ht="19.5" customHeight="1" thickBot="1" x14ac:dyDescent="0.35">
      <c r="A25" s="17"/>
      <c r="B25" s="4"/>
      <c r="C25" s="4"/>
      <c r="D25" s="18"/>
      <c r="F25" s="3"/>
      <c r="G25" s="39" t="s">
        <v>31</v>
      </c>
      <c r="H25" s="37">
        <f>H20+H21</f>
        <v>809200</v>
      </c>
    </row>
    <row r="26" spans="1:10" ht="19.5" customHeight="1" x14ac:dyDescent="0.25"/>
    <row r="27" spans="1:10" ht="19.5" customHeight="1" x14ac:dyDescent="0.25"/>
    <row r="28" spans="1:10" ht="19.5" customHeight="1" x14ac:dyDescent="0.25"/>
    <row r="29" spans="1:10" ht="19.5" customHeight="1" thickBot="1" x14ac:dyDescent="0.3"/>
    <row r="30" spans="1:10" ht="19.5" thickBot="1" x14ac:dyDescent="0.35">
      <c r="A30" s="27" t="s">
        <v>50</v>
      </c>
      <c r="B30" s="6"/>
      <c r="C30" s="6"/>
      <c r="D30" s="6"/>
      <c r="E30" s="6"/>
      <c r="F30" s="6"/>
      <c r="G30" s="6"/>
      <c r="H30" s="7"/>
    </row>
    <row r="31" spans="1:10" ht="19.5" customHeight="1" x14ac:dyDescent="0.25"/>
    <row r="32" spans="1:10" ht="19.5" customHeight="1" x14ac:dyDescent="0.25"/>
    <row r="33" spans="1:1" ht="19.5" customHeight="1" x14ac:dyDescent="0.25"/>
    <row r="37" spans="1:1" ht="16.5" customHeight="1" x14ac:dyDescent="0.25"/>
    <row r="39" spans="1:1" x14ac:dyDescent="0.25">
      <c r="A39" t="s">
        <v>1</v>
      </c>
    </row>
    <row r="51" spans="1:1" ht="18.75" x14ac:dyDescent="0.3">
      <c r="A51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8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SOLUCIONES INDUSTRIALES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2025-05-30T22:08:54Z</cp:lastPrinted>
  <dcterms:created xsi:type="dcterms:W3CDTF">2018-11-15T17:29:02Z</dcterms:created>
  <dcterms:modified xsi:type="dcterms:W3CDTF">2025-05-31T18:13:21Z</dcterms:modified>
</cp:coreProperties>
</file>