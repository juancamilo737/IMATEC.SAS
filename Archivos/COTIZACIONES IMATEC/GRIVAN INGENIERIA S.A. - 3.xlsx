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F802EE48-A54A-47C9-97D8-277CF4B381C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IV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2" i="1"/>
  <c r="H21" i="1"/>
  <c r="H20" i="1"/>
  <c r="H19" i="1"/>
  <c r="H18" i="1"/>
  <c r="H17" i="1"/>
  <c r="H16" i="1"/>
  <c r="H28" i="1" l="1"/>
  <c r="H27" i="1"/>
  <c r="H31" i="1" s="1"/>
</calcChain>
</file>

<file path=xl/sharedStrings.xml><?xml version="1.0" encoding="utf-8"?>
<sst xmlns="http://schemas.openxmlformats.org/spreadsheetml/2006/main" count="72" uniqueCount="62">
  <si>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</si>
  <si>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</si>
  <si>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</si>
  <si>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</si>
  <si>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</si>
  <si>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</si>
  <si>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</si>
  <si>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</si>
  <si>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</si>
  <si>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</si>
  <si>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</si>
  <si>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</si>
  <si>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</si>
  <si>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</si>
  <si>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</si>
  <si>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</si>
  <si>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</si>
  <si>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</si>
  <si>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</si>
  <si>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</si>
  <si>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</si>
  <si>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</si>
  <si>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</si>
  <si>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</si>
  <si>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</si>
  <si>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</si>
  <si>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</si>
  <si>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</si>
  <si>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</si>
  <si>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</si>
  <si>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</si>
  <si>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</si>
  <si>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</si>
  <si>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</si>
  <si>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</si>
  <si>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</si>
  <si>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</si>
  <si>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</si>
  <si>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</si>
  <si>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</si>
  <si>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</si>
  <si>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GRIVAN INGENIERIA S.A.</t>
  </si>
  <si>
    <t>805 017818</t>
  </si>
  <si>
    <t>CRA  35 B  No. 16  52</t>
  </si>
  <si>
    <t>diradministrativo@grivaningenieria.com</t>
  </si>
  <si>
    <t>316 4782446</t>
  </si>
  <si>
    <t>LUIS A. BENAVIDES</t>
  </si>
  <si>
    <t>FORMA DE PAGO : CREDITO A 30 DIAS</t>
  </si>
  <si>
    <t>ENTREGA EN TRES DIAS A PARTIR DE ORDEN DE COMPRA</t>
  </si>
  <si>
    <t xml:space="preserve">TAPON HD RANURADO </t>
  </si>
  <si>
    <t>6 "</t>
  </si>
  <si>
    <t>4 "</t>
  </si>
  <si>
    <t>3 "</t>
  </si>
  <si>
    <t>2 1/2 "</t>
  </si>
  <si>
    <t>2 "</t>
  </si>
  <si>
    <t>1 "</t>
  </si>
  <si>
    <t xml:space="preserve">JUNTA ANTI VIBRATORIA AC/INOX 304  </t>
  </si>
  <si>
    <t>BRIDA X RANURA   2 1/2 "  X  12 "</t>
  </si>
  <si>
    <t>FABRICACION</t>
  </si>
  <si>
    <t>SEIS MILLONES CIENTO DIEZ MIL SETECIENTOS SETENTA</t>
  </si>
  <si>
    <t>Y CINCO PESOS MDA / CTE</t>
  </si>
  <si>
    <t>No.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</si>
</sst>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7" xfId="0" applyFont="1" applyBorder="1" applyAlignment="1">
      <alignment horizontal="center"/>
    </xf>
    <xf numFmtId="0" fontId="8" fillId="0" borderId="30" xfId="0" applyFont="1" applyBorder="1"/>
    <xf numFmtId="0" fontId="8" fillId="0" borderId="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42" fontId="1" fillId="0" borderId="0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radministrativo@grivan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2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61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/>
      <c r="F9" s="30" t="s">
        <v>0</v>
      </c>
      <c r="H9" s="28">
        <v>45913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 t="s">
        <v>50</v>
      </c>
      <c r="E16" s="61" t="s">
        <v>38</v>
      </c>
      <c r="F16" s="65">
        <v>28000</v>
      </c>
      <c r="G16" s="61">
        <v>8</v>
      </c>
      <c r="H16" s="38">
        <f t="shared" ref="H16" si="0">G16*F16</f>
        <v>224000</v>
      </c>
    </row>
    <row r="17" spans="1:8" ht="16.5" thickBot="1" x14ac:dyDescent="0.3">
      <c r="A17" s="61">
        <v>2</v>
      </c>
      <c r="B17" s="62" t="s">
        <v>49</v>
      </c>
      <c r="C17" s="63"/>
      <c r="D17" s="64" t="s">
        <v>51</v>
      </c>
      <c r="E17" s="61" t="s">
        <v>38</v>
      </c>
      <c r="F17" s="65">
        <v>15000</v>
      </c>
      <c r="G17" s="61">
        <v>10</v>
      </c>
      <c r="H17" s="38">
        <f t="shared" ref="H17:H22" si="1">G17*F17</f>
        <v>150000</v>
      </c>
    </row>
    <row r="18" spans="1:8" ht="16.5" thickBot="1" x14ac:dyDescent="0.3">
      <c r="A18" s="61">
        <v>3</v>
      </c>
      <c r="B18" s="62" t="s">
        <v>49</v>
      </c>
      <c r="C18" s="63"/>
      <c r="D18" s="64" t="s">
        <v>52</v>
      </c>
      <c r="E18" s="61" t="s">
        <v>38</v>
      </c>
      <c r="F18" s="65">
        <v>10900</v>
      </c>
      <c r="G18" s="61">
        <v>6</v>
      </c>
      <c r="H18" s="38">
        <f t="shared" si="1"/>
        <v>65400</v>
      </c>
    </row>
    <row r="19" spans="1:8" ht="16.5" thickBot="1" x14ac:dyDescent="0.3">
      <c r="A19" s="61">
        <v>4</v>
      </c>
      <c r="B19" s="62" t="s">
        <v>49</v>
      </c>
      <c r="C19" s="63"/>
      <c r="D19" s="64" t="s">
        <v>53</v>
      </c>
      <c r="E19" s="61" t="s">
        <v>38</v>
      </c>
      <c r="F19" s="65">
        <v>8700</v>
      </c>
      <c r="G19" s="61">
        <v>9</v>
      </c>
      <c r="H19" s="38">
        <f t="shared" si="1"/>
        <v>78300</v>
      </c>
    </row>
    <row r="20" spans="1:8" ht="16.5" thickBot="1" x14ac:dyDescent="0.3">
      <c r="A20" s="61">
        <v>5</v>
      </c>
      <c r="B20" s="62" t="s">
        <v>49</v>
      </c>
      <c r="C20" s="63"/>
      <c r="D20" s="64" t="s">
        <v>54</v>
      </c>
      <c r="E20" s="61" t="s">
        <v>38</v>
      </c>
      <c r="F20" s="65">
        <v>5800</v>
      </c>
      <c r="G20" s="61">
        <v>2</v>
      </c>
      <c r="H20" s="38">
        <f t="shared" si="1"/>
        <v>11600</v>
      </c>
    </row>
    <row r="21" spans="1:8" ht="16.5" thickBot="1" x14ac:dyDescent="0.3">
      <c r="A21" s="61">
        <v>6</v>
      </c>
      <c r="B21" s="62" t="s">
        <v>49</v>
      </c>
      <c r="C21" s="63"/>
      <c r="D21" s="64" t="s">
        <v>55</v>
      </c>
      <c r="E21" s="61" t="s">
        <v>38</v>
      </c>
      <c r="F21" s="65">
        <v>1800</v>
      </c>
      <c r="G21" s="61">
        <v>20</v>
      </c>
      <c r="H21" s="38">
        <f t="shared" si="1"/>
        <v>36000</v>
      </c>
    </row>
    <row r="22" spans="1:8" ht="16.5" thickBot="1" x14ac:dyDescent="0.3">
      <c r="A22" s="61">
        <v>7</v>
      </c>
      <c r="B22" s="62" t="s">
        <v>56</v>
      </c>
      <c r="C22" s="63"/>
      <c r="D22" s="64"/>
      <c r="E22" s="61" t="s">
        <v>58</v>
      </c>
      <c r="F22" s="65">
        <v>390000</v>
      </c>
      <c r="G22" s="61">
        <v>12</v>
      </c>
      <c r="H22" s="38">
        <f t="shared" si="1"/>
        <v>4680000</v>
      </c>
    </row>
    <row r="23" spans="1:8" ht="15.75" x14ac:dyDescent="0.25">
      <c r="A23" s="71"/>
      <c r="B23" s="72" t="s">
        <v>57</v>
      </c>
      <c r="C23" s="73"/>
      <c r="D23" s="74"/>
      <c r="E23" s="71"/>
      <c r="F23" s="75"/>
      <c r="G23" s="71"/>
      <c r="H23" s="76"/>
    </row>
    <row r="24" spans="1:8" ht="19.5" customHeight="1" thickBot="1" x14ac:dyDescent="0.3">
      <c r="A24" s="48"/>
      <c r="B24" s="67"/>
      <c r="D24" s="68"/>
      <c r="E24" s="48"/>
      <c r="F24" s="48"/>
      <c r="G24" s="48"/>
    </row>
    <row r="25" spans="1:8" ht="19.5" customHeight="1" thickBot="1" x14ac:dyDescent="0.35">
      <c r="A25" s="66" t="s">
        <v>23</v>
      </c>
      <c r="B25" s="69" t="s">
        <v>59</v>
      </c>
      <c r="C25" s="12"/>
      <c r="D25" s="13"/>
      <c r="E25" s="49"/>
      <c r="F25" s="37" t="s">
        <v>39</v>
      </c>
      <c r="G25" s="6"/>
      <c r="H25" s="7"/>
    </row>
    <row r="26" spans="1:8" ht="19.5" customHeight="1" thickBot="1" x14ac:dyDescent="0.3">
      <c r="A26" s="39"/>
      <c r="B26" s="16" t="s">
        <v>60</v>
      </c>
      <c r="C26" s="4"/>
      <c r="D26" s="17"/>
      <c r="E26" s="52" t="s">
        <v>24</v>
      </c>
      <c r="F26" s="53"/>
      <c r="G26" s="44"/>
      <c r="H26" s="50">
        <f>SUM(H16:H22)</f>
        <v>5245300</v>
      </c>
    </row>
    <row r="27" spans="1:8" ht="19.5" customHeight="1" x14ac:dyDescent="0.25">
      <c r="A27" s="24" t="s">
        <v>25</v>
      </c>
      <c r="B27" s="12"/>
      <c r="C27" s="12"/>
      <c r="D27" s="12"/>
      <c r="E27" s="54" t="s">
        <v>29</v>
      </c>
      <c r="F27" s="23"/>
      <c r="G27" s="55">
        <v>0.19</v>
      </c>
      <c r="H27" s="40">
        <f>H26*G27</f>
        <v>996607</v>
      </c>
    </row>
    <row r="28" spans="1:8" ht="19.5" customHeight="1" x14ac:dyDescent="0.25">
      <c r="A28" s="14" t="s">
        <v>47</v>
      </c>
      <c r="E28" s="56" t="s">
        <v>26</v>
      </c>
      <c r="G28" s="59">
        <v>2.5000000000000001E-2</v>
      </c>
      <c r="H28" s="51">
        <f>H26*G28</f>
        <v>131132.5</v>
      </c>
    </row>
    <row r="29" spans="1:8" ht="15.75" x14ac:dyDescent="0.25">
      <c r="A29" s="14" t="s">
        <v>48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57" t="s">
        <v>27</v>
      </c>
      <c r="F30" s="58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H26+H27-H28</f>
        <v>6110774.5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40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B8883B70-1FCA-4E5A-9EAF-E3F940263DA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2025-09-13T19:56:33Z</dcterms:modified>
</cp:coreProperties>
</file>