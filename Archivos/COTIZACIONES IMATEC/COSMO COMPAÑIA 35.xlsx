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B9AF4B78-E6D0-47BF-9A31-3AD529AC0EFD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COSMO COMPAÑIA 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4" i="2" l="1"/>
  <c r="H30" i="2" l="1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36" i="2" l="1"/>
  <c r="H35" i="2"/>
  <c r="H39" i="2" s="1"/>
</calcChain>
</file>

<file path=xl/sharedStrings.xml><?xml version="1.0" encoding="utf-8"?>
<sst xmlns="http://schemas.openxmlformats.org/spreadsheetml/2006/main" count="82" uniqueCount="70">
  <si>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</si>
  <si>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</si>
  <si>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</si>
  <si>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</si>
  <si>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</si>
  <si>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</si>
  <si>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</si>
  <si>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</si>
  <si>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</si>
  <si>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</si>
  <si>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</si>
  <si>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</si>
  <si>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</si>
  <si>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</si>
  <si>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</si>
  <si>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</si>
  <si>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</si>
  <si>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</si>
  <si>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</si>
  <si>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</si>
  <si>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</si>
  <si>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</si>
  <si>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</si>
  <si>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</si>
  <si>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</si>
  <si>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</si>
  <si>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</si>
  <si>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</si>
  <si>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</si>
  <si>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</si>
  <si>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</si>
  <si>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</si>
  <si>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</si>
  <si>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</si>
  <si>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</si>
  <si>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</si>
  <si>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</si>
  <si>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</si>
  <si>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COSMO COMPAÑÍA S.A.S.</t>
  </si>
  <si>
    <t>800 163715</t>
  </si>
  <si>
    <t>CRA 20  No. 125-24 OF 203</t>
  </si>
  <si>
    <t>BOGOTÁ</t>
  </si>
  <si>
    <t>cosmoltda@hotmail.com</t>
  </si>
  <si>
    <t>601 2131834</t>
  </si>
  <si>
    <t>EDINSON CABEZAS</t>
  </si>
  <si>
    <t>ENTREGA INMEDIATA</t>
  </si>
  <si>
    <t xml:space="preserve">  CALLE  33B  No. 17C - 70  2o. PISO               B/  LA FLORESTA             -   CALI    -                         CEL.     321 7834969</t>
  </si>
  <si>
    <t>FORMA DE PAGO : CREDITO A 30 DIAS</t>
  </si>
  <si>
    <t xml:space="preserve">            C O T I Z A C I O N </t>
  </si>
  <si>
    <t>TUBO X 6 MTS</t>
  </si>
  <si>
    <t>ACCESORIO</t>
  </si>
  <si>
    <t>No.  35</t>
  </si>
  <si>
    <t>TUBERIA  AC/INOX 304 SCH  10  1/2 "</t>
  </si>
  <si>
    <t>CODO AC/INOX 304  1/2 " X 90 º  X  150 LBS ROSCAR</t>
  </si>
  <si>
    <t>NIPLE  AC/INOX  304  1/2 "  X  4 "</t>
  </si>
  <si>
    <t>FABRICACION</t>
  </si>
  <si>
    <t>TEE AC/INOX 304  1/2 "  X  150  LBS</t>
  </si>
  <si>
    <t>UNIVERSAL AC/INOX  304 1/2 "  X  150  LBS ROSCAR</t>
  </si>
  <si>
    <t>NIPLE  AC/INOX  304  1/2 "  X  1/2 "</t>
  </si>
  <si>
    <t>VALVULA BOLA AC/INOX 304  1/2 "  X  1000 LBS ROSCA</t>
  </si>
  <si>
    <t>REDUCCION COPA CONCENTRICA A / C   2 "  X  1 "</t>
  </si>
  <si>
    <t>CODO  A / C  SCH 40  4 "  X  90 º SOLDAR</t>
  </si>
  <si>
    <t>CODO  A / C  SCH 40  2 "  X  90 º SOLDAR</t>
  </si>
  <si>
    <t xml:space="preserve">TUBERIA  A / C SCH 40  2 " </t>
  </si>
  <si>
    <t>BRIDA  A / C SLIP ON  2 "  X  150 LBS  SOLDAR</t>
  </si>
  <si>
    <t xml:space="preserve">TUBERIA  A / C  SCH 40  1 1/2 " </t>
  </si>
  <si>
    <t xml:space="preserve">CODO  A / C  SCH 40  1 1/2 "  X  90 º </t>
  </si>
  <si>
    <t>BRIDA  A / C SLIP ON  1 1/2 "  X  150 LBS  SOLDAR</t>
  </si>
  <si>
    <t>TRES MILLONES CUATROCIENTOS CINCUENTA Y NUEVE</t>
  </si>
  <si>
    <t>MIL TRESCIENTOS SETENTA Y CUATRO PESOS MDA/CTE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</si>
</sst>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13" fillId="0" borderId="9" xfId="2" applyBorder="1"/>
    <xf numFmtId="0" fontId="1" fillId="0" borderId="15" xfId="0" applyFont="1" applyBorder="1" applyAlignment="1">
      <alignment horizontal="center"/>
    </xf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9" xfId="0" applyFont="1" applyBorder="1"/>
    <xf numFmtId="9" fontId="1" fillId="0" borderId="20" xfId="3" applyFont="1" applyBorder="1"/>
    <xf numFmtId="0" fontId="4" fillId="0" borderId="21" xfId="0" applyFont="1" applyBorder="1"/>
    <xf numFmtId="0" fontId="4" fillId="0" borderId="23" xfId="0" applyFont="1" applyBorder="1"/>
    <xf numFmtId="0" fontId="4" fillId="0" borderId="24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11" xfId="0" applyFont="1" applyBorder="1"/>
    <xf numFmtId="0" fontId="0" fillId="0" borderId="6" xfId="0" applyBorder="1"/>
    <xf numFmtId="0" fontId="1" fillId="0" borderId="15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center"/>
    </xf>
    <xf numFmtId="0" fontId="0" fillId="0" borderId="3" xfId="0" applyBorder="1"/>
    <xf numFmtId="0" fontId="0" fillId="0" borderId="26" xfId="0" applyBorder="1"/>
    <xf numFmtId="42" fontId="11" fillId="0" borderId="14" xfId="1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0" fillId="0" borderId="27" xfId="0" applyBorder="1"/>
    <xf numFmtId="0" fontId="0" fillId="0" borderId="18" xfId="0" applyBorder="1"/>
    <xf numFmtId="0" fontId="1" fillId="0" borderId="18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7" xfId="0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F75B977-B5C6-44A3-8A38-9BD108742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2971B-7A95-4786-B36D-9D7A265A1D5E}">
  <sheetPr>
    <pageSetUpPr fitToPage="1"/>
  </sheetPr>
  <dimension ref="A1:H54"/>
  <sheetViews>
    <sheetView tabSelected="1" topLeftCell="A11" zoomScale="106" zoomScaleNormal="106" workbookViewId="0">
      <selection activeCell="D12" sqref="D12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34</v>
      </c>
      <c r="B5" s="6"/>
      <c r="C5" s="6"/>
      <c r="D5" s="6"/>
      <c r="E5" s="6"/>
    </row>
    <row r="6" spans="1:8" ht="24.75" customHeight="1" thickBot="1" x14ac:dyDescent="0.45">
      <c r="F6" s="41" t="s">
        <v>48</v>
      </c>
      <c r="G6" s="42"/>
      <c r="H6" s="43"/>
    </row>
    <row r="7" spans="1:8" ht="19.5" thickBot="1" x14ac:dyDescent="0.35">
      <c r="A7" s="20" t="s">
        <v>14</v>
      </c>
      <c r="B7" s="12"/>
      <c r="C7" s="44" t="s">
        <v>38</v>
      </c>
      <c r="D7" s="6"/>
      <c r="E7" s="6"/>
      <c r="F7" s="37"/>
      <c r="G7" s="18"/>
      <c r="H7" s="63" t="s">
        <v>51</v>
      </c>
    </row>
    <row r="8" spans="1:8" ht="19.5" thickBot="1" x14ac:dyDescent="0.35">
      <c r="A8" s="21" t="s">
        <v>8</v>
      </c>
      <c r="C8" s="14" t="s">
        <v>39</v>
      </c>
      <c r="E8" s="15"/>
      <c r="H8" s="15"/>
    </row>
    <row r="9" spans="1:8" ht="18.75" customHeight="1" thickBot="1" x14ac:dyDescent="0.35">
      <c r="A9" s="21" t="s">
        <v>9</v>
      </c>
      <c r="C9" s="14" t="s">
        <v>40</v>
      </c>
      <c r="E9" s="59" t="s">
        <v>41</v>
      </c>
      <c r="F9" s="30" t="s">
        <v>0</v>
      </c>
      <c r="H9" s="28">
        <v>45644</v>
      </c>
    </row>
    <row r="10" spans="1:8" ht="18.75" x14ac:dyDescent="0.3">
      <c r="A10" s="21" t="s">
        <v>13</v>
      </c>
      <c r="C10" s="48" t="s">
        <v>42</v>
      </c>
      <c r="E10" s="15"/>
      <c r="F10" s="30" t="s">
        <v>15</v>
      </c>
      <c r="H10" s="29" t="s">
        <v>31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45653</v>
      </c>
    </row>
    <row r="12" spans="1:8" ht="18.75" x14ac:dyDescent="0.3">
      <c r="A12" s="21" t="s">
        <v>11</v>
      </c>
      <c r="C12" s="14" t="s">
        <v>43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44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35</v>
      </c>
      <c r="B15" s="24" t="s">
        <v>22</v>
      </c>
      <c r="C15" s="42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5.75" thickBot="1" x14ac:dyDescent="0.3">
      <c r="A16" s="68">
        <v>1</v>
      </c>
      <c r="B16" s="69" t="s">
        <v>52</v>
      </c>
      <c r="C16" s="70"/>
      <c r="D16" s="45"/>
      <c r="E16" s="71" t="s">
        <v>49</v>
      </c>
      <c r="F16" s="66">
        <v>139500</v>
      </c>
      <c r="G16" s="67">
        <v>3</v>
      </c>
      <c r="H16" s="38">
        <f t="shared" ref="H16" si="0">G16*F16</f>
        <v>418500</v>
      </c>
    </row>
    <row r="17" spans="1:8" ht="15.75" thickBot="1" x14ac:dyDescent="0.3">
      <c r="A17" s="68">
        <v>2</v>
      </c>
      <c r="B17" s="69" t="s">
        <v>53</v>
      </c>
      <c r="C17" s="70"/>
      <c r="D17" s="45"/>
      <c r="E17" s="71" t="s">
        <v>50</v>
      </c>
      <c r="F17" s="66">
        <v>5150</v>
      </c>
      <c r="G17" s="67">
        <v>40</v>
      </c>
      <c r="H17" s="38">
        <f t="shared" ref="H17:H31" si="1">G17*F17</f>
        <v>206000</v>
      </c>
    </row>
    <row r="18" spans="1:8" ht="15.75" thickBot="1" x14ac:dyDescent="0.3">
      <c r="A18" s="68">
        <v>3</v>
      </c>
      <c r="B18" s="69" t="s">
        <v>54</v>
      </c>
      <c r="C18" s="70"/>
      <c r="D18" s="45"/>
      <c r="E18" s="71" t="s">
        <v>55</v>
      </c>
      <c r="F18" s="66">
        <v>7700</v>
      </c>
      <c r="G18" s="67">
        <v>20</v>
      </c>
      <c r="H18" s="38">
        <f t="shared" si="1"/>
        <v>154000</v>
      </c>
    </row>
    <row r="19" spans="1:8" ht="15.75" thickBot="1" x14ac:dyDescent="0.3">
      <c r="A19" s="68">
        <v>4</v>
      </c>
      <c r="B19" s="69" t="s">
        <v>56</v>
      </c>
      <c r="C19" s="70"/>
      <c r="D19" s="45"/>
      <c r="E19" s="71" t="s">
        <v>50</v>
      </c>
      <c r="F19" s="66">
        <v>7670</v>
      </c>
      <c r="G19" s="67">
        <v>6</v>
      </c>
      <c r="H19" s="38">
        <f t="shared" si="1"/>
        <v>46020</v>
      </c>
    </row>
    <row r="20" spans="1:8" ht="15.75" thickBot="1" x14ac:dyDescent="0.3">
      <c r="A20" s="68">
        <v>5</v>
      </c>
      <c r="B20" s="69" t="s">
        <v>57</v>
      </c>
      <c r="C20" s="70"/>
      <c r="D20" s="45"/>
      <c r="E20" s="71" t="s">
        <v>50</v>
      </c>
      <c r="F20" s="66">
        <v>12400</v>
      </c>
      <c r="G20" s="67">
        <v>8</v>
      </c>
      <c r="H20" s="38">
        <f t="shared" si="1"/>
        <v>99200</v>
      </c>
    </row>
    <row r="21" spans="1:8" ht="15.75" thickBot="1" x14ac:dyDescent="0.3">
      <c r="A21" s="68">
        <v>6</v>
      </c>
      <c r="B21" s="69" t="s">
        <v>58</v>
      </c>
      <c r="C21" s="70"/>
      <c r="D21" s="45"/>
      <c r="E21" s="71" t="s">
        <v>55</v>
      </c>
      <c r="F21" s="66">
        <v>4400</v>
      </c>
      <c r="G21" s="67">
        <v>8</v>
      </c>
      <c r="H21" s="38">
        <f t="shared" si="1"/>
        <v>35200</v>
      </c>
    </row>
    <row r="22" spans="1:8" ht="15.75" thickBot="1" x14ac:dyDescent="0.3">
      <c r="A22" s="68">
        <v>7</v>
      </c>
      <c r="B22" s="69" t="s">
        <v>59</v>
      </c>
      <c r="C22" s="70"/>
      <c r="D22" s="45"/>
      <c r="E22" s="71" t="s">
        <v>50</v>
      </c>
      <c r="F22" s="66">
        <v>25100</v>
      </c>
      <c r="G22" s="67">
        <v>8</v>
      </c>
      <c r="H22" s="38">
        <f t="shared" si="1"/>
        <v>200800</v>
      </c>
    </row>
    <row r="23" spans="1:8" ht="15.75" thickBot="1" x14ac:dyDescent="0.3">
      <c r="A23" s="68">
        <v>8</v>
      </c>
      <c r="B23" s="69" t="s">
        <v>60</v>
      </c>
      <c r="C23" s="70"/>
      <c r="D23" s="45"/>
      <c r="E23" s="71" t="s">
        <v>50</v>
      </c>
      <c r="F23" s="66">
        <v>8500</v>
      </c>
      <c r="G23" s="67">
        <v>2</v>
      </c>
      <c r="H23" s="38">
        <f t="shared" si="1"/>
        <v>17000</v>
      </c>
    </row>
    <row r="24" spans="1:8" ht="15.75" thickBot="1" x14ac:dyDescent="0.3">
      <c r="A24" s="68">
        <v>9</v>
      </c>
      <c r="B24" s="69" t="s">
        <v>61</v>
      </c>
      <c r="C24" s="70"/>
      <c r="D24" s="45"/>
      <c r="E24" s="71" t="s">
        <v>50</v>
      </c>
      <c r="F24" s="66">
        <v>43100</v>
      </c>
      <c r="G24" s="67">
        <v>4</v>
      </c>
      <c r="H24" s="38">
        <f t="shared" si="1"/>
        <v>172400</v>
      </c>
    </row>
    <row r="25" spans="1:8" ht="15.75" thickBot="1" x14ac:dyDescent="0.3">
      <c r="A25" s="68">
        <v>10</v>
      </c>
      <c r="B25" s="69" t="s">
        <v>62</v>
      </c>
      <c r="C25" s="70"/>
      <c r="D25" s="45"/>
      <c r="E25" s="71" t="s">
        <v>50</v>
      </c>
      <c r="F25" s="66">
        <v>7500</v>
      </c>
      <c r="G25" s="67">
        <v>12</v>
      </c>
      <c r="H25" s="38">
        <f t="shared" si="1"/>
        <v>90000</v>
      </c>
    </row>
    <row r="26" spans="1:8" ht="15.75" thickBot="1" x14ac:dyDescent="0.3">
      <c r="A26" s="68">
        <v>11</v>
      </c>
      <c r="B26" s="69" t="s">
        <v>63</v>
      </c>
      <c r="C26" s="70"/>
      <c r="D26" s="45"/>
      <c r="E26" s="71" t="s">
        <v>49</v>
      </c>
      <c r="F26" s="66">
        <v>223000</v>
      </c>
      <c r="G26" s="67">
        <v>4</v>
      </c>
      <c r="H26" s="38">
        <f t="shared" si="1"/>
        <v>892000</v>
      </c>
    </row>
    <row r="27" spans="1:8" ht="15.75" thickBot="1" x14ac:dyDescent="0.3">
      <c r="A27" s="68">
        <v>12</v>
      </c>
      <c r="B27" s="69" t="s">
        <v>64</v>
      </c>
      <c r="C27" s="70"/>
      <c r="D27" s="45"/>
      <c r="E27" s="71" t="s">
        <v>50</v>
      </c>
      <c r="F27" s="66">
        <v>29200</v>
      </c>
      <c r="G27" s="67">
        <v>10</v>
      </c>
      <c r="H27" s="38">
        <f t="shared" si="1"/>
        <v>292000</v>
      </c>
    </row>
    <row r="28" spans="1:8" ht="15.75" thickBot="1" x14ac:dyDescent="0.3">
      <c r="A28" s="68">
        <v>13</v>
      </c>
      <c r="B28" s="69" t="s">
        <v>65</v>
      </c>
      <c r="C28" s="70"/>
      <c r="D28" s="45"/>
      <c r="E28" s="71" t="s">
        <v>49</v>
      </c>
      <c r="F28" s="66">
        <v>174700</v>
      </c>
      <c r="G28" s="67">
        <v>1</v>
      </c>
      <c r="H28" s="38">
        <f t="shared" si="1"/>
        <v>174700</v>
      </c>
    </row>
    <row r="29" spans="1:8" ht="15.75" thickBot="1" x14ac:dyDescent="0.3">
      <c r="A29" s="68">
        <v>14</v>
      </c>
      <c r="B29" s="69" t="s">
        <v>66</v>
      </c>
      <c r="C29" s="70"/>
      <c r="D29" s="45"/>
      <c r="E29" s="71" t="s">
        <v>50</v>
      </c>
      <c r="F29" s="66">
        <v>4500</v>
      </c>
      <c r="G29" s="67">
        <v>10</v>
      </c>
      <c r="H29" s="38">
        <f t="shared" si="1"/>
        <v>45000</v>
      </c>
    </row>
    <row r="30" spans="1:8" ht="15.75" thickBot="1" x14ac:dyDescent="0.3">
      <c r="A30" s="68">
        <v>15</v>
      </c>
      <c r="B30" s="69" t="s">
        <v>67</v>
      </c>
      <c r="C30" s="70"/>
      <c r="D30" s="45"/>
      <c r="E30" s="71" t="s">
        <v>50</v>
      </c>
      <c r="F30" s="66">
        <v>21100</v>
      </c>
      <c r="G30" s="67">
        <v>6</v>
      </c>
      <c r="H30" s="38">
        <f t="shared" si="1"/>
        <v>126600</v>
      </c>
    </row>
    <row r="31" spans="1:8" ht="15.75" thickBot="1" x14ac:dyDescent="0.3">
      <c r="A31" s="72"/>
      <c r="B31" s="64"/>
      <c r="C31" s="6"/>
      <c r="D31" s="7"/>
      <c r="E31" s="73"/>
      <c r="F31" s="66"/>
      <c r="G31" s="67"/>
      <c r="H31" s="38"/>
    </row>
    <row r="32" spans="1:8" ht="15.75" thickBot="1" x14ac:dyDescent="0.3">
      <c r="B32" s="16"/>
      <c r="C32" s="4"/>
      <c r="D32" s="17"/>
      <c r="F32" s="65"/>
      <c r="G32" s="65"/>
    </row>
    <row r="33" spans="1:8" ht="19.5" customHeight="1" thickBot="1" x14ac:dyDescent="0.35">
      <c r="A33" s="62" t="s">
        <v>23</v>
      </c>
      <c r="B33" s="61" t="s">
        <v>68</v>
      </c>
      <c r="C33" s="12"/>
      <c r="D33" s="13"/>
      <c r="E33" s="64"/>
      <c r="F33" s="37" t="s">
        <v>29</v>
      </c>
      <c r="G33" s="6"/>
      <c r="H33" s="7"/>
    </row>
    <row r="34" spans="1:8" ht="19.5" customHeight="1" thickBot="1" x14ac:dyDescent="0.3">
      <c r="A34" s="39"/>
      <c r="B34" s="16" t="s">
        <v>69</v>
      </c>
      <c r="C34" s="4"/>
      <c r="D34" s="17"/>
      <c r="E34" s="52" t="s">
        <v>24</v>
      </c>
      <c r="F34" s="52"/>
      <c r="G34" s="45"/>
      <c r="H34" s="50">
        <f>SUM(H16:H30)</f>
        <v>2969420</v>
      </c>
    </row>
    <row r="35" spans="1:8" ht="19.5" customHeight="1" x14ac:dyDescent="0.25">
      <c r="A35" s="24" t="s">
        <v>25</v>
      </c>
      <c r="E35" s="53" t="s">
        <v>30</v>
      </c>
      <c r="F35" s="23"/>
      <c r="G35" s="54">
        <v>0.19</v>
      </c>
      <c r="H35" s="40">
        <f>H34*G35</f>
        <v>564189.80000000005</v>
      </c>
    </row>
    <row r="36" spans="1:8" ht="19.5" customHeight="1" x14ac:dyDescent="0.25">
      <c r="A36" s="14" t="s">
        <v>47</v>
      </c>
      <c r="E36" s="55" t="s">
        <v>26</v>
      </c>
      <c r="G36" s="58">
        <v>2.5000000000000001E-2</v>
      </c>
      <c r="H36" s="51">
        <f>H34*G36</f>
        <v>74235.5</v>
      </c>
    </row>
    <row r="37" spans="1:8" ht="15.75" x14ac:dyDescent="0.25">
      <c r="A37" s="14" t="s">
        <v>45</v>
      </c>
      <c r="E37" s="14"/>
      <c r="F37" s="33"/>
      <c r="G37" s="46"/>
      <c r="H37" s="15"/>
    </row>
    <row r="38" spans="1:8" ht="16.5" thickBot="1" x14ac:dyDescent="0.3">
      <c r="A38" s="14" t="s">
        <v>33</v>
      </c>
      <c r="E38" s="56" t="s">
        <v>27</v>
      </c>
      <c r="F38" s="57"/>
      <c r="G38" s="47"/>
      <c r="H38" s="17"/>
    </row>
    <row r="39" spans="1:8" ht="19.5" thickBot="1" x14ac:dyDescent="0.35">
      <c r="A39" s="60"/>
      <c r="B39" s="4"/>
      <c r="C39" s="4"/>
      <c r="D39" s="17"/>
      <c r="F39" s="3"/>
      <c r="G39" s="34" t="s">
        <v>28</v>
      </c>
      <c r="H39" s="36">
        <f>H34+H35-H36</f>
        <v>3459374.3</v>
      </c>
    </row>
    <row r="40" spans="1:8" ht="16.5" customHeight="1" x14ac:dyDescent="0.25"/>
    <row r="45" spans="1:8" ht="15.75" thickBot="1" x14ac:dyDescent="0.3"/>
    <row r="46" spans="1:8" ht="19.5" thickBot="1" x14ac:dyDescent="0.35">
      <c r="A46" s="25" t="s">
        <v>46</v>
      </c>
      <c r="B46" s="6"/>
      <c r="C46" s="6"/>
      <c r="D46" s="6"/>
      <c r="E46" s="6"/>
      <c r="F46" s="6"/>
      <c r="G46" s="6"/>
      <c r="H46" s="7"/>
    </row>
    <row r="54" spans="1:1" ht="18.75" x14ac:dyDescent="0.3">
      <c r="A54" s="5"/>
    </row>
  </sheetData>
  <pageMargins left="0.70866141732283472" right="0.70866141732283472" top="0.74803149606299213" bottom="0.74803149606299213" header="0.31496062992125984" footer="0.31496062992125984"/>
  <pageSetup scale="7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COSMO COMPAÑIA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2024-12-07T16:29:57Z</cp:lastPrinted>
  <dcterms:created xsi:type="dcterms:W3CDTF">2018-11-15T17:29:02Z</dcterms:created>
  <dcterms:modified xsi:type="dcterms:W3CDTF">2024-12-18T16:38:55Z</dcterms:modified>
</cp:coreProperties>
</file>