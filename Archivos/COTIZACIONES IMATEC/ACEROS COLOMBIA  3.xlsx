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EB18E734-90C6-4287-A8A1-A3944027FCB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CEROSCO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1" i="1" s="1"/>
  <c r="H22" i="1" l="1"/>
  <c r="H26" i="1" s="1"/>
</calcChain>
</file>

<file path=xl/sharedStrings.xml><?xml version="1.0" encoding="utf-8"?>
<sst xmlns="http://schemas.openxmlformats.org/spreadsheetml/2006/main" count="57" uniqueCount="57">
  <si>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</si>
  <si>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</si>
  <si>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</si>
  <si>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</si>
  <si>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</si>
  <si>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</si>
  <si>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</si>
  <si>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</si>
  <si>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</si>
  <si>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</si>
  <si>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</si>
  <si>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</si>
  <si>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</si>
  <si>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</si>
  <si>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</si>
  <si>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</si>
  <si>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</si>
  <si>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</si>
  <si>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</si>
  <si>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</si>
  <si>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</si>
  <si>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</si>
  <si>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</si>
  <si>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</si>
  <si>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</si>
  <si>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</si>
  <si>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</si>
  <si>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</si>
  <si>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</si>
  <si>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</si>
  <si>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</si>
  <si>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</si>
  <si>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</si>
  <si>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</si>
  <si>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</si>
  <si>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</si>
  <si>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</si>
  <si>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</si>
  <si>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</si>
  <si>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</si>
  <si>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</si>
  <si>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 xml:space="preserve">           C O T I Z A C I O N</t>
  </si>
  <si>
    <t>ACEROS COLOMBIA S.A.S.</t>
  </si>
  <si>
    <t>ACEROSCOL S.A.S.</t>
  </si>
  <si>
    <t>890 310500</t>
  </si>
  <si>
    <t>CALLE 52  No. 1N-97</t>
  </si>
  <si>
    <t>CALI</t>
  </si>
  <si>
    <t>aceroscol@aceroscol.com</t>
  </si>
  <si>
    <t>602 4463613</t>
  </si>
  <si>
    <t>LUIS A. BENAVIDES</t>
  </si>
  <si>
    <t>ACCESORIO</t>
  </si>
  <si>
    <t>No. 3</t>
  </si>
  <si>
    <t>TUBERIA  A / C SCH 40  1/2 "  S / C</t>
  </si>
  <si>
    <t>METRO LINEAL</t>
  </si>
  <si>
    <t>CODO  A / C  SCH 40  1 /2 "  X  90 º</t>
  </si>
  <si>
    <t>SESENTA Y CINCO MIL QUINIENTOS VEINTIUN PESOS</t>
  </si>
  <si>
    <t>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</si>
</sst>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4" fillId="0" borderId="3" xfId="0" applyFont="1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center"/>
    </xf>
    <xf numFmtId="0" fontId="0" fillId="0" borderId="32" xfId="0" applyBorder="1"/>
    <xf numFmtId="0" fontId="8" fillId="0" borderId="33" xfId="0" applyFont="1" applyBorder="1"/>
    <xf numFmtId="0" fontId="8" fillId="0" borderId="34" xfId="0" applyFont="1" applyBorder="1"/>
    <xf numFmtId="0" fontId="8" fillId="0" borderId="35" xfId="0" applyFont="1" applyBorder="1"/>
    <xf numFmtId="0" fontId="0" fillId="0" borderId="36" xfId="0" applyBorder="1"/>
    <xf numFmtId="42" fontId="11" fillId="0" borderId="30" xfId="1" applyFont="1" applyBorder="1" applyAlignment="1">
      <alignment horizontal="center"/>
    </xf>
    <xf numFmtId="0" fontId="0" fillId="0" borderId="31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31" xfId="0" applyFont="1" applyBorder="1" applyAlignment="1">
      <alignment horizontal="center"/>
    </xf>
    <xf numFmtId="0" fontId="8" fillId="0" borderId="37" xfId="0" applyFont="1" applyBorder="1"/>
    <xf numFmtId="0" fontId="8" fillId="0" borderId="0" xfId="0" applyFont="1"/>
    <xf numFmtId="0" fontId="8" fillId="0" borderId="38" xfId="0" applyFont="1" applyBorder="1"/>
    <xf numFmtId="42" fontId="11" fillId="0" borderId="31" xfId="1" applyFont="1" applyBorder="1" applyAlignment="1">
      <alignment horizontal="center"/>
    </xf>
    <xf numFmtId="42" fontId="1" fillId="0" borderId="0" xfId="1" applyFont="1" applyBorder="1" applyAlignment="1">
      <alignment horizontal="left"/>
    </xf>
    <xf numFmtId="0" fontId="1" fillId="0" borderId="14" xfId="0" applyFont="1" applyBorder="1" applyAlignment="1">
      <alignment horizontal="center"/>
    </xf>
    <xf numFmtId="0" fontId="8" fillId="0" borderId="39" xfId="0" applyFont="1" applyBorder="1"/>
    <xf numFmtId="0" fontId="8" fillId="0" borderId="13" xfId="0" applyFont="1" applyBorder="1"/>
    <xf numFmtId="0" fontId="8" fillId="0" borderId="40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ceroscol@acerosco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1"/>
  <sheetViews>
    <sheetView tabSelected="1" topLeftCell="A4" zoomScaleNormal="100" workbookViewId="0">
      <selection activeCell="H19" sqref="H19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39</v>
      </c>
    </row>
    <row r="3" spans="1:8" ht="27" thickBot="1" x14ac:dyDescent="0.45">
      <c r="A3" s="11" t="s">
        <v>40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41</v>
      </c>
      <c r="G6" s="43"/>
      <c r="H6" s="44"/>
    </row>
    <row r="7" spans="1:8" ht="19.5" thickBot="1" x14ac:dyDescent="0.35">
      <c r="A7" s="20" t="s">
        <v>14</v>
      </c>
      <c r="B7" s="12"/>
      <c r="C7" s="46" t="s">
        <v>42</v>
      </c>
      <c r="D7" s="6"/>
      <c r="E7" s="6"/>
      <c r="F7" s="37"/>
      <c r="G7" s="18"/>
      <c r="H7" s="19" t="s">
        <v>51</v>
      </c>
    </row>
    <row r="8" spans="1:8" ht="19.5" thickBot="1" x14ac:dyDescent="0.35">
      <c r="A8" s="21" t="s">
        <v>8</v>
      </c>
      <c r="C8" s="14" t="s">
        <v>44</v>
      </c>
      <c r="E8" s="15"/>
      <c r="H8" s="15"/>
    </row>
    <row r="9" spans="1:8" ht="18.75" customHeight="1" thickBot="1" x14ac:dyDescent="0.35">
      <c r="A9" s="21" t="s">
        <v>9</v>
      </c>
      <c r="C9" s="14" t="s">
        <v>45</v>
      </c>
      <c r="E9" s="72" t="s">
        <v>46</v>
      </c>
      <c r="F9" s="30" t="s">
        <v>0</v>
      </c>
      <c r="H9" s="28">
        <v>45582</v>
      </c>
    </row>
    <row r="10" spans="1:8" ht="18.75" x14ac:dyDescent="0.3">
      <c r="A10" s="21" t="s">
        <v>13</v>
      </c>
      <c r="C10" s="50" t="s">
        <v>47</v>
      </c>
      <c r="E10" s="15"/>
      <c r="F10" s="30" t="s">
        <v>15</v>
      </c>
      <c r="H10" s="29" t="s">
        <v>32</v>
      </c>
    </row>
    <row r="11" spans="1:8" ht="18.75" x14ac:dyDescent="0.3">
      <c r="A11" s="21" t="s">
        <v>10</v>
      </c>
      <c r="C11" s="14" t="s">
        <v>43</v>
      </c>
      <c r="E11" s="15"/>
      <c r="F11" s="30" t="s">
        <v>16</v>
      </c>
      <c r="G11" s="30"/>
      <c r="H11" s="28">
        <v>45591</v>
      </c>
    </row>
    <row r="12" spans="1:8" ht="18.75" x14ac:dyDescent="0.3">
      <c r="A12" s="21" t="s">
        <v>11</v>
      </c>
      <c r="C12" s="14" t="s">
        <v>48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49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51" t="s">
        <v>37</v>
      </c>
      <c r="B15" s="24" t="s">
        <v>22</v>
      </c>
      <c r="C15" s="43"/>
      <c r="D15" s="13"/>
      <c r="E15" s="51" t="s">
        <v>18</v>
      </c>
      <c r="F15" s="51" t="s">
        <v>20</v>
      </c>
      <c r="G15" s="51" t="s">
        <v>19</v>
      </c>
      <c r="H15" s="32" t="s">
        <v>21</v>
      </c>
    </row>
    <row r="16" spans="1:8" ht="16.5" thickBot="1" x14ac:dyDescent="0.3">
      <c r="A16" s="53">
        <v>1</v>
      </c>
      <c r="B16" s="55" t="s">
        <v>52</v>
      </c>
      <c r="C16" s="56"/>
      <c r="D16" s="57"/>
      <c r="E16" s="53" t="s">
        <v>53</v>
      </c>
      <c r="F16" s="59">
        <v>9200</v>
      </c>
      <c r="G16" s="53">
        <v>5.8</v>
      </c>
      <c r="H16" s="38">
        <f t="shared" ref="H16" si="0">G16*F16</f>
        <v>53360</v>
      </c>
    </row>
    <row r="17" spans="1:8" ht="16.5" thickBot="1" x14ac:dyDescent="0.3">
      <c r="A17" s="79">
        <v>2</v>
      </c>
      <c r="B17" s="80" t="s">
        <v>54</v>
      </c>
      <c r="C17" s="81"/>
      <c r="D17" s="82"/>
      <c r="E17" s="79" t="s">
        <v>50</v>
      </c>
      <c r="F17" s="83">
        <v>1700</v>
      </c>
      <c r="G17" s="79">
        <v>1</v>
      </c>
      <c r="H17" s="38">
        <f t="shared" ref="H17" si="1">G17*F17</f>
        <v>1700</v>
      </c>
    </row>
    <row r="18" spans="1:8" ht="15.75" x14ac:dyDescent="0.25">
      <c r="A18" s="73"/>
      <c r="B18" s="74"/>
      <c r="C18" s="75"/>
      <c r="D18" s="76"/>
      <c r="E18" s="73"/>
      <c r="F18" s="77"/>
      <c r="G18" s="73"/>
      <c r="H18" s="78"/>
    </row>
    <row r="19" spans="1:8" ht="19.5" customHeight="1" thickBot="1" x14ac:dyDescent="0.3">
      <c r="A19" s="54"/>
      <c r="B19" s="45"/>
      <c r="C19" s="42"/>
      <c r="D19" s="58"/>
      <c r="E19" s="60"/>
      <c r="F19" s="60"/>
      <c r="G19" s="60"/>
    </row>
    <row r="20" spans="1:8" ht="19.5" customHeight="1" thickBot="1" x14ac:dyDescent="0.35">
      <c r="A20" s="52" t="s">
        <v>23</v>
      </c>
      <c r="B20" s="14" t="s">
        <v>55</v>
      </c>
      <c r="D20" s="15"/>
      <c r="E20" s="61"/>
      <c r="F20" s="37" t="s">
        <v>29</v>
      </c>
      <c r="G20" s="6"/>
      <c r="H20" s="7"/>
    </row>
    <row r="21" spans="1:8" ht="19.5" customHeight="1" thickBot="1" x14ac:dyDescent="0.3">
      <c r="A21" s="39"/>
      <c r="B21" s="16" t="s">
        <v>56</v>
      </c>
      <c r="C21" s="4"/>
      <c r="D21" s="4"/>
      <c r="E21" s="64" t="s">
        <v>24</v>
      </c>
      <c r="F21" s="65"/>
      <c r="G21" s="47"/>
      <c r="H21" s="62">
        <f>SUM(H16:H20)</f>
        <v>55060</v>
      </c>
    </row>
    <row r="22" spans="1:8" ht="19.5" customHeight="1" x14ac:dyDescent="0.25">
      <c r="A22" s="24" t="s">
        <v>25</v>
      </c>
      <c r="B22" s="12"/>
      <c r="C22" s="12"/>
      <c r="D22" s="12"/>
      <c r="E22" s="66" t="s">
        <v>30</v>
      </c>
      <c r="F22" s="23"/>
      <c r="G22" s="67">
        <v>0.19</v>
      </c>
      <c r="H22" s="40">
        <f>H21*G22</f>
        <v>10461.4</v>
      </c>
    </row>
    <row r="23" spans="1:8" ht="19.5" customHeight="1" x14ac:dyDescent="0.25">
      <c r="A23" s="14" t="s">
        <v>31</v>
      </c>
      <c r="E23" s="68" t="s">
        <v>26</v>
      </c>
      <c r="G23" s="71">
        <v>2.5000000000000001E-2</v>
      </c>
      <c r="H23" s="63"/>
    </row>
    <row r="24" spans="1:8" ht="15.75" x14ac:dyDescent="0.25">
      <c r="A24" s="14" t="s">
        <v>38</v>
      </c>
      <c r="E24" s="14"/>
      <c r="F24" s="33"/>
      <c r="G24" s="48"/>
      <c r="H24" s="15"/>
    </row>
    <row r="25" spans="1:8" ht="16.5" thickBot="1" x14ac:dyDescent="0.3">
      <c r="A25" s="14" t="s">
        <v>34</v>
      </c>
      <c r="E25" s="69" t="s">
        <v>27</v>
      </c>
      <c r="F25" s="70"/>
      <c r="G25" s="49"/>
      <c r="H25" s="17"/>
    </row>
    <row r="26" spans="1:8" ht="19.5" thickBot="1" x14ac:dyDescent="0.35">
      <c r="A26" s="16"/>
      <c r="B26" s="4"/>
      <c r="C26" s="4"/>
      <c r="D26" s="17"/>
      <c r="F26" s="3"/>
      <c r="G26" s="34" t="s">
        <v>28</v>
      </c>
      <c r="H26" s="36">
        <f>H21+H22-H23</f>
        <v>65521.4</v>
      </c>
    </row>
    <row r="27" spans="1:8" ht="16.5" customHeight="1" x14ac:dyDescent="0.25"/>
    <row r="32" spans="1:8" ht="15.75" thickBot="1" x14ac:dyDescent="0.3"/>
    <row r="33" spans="1:8" ht="19.5" thickBot="1" x14ac:dyDescent="0.35">
      <c r="A33" s="25" t="s">
        <v>35</v>
      </c>
      <c r="B33" s="6"/>
      <c r="C33" s="6"/>
      <c r="D33" s="6"/>
      <c r="E33" s="6"/>
      <c r="F33" s="6"/>
      <c r="G33" s="6"/>
      <c r="H33" s="7"/>
    </row>
    <row r="41" spans="1:8" ht="18.75" x14ac:dyDescent="0.3">
      <c r="A41" s="5"/>
    </row>
  </sheetData>
  <hyperlinks>
    <hyperlink ref="C10" r:id="rId1" xr:uid="{D7D38D1E-D192-46D4-A812-33D9E4872D70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ACEROSCOL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2024-10-17T21:18:07Z</dcterms:modified>
</cp:coreProperties>
</file>