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0F082685-AA30-4503-87BD-A5B411FFB10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ETENES INDUSTRIA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24" i="1" s="1"/>
  <c r="H25" i="1"/>
  <c r="H28" i="1" l="1"/>
</calcChain>
</file>

<file path=xl/sharedStrings.xml><?xml version="1.0" encoding="utf-8"?>
<sst xmlns="http://schemas.openxmlformats.org/spreadsheetml/2006/main" count="50" uniqueCount="50">
  <si>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</si>
  <si>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</si>
  <si>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</si>
  <si>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</si>
  <si>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</si>
  <si>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</si>
  <si>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</si>
  <si>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</si>
  <si>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</si>
  <si>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</si>
  <si>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</si>
  <si>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</si>
  <si>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</si>
  <si>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</si>
  <si>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</si>
  <si>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</si>
  <si>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</si>
  <si>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10 DIAS</t>
  </si>
  <si>
    <t>VENCE</t>
  </si>
  <si>
    <t>ORDEN No.</t>
  </si>
  <si>
    <t xml:space="preserve">             INGENIERIA , MONTAJES  Y  ASISTENCIA  TECNICA  S A S</t>
  </si>
  <si>
    <t xml:space="preserve">                   JAVIER LOZANO TAMAYO C.C. 16´654.252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</si>
  <si>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</si>
  <si>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</si>
  <si>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</si>
  <si>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</si>
  <si>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</si>
  <si>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</si>
  <si>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</si>
  <si>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</si>
  <si>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</si>
  <si>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TOTAL</t>
  </si>
  <si>
    <t>L I Q U I D A C  I O N</t>
  </si>
  <si>
    <t>ITEM</t>
  </si>
  <si>
    <t>PAGO DE CONTADO</t>
  </si>
  <si>
    <t xml:space="preserve">MAS IVA </t>
  </si>
  <si>
    <t xml:space="preserve">  CALLE  33B  No. 17C - 70   2º  PISO               B/  LA FLORESTA             -   CALI    -                                  CEL.     321 7834969</t>
  </si>
  <si>
    <t>TUBERIA  A / C  SCH 40  1/2 "</t>
  </si>
  <si>
    <t>METRO LINEAL</t>
  </si>
  <si>
    <t>UN MILLON CIENTO TREINTA MIL NOVECIENTOS SETEN-</t>
  </si>
  <si>
    <t>TA Y SEIS PESOS MDA / CTE</t>
  </si>
  <si>
    <t>900 308952</t>
  </si>
  <si>
    <t>CRA 13 A  No. 22A-47</t>
  </si>
  <si>
    <t>CALI</t>
  </si>
  <si>
    <t>contabilidad@Rindustriales.com</t>
  </si>
  <si>
    <t>602 8835141</t>
  </si>
  <si>
    <t>EDINSON CABEZAS</t>
  </si>
  <si>
    <t>ENTREGA INMEDIATA</t>
  </si>
  <si>
    <t>RETENES INDUSTRIALES S.A.S.</t>
  </si>
  <si>
    <t xml:space="preserve">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</si>
</sst>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42" fontId="12" fillId="0" borderId="1" xfId="1" applyFont="1" applyBorder="1" applyAlignment="1">
      <alignment horizontal="center"/>
    </xf>
    <xf numFmtId="42" fontId="1" fillId="0" borderId="1" xfId="0" applyNumberFormat="1" applyFont="1" applyBorder="1"/>
    <xf numFmtId="0" fontId="5" fillId="0" borderId="7" xfId="0" applyFont="1" applyBorder="1"/>
    <xf numFmtId="0" fontId="4" fillId="0" borderId="13" xfId="0" applyFont="1" applyBorder="1"/>
    <xf numFmtId="0" fontId="4" fillId="0" borderId="16" xfId="0" applyFont="1" applyBorder="1"/>
    <xf numFmtId="0" fontId="5" fillId="0" borderId="18" xfId="0" applyFont="1" applyBorder="1"/>
    <xf numFmtId="42" fontId="1" fillId="0" borderId="17" xfId="0" applyNumberFormat="1" applyFont="1" applyBorder="1"/>
    <xf numFmtId="42" fontId="1" fillId="0" borderId="19" xfId="0" applyNumberFormat="1" applyFont="1" applyBorder="1"/>
    <xf numFmtId="0" fontId="0" fillId="0" borderId="18" xfId="0" applyBorder="1"/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42" fontId="1" fillId="0" borderId="23" xfId="1" applyFont="1" applyBorder="1" applyAlignment="1">
      <alignment horizontal="center"/>
    </xf>
    <xf numFmtId="0" fontId="13" fillId="0" borderId="14" xfId="2" applyBorder="1"/>
    <xf numFmtId="0" fontId="1" fillId="0" borderId="9" xfId="0" applyFont="1" applyBorder="1"/>
    <xf numFmtId="0" fontId="1" fillId="0" borderId="5" xfId="0" applyFont="1" applyBorder="1" applyAlignment="1">
      <alignment horizontal="center"/>
    </xf>
    <xf numFmtId="0" fontId="0" fillId="0" borderId="3" xfId="0" applyBorder="1"/>
    <xf numFmtId="0" fontId="0" fillId="0" borderId="25" xfId="0" applyBorder="1"/>
    <xf numFmtId="0" fontId="1" fillId="0" borderId="4" xfId="0" applyFont="1" applyBorder="1" applyAlignment="1">
      <alignment horizontal="center"/>
    </xf>
    <xf numFmtId="0" fontId="8" fillId="0" borderId="26" xfId="0" applyFont="1" applyBorder="1"/>
    <xf numFmtId="0" fontId="8" fillId="0" borderId="4" xfId="0" applyFont="1" applyBorder="1"/>
    <xf numFmtId="0" fontId="8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0" fontId="0" fillId="0" borderId="29" xfId="0" applyBorder="1"/>
    <xf numFmtId="0" fontId="4" fillId="0" borderId="9" xfId="0" applyFont="1" applyBorder="1"/>
    <xf numFmtId="9" fontId="1" fillId="0" borderId="30" xfId="0" applyNumberFormat="1" applyFont="1" applyBorder="1"/>
    <xf numFmtId="0" fontId="4" fillId="0" borderId="24" xfId="0" applyFont="1" applyBorder="1"/>
    <xf numFmtId="10" fontId="1" fillId="0" borderId="31" xfId="0" applyNumberFormat="1" applyFont="1" applyBorder="1"/>
    <xf numFmtId="0" fontId="0" fillId="0" borderId="32" xfId="0" applyBorder="1"/>
    <xf numFmtId="0" fontId="4" fillId="0" borderId="33" xfId="0" applyFont="1" applyBorder="1"/>
    <xf numFmtId="0" fontId="0" fillId="0" borderId="34" xfId="0" applyBorder="1"/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Rindustrial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3"/>
  <sheetViews>
    <sheetView tabSelected="1" zoomScaleNormal="100" workbookViewId="0">
      <selection activeCell="J16" sqref="J1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8" width="16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7" t="s">
        <v>8</v>
      </c>
      <c r="B4" s="6"/>
      <c r="C4" s="6"/>
      <c r="D4" s="28" t="s">
        <v>21</v>
      </c>
      <c r="E4" s="17"/>
      <c r="F4" s="18"/>
      <c r="G4" s="6"/>
      <c r="H4" s="7"/>
    </row>
    <row r="5" spans="1:8" ht="15.75" thickBot="1" x14ac:dyDescent="0.3"/>
    <row r="6" spans="1:8" ht="24.75" customHeight="1" thickBot="1" x14ac:dyDescent="0.45">
      <c r="F6" s="11" t="s">
        <v>49</v>
      </c>
      <c r="G6" s="17"/>
      <c r="H6" s="18"/>
    </row>
    <row r="7" spans="1:8" ht="19.5" thickBot="1" x14ac:dyDescent="0.35">
      <c r="A7" s="19" t="s">
        <v>15</v>
      </c>
      <c r="B7" s="13"/>
      <c r="C7" s="29" t="s">
        <v>48</v>
      </c>
      <c r="D7" s="13"/>
      <c r="E7" s="14"/>
      <c r="F7" s="26"/>
      <c r="G7" s="17"/>
      <c r="H7" s="18"/>
    </row>
    <row r="8" spans="1:8" ht="18.75" x14ac:dyDescent="0.3">
      <c r="A8" s="20" t="s">
        <v>9</v>
      </c>
      <c r="C8" s="23" t="s">
        <v>41</v>
      </c>
      <c r="D8" s="24"/>
      <c r="E8" s="24"/>
      <c r="F8" s="12"/>
      <c r="G8" s="13"/>
      <c r="H8" s="14"/>
    </row>
    <row r="9" spans="1:8" ht="18.75" customHeight="1" x14ac:dyDescent="0.3">
      <c r="A9" s="20" t="s">
        <v>10</v>
      </c>
      <c r="C9" s="22" t="s">
        <v>42</v>
      </c>
      <c r="D9" s="22"/>
      <c r="E9" s="23" t="s">
        <v>43</v>
      </c>
      <c r="F9" s="30" t="s">
        <v>0</v>
      </c>
      <c r="H9" s="31">
        <v>45524</v>
      </c>
    </row>
    <row r="10" spans="1:8" ht="18.75" x14ac:dyDescent="0.3">
      <c r="A10" s="20" t="s">
        <v>14</v>
      </c>
      <c r="C10" s="50" t="s">
        <v>44</v>
      </c>
      <c r="D10" s="24"/>
      <c r="E10" s="24"/>
      <c r="F10" s="30" t="s">
        <v>16</v>
      </c>
      <c r="H10" s="32" t="s">
        <v>17</v>
      </c>
    </row>
    <row r="11" spans="1:8" ht="18.75" x14ac:dyDescent="0.3">
      <c r="A11" s="20" t="s">
        <v>11</v>
      </c>
      <c r="C11" s="23"/>
      <c r="D11" s="24"/>
      <c r="E11" s="24"/>
      <c r="F11" s="30" t="s">
        <v>18</v>
      </c>
      <c r="G11" s="33"/>
      <c r="H11" s="31">
        <v>45534</v>
      </c>
    </row>
    <row r="12" spans="1:8" ht="18.75" x14ac:dyDescent="0.3">
      <c r="A12" s="20" t="s">
        <v>12</v>
      </c>
      <c r="C12" s="23" t="s">
        <v>45</v>
      </c>
      <c r="D12" s="24"/>
      <c r="E12" s="24"/>
      <c r="F12" s="30" t="s">
        <v>19</v>
      </c>
      <c r="H12" s="34"/>
    </row>
    <row r="13" spans="1:8" ht="18.75" customHeight="1" thickBot="1" x14ac:dyDescent="0.35">
      <c r="A13" s="21" t="s">
        <v>13</v>
      </c>
      <c r="B13" s="4"/>
      <c r="C13" s="23" t="s">
        <v>46</v>
      </c>
      <c r="D13" s="24"/>
      <c r="E13" s="24"/>
      <c r="F13" s="15"/>
      <c r="G13" s="4"/>
      <c r="H13" s="16"/>
    </row>
    <row r="15" spans="1:8" ht="15.75" thickBot="1" x14ac:dyDescent="0.3"/>
    <row r="16" spans="1:8" ht="15.75" thickBot="1" x14ac:dyDescent="0.3">
      <c r="A16" s="35" t="s">
        <v>33</v>
      </c>
      <c r="B16" s="53" t="s">
        <v>26</v>
      </c>
      <c r="C16" s="17"/>
      <c r="D16" s="54"/>
      <c r="E16" s="46" t="s">
        <v>22</v>
      </c>
      <c r="F16" s="47" t="s">
        <v>24</v>
      </c>
      <c r="G16" s="47" t="s">
        <v>23</v>
      </c>
      <c r="H16" s="48" t="s">
        <v>25</v>
      </c>
    </row>
    <row r="17" spans="1:10" ht="16.5" thickBot="1" x14ac:dyDescent="0.3">
      <c r="A17" s="55">
        <v>1</v>
      </c>
      <c r="B17" s="56" t="s">
        <v>37</v>
      </c>
      <c r="C17" s="57"/>
      <c r="D17" s="58"/>
      <c r="E17" s="52" t="s">
        <v>38</v>
      </c>
      <c r="F17" s="37">
        <v>13200</v>
      </c>
      <c r="G17" s="35">
        <v>72</v>
      </c>
      <c r="H17" s="49">
        <f>F17*G17</f>
        <v>950400</v>
      </c>
      <c r="I17" s="36"/>
      <c r="J17" s="36"/>
    </row>
    <row r="19" spans="1:10" x14ac:dyDescent="0.25">
      <c r="I19" s="36"/>
      <c r="J19" s="36"/>
    </row>
    <row r="20" spans="1:10" ht="19.5" customHeight="1" x14ac:dyDescent="0.25"/>
    <row r="21" spans="1:10" ht="19.5" customHeight="1" x14ac:dyDescent="0.25"/>
    <row r="22" spans="1:10" ht="19.5" customHeight="1" thickBot="1" x14ac:dyDescent="0.3"/>
    <row r="23" spans="1:10" ht="19.5" customHeight="1" thickBot="1" x14ac:dyDescent="0.35">
      <c r="A23" s="69" t="s">
        <v>27</v>
      </c>
      <c r="B23" s="12" t="s">
        <v>39</v>
      </c>
      <c r="C23" s="13"/>
      <c r="D23" s="14"/>
      <c r="E23" s="13"/>
      <c r="F23" s="39" t="s">
        <v>32</v>
      </c>
      <c r="G23" s="13"/>
      <c r="H23" s="7"/>
    </row>
    <row r="24" spans="1:10" ht="19.5" customHeight="1" thickBot="1" x14ac:dyDescent="0.3">
      <c r="A24" s="70"/>
      <c r="B24" s="15" t="s">
        <v>40</v>
      </c>
      <c r="C24" s="4"/>
      <c r="D24" s="4"/>
      <c r="E24" s="59" t="s">
        <v>28</v>
      </c>
      <c r="F24" s="60"/>
      <c r="G24" s="61"/>
      <c r="H24" s="43">
        <f>SUM(H17:H17)</f>
        <v>950400</v>
      </c>
    </row>
    <row r="25" spans="1:10" ht="19.5" customHeight="1" x14ac:dyDescent="0.25">
      <c r="A25" s="25" t="s">
        <v>29</v>
      </c>
      <c r="B25" s="13"/>
      <c r="C25" s="13"/>
      <c r="D25" s="13"/>
      <c r="E25" s="62" t="s">
        <v>35</v>
      </c>
      <c r="F25" s="41"/>
      <c r="G25" s="63">
        <v>0.19</v>
      </c>
      <c r="H25" s="44">
        <f>H24*G25</f>
        <v>180576</v>
      </c>
    </row>
    <row r="26" spans="1:10" ht="15.75" x14ac:dyDescent="0.25">
      <c r="A26" s="51" t="s">
        <v>34</v>
      </c>
      <c r="E26" s="64" t="s">
        <v>30</v>
      </c>
      <c r="F26" s="40"/>
      <c r="G26" s="65">
        <v>2.5000000000000001E-2</v>
      </c>
      <c r="H26" s="44"/>
    </row>
    <row r="27" spans="1:10" ht="16.5" thickBot="1" x14ac:dyDescent="0.3">
      <c r="A27" s="51" t="s">
        <v>47</v>
      </c>
      <c r="E27" s="66"/>
      <c r="F27" s="67"/>
      <c r="G27" s="68"/>
      <c r="H27" s="45"/>
    </row>
    <row r="28" spans="1:10" ht="19.5" thickBot="1" x14ac:dyDescent="0.35">
      <c r="A28" s="15"/>
      <c r="B28" s="4"/>
      <c r="C28" s="4"/>
      <c r="D28" s="16"/>
      <c r="F28" s="3"/>
      <c r="G28" s="42" t="s">
        <v>31</v>
      </c>
      <c r="H28" s="38">
        <f>H24+H25-H26</f>
        <v>1130976</v>
      </c>
    </row>
    <row r="29" spans="1:10" ht="16.5" customHeight="1" x14ac:dyDescent="0.25"/>
    <row r="31" spans="1:10" x14ac:dyDescent="0.25">
      <c r="A31" t="s">
        <v>1</v>
      </c>
    </row>
    <row r="33" spans="1:8" ht="15.75" thickBot="1" x14ac:dyDescent="0.3"/>
    <row r="34" spans="1:8" ht="19.5" thickBot="1" x14ac:dyDescent="0.35">
      <c r="A34" s="26" t="s">
        <v>36</v>
      </c>
      <c r="B34" s="6"/>
      <c r="C34" s="6"/>
      <c r="D34" s="6"/>
      <c r="E34" s="6"/>
      <c r="F34" s="6"/>
      <c r="G34" s="6"/>
      <c r="H34" s="7"/>
    </row>
    <row r="43" spans="1:8" ht="18.75" x14ac:dyDescent="0.3">
      <c r="A43" s="5"/>
    </row>
  </sheetData>
  <mergeCells count="1">
    <mergeCell ref="A23:A24"/>
  </mergeCells>
  <hyperlinks>
    <hyperlink ref="C10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RETENES INDUSTRIALES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2024-08-21T19:33:42Z</cp:lastPrinted>
  <dcterms:created xsi:type="dcterms:W3CDTF">2018-11-15T17:29:02Z</dcterms:created>
  <dcterms:modified xsi:type="dcterms:W3CDTF">2024-08-21T19:35:09Z</dcterms:modified>
</cp:coreProperties>
</file>