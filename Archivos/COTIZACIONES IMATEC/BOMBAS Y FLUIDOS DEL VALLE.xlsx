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8D886A8C-125B-49F7-BF49-422D03E9DD7F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BOMBAS Y FLUIDOS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22" i="1" l="1"/>
  <c r="H23" i="1" l="1"/>
  <c r="H27" i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<sst xmlns="http://schemas.openxmlformats.org/spreadsheetml/2006/main" count="52" uniqueCount="52">
  <si>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</si>
  <si>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</si>
  <si>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</si>
  <si>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</si>
  <si>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</si>
  <si>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</si>
  <si>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</si>
  <si>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</si>
  <si>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</si>
  <si>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</si>
  <si>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</si>
  <si>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</si>
  <si>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</si>
  <si>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</si>
  <si>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</si>
  <si>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</si>
  <si>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</si>
  <si>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</si>
  <si>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</si>
  <si>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</si>
  <si>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</si>
  <si>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</si>
  <si>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</si>
  <si>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</si>
  <si>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</si>
  <si>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</si>
  <si>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</si>
  <si>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</si>
  <si>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</si>
  <si>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</si>
  <si>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</si>
  <si>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</si>
  <si>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</si>
  <si>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</si>
  <si>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</si>
  <si>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</si>
  <si>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</si>
  <si>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</si>
  <si>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CALI</t>
  </si>
  <si>
    <t>ITEM</t>
  </si>
  <si>
    <t>METRO LINEAL</t>
  </si>
  <si>
    <t>ACCESORIO</t>
  </si>
  <si>
    <t>BOMBAS Y FLUIDOS DEL VALLE</t>
  </si>
  <si>
    <t>ENRIQUE ALBERTO MONTUFAR MONTILLA</t>
  </si>
  <si>
    <t>CALLE 11  No. 43-07</t>
  </si>
  <si>
    <t>bombasyfluidos@hotmail.com</t>
  </si>
  <si>
    <t>300 5561756</t>
  </si>
  <si>
    <t>CONTACTOS   310 8306118       319 7174165          321 7834969</t>
  </si>
  <si>
    <t>TUBERIA AC/INOX 304 SANITARIA  1 1/2 "</t>
  </si>
  <si>
    <t>ABRAZADERA  AC/INOX 304 SANITARIA  1 1/2 "</t>
  </si>
  <si>
    <t>CIENTO NOVENTA Y DOS MIL SETECIENTOS OCHENTA PESOS MDA / CTE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</si>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</sst>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1" xfId="0" applyFont="1" applyBorder="1"/>
    <xf numFmtId="42" fontId="1" fillId="0" borderId="22" xfId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8" fillId="0" borderId="23" xfId="0" applyFont="1" applyBorder="1"/>
    <xf numFmtId="0" fontId="8" fillId="0" borderId="24" xfId="0" applyFont="1" applyBorder="1"/>
    <xf numFmtId="0" fontId="0" fillId="0" borderId="25" xfId="0" applyBorder="1"/>
    <xf numFmtId="0" fontId="8" fillId="0" borderId="0" xfId="0" applyFont="1"/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mbasyfluido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7"/>
  <sheetViews>
    <sheetView tabSelected="1" topLeftCell="A11" zoomScale="98" zoomScaleNormal="98" workbookViewId="0">
      <selection activeCell="D14" sqref="D14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7" t="s">
        <v>32</v>
      </c>
    </row>
    <row r="3" spans="1:8" ht="27" thickBot="1" x14ac:dyDescent="0.45">
      <c r="A3" s="10" t="s">
        <v>19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36</v>
      </c>
      <c r="E4" s="18"/>
      <c r="F4" s="19"/>
      <c r="G4" s="5"/>
      <c r="H4" s="6"/>
    </row>
    <row r="5" spans="1:8" ht="19.5" thickBot="1" x14ac:dyDescent="0.35">
      <c r="A5" s="55" t="s">
        <v>47</v>
      </c>
      <c r="B5" s="5"/>
      <c r="C5" s="5"/>
      <c r="D5" s="5"/>
      <c r="E5" s="5"/>
    </row>
    <row r="6" spans="1:8" ht="24.75" customHeight="1" thickBot="1" x14ac:dyDescent="0.45">
      <c r="F6" s="10" t="s">
        <v>18</v>
      </c>
      <c r="G6" s="18"/>
      <c r="H6" s="19"/>
    </row>
    <row r="7" spans="1:8" ht="19.5" thickBot="1" x14ac:dyDescent="0.35">
      <c r="A7" s="20" t="s">
        <v>14</v>
      </c>
      <c r="B7" s="12"/>
      <c r="C7" s="29" t="s">
        <v>43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>
        <v>12957381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44</v>
      </c>
      <c r="D9" s="23"/>
      <c r="E9" s="24" t="s">
        <v>38</v>
      </c>
      <c r="F9" s="30" t="s">
        <v>0</v>
      </c>
      <c r="H9" s="31">
        <v>45469</v>
      </c>
    </row>
    <row r="10" spans="1:8" ht="18.75" x14ac:dyDescent="0.3">
      <c r="A10" s="21" t="s">
        <v>13</v>
      </c>
      <c r="C10" s="48" t="s">
        <v>45</v>
      </c>
      <c r="D10" s="25"/>
      <c r="E10" s="25"/>
      <c r="F10" s="30" t="s">
        <v>15</v>
      </c>
      <c r="H10" s="32" t="s">
        <v>35</v>
      </c>
    </row>
    <row r="11" spans="1:8" ht="18.75" x14ac:dyDescent="0.3">
      <c r="A11" s="21" t="s">
        <v>10</v>
      </c>
      <c r="C11" s="24" t="s">
        <v>42</v>
      </c>
      <c r="D11" s="25"/>
      <c r="E11" s="25"/>
      <c r="F11" s="30" t="s">
        <v>16</v>
      </c>
      <c r="G11" s="33"/>
      <c r="H11" s="31">
        <v>45479</v>
      </c>
    </row>
    <row r="12" spans="1:8" ht="18.75" x14ac:dyDescent="0.3">
      <c r="A12" s="21" t="s">
        <v>11</v>
      </c>
      <c r="C12" s="24" t="s">
        <v>46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51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35" t="s">
        <v>39</v>
      </c>
      <c r="B17" s="59" t="s">
        <v>24</v>
      </c>
      <c r="C17" s="60"/>
      <c r="D17" s="13"/>
      <c r="E17" s="35" t="s">
        <v>20</v>
      </c>
      <c r="F17" s="35" t="s">
        <v>22</v>
      </c>
      <c r="G17" s="35" t="s">
        <v>21</v>
      </c>
      <c r="H17" s="35" t="s">
        <v>23</v>
      </c>
    </row>
    <row r="18" spans="1:10" ht="16.5" thickBot="1" x14ac:dyDescent="0.3">
      <c r="A18" s="52">
        <v>1</v>
      </c>
      <c r="B18" s="61" t="s">
        <v>48</v>
      </c>
      <c r="C18" s="62"/>
      <c r="D18" s="63"/>
      <c r="E18" s="52" t="s">
        <v>40</v>
      </c>
      <c r="F18" s="54">
        <v>39600</v>
      </c>
      <c r="G18" s="52">
        <v>2</v>
      </c>
      <c r="H18" s="57">
        <f t="shared" ref="H18:H19" si="0">G18*F18</f>
        <v>79200</v>
      </c>
    </row>
    <row r="19" spans="1:10" ht="16.5" thickBot="1" x14ac:dyDescent="0.3">
      <c r="A19" s="52">
        <v>2</v>
      </c>
      <c r="B19" s="38" t="s">
        <v>49</v>
      </c>
      <c r="C19" s="64"/>
      <c r="D19" s="37"/>
      <c r="E19" s="52" t="s">
        <v>41</v>
      </c>
      <c r="F19" s="53">
        <v>13800</v>
      </c>
      <c r="G19" s="52">
        <v>6</v>
      </c>
      <c r="H19" s="57">
        <f t="shared" si="0"/>
        <v>82800</v>
      </c>
      <c r="I19" s="36"/>
      <c r="J19" s="36"/>
    </row>
    <row r="20" spans="1:10" ht="15.75" thickBot="1" x14ac:dyDescent="0.3"/>
    <row r="21" spans="1:10" ht="19.5" thickBot="1" x14ac:dyDescent="0.35">
      <c r="A21" s="65" t="s">
        <v>25</v>
      </c>
      <c r="B21" s="11" t="s">
        <v>50</v>
      </c>
      <c r="C21" s="12"/>
      <c r="D21" s="13"/>
      <c r="E21" s="12"/>
      <c r="F21" s="39" t="s">
        <v>31</v>
      </c>
      <c r="G21" s="12"/>
      <c r="H21" s="6"/>
    </row>
    <row r="22" spans="1:10" ht="16.5" thickBot="1" x14ac:dyDescent="0.3">
      <c r="A22" s="66"/>
      <c r="B22" s="16"/>
      <c r="C22" s="4"/>
      <c r="D22" s="4"/>
      <c r="E22" s="40" t="s">
        <v>26</v>
      </c>
      <c r="F22" s="41"/>
      <c r="G22" s="25"/>
      <c r="H22" s="49">
        <f>SUM(H18:H19)</f>
        <v>162000</v>
      </c>
    </row>
    <row r="23" spans="1:10" ht="16.5" thickBot="1" x14ac:dyDescent="0.3">
      <c r="A23" s="58" t="s">
        <v>27</v>
      </c>
      <c r="B23" s="12"/>
      <c r="C23" s="12"/>
      <c r="D23" s="13"/>
      <c r="E23" s="3" t="s">
        <v>33</v>
      </c>
      <c r="F23" s="56"/>
      <c r="G23" s="43">
        <v>0.19</v>
      </c>
      <c r="H23" s="50">
        <f>H22*G23</f>
        <v>30780</v>
      </c>
    </row>
    <row r="24" spans="1:10" ht="16.5" thickTop="1" x14ac:dyDescent="0.25">
      <c r="A24" s="14" t="s">
        <v>34</v>
      </c>
      <c r="D24" s="15"/>
      <c r="E24" s="41" t="s">
        <v>28</v>
      </c>
      <c r="G24">
        <v>0</v>
      </c>
      <c r="H24" s="44"/>
    </row>
    <row r="25" spans="1:10" ht="15.75" x14ac:dyDescent="0.25">
      <c r="A25" s="14" t="s">
        <v>37</v>
      </c>
      <c r="D25" s="15"/>
      <c r="F25" s="41"/>
      <c r="G25" s="25"/>
      <c r="H25" s="45"/>
    </row>
    <row r="26" spans="1:10" ht="16.5" thickBot="1" x14ac:dyDescent="0.3">
      <c r="D26" s="15"/>
      <c r="E26" s="41" t="s">
        <v>29</v>
      </c>
      <c r="F26" s="41"/>
      <c r="G26" s="25"/>
      <c r="H26" s="46"/>
    </row>
    <row r="27" spans="1:10" ht="19.5" thickBot="1" x14ac:dyDescent="0.35">
      <c r="A27" s="16"/>
      <c r="B27" s="4"/>
      <c r="C27" s="4"/>
      <c r="D27" s="17"/>
      <c r="F27" s="3"/>
      <c r="G27" s="42" t="s">
        <v>30</v>
      </c>
      <c r="H27" s="51">
        <f>H22+H23</f>
        <v>192780</v>
      </c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BOMBAS Y FLUIDOS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2024-05-22T22:27:19Z</cp:lastPrinted>
  <dcterms:created xsi:type="dcterms:W3CDTF">2018-11-15T17:29:02Z</dcterms:created>
  <dcterms:modified xsi:type="dcterms:W3CDTF">2024-06-26T14:31:57Z</dcterms:modified>
</cp:coreProperties>
</file>