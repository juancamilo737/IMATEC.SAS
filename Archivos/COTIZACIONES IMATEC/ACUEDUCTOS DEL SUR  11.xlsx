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2D58D60-7ED1-4E57-9A3E-2295AB3088E9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UASU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<sst xmlns="http://schemas.openxmlformats.org/spreadsheetml/2006/main" count="54" uniqueCount="54">
  <si>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</si>
  <si>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</si>
  <si>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</si>
  <si>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</si>
  <si>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</si>
  <si>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</si>
  <si>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</si>
  <si>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</si>
  <si>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</si>
  <si>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</si>
  <si>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</si>
  <si>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</si>
  <si>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</si>
  <si>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</si>
  <si>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</si>
  <si>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</si>
  <si>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</si>
  <si>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</si>
  <si>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</si>
  <si>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</si>
  <si>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</si>
  <si>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</si>
  <si>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</si>
  <si>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</si>
  <si>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</si>
  <si>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</si>
  <si>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</si>
  <si>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</si>
  <si>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</si>
  <si>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</si>
  <si>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</si>
  <si>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</si>
  <si>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</si>
  <si>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</si>
  <si>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</si>
  <si>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ACUEDUCTOS DEL SUR SAS ESP</t>
  </si>
  <si>
    <t>900 054411</t>
  </si>
  <si>
    <t xml:space="preserve">KMT 21 VIA CALI-JAMUNDI </t>
  </si>
  <si>
    <t>JAMUNDI</t>
  </si>
  <si>
    <t>acsur@hotmail.com</t>
  </si>
  <si>
    <t>602 5599110</t>
  </si>
  <si>
    <t>EDINSON CABEZAS</t>
  </si>
  <si>
    <t>ENTREGA EN DOS DIAS POSTERIOR A ORDEN DE COMPRA</t>
  </si>
  <si>
    <t xml:space="preserve">  CALLE  33A  No. 17F - 56                          B/  LA FLORESTA             -   CALI    -                                   CEL.     321 7834969</t>
  </si>
  <si>
    <t>L I Q U I D A C I O N</t>
  </si>
  <si>
    <t>FORMA DE PAGO : CREDITO A 30 DIAS</t>
  </si>
  <si>
    <t>ORDEN DE COMPRA No.</t>
  </si>
  <si>
    <t>No. 11</t>
  </si>
  <si>
    <t xml:space="preserve">           C O T I Z A C I O N</t>
  </si>
  <si>
    <t>10 DIAS</t>
  </si>
  <si>
    <t>TUBO</t>
  </si>
  <si>
    <t>TUBERIA PVC SANITARIA NOVAFORM 10 " X 6 MTS</t>
  </si>
  <si>
    <t>CATORCE MILLONES SEISCIENTOS SESENTA Y SEIS MIL</t>
  </si>
  <si>
    <t>SETECIENTOS SESENTA Y OCHO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</si>
</sst>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22" xfId="0" applyBorder="1"/>
    <xf numFmtId="0" fontId="0" fillId="0" borderId="13" xfId="0" applyBorder="1"/>
    <xf numFmtId="0" fontId="0" fillId="0" borderId="29" xfId="0" applyBorder="1"/>
    <xf numFmtId="0" fontId="0" fillId="0" borderId="21" xfId="0" applyBorder="1"/>
    <xf numFmtId="0" fontId="13" fillId="0" borderId="22" xfId="2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0" fontId="0" fillId="0" borderId="19" xfId="0" applyBorder="1"/>
    <xf numFmtId="0" fontId="5" fillId="0" borderId="5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28" xfId="0" applyBorder="1"/>
    <xf numFmtId="0" fontId="0" fillId="0" borderId="6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  <xf numFmtId="0" fontId="1" fillId="0" borderId="35" xfId="0" applyFont="1" applyBorder="1" applyAlignment="1">
      <alignment horizontal="center"/>
    </xf>
    <xf numFmtId="0" fontId="10" fillId="0" borderId="12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sur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7" zoomScaleNormal="100" workbookViewId="0">
      <selection activeCell="I21" sqref="I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35</v>
      </c>
      <c r="D7" s="12"/>
      <c r="E7" s="13"/>
      <c r="F7" s="37"/>
      <c r="G7" s="18"/>
      <c r="H7" s="69" t="s">
        <v>47</v>
      </c>
    </row>
    <row r="8" spans="1:8" ht="18.75" x14ac:dyDescent="0.3">
      <c r="A8" s="21" t="s">
        <v>8</v>
      </c>
      <c r="C8" s="67" t="s">
        <v>36</v>
      </c>
      <c r="D8" s="68"/>
      <c r="E8" s="44"/>
      <c r="H8" s="15"/>
    </row>
    <row r="9" spans="1:8" ht="18.75" customHeight="1" x14ac:dyDescent="0.3">
      <c r="A9" s="21" t="s">
        <v>9</v>
      </c>
      <c r="C9" s="62" t="s">
        <v>37</v>
      </c>
      <c r="D9" s="23"/>
      <c r="E9" s="63" t="s">
        <v>38</v>
      </c>
      <c r="F9" s="30" t="s">
        <v>0</v>
      </c>
      <c r="H9" s="28">
        <v>45792</v>
      </c>
    </row>
    <row r="10" spans="1:8" ht="18.75" x14ac:dyDescent="0.3">
      <c r="A10" s="21" t="s">
        <v>13</v>
      </c>
      <c r="C10" s="64" t="s">
        <v>39</v>
      </c>
      <c r="D10" s="61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0"/>
      <c r="D11" s="61"/>
      <c r="E11" s="45"/>
      <c r="F11" s="30" t="s">
        <v>16</v>
      </c>
      <c r="G11" s="30"/>
      <c r="H11" s="28">
        <v>45801</v>
      </c>
    </row>
    <row r="12" spans="1:8" ht="18.75" x14ac:dyDescent="0.3">
      <c r="A12" s="21" t="s">
        <v>11</v>
      </c>
      <c r="C12" s="60" t="s">
        <v>40</v>
      </c>
      <c r="D12" s="61"/>
      <c r="E12" s="45"/>
      <c r="F12" s="30" t="s">
        <v>46</v>
      </c>
      <c r="H12" s="31"/>
    </row>
    <row r="13" spans="1:8" ht="18.75" customHeight="1" thickBot="1" x14ac:dyDescent="0.35">
      <c r="A13" s="22" t="s">
        <v>12</v>
      </c>
      <c r="B13" s="4"/>
      <c r="C13" s="65" t="s">
        <v>41</v>
      </c>
      <c r="D13" s="66"/>
      <c r="E13" s="46"/>
      <c r="F13" s="4"/>
      <c r="G13" s="4"/>
      <c r="H13" s="81"/>
    </row>
    <row r="14" spans="1:8" ht="15.75" thickBot="1" x14ac:dyDescent="0.3"/>
    <row r="15" spans="1:8" ht="15.75" thickBot="1" x14ac:dyDescent="0.3">
      <c r="A15" s="32" t="s">
        <v>32</v>
      </c>
      <c r="B15" s="79" t="s">
        <v>21</v>
      </c>
      <c r="C15" s="18"/>
      <c r="D15" s="7"/>
      <c r="E15" s="32" t="s">
        <v>17</v>
      </c>
      <c r="F15" s="32" t="s">
        <v>19</v>
      </c>
      <c r="G15" s="32" t="s">
        <v>18</v>
      </c>
      <c r="H15" s="32" t="s">
        <v>20</v>
      </c>
    </row>
    <row r="16" spans="1:8" ht="16.5" thickBot="1" x14ac:dyDescent="0.3">
      <c r="A16" s="80">
        <v>1</v>
      </c>
      <c r="B16" s="75" t="s">
        <v>51</v>
      </c>
      <c r="C16" s="76"/>
      <c r="D16" s="77"/>
      <c r="E16" s="74" t="s">
        <v>50</v>
      </c>
      <c r="F16" s="78">
        <v>359700</v>
      </c>
      <c r="G16" s="74">
        <v>35</v>
      </c>
      <c r="H16" s="38">
        <f t="shared" ref="H16" si="0">G16*F16</f>
        <v>12589500</v>
      </c>
    </row>
    <row r="17" spans="1:8" ht="19.5" customHeight="1" thickBot="1" x14ac:dyDescent="0.3">
      <c r="A17" s="47"/>
      <c r="B17" s="71"/>
      <c r="D17" s="72"/>
      <c r="E17" s="47"/>
      <c r="F17" s="47"/>
      <c r="G17" s="47"/>
    </row>
    <row r="18" spans="1:8" ht="19.5" customHeight="1" thickBot="1" x14ac:dyDescent="0.35">
      <c r="A18" s="70" t="s">
        <v>22</v>
      </c>
      <c r="B18" s="73" t="s">
        <v>52</v>
      </c>
      <c r="C18" s="12"/>
      <c r="D18" s="13"/>
      <c r="E18" s="48"/>
      <c r="F18" s="37" t="s">
        <v>44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23</v>
      </c>
      <c r="F19" s="52"/>
      <c r="G19" s="44"/>
      <c r="H19" s="49">
        <f>SUM(H16:H16)</f>
        <v>12589500</v>
      </c>
    </row>
    <row r="20" spans="1:8" ht="19.5" customHeight="1" x14ac:dyDescent="0.25">
      <c r="A20" s="24" t="s">
        <v>24</v>
      </c>
      <c r="B20" s="12"/>
      <c r="C20" s="12"/>
      <c r="D20" s="12"/>
      <c r="E20" s="53" t="s">
        <v>28</v>
      </c>
      <c r="F20" s="23"/>
      <c r="G20" s="54">
        <v>0.19</v>
      </c>
      <c r="H20" s="40">
        <f>H19*G20</f>
        <v>2392005</v>
      </c>
    </row>
    <row r="21" spans="1:8" ht="19.5" customHeight="1" x14ac:dyDescent="0.25">
      <c r="A21" s="14" t="s">
        <v>45</v>
      </c>
      <c r="E21" s="55" t="s">
        <v>25</v>
      </c>
      <c r="G21" s="58">
        <v>2.5000000000000001E-2</v>
      </c>
      <c r="H21" s="50">
        <f>H19*G21</f>
        <v>314737.5</v>
      </c>
    </row>
    <row r="22" spans="1:8" ht="15.75" x14ac:dyDescent="0.25">
      <c r="A22" s="14" t="s">
        <v>42</v>
      </c>
      <c r="E22" s="14"/>
      <c r="F22" s="33"/>
      <c r="G22" s="45"/>
      <c r="H22" s="15"/>
    </row>
    <row r="23" spans="1:8" ht="16.5" thickBot="1" x14ac:dyDescent="0.3">
      <c r="A23" s="14" t="s">
        <v>30</v>
      </c>
      <c r="E23" s="56" t="s">
        <v>26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27</v>
      </c>
      <c r="H24" s="36">
        <f>H19+H20-H21</f>
        <v>14666767.5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43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5DCE242-B3D1-4CD3-BF9E-B21787BD21D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ACUASUR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2025-03-26T15:29:37Z</cp:lastPrinted>
  <dcterms:created xsi:type="dcterms:W3CDTF">2018-11-15T17:29:02Z</dcterms:created>
  <dcterms:modified xsi:type="dcterms:W3CDTF">2025-05-15T20:55:14Z</dcterms:modified>
</cp:coreProperties>
</file>