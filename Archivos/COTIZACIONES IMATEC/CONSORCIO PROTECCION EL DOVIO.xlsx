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6AE8000-A12E-45FA-ADA8-BE8CAE10845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L DOV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2" i="1" l="1"/>
  <c r="H21" i="1"/>
  <c r="H25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<sst xmlns="http://schemas.openxmlformats.org/spreadsheetml/2006/main" count="53" uniqueCount="53">
  <si>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</si>
  <si>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</si>
  <si>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</si>
  <si>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</si>
  <si>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</si>
  <si>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</si>
  <si>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</si>
  <si>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</si>
  <si>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</si>
  <si>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</si>
  <si>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</si>
  <si>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</si>
  <si>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</si>
  <si>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</si>
  <si>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</si>
  <si>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</si>
  <si>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</si>
  <si>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</si>
  <si>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</si>
  <si>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</si>
  <si>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</si>
  <si>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</si>
  <si>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</si>
  <si>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</si>
  <si>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</si>
  <si>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</si>
  <si>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</si>
  <si>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</si>
  <si>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</si>
  <si>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</si>
  <si>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</si>
  <si>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</si>
  <si>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</si>
  <si>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</si>
  <si>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</si>
  <si>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</si>
  <si>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</si>
  <si>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</si>
  <si>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</si>
  <si>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A. BENAVIDES</t>
  </si>
  <si>
    <t>CALI</t>
  </si>
  <si>
    <t>METRO LINEAL</t>
  </si>
  <si>
    <t xml:space="preserve">           C O T I Z A C I O N</t>
  </si>
  <si>
    <t>TUBERIA  A / C SCH ESTÁNDAR PARED 3/8 "</t>
  </si>
  <si>
    <t>CONSORCIO PROTECCION EL DOVIO</t>
  </si>
  <si>
    <t>FORMA DE PAGO : CONTADO</t>
  </si>
  <si>
    <t>ENTREGA EN 4 DIAS</t>
  </si>
  <si>
    <t>901 636091</t>
  </si>
  <si>
    <t>AV 6 Nte.  No. 14N-31</t>
  </si>
  <si>
    <t>facturacion@concisan.com</t>
  </si>
  <si>
    <t>602 6615360</t>
  </si>
  <si>
    <t>DIEZ MILLONES CIENTO SETENTA MIL CUATROCIENTOS</t>
  </si>
  <si>
    <t>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</si>
</sst>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42" fontId="1" fillId="0" borderId="16" xfId="0" applyNumberFormat="1" applyFont="1" applyBorder="1"/>
    <xf numFmtId="0" fontId="0" fillId="0" borderId="16" xfId="0" applyBorder="1"/>
    <xf numFmtId="0" fontId="0" fillId="0" borderId="15" xfId="0" applyBorder="1"/>
    <xf numFmtId="0" fontId="12" fillId="0" borderId="0" xfId="0" applyFont="1" applyAlignment="1">
      <alignment horizontal="center"/>
    </xf>
    <xf numFmtId="42" fontId="1" fillId="0" borderId="16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18" xfId="0" applyFont="1" applyBorder="1"/>
    <xf numFmtId="0" fontId="8" fillId="0" borderId="4" xfId="0" applyFont="1" applyBorder="1"/>
    <xf numFmtId="0" fontId="8" fillId="0" borderId="17" xfId="0" applyFont="1" applyBorder="1"/>
    <xf numFmtId="0" fontId="1" fillId="0" borderId="18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19" xfId="0" applyBorder="1"/>
    <xf numFmtId="0" fontId="4" fillId="0" borderId="3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3" fillId="0" borderId="25" xfId="2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42" fontId="1" fillId="0" borderId="16" xfId="0" applyNumberFormat="1" applyFont="1" applyBorder="1" applyAlignment="1">
      <alignment horizontal="left"/>
    </xf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27" xfId="0" applyFont="1" applyBorder="1"/>
    <xf numFmtId="0" fontId="4" fillId="0" borderId="28" xfId="0" applyFont="1" applyBorder="1"/>
    <xf numFmtId="0" fontId="1" fillId="0" borderId="16" xfId="0" applyFont="1" applyBorder="1" applyAlignment="1">
      <alignment horizontal="left" vertical="top" wrapText="1"/>
    </xf>
    <xf numFmtId="0" fontId="0" fillId="0" borderId="0" xfId="0" applyBorder="1"/>
    <xf numFmtId="0" fontId="0" fillId="0" borderId="10" xfId="0" applyBorder="1"/>
    <xf numFmtId="0" fontId="5" fillId="0" borderId="2" xfId="0" applyFont="1" applyBorder="1"/>
    <xf numFmtId="0" fontId="1" fillId="0" borderId="2" xfId="0" applyFont="1" applyBorder="1" applyAlignment="1">
      <alignment horizontal="center"/>
    </xf>
    <xf numFmtId="0" fontId="8" fillId="0" borderId="2" xfId="0" applyFont="1" applyBorder="1"/>
    <xf numFmtId="42" fontId="11" fillId="0" borderId="2" xfId="1" applyFont="1" applyBorder="1" applyAlignment="1">
      <alignment horizontal="center"/>
    </xf>
    <xf numFmtId="42" fontId="1" fillId="0" borderId="2" xfId="1" applyFont="1" applyBorder="1" applyAlignment="1">
      <alignment horizontal="left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concis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7" zoomScaleNormal="100" workbookViewId="0">
      <selection activeCell="G29" sqref="G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0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7</v>
      </c>
      <c r="B4" s="6"/>
      <c r="C4" s="6"/>
      <c r="D4" s="28" t="s">
        <v>35</v>
      </c>
      <c r="E4" s="18"/>
      <c r="F4" s="19"/>
      <c r="G4" s="6"/>
      <c r="H4" s="7"/>
    </row>
    <row r="5" spans="1:8" ht="19.5" thickBot="1" x14ac:dyDescent="0.35">
      <c r="A5" s="44" t="s">
        <v>38</v>
      </c>
      <c r="B5" s="6"/>
      <c r="C5" s="6"/>
      <c r="D5" s="6"/>
      <c r="E5" s="6"/>
    </row>
    <row r="6" spans="1:8" ht="24.75" customHeight="1" thickBot="1" x14ac:dyDescent="0.45">
      <c r="F6" s="11" t="s">
        <v>42</v>
      </c>
      <c r="G6" s="18"/>
      <c r="H6" s="19"/>
    </row>
    <row r="7" spans="1:8" ht="19.5" thickBot="1" x14ac:dyDescent="0.35">
      <c r="A7" s="20" t="s">
        <v>14</v>
      </c>
      <c r="B7" s="13"/>
      <c r="C7" s="55" t="s">
        <v>44</v>
      </c>
      <c r="D7" s="6"/>
      <c r="E7" s="7"/>
      <c r="F7" s="26"/>
      <c r="G7" s="18"/>
      <c r="H7" s="19"/>
    </row>
    <row r="8" spans="1:8" ht="18.75" x14ac:dyDescent="0.3">
      <c r="A8" s="21" t="s">
        <v>8</v>
      </c>
      <c r="C8" s="56" t="s">
        <v>47</v>
      </c>
      <c r="D8" s="57"/>
      <c r="E8" s="58"/>
      <c r="F8" s="12"/>
      <c r="G8" s="13"/>
      <c r="H8" s="14"/>
    </row>
    <row r="9" spans="1:8" ht="18.75" customHeight="1" x14ac:dyDescent="0.3">
      <c r="A9" s="21" t="s">
        <v>9</v>
      </c>
      <c r="C9" s="59" t="s">
        <v>48</v>
      </c>
      <c r="D9" s="23"/>
      <c r="E9" s="60" t="s">
        <v>40</v>
      </c>
      <c r="F9" s="29" t="s">
        <v>0</v>
      </c>
      <c r="H9" s="30">
        <v>45547</v>
      </c>
    </row>
    <row r="10" spans="1:8" ht="18.75" x14ac:dyDescent="0.3">
      <c r="A10" s="21" t="s">
        <v>13</v>
      </c>
      <c r="C10" s="61" t="s">
        <v>49</v>
      </c>
      <c r="D10" s="24"/>
      <c r="E10" s="62"/>
      <c r="F10" s="29" t="s">
        <v>15</v>
      </c>
      <c r="H10" s="31" t="s">
        <v>34</v>
      </c>
    </row>
    <row r="11" spans="1:8" ht="18.75" x14ac:dyDescent="0.3">
      <c r="A11" s="21" t="s">
        <v>10</v>
      </c>
      <c r="C11" s="63"/>
      <c r="D11" s="24"/>
      <c r="E11" s="62"/>
      <c r="F11" s="29" t="s">
        <v>16</v>
      </c>
      <c r="G11" s="32"/>
      <c r="H11" s="30">
        <v>45557</v>
      </c>
    </row>
    <row r="12" spans="1:8" ht="18.75" x14ac:dyDescent="0.3">
      <c r="A12" s="21" t="s">
        <v>11</v>
      </c>
      <c r="C12" s="63" t="s">
        <v>50</v>
      </c>
      <c r="D12" s="24"/>
      <c r="E12" s="62"/>
      <c r="F12" s="29" t="s">
        <v>17</v>
      </c>
      <c r="H12" s="33"/>
    </row>
    <row r="13" spans="1:8" ht="18.75" customHeight="1" thickBot="1" x14ac:dyDescent="0.35">
      <c r="A13" s="22" t="s">
        <v>12</v>
      </c>
      <c r="B13" s="4"/>
      <c r="C13" s="64" t="s">
        <v>39</v>
      </c>
      <c r="D13" s="65"/>
      <c r="E13" s="66"/>
      <c r="F13" s="16"/>
      <c r="G13" s="4"/>
      <c r="H13" s="17"/>
    </row>
    <row r="14" spans="1:8" ht="15.75" thickBot="1" x14ac:dyDescent="0.3"/>
    <row r="15" spans="1:8" ht="15.75" thickBot="1" x14ac:dyDescent="0.3">
      <c r="A15" s="47" t="s">
        <v>19</v>
      </c>
      <c r="B15" s="43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6.5" thickBot="1" x14ac:dyDescent="0.3">
      <c r="A16" s="48">
        <v>1</v>
      </c>
      <c r="B16" s="49" t="s">
        <v>43</v>
      </c>
      <c r="C16" s="50"/>
      <c r="D16" s="51"/>
      <c r="E16" s="52" t="s">
        <v>41</v>
      </c>
      <c r="F16" s="53">
        <v>485000</v>
      </c>
      <c r="G16" s="48">
        <v>18</v>
      </c>
      <c r="H16" s="45">
        <f t="shared" ref="H16" si="0">G16*F16</f>
        <v>8730000</v>
      </c>
    </row>
    <row r="18" spans="1:8" ht="16.5" thickBot="1" x14ac:dyDescent="0.3">
      <c r="A18" s="80"/>
      <c r="B18" s="81"/>
      <c r="C18" s="81"/>
      <c r="D18" s="81"/>
      <c r="E18" s="80"/>
      <c r="F18" s="82"/>
      <c r="G18" s="80"/>
      <c r="H18" s="83"/>
    </row>
    <row r="19" spans="1:8" ht="19.5" customHeight="1" thickBot="1" x14ac:dyDescent="0.35">
      <c r="A19" s="76" t="s">
        <v>25</v>
      </c>
      <c r="B19" s="15" t="s">
        <v>51</v>
      </c>
      <c r="C19" s="77"/>
      <c r="D19" s="78"/>
      <c r="E19" s="16"/>
      <c r="F19" s="79" t="s">
        <v>31</v>
      </c>
      <c r="G19" s="4"/>
      <c r="H19" s="17"/>
    </row>
    <row r="20" spans="1:8" ht="19.5" customHeight="1" thickBot="1" x14ac:dyDescent="0.3">
      <c r="A20" s="46"/>
      <c r="B20" s="16" t="s">
        <v>52</v>
      </c>
      <c r="C20" s="4"/>
      <c r="D20" s="4"/>
      <c r="E20" s="68" t="s">
        <v>26</v>
      </c>
      <c r="F20" s="69"/>
      <c r="G20" s="58"/>
      <c r="H20" s="67">
        <f>SUM(H16:H17)</f>
        <v>8730000</v>
      </c>
    </row>
    <row r="21" spans="1:8" ht="19.5" customHeight="1" x14ac:dyDescent="0.25">
      <c r="A21" s="25" t="s">
        <v>27</v>
      </c>
      <c r="B21" s="13"/>
      <c r="C21" s="13"/>
      <c r="D21" s="13"/>
      <c r="E21" s="70" t="s">
        <v>33</v>
      </c>
      <c r="F21" s="54"/>
      <c r="G21" s="71">
        <v>0.19</v>
      </c>
      <c r="H21" s="41">
        <f>H20*G21</f>
        <v>1658700</v>
      </c>
    </row>
    <row r="22" spans="1:8" ht="19.5" customHeight="1" x14ac:dyDescent="0.25">
      <c r="A22" s="15" t="s">
        <v>45</v>
      </c>
      <c r="E22" s="72" t="s">
        <v>28</v>
      </c>
      <c r="G22" s="73">
        <v>2.5000000000000001E-2</v>
      </c>
      <c r="H22" s="37">
        <f>H20*G22</f>
        <v>218250</v>
      </c>
    </row>
    <row r="23" spans="1:8" ht="15.75" x14ac:dyDescent="0.25">
      <c r="A23" s="15" t="s">
        <v>46</v>
      </c>
      <c r="E23" s="15"/>
      <c r="F23" s="35"/>
      <c r="G23" s="62"/>
      <c r="H23" s="38"/>
    </row>
    <row r="24" spans="1:8" ht="16.5" thickBot="1" x14ac:dyDescent="0.3">
      <c r="A24" s="15" t="s">
        <v>36</v>
      </c>
      <c r="E24" s="74" t="s">
        <v>29</v>
      </c>
      <c r="F24" s="75"/>
      <c r="G24" s="66"/>
      <c r="H24" s="39"/>
    </row>
    <row r="25" spans="1:8" ht="19.5" thickBot="1" x14ac:dyDescent="0.35">
      <c r="A25" s="16"/>
      <c r="B25" s="4"/>
      <c r="C25" s="4"/>
      <c r="D25" s="17"/>
      <c r="F25" s="3"/>
      <c r="G25" s="36" t="s">
        <v>30</v>
      </c>
      <c r="H25" s="42">
        <f>H20+H21-H22</f>
        <v>10170450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6" t="s">
        <v>37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 DOVIO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2024-09-12T14:10:50Z</dcterms:modified>
</cp:coreProperties>
</file>