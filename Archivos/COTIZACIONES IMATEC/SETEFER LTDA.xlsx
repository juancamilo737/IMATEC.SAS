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C3AF6DA-7D00-4092-9300-291FC47D30B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TEF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<sst xmlns="http://schemas.openxmlformats.org/spreadsheetml/2006/main" count="55" uniqueCount="54">
  <si>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</si>
  <si>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</si>
  <si>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</si>
  <si>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</si>
  <si>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</si>
  <si>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</si>
  <si>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</si>
  <si>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</si>
  <si>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</si>
  <si>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</si>
  <si>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</si>
  <si>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</si>
  <si>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</si>
  <si>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</si>
  <si>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</si>
  <si>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</si>
  <si>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</si>
  <si>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</si>
  <si>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</si>
  <si>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</si>
  <si>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</si>
  <si>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</si>
  <si>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</si>
  <si>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</si>
  <si>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</si>
  <si>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</si>
  <si>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</si>
  <si>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</si>
  <si>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</si>
  <si>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</si>
  <si>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</si>
  <si>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</si>
  <si>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</si>
  <si>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</si>
  <si>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</si>
  <si>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</si>
  <si>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</si>
  <si>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</si>
  <si>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 xml:space="preserve">ENTREGA </t>
  </si>
  <si>
    <t>L I Q U I D A C I O N</t>
  </si>
  <si>
    <t xml:space="preserve">  CALLE  33A  No.   17F - 56                           B/  LA FLORESTA             -   CALI    -                                       CEL.     321 7834969</t>
  </si>
  <si>
    <t>SETEFER LTDA</t>
  </si>
  <si>
    <t>830 057749</t>
  </si>
  <si>
    <t>CRA 27  No. 13 - 23</t>
  </si>
  <si>
    <t>BOGOTÁ</t>
  </si>
  <si>
    <t xml:space="preserve">              R E M I S I O N</t>
  </si>
  <si>
    <t>No. 1</t>
  </si>
  <si>
    <t>administracion@setefer.com.co</t>
  </si>
  <si>
    <t>601 3752701</t>
  </si>
  <si>
    <t>LUIS A. BENAVIDES</t>
  </si>
  <si>
    <t>FERULA  AC/INOX 316  2 1/2 "</t>
  </si>
  <si>
    <t>EMPAQUE TEFLON  2 1/2 "</t>
  </si>
  <si>
    <t>SESENTA Y CINCO MIL CUATROCIENTOS CINCUENTA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</si>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</sst>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istracion@setefer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7" zoomScaleNormal="100" workbookViewId="0">
      <selection activeCell="I27" sqref="I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9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45867</v>
      </c>
    </row>
    <row r="10" spans="1:8" ht="18.75" x14ac:dyDescent="0.3">
      <c r="A10" s="21" t="s">
        <v>13</v>
      </c>
      <c r="C10" s="70" t="s">
        <v>47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48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49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50</v>
      </c>
      <c r="C16" s="63"/>
      <c r="D16" s="64"/>
      <c r="E16" s="61" t="s">
        <v>37</v>
      </c>
      <c r="F16" s="65">
        <v>17000</v>
      </c>
      <c r="G16" s="61">
        <v>2</v>
      </c>
      <c r="H16" s="38">
        <f t="shared" ref="H16" si="0">G16*F16</f>
        <v>34000</v>
      </c>
    </row>
    <row r="17" spans="1:8" ht="16.5" thickBot="1" x14ac:dyDescent="0.3">
      <c r="A17" s="61">
        <v>2</v>
      </c>
      <c r="B17" s="62" t="s">
        <v>51</v>
      </c>
      <c r="C17" s="63"/>
      <c r="D17" s="64"/>
      <c r="E17" s="61" t="s">
        <v>37</v>
      </c>
      <c r="F17" s="65">
        <v>7000</v>
      </c>
      <c r="G17" s="61">
        <v>3</v>
      </c>
      <c r="H17" s="38">
        <f t="shared" ref="H17" si="1">G17*F17</f>
        <v>21000</v>
      </c>
    </row>
    <row r="18" spans="1:8" ht="19.5" customHeight="1" thickBot="1" x14ac:dyDescent="0.3">
      <c r="A18" s="48"/>
      <c r="B18" s="67"/>
      <c r="D18" s="68"/>
      <c r="E18" s="48"/>
      <c r="F18" s="48"/>
      <c r="G18" s="48"/>
    </row>
    <row r="19" spans="1:8" ht="19.5" customHeight="1" thickBot="1" x14ac:dyDescent="0.35">
      <c r="A19" s="66" t="s">
        <v>23</v>
      </c>
      <c r="B19" s="69" t="s">
        <v>52</v>
      </c>
      <c r="C19" s="12"/>
      <c r="D19" s="13"/>
      <c r="E19" s="49"/>
      <c r="F19" s="37" t="s">
        <v>39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2" t="s">
        <v>24</v>
      </c>
      <c r="F20" s="53"/>
      <c r="G20" s="44"/>
      <c r="H20" s="50">
        <f>SUM(H16:H19)</f>
        <v>55000</v>
      </c>
    </row>
    <row r="21" spans="1:8" ht="19.5" customHeight="1" x14ac:dyDescent="0.25">
      <c r="A21" s="24" t="s">
        <v>25</v>
      </c>
      <c r="B21" s="12"/>
      <c r="C21" s="12"/>
      <c r="D21" s="12"/>
      <c r="E21" s="54" t="s">
        <v>29</v>
      </c>
      <c r="F21" s="23"/>
      <c r="G21" s="55">
        <v>0.19</v>
      </c>
      <c r="H21" s="40">
        <f>H20*G21</f>
        <v>10450</v>
      </c>
    </row>
    <row r="22" spans="1:8" ht="19.5" customHeight="1" x14ac:dyDescent="0.25">
      <c r="A22" s="14" t="s">
        <v>30</v>
      </c>
      <c r="E22" s="56" t="s">
        <v>26</v>
      </c>
      <c r="G22" s="59">
        <v>2.5000000000000001E-2</v>
      </c>
      <c r="H22" s="51"/>
    </row>
    <row r="23" spans="1:8" ht="15.75" x14ac:dyDescent="0.25">
      <c r="A23" s="14" t="s">
        <v>38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7" t="s">
        <v>27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65450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40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CEF8D798-AC6B-4BBF-AA59-5E28989DECC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SETEFER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2025-07-29T16:23:06Z</dcterms:modified>
</cp:coreProperties>
</file>