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7B32EDD-F720-4E76-BF19-EFDDE859347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H17" i="2"/>
  <c r="H16" i="2"/>
  <c r="H24" i="2" l="1"/>
  <c r="H26" i="2" s="1"/>
  <c r="H25" i="2"/>
  <c r="H29" i="2" s="1"/>
</calcChain>
</file>

<file path=xl/sharedStrings.xml><?xml version="1.0" encoding="utf-8"?>
<sst xmlns="http://schemas.openxmlformats.org/spreadsheetml/2006/main" count="64" uniqueCount="61">
  <si>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</si>
  <si>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</si>
  <si>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</si>
  <si>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</si>
  <si>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</si>
  <si>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</si>
  <si>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</si>
  <si>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</si>
  <si>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</si>
  <si>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</si>
  <si>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</si>
  <si>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</si>
  <si>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</si>
  <si>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</si>
  <si>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</si>
  <si>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</si>
  <si>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</si>
  <si>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</si>
  <si>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</si>
  <si>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</si>
  <si>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</si>
  <si>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</si>
  <si>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</si>
  <si>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</si>
  <si>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</si>
  <si>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</si>
  <si>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</si>
  <si>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</si>
  <si>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</si>
  <si>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</si>
  <si>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</si>
  <si>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</si>
  <si>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</si>
  <si>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</si>
  <si>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</si>
  <si>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</si>
  <si>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</si>
  <si>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</si>
  <si>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</si>
  <si>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</si>
  <si>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</si>
  <si>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</si>
  <si>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</si>
  <si>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</si>
  <si>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</si>
  <si>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</si>
  <si>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>FORMA DE PAGO : CREDITO A 30 DIAS</t>
  </si>
  <si>
    <t>FABRICACION</t>
  </si>
  <si>
    <t>ENTREGA EN DOS DIAS A PARTIR DE ORDEN DE COMPRA</t>
  </si>
  <si>
    <t>No.  26</t>
  </si>
  <si>
    <t>TUBERIA  AC/INOX  SCH 10 304  2 1/2 "  X  6 MTS</t>
  </si>
  <si>
    <t>TUBO</t>
  </si>
  <si>
    <t>TEE  AC/INOX 304 SCH 10  2 1/2 "</t>
  </si>
  <si>
    <t>CODO  AC/INOX 304  SCH 10  2 1/2 "  X  90 º</t>
  </si>
  <si>
    <t>BRIDA  AC/INOX  304 2 1/2 " X  150 LBS LJ</t>
  </si>
  <si>
    <t>STUB END  AC/INOX 304 SCH 10  2 1/2 "</t>
  </si>
  <si>
    <t>TUBERIA  AC/INOX 304 RECT. 2 "  X  1 " X 2mm X 6 MTS</t>
  </si>
  <si>
    <t>UN MILLON NOVECIENTOS VEINTICINCO MIL OCHO-</t>
  </si>
  <si>
    <t>CIENTOS SESENTA Y DOS PESOS MDA / CTE</t>
  </si>
  <si>
    <t xml:space="preserve">               R E M I S I O N</t>
  </si>
  <si>
    <t xml:space="preserve">  CALLE  33B  No. 17C - 70  2o. PISO               B/  LA FLORESTA             -   CALI    -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</si>
</sst>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4"/>
  <sheetViews>
    <sheetView tabSelected="1" zoomScale="106" zoomScaleNormal="106" workbookViewId="0">
      <selection activeCell="F33" sqref="F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59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45621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45630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50</v>
      </c>
      <c r="C16" s="12"/>
      <c r="D16" s="13"/>
      <c r="E16" s="65" t="s">
        <v>51</v>
      </c>
      <c r="F16" s="66">
        <v>512500</v>
      </c>
      <c r="G16" s="67">
        <v>1</v>
      </c>
      <c r="H16" s="38">
        <f t="shared" ref="H16" si="0">G16*F16</f>
        <v>512500</v>
      </c>
    </row>
    <row r="17" spans="1:8" ht="15.75" thickBot="1" x14ac:dyDescent="0.3">
      <c r="A17" s="64">
        <v>2</v>
      </c>
      <c r="B17" s="61" t="s">
        <v>52</v>
      </c>
      <c r="C17" s="12"/>
      <c r="D17" s="13"/>
      <c r="E17" s="65" t="s">
        <v>45</v>
      </c>
      <c r="F17" s="66">
        <v>53950</v>
      </c>
      <c r="G17" s="67">
        <v>2</v>
      </c>
      <c r="H17" s="38">
        <f t="shared" ref="H17:H21" si="1">G17*F17</f>
        <v>107900</v>
      </c>
    </row>
    <row r="18" spans="1:8" ht="15.75" thickBot="1" x14ac:dyDescent="0.3">
      <c r="A18" s="64">
        <v>3</v>
      </c>
      <c r="B18" s="61" t="s">
        <v>53</v>
      </c>
      <c r="C18" s="12"/>
      <c r="D18" s="13"/>
      <c r="E18" s="65" t="s">
        <v>45</v>
      </c>
      <c r="F18" s="66">
        <v>44500</v>
      </c>
      <c r="G18" s="67">
        <v>4</v>
      </c>
      <c r="H18" s="38">
        <f t="shared" si="1"/>
        <v>178000</v>
      </c>
    </row>
    <row r="19" spans="1:8" ht="15.75" thickBot="1" x14ac:dyDescent="0.3">
      <c r="A19" s="64">
        <v>4</v>
      </c>
      <c r="B19" s="61" t="s">
        <v>54</v>
      </c>
      <c r="C19" s="12"/>
      <c r="D19" s="13"/>
      <c r="E19" s="65" t="s">
        <v>45</v>
      </c>
      <c r="F19" s="66">
        <v>91300</v>
      </c>
      <c r="G19" s="67">
        <v>2</v>
      </c>
      <c r="H19" s="38">
        <f t="shared" si="1"/>
        <v>182600</v>
      </c>
    </row>
    <row r="20" spans="1:8" ht="15.75" thickBot="1" x14ac:dyDescent="0.3">
      <c r="A20" s="64">
        <v>5</v>
      </c>
      <c r="B20" s="61" t="s">
        <v>55</v>
      </c>
      <c r="C20" s="12"/>
      <c r="D20" s="13"/>
      <c r="E20" s="65" t="s">
        <v>47</v>
      </c>
      <c r="F20" s="66">
        <v>26000</v>
      </c>
      <c r="G20" s="67">
        <v>2</v>
      </c>
      <c r="H20" s="38">
        <f t="shared" si="1"/>
        <v>52000</v>
      </c>
    </row>
    <row r="21" spans="1:8" ht="15.75" thickBot="1" x14ac:dyDescent="0.3">
      <c r="A21" s="70">
        <v>6</v>
      </c>
      <c r="B21" s="68" t="s">
        <v>56</v>
      </c>
      <c r="C21" s="6"/>
      <c r="D21" s="7"/>
      <c r="E21" s="71" t="s">
        <v>51</v>
      </c>
      <c r="F21" s="72">
        <v>206700</v>
      </c>
      <c r="G21" s="73">
        <v>3</v>
      </c>
      <c r="H21" s="38">
        <f t="shared" si="1"/>
        <v>620100</v>
      </c>
    </row>
    <row r="22" spans="1:8" ht="15.75" thickBot="1" x14ac:dyDescent="0.3">
      <c r="B22" s="16"/>
      <c r="C22" s="4"/>
      <c r="D22" s="17"/>
      <c r="F22" s="69"/>
      <c r="G22" s="69"/>
    </row>
    <row r="23" spans="1:8" ht="19.5" customHeight="1" thickBot="1" x14ac:dyDescent="0.35">
      <c r="A23" s="62" t="s">
        <v>23</v>
      </c>
      <c r="B23" s="61" t="s">
        <v>57</v>
      </c>
      <c r="C23" s="12"/>
      <c r="D23" s="13"/>
      <c r="E23" s="68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2" t="s">
        <v>24</v>
      </c>
      <c r="F24" s="52"/>
      <c r="G24" s="45"/>
      <c r="H24" s="50">
        <f>SUM(H16:H21)</f>
        <v>1653100</v>
      </c>
    </row>
    <row r="25" spans="1:8" ht="19.5" customHeight="1" x14ac:dyDescent="0.25">
      <c r="A25" s="24" t="s">
        <v>25</v>
      </c>
      <c r="E25" s="53" t="s">
        <v>30</v>
      </c>
      <c r="F25" s="23"/>
      <c r="G25" s="54">
        <v>0.19</v>
      </c>
      <c r="H25" s="40">
        <f>H24*G25</f>
        <v>314089</v>
      </c>
    </row>
    <row r="26" spans="1:8" ht="19.5" customHeight="1" x14ac:dyDescent="0.25">
      <c r="A26" s="14" t="s">
        <v>46</v>
      </c>
      <c r="E26" s="55" t="s">
        <v>26</v>
      </c>
      <c r="G26" s="58">
        <v>2.5000000000000001E-2</v>
      </c>
      <c r="H26" s="51">
        <f>H24*G26</f>
        <v>41327.5</v>
      </c>
    </row>
    <row r="27" spans="1:8" ht="15.75" x14ac:dyDescent="0.25">
      <c r="A27" s="14" t="s">
        <v>48</v>
      </c>
      <c r="E27" s="14"/>
      <c r="F27" s="33"/>
      <c r="G27" s="46"/>
      <c r="H27" s="15"/>
    </row>
    <row r="28" spans="1:8" ht="16.5" thickBot="1" x14ac:dyDescent="0.3">
      <c r="A28" s="14" t="s">
        <v>33</v>
      </c>
      <c r="E28" s="56" t="s">
        <v>27</v>
      </c>
      <c r="F28" s="57"/>
      <c r="G28" s="47"/>
      <c r="H28" s="17"/>
    </row>
    <row r="29" spans="1:8" ht="19.5" thickBot="1" x14ac:dyDescent="0.35">
      <c r="A29" s="60"/>
      <c r="B29" s="4"/>
      <c r="C29" s="4"/>
      <c r="D29" s="17"/>
      <c r="F29" s="3"/>
      <c r="G29" s="34" t="s">
        <v>28</v>
      </c>
      <c r="H29" s="36">
        <f>H24+H25-H26</f>
        <v>1925861.5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60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2024-11-09T13:40:25Z</cp:lastPrinted>
  <dcterms:created xsi:type="dcterms:W3CDTF">2018-11-15T17:29:02Z</dcterms:created>
  <dcterms:modified xsi:type="dcterms:W3CDTF">2024-12-09T16:23:26Z</dcterms:modified>
</cp:coreProperties>
</file>