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87EB106-D00F-4CC2-8D65-929FC7EDA14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19" i="2" s="1"/>
  <c r="H21" i="2" l="1"/>
  <c r="H20" i="2"/>
  <c r="H24" i="2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<sst xmlns="http://schemas.openxmlformats.org/spreadsheetml/2006/main" count="54" uniqueCount="54">
  <si>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</si>
  <si>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</si>
  <si>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</si>
  <si>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</si>
  <si>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</si>
  <si>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</si>
  <si>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</si>
  <si>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</si>
  <si>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</si>
  <si>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</si>
  <si>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</si>
  <si>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</si>
  <si>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</si>
  <si>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</si>
  <si>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</si>
  <si>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</si>
  <si>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</si>
  <si>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</si>
  <si>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</si>
  <si>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</si>
  <si>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</si>
  <si>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</si>
  <si>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</si>
  <si>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</si>
  <si>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</si>
  <si>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</si>
  <si>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</si>
  <si>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</si>
  <si>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</si>
  <si>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</si>
  <si>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</si>
  <si>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</si>
  <si>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</si>
  <si>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</si>
  <si>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</si>
  <si>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</si>
  <si>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</si>
  <si>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</si>
  <si>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</si>
  <si>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</si>
  <si>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</si>
  <si>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</si>
  <si>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</si>
  <si>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</si>
  <si>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</si>
  <si>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</si>
  <si>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 xml:space="preserve">  CALLE  33B  No. 17C - 70  2o. PISO               B/  LA FLORESTA             -   CALI    -                         CEL.     321 7834969</t>
  </si>
  <si>
    <t>FORMA DE PAGO : CREDITO A 30 DIAS</t>
  </si>
  <si>
    <t>METRO LINEAL</t>
  </si>
  <si>
    <t xml:space="preserve">            C O T I Z A C I O N </t>
  </si>
  <si>
    <t>No.  33</t>
  </si>
  <si>
    <t>TUBERIA  AC/INOX 304 SCH  40  14 "</t>
  </si>
  <si>
    <t xml:space="preserve">CATORCE MILLONES SEISCIENTOS SETENTA Y NUEVE </t>
  </si>
  <si>
    <t>MIL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</si>
</sst>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39"/>
  <sheetViews>
    <sheetView tabSelected="1" topLeftCell="A7" zoomScale="106" zoomScaleNormal="106" workbookViewId="0">
      <selection activeCell="D22" sqref="D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45642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45651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51</v>
      </c>
      <c r="C16" s="70"/>
      <c r="D16" s="45"/>
      <c r="E16" s="71" t="s">
        <v>48</v>
      </c>
      <c r="F16" s="66">
        <v>2100000</v>
      </c>
      <c r="G16" s="67">
        <v>6</v>
      </c>
      <c r="H16" s="38">
        <f t="shared" ref="H16" si="0">G16*F16</f>
        <v>12600000</v>
      </c>
    </row>
    <row r="17" spans="1:8" ht="15.75" thickBot="1" x14ac:dyDescent="0.3">
      <c r="B17" s="16"/>
      <c r="C17" s="4"/>
      <c r="D17" s="17"/>
      <c r="F17" s="65"/>
      <c r="G17" s="65"/>
    </row>
    <row r="18" spans="1:8" ht="19.5" customHeight="1" thickBot="1" x14ac:dyDescent="0.35">
      <c r="A18" s="62" t="s">
        <v>23</v>
      </c>
      <c r="B18" s="61" t="s">
        <v>52</v>
      </c>
      <c r="C18" s="12"/>
      <c r="D18" s="13"/>
      <c r="E18" s="6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2" t="s">
        <v>24</v>
      </c>
      <c r="F19" s="52"/>
      <c r="G19" s="45"/>
      <c r="H19" s="50">
        <f>SUM(H16:H16)</f>
        <v>12600000</v>
      </c>
    </row>
    <row r="20" spans="1:8" ht="19.5" customHeight="1" x14ac:dyDescent="0.25">
      <c r="A20" s="24" t="s">
        <v>25</v>
      </c>
      <c r="E20" s="53" t="s">
        <v>30</v>
      </c>
      <c r="F20" s="23"/>
      <c r="G20" s="54">
        <v>0.19</v>
      </c>
      <c r="H20" s="40">
        <f>H19*G20</f>
        <v>2394000</v>
      </c>
    </row>
    <row r="21" spans="1:8" ht="19.5" customHeight="1" x14ac:dyDescent="0.25">
      <c r="A21" s="14" t="s">
        <v>47</v>
      </c>
      <c r="E21" s="55" t="s">
        <v>26</v>
      </c>
      <c r="G21" s="58">
        <v>2.5000000000000001E-2</v>
      </c>
      <c r="H21" s="51">
        <f>H19*G21</f>
        <v>315000</v>
      </c>
    </row>
    <row r="22" spans="1:8" ht="15.75" x14ac:dyDescent="0.25">
      <c r="A22" s="14" t="s">
        <v>45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7"/>
      <c r="H23" s="17"/>
    </row>
    <row r="24" spans="1:8" ht="19.5" thickBot="1" x14ac:dyDescent="0.35">
      <c r="A24" s="60"/>
      <c r="B24" s="4"/>
      <c r="C24" s="4"/>
      <c r="D24" s="17"/>
      <c r="F24" s="3"/>
      <c r="G24" s="34" t="s">
        <v>28</v>
      </c>
      <c r="H24" s="36">
        <f>H19+H20-H21</f>
        <v>14679000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2024-12-07T16:29:57Z</cp:lastPrinted>
  <dcterms:created xsi:type="dcterms:W3CDTF">2018-11-15T17:29:02Z</dcterms:created>
  <dcterms:modified xsi:type="dcterms:W3CDTF">2024-12-16T15:05:15Z</dcterms:modified>
</cp:coreProperties>
</file>