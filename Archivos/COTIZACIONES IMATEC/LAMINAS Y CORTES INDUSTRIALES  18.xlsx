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C075F94-9046-4049-8F9D-5491B689D62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1" i="1"/>
  <c r="H20" i="1"/>
  <c r="H19" i="1"/>
  <c r="H18" i="1"/>
  <c r="H17" i="1"/>
  <c r="H16" i="1"/>
  <c r="H15" i="1"/>
  <c r="H24" i="1" s="1"/>
  <c r="H27" i="1" l="1"/>
  <c r="H25" i="1"/>
  <c r="H29" i="1" l="1"/>
</calcChain>
</file>

<file path=xl/sharedStrings.xml><?xml version="1.0" encoding="utf-8"?>
<sst xmlns="http://schemas.openxmlformats.org/spreadsheetml/2006/main" count="67" uniqueCount="62">
  <si>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</si>
  <si>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</si>
  <si>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</si>
  <si>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</si>
  <si>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</si>
  <si>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</si>
  <si>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</si>
  <si>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</si>
  <si>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</si>
  <si>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</si>
  <si>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</si>
  <si>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</si>
  <si>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</si>
  <si>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</si>
  <si>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</si>
  <si>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</si>
  <si>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</si>
  <si>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</si>
  <si>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</si>
  <si>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</si>
  <si>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</si>
  <si>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</si>
  <si>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</si>
  <si>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</si>
  <si>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</si>
  <si>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</si>
  <si>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</si>
  <si>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</si>
  <si>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</si>
  <si>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</si>
  <si>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</si>
  <si>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</si>
  <si>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</si>
  <si>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</si>
  <si>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</si>
  <si>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</si>
  <si>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</si>
  <si>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</si>
  <si>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</si>
  <si>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</si>
  <si>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</si>
  <si>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</si>
  <si>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</si>
  <si>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</si>
  <si>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</si>
  <si>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</si>
  <si>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</si>
  <si>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</si>
  <si>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>ENTREGA EN TRES   DIAS A PARTIR DE ORDEN DE COMPRA</t>
  </si>
  <si>
    <t>ACCESORIO</t>
  </si>
  <si>
    <t>METRO LINEAL</t>
  </si>
  <si>
    <t>TUBERIA  AC/INOX 316 SCH 40  2 "</t>
  </si>
  <si>
    <t>BRIDA AC/INOX 316 SLIP ON  2 "  X  150 LBS</t>
  </si>
  <si>
    <t>CODO AC/INOX 316  SCH 10  2 1/2 "  X 90 º</t>
  </si>
  <si>
    <t xml:space="preserve">              R E M I S I O N</t>
  </si>
  <si>
    <t>No. 18</t>
  </si>
  <si>
    <t>COUPLING AC/INOX 316 ROSCADO  1 "</t>
  </si>
  <si>
    <t>COUPLING AC/INOX 316 ROSCADO  3/4 "</t>
  </si>
  <si>
    <t>TUBERIA  AC/INOX 316 SCH 10  2 1/2 "</t>
  </si>
  <si>
    <t>UNION AC/INOX 304  1/2 "</t>
  </si>
  <si>
    <t>UN MILLON NOVECIENTOS CINCUENTA Y NUEVE MIL</t>
  </si>
  <si>
    <t>CUATROCIENTOS VEINTICINCO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</si>
</sst>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5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19" xfId="0" applyFont="1" applyBorder="1"/>
    <xf numFmtId="10" fontId="1" fillId="0" borderId="28" xfId="0" applyNumberFormat="1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0" fillId="0" borderId="25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13" fillId="0" borderId="19" xfId="2" applyBorder="1"/>
    <xf numFmtId="0" fontId="0" fillId="0" borderId="30" xfId="0" applyBorder="1"/>
    <xf numFmtId="0" fontId="1" fillId="0" borderId="28" xfId="0" applyFont="1" applyBorder="1"/>
    <xf numFmtId="42" fontId="12" fillId="0" borderId="33" xfId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3"/>
  <sheetViews>
    <sheetView tabSelected="1" topLeftCell="A7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54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55</v>
      </c>
    </row>
    <row r="7" spans="1:10" ht="18.75" x14ac:dyDescent="0.3">
      <c r="A7" s="22" t="s">
        <v>9</v>
      </c>
      <c r="C7" s="69" t="s">
        <v>35</v>
      </c>
      <c r="D7" s="70"/>
      <c r="E7" s="60"/>
      <c r="F7" s="12"/>
      <c r="G7" s="13"/>
      <c r="H7" s="14"/>
    </row>
    <row r="8" spans="1:10" ht="18.75" customHeight="1" x14ac:dyDescent="0.3">
      <c r="A8" s="22" t="s">
        <v>10</v>
      </c>
      <c r="C8" s="71" t="s">
        <v>36</v>
      </c>
      <c r="D8" s="24" t="s">
        <v>42</v>
      </c>
      <c r="E8" s="72" t="s">
        <v>37</v>
      </c>
      <c r="F8" s="31" t="s">
        <v>0</v>
      </c>
      <c r="H8" s="32">
        <v>45752</v>
      </c>
    </row>
    <row r="9" spans="1:10" ht="18.75" x14ac:dyDescent="0.3">
      <c r="A9" s="22" t="s">
        <v>14</v>
      </c>
      <c r="C9" s="73" t="s">
        <v>38</v>
      </c>
      <c r="D9" s="25"/>
      <c r="E9" s="65"/>
      <c r="F9" s="31" t="s">
        <v>16</v>
      </c>
      <c r="H9" s="33"/>
    </row>
    <row r="10" spans="1:10" ht="18.75" x14ac:dyDescent="0.3">
      <c r="A10" s="22" t="s">
        <v>11</v>
      </c>
      <c r="C10" s="45"/>
      <c r="D10" s="25"/>
      <c r="E10" s="65"/>
      <c r="F10" s="31" t="s">
        <v>17</v>
      </c>
      <c r="G10" s="34"/>
      <c r="H10" s="32"/>
    </row>
    <row r="11" spans="1:10" ht="18.75" x14ac:dyDescent="0.3">
      <c r="A11" s="22" t="s">
        <v>12</v>
      </c>
      <c r="C11" s="45" t="s">
        <v>39</v>
      </c>
      <c r="D11" s="25"/>
      <c r="E11" s="65"/>
      <c r="F11" s="31" t="s">
        <v>18</v>
      </c>
      <c r="H11" s="35"/>
    </row>
    <row r="12" spans="1:10" ht="18.75" customHeight="1" thickBot="1" x14ac:dyDescent="0.35">
      <c r="A12" s="23" t="s">
        <v>13</v>
      </c>
      <c r="B12" s="4"/>
      <c r="C12" s="66" t="s">
        <v>40</v>
      </c>
      <c r="D12" s="74"/>
      <c r="E12" s="68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8" t="s">
        <v>24</v>
      </c>
      <c r="C14" s="19"/>
      <c r="D14" s="49"/>
      <c r="E14" s="47" t="s">
        <v>20</v>
      </c>
      <c r="F14" s="50" t="s">
        <v>22</v>
      </c>
      <c r="G14" s="50" t="s">
        <v>21</v>
      </c>
      <c r="H14" s="36" t="s">
        <v>23</v>
      </c>
    </row>
    <row r="15" spans="1:10" ht="19.5" customHeight="1" thickBot="1" x14ac:dyDescent="0.3">
      <c r="A15" s="52">
        <v>1</v>
      </c>
      <c r="B15" s="53" t="s">
        <v>56</v>
      </c>
      <c r="C15" s="53"/>
      <c r="D15" s="54"/>
      <c r="E15" s="55" t="s">
        <v>49</v>
      </c>
      <c r="F15" s="76">
        <v>15500</v>
      </c>
      <c r="G15" s="77">
        <v>4</v>
      </c>
      <c r="H15" s="56">
        <f t="shared" ref="H15" si="0">F15*G15</f>
        <v>62000</v>
      </c>
      <c r="I15" s="37"/>
      <c r="J15" s="37"/>
    </row>
    <row r="16" spans="1:10" ht="19.5" customHeight="1" thickBot="1" x14ac:dyDescent="0.3">
      <c r="A16" s="52">
        <v>2</v>
      </c>
      <c r="B16" s="53" t="s">
        <v>57</v>
      </c>
      <c r="C16" s="53"/>
      <c r="D16" s="54"/>
      <c r="E16" s="55" t="s">
        <v>49</v>
      </c>
      <c r="F16" s="76">
        <v>8500</v>
      </c>
      <c r="G16" s="77">
        <v>1</v>
      </c>
      <c r="H16" s="56">
        <f t="shared" ref="H16:H21" si="1">F16*G16</f>
        <v>8500</v>
      </c>
      <c r="I16" s="37"/>
      <c r="J16" s="37"/>
    </row>
    <row r="17" spans="1:10" ht="19.5" customHeight="1" thickBot="1" x14ac:dyDescent="0.3">
      <c r="A17" s="52">
        <v>3</v>
      </c>
      <c r="B17" s="53" t="s">
        <v>58</v>
      </c>
      <c r="C17" s="53"/>
      <c r="D17" s="54"/>
      <c r="E17" s="55" t="s">
        <v>50</v>
      </c>
      <c r="F17" s="76">
        <v>242000</v>
      </c>
      <c r="G17" s="77">
        <v>1</v>
      </c>
      <c r="H17" s="56">
        <f t="shared" si="1"/>
        <v>242000</v>
      </c>
      <c r="I17" s="37"/>
      <c r="J17" s="37"/>
    </row>
    <row r="18" spans="1:10" ht="19.5" customHeight="1" thickBot="1" x14ac:dyDescent="0.3">
      <c r="A18" s="52">
        <v>4</v>
      </c>
      <c r="B18" s="53" t="s">
        <v>51</v>
      </c>
      <c r="C18" s="53"/>
      <c r="D18" s="54"/>
      <c r="E18" s="55" t="s">
        <v>50</v>
      </c>
      <c r="F18" s="76">
        <v>240000</v>
      </c>
      <c r="G18" s="77">
        <v>1</v>
      </c>
      <c r="H18" s="56">
        <f t="shared" si="1"/>
        <v>240000</v>
      </c>
      <c r="I18" s="37"/>
      <c r="J18" s="37"/>
    </row>
    <row r="19" spans="1:10" ht="19.5" customHeight="1" thickBot="1" x14ac:dyDescent="0.3">
      <c r="A19" s="52">
        <v>5</v>
      </c>
      <c r="B19" s="53" t="s">
        <v>52</v>
      </c>
      <c r="C19" s="53"/>
      <c r="D19" s="54"/>
      <c r="E19" s="55" t="s">
        <v>49</v>
      </c>
      <c r="F19" s="76">
        <v>149800</v>
      </c>
      <c r="G19" s="77">
        <v>4</v>
      </c>
      <c r="H19" s="56">
        <f t="shared" si="1"/>
        <v>599200</v>
      </c>
      <c r="I19" s="37"/>
      <c r="J19" s="37"/>
    </row>
    <row r="20" spans="1:10" ht="19.5" customHeight="1" thickBot="1" x14ac:dyDescent="0.3">
      <c r="A20" s="52">
        <v>6</v>
      </c>
      <c r="B20" s="53" t="s">
        <v>53</v>
      </c>
      <c r="C20" s="53"/>
      <c r="D20" s="54"/>
      <c r="E20" s="55" t="s">
        <v>49</v>
      </c>
      <c r="F20" s="76">
        <v>63550</v>
      </c>
      <c r="G20" s="77">
        <v>8</v>
      </c>
      <c r="H20" s="56">
        <f t="shared" si="1"/>
        <v>508400</v>
      </c>
      <c r="I20" s="37"/>
      <c r="J20" s="37"/>
    </row>
    <row r="21" spans="1:10" ht="19.5" customHeight="1" thickBot="1" x14ac:dyDescent="0.3">
      <c r="A21" s="52">
        <v>7</v>
      </c>
      <c r="B21" s="53" t="s">
        <v>59</v>
      </c>
      <c r="C21" s="53"/>
      <c r="D21" s="54"/>
      <c r="E21" s="55" t="s">
        <v>49</v>
      </c>
      <c r="F21" s="76">
        <v>5500</v>
      </c>
      <c r="G21" s="77">
        <v>6</v>
      </c>
      <c r="H21" s="56">
        <f t="shared" si="1"/>
        <v>33000</v>
      </c>
      <c r="I21" s="37"/>
      <c r="J21" s="37"/>
    </row>
    <row r="22" spans="1:10" ht="15.75" thickBot="1" x14ac:dyDescent="0.3">
      <c r="A22" s="51"/>
      <c r="D22" s="38"/>
      <c r="H22" s="38"/>
    </row>
    <row r="23" spans="1:10" ht="19.5" customHeight="1" thickBot="1" x14ac:dyDescent="0.35">
      <c r="A23" s="78" t="s">
        <v>25</v>
      </c>
      <c r="B23" s="12" t="s">
        <v>60</v>
      </c>
      <c r="C23" s="13"/>
      <c r="D23" s="14"/>
      <c r="E23" s="48"/>
      <c r="F23" s="57" t="s">
        <v>44</v>
      </c>
      <c r="G23" s="6"/>
      <c r="H23" s="7"/>
    </row>
    <row r="24" spans="1:10" ht="19.5" customHeight="1" thickBot="1" x14ac:dyDescent="0.3">
      <c r="A24" s="79"/>
      <c r="B24" s="17" t="s">
        <v>61</v>
      </c>
      <c r="C24" s="4"/>
      <c r="D24" s="18"/>
      <c r="E24" s="58" t="s">
        <v>26</v>
      </c>
      <c r="F24" s="59"/>
      <c r="G24" s="60"/>
      <c r="H24" s="43">
        <f>SUM(H15:H21)</f>
        <v>1693100</v>
      </c>
    </row>
    <row r="25" spans="1:10" ht="19.5" customHeight="1" x14ac:dyDescent="0.25">
      <c r="A25" s="26" t="s">
        <v>27</v>
      </c>
      <c r="B25" s="13"/>
      <c r="C25" s="13"/>
      <c r="D25" s="14"/>
      <c r="E25" s="61" t="s">
        <v>41</v>
      </c>
      <c r="F25" s="41"/>
      <c r="G25" s="62">
        <v>0.19</v>
      </c>
      <c r="H25" s="43">
        <f>H24*0.19</f>
        <v>321689</v>
      </c>
    </row>
    <row r="26" spans="1:10" ht="15.75" x14ac:dyDescent="0.25">
      <c r="A26" s="46" t="s">
        <v>47</v>
      </c>
      <c r="D26" s="16"/>
      <c r="E26" s="63" t="s">
        <v>28</v>
      </c>
      <c r="F26" s="40"/>
      <c r="G26" s="64">
        <v>2.5000000000000001E-2</v>
      </c>
      <c r="H26" s="43">
        <f>H24*G26</f>
        <v>42327.5</v>
      </c>
    </row>
    <row r="27" spans="1:10" ht="15.75" x14ac:dyDescent="0.25">
      <c r="A27" s="46" t="s">
        <v>48</v>
      </c>
      <c r="D27" s="16"/>
      <c r="E27" s="61" t="s">
        <v>45</v>
      </c>
      <c r="G27" s="75">
        <v>7.7000000000000002E-3</v>
      </c>
      <c r="H27" s="43">
        <f>H24*G27</f>
        <v>13036.87</v>
      </c>
    </row>
    <row r="28" spans="1:10" ht="16.5" thickBot="1" x14ac:dyDescent="0.3">
      <c r="A28" s="15" t="s">
        <v>31</v>
      </c>
      <c r="D28" s="16"/>
      <c r="E28" s="66"/>
      <c r="F28" s="67"/>
      <c r="G28" s="68"/>
      <c r="H28" s="44"/>
    </row>
    <row r="29" spans="1:10" ht="16.5" customHeight="1" thickBot="1" x14ac:dyDescent="0.35">
      <c r="A29" s="17"/>
      <c r="B29" s="4"/>
      <c r="C29" s="4"/>
      <c r="D29" s="18"/>
      <c r="F29" s="3"/>
      <c r="G29" s="42" t="s">
        <v>29</v>
      </c>
      <c r="H29" s="39">
        <f>H24+H25-H26-H27</f>
        <v>1959424.63</v>
      </c>
    </row>
    <row r="31" spans="1:10" x14ac:dyDescent="0.25">
      <c r="A31" t="s">
        <v>1</v>
      </c>
    </row>
    <row r="33" spans="1:8" ht="15.75" thickBot="1" x14ac:dyDescent="0.3"/>
    <row r="34" spans="1:8" ht="19.5" thickBot="1" x14ac:dyDescent="0.35">
      <c r="A34" s="27" t="s">
        <v>46</v>
      </c>
      <c r="B34" s="6"/>
      <c r="C34" s="6"/>
      <c r="D34" s="6"/>
      <c r="E34" s="6"/>
      <c r="F34" s="6"/>
      <c r="G34" s="6"/>
      <c r="H34" s="7"/>
    </row>
    <row r="43" spans="1:8" ht="18.75" x14ac:dyDescent="0.3">
      <c r="A43" s="5"/>
    </row>
  </sheetData>
  <mergeCells count="1">
    <mergeCell ref="A23:A24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2025-02-28T17:36:20Z</cp:lastPrinted>
  <dcterms:created xsi:type="dcterms:W3CDTF">2018-11-15T17:29:02Z</dcterms:created>
  <dcterms:modified xsi:type="dcterms:W3CDTF">2025-04-05T15:23:16Z</dcterms:modified>
</cp:coreProperties>
</file>