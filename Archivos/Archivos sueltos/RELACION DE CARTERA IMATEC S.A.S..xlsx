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rencia\Documents\"/>
    </mc:Choice>
  </mc:AlternateContent>
  <xr:revisionPtr revIDLastSave="0" documentId="13_ncr:1_{59233058-06D9-4BB3-A0DB-D1B582A954D5}" xr6:coauthVersionLast="47" xr6:coauthVersionMax="47" xr10:uidLastSave="{00000000-0000-0000-0000-000000000000}"/>
  <bookViews>
    <workbookView xWindow="-120" yWindow="-120" windowWidth="19440" windowHeight="14040" xr2:uid="{A7EADE06-3A11-45C0-95B4-96B868E41FF7}"/>
  </bookViews>
  <sheets>
    <sheet name="Hoja1" sheetId="1" r:id="rId1"/>
    <sheet name="Hoja2" sheetId="2" r:id="rId2"/>
  </sheets>
  <definedNames>
    <definedName name="_xlnm._FilterDatabase" localSheetId="0" hidden="1">Hoja1!$A$3:$L$3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55" i="1" l="1"/>
  <c r="J17" i="1" l="1"/>
  <c r="L17" i="1" s="1"/>
  <c r="F18" i="2"/>
</calcChain>
</file>

<file path=xl/sharedStrings.xml><?xml version="1.0" encoding="utf-8"?>
<sst xmlns="http://schemas.openxmlformats.org/spreadsheetml/2006/main" count="155" uniqueCount="95">
  <si>
    <t>RELACION  DE  CARTERA   IMATEC   S.A.S.</t>
  </si>
  <si>
    <t xml:space="preserve">        C L I E N T E </t>
  </si>
  <si>
    <t xml:space="preserve">F E </t>
  </si>
  <si>
    <t>CDO</t>
  </si>
  <si>
    <t>MORA 90</t>
  </si>
  <si>
    <t>MORA 60</t>
  </si>
  <si>
    <t xml:space="preserve"> VENCIMIENTO</t>
  </si>
  <si>
    <t>HERRACIND S.A.S.</t>
  </si>
  <si>
    <t xml:space="preserve"> V A L O R</t>
  </si>
  <si>
    <t>GRUPO ACERO Y CONFORT S.A.S.</t>
  </si>
  <si>
    <t xml:space="preserve"> </t>
  </si>
  <si>
    <t xml:space="preserve">                </t>
  </si>
  <si>
    <t>TUVACOL</t>
  </si>
  <si>
    <t>ABONÓ</t>
  </si>
  <si>
    <t>FERRETERIA SU PROVEEDOR</t>
  </si>
  <si>
    <t>ARE SERVICIOS</t>
  </si>
  <si>
    <t>V A A SOLUCIONES</t>
  </si>
  <si>
    <t>INDUSTRIAS JILA</t>
  </si>
  <si>
    <t>FEV-111</t>
  </si>
  <si>
    <t xml:space="preserve">EMERGENCIAS INDUSTRIALES C V </t>
  </si>
  <si>
    <t>FEV-453</t>
  </si>
  <si>
    <t>FEV-454</t>
  </si>
  <si>
    <t>FEV-465</t>
  </si>
  <si>
    <t>FEV-470</t>
  </si>
  <si>
    <t>FEV-472</t>
  </si>
  <si>
    <t>FEV-473</t>
  </si>
  <si>
    <t>FEV-486</t>
  </si>
  <si>
    <t>FEV-487</t>
  </si>
  <si>
    <t>FEV-488</t>
  </si>
  <si>
    <t>FEV-489</t>
  </si>
  <si>
    <t>FEV-494</t>
  </si>
  <si>
    <t>FEV-500</t>
  </si>
  <si>
    <t>FEV-501</t>
  </si>
  <si>
    <t>FEV-510</t>
  </si>
  <si>
    <t>FEV-511</t>
  </si>
  <si>
    <t>FEV-525</t>
  </si>
  <si>
    <t>PDTE</t>
  </si>
  <si>
    <t>PAGO</t>
  </si>
  <si>
    <t>FEV-528</t>
  </si>
  <si>
    <t>FEV-540</t>
  </si>
  <si>
    <t>SEBASTIAN NARVAEZ</t>
  </si>
  <si>
    <t>FEV-545</t>
  </si>
  <si>
    <t>FERRETRIA LIDER</t>
  </si>
  <si>
    <t>FEV-548</t>
  </si>
  <si>
    <t>ACUATANK</t>
  </si>
  <si>
    <t>FEV-547</t>
  </si>
  <si>
    <t>FEV-549</t>
  </si>
  <si>
    <t>FEV-550</t>
  </si>
  <si>
    <t>FEV-560</t>
  </si>
  <si>
    <t>ESTADO DE CUENTA  - 900262123-6   PLAZO  60 DIAS</t>
  </si>
  <si>
    <t xml:space="preserve">    V E N C I M I E N T O</t>
  </si>
  <si>
    <t>FEV-567</t>
  </si>
  <si>
    <t>FEV-568</t>
  </si>
  <si>
    <t>FEV-584</t>
  </si>
  <si>
    <t xml:space="preserve">AMJ GROUP </t>
  </si>
  <si>
    <t>FEV-587</t>
  </si>
  <si>
    <t>WATERCOL</t>
  </si>
  <si>
    <t>FEV-615</t>
  </si>
  <si>
    <t>FEV-621</t>
  </si>
  <si>
    <t>FEV-622</t>
  </si>
  <si>
    <t>FEV-626</t>
  </si>
  <si>
    <t>FEV-628</t>
  </si>
  <si>
    <t>FEV-629</t>
  </si>
  <si>
    <t>FEV-631</t>
  </si>
  <si>
    <t xml:space="preserve">S P I M </t>
  </si>
  <si>
    <t>FEV-633</t>
  </si>
  <si>
    <t>FEV-635</t>
  </si>
  <si>
    <t>FEV-640</t>
  </si>
  <si>
    <t>FEV-642</t>
  </si>
  <si>
    <t>FEV-648</t>
  </si>
  <si>
    <t>FEV-656</t>
  </si>
  <si>
    <t xml:space="preserve">ACEROS FENIX </t>
  </si>
  <si>
    <t>FEV-660</t>
  </si>
  <si>
    <t>FEV-664</t>
  </si>
  <si>
    <t>FEV-666</t>
  </si>
  <si>
    <t>PROYECTOS AIMONT</t>
  </si>
  <si>
    <t>FEV-661</t>
  </si>
  <si>
    <t>FEV-667</t>
  </si>
  <si>
    <t>FEV-671</t>
  </si>
  <si>
    <t>FEV-673</t>
  </si>
  <si>
    <t>FEV-675</t>
  </si>
  <si>
    <t>FEV-676</t>
  </si>
  <si>
    <t>FEV-677</t>
  </si>
  <si>
    <t>FEV-679</t>
  </si>
  <si>
    <t>SYSTI  S.A.S.</t>
  </si>
  <si>
    <t>FEV-680</t>
  </si>
  <si>
    <t>TALLER INDUSTRIAL VELMU</t>
  </si>
  <si>
    <t>FEV-681</t>
  </si>
  <si>
    <t>FEV-682</t>
  </si>
  <si>
    <t>FEV-684</t>
  </si>
  <si>
    <t>FEV-685</t>
  </si>
  <si>
    <t>ACEVALCO</t>
  </si>
  <si>
    <t>FEV-686</t>
  </si>
  <si>
    <t>AUTO MECHAMIC SOLUTION</t>
  </si>
  <si>
    <t>FEV-687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</si>
</sst>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37">
    <xf numFmtId="0" fontId="0" fillId="0" borderId="0" xfId="0"/>
    <xf numFmtId="0" fontId="3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6" fillId="0" borderId="0" xfId="0" applyFont="1"/>
    <xf numFmtId="0" fontId="6" fillId="0" borderId="4" xfId="0" applyFont="1" applyBorder="1"/>
    <xf numFmtId="0" fontId="6" fillId="0" borderId="5" xfId="0" applyFont="1" applyBorder="1"/>
    <xf numFmtId="0" fontId="6" fillId="0" borderId="6" xfId="0" applyFont="1" applyBorder="1"/>
    <xf numFmtId="0" fontId="6" fillId="0" borderId="7" xfId="0" applyFont="1" applyBorder="1"/>
    <xf numFmtId="0" fontId="6" fillId="0" borderId="8" xfId="0" applyFont="1" applyBorder="1"/>
    <xf numFmtId="0" fontId="6" fillId="0" borderId="9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9" xfId="0" applyFont="1" applyBorder="1"/>
    <xf numFmtId="0" fontId="6" fillId="0" borderId="10" xfId="0" applyFont="1" applyBorder="1"/>
    <xf numFmtId="42" fontId="6" fillId="0" borderId="5" xfId="1" applyFont="1" applyBorder="1" applyAlignment="1">
      <alignment horizontal="center"/>
    </xf>
    <xf numFmtId="42" fontId="6" fillId="0" borderId="8" xfId="1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4" fillId="0" borderId="2" xfId="0" applyFont="1" applyBorder="1"/>
    <xf numFmtId="0" fontId="4" fillId="0" borderId="3" xfId="0" applyFont="1" applyBorder="1"/>
    <xf numFmtId="42" fontId="7" fillId="0" borderId="5" xfId="1" applyFont="1" applyBorder="1" applyAlignment="1">
      <alignment horizontal="center"/>
    </xf>
    <xf numFmtId="0" fontId="4" fillId="0" borderId="1" xfId="0" applyFont="1" applyBorder="1"/>
    <xf numFmtId="0" fontId="0" fillId="0" borderId="2" xfId="0" applyBorder="1"/>
    <xf numFmtId="0" fontId="0" fillId="0" borderId="3" xfId="0" applyBorder="1"/>
    <xf numFmtId="0" fontId="4" fillId="0" borderId="1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11" xfId="0" applyFont="1" applyBorder="1"/>
    <xf numFmtId="0" fontId="0" fillId="0" borderId="9" xfId="0" applyBorder="1"/>
    <xf numFmtId="42" fontId="6" fillId="0" borderId="5" xfId="1" applyFont="1" applyFill="1" applyBorder="1" applyAlignment="1">
      <alignment horizontal="center"/>
    </xf>
    <xf numFmtId="42" fontId="6" fillId="0" borderId="9" xfId="1" applyFont="1" applyBorder="1"/>
    <xf numFmtId="0" fontId="7" fillId="0" borderId="5" xfId="0" applyFont="1" applyBorder="1" applyAlignment="1">
      <alignment horizontal="center"/>
    </xf>
    <xf numFmtId="0" fontId="8" fillId="0" borderId="0" xfId="0" applyFont="1"/>
    <xf numFmtId="0" fontId="9" fillId="0" borderId="0" xfId="0" applyFont="1"/>
    <xf numFmtId="42" fontId="9" fillId="0" borderId="0" xfId="0" applyNumberFormat="1" applyFont="1"/>
    <xf numFmtId="42" fontId="6" fillId="0" borderId="9" xfId="0" applyNumberFormat="1" applyFont="1" applyBorder="1"/>
  </cellXfs>
  <cellStyles count="2"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5" Type="http://schemas.openxmlformats.org/officeDocument/2006/relationships/customXml" Target="../ink/ink4.xml"/><Relationship Id="rId4" Type="http://schemas.openxmlformats.org/officeDocument/2006/relationships/customXml" Target="../ink/ink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455754</xdr:colOff>
      <xdr:row>6</xdr:row>
      <xdr:rowOff>0</xdr:rowOff>
    </xdr:from>
    <xdr:to>
      <xdr:col>12</xdr:col>
      <xdr:colOff>456114</xdr:colOff>
      <xdr:row>6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Entrada de lápiz 1">
              <a:extLst>
                <a:ext uri="{FF2B5EF4-FFF2-40B4-BE49-F238E27FC236}">
                  <a16:creationId xmlns:a16="http://schemas.microsoft.com/office/drawing/2014/main" id="{23BE3705-5444-F3D6-371C-527B61E6517D}"/>
                </a:ext>
              </a:extLst>
            </xdr14:cNvPr>
            <xdr14:cNvContentPartPr/>
          </xdr14:nvContentPartPr>
          <xdr14:nvPr macro=""/>
          <xdr14:xfrm>
            <a:off x="11072160" y="10298955"/>
            <a:ext cx="360" cy="360"/>
          </xdr14:xfrm>
        </xdr:contentPart>
      </mc:Choice>
      <mc:Fallback xmlns="">
        <xdr:pic>
          <xdr:nvPicPr>
            <xdr:cNvPr id="2" name="Entrada de lápiz 1">
              <a:extLst>
                <a:ext uri="{FF2B5EF4-FFF2-40B4-BE49-F238E27FC236}">
                  <a16:creationId xmlns:a16="http://schemas.microsoft.com/office/drawing/2014/main" id="{23BE3705-5444-F3D6-371C-527B61E6517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1066040" y="10292835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12</xdr:col>
      <xdr:colOff>455754</xdr:colOff>
      <xdr:row>6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Entrada de lápiz 2">
              <a:extLst>
                <a:ext uri="{FF2B5EF4-FFF2-40B4-BE49-F238E27FC236}">
                  <a16:creationId xmlns:a16="http://schemas.microsoft.com/office/drawing/2014/main" id="{C97EC830-CF48-411D-B392-12DE7858DD42}"/>
                </a:ext>
              </a:extLst>
            </xdr14:cNvPr>
            <xdr14:cNvContentPartPr/>
          </xdr14:nvContentPartPr>
          <xdr14:nvPr macro=""/>
          <xdr14:xfrm>
            <a:off x="11072160" y="10298955"/>
            <a:ext cx="360" cy="360"/>
          </xdr14:xfrm>
        </xdr:contentPart>
      </mc:Choice>
      <mc:Fallback xmlns="">
        <xdr:pic>
          <xdr:nvPicPr>
            <xdr:cNvPr id="2" name="Entrada de lápiz 1">
              <a:extLst>
                <a:ext uri="{FF2B5EF4-FFF2-40B4-BE49-F238E27FC236}">
                  <a16:creationId xmlns:a16="http://schemas.microsoft.com/office/drawing/2014/main" id="{23BE3705-5444-F3D6-371C-527B61E6517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1066040" y="10292835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455754</xdr:colOff>
      <xdr:row>6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4" name="Entrada de lápiz 3">
              <a:extLst>
                <a:ext uri="{FF2B5EF4-FFF2-40B4-BE49-F238E27FC236}">
                  <a16:creationId xmlns:a16="http://schemas.microsoft.com/office/drawing/2014/main" id="{0A5C7570-6F57-4238-86C8-7AA6A2C6BC84}"/>
                </a:ext>
              </a:extLst>
            </xdr14:cNvPr>
            <xdr14:cNvContentPartPr/>
          </xdr14:nvContentPartPr>
          <xdr14:nvPr macro=""/>
          <xdr14:xfrm>
            <a:off x="11072160" y="10298955"/>
            <a:ext cx="360" cy="360"/>
          </xdr14:xfrm>
        </xdr:contentPart>
      </mc:Choice>
      <mc:Fallback xmlns="">
        <xdr:pic>
          <xdr:nvPicPr>
            <xdr:cNvPr id="2" name="Entrada de lápiz 1">
              <a:extLst>
                <a:ext uri="{FF2B5EF4-FFF2-40B4-BE49-F238E27FC236}">
                  <a16:creationId xmlns:a16="http://schemas.microsoft.com/office/drawing/2014/main" id="{23BE3705-5444-F3D6-371C-527B61E6517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1066040" y="10292835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455754</xdr:colOff>
      <xdr:row>6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5" name="Entrada de lápiz 4">
              <a:extLst>
                <a:ext uri="{FF2B5EF4-FFF2-40B4-BE49-F238E27FC236}">
                  <a16:creationId xmlns:a16="http://schemas.microsoft.com/office/drawing/2014/main" id="{B2173B4F-6EFE-4E10-87F6-221E20979CDC}"/>
                </a:ext>
              </a:extLst>
            </xdr14:cNvPr>
            <xdr14:cNvContentPartPr/>
          </xdr14:nvContentPartPr>
          <xdr14:nvPr macro=""/>
          <xdr14:xfrm>
            <a:off x="11072160" y="10298955"/>
            <a:ext cx="360" cy="360"/>
          </xdr14:xfrm>
        </xdr:contentPart>
      </mc:Choice>
      <mc:Fallback xmlns="">
        <xdr:pic>
          <xdr:nvPicPr>
            <xdr:cNvPr id="2" name="Entrada de lápiz 1">
              <a:extLst>
                <a:ext uri="{FF2B5EF4-FFF2-40B4-BE49-F238E27FC236}">
                  <a16:creationId xmlns:a16="http://schemas.microsoft.com/office/drawing/2014/main" id="{23BE3705-5444-F3D6-371C-527B61E6517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1066040" y="10292835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1T17:56:49.918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0 24575,'0'0'-8191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5T21:31:25.661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0 24575,'0'0'-8191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5T21:31:25.729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0 24575,'0'0'-8191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5T21:31:25.730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0 24575,'0'0'-8191</inkml:trace>
</inkml: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C6388-966F-4EA0-9045-94DF40947D66}">
  <dimension ref="A1:Z75"/>
  <sheetViews>
    <sheetView tabSelected="1" topLeftCell="A29" zoomScaleNormal="100" workbookViewId="0">
      <selection activeCell="K27" sqref="K27"/>
    </sheetView>
  </sheetViews>
  <sheetFormatPr baseColWidth="10" defaultRowHeight="15" x14ac:dyDescent="0.25"/>
  <cols>
    <col min="6" max="6" width="24" customWidth="1"/>
    <col min="10" max="10" width="16.42578125" customWidth="1"/>
    <col min="11" max="11" width="17.7109375" customWidth="1"/>
    <col min="12" max="12" width="16" customWidth="1"/>
    <col min="13" max="13" width="14.28515625" bestFit="1" customWidth="1"/>
  </cols>
  <sheetData>
    <row r="1" spans="1:26" ht="62.25" thickBot="1" x14ac:dyDescent="0.9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spans="1:26" ht="15.75" thickBot="1" x14ac:dyDescent="0.3"/>
    <row r="3" spans="1:26" ht="34.5" thickBot="1" x14ac:dyDescent="0.55000000000000004">
      <c r="A3" s="23" t="s">
        <v>1</v>
      </c>
      <c r="B3" s="24"/>
      <c r="C3" s="24"/>
      <c r="D3" s="25"/>
      <c r="E3" s="26" t="s">
        <v>2</v>
      </c>
      <c r="F3" s="21" t="s">
        <v>8</v>
      </c>
      <c r="G3" s="23" t="s">
        <v>6</v>
      </c>
      <c r="H3" s="20"/>
      <c r="I3" s="21"/>
      <c r="J3" s="27" t="s">
        <v>3</v>
      </c>
      <c r="K3" s="28" t="s">
        <v>5</v>
      </c>
      <c r="L3" s="28" t="s">
        <v>4</v>
      </c>
    </row>
    <row r="4" spans="1:26" s="4" customFormat="1" ht="20.100000000000001" customHeight="1" x14ac:dyDescent="0.3">
      <c r="A4" s="5" t="s">
        <v>9</v>
      </c>
      <c r="D4" s="6"/>
      <c r="E4" s="18">
        <v>927</v>
      </c>
      <c r="F4" s="16">
        <v>1857200</v>
      </c>
      <c r="G4" s="10">
        <v>5</v>
      </c>
      <c r="H4" s="10">
        <v>7</v>
      </c>
      <c r="I4" s="12">
        <v>2025</v>
      </c>
      <c r="J4" s="14" t="s">
        <v>13</v>
      </c>
      <c r="K4" s="30">
        <v>1200000</v>
      </c>
      <c r="L4" s="31">
        <v>600000</v>
      </c>
    </row>
    <row r="5" spans="1:26" s="4" customFormat="1" ht="20.100000000000001" customHeight="1" x14ac:dyDescent="0.3">
      <c r="A5" s="5" t="s">
        <v>7</v>
      </c>
      <c r="D5" s="6"/>
      <c r="E5" s="18">
        <v>939</v>
      </c>
      <c r="F5" s="16">
        <v>327250</v>
      </c>
      <c r="G5" s="10">
        <v>11</v>
      </c>
      <c r="H5" s="10">
        <v>7</v>
      </c>
      <c r="I5" s="12">
        <v>2025</v>
      </c>
      <c r="J5" s="14"/>
      <c r="K5" s="14"/>
      <c r="L5" s="29"/>
      <c r="M5"/>
      <c r="N5"/>
      <c r="O5"/>
      <c r="P5"/>
      <c r="Q5"/>
      <c r="R5"/>
      <c r="S5"/>
      <c r="T5"/>
      <c r="U5"/>
      <c r="V5"/>
      <c r="W5"/>
      <c r="X5"/>
      <c r="Y5"/>
      <c r="Z5"/>
    </row>
    <row r="6" spans="1:26" s="4" customFormat="1" ht="20.100000000000001" customHeight="1" x14ac:dyDescent="0.3">
      <c r="A6" s="5" t="s">
        <v>12</v>
      </c>
      <c r="D6" s="6"/>
      <c r="E6" s="18" t="s">
        <v>18</v>
      </c>
      <c r="F6" s="16">
        <v>241570</v>
      </c>
      <c r="G6" s="10">
        <v>24</v>
      </c>
      <c r="H6" s="10">
        <v>10</v>
      </c>
      <c r="I6" s="12">
        <v>2025</v>
      </c>
      <c r="J6" s="14"/>
      <c r="K6" s="14"/>
      <c r="L6" s="14"/>
    </row>
    <row r="7" spans="1:26" s="4" customFormat="1" ht="20.100000000000001" customHeight="1" x14ac:dyDescent="0.3">
      <c r="A7" s="5" t="s">
        <v>15</v>
      </c>
      <c r="D7" s="6"/>
      <c r="E7" s="18" t="s">
        <v>23</v>
      </c>
      <c r="F7" s="16">
        <v>42245</v>
      </c>
      <c r="G7" s="10">
        <v>21</v>
      </c>
      <c r="H7" s="10">
        <v>5</v>
      </c>
      <c r="I7" s="32">
        <v>2026</v>
      </c>
      <c r="J7" s="14"/>
      <c r="K7" s="14"/>
      <c r="L7" s="14"/>
    </row>
    <row r="8" spans="1:26" s="4" customFormat="1" ht="20.100000000000001" customHeight="1" x14ac:dyDescent="0.3">
      <c r="A8" s="5" t="s">
        <v>16</v>
      </c>
      <c r="D8" s="6"/>
      <c r="E8" s="18" t="s">
        <v>24</v>
      </c>
      <c r="F8" s="16">
        <v>94724</v>
      </c>
      <c r="G8" s="10">
        <v>23</v>
      </c>
      <c r="H8" s="10">
        <v>5</v>
      </c>
      <c r="I8" s="32">
        <v>2026</v>
      </c>
      <c r="J8" s="14"/>
      <c r="K8" s="14"/>
      <c r="L8" s="14"/>
    </row>
    <row r="9" spans="1:26" s="4" customFormat="1" ht="20.100000000000001" customHeight="1" x14ac:dyDescent="0.3">
      <c r="A9" s="5" t="s">
        <v>16</v>
      </c>
      <c r="D9" s="6"/>
      <c r="E9" s="18" t="s">
        <v>25</v>
      </c>
      <c r="F9" s="16">
        <v>249900</v>
      </c>
      <c r="G9" s="10">
        <v>24</v>
      </c>
      <c r="H9" s="10">
        <v>5</v>
      </c>
      <c r="I9" s="32">
        <v>2026</v>
      </c>
      <c r="J9" s="14"/>
      <c r="K9" s="14"/>
      <c r="L9" s="14"/>
    </row>
    <row r="10" spans="1:26" s="4" customFormat="1" ht="20.100000000000001" customHeight="1" x14ac:dyDescent="0.3">
      <c r="A10" s="5" t="s">
        <v>40</v>
      </c>
      <c r="D10" s="6"/>
      <c r="E10" s="18" t="s">
        <v>41</v>
      </c>
      <c r="F10" s="16">
        <v>176120</v>
      </c>
      <c r="G10" s="10">
        <v>13</v>
      </c>
      <c r="H10" s="10">
        <v>6</v>
      </c>
      <c r="I10" s="32">
        <v>2026</v>
      </c>
      <c r="J10" s="14"/>
      <c r="K10" s="14"/>
      <c r="L10" s="14"/>
    </row>
    <row r="11" spans="1:26" s="4" customFormat="1" ht="20.100000000000001" customHeight="1" x14ac:dyDescent="0.3">
      <c r="A11" s="5" t="s">
        <v>16</v>
      </c>
      <c r="D11" s="6"/>
      <c r="E11" s="18" t="s">
        <v>39</v>
      </c>
      <c r="F11" s="16">
        <v>368900</v>
      </c>
      <c r="G11" s="10">
        <v>1</v>
      </c>
      <c r="H11" s="10">
        <v>7</v>
      </c>
      <c r="I11" s="32">
        <v>2026</v>
      </c>
      <c r="J11" s="14"/>
      <c r="K11" s="14"/>
      <c r="L11" s="14"/>
    </row>
    <row r="12" spans="1:26" s="4" customFormat="1" ht="20.100000000000001" customHeight="1" x14ac:dyDescent="0.3">
      <c r="A12" s="5" t="s">
        <v>42</v>
      </c>
      <c r="D12" s="6"/>
      <c r="E12" s="18" t="s">
        <v>43</v>
      </c>
      <c r="F12" s="16">
        <v>514080</v>
      </c>
      <c r="G12" s="10">
        <v>4</v>
      </c>
      <c r="H12" s="10">
        <v>7</v>
      </c>
      <c r="I12" s="32">
        <v>2026</v>
      </c>
      <c r="J12" s="14"/>
      <c r="K12" s="14"/>
      <c r="L12" s="14"/>
    </row>
    <row r="13" spans="1:26" s="4" customFormat="1" ht="20.100000000000001" customHeight="1" x14ac:dyDescent="0.3">
      <c r="A13" s="5" t="s">
        <v>42</v>
      </c>
      <c r="D13" s="6"/>
      <c r="E13" s="18" t="s">
        <v>46</v>
      </c>
      <c r="F13" s="16">
        <v>83300</v>
      </c>
      <c r="G13" s="10">
        <v>4</v>
      </c>
      <c r="H13" s="10">
        <v>7</v>
      </c>
      <c r="I13" s="32">
        <v>2026</v>
      </c>
      <c r="J13" s="14"/>
      <c r="K13" s="14"/>
      <c r="L13" s="14"/>
    </row>
    <row r="14" spans="1:26" s="4" customFormat="1" ht="20.100000000000001" customHeight="1" x14ac:dyDescent="0.3">
      <c r="A14" s="5" t="s">
        <v>44</v>
      </c>
      <c r="D14" s="6"/>
      <c r="E14" s="18" t="s">
        <v>47</v>
      </c>
      <c r="F14" s="16">
        <v>275485</v>
      </c>
      <c r="G14" s="10">
        <v>20</v>
      </c>
      <c r="H14" s="10">
        <v>6</v>
      </c>
      <c r="I14" s="32">
        <v>2026</v>
      </c>
      <c r="J14" s="14"/>
      <c r="K14" s="14"/>
      <c r="L14" s="14"/>
    </row>
    <row r="15" spans="1:26" s="4" customFormat="1" ht="20.100000000000001" customHeight="1" x14ac:dyDescent="0.3">
      <c r="A15" s="5" t="s">
        <v>44</v>
      </c>
      <c r="D15" s="6"/>
      <c r="E15" s="18" t="s">
        <v>51</v>
      </c>
      <c r="F15" s="16">
        <v>255850</v>
      </c>
      <c r="G15" s="10">
        <v>6</v>
      </c>
      <c r="H15" s="10">
        <v>7</v>
      </c>
      <c r="I15" s="32">
        <v>2026</v>
      </c>
      <c r="J15" s="14"/>
      <c r="K15" s="14"/>
      <c r="L15" s="14"/>
    </row>
    <row r="16" spans="1:26" s="4" customFormat="1" ht="20.100000000000001" customHeight="1" x14ac:dyDescent="0.3">
      <c r="A16" s="5" t="s">
        <v>44</v>
      </c>
      <c r="D16" s="6"/>
      <c r="E16" s="18" t="s">
        <v>52</v>
      </c>
      <c r="F16" s="16">
        <v>299880</v>
      </c>
      <c r="G16" s="10">
        <v>6</v>
      </c>
      <c r="H16" s="10">
        <v>7</v>
      </c>
      <c r="I16" s="32">
        <v>2026</v>
      </c>
      <c r="J16" s="14"/>
      <c r="K16" s="14"/>
      <c r="L16" s="14"/>
    </row>
    <row r="17" spans="1:12" s="4" customFormat="1" ht="20.100000000000001" customHeight="1" x14ac:dyDescent="0.3">
      <c r="A17" s="5" t="s">
        <v>44</v>
      </c>
      <c r="D17" s="6"/>
      <c r="E17" s="18" t="s">
        <v>45</v>
      </c>
      <c r="F17" s="16">
        <v>3657111</v>
      </c>
      <c r="G17" s="10" t="s">
        <v>36</v>
      </c>
      <c r="H17" s="10" t="s">
        <v>37</v>
      </c>
      <c r="I17" s="32">
        <v>2026</v>
      </c>
      <c r="J17" s="36">
        <f>SUM(F14:F17)</f>
        <v>4488326</v>
      </c>
      <c r="K17" s="31">
        <v>4117850</v>
      </c>
      <c r="L17" s="36">
        <f>J17-K17</f>
        <v>370476</v>
      </c>
    </row>
    <row r="18" spans="1:12" s="4" customFormat="1" ht="20.100000000000001" customHeight="1" x14ac:dyDescent="0.3">
      <c r="A18" s="5" t="s">
        <v>54</v>
      </c>
      <c r="D18" s="6"/>
      <c r="E18" s="18" t="s">
        <v>55</v>
      </c>
      <c r="F18" s="16">
        <v>53550</v>
      </c>
      <c r="G18" s="10">
        <v>31</v>
      </c>
      <c r="H18" s="10">
        <v>7</v>
      </c>
      <c r="I18" s="32">
        <v>2026</v>
      </c>
      <c r="J18" s="14"/>
      <c r="K18" s="14"/>
      <c r="L18" s="14"/>
    </row>
    <row r="19" spans="1:12" s="4" customFormat="1" ht="20.100000000000001" customHeight="1" x14ac:dyDescent="0.3">
      <c r="A19" s="5" t="s">
        <v>19</v>
      </c>
      <c r="D19" s="6"/>
      <c r="E19" s="18" t="s">
        <v>53</v>
      </c>
      <c r="F19" s="16">
        <v>54264</v>
      </c>
      <c r="G19" s="10">
        <v>15</v>
      </c>
      <c r="H19" s="10">
        <v>8</v>
      </c>
      <c r="I19" s="32">
        <v>2026</v>
      </c>
      <c r="J19" s="14"/>
      <c r="K19" s="14"/>
      <c r="L19" s="14"/>
    </row>
    <row r="20" spans="1:12" s="4" customFormat="1" ht="20.100000000000001" customHeight="1" x14ac:dyDescent="0.3">
      <c r="A20" s="5" t="s">
        <v>56</v>
      </c>
      <c r="D20" s="6"/>
      <c r="E20" s="18" t="s">
        <v>57</v>
      </c>
      <c r="F20" s="16">
        <v>214200</v>
      </c>
      <c r="G20" s="10">
        <v>17</v>
      </c>
      <c r="H20" s="10">
        <v>8</v>
      </c>
      <c r="I20" s="32">
        <v>2026</v>
      </c>
      <c r="J20" s="14"/>
      <c r="K20" s="14"/>
      <c r="L20" s="14"/>
    </row>
    <row r="21" spans="1:12" s="4" customFormat="1" ht="20.100000000000001" customHeight="1" x14ac:dyDescent="0.3">
      <c r="A21" s="5" t="s">
        <v>15</v>
      </c>
      <c r="D21" s="6"/>
      <c r="E21" s="18" t="s">
        <v>63</v>
      </c>
      <c r="F21" s="16">
        <v>253470</v>
      </c>
      <c r="G21" s="10">
        <v>26</v>
      </c>
      <c r="H21" s="10">
        <v>8</v>
      </c>
      <c r="I21" s="32">
        <v>2026</v>
      </c>
      <c r="J21" s="14"/>
      <c r="K21" s="14"/>
      <c r="L21" s="14"/>
    </row>
    <row r="22" spans="1:12" s="4" customFormat="1" ht="20.100000000000001" customHeight="1" x14ac:dyDescent="0.3">
      <c r="A22" s="5" t="s">
        <v>16</v>
      </c>
      <c r="D22" s="6"/>
      <c r="E22" s="18" t="s">
        <v>67</v>
      </c>
      <c r="F22" s="16">
        <v>108528</v>
      </c>
      <c r="G22" s="10">
        <v>31</v>
      </c>
      <c r="H22" s="10">
        <v>8</v>
      </c>
      <c r="I22" s="32">
        <v>2026</v>
      </c>
      <c r="J22" s="14"/>
      <c r="K22" s="14"/>
      <c r="L22" s="14"/>
    </row>
    <row r="23" spans="1:12" s="4" customFormat="1" ht="20.100000000000001" customHeight="1" x14ac:dyDescent="0.3">
      <c r="A23" s="5" t="s">
        <v>19</v>
      </c>
      <c r="D23" s="6"/>
      <c r="E23" s="18" t="s">
        <v>58</v>
      </c>
      <c r="F23" s="16">
        <v>139230</v>
      </c>
      <c r="G23" s="10">
        <v>3</v>
      </c>
      <c r="H23" s="10">
        <v>9</v>
      </c>
      <c r="I23" s="32">
        <v>2026</v>
      </c>
      <c r="J23" s="14"/>
      <c r="K23" s="14"/>
      <c r="L23" s="14"/>
    </row>
    <row r="24" spans="1:12" s="4" customFormat="1" ht="20.100000000000001" customHeight="1" x14ac:dyDescent="0.3">
      <c r="A24" s="5" t="s">
        <v>19</v>
      </c>
      <c r="D24" s="6"/>
      <c r="E24" s="18" t="s">
        <v>59</v>
      </c>
      <c r="F24" s="16">
        <v>416500</v>
      </c>
      <c r="G24" s="10">
        <v>5</v>
      </c>
      <c r="H24" s="10">
        <v>9</v>
      </c>
      <c r="I24" s="32">
        <v>2026</v>
      </c>
      <c r="J24" s="14"/>
      <c r="K24" s="14"/>
      <c r="L24" s="14"/>
    </row>
    <row r="25" spans="1:12" s="4" customFormat="1" ht="20.100000000000001" customHeight="1" x14ac:dyDescent="0.3">
      <c r="A25" s="5" t="s">
        <v>19</v>
      </c>
      <c r="D25" s="6"/>
      <c r="E25" s="18" t="s">
        <v>60</v>
      </c>
      <c r="F25" s="16">
        <v>118405</v>
      </c>
      <c r="G25" s="10">
        <v>8</v>
      </c>
      <c r="H25" s="10">
        <v>9</v>
      </c>
      <c r="I25" s="32">
        <v>2026</v>
      </c>
      <c r="J25" s="14"/>
      <c r="K25" s="14"/>
      <c r="L25" s="14"/>
    </row>
    <row r="26" spans="1:12" s="4" customFormat="1" ht="20.100000000000001" customHeight="1" x14ac:dyDescent="0.3">
      <c r="A26" s="5" t="s">
        <v>84</v>
      </c>
      <c r="D26" s="6"/>
      <c r="E26" s="18" t="s">
        <v>85</v>
      </c>
      <c r="F26" s="16">
        <v>23562</v>
      </c>
      <c r="G26" s="10">
        <v>10</v>
      </c>
      <c r="H26" s="10">
        <v>9</v>
      </c>
      <c r="I26" s="32">
        <v>2026</v>
      </c>
      <c r="J26" s="14"/>
      <c r="K26" s="14"/>
      <c r="L26" s="14"/>
    </row>
    <row r="27" spans="1:12" s="4" customFormat="1" ht="20.100000000000001" customHeight="1" x14ac:dyDescent="0.3">
      <c r="A27" s="5" t="s">
        <v>84</v>
      </c>
      <c r="D27" s="6"/>
      <c r="E27" s="18" t="s">
        <v>90</v>
      </c>
      <c r="F27" s="16">
        <v>32130</v>
      </c>
      <c r="G27" s="10">
        <v>12</v>
      </c>
      <c r="H27" s="10">
        <v>9</v>
      </c>
      <c r="I27" s="32">
        <v>2026</v>
      </c>
      <c r="J27" s="14"/>
      <c r="K27" s="14"/>
      <c r="L27" s="14"/>
    </row>
    <row r="28" spans="1:12" s="4" customFormat="1" ht="20.100000000000001" customHeight="1" x14ac:dyDescent="0.3">
      <c r="A28" s="5" t="s">
        <v>17</v>
      </c>
      <c r="D28" s="6"/>
      <c r="E28" s="18" t="s">
        <v>70</v>
      </c>
      <c r="F28" s="16">
        <v>83300</v>
      </c>
      <c r="G28" s="10">
        <v>12</v>
      </c>
      <c r="H28" s="10">
        <v>9</v>
      </c>
      <c r="I28" s="32">
        <v>2026</v>
      </c>
      <c r="J28" s="14"/>
      <c r="K28" s="14"/>
      <c r="L28" s="14"/>
    </row>
    <row r="29" spans="1:12" s="4" customFormat="1" ht="20.100000000000001" customHeight="1" x14ac:dyDescent="0.3">
      <c r="A29" s="5" t="s">
        <v>71</v>
      </c>
      <c r="D29" s="6"/>
      <c r="E29" s="18" t="s">
        <v>72</v>
      </c>
      <c r="F29" s="16">
        <v>297024</v>
      </c>
      <c r="G29" s="10">
        <v>13</v>
      </c>
      <c r="H29" s="10">
        <v>9</v>
      </c>
      <c r="I29" s="32">
        <v>2026</v>
      </c>
      <c r="J29" s="14"/>
      <c r="K29" s="14"/>
      <c r="L29" s="14"/>
    </row>
    <row r="30" spans="1:12" s="4" customFormat="1" ht="20.100000000000001" customHeight="1" x14ac:dyDescent="0.3">
      <c r="A30" s="5" t="s">
        <v>71</v>
      </c>
      <c r="D30" s="6"/>
      <c r="E30" s="18" t="s">
        <v>77</v>
      </c>
      <c r="F30" s="16">
        <v>233954</v>
      </c>
      <c r="G30" s="10">
        <v>21</v>
      </c>
      <c r="H30" s="10">
        <v>9</v>
      </c>
      <c r="I30" s="32">
        <v>2026</v>
      </c>
      <c r="J30" s="14"/>
      <c r="K30" s="14"/>
      <c r="L30" s="14"/>
    </row>
    <row r="31" spans="1:12" s="4" customFormat="1" ht="20.100000000000001" customHeight="1" x14ac:dyDescent="0.3">
      <c r="A31" s="5" t="s">
        <v>14</v>
      </c>
      <c r="D31" s="6"/>
      <c r="E31" s="18" t="s">
        <v>61</v>
      </c>
      <c r="F31" s="16">
        <v>5474029</v>
      </c>
      <c r="G31" s="10">
        <v>22</v>
      </c>
      <c r="H31" s="10">
        <v>9</v>
      </c>
      <c r="I31" s="32">
        <v>2026</v>
      </c>
      <c r="J31" s="14"/>
      <c r="K31" s="14"/>
      <c r="L31" s="14"/>
    </row>
    <row r="32" spans="1:12" s="4" customFormat="1" ht="20.100000000000001" customHeight="1" x14ac:dyDescent="0.3">
      <c r="A32" s="5" t="s">
        <v>19</v>
      </c>
      <c r="D32" s="6"/>
      <c r="E32" s="18" t="s">
        <v>69</v>
      </c>
      <c r="F32" s="16">
        <v>242760</v>
      </c>
      <c r="G32" s="10">
        <v>22</v>
      </c>
      <c r="H32" s="10">
        <v>9</v>
      </c>
      <c r="I32" s="32">
        <v>2026</v>
      </c>
      <c r="J32" s="14"/>
      <c r="K32" s="14"/>
      <c r="L32" s="14"/>
    </row>
    <row r="33" spans="1:12" s="4" customFormat="1" ht="20.100000000000001" customHeight="1" x14ac:dyDescent="0.3">
      <c r="A33" s="5" t="s">
        <v>42</v>
      </c>
      <c r="D33" s="6"/>
      <c r="E33" s="18" t="s">
        <v>81</v>
      </c>
      <c r="F33" s="16">
        <v>119000</v>
      </c>
      <c r="G33" s="10">
        <v>24</v>
      </c>
      <c r="H33" s="10">
        <v>9</v>
      </c>
      <c r="I33" s="32">
        <v>2026</v>
      </c>
      <c r="J33" s="14"/>
      <c r="K33" s="14"/>
      <c r="L33" s="14"/>
    </row>
    <row r="34" spans="1:12" s="4" customFormat="1" ht="20.100000000000001" customHeight="1" x14ac:dyDescent="0.3">
      <c r="A34" s="5" t="s">
        <v>56</v>
      </c>
      <c r="D34" s="6"/>
      <c r="E34" s="18" t="s">
        <v>82</v>
      </c>
      <c r="F34" s="16">
        <v>380800</v>
      </c>
      <c r="G34" s="10">
        <v>25</v>
      </c>
      <c r="H34" s="10">
        <v>9</v>
      </c>
      <c r="I34" s="32">
        <v>2026</v>
      </c>
      <c r="J34" s="14"/>
      <c r="K34" s="14"/>
      <c r="L34" s="14"/>
    </row>
    <row r="35" spans="1:12" s="4" customFormat="1" ht="20.100000000000001" customHeight="1" x14ac:dyDescent="0.3">
      <c r="A35" s="5" t="s">
        <v>14</v>
      </c>
      <c r="D35" s="6"/>
      <c r="E35" s="18" t="s">
        <v>62</v>
      </c>
      <c r="F35" s="16">
        <v>1608647</v>
      </c>
      <c r="G35" s="10">
        <v>26</v>
      </c>
      <c r="H35" s="10">
        <v>9</v>
      </c>
      <c r="I35" s="32">
        <v>2026</v>
      </c>
      <c r="J35" s="14"/>
      <c r="K35" s="14"/>
      <c r="L35" s="14"/>
    </row>
    <row r="36" spans="1:12" s="4" customFormat="1" ht="20.100000000000001" customHeight="1" x14ac:dyDescent="0.3">
      <c r="A36" s="5" t="s">
        <v>64</v>
      </c>
      <c r="D36" s="6"/>
      <c r="E36" s="18" t="s">
        <v>65</v>
      </c>
      <c r="F36" s="16">
        <v>3743866</v>
      </c>
      <c r="G36" s="10">
        <v>26</v>
      </c>
      <c r="H36" s="10">
        <v>9</v>
      </c>
      <c r="I36" s="32">
        <v>2026</v>
      </c>
      <c r="J36" s="14"/>
      <c r="K36" s="14"/>
      <c r="L36" s="14"/>
    </row>
    <row r="37" spans="1:12" s="4" customFormat="1" ht="20.100000000000001" customHeight="1" x14ac:dyDescent="0.3">
      <c r="A37" s="5" t="s">
        <v>14</v>
      </c>
      <c r="D37" s="6"/>
      <c r="E37" s="18" t="s">
        <v>66</v>
      </c>
      <c r="F37" s="16">
        <v>1987084</v>
      </c>
      <c r="G37" s="10">
        <v>27</v>
      </c>
      <c r="H37" s="10">
        <v>9</v>
      </c>
      <c r="I37" s="32">
        <v>2026</v>
      </c>
      <c r="J37" s="14"/>
      <c r="K37" s="14"/>
      <c r="L37" s="14"/>
    </row>
    <row r="38" spans="1:12" s="4" customFormat="1" ht="20.100000000000001" customHeight="1" x14ac:dyDescent="0.3">
      <c r="A38" s="5" t="s">
        <v>14</v>
      </c>
      <c r="D38" s="6"/>
      <c r="E38" s="18" t="s">
        <v>68</v>
      </c>
      <c r="F38" s="16">
        <v>166600</v>
      </c>
      <c r="G38" s="10">
        <v>5</v>
      </c>
      <c r="H38" s="10">
        <v>10</v>
      </c>
      <c r="I38" s="32">
        <v>2026</v>
      </c>
      <c r="J38" s="14"/>
      <c r="K38" s="14"/>
      <c r="L38" s="14"/>
    </row>
    <row r="39" spans="1:12" s="4" customFormat="1" ht="20.100000000000001" customHeight="1" x14ac:dyDescent="0.3">
      <c r="A39" s="5" t="s">
        <v>44</v>
      </c>
      <c r="D39" s="6"/>
      <c r="E39" s="18" t="s">
        <v>73</v>
      </c>
      <c r="F39" s="16">
        <v>252280</v>
      </c>
      <c r="G39" s="10" t="s">
        <v>36</v>
      </c>
      <c r="H39" s="10" t="s">
        <v>37</v>
      </c>
      <c r="I39" s="32">
        <v>2026</v>
      </c>
      <c r="J39" s="14"/>
      <c r="K39" s="14"/>
      <c r="L39" s="14"/>
    </row>
    <row r="40" spans="1:12" s="4" customFormat="1" ht="20.100000000000001" customHeight="1" x14ac:dyDescent="0.3">
      <c r="A40" s="5" t="s">
        <v>19</v>
      </c>
      <c r="D40" s="6"/>
      <c r="E40" s="18" t="s">
        <v>74</v>
      </c>
      <c r="F40" s="16">
        <v>1041570</v>
      </c>
      <c r="G40" s="10">
        <v>5</v>
      </c>
      <c r="H40" s="10">
        <v>10</v>
      </c>
      <c r="I40" s="32">
        <v>2026</v>
      </c>
      <c r="J40" s="14"/>
      <c r="K40" s="14"/>
      <c r="L40" s="14"/>
    </row>
    <row r="41" spans="1:12" s="4" customFormat="1" ht="20.100000000000001" customHeight="1" x14ac:dyDescent="0.3">
      <c r="A41" s="5" t="s">
        <v>75</v>
      </c>
      <c r="D41" s="6"/>
      <c r="E41" s="18" t="s">
        <v>76</v>
      </c>
      <c r="F41" s="16">
        <v>2144014</v>
      </c>
      <c r="G41" s="10" t="s">
        <v>36</v>
      </c>
      <c r="H41" s="10" t="s">
        <v>37</v>
      </c>
      <c r="I41" s="32">
        <v>2026</v>
      </c>
      <c r="J41" s="14"/>
      <c r="K41" s="14"/>
      <c r="L41" s="14"/>
    </row>
    <row r="42" spans="1:12" s="4" customFormat="1" ht="20.100000000000001" customHeight="1" x14ac:dyDescent="0.3">
      <c r="A42" s="5" t="s">
        <v>19</v>
      </c>
      <c r="D42" s="6"/>
      <c r="E42" s="18" t="s">
        <v>78</v>
      </c>
      <c r="F42" s="16">
        <v>535500</v>
      </c>
      <c r="G42" s="10">
        <v>5</v>
      </c>
      <c r="H42" s="10">
        <v>10</v>
      </c>
      <c r="I42" s="32">
        <v>2026</v>
      </c>
      <c r="J42" s="14"/>
      <c r="K42" s="14"/>
      <c r="L42" s="14"/>
    </row>
    <row r="43" spans="1:12" s="4" customFormat="1" ht="20.100000000000001" customHeight="1" x14ac:dyDescent="0.3">
      <c r="A43" s="5" t="s">
        <v>19</v>
      </c>
      <c r="D43" s="6"/>
      <c r="E43" s="18" t="s">
        <v>79</v>
      </c>
      <c r="F43" s="16">
        <v>428400</v>
      </c>
      <c r="G43" s="10">
        <v>8</v>
      </c>
      <c r="H43" s="10">
        <v>10</v>
      </c>
      <c r="I43" s="32">
        <v>2026</v>
      </c>
      <c r="J43" s="14"/>
      <c r="K43" s="14"/>
      <c r="L43" s="14"/>
    </row>
    <row r="44" spans="1:12" s="4" customFormat="1" ht="20.100000000000001" customHeight="1" x14ac:dyDescent="0.3">
      <c r="A44" s="5" t="s">
        <v>19</v>
      </c>
      <c r="D44" s="6"/>
      <c r="E44" s="18" t="s">
        <v>80</v>
      </c>
      <c r="F44" s="16">
        <v>48790</v>
      </c>
      <c r="G44" s="10">
        <v>8</v>
      </c>
      <c r="H44" s="10">
        <v>10</v>
      </c>
      <c r="I44" s="32">
        <v>2026</v>
      </c>
      <c r="J44" s="14"/>
      <c r="K44" s="14"/>
      <c r="L44" s="14"/>
    </row>
    <row r="45" spans="1:12" s="4" customFormat="1" ht="20.100000000000001" customHeight="1" x14ac:dyDescent="0.3">
      <c r="A45" s="5" t="s">
        <v>75</v>
      </c>
      <c r="D45" s="6"/>
      <c r="E45" s="18" t="s">
        <v>83</v>
      </c>
      <c r="F45" s="16">
        <v>53550</v>
      </c>
      <c r="G45" s="10" t="s">
        <v>36</v>
      </c>
      <c r="H45" s="10" t="s">
        <v>37</v>
      </c>
      <c r="I45" s="32">
        <v>2026</v>
      </c>
      <c r="J45" s="14"/>
      <c r="K45" s="14"/>
      <c r="L45" s="14"/>
    </row>
    <row r="46" spans="1:12" s="4" customFormat="1" ht="20.100000000000001" customHeight="1" x14ac:dyDescent="0.3">
      <c r="A46" s="5" t="s">
        <v>86</v>
      </c>
      <c r="D46" s="6"/>
      <c r="E46" s="18" t="s">
        <v>87</v>
      </c>
      <c r="F46" s="16">
        <v>85680</v>
      </c>
      <c r="G46" s="10" t="s">
        <v>36</v>
      </c>
      <c r="H46" s="10" t="s">
        <v>37</v>
      </c>
      <c r="I46" s="32">
        <v>2026</v>
      </c>
      <c r="J46" s="14"/>
      <c r="K46" s="14"/>
      <c r="L46" s="14"/>
    </row>
    <row r="47" spans="1:12" s="4" customFormat="1" ht="20.100000000000001" customHeight="1" x14ac:dyDescent="0.3">
      <c r="A47" s="5" t="s">
        <v>86</v>
      </c>
      <c r="D47" s="6"/>
      <c r="E47" s="18" t="s">
        <v>88</v>
      </c>
      <c r="F47" s="16">
        <v>380800</v>
      </c>
      <c r="G47" s="10" t="s">
        <v>36</v>
      </c>
      <c r="H47" s="10" t="s">
        <v>37</v>
      </c>
      <c r="I47" s="32">
        <v>2026</v>
      </c>
      <c r="J47" s="14"/>
      <c r="K47" s="14"/>
      <c r="L47" s="14"/>
    </row>
    <row r="48" spans="1:12" s="4" customFormat="1" ht="20.100000000000001" customHeight="1" x14ac:dyDescent="0.3">
      <c r="A48" s="5" t="s">
        <v>86</v>
      </c>
      <c r="D48" s="6"/>
      <c r="E48" s="18" t="s">
        <v>89</v>
      </c>
      <c r="F48" s="16">
        <v>107100</v>
      </c>
      <c r="G48" s="10" t="s">
        <v>36</v>
      </c>
      <c r="H48" s="10" t="s">
        <v>37</v>
      </c>
      <c r="I48" s="32">
        <v>2026</v>
      </c>
      <c r="J48" s="14"/>
      <c r="K48" s="14"/>
      <c r="L48" s="14"/>
    </row>
    <row r="49" spans="1:13" s="4" customFormat="1" ht="20.100000000000001" customHeight="1" x14ac:dyDescent="0.3">
      <c r="A49" s="5" t="s">
        <v>91</v>
      </c>
      <c r="D49" s="6"/>
      <c r="E49" s="18" t="s">
        <v>92</v>
      </c>
      <c r="F49" s="16">
        <v>14280</v>
      </c>
      <c r="G49" s="10" t="s">
        <v>36</v>
      </c>
      <c r="H49" s="10" t="s">
        <v>37</v>
      </c>
      <c r="I49" s="32">
        <v>2026</v>
      </c>
      <c r="J49" s="14"/>
      <c r="K49" s="14"/>
      <c r="L49" s="14"/>
    </row>
    <row r="50" spans="1:13" s="4" customFormat="1" ht="20.100000000000001" customHeight="1" x14ac:dyDescent="0.3">
      <c r="A50" s="5" t="s">
        <v>93</v>
      </c>
      <c r="D50" s="6"/>
      <c r="E50" s="18" t="s">
        <v>94</v>
      </c>
      <c r="F50" s="16">
        <v>456960</v>
      </c>
      <c r="G50" s="10" t="s">
        <v>36</v>
      </c>
      <c r="H50" s="10" t="s">
        <v>37</v>
      </c>
      <c r="I50" s="32">
        <v>2026</v>
      </c>
      <c r="J50" s="14"/>
      <c r="K50" s="14"/>
      <c r="L50" s="14"/>
    </row>
    <row r="51" spans="1:13" s="4" customFormat="1" ht="20.100000000000001" customHeight="1" x14ac:dyDescent="0.3">
      <c r="A51" s="5"/>
      <c r="D51" s="6"/>
      <c r="E51" s="18"/>
      <c r="F51" s="16"/>
      <c r="G51" s="10"/>
      <c r="H51" s="10"/>
      <c r="I51" s="32">
        <v>2026</v>
      </c>
      <c r="J51" s="14"/>
      <c r="K51" s="14"/>
      <c r="L51" s="14"/>
    </row>
    <row r="52" spans="1:13" s="4" customFormat="1" ht="20.100000000000001" customHeight="1" x14ac:dyDescent="0.3">
      <c r="A52" s="5"/>
      <c r="D52" s="6"/>
      <c r="E52" s="18"/>
      <c r="F52" s="16"/>
      <c r="G52" s="10"/>
      <c r="H52" s="10"/>
      <c r="I52" s="32">
        <v>2026</v>
      </c>
      <c r="J52" s="14"/>
      <c r="K52" s="14"/>
      <c r="L52" s="14"/>
    </row>
    <row r="53" spans="1:13" s="4" customFormat="1" ht="20.100000000000001" customHeight="1" x14ac:dyDescent="0.3">
      <c r="A53" s="5"/>
      <c r="D53" s="6"/>
      <c r="E53" s="18"/>
      <c r="F53" s="16"/>
      <c r="G53" s="10"/>
      <c r="H53" s="10"/>
      <c r="I53" s="32">
        <v>2026</v>
      </c>
      <c r="J53" s="14"/>
      <c r="K53" s="14"/>
      <c r="L53" s="14"/>
    </row>
    <row r="54" spans="1:13" s="4" customFormat="1" ht="20.100000000000001" customHeight="1" x14ac:dyDescent="0.3">
      <c r="A54" s="5"/>
      <c r="D54" s="6"/>
      <c r="E54" s="18"/>
      <c r="F54" s="16"/>
      <c r="G54" s="10"/>
      <c r="H54" s="10"/>
      <c r="I54" s="32">
        <v>2026</v>
      </c>
      <c r="J54" s="14"/>
      <c r="K54" s="14"/>
      <c r="L54" s="14"/>
    </row>
    <row r="55" spans="1:13" s="4" customFormat="1" ht="20.100000000000001" customHeight="1" x14ac:dyDescent="0.3">
      <c r="A55" s="5"/>
      <c r="D55" s="6"/>
      <c r="E55" s="18"/>
      <c r="F55" s="22">
        <f>SUM(F4:F54)</f>
        <v>29743442</v>
      </c>
      <c r="G55" s="10"/>
      <c r="H55" s="10"/>
      <c r="I55" s="12"/>
      <c r="J55" s="14"/>
      <c r="K55" s="14"/>
      <c r="L55" s="14"/>
    </row>
    <row r="56" spans="1:13" s="4" customFormat="1" ht="20.100000000000001" customHeight="1" x14ac:dyDescent="0.3">
      <c r="A56" s="5"/>
      <c r="D56" s="6"/>
      <c r="E56" s="18"/>
      <c r="F56" s="16"/>
      <c r="G56" s="10"/>
      <c r="H56" s="10"/>
      <c r="I56" s="12" t="s">
        <v>10</v>
      </c>
      <c r="J56" s="14"/>
      <c r="K56" s="14"/>
      <c r="L56" s="14"/>
      <c r="M56" s="4" t="s">
        <v>11</v>
      </c>
    </row>
    <row r="57" spans="1:13" s="4" customFormat="1" ht="20.100000000000001" customHeight="1" x14ac:dyDescent="0.3">
      <c r="A57" s="5"/>
      <c r="D57" s="6"/>
      <c r="E57" s="18"/>
      <c r="F57" s="16"/>
      <c r="G57" s="10"/>
      <c r="H57" s="10"/>
      <c r="I57" s="12"/>
      <c r="J57" s="14"/>
      <c r="K57" s="14"/>
      <c r="L57" s="14"/>
    </row>
    <row r="58" spans="1:13" s="4" customFormat="1" ht="20.100000000000001" customHeight="1" x14ac:dyDescent="0.3">
      <c r="A58" s="5"/>
      <c r="D58" s="6"/>
      <c r="E58" s="18"/>
      <c r="F58" s="16"/>
      <c r="G58" s="10"/>
      <c r="H58" s="10"/>
      <c r="I58" s="12"/>
      <c r="J58" s="14"/>
      <c r="K58" s="14" t="s">
        <v>10</v>
      </c>
      <c r="L58" s="14"/>
    </row>
    <row r="59" spans="1:13" s="4" customFormat="1" ht="20.100000000000001" customHeight="1" x14ac:dyDescent="0.3">
      <c r="A59" s="5"/>
      <c r="D59" s="6"/>
      <c r="E59" s="18"/>
      <c r="F59" s="16"/>
      <c r="G59" s="10"/>
      <c r="H59" s="10"/>
      <c r="I59" s="12"/>
      <c r="J59" s="14"/>
      <c r="K59" s="14"/>
      <c r="L59" s="14"/>
    </row>
    <row r="60" spans="1:13" s="4" customFormat="1" ht="20.100000000000001" customHeight="1" x14ac:dyDescent="0.3">
      <c r="A60" s="5"/>
      <c r="D60" s="6"/>
      <c r="E60" s="18"/>
      <c r="F60" s="16"/>
      <c r="G60" s="10"/>
      <c r="H60" s="10"/>
      <c r="I60" s="12"/>
      <c r="J60" s="14" t="s">
        <v>10</v>
      </c>
      <c r="K60" s="14"/>
      <c r="L60" s="14"/>
    </row>
    <row r="61" spans="1:13" s="4" customFormat="1" ht="20.100000000000001" customHeight="1" x14ac:dyDescent="0.3">
      <c r="A61" s="5"/>
      <c r="D61" s="6"/>
      <c r="E61" s="18"/>
      <c r="F61" s="16"/>
      <c r="G61" s="10"/>
      <c r="H61" s="10"/>
      <c r="I61" s="12"/>
      <c r="J61" s="14"/>
      <c r="K61" s="14"/>
      <c r="L61" s="14"/>
    </row>
    <row r="62" spans="1:13" s="4" customFormat="1" ht="20.100000000000001" customHeight="1" x14ac:dyDescent="0.3">
      <c r="A62" s="5"/>
      <c r="D62" s="6"/>
      <c r="E62" s="18"/>
      <c r="F62" s="16"/>
      <c r="G62" s="10"/>
      <c r="H62" s="10"/>
      <c r="I62" s="12"/>
      <c r="J62" s="14"/>
      <c r="K62" s="14"/>
      <c r="L62" s="14"/>
    </row>
    <row r="63" spans="1:13" s="4" customFormat="1" ht="20.100000000000001" customHeight="1" x14ac:dyDescent="0.3">
      <c r="A63" s="5"/>
      <c r="D63" s="6"/>
      <c r="E63" s="18"/>
      <c r="F63" s="16"/>
      <c r="G63" s="10"/>
      <c r="H63" s="10"/>
      <c r="I63" s="12"/>
      <c r="J63" s="14"/>
      <c r="K63" s="14"/>
      <c r="L63" s="14"/>
    </row>
    <row r="64" spans="1:13" s="4" customFormat="1" ht="20.100000000000001" customHeight="1" x14ac:dyDescent="0.3">
      <c r="A64" s="5"/>
      <c r="D64" s="6"/>
      <c r="E64" s="18"/>
      <c r="F64" s="16"/>
      <c r="G64" s="10"/>
      <c r="H64" s="10"/>
      <c r="I64" s="12"/>
      <c r="J64" s="14"/>
      <c r="K64" s="14"/>
      <c r="L64" s="14"/>
    </row>
    <row r="65" spans="1:12" s="4" customFormat="1" ht="20.100000000000001" customHeight="1" x14ac:dyDescent="0.3">
      <c r="A65" s="5"/>
      <c r="D65" s="6"/>
      <c r="E65" s="18"/>
      <c r="F65" s="16"/>
      <c r="G65" s="10"/>
      <c r="H65" s="10"/>
      <c r="I65" s="12"/>
      <c r="J65" s="14"/>
      <c r="K65" s="14"/>
      <c r="L65" s="14"/>
    </row>
    <row r="66" spans="1:12" s="4" customFormat="1" ht="20.100000000000001" customHeight="1" x14ac:dyDescent="0.3">
      <c r="A66" s="5"/>
      <c r="D66" s="6"/>
      <c r="E66" s="18"/>
      <c r="F66" s="16"/>
      <c r="G66" s="10"/>
      <c r="H66" s="10"/>
      <c r="I66" s="12"/>
      <c r="J66" s="14"/>
      <c r="K66" s="14"/>
      <c r="L66" s="14"/>
    </row>
    <row r="67" spans="1:12" s="4" customFormat="1" ht="20.100000000000001" customHeight="1" x14ac:dyDescent="0.3">
      <c r="A67" s="5"/>
      <c r="D67" s="6"/>
      <c r="E67" s="18"/>
      <c r="F67" s="16"/>
      <c r="G67" s="10"/>
      <c r="H67" s="10"/>
      <c r="I67" s="12"/>
      <c r="J67" s="14"/>
      <c r="K67" s="14"/>
      <c r="L67" s="14"/>
    </row>
    <row r="68" spans="1:12" s="4" customFormat="1" ht="20.100000000000001" customHeight="1" x14ac:dyDescent="0.3">
      <c r="A68" s="5"/>
      <c r="D68" s="6"/>
      <c r="E68" s="18"/>
      <c r="F68" s="16"/>
      <c r="G68" s="10"/>
      <c r="H68" s="10"/>
      <c r="I68" s="12"/>
      <c r="J68" s="14"/>
      <c r="K68" s="14"/>
      <c r="L68" s="14"/>
    </row>
    <row r="69" spans="1:12" s="4" customFormat="1" ht="20.100000000000001" customHeight="1" x14ac:dyDescent="0.3">
      <c r="A69" s="5"/>
      <c r="D69" s="6"/>
      <c r="E69" s="18"/>
      <c r="F69" s="16"/>
      <c r="G69" s="10"/>
      <c r="H69" s="10"/>
      <c r="I69" s="12"/>
      <c r="J69" s="14"/>
      <c r="K69" s="14"/>
      <c r="L69" s="14"/>
    </row>
    <row r="70" spans="1:12" s="4" customFormat="1" ht="20.100000000000001" customHeight="1" x14ac:dyDescent="0.3">
      <c r="A70" s="5"/>
      <c r="D70" s="6"/>
      <c r="E70" s="18"/>
      <c r="F70" s="16"/>
      <c r="G70" s="10"/>
      <c r="H70" s="10"/>
      <c r="I70" s="12"/>
      <c r="J70" s="14"/>
      <c r="K70" s="14"/>
      <c r="L70" s="14"/>
    </row>
    <row r="71" spans="1:12" s="4" customFormat="1" ht="20.100000000000001" customHeight="1" x14ac:dyDescent="0.3">
      <c r="A71" s="5"/>
      <c r="D71" s="6"/>
      <c r="E71" s="18"/>
      <c r="F71" s="16"/>
      <c r="G71" s="10"/>
      <c r="H71" s="10"/>
      <c r="I71" s="12"/>
      <c r="J71" s="14"/>
      <c r="K71" s="14"/>
      <c r="L71" s="14"/>
    </row>
    <row r="72" spans="1:12" s="4" customFormat="1" ht="20.100000000000001" customHeight="1" x14ac:dyDescent="0.3">
      <c r="A72" s="5"/>
      <c r="D72" s="6"/>
      <c r="E72" s="18"/>
      <c r="F72" s="16"/>
      <c r="G72" s="10"/>
      <c r="H72" s="10"/>
      <c r="I72" s="12"/>
      <c r="J72" s="14"/>
      <c r="K72" s="14"/>
      <c r="L72" s="14"/>
    </row>
    <row r="73" spans="1:12" s="4" customFormat="1" ht="20.100000000000001" customHeight="1" x14ac:dyDescent="0.3">
      <c r="A73" s="5"/>
      <c r="D73" s="6"/>
      <c r="E73" s="18"/>
      <c r="F73" s="16"/>
      <c r="G73" s="10"/>
      <c r="H73" s="10"/>
      <c r="I73" s="12"/>
      <c r="J73" s="14"/>
      <c r="K73" s="14"/>
      <c r="L73" s="14"/>
    </row>
    <row r="74" spans="1:12" s="4" customFormat="1" ht="20.100000000000001" customHeight="1" x14ac:dyDescent="0.3">
      <c r="A74" s="5"/>
      <c r="D74" s="6"/>
      <c r="E74" s="18"/>
      <c r="F74" s="16"/>
      <c r="G74" s="10"/>
      <c r="H74" s="10"/>
      <c r="I74" s="12"/>
      <c r="J74" s="14"/>
      <c r="K74" s="14"/>
      <c r="L74" s="14"/>
    </row>
    <row r="75" spans="1:12" s="4" customFormat="1" ht="20.100000000000001" customHeight="1" x14ac:dyDescent="0.3">
      <c r="A75" s="7"/>
      <c r="B75" s="8"/>
      <c r="C75" s="8"/>
      <c r="D75" s="9"/>
      <c r="E75" s="19"/>
      <c r="F75" s="17"/>
      <c r="G75" s="11"/>
      <c r="H75" s="11"/>
      <c r="I75" s="13"/>
      <c r="J75" s="15"/>
      <c r="K75" s="15"/>
      <c r="L75" s="15"/>
    </row>
  </sheetData>
  <autoFilter ref="A3:L3" xr:uid="{06EC6388-966F-4EA0-9045-94DF40947D66}"/>
  <pageMargins left="0.7" right="0.7" top="0.75" bottom="0.75" header="0.3" footer="0.3"/>
  <pageSetup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C30B4-8FC2-43C9-B3BB-EB81684F4A64}">
  <dimension ref="A1:L18"/>
  <sheetViews>
    <sheetView workbookViewId="0">
      <selection activeCell="K13" sqref="K13"/>
    </sheetView>
  </sheetViews>
  <sheetFormatPr baseColWidth="10" defaultRowHeight="15" x14ac:dyDescent="0.25"/>
  <cols>
    <col min="6" max="6" width="20.5703125" customWidth="1"/>
  </cols>
  <sheetData>
    <row r="1" spans="1:12" s="33" customFormat="1" ht="21" x14ac:dyDescent="0.35">
      <c r="A1" s="34" t="s">
        <v>49</v>
      </c>
      <c r="B1" s="34"/>
      <c r="C1" s="34"/>
      <c r="D1" s="34"/>
      <c r="E1" s="34"/>
      <c r="F1" s="34"/>
      <c r="G1" s="34" t="s">
        <v>50</v>
      </c>
    </row>
    <row r="2" spans="1:12" s="4" customFormat="1" ht="20.100000000000001" customHeight="1" x14ac:dyDescent="0.3">
      <c r="A2" s="5" t="s">
        <v>14</v>
      </c>
      <c r="D2" s="6"/>
      <c r="E2" s="18" t="s">
        <v>20</v>
      </c>
      <c r="F2" s="16">
        <v>2268308</v>
      </c>
      <c r="G2" s="10">
        <v>15</v>
      </c>
      <c r="H2" s="10">
        <v>6</v>
      </c>
      <c r="I2" s="32">
        <v>2026</v>
      </c>
      <c r="J2" s="14"/>
      <c r="K2" s="14"/>
      <c r="L2" s="14"/>
    </row>
    <row r="3" spans="1:12" s="4" customFormat="1" ht="20.100000000000001" customHeight="1" x14ac:dyDescent="0.3">
      <c r="A3" s="5" t="s">
        <v>14</v>
      </c>
      <c r="D3" s="6"/>
      <c r="E3" s="18" t="s">
        <v>21</v>
      </c>
      <c r="F3" s="16">
        <v>2268308</v>
      </c>
      <c r="G3" s="10">
        <v>15</v>
      </c>
      <c r="H3" s="10">
        <v>6</v>
      </c>
      <c r="I3" s="32">
        <v>2026</v>
      </c>
      <c r="J3" s="14"/>
      <c r="K3" s="14"/>
      <c r="L3" s="14"/>
    </row>
    <row r="4" spans="1:12" s="4" customFormat="1" ht="20.100000000000001" customHeight="1" x14ac:dyDescent="0.3">
      <c r="A4" s="5" t="s">
        <v>14</v>
      </c>
      <c r="D4" s="6"/>
      <c r="E4" s="18" t="s">
        <v>22</v>
      </c>
      <c r="F4" s="16">
        <v>1087862</v>
      </c>
      <c r="G4" s="10">
        <v>20</v>
      </c>
      <c r="H4" s="10">
        <v>6</v>
      </c>
      <c r="I4" s="32">
        <v>2026</v>
      </c>
      <c r="J4" s="14"/>
      <c r="K4" s="14"/>
      <c r="L4" s="14"/>
    </row>
    <row r="5" spans="1:12" s="4" customFormat="1" ht="20.100000000000001" customHeight="1" x14ac:dyDescent="0.3">
      <c r="A5" s="5" t="s">
        <v>14</v>
      </c>
      <c r="D5" s="6"/>
      <c r="E5" s="18" t="s">
        <v>26</v>
      </c>
      <c r="F5" s="16">
        <v>3073789</v>
      </c>
      <c r="G5" s="10">
        <v>29</v>
      </c>
      <c r="H5" s="10">
        <v>6</v>
      </c>
      <c r="I5" s="32">
        <v>2026</v>
      </c>
      <c r="J5" s="14"/>
      <c r="K5" s="14"/>
      <c r="L5" s="14"/>
    </row>
    <row r="6" spans="1:12" s="4" customFormat="1" ht="20.100000000000001" customHeight="1" x14ac:dyDescent="0.3">
      <c r="A6" s="5" t="s">
        <v>14</v>
      </c>
      <c r="D6" s="6"/>
      <c r="E6" s="18" t="s">
        <v>27</v>
      </c>
      <c r="F6" s="16">
        <v>1536894</v>
      </c>
      <c r="G6" s="10">
        <v>29</v>
      </c>
      <c r="H6" s="10">
        <v>6</v>
      </c>
      <c r="I6" s="32">
        <v>2026</v>
      </c>
      <c r="J6" s="14"/>
      <c r="K6" s="14"/>
      <c r="L6" s="14"/>
    </row>
    <row r="7" spans="1:12" s="4" customFormat="1" ht="20.100000000000001" customHeight="1" x14ac:dyDescent="0.3">
      <c r="A7" s="5" t="s">
        <v>14</v>
      </c>
      <c r="D7" s="6"/>
      <c r="E7" s="18" t="s">
        <v>28</v>
      </c>
      <c r="F7" s="16">
        <v>726960</v>
      </c>
      <c r="G7" s="10">
        <v>29</v>
      </c>
      <c r="H7" s="10">
        <v>6</v>
      </c>
      <c r="I7" s="32">
        <v>2026</v>
      </c>
      <c r="J7" s="14"/>
      <c r="K7" s="14"/>
      <c r="L7" s="14"/>
    </row>
    <row r="8" spans="1:12" s="4" customFormat="1" ht="20.100000000000001" customHeight="1" x14ac:dyDescent="0.3">
      <c r="A8" s="5" t="s">
        <v>14</v>
      </c>
      <c r="D8" s="6"/>
      <c r="E8" s="18" t="s">
        <v>29</v>
      </c>
      <c r="F8" s="16">
        <v>157080</v>
      </c>
      <c r="G8" s="10">
        <v>29</v>
      </c>
      <c r="H8" s="10">
        <v>6</v>
      </c>
      <c r="I8" s="32">
        <v>2026</v>
      </c>
      <c r="J8" s="14"/>
      <c r="K8" s="14"/>
      <c r="L8" s="14"/>
    </row>
    <row r="9" spans="1:12" s="4" customFormat="1" ht="20.100000000000001" customHeight="1" x14ac:dyDescent="0.3">
      <c r="A9" s="5" t="s">
        <v>14</v>
      </c>
      <c r="D9" s="6"/>
      <c r="E9" s="18" t="s">
        <v>30</v>
      </c>
      <c r="F9" s="16">
        <v>78540</v>
      </c>
      <c r="G9" s="10">
        <v>7</v>
      </c>
      <c r="H9" s="10">
        <v>7</v>
      </c>
      <c r="I9" s="32">
        <v>2026</v>
      </c>
      <c r="J9" s="14"/>
      <c r="K9" s="14"/>
      <c r="L9" s="14"/>
    </row>
    <row r="10" spans="1:12" s="4" customFormat="1" ht="20.100000000000001" customHeight="1" x14ac:dyDescent="0.3">
      <c r="A10" s="5" t="s">
        <v>14</v>
      </c>
      <c r="D10" s="6"/>
      <c r="E10" s="18" t="s">
        <v>31</v>
      </c>
      <c r="F10" s="16">
        <v>920053</v>
      </c>
      <c r="G10" s="10">
        <v>7</v>
      </c>
      <c r="H10" s="10">
        <v>7</v>
      </c>
      <c r="I10" s="32">
        <v>2026</v>
      </c>
      <c r="J10" s="14"/>
      <c r="K10" s="14"/>
      <c r="L10" s="14"/>
    </row>
    <row r="11" spans="1:12" s="4" customFormat="1" ht="20.100000000000001" customHeight="1" x14ac:dyDescent="0.3">
      <c r="A11" s="5" t="s">
        <v>14</v>
      </c>
      <c r="D11" s="6"/>
      <c r="E11" s="18" t="s">
        <v>32</v>
      </c>
      <c r="F11" s="16">
        <v>541450</v>
      </c>
      <c r="G11" s="10">
        <v>7</v>
      </c>
      <c r="H11" s="10">
        <v>7</v>
      </c>
      <c r="I11" s="32">
        <v>2026</v>
      </c>
      <c r="J11" s="14"/>
      <c r="K11" s="14"/>
      <c r="L11" s="14"/>
    </row>
    <row r="12" spans="1:12" s="4" customFormat="1" ht="20.100000000000001" customHeight="1" x14ac:dyDescent="0.3">
      <c r="A12" s="5" t="s">
        <v>14</v>
      </c>
      <c r="D12" s="6"/>
      <c r="E12" s="18" t="s">
        <v>33</v>
      </c>
      <c r="F12" s="16">
        <v>1536894</v>
      </c>
      <c r="G12" s="10">
        <v>14</v>
      </c>
      <c r="H12" s="10">
        <v>7</v>
      </c>
      <c r="I12" s="32">
        <v>2026</v>
      </c>
      <c r="J12" s="14"/>
      <c r="K12" s="14"/>
      <c r="L12" s="14"/>
    </row>
    <row r="13" spans="1:12" s="4" customFormat="1" ht="20.100000000000001" customHeight="1" x14ac:dyDescent="0.3">
      <c r="A13" s="5" t="s">
        <v>14</v>
      </c>
      <c r="D13" s="6"/>
      <c r="E13" s="18" t="s">
        <v>34</v>
      </c>
      <c r="F13" s="16">
        <v>542640</v>
      </c>
      <c r="G13" s="10">
        <v>14</v>
      </c>
      <c r="H13" s="10">
        <v>7</v>
      </c>
      <c r="I13" s="32">
        <v>2026</v>
      </c>
      <c r="J13" s="14"/>
      <c r="K13" s="14"/>
      <c r="L13" s="14"/>
    </row>
    <row r="14" spans="1:12" s="4" customFormat="1" ht="20.100000000000001" customHeight="1" x14ac:dyDescent="0.3">
      <c r="A14" s="5" t="s">
        <v>14</v>
      </c>
      <c r="D14" s="6"/>
      <c r="E14" s="18" t="s">
        <v>35</v>
      </c>
      <c r="F14" s="16">
        <v>107100</v>
      </c>
      <c r="G14" s="10">
        <v>25</v>
      </c>
      <c r="H14" s="10">
        <v>7</v>
      </c>
      <c r="I14" s="32">
        <v>2026</v>
      </c>
      <c r="J14" s="14"/>
      <c r="K14" s="14"/>
      <c r="L14" s="14"/>
    </row>
    <row r="15" spans="1:12" s="4" customFormat="1" ht="20.100000000000001" customHeight="1" x14ac:dyDescent="0.3">
      <c r="A15" s="5" t="s">
        <v>14</v>
      </c>
      <c r="D15" s="6"/>
      <c r="E15" s="18" t="s">
        <v>38</v>
      </c>
      <c r="F15" s="16">
        <v>1398018</v>
      </c>
      <c r="G15" s="10">
        <v>25</v>
      </c>
      <c r="H15" s="10">
        <v>7</v>
      </c>
      <c r="I15" s="32">
        <v>2026</v>
      </c>
      <c r="J15" s="14"/>
      <c r="K15" s="14"/>
      <c r="L15" s="14"/>
    </row>
    <row r="16" spans="1:12" s="4" customFormat="1" ht="20.100000000000001" customHeight="1" x14ac:dyDescent="0.3">
      <c r="A16" s="5" t="s">
        <v>14</v>
      </c>
      <c r="D16" s="6"/>
      <c r="E16" s="18" t="s">
        <v>48</v>
      </c>
      <c r="F16" s="16">
        <v>176175</v>
      </c>
      <c r="G16" s="10">
        <v>15</v>
      </c>
      <c r="H16" s="10">
        <v>8</v>
      </c>
      <c r="I16" s="32">
        <v>2026</v>
      </c>
      <c r="J16" s="14"/>
      <c r="K16" s="14"/>
      <c r="L16" s="14"/>
    </row>
    <row r="18" spans="6:6" ht="21" x14ac:dyDescent="0.35">
      <c r="F18" s="35">
        <f>SUM(F2:F17)</f>
        <v>16420071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Gerencia</dc:creator>
  <cp:lastModifiedBy>Gerencia</cp:lastModifiedBy>
  <cp:lastPrinted>2026-05-30T14:02:09Z</cp:lastPrinted>
  <dcterms:created xsi:type="dcterms:W3CDTF">2025-05-28T16:33:06Z</dcterms:created>
  <dcterms:modified xsi:type="dcterms:W3CDTF">2026-08-31T22:20:08Z</dcterms:modified>
</cp:coreProperties>
</file>