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worksheets/sheet417.xml" ContentType="application/vnd.openxmlformats-officedocument.spreadsheetml.worksheet+xml"/>
  <Override PartName="/xl/worksheets/sheet418.xml" ContentType="application/vnd.openxmlformats-officedocument.spreadsheetml.worksheet+xml"/>
  <Override PartName="/xl/worksheets/sheet419.xml" ContentType="application/vnd.openxmlformats-officedocument.spreadsheetml.worksheet+xml"/>
  <Override PartName="/xl/worksheets/sheet420.xml" ContentType="application/vnd.openxmlformats-officedocument.spreadsheetml.worksheet+xml"/>
  <Override PartName="/xl/worksheets/sheet421.xml" ContentType="application/vnd.openxmlformats-officedocument.spreadsheetml.worksheet+xml"/>
  <Override PartName="/xl/worksheets/sheet422.xml" ContentType="application/vnd.openxmlformats-officedocument.spreadsheetml.worksheet+xml"/>
  <Override PartName="/xl/worksheets/sheet423.xml" ContentType="application/vnd.openxmlformats-officedocument.spreadsheetml.worksheet+xml"/>
  <Override PartName="/xl/worksheets/sheet424.xml" ContentType="application/vnd.openxmlformats-officedocument.spreadsheetml.worksheet+xml"/>
  <Override PartName="/xl/worksheets/sheet425.xml" ContentType="application/vnd.openxmlformats-officedocument.spreadsheetml.worksheet+xml"/>
  <Override PartName="/xl/worksheets/sheet426.xml" ContentType="application/vnd.openxmlformats-officedocument.spreadsheetml.worksheet+xml"/>
  <Override PartName="/xl/worksheets/sheet427.xml" ContentType="application/vnd.openxmlformats-officedocument.spreadsheetml.worksheet+xml"/>
  <Override PartName="/xl/worksheets/sheet428.xml" ContentType="application/vnd.openxmlformats-officedocument.spreadsheetml.worksheet+xml"/>
  <Override PartName="/xl/worksheets/sheet429.xml" ContentType="application/vnd.openxmlformats-officedocument.spreadsheetml.worksheet+xml"/>
  <Override PartName="/xl/worksheets/sheet430.xml" ContentType="application/vnd.openxmlformats-officedocument.spreadsheetml.worksheet+xml"/>
  <Override PartName="/xl/worksheets/sheet431.xml" ContentType="application/vnd.openxmlformats-officedocument.spreadsheetml.worksheet+xml"/>
  <Override PartName="/xl/worksheets/sheet432.xml" ContentType="application/vnd.openxmlformats-officedocument.spreadsheetml.worksheet+xml"/>
  <Override PartName="/xl/worksheets/sheet433.xml" ContentType="application/vnd.openxmlformats-officedocument.spreadsheetml.worksheet+xml"/>
  <Override PartName="/xl/worksheets/sheet434.xml" ContentType="application/vnd.openxmlformats-officedocument.spreadsheetml.worksheet+xml"/>
  <Override PartName="/xl/worksheets/sheet435.xml" ContentType="application/vnd.openxmlformats-officedocument.spreadsheetml.worksheet+xml"/>
  <Override PartName="/xl/worksheets/sheet436.xml" ContentType="application/vnd.openxmlformats-officedocument.spreadsheetml.worksheet+xml"/>
  <Override PartName="/xl/worksheets/sheet437.xml" ContentType="application/vnd.openxmlformats-officedocument.spreadsheetml.worksheet+xml"/>
  <Override PartName="/xl/worksheets/sheet438.xml" ContentType="application/vnd.openxmlformats-officedocument.spreadsheetml.worksheet+xml"/>
  <Override PartName="/xl/worksheets/sheet439.xml" ContentType="application/vnd.openxmlformats-officedocument.spreadsheetml.worksheet+xml"/>
  <Override PartName="/xl/worksheets/sheet440.xml" ContentType="application/vnd.openxmlformats-officedocument.spreadsheetml.worksheet+xml"/>
  <Override PartName="/xl/worksheets/sheet441.xml" ContentType="application/vnd.openxmlformats-officedocument.spreadsheetml.worksheet+xml"/>
  <Override PartName="/xl/worksheets/sheet442.xml" ContentType="application/vnd.openxmlformats-officedocument.spreadsheetml.worksheet+xml"/>
  <Override PartName="/xl/worksheets/sheet443.xml" ContentType="application/vnd.openxmlformats-officedocument.spreadsheetml.worksheet+xml"/>
  <Override PartName="/xl/worksheets/sheet444.xml" ContentType="application/vnd.openxmlformats-officedocument.spreadsheetml.worksheet+xml"/>
  <Override PartName="/xl/worksheets/sheet445.xml" ContentType="application/vnd.openxmlformats-officedocument.spreadsheetml.worksheet+xml"/>
  <Override PartName="/xl/worksheets/sheet446.xml" ContentType="application/vnd.openxmlformats-officedocument.spreadsheetml.worksheet+xml"/>
  <Override PartName="/xl/worksheets/sheet447.xml" ContentType="application/vnd.openxmlformats-officedocument.spreadsheetml.worksheet+xml"/>
  <Override PartName="/xl/worksheets/sheet448.xml" ContentType="application/vnd.openxmlformats-officedocument.spreadsheetml.worksheet+xml"/>
  <Override PartName="/xl/worksheets/sheet449.xml" ContentType="application/vnd.openxmlformats-officedocument.spreadsheetml.worksheet+xml"/>
  <Override PartName="/xl/worksheets/sheet450.xml" ContentType="application/vnd.openxmlformats-officedocument.spreadsheetml.worksheet+xml"/>
  <Override PartName="/xl/worksheets/sheet451.xml" ContentType="application/vnd.openxmlformats-officedocument.spreadsheetml.worksheet+xml"/>
  <Override PartName="/xl/worksheets/sheet452.xml" ContentType="application/vnd.openxmlformats-officedocument.spreadsheetml.worksheet+xml"/>
  <Override PartName="/xl/worksheets/sheet453.xml" ContentType="application/vnd.openxmlformats-officedocument.spreadsheetml.worksheet+xml"/>
  <Override PartName="/xl/worksheets/sheet454.xml" ContentType="application/vnd.openxmlformats-officedocument.spreadsheetml.worksheet+xml"/>
  <Override PartName="/xl/worksheets/sheet455.xml" ContentType="application/vnd.openxmlformats-officedocument.spreadsheetml.worksheet+xml"/>
  <Override PartName="/xl/worksheets/sheet456.xml" ContentType="application/vnd.openxmlformats-officedocument.spreadsheetml.worksheet+xml"/>
  <Override PartName="/xl/worksheets/sheet457.xml" ContentType="application/vnd.openxmlformats-officedocument.spreadsheetml.worksheet+xml"/>
  <Override PartName="/xl/worksheets/sheet458.xml" ContentType="application/vnd.openxmlformats-officedocument.spreadsheetml.worksheet+xml"/>
  <Override PartName="/xl/worksheets/sheet459.xml" ContentType="application/vnd.openxmlformats-officedocument.spreadsheetml.worksheet+xml"/>
  <Override PartName="/xl/worksheets/sheet460.xml" ContentType="application/vnd.openxmlformats-officedocument.spreadsheetml.worksheet+xml"/>
  <Override PartName="/xl/worksheets/sheet461.xml" ContentType="application/vnd.openxmlformats-officedocument.spreadsheetml.worksheet+xml"/>
  <Override PartName="/xl/worksheets/sheet462.xml" ContentType="application/vnd.openxmlformats-officedocument.spreadsheetml.worksheet+xml"/>
  <Override PartName="/xl/worksheets/sheet463.xml" ContentType="application/vnd.openxmlformats-officedocument.spreadsheetml.worksheet+xml"/>
  <Override PartName="/xl/worksheets/sheet464.xml" ContentType="application/vnd.openxmlformats-officedocument.spreadsheetml.worksheet+xml"/>
  <Override PartName="/xl/worksheets/sheet465.xml" ContentType="application/vnd.openxmlformats-officedocument.spreadsheetml.worksheet+xml"/>
  <Override PartName="/xl/worksheets/sheet466.xml" ContentType="application/vnd.openxmlformats-officedocument.spreadsheetml.worksheet+xml"/>
  <Override PartName="/xl/worksheets/sheet467.xml" ContentType="application/vnd.openxmlformats-officedocument.spreadsheetml.worksheet+xml"/>
  <Override PartName="/xl/worksheets/sheet468.xml" ContentType="application/vnd.openxmlformats-officedocument.spreadsheetml.worksheet+xml"/>
  <Override PartName="/xl/worksheets/sheet469.xml" ContentType="application/vnd.openxmlformats-officedocument.spreadsheetml.worksheet+xml"/>
  <Override PartName="/xl/worksheets/sheet470.xml" ContentType="application/vnd.openxmlformats-officedocument.spreadsheetml.worksheet+xml"/>
  <Override PartName="/xl/worksheets/sheet471.xml" ContentType="application/vnd.openxmlformats-officedocument.spreadsheetml.worksheet+xml"/>
  <Override PartName="/xl/worksheets/sheet472.xml" ContentType="application/vnd.openxmlformats-officedocument.spreadsheetml.worksheet+xml"/>
  <Override PartName="/xl/worksheets/sheet473.xml" ContentType="application/vnd.openxmlformats-officedocument.spreadsheetml.worksheet+xml"/>
  <Override PartName="/xl/worksheets/sheet474.xml" ContentType="application/vnd.openxmlformats-officedocument.spreadsheetml.worksheet+xml"/>
  <Override PartName="/xl/worksheets/sheet475.xml" ContentType="application/vnd.openxmlformats-officedocument.spreadsheetml.worksheet+xml"/>
  <Override PartName="/xl/worksheets/sheet476.xml" ContentType="application/vnd.openxmlformats-officedocument.spreadsheetml.worksheet+xml"/>
  <Override PartName="/xl/worksheets/sheet477.xml" ContentType="application/vnd.openxmlformats-officedocument.spreadsheetml.worksheet+xml"/>
  <Override PartName="/xl/worksheets/sheet478.xml" ContentType="application/vnd.openxmlformats-officedocument.spreadsheetml.worksheet+xml"/>
  <Override PartName="/xl/worksheets/sheet479.xml" ContentType="application/vnd.openxmlformats-officedocument.spreadsheetml.worksheet+xml"/>
  <Override PartName="/xl/worksheets/sheet480.xml" ContentType="application/vnd.openxmlformats-officedocument.spreadsheetml.worksheet+xml"/>
  <Override PartName="/xl/worksheets/sheet481.xml" ContentType="application/vnd.openxmlformats-officedocument.spreadsheetml.worksheet+xml"/>
  <Override PartName="/xl/worksheets/sheet482.xml" ContentType="application/vnd.openxmlformats-officedocument.spreadsheetml.worksheet+xml"/>
  <Override PartName="/xl/worksheets/sheet483.xml" ContentType="application/vnd.openxmlformats-officedocument.spreadsheetml.worksheet+xml"/>
  <Override PartName="/xl/worksheets/sheet484.xml" ContentType="application/vnd.openxmlformats-officedocument.spreadsheetml.worksheet+xml"/>
  <Override PartName="/xl/worksheets/sheet485.xml" ContentType="application/vnd.openxmlformats-officedocument.spreadsheetml.worksheet+xml"/>
  <Override PartName="/xl/worksheets/sheet486.xml" ContentType="application/vnd.openxmlformats-officedocument.spreadsheetml.worksheet+xml"/>
  <Override PartName="/xl/worksheets/sheet487.xml" ContentType="application/vnd.openxmlformats-officedocument.spreadsheetml.worksheet+xml"/>
  <Override PartName="/xl/worksheets/sheet488.xml" ContentType="application/vnd.openxmlformats-officedocument.spreadsheetml.worksheet+xml"/>
  <Override PartName="/xl/worksheets/sheet489.xml" ContentType="application/vnd.openxmlformats-officedocument.spreadsheetml.worksheet+xml"/>
  <Override PartName="/xl/worksheets/sheet490.xml" ContentType="application/vnd.openxmlformats-officedocument.spreadsheetml.worksheet+xml"/>
  <Override PartName="/xl/worksheets/sheet491.xml" ContentType="application/vnd.openxmlformats-officedocument.spreadsheetml.worksheet+xml"/>
  <Override PartName="/xl/worksheets/sheet492.xml" ContentType="application/vnd.openxmlformats-officedocument.spreadsheetml.worksheet+xml"/>
  <Override PartName="/xl/worksheets/sheet493.xml" ContentType="application/vnd.openxmlformats-officedocument.spreadsheetml.worksheet+xml"/>
  <Override PartName="/xl/worksheets/sheet494.xml" ContentType="application/vnd.openxmlformats-officedocument.spreadsheetml.worksheet+xml"/>
  <Override PartName="/xl/worksheets/sheet495.xml" ContentType="application/vnd.openxmlformats-officedocument.spreadsheetml.worksheet+xml"/>
  <Override PartName="/xl/worksheets/sheet496.xml" ContentType="application/vnd.openxmlformats-officedocument.spreadsheetml.worksheet+xml"/>
  <Override PartName="/xl/worksheets/sheet497.xml" ContentType="application/vnd.openxmlformats-officedocument.spreadsheetml.worksheet+xml"/>
  <Override PartName="/xl/worksheets/sheet498.xml" ContentType="application/vnd.openxmlformats-officedocument.spreadsheetml.worksheet+xml"/>
  <Override PartName="/xl/worksheets/sheet499.xml" ContentType="application/vnd.openxmlformats-officedocument.spreadsheetml.worksheet+xml"/>
  <Override PartName="/xl/worksheets/sheet500.xml" ContentType="application/vnd.openxmlformats-officedocument.spreadsheetml.worksheet+xml"/>
  <Override PartName="/xl/worksheets/sheet501.xml" ContentType="application/vnd.openxmlformats-officedocument.spreadsheetml.worksheet+xml"/>
  <Override PartName="/xl/worksheets/sheet502.xml" ContentType="application/vnd.openxmlformats-officedocument.spreadsheetml.worksheet+xml"/>
  <Override PartName="/xl/worksheets/sheet503.xml" ContentType="application/vnd.openxmlformats-officedocument.spreadsheetml.worksheet+xml"/>
  <Override PartName="/xl/worksheets/sheet504.xml" ContentType="application/vnd.openxmlformats-officedocument.spreadsheetml.worksheet+xml"/>
  <Override PartName="/xl/worksheets/sheet505.xml" ContentType="application/vnd.openxmlformats-officedocument.spreadsheetml.worksheet+xml"/>
  <Override PartName="/xl/worksheets/sheet506.xml" ContentType="application/vnd.openxmlformats-officedocument.spreadsheetml.worksheet+xml"/>
  <Override PartName="/xl/worksheets/sheet507.xml" ContentType="application/vnd.openxmlformats-officedocument.spreadsheetml.worksheet+xml"/>
  <Override PartName="/xl/worksheets/sheet508.xml" ContentType="application/vnd.openxmlformats-officedocument.spreadsheetml.worksheet+xml"/>
  <Override PartName="/xl/worksheets/sheet509.xml" ContentType="application/vnd.openxmlformats-officedocument.spreadsheetml.worksheet+xml"/>
  <Override PartName="/xl/worksheets/sheet510.xml" ContentType="application/vnd.openxmlformats-officedocument.spreadsheetml.worksheet+xml"/>
  <Override PartName="/xl/worksheets/sheet511.xml" ContentType="application/vnd.openxmlformats-officedocument.spreadsheetml.worksheet+xml"/>
  <Override PartName="/xl/worksheets/sheet512.xml" ContentType="application/vnd.openxmlformats-officedocument.spreadsheetml.worksheet+xml"/>
  <Override PartName="/xl/worksheets/sheet513.xml" ContentType="application/vnd.openxmlformats-officedocument.spreadsheetml.worksheet+xml"/>
  <Override PartName="/xl/worksheets/sheet514.xml" ContentType="application/vnd.openxmlformats-officedocument.spreadsheetml.worksheet+xml"/>
  <Override PartName="/xl/worksheets/sheet515.xml" ContentType="application/vnd.openxmlformats-officedocument.spreadsheetml.worksheet+xml"/>
  <Override PartName="/xl/worksheets/sheet516.xml" ContentType="application/vnd.openxmlformats-officedocument.spreadsheetml.worksheet+xml"/>
  <Override PartName="/xl/worksheets/sheet517.xml" ContentType="application/vnd.openxmlformats-officedocument.spreadsheetml.worksheet+xml"/>
  <Override PartName="/xl/worksheets/sheet518.xml" ContentType="application/vnd.openxmlformats-officedocument.spreadsheetml.worksheet+xml"/>
  <Override PartName="/xl/worksheets/sheet519.xml" ContentType="application/vnd.openxmlformats-officedocument.spreadsheetml.worksheet+xml"/>
  <Override PartName="/xl/worksheets/sheet520.xml" ContentType="application/vnd.openxmlformats-officedocument.spreadsheetml.worksheet+xml"/>
  <Override PartName="/xl/worksheets/sheet521.xml" ContentType="application/vnd.openxmlformats-officedocument.spreadsheetml.worksheet+xml"/>
  <Override PartName="/xl/worksheets/sheet522.xml" ContentType="application/vnd.openxmlformats-officedocument.spreadsheetml.worksheet+xml"/>
  <Override PartName="/xl/worksheets/sheet523.xml" ContentType="application/vnd.openxmlformats-officedocument.spreadsheetml.worksheet+xml"/>
  <Override PartName="/xl/worksheets/sheet524.xml" ContentType="application/vnd.openxmlformats-officedocument.spreadsheetml.worksheet+xml"/>
  <Override PartName="/xl/worksheets/sheet525.xml" ContentType="application/vnd.openxmlformats-officedocument.spreadsheetml.worksheet+xml"/>
  <Override PartName="/xl/worksheets/sheet526.xml" ContentType="application/vnd.openxmlformats-officedocument.spreadsheetml.worksheet+xml"/>
  <Override PartName="/xl/worksheets/sheet527.xml" ContentType="application/vnd.openxmlformats-officedocument.spreadsheetml.worksheet+xml"/>
  <Override PartName="/xl/worksheets/sheet5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rencia\Documents\"/>
    </mc:Choice>
  </mc:AlternateContent>
  <xr:revisionPtr revIDLastSave="0" documentId="13_ncr:1_{985EC051-F59B-47CF-A26F-DDFA9EE50274}" xr6:coauthVersionLast="47" xr6:coauthVersionMax="47" xr10:uidLastSave="{00000000-0000-0000-0000-000000000000}"/>
  <bookViews>
    <workbookView xWindow="-120" yWindow="-120" windowWidth="19440" windowHeight="14040" firstSheet="523" activeTab="527" xr2:uid="{C9A5463C-56F5-4444-B108-B398C0BF9110}"/>
  </bookViews>
  <sheets>
    <sheet name="SOINDCO - 230" sheetId="1" r:id="rId1"/>
    <sheet name="EISTEN - 231" sheetId="2" r:id="rId2"/>
    <sheet name="EISTEN - 232" sheetId="3" r:id="rId3"/>
    <sheet name="SOINDCO - 235" sheetId="4" r:id="rId4"/>
    <sheet name="SEBASTIAN NARVAEZ - 236" sheetId="6" r:id="rId5"/>
    <sheet name="AGROMETALICAS - 238" sheetId="8" r:id="rId6"/>
    <sheet name="CARLOS LUGO - 239 - 240" sheetId="9" r:id="rId7"/>
    <sheet name="HUGO F. LOPEZ - 241" sheetId="11" r:id="rId8"/>
    <sheet name="CARLOS LUGO - 244" sheetId="12" r:id="rId9"/>
    <sheet name="SERGTESAS - 245" sheetId="14" r:id="rId10"/>
    <sheet name="AYC SOLUCIONES - 246" sheetId="16" r:id="rId11"/>
    <sheet name="AGRODIAL - 247" sheetId="17" r:id="rId12"/>
    <sheet name="BRONZMETAL - 248" sheetId="18" r:id="rId13"/>
    <sheet name="  251- ANULADA" sheetId="21" r:id="rId14"/>
    <sheet name="VILLEGAS - 252" sheetId="24" r:id="rId15"/>
    <sheet name="AYC SOLUCIONES - 254" sheetId="23" r:id="rId16"/>
    <sheet name="BOMBAS Y FLUIDOS - 256" sheetId="26" r:id="rId17"/>
    <sheet name="IND. JILA - 257" sheetId="27" r:id="rId18"/>
    <sheet name="IND. CORTEZ - 258" sheetId="28" r:id="rId19"/>
    <sheet name="PEPINOSA - 263" sheetId="31" r:id="rId20"/>
    <sheet name="SOIND - 264" sheetId="34" r:id="rId21"/>
    <sheet name="ROCIO BERNAL - 265" sheetId="35" r:id="rId22"/>
    <sheet name="WATERCOL - 266" sheetId="36" r:id="rId23"/>
    <sheet name="SERVIMETAL PALMIRA - 267" sheetId="37" r:id="rId24"/>
    <sheet name="SOIND - 270" sheetId="40" r:id="rId25"/>
    <sheet name="GRIVAN - 271" sheetId="41" r:id="rId26"/>
    <sheet name="AINOX SAS - 274" sheetId="44" r:id="rId27"/>
    <sheet name="WATERCOL - 275" sheetId="45" r:id="rId28"/>
    <sheet name="STB INGENIERIA - 276" sheetId="46" r:id="rId29"/>
    <sheet name="BOMBAS Y FLUIDOS - 280" sheetId="50" r:id="rId30"/>
    <sheet name="MICRON ENERGY - 281" sheetId="51" r:id="rId31"/>
    <sheet name="ASTAIZA - 282" sheetId="52" r:id="rId32"/>
    <sheet name="DICAV - 283" sheetId="53" r:id="rId33"/>
    <sheet name="LUIS FDO. SILVA - 284" sheetId="54" r:id="rId34"/>
    <sheet name="PEPINOSA - 286" sheetId="56" r:id="rId35"/>
    <sheet name="CALDERAS DAZA 287-289" sheetId="57" r:id="rId36"/>
    <sheet name="WATERCOL - 288" sheetId="58" r:id="rId37"/>
    <sheet name="MECAPACIFICO - 290" sheetId="59" r:id="rId38"/>
    <sheet name="FERROVARIEDADES - 291" sheetId="60" r:id="rId39"/>
    <sheet name="VILLEGAS - 292" sheetId="61" r:id="rId40"/>
    <sheet name="GREENPULP SAS - 293" sheetId="62" r:id="rId41"/>
    <sheet name="OMAR MOSQUERA - 294 " sheetId="64" r:id="rId42"/>
    <sheet name="OMAR MOSQUERA - 295" sheetId="65" r:id="rId43"/>
    <sheet name="WG ENERGIA INTEGRAL - 298" sheetId="68" r:id="rId44"/>
    <sheet name="INTERCOL - 303" sheetId="72" r:id="rId45"/>
    <sheet name="FILTRO MOTOR'S - 304" sheetId="73" r:id="rId46"/>
    <sheet name="VILLEGAS - 306" sheetId="75" r:id="rId47"/>
    <sheet name="FORERO CONDE - 311" sheetId="76" r:id="rId48"/>
    <sheet name="MECANIZADOS DEL PACIFICO - 313" sheetId="77" r:id="rId49"/>
    <sheet name="FORERO CONDE - 315" sheetId="78" r:id="rId50"/>
    <sheet name="FERROVARIEDADES - 316" sheetId="79" r:id="rId51"/>
    <sheet name="PCL - 317" sheetId="80" r:id="rId52"/>
    <sheet name="BRONZMETAL - 318" sheetId="81" r:id="rId53"/>
    <sheet name="SOLUCIONES NEUMATICAS - 319" sheetId="82" r:id="rId54"/>
    <sheet name="JRL SAS - 321" sheetId="83" r:id="rId55"/>
    <sheet name="DANY MUÑOZ - 323" sheetId="84" r:id="rId56"/>
    <sheet name="SEMPROS S.A.S. -325" sheetId="85" r:id="rId57"/>
    <sheet name="WATERCOL - 326" sheetId="86" r:id="rId58"/>
    <sheet name="TECNOAJI - 327" sheetId="87" r:id="rId59"/>
    <sheet name="HSC INGENIERIA  - 328" sheetId="88" r:id="rId60"/>
    <sheet name="JGH PROYECTOS  - 329" sheetId="90" r:id="rId61"/>
    <sheet name="RAMIRO CHAUX - 330" sheetId="89" r:id="rId62"/>
    <sheet name="SUMISERV. TECNICOS - 331" sheetId="102" r:id="rId63"/>
    <sheet name="BRONZMETAL - 336" sheetId="91" r:id="rId64"/>
    <sheet name="WG ENERGIA - 337" sheetId="92" r:id="rId65"/>
    <sheet name="SOLUINDCO - 339" sheetId="93" r:id="rId66"/>
    <sheet name="MECANIZADOS IND. - 340" sheetId="94" r:id="rId67"/>
    <sheet name="DIDACONTROL - 343" sheetId="95" r:id="rId68"/>
    <sheet name="RAMIRO CHAUX - 346" sheetId="96" r:id="rId69"/>
    <sheet name="OMAR MOSQUERA - 349" sheetId="98" r:id="rId70"/>
    <sheet name="VILLEGAS - 352" sheetId="99" r:id="rId71"/>
    <sheet name="PEPINOSA - 357" sheetId="100" r:id="rId72"/>
    <sheet name="SOLUINDCO - 359" sheetId="101" r:id="rId73"/>
    <sheet name="SU PROVEEDOR - 363" sheetId="103" r:id="rId74"/>
    <sheet name="VYG CONSTRUCTORES - 364" sheetId="104" r:id="rId75"/>
    <sheet name="PEPINOSA - 365" sheetId="105" r:id="rId76"/>
    <sheet name="VYG CONSTRUCTORES - 366" sheetId="106" r:id="rId77"/>
    <sheet name="WG ENERGIA - 369" sheetId="107" r:id="rId78"/>
    <sheet name="VYG CONSTRUCTORES  - 370" sheetId="108" r:id="rId79"/>
    <sheet name="MECANIZADOS DEL PAC. - 371" sheetId="109" r:id="rId80"/>
    <sheet name="W G ENERGIA - 374" sheetId="110" r:id="rId81"/>
    <sheet name="RAMIRO CHAUX - 375" sheetId="111" r:id="rId82"/>
    <sheet name="SU PROVEEDOR - 376" sheetId="112" r:id="rId83"/>
    <sheet name="FERROVARIEDADES - 377" sheetId="113" r:id="rId84"/>
    <sheet name="REFRIDACAR - 381" sheetId="115" r:id="rId85"/>
    <sheet name="AYC SOLUCIONES -382" sheetId="114" r:id="rId86"/>
    <sheet name="RAMIRO CHAUX - 383" sheetId="116" r:id="rId87"/>
    <sheet name="MECANIZADOS IND. DEL CAUCA - 38" sheetId="117" r:id="rId88"/>
    <sheet name="INOXIDABLES FAGAR - 386" sheetId="118" r:id="rId89"/>
    <sheet name="MFR - 387" sheetId="119" r:id="rId90"/>
    <sheet name="ACUATANK - 388" sheetId="121" r:id="rId91"/>
    <sheet name="S.M.S. - 389" sheetId="120" r:id="rId92"/>
    <sheet name="WG ENERGIA - 392" sheetId="122" r:id="rId93"/>
    <sheet name="COMYSUM DEL VALLLE - 393" sheetId="123" r:id="rId94"/>
    <sheet name="PRODISMEC - 398" sheetId="124" r:id="rId95"/>
    <sheet name="TECN Y MTMTO - 399" sheetId="126" r:id="rId96"/>
    <sheet name="METALBAS - 402" sheetId="127" r:id="rId97"/>
    <sheet name="METALBAS - 405" sheetId="128" r:id="rId98"/>
    <sheet name="COM DE TUB Y LAM - 408" sheetId="125" r:id="rId99"/>
    <sheet name="MAURICIO LISCANO - 412" sheetId="129" r:id="rId100"/>
    <sheet name="METALBAS - 413" sheetId="130" r:id="rId101"/>
    <sheet name="DIDACONTROL S.A.S. 418" sheetId="131" r:id="rId102"/>
    <sheet name="REFRIDACAR - 419" sheetId="132" r:id="rId103"/>
    <sheet name="METALBAS - 420" sheetId="133" r:id="rId104"/>
    <sheet name="HERMAR  - 423" sheetId="134" r:id="rId105"/>
    <sheet name="J R L S.A.S.- 424" sheetId="135" r:id="rId106"/>
    <sheet name="KSA S.A.S. - 425" sheetId="136" r:id="rId107"/>
    <sheet name="FITTING VALVES - 432" sheetId="137" r:id="rId108"/>
    <sheet name="METALBAS - 433" sheetId="138" r:id="rId109"/>
    <sheet name="ACEROSCOL - 435" sheetId="139" r:id="rId110"/>
    <sheet name="SEBASTIAN - 436" sheetId="140" r:id="rId111"/>
    <sheet name="CABARCO - 437" sheetId="141" r:id="rId112"/>
    <sheet name="FONTANEROS - 442" sheetId="142" r:id="rId113"/>
    <sheet name="PEPINOSA - 443" sheetId="143" r:id="rId114"/>
    <sheet name="DRILLING - 444" sheetId="144" r:id="rId115"/>
    <sheet name="ESPY - 445" sheetId="145" r:id="rId116"/>
    <sheet name="SEBASTIAN - 446" sheetId="146" r:id="rId117"/>
    <sheet name="KSA S.A.S. - 447" sheetId="147" r:id="rId118"/>
    <sheet name="PCL - 453" sheetId="148" r:id="rId119"/>
    <sheet name="AMJ - 455" sheetId="149" r:id="rId120"/>
    <sheet name="BRAIMM - 457" sheetId="150" r:id="rId121"/>
    <sheet name="ACUATANK - 458" sheetId="151" r:id="rId122"/>
    <sheet name="SUMING Y MTMTO - 460" sheetId="152" r:id="rId123"/>
    <sheet name="GREENPULP - 462" sheetId="153" r:id="rId124"/>
    <sheet name="INGEGRALES - 463" sheetId="154" r:id="rId125"/>
    <sheet name="LUIS OSORIO - 465" sheetId="155" r:id="rId126"/>
    <sheet name="ITALO MARTINEZ - 466" sheetId="156" r:id="rId127"/>
    <sheet name="RAMIRO CHAUX - 467" sheetId="157" r:id="rId128"/>
    <sheet name="S.M.S.  SAS -468" sheetId="158" r:id="rId129"/>
    <sheet name="AMJ - 469" sheetId="159" r:id="rId130"/>
    <sheet name="METALBAS - 473" sheetId="160" r:id="rId131"/>
    <sheet name="IND. PAZ - 474" sheetId="161" r:id="rId132"/>
    <sheet name="MTMTO METALM. - 477" sheetId="162" r:id="rId133"/>
    <sheet name="PCL - 480" sheetId="163" r:id="rId134"/>
    <sheet name="VARIOS - 482" sheetId="164" r:id="rId135"/>
    <sheet name="PEPINOSA - 486" sheetId="165" r:id="rId136"/>
    <sheet name="IND. CORTEZ - 487" sheetId="166" r:id="rId137"/>
    <sheet name="METALBAS - 488" sheetId="167" r:id="rId138"/>
    <sheet name="CYC - 490" sheetId="168" r:id="rId139"/>
    <sheet name="JOSE FDO. SALAZAR - 494" sheetId="169" r:id="rId140"/>
    <sheet name="AQUARRIEGO LTDA - 495" sheetId="170" r:id="rId141"/>
    <sheet name="AIRMATIC - 496" sheetId="171" r:id="rId142"/>
    <sheet name="FITTING VALVES - 499" sheetId="172" r:id="rId143"/>
    <sheet name="FERMIN MUÑOZ - 500" sheetId="173" r:id="rId144"/>
    <sheet name="IND WALD - 501" sheetId="174" r:id="rId145"/>
    <sheet name="SUMIND Y MTMTO - 503" sheetId="175" r:id="rId146"/>
    <sheet name="SUMIND Y MTMTO - 504" sheetId="176" r:id="rId147"/>
    <sheet name="PCL - 506" sheetId="177" r:id="rId148"/>
    <sheet name="HERMAR - 507" sheetId="178" r:id="rId149"/>
    <sheet name="SOLIND Y MTMTO - 511" sheetId="179" r:id="rId150"/>
    <sheet name="IND. JILA - 512" sheetId="180" r:id="rId151"/>
    <sheet name="MOINSE - 517" sheetId="181" r:id="rId152"/>
    <sheet name="HERMAR - 518" sheetId="182" r:id="rId153"/>
    <sheet name="UB HIDROSTATICOS - 519" sheetId="183" r:id="rId154"/>
    <sheet name="FERMIN MUÑOZ - 523" sheetId="184" r:id="rId155"/>
    <sheet name="W G ENERGIA - 528" sheetId="185" r:id="rId156"/>
    <sheet name="GREEN PULP - 531" sheetId="186" r:id="rId157"/>
    <sheet name="WATERCOL - 535" sheetId="187" r:id="rId158"/>
    <sheet name="SEBASTIAN - 537" sheetId="188" r:id="rId159"/>
    <sheet name="FONTANEROS - 539" sheetId="189" r:id="rId160"/>
    <sheet name="METALBAS - 543" sheetId="190" r:id="rId161"/>
    <sheet name="METALBAS - 546" sheetId="191" r:id="rId162"/>
    <sheet name="MOINSE - 548" sheetId="192" r:id="rId163"/>
    <sheet name="SOLNEUMATICAS - 550" sheetId="193" r:id="rId164"/>
    <sheet name="JRL S.A.S. - 552" sheetId="194" r:id="rId165"/>
    <sheet name="METALBAS - 553" sheetId="195" r:id="rId166"/>
    <sheet name="S.M.S. IND - 555" sheetId="196" r:id="rId167"/>
    <sheet name="S.M.S. IND - 556" sheetId="197" r:id="rId168"/>
    <sheet name="RONALD ARAGON - 557" sheetId="198" r:id="rId169"/>
    <sheet name="FONTANEROS - 560" sheetId="199" r:id="rId170"/>
    <sheet name="FONTANEROS - 562" sheetId="200" r:id="rId171"/>
    <sheet name="S.M.S IND - 563" sheetId="201" r:id="rId172"/>
    <sheet name="RONALD - 566" sheetId="202" r:id="rId173"/>
    <sheet name="HUGO F. LOPEZ - 569" sheetId="203" r:id="rId174"/>
    <sheet name="DANFER - 570" sheetId="204" r:id="rId175"/>
    <sheet name="OUTSOURCING - 576" sheetId="205" r:id="rId176"/>
    <sheet name="VARIOS - 578" sheetId="206" r:id="rId177"/>
    <sheet name="SU PROVEEDOR - 581" sheetId="207" r:id="rId178"/>
    <sheet name="UB HIDROSANITARIO - 583" sheetId="208" r:id="rId179"/>
    <sheet name="WG ENERGIA - 584" sheetId="209" r:id="rId180"/>
    <sheet name="RAMIRO ROSERO - 587" sheetId="210" r:id="rId181"/>
    <sheet name="EMERIND SAS - 591" sheetId="211" r:id="rId182"/>
    <sheet name="WG ENERGIA  - 592" sheetId="212" r:id="rId183"/>
    <sheet name="POZO RADIAL - 593" sheetId="213" r:id="rId184"/>
    <sheet name="UB HIDROSANITARIO - 596" sheetId="214" r:id="rId185"/>
    <sheet name="INELCO S.A.S. - 597" sheetId="215" r:id="rId186"/>
    <sheet name="SU PROVEEDOR - 598" sheetId="216" r:id="rId187"/>
    <sheet name="JONNY VALENCIA - 599" sheetId="217" r:id="rId188"/>
    <sheet name="ALFREYCAIPE - 600" sheetId="218" r:id="rId189"/>
    <sheet name="J&amp;M  - 604" sheetId="219" r:id="rId190"/>
    <sheet name="JRL - 605" sheetId="220" r:id="rId191"/>
    <sheet name="ALFREY CAIPE - 609" sheetId="221" r:id="rId192"/>
    <sheet name="MARCO MONTOYA - 612" sheetId="222" r:id="rId193"/>
    <sheet name="INELCO - 617" sheetId="223" r:id="rId194"/>
    <sheet name="J M SAS - 619" sheetId="225" r:id="rId195"/>
    <sheet name="RONALD - 620" sheetId="224" r:id="rId196"/>
    <sheet name="UB HIDROSANITARIO - 622" sheetId="226" r:id="rId197"/>
    <sheet name="DISTRIMOL - 623" sheetId="227" r:id="rId198"/>
    <sheet name="SU PROVEEDOR - 627" sheetId="228" r:id="rId199"/>
    <sheet name="FAB &amp; CAUCHOS - 630" sheetId="229" r:id="rId200"/>
    <sheet name="DANFER - 631" sheetId="230" r:id="rId201"/>
    <sheet name="SU PROVEEDOR - 633" sheetId="231" r:id="rId202"/>
    <sheet name="CRISPINIANO - 635" sheetId="232" r:id="rId203"/>
    <sheet name="SEBASTIAN - 637" sheetId="233" r:id="rId204"/>
    <sheet name="JRL - 638" sheetId="234" r:id="rId205"/>
    <sheet name="SOPLAPACK - 639" sheetId="235" r:id="rId206"/>
    <sheet name="MECAIND DEL CAUCA - 640" sheetId="236" r:id="rId207"/>
    <sheet name="JOSE FDO SALAZAR - 642" sheetId="237" r:id="rId208"/>
    <sheet name="METALBAS - 643" sheetId="238" r:id="rId209"/>
    <sheet name="SUMIND Y MTTO - 645" sheetId="239" r:id="rId210"/>
    <sheet name="BRAVO CONST. -647" sheetId="240" r:id="rId211"/>
    <sheet name="JONNY VALENCIA - 648" sheetId="241" r:id="rId212"/>
    <sheet name="DANFER  - 651" sheetId="242" r:id="rId213"/>
    <sheet name="SERVISAFE S.A.S. - 652" sheetId="243" r:id="rId214"/>
    <sheet name="DANFER - 653" sheetId="244" r:id="rId215"/>
    <sheet name="MARCO MONTOYA - 655" sheetId="245" r:id="rId216"/>
    <sheet name="WATERCOL - 657" sheetId="246" r:id="rId217"/>
    <sheet name="SU PROVEEDOR - 658" sheetId="247" r:id="rId218"/>
    <sheet name="SERVISAFE - 659" sheetId="248" r:id="rId219"/>
    <sheet name="DANFER - 660" sheetId="249" r:id="rId220"/>
    <sheet name="APPONTE RAMOS - 661" sheetId="251" r:id="rId221"/>
    <sheet name="PEPINOSA - 662" sheetId="250" r:id="rId222"/>
    <sheet name="CONSTRUARIS - 664" sheetId="252" r:id="rId223"/>
    <sheet name="LAP INGENIERIA - 666" sheetId="253" r:id="rId224"/>
    <sheet name="MECAIND.DEL CAUCA - 668" sheetId="254" r:id="rId225"/>
    <sheet name="SERVISAFE - 670" sheetId="255" r:id="rId226"/>
    <sheet name="CONSTRURIVAL - 673" sheetId="256" r:id="rId227"/>
    <sheet name="CONSTRURIVAL ,- 674" sheetId="257" r:id="rId228"/>
    <sheet name="RAMIRO CHAUX - 677" sheetId="258" r:id="rId229"/>
    <sheet name="RAMIRO CHAUX - 679" sheetId="259" r:id="rId230"/>
    <sheet name="INELCO - 682" sheetId="260" r:id="rId231"/>
    <sheet name="V A A - 684" sheetId="261" r:id="rId232"/>
    <sheet name="M V  S.A.S. - 685" sheetId="262" r:id="rId233"/>
    <sheet name="U B - 686" sheetId="263" r:id="rId234"/>
    <sheet name="ACUATANK - 687" sheetId="264" r:id="rId235"/>
    <sheet name="S.M.S. - 688" sheetId="265" r:id="rId236"/>
    <sheet name="ACUATANK - 689" sheetId="266" r:id="rId237"/>
    <sheet name="MAHOS - 690" sheetId="267" r:id="rId238"/>
    <sheet name="INELCO - 691" sheetId="268" r:id="rId239"/>
    <sheet name="SERVISAFE - 693" sheetId="269" r:id="rId240"/>
    <sheet name="V  A A   - 694" sheetId="270" r:id="rId241"/>
    <sheet name="INELCO  - 695" sheetId="271" r:id="rId242"/>
    <sheet name="IPR - 697" sheetId="272" r:id="rId243"/>
    <sheet name="W G ENERGIA - 700" sheetId="273" r:id="rId244"/>
    <sheet name="HERMAR - 701" sheetId="274" r:id="rId245"/>
    <sheet name="LUIS FDO. OSORIO - 702" sheetId="275" r:id="rId246"/>
    <sheet name="MOINSE - 703" sheetId="276" r:id="rId247"/>
    <sheet name="MOINSE - 704" sheetId="277" r:id="rId248"/>
    <sheet name="MOINSE - 705" sheetId="278" r:id="rId249"/>
    <sheet name="SERVISAFE - 706" sheetId="279" r:id="rId250"/>
    <sheet name="SU PROVEEDOR - 707" sheetId="280" r:id="rId251"/>
    <sheet name="MOINSE - 708" sheetId="281" r:id="rId252"/>
    <sheet name="METALVIAL - 713" sheetId="282" r:id="rId253"/>
    <sheet name="P C L  - 715" sheetId="283" r:id="rId254"/>
    <sheet name="SOLOIND - 717" sheetId="284" r:id="rId255"/>
    <sheet name="BRAIMM - 718" sheetId="285" r:id="rId256"/>
    <sheet name="IND AMG - 724" sheetId="286" r:id="rId257"/>
    <sheet name="AIMONT - 725" sheetId="287" r:id="rId258"/>
    <sheet name="SANNOX - 727" sheetId="288" r:id="rId259"/>
    <sheet name="DIDACONTROL - 729" sheetId="289" r:id="rId260"/>
    <sheet name="SANNOX  - 730" sheetId="290" r:id="rId261"/>
    <sheet name="AMJ GROUP - 733" sheetId="291" r:id="rId262"/>
    <sheet name="N T  LABS - 734" sheetId="292" r:id="rId263"/>
    <sheet name="AMJ - 737" sheetId="293" r:id="rId264"/>
    <sheet name="2222 - 742" sheetId="294" r:id="rId265"/>
    <sheet name="PEPINOSA - 743" sheetId="295" r:id="rId266"/>
    <sheet name="SOLUIND. M V - 745" sheetId="296" r:id="rId267"/>
    <sheet name="AMJ - 747" sheetId="297" r:id="rId268"/>
    <sheet name="ED. RINCON - 748" sheetId="298" r:id="rId269"/>
    <sheet name="MOINSE - 749" sheetId="299" r:id="rId270"/>
    <sheet name="SU PROVEEDOR - 750" sheetId="301" r:id="rId271"/>
    <sheet name="ACUATANK - 751" sheetId="300" r:id="rId272"/>
    <sheet name="AMJ - 756" sheetId="302" r:id="rId273"/>
    <sheet name="RICH S.A.S. - 757" sheetId="303" r:id="rId274"/>
    <sheet name="JUROC - 759" sheetId="304" r:id="rId275"/>
    <sheet name="ISA - 760" sheetId="305" r:id="rId276"/>
    <sheet name="SU PROVEEDOR - 761" sheetId="306" r:id="rId277"/>
    <sheet name="SU PROVEEDOR - 764" sheetId="307" r:id="rId278"/>
    <sheet name="AMJ - 766" sheetId="308" r:id="rId279"/>
    <sheet name="MTMTO METALM - 769" sheetId="309" r:id="rId280"/>
    <sheet name="SU PROVEEDOR - 771" sheetId="311" r:id="rId281"/>
    <sheet name="METALPAZ - 772" sheetId="313" r:id="rId282"/>
    <sheet name="SERVISAFE - 775" sheetId="314" r:id="rId283"/>
    <sheet name="MARCO MONTOYA - 776" sheetId="315" r:id="rId284"/>
    <sheet name="SERVISAFE - 777" sheetId="316" r:id="rId285"/>
    <sheet name="R&amp;S ING. - 778" sheetId="317" r:id="rId286"/>
    <sheet name="AMJ - 779" sheetId="318" r:id="rId287"/>
    <sheet name="SEBASTIAN - 780" sheetId="319" r:id="rId288"/>
    <sheet name="HERMAR - 782" sheetId="320" r:id="rId289"/>
    <sheet name="HERMAR - 783" sheetId="321" r:id="rId290"/>
    <sheet name="SOLUIND MV - 784" sheetId="322" r:id="rId291"/>
    <sheet name="SPIM S.A.S. - 787" sheetId="323" r:id="rId292"/>
    <sheet name="PEPINOSA -788" sheetId="324" r:id="rId293"/>
    <sheet name="R&amp;S  -  790" sheetId="325" r:id="rId294"/>
    <sheet name="SU PROVEEDOR - 791" sheetId="326" r:id="rId295"/>
    <sheet name="SU PROVEEDOR - 792" sheetId="327" r:id="rId296"/>
    <sheet name="SU PROVEEDOR - 797" sheetId="328" r:id="rId297"/>
    <sheet name="FERREORIENTE - 798" sheetId="329" r:id="rId298"/>
    <sheet name="AMJ GROUP - 804" sheetId="330" r:id="rId299"/>
    <sheet name="V.A.A. SOLUIND - 808" sheetId="331" r:id="rId300"/>
    <sheet name="EPRING S.A.S. 809" sheetId="332" r:id="rId301"/>
    <sheet name="INTERVALLE - 810" sheetId="333" r:id="rId302"/>
    <sheet name="JRL S.A.S." sheetId="334" r:id="rId303"/>
    <sheet name="SU PROVEEDOR - 812" sheetId="335" r:id="rId304"/>
    <sheet name="MV SAS - 814" sheetId="336" r:id="rId305"/>
    <sheet name="UB HIDROSANITARIO - 815" sheetId="337" r:id="rId306"/>
    <sheet name="EPRING - 816" sheetId="338" r:id="rId307"/>
    <sheet name="SERVISAFE - 817" sheetId="339" r:id="rId308"/>
    <sheet name="MECAIND. DEL CAUCA - 819" sheetId="340" r:id="rId309"/>
    <sheet name="CARMACOL  - 882" sheetId="341" r:id="rId310"/>
    <sheet name="SPIM - 823" sheetId="342" r:id="rId311"/>
    <sheet name="AVA SOLUIND - 828" sheetId="343" r:id="rId312"/>
    <sheet name="VILLEGAS - 830" sheetId="345" r:id="rId313"/>
    <sheet name="SPIM - 831" sheetId="346" r:id="rId314"/>
    <sheet name="FAB&amp;CAUCHOS - 832" sheetId="344" r:id="rId315"/>
    <sheet name="ULTRASERVICIOS - 833" sheetId="347" r:id="rId316"/>
    <sheet name="SU PROVEEDOR - 834" sheetId="348" r:id="rId317"/>
    <sheet name="RAMIRO CHAUX - 835" sheetId="349" r:id="rId318"/>
    <sheet name="SU PROVEEDOR  -  836" sheetId="350" r:id="rId319"/>
    <sheet name="MECAPACIFICO - 838" sheetId="351" r:id="rId320"/>
    <sheet name="RAMIRO CHAUX - 843" sheetId="352" r:id="rId321"/>
    <sheet name="DANFER - 844" sheetId="353" r:id="rId322"/>
    <sheet name="REINA - 846" sheetId="354" r:id="rId323"/>
    <sheet name="SANTODOMINGO - 847" sheetId="355" r:id="rId324"/>
    <sheet name="JRL - 848" sheetId="356" r:id="rId325"/>
    <sheet name="SU PROVEEDOR - 849" sheetId="357" r:id="rId326"/>
    <sheet name="FERROTEC LTDA - 850" sheetId="358" r:id="rId327"/>
    <sheet name="SOLUNEUMATICAS - 851" sheetId="359" r:id="rId328"/>
    <sheet name="SERVISAFE - 853" sheetId="360" r:id="rId329"/>
    <sheet name="V A A SOL. - 854" sheetId="361" r:id="rId330"/>
    <sheet name="ANULADA" sheetId="362" r:id="rId331"/>
    <sheet name="UB - 857" sheetId="363" r:id="rId332"/>
    <sheet name="UB - 858" sheetId="364" r:id="rId333"/>
    <sheet name="SOLUIND APONTE - 859" sheetId="365" r:id="rId334"/>
    <sheet name="SEBASTIAN - 860" sheetId="366" r:id="rId335"/>
    <sheet name="M V SAS - 861" sheetId="367" r:id="rId336"/>
    <sheet name="METALBAS - 863" sheetId="368" r:id="rId337"/>
    <sheet name="AIMONT - 863" sheetId="369" r:id="rId338"/>
    <sheet name="V.A.A. SOLUIND - 864" sheetId="370" r:id="rId339"/>
    <sheet name="RICH - 865" sheetId="371" r:id="rId340"/>
    <sheet name="ACEROSCOL - 867" sheetId="372" r:id="rId341"/>
    <sheet name="ACEROSCOL - 868" sheetId="373" r:id="rId342"/>
    <sheet name="INGPRAK GZ - 869" sheetId="374" r:id="rId343"/>
    <sheet name="DIAL - 870" sheetId="375" r:id="rId344"/>
    <sheet name="SERVISAFE - 871" sheetId="376" r:id="rId345"/>
    <sheet name="SPIM - 872" sheetId="377" r:id="rId346"/>
    <sheet name="UB HIDROSANITARIO - 873" sheetId="378" r:id="rId347"/>
    <sheet name="AYC  -  879" sheetId="379" r:id="rId348"/>
    <sheet name="AMJ - 880" sheetId="382" r:id="rId349"/>
    <sheet name="FITTING VALVES - 881" sheetId="380" r:id="rId350"/>
    <sheet name="V A A SOLUIND - 885" sheetId="381" r:id="rId351"/>
    <sheet name="JILA - 889" sheetId="383" r:id="rId352"/>
    <sheet name="AMJ - 891" sheetId="384" r:id="rId353"/>
    <sheet name="DIDA - 893" sheetId="385" r:id="rId354"/>
    <sheet name="SERVISAFE - 895" sheetId="386" r:id="rId355"/>
    <sheet name="FITTING  -  896" sheetId="387" r:id="rId356"/>
    <sheet name="INGESOL - 897" sheetId="388" r:id="rId357"/>
    <sheet name="REINA - 898" sheetId="389" r:id="rId358"/>
    <sheet name="DIGASOL HS  S.A.S. - 899" sheetId="390" r:id="rId359"/>
    <sheet name="WATERCOL - 900" sheetId="391" r:id="rId360"/>
    <sheet name="GRUPOACERO - 901" sheetId="392" r:id="rId361"/>
    <sheet name="SPIM - 904" sheetId="393" r:id="rId362"/>
    <sheet name="SERVISAFE - 909" sheetId="394" r:id="rId363"/>
    <sheet name="AMJ - 910" sheetId="395" r:id="rId364"/>
    <sheet name="JILA  -  911" sheetId="396" r:id="rId365"/>
    <sheet name="TWA - 915" sheetId="397" r:id="rId366"/>
    <sheet name="SOLUIND - 917" sheetId="398" r:id="rId367"/>
    <sheet name="JRL - 918" sheetId="399" r:id="rId368"/>
    <sheet name="JILA - 919" sheetId="400" r:id="rId369"/>
    <sheet name="GRUPO ACERO - 920" sheetId="401" r:id="rId370"/>
    <sheet name="BRAIMM S.A.S. - 922" sheetId="405" r:id="rId371"/>
    <sheet name="TECNOX - 925" sheetId="404" r:id="rId372"/>
    <sheet name="SERVISAFE -926" sheetId="403" r:id="rId373"/>
    <sheet name="GRUPO ACERO - 927" sheetId="402" r:id="rId374"/>
    <sheet name="SEBASTIAN - 928" sheetId="406" r:id="rId375"/>
    <sheet name="AMJ - 929" sheetId="407" r:id="rId376"/>
    <sheet name="SERVISAFE - 930" sheetId="408" r:id="rId377"/>
    <sheet name="SPIM - 932" sheetId="409" r:id="rId378"/>
    <sheet name="SPIM - 933" sheetId="410" r:id="rId379"/>
    <sheet name="LIDER - 936" sheetId="411" r:id="rId380"/>
    <sheet name="V , A , A - 937" sheetId="412" r:id="rId381"/>
    <sheet name="SPIM - 938" sheetId="413" r:id="rId382"/>
    <sheet name="JILA - 943" sheetId="414" r:id="rId383"/>
    <sheet name="V A A  - 945" sheetId="415" r:id="rId384"/>
    <sheet name="HSC - 947" sheetId="416" r:id="rId385"/>
    <sheet name="FERMIN - 948" sheetId="417" r:id="rId386"/>
    <sheet name="SERVISAFE - 951" sheetId="418" r:id="rId387"/>
    <sheet name="FITTING - 952" sheetId="419" r:id="rId388"/>
    <sheet name="SPIM - 953" sheetId="420" r:id="rId389"/>
    <sheet name="IMPOSERV - 955" sheetId="421" r:id="rId390"/>
    <sheet name="AMJ - 956" sheetId="422" r:id="rId391"/>
    <sheet name="RAMIRO - 959" sheetId="423" r:id="rId392"/>
    <sheet name="COLMECANICAS - 961" sheetId="424" r:id="rId393"/>
    <sheet name="ASERDIESEL - 964" sheetId="425" r:id="rId394"/>
    <sheet name="UB HIDROSANITARIO - 968" sheetId="426" r:id="rId395"/>
    <sheet name="AMJ - 973" sheetId="427" r:id="rId396"/>
    <sheet name="SERVISAFE - 974" sheetId="428" r:id="rId397"/>
    <sheet name="SILVA -975" sheetId="429" r:id="rId398"/>
    <sheet name="SOLUIND - 976" sheetId="430" r:id="rId399"/>
    <sheet name="LIDER - 982" sheetId="431" r:id="rId400"/>
    <sheet name="LIDER - 984" sheetId="432" r:id="rId401"/>
    <sheet name="MECIND CAUCA - 987" sheetId="433" r:id="rId402"/>
    <sheet name="LIDER - 991" sheetId="434" r:id="rId403"/>
    <sheet name="IMAQ - 993" sheetId="452" r:id="rId404"/>
    <sheet name="SOLUTEC - 996" sheetId="435" r:id="rId405"/>
    <sheet name="SU PROVEEDOR - 997" sheetId="436" r:id="rId406"/>
    <sheet name="AMJ - 998" sheetId="437" r:id="rId407"/>
    <sheet name="M&amp;R - 999" sheetId="438" r:id="rId408"/>
    <sheet name="LAP - 1000" sheetId="439" r:id="rId409"/>
    <sheet name="BRAIMM - 1001" sheetId="440" r:id="rId410"/>
    <sheet name="SEBASTAN - 1004" sheetId="441" r:id="rId411"/>
    <sheet name="JILA - 1005" sheetId="442" r:id="rId412"/>
    <sheet name="HERMAR - 1006" sheetId="443" r:id="rId413"/>
    <sheet name="SEBASTIAN - 1011" sheetId="444" r:id="rId414"/>
    <sheet name="BENJAMIN MORA - 1012" sheetId="445" r:id="rId415"/>
    <sheet name="SEBASTIAN - 1013" sheetId="446" r:id="rId416"/>
    <sheet name="LIDER - 1016" sheetId="447" r:id="rId417"/>
    <sheet name="COLMECANICA - 1017" sheetId="448" r:id="rId418"/>
    <sheet name="SERVISAFE - 1022" sheetId="449" r:id="rId419"/>
    <sheet name="DIAL - 1023" sheetId="450" r:id="rId420"/>
    <sheet name="BRAIMM - 1024" sheetId="451" r:id="rId421"/>
    <sheet name="SU PROVEEDOR - 1026" sheetId="453" r:id="rId422"/>
    <sheet name="JGH - 1029" sheetId="454" r:id="rId423"/>
    <sheet name="METALBAS - 1031" sheetId="455" r:id="rId424"/>
    <sheet name="UB - 1033" sheetId="456" r:id="rId425"/>
    <sheet name="HERMAR - 1039" sheetId="457" r:id="rId426"/>
    <sheet name="JRL - 1041" sheetId="458" r:id="rId427"/>
    <sheet name="LIDER - 1042" sheetId="459" r:id="rId428"/>
    <sheet name="A Y C - 1043" sheetId="460" r:id="rId429"/>
    <sheet name="SEBASTIAN - 1044" sheetId="461" r:id="rId430"/>
    <sheet name="DIAL - 1045" sheetId="462" r:id="rId431"/>
    <sheet name="LIDER - 1046" sheetId="463" r:id="rId432"/>
    <sheet name="JILA - 1050" sheetId="464" r:id="rId433"/>
    <sheet name="SETEFER - 1053" sheetId="465" r:id="rId434"/>
    <sheet name="SPIM - 1054" sheetId="466" r:id="rId435"/>
    <sheet name="MOINSE - 1056" sheetId="467" r:id="rId436"/>
    <sheet name="HSC - 1057" sheetId="468" r:id="rId437"/>
    <sheet name="JILA - 1058" sheetId="469" r:id="rId438"/>
    <sheet name="AMJ - 1059" sheetId="470" r:id="rId439"/>
    <sheet name="HSC - 1061" sheetId="471" r:id="rId440"/>
    <sheet name="HSC - 1062" sheetId="472" r:id="rId441"/>
    <sheet name="LIDER - 1063" sheetId="473" r:id="rId442"/>
    <sheet name="LIDER - 1064" sheetId="474" r:id="rId443"/>
    <sheet name="CONARIS - 1065" sheetId="475" r:id="rId444"/>
    <sheet name="HSC - 1067" sheetId="476" r:id="rId445"/>
    <sheet name="JILA - 1069" sheetId="477" r:id="rId446"/>
    <sheet name="INTERCOL - 1071" sheetId="478" r:id="rId447"/>
    <sheet name="ACUATANK - 1073" sheetId="479" r:id="rId448"/>
    <sheet name="JILA - 1075" sheetId="480" r:id="rId449"/>
    <sheet name="JILA - 1076" sheetId="481" r:id="rId450"/>
    <sheet name="UB - 1078" sheetId="482" r:id="rId451"/>
    <sheet name="IPM - 1079" sheetId="484" r:id="rId452"/>
    <sheet name="AMJ - 1080" sheetId="483" r:id="rId453"/>
    <sheet name="PCL - 1082" sheetId="485" r:id="rId454"/>
    <sheet name="AMJ GROUP - 1087" sheetId="486" r:id="rId455"/>
    <sheet name="SU PROVEEDOR - 1090" sheetId="487" r:id="rId456"/>
    <sheet name="LAP - 1092" sheetId="488" r:id="rId457"/>
    <sheet name="SERVISAFE - 1094" sheetId="489" r:id="rId458"/>
    <sheet name="A Y C - 1095" sheetId="490" r:id="rId459"/>
    <sheet name="FAB &amp; CAUCHOS -1097" sheetId="491" r:id="rId460"/>
    <sheet name="AIMONT - 1098" sheetId="492" r:id="rId461"/>
    <sheet name="V ,A, A - 1099" sheetId="493" r:id="rId462"/>
    <sheet name="SPIM - 1101" sheetId="494" r:id="rId463"/>
    <sheet name="RETEINDUST - 1102" sheetId="495" r:id="rId464"/>
    <sheet name="PRAIN - 1103" sheetId="496" r:id="rId465"/>
    <sheet name="SEBASTIAN - 1104" sheetId="497" r:id="rId466"/>
    <sheet name="JIG - 1105" sheetId="498" r:id="rId467"/>
    <sheet name="FAB &amp; CAUCHOS - 1107" sheetId="499" r:id="rId468"/>
    <sheet name="AMJ - 1108" sheetId="500" r:id="rId469"/>
    <sheet name="SPIM - 1109" sheetId="501" r:id="rId470"/>
    <sheet name="SPIM - 1110" sheetId="502" r:id="rId471"/>
    <sheet name="HSC - 1111" sheetId="503" r:id="rId472"/>
    <sheet name="AIMONT - 1112" sheetId="504" r:id="rId473"/>
    <sheet name="AIMONT - 1113" sheetId="505" r:id="rId474"/>
    <sheet name="AIMONT - 1114" sheetId="506" r:id="rId475"/>
    <sheet name="V A A - 1116" sheetId="508" r:id="rId476"/>
    <sheet name="TUVACOL" sheetId="507" r:id="rId477"/>
    <sheet name="DANFER - 1120" sheetId="510" r:id="rId478"/>
    <sheet name="COSMO - 1121" sheetId="511" r:id="rId479"/>
    <sheet name="AMG - 1122" sheetId="512" r:id="rId480"/>
    <sheet name="V A A - 1123" sheetId="513" r:id="rId481"/>
    <sheet name="ARE - 2" sheetId="514" r:id="rId482"/>
    <sheet name="ALINEAR - 3" sheetId="515" r:id="rId483"/>
    <sheet name="SIAMED - 4" sheetId="516" r:id="rId484"/>
    <sheet name="VELMU - 8" sheetId="517" r:id="rId485"/>
    <sheet name="V A A - 9" sheetId="518" r:id="rId486"/>
    <sheet name="V A A - 10" sheetId="519" r:id="rId487"/>
    <sheet name="SOLUIND - 11" sheetId="520" r:id="rId488"/>
    <sheet name="HYCO - 12" sheetId="521" r:id="rId489"/>
    <sheet name="SPIM - 13" sheetId="522" r:id="rId490"/>
    <sheet name="SERVISAFE - 14" sheetId="523" r:id="rId491"/>
    <sheet name="SPIM - 15" sheetId="524" r:id="rId492"/>
    <sheet name="IPM - 16" sheetId="525" r:id="rId493"/>
    <sheet name="V A A -17" sheetId="526" r:id="rId494"/>
    <sheet name="SURTIVALLE - 18" sheetId="527" r:id="rId495"/>
    <sheet name="A Y C - 19" sheetId="528" r:id="rId496"/>
    <sheet name="MAPORITA - 20" sheetId="529" r:id="rId497"/>
    <sheet name="SOLUIND - 21" sheetId="530" r:id="rId498"/>
    <sheet name="PCL - 22" sheetId="531" r:id="rId499"/>
    <sheet name="RICHS - 23" sheetId="532" r:id="rId500"/>
    <sheet name="BRAIM - 24" sheetId="533" r:id="rId501"/>
    <sheet name="JILA - 25" sheetId="534" r:id="rId502"/>
    <sheet name="REMO - 26" sheetId="535" r:id="rId503"/>
    <sheet name="HSC - 27" sheetId="536" r:id="rId504"/>
    <sheet name="PEPINOSA - 28" sheetId="537" r:id="rId505"/>
    <sheet name="LIDER - 29" sheetId="538" r:id="rId506"/>
    <sheet name="AUTOMECHANIC - 30" sheetId="539" r:id="rId507"/>
    <sheet name="RONALD - 31" sheetId="540" r:id="rId508"/>
    <sheet name="LIDER - 32" sheetId="541" r:id="rId509"/>
    <sheet name="AIMONT - 33" sheetId="542" r:id="rId510"/>
    <sheet name="FCO JAVIER - 34" sheetId="543" r:id="rId511"/>
    <sheet name="C Q - 35" sheetId="544" r:id="rId512"/>
    <sheet name="SPIM - 36" sheetId="545" r:id="rId513"/>
    <sheet name="AUTOMECHANIC - 37" sheetId="546" r:id="rId514"/>
    <sheet name="VELCO - 38" sheetId="547" r:id="rId515"/>
    <sheet name="AUTOMECHANIC - 39" sheetId="548" r:id="rId516"/>
    <sheet name="SPIM - 40" sheetId="549" r:id="rId517"/>
    <sheet name="SPIM - 41" sheetId="550" r:id="rId518"/>
    <sheet name="AUTOMECHANIC - 42" sheetId="551" r:id="rId519"/>
    <sheet name="U B - 43" sheetId="552" r:id="rId520"/>
    <sheet name="LMV - 45" sheetId="553" r:id="rId521"/>
    <sheet name="AIMONT - 46" sheetId="554" r:id="rId522"/>
    <sheet name="AUTOMECHANIC - 47" sheetId="555" r:id="rId523"/>
    <sheet name="AUTOMECHANIC - 48" sheetId="556" r:id="rId524"/>
    <sheet name="SPIM - 49" sheetId="557" r:id="rId525"/>
    <sheet name="PEPINOSA - 50" sheetId="558" r:id="rId526"/>
    <sheet name="U B  -  51" sheetId="559" r:id="rId527"/>
    <sheet name="LIDER - 52" sheetId="560" r:id="rId52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3" i="560" l="1"/>
  <c r="H11" i="560"/>
  <c r="H10" i="560"/>
  <c r="H8" i="560"/>
  <c r="H13" i="560" s="1"/>
  <c r="D3" i="560"/>
  <c r="D13" i="559"/>
  <c r="H11" i="559"/>
  <c r="H10" i="559"/>
  <c r="H8" i="559"/>
  <c r="H13" i="559" s="1"/>
  <c r="D3" i="559"/>
  <c r="D13" i="558"/>
  <c r="H11" i="558"/>
  <c r="H10" i="558"/>
  <c r="H8" i="558"/>
  <c r="H13" i="558" s="1"/>
  <c r="D3" i="558"/>
  <c r="D13" i="557"/>
  <c r="H11" i="557"/>
  <c r="H10" i="557"/>
  <c r="H8" i="557"/>
  <c r="H13" i="557" s="1"/>
  <c r="D3" i="557"/>
  <c r="D13" i="556"/>
  <c r="H11" i="556"/>
  <c r="H10" i="556"/>
  <c r="H8" i="556"/>
  <c r="H13" i="556" s="1"/>
  <c r="D3" i="556"/>
  <c r="D13" i="555"/>
  <c r="H11" i="555"/>
  <c r="H10" i="555"/>
  <c r="H8" i="555"/>
  <c r="H13" i="555" s="1"/>
  <c r="D3" i="555"/>
  <c r="D13" i="554"/>
  <c r="H11" i="554"/>
  <c r="H10" i="554"/>
  <c r="H8" i="554"/>
  <c r="H13" i="554" s="1"/>
  <c r="D3" i="554"/>
  <c r="D13" i="553"/>
  <c r="H11" i="553"/>
  <c r="H10" i="553"/>
  <c r="H8" i="553"/>
  <c r="H13" i="553" s="1"/>
  <c r="D3" i="553"/>
  <c r="D13" i="552"/>
  <c r="H11" i="552"/>
  <c r="H10" i="552"/>
  <c r="H8" i="552"/>
  <c r="H13" i="552" s="1"/>
  <c r="D3" i="552"/>
  <c r="D13" i="551"/>
  <c r="H11" i="551"/>
  <c r="H10" i="551"/>
  <c r="H8" i="551"/>
  <c r="H13" i="551" s="1"/>
  <c r="D3" i="551"/>
  <c r="D13" i="550"/>
  <c r="H11" i="550"/>
  <c r="H10" i="550"/>
  <c r="H8" i="550"/>
  <c r="H13" i="550" s="1"/>
  <c r="D3" i="550"/>
  <c r="D13" i="549"/>
  <c r="H11" i="549"/>
  <c r="H10" i="549"/>
  <c r="H8" i="549"/>
  <c r="H13" i="549" s="1"/>
  <c r="D3" i="549"/>
  <c r="D13" i="548"/>
  <c r="H11" i="548"/>
  <c r="H10" i="548"/>
  <c r="H8" i="548"/>
  <c r="H13" i="548" s="1"/>
  <c r="D3" i="548"/>
  <c r="D13" i="547"/>
  <c r="H11" i="547"/>
  <c r="H10" i="547"/>
  <c r="H8" i="547"/>
  <c r="H13" i="547" s="1"/>
  <c r="D3" i="547"/>
  <c r="D13" i="546"/>
  <c r="H11" i="546"/>
  <c r="H10" i="546"/>
  <c r="H8" i="546"/>
  <c r="H13" i="546" s="1"/>
  <c r="D3" i="546"/>
  <c r="D13" i="545"/>
  <c r="H11" i="545"/>
  <c r="H10" i="545"/>
  <c r="H8" i="545"/>
  <c r="H13" i="545" s="1"/>
  <c r="D3" i="545"/>
  <c r="D13" i="544"/>
  <c r="H11" i="544"/>
  <c r="H10" i="544"/>
  <c r="H8" i="544"/>
  <c r="H13" i="544" s="1"/>
  <c r="D3" i="544"/>
  <c r="D13" i="543"/>
  <c r="H11" i="543"/>
  <c r="H10" i="543"/>
  <c r="H8" i="543"/>
  <c r="H13" i="543"/>
  <c r="D3" i="543"/>
  <c r="D13" i="542"/>
  <c r="H11" i="542"/>
  <c r="H10" i="542"/>
  <c r="H9" i="542"/>
  <c r="H8" i="542"/>
  <c r="H7" i="542"/>
  <c r="H13" i="542" s="1"/>
  <c r="D3" i="542"/>
  <c r="D13" i="541"/>
  <c r="H11" i="541"/>
  <c r="H10" i="541"/>
  <c r="H9" i="541"/>
  <c r="H8" i="541"/>
  <c r="H7" i="541"/>
  <c r="H13" i="541" s="1"/>
  <c r="D3" i="541"/>
  <c r="D13" i="540"/>
  <c r="H11" i="540"/>
  <c r="H10" i="540"/>
  <c r="H9" i="540"/>
  <c r="H8" i="540"/>
  <c r="H7" i="540"/>
  <c r="H13" i="540" s="1"/>
  <c r="D3" i="540"/>
  <c r="D13" i="539"/>
  <c r="H11" i="539"/>
  <c r="H10" i="539"/>
  <c r="H9" i="539"/>
  <c r="H8" i="539"/>
  <c r="H7" i="539"/>
  <c r="H13" i="539" s="1"/>
  <c r="D3" i="539"/>
  <c r="D13" i="538"/>
  <c r="H11" i="538"/>
  <c r="H10" i="538"/>
  <c r="H9" i="538"/>
  <c r="H8" i="538"/>
  <c r="H7" i="538"/>
  <c r="H13" i="538" s="1"/>
  <c r="D3" i="538"/>
  <c r="D13" i="537"/>
  <c r="H11" i="537"/>
  <c r="H10" i="537"/>
  <c r="H9" i="537"/>
  <c r="H8" i="537"/>
  <c r="H7" i="537"/>
  <c r="H13" i="537" s="1"/>
  <c r="D3" i="537"/>
  <c r="D13" i="536"/>
  <c r="H11" i="536"/>
  <c r="H10" i="536"/>
  <c r="H9" i="536"/>
  <c r="H8" i="536"/>
  <c r="H7" i="536"/>
  <c r="H13" i="536" s="1"/>
  <c r="D3" i="536"/>
  <c r="D13" i="535"/>
  <c r="H11" i="535"/>
  <c r="H10" i="535"/>
  <c r="H9" i="535"/>
  <c r="H8" i="535"/>
  <c r="H7" i="535"/>
  <c r="H13" i="535" s="1"/>
  <c r="D3" i="535"/>
  <c r="D13" i="534"/>
  <c r="H11" i="534"/>
  <c r="H10" i="534"/>
  <c r="H9" i="534"/>
  <c r="H8" i="534"/>
  <c r="H7" i="534"/>
  <c r="H13" i="534" s="1"/>
  <c r="D3" i="534"/>
  <c r="D13" i="533"/>
  <c r="H11" i="533"/>
  <c r="H10" i="533"/>
  <c r="H9" i="533"/>
  <c r="H8" i="533"/>
  <c r="H7" i="533"/>
  <c r="H13" i="533" s="1"/>
  <c r="D3" i="533"/>
  <c r="D13" i="532"/>
  <c r="H11" i="532"/>
  <c r="H10" i="532"/>
  <c r="H9" i="532"/>
  <c r="H8" i="532"/>
  <c r="H7" i="532"/>
  <c r="H13" i="532" s="1"/>
  <c r="D3" i="532"/>
  <c r="D13" i="531"/>
  <c r="H11" i="531"/>
  <c r="H10" i="531"/>
  <c r="H9" i="531"/>
  <c r="H8" i="531"/>
  <c r="H7" i="531"/>
  <c r="H13" i="531" s="1"/>
  <c r="D3" i="531"/>
  <c r="D13" i="530"/>
  <c r="H11" i="530"/>
  <c r="H10" i="530"/>
  <c r="H9" i="530"/>
  <c r="H8" i="530"/>
  <c r="H7" i="530"/>
  <c r="H13" i="530" s="1"/>
  <c r="D3" i="530"/>
  <c r="D13" i="529"/>
  <c r="H11" i="529"/>
  <c r="H10" i="529"/>
  <c r="H9" i="529"/>
  <c r="H8" i="529"/>
  <c r="H7" i="529"/>
  <c r="H13" i="529" s="1"/>
  <c r="D3" i="529"/>
  <c r="D13" i="528"/>
  <c r="H11" i="528"/>
  <c r="H10" i="528"/>
  <c r="H9" i="528"/>
  <c r="H8" i="528"/>
  <c r="H7" i="528"/>
  <c r="H13" i="528" s="1"/>
  <c r="D3" i="528"/>
  <c r="D13" i="527"/>
  <c r="H11" i="527"/>
  <c r="H10" i="527"/>
  <c r="H9" i="527"/>
  <c r="H8" i="527"/>
  <c r="H7" i="527"/>
  <c r="H13" i="527" s="1"/>
  <c r="D3" i="527"/>
  <c r="D13" i="526"/>
  <c r="H11" i="526"/>
  <c r="H10" i="526"/>
  <c r="H9" i="526"/>
  <c r="H8" i="526"/>
  <c r="H7" i="526"/>
  <c r="H13" i="526" s="1"/>
  <c r="D3" i="526"/>
  <c r="D13" i="525"/>
  <c r="H11" i="525"/>
  <c r="H10" i="525"/>
  <c r="H9" i="525"/>
  <c r="H8" i="525"/>
  <c r="H7" i="525"/>
  <c r="H13" i="525" s="1"/>
  <c r="D3" i="525"/>
  <c r="D13" i="524"/>
  <c r="H11" i="524"/>
  <c r="H10" i="524"/>
  <c r="H9" i="524"/>
  <c r="H8" i="524"/>
  <c r="H7" i="524"/>
  <c r="H13" i="524" s="1"/>
  <c r="D3" i="524"/>
  <c r="D13" i="523"/>
  <c r="H11" i="523"/>
  <c r="H10" i="523"/>
  <c r="H9" i="523"/>
  <c r="H8" i="523"/>
  <c r="H7" i="523"/>
  <c r="H13" i="523" s="1"/>
  <c r="D3" i="523"/>
  <c r="D13" i="522"/>
  <c r="H11" i="522"/>
  <c r="H10" i="522"/>
  <c r="H9" i="522"/>
  <c r="H8" i="522"/>
  <c r="H7" i="522"/>
  <c r="H13" i="522" s="1"/>
  <c r="D3" i="522"/>
  <c r="D13" i="521"/>
  <c r="H11" i="521"/>
  <c r="H10" i="521"/>
  <c r="H9" i="521"/>
  <c r="H8" i="521"/>
  <c r="H7" i="521"/>
  <c r="H13" i="521" s="1"/>
  <c r="D3" i="521"/>
  <c r="D13" i="520"/>
  <c r="H11" i="520"/>
  <c r="H10" i="520"/>
  <c r="H9" i="520"/>
  <c r="H8" i="520"/>
  <c r="H7" i="520"/>
  <c r="H13" i="520" s="1"/>
  <c r="D3" i="520"/>
  <c r="D13" i="519"/>
  <c r="H11" i="519"/>
  <c r="H10" i="519"/>
  <c r="H9" i="519"/>
  <c r="H8" i="519"/>
  <c r="H7" i="519"/>
  <c r="H13" i="519" s="1"/>
  <c r="D3" i="519"/>
  <c r="D13" i="518"/>
  <c r="H11" i="518"/>
  <c r="H10" i="518"/>
  <c r="H9" i="518"/>
  <c r="H8" i="518"/>
  <c r="H7" i="518"/>
  <c r="H13" i="518" s="1"/>
  <c r="D3" i="518"/>
  <c r="D13" i="517"/>
  <c r="H11" i="517"/>
  <c r="H10" i="517"/>
  <c r="H9" i="517"/>
  <c r="H8" i="517"/>
  <c r="H7" i="517"/>
  <c r="H13" i="517" s="1"/>
  <c r="D3" i="517"/>
  <c r="D13" i="516"/>
  <c r="H11" i="516"/>
  <c r="H10" i="516"/>
  <c r="H9" i="516"/>
  <c r="H8" i="516"/>
  <c r="H7" i="516"/>
  <c r="H13" i="516" s="1"/>
  <c r="D3" i="516"/>
  <c r="D13" i="515"/>
  <c r="H11" i="515"/>
  <c r="H10" i="515"/>
  <c r="H9" i="515"/>
  <c r="H8" i="515"/>
  <c r="H7" i="515"/>
  <c r="H13" i="515" s="1"/>
  <c r="D3" i="515"/>
  <c r="D13" i="514"/>
  <c r="H11" i="514"/>
  <c r="H10" i="514"/>
  <c r="H9" i="514"/>
  <c r="H8" i="514"/>
  <c r="H7" i="514"/>
  <c r="H13" i="514" s="1"/>
  <c r="D3" i="514"/>
  <c r="D13" i="513"/>
  <c r="H11" i="513"/>
  <c r="H10" i="513"/>
  <c r="H9" i="513"/>
  <c r="H8" i="513"/>
  <c r="H7" i="513"/>
  <c r="H13" i="513" s="1"/>
  <c r="D3" i="513"/>
  <c r="D3" i="512"/>
  <c r="C26" i="512"/>
  <c r="D13" i="512"/>
  <c r="D19" i="512" s="1"/>
  <c r="C22" i="512" s="1"/>
  <c r="H11" i="512"/>
  <c r="H10" i="512"/>
  <c r="H9" i="512"/>
  <c r="H8" i="512"/>
  <c r="H7" i="512"/>
  <c r="H13" i="512" s="1"/>
  <c r="H3" i="512"/>
  <c r="C26" i="511"/>
  <c r="D13" i="511"/>
  <c r="D19" i="511" s="1"/>
  <c r="C22" i="511" s="1"/>
  <c r="H11" i="511"/>
  <c r="H10" i="511"/>
  <c r="H9" i="511"/>
  <c r="H8" i="511"/>
  <c r="H7" i="511"/>
  <c r="H13" i="511" s="1"/>
  <c r="H3" i="511"/>
  <c r="H8" i="510"/>
  <c r="H3" i="510"/>
  <c r="C26" i="510"/>
  <c r="D13" i="510"/>
  <c r="D19" i="510" s="1"/>
  <c r="C22" i="510" s="1"/>
  <c r="H11" i="510"/>
  <c r="H10" i="510"/>
  <c r="H9" i="510"/>
  <c r="H7" i="510"/>
  <c r="H13" i="510" s="1"/>
  <c r="C26" i="560" l="1"/>
  <c r="D19" i="560"/>
  <c r="C22" i="560" s="1"/>
  <c r="H3" i="560"/>
  <c r="C26" i="559"/>
  <c r="D19" i="559"/>
  <c r="C22" i="559" s="1"/>
  <c r="H3" i="559"/>
  <c r="C26" i="558"/>
  <c r="D19" i="558"/>
  <c r="C22" i="558" s="1"/>
  <c r="H3" i="558"/>
  <c r="C26" i="557"/>
  <c r="D19" i="557"/>
  <c r="C22" i="557" s="1"/>
  <c r="H3" i="557"/>
  <c r="C26" i="556"/>
  <c r="D19" i="556"/>
  <c r="C22" i="556" s="1"/>
  <c r="H3" i="556"/>
  <c r="C26" i="555"/>
  <c r="D19" i="555"/>
  <c r="C22" i="555" s="1"/>
  <c r="H3" i="555"/>
  <c r="C26" i="554"/>
  <c r="D19" i="554"/>
  <c r="C22" i="554" s="1"/>
  <c r="H3" i="554"/>
  <c r="C26" i="553"/>
  <c r="D19" i="553"/>
  <c r="C22" i="553" s="1"/>
  <c r="H3" i="553"/>
  <c r="C26" i="552"/>
  <c r="D19" i="552"/>
  <c r="C22" i="552" s="1"/>
  <c r="H3" i="552"/>
  <c r="C26" i="551"/>
  <c r="D19" i="551"/>
  <c r="C22" i="551" s="1"/>
  <c r="H3" i="551"/>
  <c r="C26" i="550"/>
  <c r="D19" i="550"/>
  <c r="C22" i="550" s="1"/>
  <c r="H3" i="550"/>
  <c r="C26" i="549"/>
  <c r="D19" i="549"/>
  <c r="C22" i="549" s="1"/>
  <c r="H3" i="549"/>
  <c r="C26" i="548"/>
  <c r="D19" i="548"/>
  <c r="C22" i="548" s="1"/>
  <c r="H3" i="548"/>
  <c r="C26" i="547"/>
  <c r="D19" i="547"/>
  <c r="C22" i="547" s="1"/>
  <c r="H3" i="547"/>
  <c r="C26" i="546"/>
  <c r="D19" i="546"/>
  <c r="C22" i="546" s="1"/>
  <c r="H3" i="546"/>
  <c r="C26" i="545"/>
  <c r="D19" i="545"/>
  <c r="C22" i="545" s="1"/>
  <c r="H3" i="545"/>
  <c r="C26" i="544"/>
  <c r="D19" i="544"/>
  <c r="C22" i="544" s="1"/>
  <c r="H3" i="544"/>
  <c r="C26" i="543"/>
  <c r="D19" i="543"/>
  <c r="C22" i="543" s="1"/>
  <c r="H3" i="543"/>
  <c r="C26" i="542"/>
  <c r="D19" i="542"/>
  <c r="C22" i="542" s="1"/>
  <c r="H3" i="542"/>
  <c r="C26" i="541"/>
  <c r="D19" i="541"/>
  <c r="C22" i="541" s="1"/>
  <c r="H3" i="541"/>
  <c r="C26" i="540"/>
  <c r="D19" i="540"/>
  <c r="C22" i="540" s="1"/>
  <c r="H3" i="540"/>
  <c r="C26" i="539"/>
  <c r="D19" i="539"/>
  <c r="C22" i="539" s="1"/>
  <c r="H3" i="539"/>
  <c r="C26" i="538"/>
  <c r="D19" i="538"/>
  <c r="C22" i="538" s="1"/>
  <c r="H3" i="538"/>
  <c r="C26" i="537"/>
  <c r="D19" i="537"/>
  <c r="C22" i="537" s="1"/>
  <c r="H3" i="537"/>
  <c r="C26" i="536"/>
  <c r="D19" i="536"/>
  <c r="C22" i="536" s="1"/>
  <c r="H3" i="536"/>
  <c r="C26" i="535"/>
  <c r="D19" i="535"/>
  <c r="C22" i="535" s="1"/>
  <c r="H3" i="535"/>
  <c r="C26" i="534"/>
  <c r="D19" i="534"/>
  <c r="C22" i="534" s="1"/>
  <c r="H3" i="534"/>
  <c r="C26" i="533"/>
  <c r="D19" i="533"/>
  <c r="C22" i="533" s="1"/>
  <c r="H3" i="533"/>
  <c r="C26" i="532"/>
  <c r="D19" i="532"/>
  <c r="C22" i="532" s="1"/>
  <c r="H3" i="532"/>
  <c r="C26" i="531"/>
  <c r="D19" i="531"/>
  <c r="C22" i="531" s="1"/>
  <c r="H3" i="531"/>
  <c r="C26" i="530"/>
  <c r="D19" i="530"/>
  <c r="C22" i="530" s="1"/>
  <c r="H3" i="530"/>
  <c r="C26" i="529"/>
  <c r="D19" i="529"/>
  <c r="C22" i="529" s="1"/>
  <c r="H3" i="529"/>
  <c r="C26" i="528"/>
  <c r="D19" i="528"/>
  <c r="C22" i="528" s="1"/>
  <c r="H3" i="528"/>
  <c r="C26" i="527"/>
  <c r="D19" i="527"/>
  <c r="C22" i="527" s="1"/>
  <c r="H3" i="527"/>
  <c r="C26" i="526"/>
  <c r="D19" i="526"/>
  <c r="C22" i="526" s="1"/>
  <c r="H3" i="526"/>
  <c r="C26" i="525"/>
  <c r="D19" i="525"/>
  <c r="C22" i="525" s="1"/>
  <c r="H3" i="525"/>
  <c r="C26" i="524"/>
  <c r="D19" i="524"/>
  <c r="C22" i="524" s="1"/>
  <c r="H3" i="524"/>
  <c r="C26" i="523"/>
  <c r="D19" i="523"/>
  <c r="C22" i="523" s="1"/>
  <c r="H3" i="523"/>
  <c r="C26" i="522"/>
  <c r="D19" i="522"/>
  <c r="C22" i="522" s="1"/>
  <c r="H3" i="522"/>
  <c r="C26" i="521"/>
  <c r="D19" i="521"/>
  <c r="C22" i="521" s="1"/>
  <c r="H3" i="521"/>
  <c r="C26" i="520"/>
  <c r="D19" i="520"/>
  <c r="C22" i="520" s="1"/>
  <c r="H3" i="520"/>
  <c r="C26" i="519"/>
  <c r="D19" i="519"/>
  <c r="C22" i="519" s="1"/>
  <c r="H3" i="519"/>
  <c r="C26" i="518"/>
  <c r="D19" i="518"/>
  <c r="C22" i="518" s="1"/>
  <c r="H3" i="518"/>
  <c r="C26" i="517"/>
  <c r="D19" i="517"/>
  <c r="C22" i="517" s="1"/>
  <c r="H3" i="517"/>
  <c r="C26" i="516"/>
  <c r="D19" i="516"/>
  <c r="C22" i="516" s="1"/>
  <c r="H3" i="516"/>
  <c r="C26" i="515"/>
  <c r="D19" i="515"/>
  <c r="C22" i="515" s="1"/>
  <c r="H3" i="515"/>
  <c r="C26" i="514"/>
  <c r="D19" i="514"/>
  <c r="C22" i="514" s="1"/>
  <c r="H3" i="514"/>
  <c r="C26" i="513"/>
  <c r="D19" i="513"/>
  <c r="C22" i="513" s="1"/>
  <c r="H3" i="513"/>
  <c r="F25" i="512"/>
  <c r="H24" i="512" s="1"/>
  <c r="H19" i="512"/>
  <c r="C24" i="512" s="1"/>
  <c r="C31" i="512"/>
  <c r="H22" i="512" s="1"/>
  <c r="F25" i="511"/>
  <c r="H24" i="511" s="1"/>
  <c r="H19" i="511"/>
  <c r="C24" i="511" s="1"/>
  <c r="C31" i="511"/>
  <c r="H22" i="511" s="1"/>
  <c r="F25" i="510"/>
  <c r="H24" i="510" s="1"/>
  <c r="H19" i="510"/>
  <c r="C24" i="510" s="1"/>
  <c r="C31" i="510"/>
  <c r="H22" i="510" s="1"/>
  <c r="H19" i="560" l="1"/>
  <c r="C24" i="560" s="1"/>
  <c r="F25" i="560"/>
  <c r="H24" i="560" s="1"/>
  <c r="C31" i="560"/>
  <c r="H22" i="560" s="1"/>
  <c r="H19" i="559"/>
  <c r="C24" i="559" s="1"/>
  <c r="F25" i="559"/>
  <c r="H24" i="559" s="1"/>
  <c r="C31" i="559"/>
  <c r="H22" i="559" s="1"/>
  <c r="H19" i="558"/>
  <c r="C24" i="558" s="1"/>
  <c r="F25" i="558"/>
  <c r="H24" i="558" s="1"/>
  <c r="C31" i="558"/>
  <c r="H22" i="558" s="1"/>
  <c r="H19" i="557"/>
  <c r="C24" i="557" s="1"/>
  <c r="F25" i="557"/>
  <c r="H24" i="557" s="1"/>
  <c r="C31" i="557"/>
  <c r="H22" i="557" s="1"/>
  <c r="H19" i="556"/>
  <c r="C24" i="556" s="1"/>
  <c r="F25" i="556"/>
  <c r="H24" i="556" s="1"/>
  <c r="C31" i="556"/>
  <c r="H22" i="556" s="1"/>
  <c r="H19" i="555"/>
  <c r="C24" i="555" s="1"/>
  <c r="F25" i="555"/>
  <c r="H24" i="555" s="1"/>
  <c r="C31" i="555"/>
  <c r="H22" i="555" s="1"/>
  <c r="H19" i="554"/>
  <c r="C24" i="554" s="1"/>
  <c r="F25" i="554"/>
  <c r="H24" i="554" s="1"/>
  <c r="C31" i="554"/>
  <c r="H22" i="554" s="1"/>
  <c r="H19" i="553"/>
  <c r="C24" i="553" s="1"/>
  <c r="F25" i="553"/>
  <c r="H24" i="553" s="1"/>
  <c r="C31" i="553"/>
  <c r="H22" i="553" s="1"/>
  <c r="H19" i="552"/>
  <c r="C24" i="552" s="1"/>
  <c r="F25" i="552"/>
  <c r="H24" i="552" s="1"/>
  <c r="C31" i="552"/>
  <c r="H22" i="552" s="1"/>
  <c r="H19" i="551"/>
  <c r="C24" i="551" s="1"/>
  <c r="F25" i="551"/>
  <c r="H24" i="551" s="1"/>
  <c r="C31" i="551"/>
  <c r="H22" i="551" s="1"/>
  <c r="H19" i="550"/>
  <c r="C24" i="550" s="1"/>
  <c r="F25" i="550"/>
  <c r="H24" i="550" s="1"/>
  <c r="C31" i="550"/>
  <c r="H22" i="550" s="1"/>
  <c r="H19" i="549"/>
  <c r="C24" i="549" s="1"/>
  <c r="F25" i="549"/>
  <c r="H24" i="549" s="1"/>
  <c r="C31" i="549"/>
  <c r="H22" i="549" s="1"/>
  <c r="H19" i="548"/>
  <c r="C24" i="548" s="1"/>
  <c r="F25" i="548"/>
  <c r="H24" i="548" s="1"/>
  <c r="C31" i="548"/>
  <c r="H22" i="548" s="1"/>
  <c r="H19" i="547"/>
  <c r="C24" i="547" s="1"/>
  <c r="F25" i="547"/>
  <c r="H24" i="547" s="1"/>
  <c r="C31" i="547"/>
  <c r="H22" i="547" s="1"/>
  <c r="H19" i="546"/>
  <c r="C24" i="546" s="1"/>
  <c r="F25" i="546"/>
  <c r="H24" i="546" s="1"/>
  <c r="C31" i="546"/>
  <c r="H22" i="546" s="1"/>
  <c r="H19" i="545"/>
  <c r="C24" i="545" s="1"/>
  <c r="F25" i="545"/>
  <c r="H24" i="545" s="1"/>
  <c r="C31" i="545"/>
  <c r="H22" i="545" s="1"/>
  <c r="H19" i="544"/>
  <c r="C24" i="544" s="1"/>
  <c r="F25" i="544"/>
  <c r="H24" i="544" s="1"/>
  <c r="C31" i="544"/>
  <c r="H22" i="544" s="1"/>
  <c r="H19" i="543"/>
  <c r="C24" i="543" s="1"/>
  <c r="F25" i="543"/>
  <c r="H24" i="543" s="1"/>
  <c r="C31" i="543"/>
  <c r="H22" i="543" s="1"/>
  <c r="H19" i="542"/>
  <c r="C24" i="542" s="1"/>
  <c r="F25" i="542"/>
  <c r="H24" i="542" s="1"/>
  <c r="C31" i="542"/>
  <c r="H22" i="542" s="1"/>
  <c r="H19" i="541"/>
  <c r="C24" i="541" s="1"/>
  <c r="F25" i="541"/>
  <c r="H24" i="541" s="1"/>
  <c r="C31" i="541"/>
  <c r="H22" i="541" s="1"/>
  <c r="H19" i="540"/>
  <c r="C24" i="540" s="1"/>
  <c r="F25" i="540"/>
  <c r="H24" i="540" s="1"/>
  <c r="C31" i="540"/>
  <c r="H22" i="540" s="1"/>
  <c r="H19" i="539"/>
  <c r="C24" i="539" s="1"/>
  <c r="F25" i="539"/>
  <c r="H24" i="539" s="1"/>
  <c r="C31" i="539"/>
  <c r="H22" i="539" s="1"/>
  <c r="H19" i="538"/>
  <c r="C24" i="538" s="1"/>
  <c r="F25" i="538"/>
  <c r="H24" i="538" s="1"/>
  <c r="C31" i="538"/>
  <c r="H22" i="538" s="1"/>
  <c r="H19" i="537"/>
  <c r="C24" i="537" s="1"/>
  <c r="F25" i="537"/>
  <c r="H24" i="537" s="1"/>
  <c r="C31" i="537"/>
  <c r="H22" i="537" s="1"/>
  <c r="H19" i="536"/>
  <c r="C24" i="536" s="1"/>
  <c r="F25" i="536"/>
  <c r="H24" i="536" s="1"/>
  <c r="C31" i="536"/>
  <c r="H22" i="536" s="1"/>
  <c r="H19" i="535"/>
  <c r="C24" i="535" s="1"/>
  <c r="F25" i="535"/>
  <c r="H24" i="535" s="1"/>
  <c r="C31" i="535"/>
  <c r="H22" i="535" s="1"/>
  <c r="H19" i="534"/>
  <c r="C24" i="534" s="1"/>
  <c r="F25" i="534"/>
  <c r="H24" i="534" s="1"/>
  <c r="C31" i="534"/>
  <c r="H22" i="534" s="1"/>
  <c r="H19" i="533"/>
  <c r="C24" i="533" s="1"/>
  <c r="F25" i="533"/>
  <c r="H24" i="533" s="1"/>
  <c r="C31" i="533"/>
  <c r="H22" i="533" s="1"/>
  <c r="H19" i="532"/>
  <c r="C24" i="532" s="1"/>
  <c r="F25" i="532"/>
  <c r="H24" i="532" s="1"/>
  <c r="C31" i="532"/>
  <c r="H22" i="532" s="1"/>
  <c r="H19" i="531"/>
  <c r="C24" i="531" s="1"/>
  <c r="F25" i="531"/>
  <c r="H24" i="531" s="1"/>
  <c r="C31" i="531"/>
  <c r="H22" i="531" s="1"/>
  <c r="H19" i="530"/>
  <c r="C24" i="530" s="1"/>
  <c r="F25" i="530"/>
  <c r="H24" i="530" s="1"/>
  <c r="C31" i="530"/>
  <c r="H22" i="530" s="1"/>
  <c r="H19" i="529"/>
  <c r="C24" i="529" s="1"/>
  <c r="F25" i="529"/>
  <c r="H24" i="529" s="1"/>
  <c r="C31" i="529"/>
  <c r="H22" i="529" s="1"/>
  <c r="H19" i="528"/>
  <c r="C24" i="528" s="1"/>
  <c r="F25" i="528"/>
  <c r="H24" i="528" s="1"/>
  <c r="C31" i="528"/>
  <c r="H22" i="528" s="1"/>
  <c r="H19" i="527"/>
  <c r="C24" i="527" s="1"/>
  <c r="F25" i="527"/>
  <c r="H24" i="527" s="1"/>
  <c r="C31" i="527"/>
  <c r="H22" i="527" s="1"/>
  <c r="H19" i="526"/>
  <c r="C24" i="526" s="1"/>
  <c r="F25" i="526"/>
  <c r="H24" i="526" s="1"/>
  <c r="C31" i="526"/>
  <c r="H22" i="526" s="1"/>
  <c r="H19" i="525"/>
  <c r="C24" i="525" s="1"/>
  <c r="F25" i="525"/>
  <c r="H24" i="525" s="1"/>
  <c r="C31" i="525"/>
  <c r="H22" i="525" s="1"/>
  <c r="H19" i="524"/>
  <c r="C24" i="524" s="1"/>
  <c r="F25" i="524"/>
  <c r="H24" i="524" s="1"/>
  <c r="C31" i="524"/>
  <c r="H22" i="524" s="1"/>
  <c r="H19" i="523"/>
  <c r="C24" i="523" s="1"/>
  <c r="F25" i="523"/>
  <c r="H24" i="523" s="1"/>
  <c r="C31" i="523"/>
  <c r="H22" i="523" s="1"/>
  <c r="H19" i="522"/>
  <c r="C24" i="522" s="1"/>
  <c r="F25" i="522"/>
  <c r="H24" i="522" s="1"/>
  <c r="C31" i="522"/>
  <c r="H22" i="522" s="1"/>
  <c r="H19" i="521"/>
  <c r="C24" i="521" s="1"/>
  <c r="F25" i="521"/>
  <c r="H24" i="521" s="1"/>
  <c r="C31" i="521"/>
  <c r="H22" i="521" s="1"/>
  <c r="H19" i="520"/>
  <c r="C24" i="520" s="1"/>
  <c r="F25" i="520"/>
  <c r="H24" i="520" s="1"/>
  <c r="C31" i="520"/>
  <c r="H22" i="520" s="1"/>
  <c r="H19" i="519"/>
  <c r="C24" i="519" s="1"/>
  <c r="F25" i="519"/>
  <c r="H24" i="519" s="1"/>
  <c r="C31" i="519"/>
  <c r="H22" i="519" s="1"/>
  <c r="H19" i="518"/>
  <c r="C24" i="518" s="1"/>
  <c r="F25" i="518"/>
  <c r="H24" i="518" s="1"/>
  <c r="C31" i="518"/>
  <c r="H22" i="518" s="1"/>
  <c r="H19" i="517"/>
  <c r="C24" i="517" s="1"/>
  <c r="F25" i="517"/>
  <c r="H24" i="517" s="1"/>
  <c r="C31" i="517"/>
  <c r="H22" i="517" s="1"/>
  <c r="H19" i="516"/>
  <c r="C24" i="516" s="1"/>
  <c r="F25" i="516"/>
  <c r="H24" i="516" s="1"/>
  <c r="C31" i="516"/>
  <c r="H22" i="516" s="1"/>
  <c r="H19" i="515"/>
  <c r="C24" i="515" s="1"/>
  <c r="F25" i="515"/>
  <c r="H24" i="515" s="1"/>
  <c r="C31" i="515"/>
  <c r="H22" i="515" s="1"/>
  <c r="H19" i="514"/>
  <c r="C24" i="514" s="1"/>
  <c r="F25" i="514"/>
  <c r="H24" i="514" s="1"/>
  <c r="C31" i="514"/>
  <c r="H22" i="514" s="1"/>
  <c r="H19" i="513"/>
  <c r="C24" i="513" s="1"/>
  <c r="F25" i="513"/>
  <c r="H24" i="513" s="1"/>
  <c r="C31" i="513"/>
  <c r="H22" i="513" s="1"/>
  <c r="F27" i="512"/>
  <c r="H26" i="512" s="1"/>
  <c r="H28" i="512" s="1"/>
  <c r="H30" i="512" s="1"/>
  <c r="F27" i="511"/>
  <c r="H26" i="511" s="1"/>
  <c r="H28" i="511" s="1"/>
  <c r="H30" i="511" s="1"/>
  <c r="F27" i="510"/>
  <c r="H26" i="510" s="1"/>
  <c r="H28" i="510" s="1"/>
  <c r="H30" i="510" s="1"/>
  <c r="F27" i="560" l="1"/>
  <c r="H26" i="560" s="1"/>
  <c r="H28" i="560" s="1"/>
  <c r="H30" i="560" s="1"/>
  <c r="F27" i="559"/>
  <c r="H26" i="559" s="1"/>
  <c r="H28" i="559" s="1"/>
  <c r="H30" i="559" s="1"/>
  <c r="F27" i="558"/>
  <c r="H26" i="558" s="1"/>
  <c r="H28" i="558" s="1"/>
  <c r="H30" i="558" s="1"/>
  <c r="F27" i="557"/>
  <c r="H26" i="557" s="1"/>
  <c r="H28" i="557" s="1"/>
  <c r="H30" i="557" s="1"/>
  <c r="F27" i="556"/>
  <c r="H26" i="556" s="1"/>
  <c r="H28" i="556" s="1"/>
  <c r="H30" i="556" s="1"/>
  <c r="F27" i="555"/>
  <c r="H26" i="555" s="1"/>
  <c r="H28" i="555" s="1"/>
  <c r="H30" i="555" s="1"/>
  <c r="F27" i="554"/>
  <c r="H26" i="554" s="1"/>
  <c r="H28" i="554" s="1"/>
  <c r="H30" i="554" s="1"/>
  <c r="F27" i="553"/>
  <c r="H26" i="553" s="1"/>
  <c r="H28" i="553" s="1"/>
  <c r="H30" i="553" s="1"/>
  <c r="F27" i="552"/>
  <c r="H26" i="552" s="1"/>
  <c r="H28" i="552" s="1"/>
  <c r="H30" i="552" s="1"/>
  <c r="F27" i="551"/>
  <c r="H26" i="551" s="1"/>
  <c r="H28" i="551" s="1"/>
  <c r="H30" i="551" s="1"/>
  <c r="F27" i="550"/>
  <c r="H26" i="550" s="1"/>
  <c r="H28" i="550" s="1"/>
  <c r="H30" i="550" s="1"/>
  <c r="F27" i="549"/>
  <c r="H26" i="549" s="1"/>
  <c r="H28" i="549" s="1"/>
  <c r="H30" i="549" s="1"/>
  <c r="F27" i="548"/>
  <c r="H26" i="548" s="1"/>
  <c r="H28" i="548" s="1"/>
  <c r="H30" i="548" s="1"/>
  <c r="F27" i="547"/>
  <c r="H26" i="547" s="1"/>
  <c r="H28" i="547" s="1"/>
  <c r="H30" i="547" s="1"/>
  <c r="F27" i="546"/>
  <c r="H26" i="546" s="1"/>
  <c r="H28" i="546" s="1"/>
  <c r="H30" i="546" s="1"/>
  <c r="F27" i="545"/>
  <c r="H26" i="545" s="1"/>
  <c r="H28" i="545" s="1"/>
  <c r="H30" i="545" s="1"/>
  <c r="F27" i="544"/>
  <c r="H26" i="544" s="1"/>
  <c r="H28" i="544" s="1"/>
  <c r="H30" i="544" s="1"/>
  <c r="F27" i="543"/>
  <c r="H26" i="543" s="1"/>
  <c r="H28" i="543" s="1"/>
  <c r="H30" i="543" s="1"/>
  <c r="F27" i="542"/>
  <c r="H26" i="542" s="1"/>
  <c r="H28" i="542" s="1"/>
  <c r="H30" i="542" s="1"/>
  <c r="F27" i="541"/>
  <c r="H26" i="541" s="1"/>
  <c r="H28" i="541" s="1"/>
  <c r="H30" i="541" s="1"/>
  <c r="F27" i="540"/>
  <c r="H26" i="540" s="1"/>
  <c r="H28" i="540" s="1"/>
  <c r="H30" i="540" s="1"/>
  <c r="F27" i="539"/>
  <c r="H26" i="539" s="1"/>
  <c r="H28" i="539" s="1"/>
  <c r="H30" i="539" s="1"/>
  <c r="F27" i="538"/>
  <c r="H26" i="538" s="1"/>
  <c r="H28" i="538" s="1"/>
  <c r="H30" i="538" s="1"/>
  <c r="F27" i="537"/>
  <c r="H26" i="537" s="1"/>
  <c r="H28" i="537" s="1"/>
  <c r="H30" i="537" s="1"/>
  <c r="F27" i="536"/>
  <c r="H26" i="536" s="1"/>
  <c r="H28" i="536" s="1"/>
  <c r="H30" i="536" s="1"/>
  <c r="F27" i="535"/>
  <c r="H26" i="535" s="1"/>
  <c r="H28" i="535" s="1"/>
  <c r="H30" i="535" s="1"/>
  <c r="F27" i="534"/>
  <c r="H26" i="534" s="1"/>
  <c r="H28" i="534" s="1"/>
  <c r="H30" i="534" s="1"/>
  <c r="F27" i="533"/>
  <c r="H26" i="533" s="1"/>
  <c r="H28" i="533" s="1"/>
  <c r="H30" i="533" s="1"/>
  <c r="F27" i="532"/>
  <c r="H26" i="532" s="1"/>
  <c r="H28" i="532" s="1"/>
  <c r="H30" i="532" s="1"/>
  <c r="F27" i="531"/>
  <c r="H26" i="531" s="1"/>
  <c r="H28" i="531" s="1"/>
  <c r="H30" i="531" s="1"/>
  <c r="F27" i="530"/>
  <c r="H26" i="530" s="1"/>
  <c r="H28" i="530" s="1"/>
  <c r="H30" i="530" s="1"/>
  <c r="F27" i="529"/>
  <c r="H26" i="529" s="1"/>
  <c r="H28" i="529" s="1"/>
  <c r="H30" i="529" s="1"/>
  <c r="F27" i="528"/>
  <c r="H26" i="528" s="1"/>
  <c r="H28" i="528" s="1"/>
  <c r="H30" i="528" s="1"/>
  <c r="F27" i="527"/>
  <c r="H26" i="527" s="1"/>
  <c r="H28" i="527" s="1"/>
  <c r="H30" i="527" s="1"/>
  <c r="F27" i="526"/>
  <c r="H26" i="526" s="1"/>
  <c r="H28" i="526" s="1"/>
  <c r="H30" i="526" s="1"/>
  <c r="F27" i="525"/>
  <c r="H26" i="525" s="1"/>
  <c r="H28" i="525" s="1"/>
  <c r="H30" i="525" s="1"/>
  <c r="F27" i="524"/>
  <c r="H26" i="524" s="1"/>
  <c r="H28" i="524" s="1"/>
  <c r="H30" i="524" s="1"/>
  <c r="F27" i="523"/>
  <c r="H26" i="523" s="1"/>
  <c r="H28" i="523" s="1"/>
  <c r="H30" i="523" s="1"/>
  <c r="F27" i="522"/>
  <c r="H26" i="522" s="1"/>
  <c r="H28" i="522" s="1"/>
  <c r="H30" i="522" s="1"/>
  <c r="F27" i="521"/>
  <c r="H26" i="521" s="1"/>
  <c r="H28" i="521" s="1"/>
  <c r="H30" i="521" s="1"/>
  <c r="F27" i="520"/>
  <c r="H26" i="520" s="1"/>
  <c r="H28" i="520" s="1"/>
  <c r="H30" i="520" s="1"/>
  <c r="F27" i="519"/>
  <c r="H26" i="519" s="1"/>
  <c r="H28" i="519" s="1"/>
  <c r="H30" i="519" s="1"/>
  <c r="F27" i="518"/>
  <c r="H26" i="518" s="1"/>
  <c r="H28" i="518" s="1"/>
  <c r="H30" i="518" s="1"/>
  <c r="F27" i="517"/>
  <c r="H26" i="517" s="1"/>
  <c r="H28" i="517" s="1"/>
  <c r="H30" i="517" s="1"/>
  <c r="F27" i="516"/>
  <c r="H26" i="516" s="1"/>
  <c r="H28" i="516" s="1"/>
  <c r="H30" i="516" s="1"/>
  <c r="F27" i="515"/>
  <c r="H26" i="515" s="1"/>
  <c r="H28" i="515" s="1"/>
  <c r="H30" i="515" s="1"/>
  <c r="F27" i="514"/>
  <c r="H26" i="514" s="1"/>
  <c r="H28" i="514" s="1"/>
  <c r="H30" i="514" s="1"/>
  <c r="F27" i="513"/>
  <c r="H26" i="513" s="1"/>
  <c r="H28" i="513" s="1"/>
  <c r="H30" i="513" s="1"/>
  <c r="C26" i="508"/>
  <c r="D13" i="508"/>
  <c r="D19" i="508" s="1"/>
  <c r="C22" i="508" s="1"/>
  <c r="H11" i="508"/>
  <c r="H10" i="508"/>
  <c r="H9" i="508"/>
  <c r="H8" i="508"/>
  <c r="H7" i="508"/>
  <c r="H13" i="508" s="1"/>
  <c r="H3" i="508"/>
  <c r="F25" i="508" l="1"/>
  <c r="H24" i="508" s="1"/>
  <c r="H19" i="508"/>
  <c r="C24" i="508" s="1"/>
  <c r="C31" i="508"/>
  <c r="H22" i="508" s="1"/>
  <c r="F27" i="508" l="1"/>
  <c r="H26" i="508" s="1"/>
  <c r="H28" i="508" s="1"/>
  <c r="H30" i="508" s="1"/>
  <c r="C26" i="507" l="1"/>
  <c r="D13" i="507"/>
  <c r="D19" i="507" s="1"/>
  <c r="C22" i="507" s="1"/>
  <c r="H11" i="507"/>
  <c r="H10" i="507"/>
  <c r="H9" i="507"/>
  <c r="H8" i="507"/>
  <c r="H7" i="507"/>
  <c r="H13" i="507" s="1"/>
  <c r="H3" i="507"/>
  <c r="C26" i="506"/>
  <c r="D13" i="506"/>
  <c r="D19" i="506" s="1"/>
  <c r="C22" i="506" s="1"/>
  <c r="H11" i="506"/>
  <c r="H10" i="506"/>
  <c r="H9" i="506"/>
  <c r="H8" i="506"/>
  <c r="H7" i="506"/>
  <c r="H13" i="506" s="1"/>
  <c r="H3" i="506"/>
  <c r="H7" i="505"/>
  <c r="C26" i="505"/>
  <c r="D13" i="505"/>
  <c r="D19" i="505" s="1"/>
  <c r="C22" i="505" s="1"/>
  <c r="H11" i="505"/>
  <c r="H10" i="505"/>
  <c r="H9" i="505"/>
  <c r="H8" i="505"/>
  <c r="H13" i="505"/>
  <c r="H3" i="505"/>
  <c r="H8" i="504"/>
  <c r="C27" i="504"/>
  <c r="D14" i="504"/>
  <c r="D20" i="504" s="1"/>
  <c r="C23" i="504" s="1"/>
  <c r="H12" i="504"/>
  <c r="H11" i="504"/>
  <c r="H10" i="504"/>
  <c r="H9" i="504"/>
  <c r="H7" i="504"/>
  <c r="H14" i="504" s="1"/>
  <c r="H3" i="504"/>
  <c r="F25" i="507" l="1"/>
  <c r="H24" i="507" s="1"/>
  <c r="H19" i="507"/>
  <c r="C24" i="507" s="1"/>
  <c r="C31" i="507"/>
  <c r="H22" i="507" s="1"/>
  <c r="F25" i="506"/>
  <c r="H24" i="506" s="1"/>
  <c r="H19" i="506"/>
  <c r="C24" i="506" s="1"/>
  <c r="C31" i="506"/>
  <c r="H22" i="506" s="1"/>
  <c r="F25" i="505"/>
  <c r="H24" i="505" s="1"/>
  <c r="H19" i="505"/>
  <c r="C24" i="505" s="1"/>
  <c r="C31" i="505"/>
  <c r="H22" i="505" s="1"/>
  <c r="F26" i="504"/>
  <c r="H25" i="504" s="1"/>
  <c r="H20" i="504"/>
  <c r="C25" i="504" s="1"/>
  <c r="C32" i="504"/>
  <c r="H23" i="504" s="1"/>
  <c r="F27" i="507" l="1"/>
  <c r="H26" i="507" s="1"/>
  <c r="H28" i="507" s="1"/>
  <c r="H30" i="507" s="1"/>
  <c r="F27" i="506"/>
  <c r="H26" i="506" s="1"/>
  <c r="H28" i="506" s="1"/>
  <c r="H30" i="506" s="1"/>
  <c r="F27" i="505"/>
  <c r="H26" i="505" s="1"/>
  <c r="H28" i="505" s="1"/>
  <c r="H30" i="505" s="1"/>
  <c r="F28" i="504"/>
  <c r="H27" i="504" s="1"/>
  <c r="H29" i="504" s="1"/>
  <c r="H31" i="504" s="1"/>
  <c r="C27" i="503" l="1"/>
  <c r="D14" i="503"/>
  <c r="D20" i="503" s="1"/>
  <c r="C23" i="503" s="1"/>
  <c r="H12" i="503"/>
  <c r="H11" i="503"/>
  <c r="H10" i="503"/>
  <c r="H9" i="503"/>
  <c r="H7" i="503"/>
  <c r="H14" i="503" s="1"/>
  <c r="H3" i="503"/>
  <c r="C27" i="502"/>
  <c r="D14" i="502"/>
  <c r="D20" i="502" s="1"/>
  <c r="C23" i="502" s="1"/>
  <c r="H12" i="502"/>
  <c r="H11" i="502"/>
  <c r="H10" i="502"/>
  <c r="H9" i="502"/>
  <c r="H7" i="502"/>
  <c r="H14" i="502" s="1"/>
  <c r="H3" i="502"/>
  <c r="C27" i="501"/>
  <c r="D14" i="501"/>
  <c r="D20" i="501" s="1"/>
  <c r="C23" i="501" s="1"/>
  <c r="H12" i="501"/>
  <c r="H11" i="501"/>
  <c r="H10" i="501"/>
  <c r="H9" i="501"/>
  <c r="H7" i="501"/>
  <c r="H14" i="501" s="1"/>
  <c r="H3" i="501"/>
  <c r="C27" i="500"/>
  <c r="D14" i="500"/>
  <c r="D20" i="500" s="1"/>
  <c r="C23" i="500" s="1"/>
  <c r="H12" i="500"/>
  <c r="H11" i="500"/>
  <c r="H10" i="500"/>
  <c r="H9" i="500"/>
  <c r="H7" i="500"/>
  <c r="H14" i="500" s="1"/>
  <c r="H3" i="500"/>
  <c r="C27" i="499"/>
  <c r="D14" i="499"/>
  <c r="D20" i="499" s="1"/>
  <c r="C23" i="499" s="1"/>
  <c r="H12" i="499"/>
  <c r="H11" i="499"/>
  <c r="H10" i="499"/>
  <c r="H9" i="499"/>
  <c r="H7" i="499"/>
  <c r="H14" i="499" s="1"/>
  <c r="H3" i="499"/>
  <c r="C27" i="498"/>
  <c r="D14" i="498"/>
  <c r="D20" i="498" s="1"/>
  <c r="C23" i="498" s="1"/>
  <c r="H12" i="498"/>
  <c r="H11" i="498"/>
  <c r="H10" i="498"/>
  <c r="H9" i="498"/>
  <c r="H7" i="498"/>
  <c r="H14" i="498" s="1"/>
  <c r="H3" i="498"/>
  <c r="C27" i="497"/>
  <c r="D14" i="497"/>
  <c r="D20" i="497" s="1"/>
  <c r="C23" i="497" s="1"/>
  <c r="H12" i="497"/>
  <c r="H11" i="497"/>
  <c r="H10" i="497"/>
  <c r="H9" i="497"/>
  <c r="H7" i="497"/>
  <c r="H14" i="497" s="1"/>
  <c r="H3" i="497"/>
  <c r="C27" i="496"/>
  <c r="D14" i="496"/>
  <c r="D20" i="496" s="1"/>
  <c r="C23" i="496" s="1"/>
  <c r="H12" i="496"/>
  <c r="H11" i="496"/>
  <c r="H10" i="496"/>
  <c r="H9" i="496"/>
  <c r="H7" i="496"/>
  <c r="H14" i="496" s="1"/>
  <c r="H3" i="496"/>
  <c r="C27" i="495"/>
  <c r="D14" i="495"/>
  <c r="D20" i="495" s="1"/>
  <c r="C23" i="495" s="1"/>
  <c r="H12" i="495"/>
  <c r="H11" i="495"/>
  <c r="H10" i="495"/>
  <c r="H9" i="495"/>
  <c r="H7" i="495"/>
  <c r="H14" i="495" s="1"/>
  <c r="H3" i="495"/>
  <c r="C27" i="494"/>
  <c r="D14" i="494"/>
  <c r="D20" i="494" s="1"/>
  <c r="C23" i="494" s="1"/>
  <c r="H12" i="494"/>
  <c r="H11" i="494"/>
  <c r="H10" i="494"/>
  <c r="H9" i="494"/>
  <c r="H8" i="494"/>
  <c r="H7" i="494"/>
  <c r="H14" i="494" s="1"/>
  <c r="H3" i="494"/>
  <c r="C27" i="493"/>
  <c r="D14" i="493"/>
  <c r="D20" i="493" s="1"/>
  <c r="C23" i="493" s="1"/>
  <c r="H12" i="493"/>
  <c r="H11" i="493"/>
  <c r="H10" i="493"/>
  <c r="H9" i="493"/>
  <c r="H8" i="493"/>
  <c r="H7" i="493"/>
  <c r="H14" i="493" s="1"/>
  <c r="H3" i="493"/>
  <c r="C27" i="492"/>
  <c r="D14" i="492"/>
  <c r="D20" i="492" s="1"/>
  <c r="C23" i="492" s="1"/>
  <c r="H12" i="492"/>
  <c r="H11" i="492"/>
  <c r="H10" i="492"/>
  <c r="H9" i="492"/>
  <c r="H8" i="492"/>
  <c r="H7" i="492"/>
  <c r="H14" i="492" s="1"/>
  <c r="H3" i="492"/>
  <c r="H8" i="491"/>
  <c r="C27" i="491"/>
  <c r="D14" i="491"/>
  <c r="D20" i="491" s="1"/>
  <c r="C23" i="491" s="1"/>
  <c r="H12" i="491"/>
  <c r="H11" i="491"/>
  <c r="H10" i="491"/>
  <c r="H9" i="491"/>
  <c r="H7" i="491"/>
  <c r="H14" i="491" s="1"/>
  <c r="H3" i="491"/>
  <c r="C27" i="490"/>
  <c r="D14" i="490"/>
  <c r="D20" i="490" s="1"/>
  <c r="C23" i="490" s="1"/>
  <c r="H12" i="490"/>
  <c r="H11" i="490"/>
  <c r="H10" i="490"/>
  <c r="H9" i="490"/>
  <c r="H7" i="490"/>
  <c r="H14" i="490" s="1"/>
  <c r="H3" i="490"/>
  <c r="F26" i="503" l="1"/>
  <c r="H25" i="503" s="1"/>
  <c r="H20" i="503"/>
  <c r="C25" i="503" s="1"/>
  <c r="C32" i="503"/>
  <c r="H23" i="503" s="1"/>
  <c r="F26" i="502"/>
  <c r="H25" i="502" s="1"/>
  <c r="H20" i="502"/>
  <c r="C25" i="502" s="1"/>
  <c r="C32" i="502"/>
  <c r="H23" i="502" s="1"/>
  <c r="F26" i="501"/>
  <c r="H25" i="501" s="1"/>
  <c r="H20" i="501"/>
  <c r="C25" i="501" s="1"/>
  <c r="C32" i="501"/>
  <c r="H23" i="501" s="1"/>
  <c r="F26" i="500"/>
  <c r="H25" i="500" s="1"/>
  <c r="H20" i="500"/>
  <c r="C25" i="500" s="1"/>
  <c r="C32" i="500"/>
  <c r="H23" i="500" s="1"/>
  <c r="F26" i="499"/>
  <c r="H25" i="499" s="1"/>
  <c r="H20" i="499"/>
  <c r="C25" i="499" s="1"/>
  <c r="C32" i="499"/>
  <c r="H23" i="499" s="1"/>
  <c r="F26" i="498"/>
  <c r="H25" i="498" s="1"/>
  <c r="H20" i="498"/>
  <c r="C25" i="498" s="1"/>
  <c r="C32" i="498"/>
  <c r="H23" i="498" s="1"/>
  <c r="F26" i="497"/>
  <c r="H25" i="497" s="1"/>
  <c r="H20" i="497"/>
  <c r="C25" i="497" s="1"/>
  <c r="C32" i="497"/>
  <c r="H23" i="497" s="1"/>
  <c r="F26" i="496"/>
  <c r="H25" i="496" s="1"/>
  <c r="H20" i="496"/>
  <c r="C25" i="496" s="1"/>
  <c r="C32" i="496"/>
  <c r="H23" i="496" s="1"/>
  <c r="F26" i="495"/>
  <c r="H25" i="495" s="1"/>
  <c r="H20" i="495"/>
  <c r="C25" i="495" s="1"/>
  <c r="C32" i="495"/>
  <c r="H23" i="495" s="1"/>
  <c r="F26" i="494"/>
  <c r="H25" i="494" s="1"/>
  <c r="H20" i="494"/>
  <c r="C25" i="494" s="1"/>
  <c r="C32" i="494"/>
  <c r="H23" i="494" s="1"/>
  <c r="F26" i="493"/>
  <c r="H25" i="493" s="1"/>
  <c r="H20" i="493"/>
  <c r="C25" i="493" s="1"/>
  <c r="C32" i="493"/>
  <c r="H23" i="493" s="1"/>
  <c r="F26" i="492"/>
  <c r="H25" i="492" s="1"/>
  <c r="H20" i="492"/>
  <c r="C25" i="492" s="1"/>
  <c r="C32" i="492"/>
  <c r="H23" i="492" s="1"/>
  <c r="F26" i="491"/>
  <c r="H25" i="491" s="1"/>
  <c r="H20" i="491"/>
  <c r="C25" i="491" s="1"/>
  <c r="C32" i="491"/>
  <c r="H23" i="491" s="1"/>
  <c r="F26" i="490"/>
  <c r="H25" i="490" s="1"/>
  <c r="H20" i="490"/>
  <c r="C25" i="490" s="1"/>
  <c r="C32" i="490"/>
  <c r="H23" i="490" s="1"/>
  <c r="F28" i="503" l="1"/>
  <c r="H27" i="503" s="1"/>
  <c r="H29" i="503" s="1"/>
  <c r="H31" i="503" s="1"/>
  <c r="F28" i="502"/>
  <c r="H27" i="502" s="1"/>
  <c r="H29" i="502" s="1"/>
  <c r="H31" i="502" s="1"/>
  <c r="F28" i="501"/>
  <c r="H27" i="501" s="1"/>
  <c r="H29" i="501" s="1"/>
  <c r="H31" i="501" s="1"/>
  <c r="F28" i="500"/>
  <c r="H27" i="500" s="1"/>
  <c r="H29" i="500" s="1"/>
  <c r="H31" i="500" s="1"/>
  <c r="F28" i="499"/>
  <c r="H27" i="499" s="1"/>
  <c r="H29" i="499" s="1"/>
  <c r="H31" i="499" s="1"/>
  <c r="F28" i="498"/>
  <c r="H27" i="498" s="1"/>
  <c r="H29" i="498" s="1"/>
  <c r="H31" i="498" s="1"/>
  <c r="F28" i="497"/>
  <c r="H27" i="497" s="1"/>
  <c r="H29" i="497" s="1"/>
  <c r="H31" i="497" s="1"/>
  <c r="F28" i="496"/>
  <c r="H27" i="496" s="1"/>
  <c r="H29" i="496" s="1"/>
  <c r="H31" i="496" s="1"/>
  <c r="F28" i="495"/>
  <c r="H27" i="495" s="1"/>
  <c r="H29" i="495" s="1"/>
  <c r="H31" i="495" s="1"/>
  <c r="F28" i="494"/>
  <c r="H27" i="494" s="1"/>
  <c r="H29" i="494" s="1"/>
  <c r="H31" i="494" s="1"/>
  <c r="F28" i="493"/>
  <c r="H27" i="493" s="1"/>
  <c r="H29" i="493" s="1"/>
  <c r="H31" i="493" s="1"/>
  <c r="F28" i="492"/>
  <c r="H27" i="492" s="1"/>
  <c r="H29" i="492" s="1"/>
  <c r="H31" i="492" s="1"/>
  <c r="F28" i="491"/>
  <c r="H27" i="491" s="1"/>
  <c r="H29" i="491" s="1"/>
  <c r="H31" i="491" s="1"/>
  <c r="F28" i="490"/>
  <c r="H27" i="490" s="1"/>
  <c r="H29" i="490" s="1"/>
  <c r="H31" i="490" s="1"/>
  <c r="C27" i="489" l="1"/>
  <c r="D14" i="489"/>
  <c r="D20" i="489" s="1"/>
  <c r="C23" i="489" s="1"/>
  <c r="H12" i="489"/>
  <c r="H11" i="489"/>
  <c r="H10" i="489"/>
  <c r="H9" i="489"/>
  <c r="H7" i="489"/>
  <c r="H14" i="489" s="1"/>
  <c r="H3" i="489"/>
  <c r="F26" i="489" l="1"/>
  <c r="H25" i="489" s="1"/>
  <c r="H20" i="489"/>
  <c r="C25" i="489" s="1"/>
  <c r="C32" i="489"/>
  <c r="H23" i="489" s="1"/>
  <c r="F28" i="489" l="1"/>
  <c r="H27" i="489" s="1"/>
  <c r="H29" i="489" s="1"/>
  <c r="H31" i="489" s="1"/>
  <c r="C27" i="488" l="1"/>
  <c r="D14" i="488"/>
  <c r="D20" i="488" s="1"/>
  <c r="C23" i="488" s="1"/>
  <c r="H12" i="488"/>
  <c r="H11" i="488"/>
  <c r="H10" i="488"/>
  <c r="H9" i="488"/>
  <c r="H7" i="488"/>
  <c r="H14" i="488" s="1"/>
  <c r="H3" i="488"/>
  <c r="C27" i="487"/>
  <c r="D14" i="487"/>
  <c r="D20" i="487" s="1"/>
  <c r="C23" i="487" s="1"/>
  <c r="H12" i="487"/>
  <c r="H11" i="487"/>
  <c r="H10" i="487"/>
  <c r="H9" i="487"/>
  <c r="H7" i="487"/>
  <c r="H14" i="487" s="1"/>
  <c r="H3" i="487"/>
  <c r="C27" i="486"/>
  <c r="D14" i="486"/>
  <c r="D20" i="486" s="1"/>
  <c r="C23" i="486" s="1"/>
  <c r="H12" i="486"/>
  <c r="H11" i="486"/>
  <c r="H10" i="486"/>
  <c r="H9" i="486"/>
  <c r="H7" i="486"/>
  <c r="H14" i="486" s="1"/>
  <c r="H3" i="486"/>
  <c r="C27" i="485"/>
  <c r="D14" i="485"/>
  <c r="D20" i="485" s="1"/>
  <c r="C23" i="485" s="1"/>
  <c r="H12" i="485"/>
  <c r="H11" i="485"/>
  <c r="H10" i="485"/>
  <c r="H9" i="485"/>
  <c r="H7" i="485"/>
  <c r="H14" i="485" s="1"/>
  <c r="H3" i="485"/>
  <c r="C27" i="484"/>
  <c r="D14" i="484"/>
  <c r="D20" i="484" s="1"/>
  <c r="C23" i="484" s="1"/>
  <c r="H12" i="484"/>
  <c r="H11" i="484"/>
  <c r="H10" i="484"/>
  <c r="H9" i="484"/>
  <c r="H7" i="484"/>
  <c r="H14" i="484" s="1"/>
  <c r="H3" i="484"/>
  <c r="F26" i="488" l="1"/>
  <c r="H25" i="488" s="1"/>
  <c r="H20" i="488"/>
  <c r="C25" i="488" s="1"/>
  <c r="C32" i="488"/>
  <c r="H23" i="488" s="1"/>
  <c r="F26" i="487"/>
  <c r="H25" i="487" s="1"/>
  <c r="H20" i="487"/>
  <c r="C25" i="487" s="1"/>
  <c r="C32" i="487"/>
  <c r="H23" i="487" s="1"/>
  <c r="F26" i="486"/>
  <c r="H25" i="486" s="1"/>
  <c r="H20" i="486"/>
  <c r="C25" i="486" s="1"/>
  <c r="C32" i="486"/>
  <c r="H23" i="486" s="1"/>
  <c r="F26" i="485"/>
  <c r="H25" i="485" s="1"/>
  <c r="H20" i="485"/>
  <c r="C25" i="485" s="1"/>
  <c r="C32" i="485"/>
  <c r="H23" i="485" s="1"/>
  <c r="F26" i="484"/>
  <c r="H25" i="484" s="1"/>
  <c r="H20" i="484"/>
  <c r="C25" i="484" s="1"/>
  <c r="C32" i="484"/>
  <c r="H23" i="484" s="1"/>
  <c r="F28" i="488" l="1"/>
  <c r="H27" i="488" s="1"/>
  <c r="H29" i="488" s="1"/>
  <c r="H31" i="488" s="1"/>
  <c r="F28" i="487"/>
  <c r="H27" i="487" s="1"/>
  <c r="H29" i="487" s="1"/>
  <c r="H31" i="487" s="1"/>
  <c r="F28" i="486"/>
  <c r="H27" i="486" s="1"/>
  <c r="H29" i="486" s="1"/>
  <c r="H31" i="486" s="1"/>
  <c r="F28" i="485"/>
  <c r="H27" i="485" s="1"/>
  <c r="H29" i="485" s="1"/>
  <c r="H31" i="485" s="1"/>
  <c r="F28" i="484"/>
  <c r="H27" i="484" s="1"/>
  <c r="H29" i="484" s="1"/>
  <c r="H31" i="484" s="1"/>
  <c r="C27" i="483" l="1"/>
  <c r="D14" i="483"/>
  <c r="D20" i="483" s="1"/>
  <c r="C23" i="483" s="1"/>
  <c r="H12" i="483"/>
  <c r="H11" i="483"/>
  <c r="H10" i="483"/>
  <c r="H9" i="483"/>
  <c r="H7" i="483"/>
  <c r="H14" i="483" s="1"/>
  <c r="H3" i="483"/>
  <c r="C27" i="482"/>
  <c r="D14" i="482"/>
  <c r="D20" i="482" s="1"/>
  <c r="C23" i="482" s="1"/>
  <c r="H12" i="482"/>
  <c r="H11" i="482"/>
  <c r="H10" i="482"/>
  <c r="H9" i="482"/>
  <c r="H7" i="482"/>
  <c r="H14" i="482" s="1"/>
  <c r="H3" i="482"/>
  <c r="C27" i="481"/>
  <c r="D14" i="481"/>
  <c r="D20" i="481" s="1"/>
  <c r="C23" i="481" s="1"/>
  <c r="H12" i="481"/>
  <c r="H11" i="481"/>
  <c r="H10" i="481"/>
  <c r="H9" i="481"/>
  <c r="H7" i="481"/>
  <c r="H14" i="481" s="1"/>
  <c r="H3" i="481"/>
  <c r="C27" i="480"/>
  <c r="D14" i="480"/>
  <c r="D20" i="480" s="1"/>
  <c r="C23" i="480" s="1"/>
  <c r="H12" i="480"/>
  <c r="H11" i="480"/>
  <c r="H10" i="480"/>
  <c r="H9" i="480"/>
  <c r="H7" i="480"/>
  <c r="H14" i="480" s="1"/>
  <c r="H3" i="480"/>
  <c r="F26" i="483" l="1"/>
  <c r="H25" i="483" s="1"/>
  <c r="H20" i="483"/>
  <c r="C25" i="483" s="1"/>
  <c r="C32" i="483"/>
  <c r="H23" i="483" s="1"/>
  <c r="F26" i="482"/>
  <c r="H25" i="482" s="1"/>
  <c r="H20" i="482"/>
  <c r="C25" i="482" s="1"/>
  <c r="C32" i="482"/>
  <c r="H23" i="482" s="1"/>
  <c r="F26" i="481"/>
  <c r="H25" i="481" s="1"/>
  <c r="H20" i="481"/>
  <c r="C25" i="481" s="1"/>
  <c r="C32" i="481"/>
  <c r="H23" i="481" s="1"/>
  <c r="F26" i="480"/>
  <c r="H25" i="480" s="1"/>
  <c r="H20" i="480"/>
  <c r="C25" i="480" s="1"/>
  <c r="C32" i="480"/>
  <c r="H23" i="480" s="1"/>
  <c r="F28" i="483" l="1"/>
  <c r="H27" i="483" s="1"/>
  <c r="H29" i="483" s="1"/>
  <c r="H31" i="483" s="1"/>
  <c r="F28" i="482"/>
  <c r="H27" i="482" s="1"/>
  <c r="H29" i="482" s="1"/>
  <c r="H31" i="482" s="1"/>
  <c r="F28" i="481"/>
  <c r="H27" i="481" s="1"/>
  <c r="H29" i="481" s="1"/>
  <c r="H31" i="481" s="1"/>
  <c r="F28" i="480"/>
  <c r="H27" i="480" s="1"/>
  <c r="H29" i="480" s="1"/>
  <c r="H31" i="480" s="1"/>
  <c r="C27" i="479" l="1"/>
  <c r="D14" i="479"/>
  <c r="D20" i="479" s="1"/>
  <c r="C23" i="479" s="1"/>
  <c r="H12" i="479"/>
  <c r="H11" i="479"/>
  <c r="H10" i="479"/>
  <c r="H9" i="479"/>
  <c r="H7" i="479"/>
  <c r="H14" i="479" s="1"/>
  <c r="H3" i="479"/>
  <c r="C27" i="478"/>
  <c r="D14" i="478"/>
  <c r="D20" i="478" s="1"/>
  <c r="C23" i="478" s="1"/>
  <c r="H12" i="478"/>
  <c r="H11" i="478"/>
  <c r="H10" i="478"/>
  <c r="H9" i="478"/>
  <c r="H7" i="478"/>
  <c r="H14" i="478" s="1"/>
  <c r="H3" i="478"/>
  <c r="C27" i="477"/>
  <c r="D14" i="477"/>
  <c r="D20" i="477" s="1"/>
  <c r="C23" i="477" s="1"/>
  <c r="H12" i="477"/>
  <c r="H11" i="477"/>
  <c r="H10" i="477"/>
  <c r="H9" i="477"/>
  <c r="H7" i="477"/>
  <c r="H14" i="477" s="1"/>
  <c r="H3" i="477"/>
  <c r="C27" i="476"/>
  <c r="D14" i="476"/>
  <c r="D20" i="476" s="1"/>
  <c r="C23" i="476" s="1"/>
  <c r="H12" i="476"/>
  <c r="H11" i="476"/>
  <c r="H10" i="476"/>
  <c r="H9" i="476"/>
  <c r="H7" i="476"/>
  <c r="H14" i="476" s="1"/>
  <c r="H3" i="476"/>
  <c r="C27" i="475"/>
  <c r="D14" i="475"/>
  <c r="D20" i="475" s="1"/>
  <c r="C23" i="475" s="1"/>
  <c r="H12" i="475"/>
  <c r="H11" i="475"/>
  <c r="H10" i="475"/>
  <c r="H9" i="475"/>
  <c r="H7" i="475"/>
  <c r="H14" i="475" s="1"/>
  <c r="H3" i="475"/>
  <c r="C27" i="474"/>
  <c r="D14" i="474"/>
  <c r="D20" i="474" s="1"/>
  <c r="C23" i="474" s="1"/>
  <c r="H12" i="474"/>
  <c r="H11" i="474"/>
  <c r="H10" i="474"/>
  <c r="H9" i="474"/>
  <c r="H7" i="474"/>
  <c r="H14" i="474" s="1"/>
  <c r="H3" i="474"/>
  <c r="C27" i="473"/>
  <c r="D14" i="473"/>
  <c r="D20" i="473" s="1"/>
  <c r="C23" i="473" s="1"/>
  <c r="H12" i="473"/>
  <c r="H11" i="473"/>
  <c r="H10" i="473"/>
  <c r="H9" i="473"/>
  <c r="H7" i="473"/>
  <c r="H14" i="473" s="1"/>
  <c r="H3" i="473"/>
  <c r="C27" i="472"/>
  <c r="D14" i="472"/>
  <c r="D20" i="472" s="1"/>
  <c r="C23" i="472" s="1"/>
  <c r="H12" i="472"/>
  <c r="H11" i="472"/>
  <c r="H10" i="472"/>
  <c r="H9" i="472"/>
  <c r="H7" i="472"/>
  <c r="H14" i="472" s="1"/>
  <c r="H3" i="472"/>
  <c r="C27" i="471"/>
  <c r="D14" i="471"/>
  <c r="D20" i="471" s="1"/>
  <c r="C23" i="471" s="1"/>
  <c r="H12" i="471"/>
  <c r="H11" i="471"/>
  <c r="H10" i="471"/>
  <c r="H9" i="471"/>
  <c r="H7" i="471"/>
  <c r="H14" i="471" s="1"/>
  <c r="H3" i="471"/>
  <c r="F26" i="479" l="1"/>
  <c r="H25" i="479" s="1"/>
  <c r="H20" i="479"/>
  <c r="C25" i="479" s="1"/>
  <c r="C32" i="479"/>
  <c r="H23" i="479" s="1"/>
  <c r="F26" i="478"/>
  <c r="H25" i="478" s="1"/>
  <c r="H20" i="478"/>
  <c r="C25" i="478" s="1"/>
  <c r="C32" i="478"/>
  <c r="H23" i="478" s="1"/>
  <c r="F26" i="477"/>
  <c r="H25" i="477" s="1"/>
  <c r="H20" i="477"/>
  <c r="C25" i="477" s="1"/>
  <c r="C32" i="477"/>
  <c r="H23" i="477" s="1"/>
  <c r="F26" i="476"/>
  <c r="H25" i="476" s="1"/>
  <c r="H20" i="476"/>
  <c r="C25" i="476" s="1"/>
  <c r="C32" i="476"/>
  <c r="H23" i="476" s="1"/>
  <c r="F26" i="475"/>
  <c r="H25" i="475" s="1"/>
  <c r="H20" i="475"/>
  <c r="C25" i="475" s="1"/>
  <c r="C32" i="475"/>
  <c r="H23" i="475" s="1"/>
  <c r="F26" i="474"/>
  <c r="H25" i="474" s="1"/>
  <c r="H20" i="474"/>
  <c r="C25" i="474" s="1"/>
  <c r="C32" i="474"/>
  <c r="H23" i="474" s="1"/>
  <c r="F26" i="473"/>
  <c r="H25" i="473" s="1"/>
  <c r="H20" i="473"/>
  <c r="C25" i="473" s="1"/>
  <c r="C32" i="473"/>
  <c r="H23" i="473" s="1"/>
  <c r="F26" i="472"/>
  <c r="H25" i="472" s="1"/>
  <c r="H20" i="472"/>
  <c r="C25" i="472" s="1"/>
  <c r="C32" i="472"/>
  <c r="H23" i="472" s="1"/>
  <c r="F26" i="471"/>
  <c r="H25" i="471" s="1"/>
  <c r="H20" i="471"/>
  <c r="C25" i="471" s="1"/>
  <c r="C32" i="471"/>
  <c r="H23" i="471" s="1"/>
  <c r="F28" i="479" l="1"/>
  <c r="H27" i="479" s="1"/>
  <c r="H29" i="479" s="1"/>
  <c r="H31" i="479" s="1"/>
  <c r="F28" i="478"/>
  <c r="H27" i="478" s="1"/>
  <c r="H29" i="478" s="1"/>
  <c r="H31" i="478" s="1"/>
  <c r="F28" i="477"/>
  <c r="H27" i="477" s="1"/>
  <c r="H29" i="477" s="1"/>
  <c r="H31" i="477" s="1"/>
  <c r="F28" i="476"/>
  <c r="H27" i="476" s="1"/>
  <c r="H29" i="476" s="1"/>
  <c r="H31" i="476" s="1"/>
  <c r="F28" i="475"/>
  <c r="H27" i="475" s="1"/>
  <c r="H29" i="475" s="1"/>
  <c r="H31" i="475" s="1"/>
  <c r="F28" i="474"/>
  <c r="H27" i="474" s="1"/>
  <c r="H29" i="474" s="1"/>
  <c r="H31" i="474" s="1"/>
  <c r="F28" i="473"/>
  <c r="H27" i="473" s="1"/>
  <c r="H29" i="473" s="1"/>
  <c r="H31" i="473" s="1"/>
  <c r="F28" i="472"/>
  <c r="H27" i="472" s="1"/>
  <c r="H29" i="472" s="1"/>
  <c r="H31" i="472" s="1"/>
  <c r="F28" i="471"/>
  <c r="H27" i="471" s="1"/>
  <c r="H29" i="471" s="1"/>
  <c r="H31" i="471" s="1"/>
  <c r="C27" i="470" l="1"/>
  <c r="D14" i="470"/>
  <c r="D20" i="470" s="1"/>
  <c r="C23" i="470" s="1"/>
  <c r="H12" i="470"/>
  <c r="H11" i="470"/>
  <c r="H10" i="470"/>
  <c r="H9" i="470"/>
  <c r="H8" i="470"/>
  <c r="H7" i="470"/>
  <c r="H14" i="470" s="1"/>
  <c r="H3" i="470"/>
  <c r="C27" i="469"/>
  <c r="D14" i="469"/>
  <c r="D20" i="469" s="1"/>
  <c r="C23" i="469" s="1"/>
  <c r="H12" i="469"/>
  <c r="H11" i="469"/>
  <c r="H10" i="469"/>
  <c r="H9" i="469"/>
  <c r="H8" i="469"/>
  <c r="H7" i="469"/>
  <c r="H14" i="469" s="1"/>
  <c r="H3" i="469"/>
  <c r="C27" i="468"/>
  <c r="D14" i="468"/>
  <c r="D20" i="468" s="1"/>
  <c r="C23" i="468" s="1"/>
  <c r="H12" i="468"/>
  <c r="H11" i="468"/>
  <c r="H10" i="468"/>
  <c r="H9" i="468"/>
  <c r="H8" i="468"/>
  <c r="H7" i="468"/>
  <c r="H14" i="468" s="1"/>
  <c r="H3" i="468"/>
  <c r="C27" i="467"/>
  <c r="D14" i="467"/>
  <c r="D20" i="467" s="1"/>
  <c r="C23" i="467" s="1"/>
  <c r="H12" i="467"/>
  <c r="H11" i="467"/>
  <c r="H10" i="467"/>
  <c r="H9" i="467"/>
  <c r="H8" i="467"/>
  <c r="H7" i="467"/>
  <c r="H14" i="467" s="1"/>
  <c r="H3" i="467"/>
  <c r="C27" i="466"/>
  <c r="D14" i="466"/>
  <c r="D20" i="466" s="1"/>
  <c r="C23" i="466" s="1"/>
  <c r="H12" i="466"/>
  <c r="H11" i="466"/>
  <c r="H10" i="466"/>
  <c r="H9" i="466"/>
  <c r="H8" i="466"/>
  <c r="H7" i="466"/>
  <c r="H14" i="466" s="1"/>
  <c r="H3" i="466"/>
  <c r="F26" i="470" l="1"/>
  <c r="H25" i="470" s="1"/>
  <c r="H20" i="470"/>
  <c r="C25" i="470" s="1"/>
  <c r="C32" i="470"/>
  <c r="H23" i="470" s="1"/>
  <c r="F26" i="469"/>
  <c r="H25" i="469" s="1"/>
  <c r="H20" i="469"/>
  <c r="C25" i="469" s="1"/>
  <c r="C32" i="469"/>
  <c r="H23" i="469" s="1"/>
  <c r="F26" i="468"/>
  <c r="H25" i="468" s="1"/>
  <c r="H20" i="468"/>
  <c r="C25" i="468" s="1"/>
  <c r="C32" i="468"/>
  <c r="H23" i="468" s="1"/>
  <c r="F26" i="467"/>
  <c r="H25" i="467" s="1"/>
  <c r="H20" i="467"/>
  <c r="C25" i="467" s="1"/>
  <c r="C32" i="467"/>
  <c r="H23" i="467" s="1"/>
  <c r="F26" i="466"/>
  <c r="H25" i="466" s="1"/>
  <c r="H20" i="466"/>
  <c r="C25" i="466" s="1"/>
  <c r="C32" i="466"/>
  <c r="H23" i="466" s="1"/>
  <c r="C27" i="465"/>
  <c r="D14" i="465"/>
  <c r="D20" i="465" s="1"/>
  <c r="C23" i="465" s="1"/>
  <c r="H12" i="465"/>
  <c r="H11" i="465"/>
  <c r="H10" i="465"/>
  <c r="H9" i="465"/>
  <c r="H8" i="465"/>
  <c r="H7" i="465"/>
  <c r="H14" i="465" s="1"/>
  <c r="H3" i="465"/>
  <c r="C27" i="464"/>
  <c r="D14" i="464"/>
  <c r="D20" i="464" s="1"/>
  <c r="C23" i="464" s="1"/>
  <c r="H12" i="464"/>
  <c r="H11" i="464"/>
  <c r="H10" i="464"/>
  <c r="H9" i="464"/>
  <c r="H8" i="464"/>
  <c r="H7" i="464"/>
  <c r="H14" i="464" s="1"/>
  <c r="H3" i="464"/>
  <c r="F28" i="470" l="1"/>
  <c r="H27" i="470" s="1"/>
  <c r="H29" i="470" s="1"/>
  <c r="H31" i="470" s="1"/>
  <c r="F28" i="469"/>
  <c r="H27" i="469" s="1"/>
  <c r="H29" i="469" s="1"/>
  <c r="H31" i="469" s="1"/>
  <c r="F28" i="468"/>
  <c r="H27" i="468" s="1"/>
  <c r="H29" i="468" s="1"/>
  <c r="H31" i="468" s="1"/>
  <c r="F28" i="467"/>
  <c r="H27" i="467" s="1"/>
  <c r="H29" i="467" s="1"/>
  <c r="H31" i="467" s="1"/>
  <c r="F28" i="466"/>
  <c r="H27" i="466" s="1"/>
  <c r="H29" i="466" s="1"/>
  <c r="H31" i="466" s="1"/>
  <c r="F26" i="465"/>
  <c r="H25" i="465" s="1"/>
  <c r="H20" i="465"/>
  <c r="C25" i="465" s="1"/>
  <c r="C32" i="465"/>
  <c r="H23" i="465" s="1"/>
  <c r="F26" i="464"/>
  <c r="H25" i="464" s="1"/>
  <c r="H20" i="464"/>
  <c r="C25" i="464" s="1"/>
  <c r="C32" i="464"/>
  <c r="H23" i="464" s="1"/>
  <c r="F28" i="465" l="1"/>
  <c r="H27" i="465" s="1"/>
  <c r="H29" i="465" s="1"/>
  <c r="H31" i="465" s="1"/>
  <c r="F28" i="464"/>
  <c r="H27" i="464" s="1"/>
  <c r="H29" i="464" s="1"/>
  <c r="H31" i="464" s="1"/>
  <c r="C27" i="463" l="1"/>
  <c r="D14" i="463"/>
  <c r="D20" i="463" s="1"/>
  <c r="C23" i="463" s="1"/>
  <c r="H12" i="463"/>
  <c r="H11" i="463"/>
  <c r="H10" i="463"/>
  <c r="H9" i="463"/>
  <c r="H8" i="463"/>
  <c r="H7" i="463"/>
  <c r="H14" i="463" s="1"/>
  <c r="H3" i="463"/>
  <c r="F26" i="463" l="1"/>
  <c r="H25" i="463" s="1"/>
  <c r="H20" i="463"/>
  <c r="C25" i="463" s="1"/>
  <c r="C32" i="463"/>
  <c r="H23" i="463" s="1"/>
  <c r="C27" i="462"/>
  <c r="D14" i="462"/>
  <c r="D20" i="462" s="1"/>
  <c r="C23" i="462" s="1"/>
  <c r="H12" i="462"/>
  <c r="H11" i="462"/>
  <c r="H10" i="462"/>
  <c r="H9" i="462"/>
  <c r="H8" i="462"/>
  <c r="H7" i="462"/>
  <c r="H14" i="462" s="1"/>
  <c r="H3" i="462"/>
  <c r="C27" i="461"/>
  <c r="D14" i="461"/>
  <c r="D20" i="461" s="1"/>
  <c r="C23" i="461" s="1"/>
  <c r="H12" i="461"/>
  <c r="H11" i="461"/>
  <c r="H10" i="461"/>
  <c r="H9" i="461"/>
  <c r="H8" i="461"/>
  <c r="H7" i="461"/>
  <c r="H14" i="461" s="1"/>
  <c r="H3" i="461"/>
  <c r="C27" i="460"/>
  <c r="D14" i="460"/>
  <c r="D20" i="460" s="1"/>
  <c r="C23" i="460" s="1"/>
  <c r="H12" i="460"/>
  <c r="H11" i="460"/>
  <c r="H10" i="460"/>
  <c r="H9" i="460"/>
  <c r="H8" i="460"/>
  <c r="H7" i="460"/>
  <c r="H14" i="460" s="1"/>
  <c r="H3" i="460"/>
  <c r="C27" i="459"/>
  <c r="D14" i="459"/>
  <c r="D20" i="459" s="1"/>
  <c r="C23" i="459" s="1"/>
  <c r="H12" i="459"/>
  <c r="H11" i="459"/>
  <c r="H10" i="459"/>
  <c r="H9" i="459"/>
  <c r="H8" i="459"/>
  <c r="H7" i="459"/>
  <c r="H14" i="459" s="1"/>
  <c r="H3" i="459"/>
  <c r="F28" i="463" l="1"/>
  <c r="H27" i="463" s="1"/>
  <c r="H29" i="463" s="1"/>
  <c r="H31" i="463" s="1"/>
  <c r="F26" i="462"/>
  <c r="H25" i="462" s="1"/>
  <c r="H20" i="462"/>
  <c r="C25" i="462" s="1"/>
  <c r="C32" i="462"/>
  <c r="H23" i="462" s="1"/>
  <c r="F26" i="461"/>
  <c r="H25" i="461" s="1"/>
  <c r="H20" i="461"/>
  <c r="C25" i="461" s="1"/>
  <c r="C32" i="461"/>
  <c r="H23" i="461" s="1"/>
  <c r="F26" i="460"/>
  <c r="H25" i="460" s="1"/>
  <c r="H20" i="460"/>
  <c r="C25" i="460" s="1"/>
  <c r="C32" i="460"/>
  <c r="H23" i="460" s="1"/>
  <c r="F26" i="459"/>
  <c r="H25" i="459" s="1"/>
  <c r="H20" i="459"/>
  <c r="C25" i="459" s="1"/>
  <c r="C32" i="459"/>
  <c r="H23" i="459" s="1"/>
  <c r="C27" i="458"/>
  <c r="D14" i="458"/>
  <c r="D20" i="458" s="1"/>
  <c r="C23" i="458" s="1"/>
  <c r="H12" i="458"/>
  <c r="H11" i="458"/>
  <c r="H10" i="458"/>
  <c r="H9" i="458"/>
  <c r="H8" i="458"/>
  <c r="H7" i="458"/>
  <c r="H14" i="458" s="1"/>
  <c r="H3" i="458"/>
  <c r="C27" i="457"/>
  <c r="D14" i="457"/>
  <c r="D20" i="457" s="1"/>
  <c r="C23" i="457" s="1"/>
  <c r="H12" i="457"/>
  <c r="H11" i="457"/>
  <c r="H10" i="457"/>
  <c r="H9" i="457"/>
  <c r="H8" i="457"/>
  <c r="H7" i="457"/>
  <c r="H14" i="457" s="1"/>
  <c r="H3" i="457"/>
  <c r="C27" i="456"/>
  <c r="D14" i="456"/>
  <c r="D20" i="456" s="1"/>
  <c r="C23" i="456" s="1"/>
  <c r="H12" i="456"/>
  <c r="H11" i="456"/>
  <c r="H10" i="456"/>
  <c r="H9" i="456"/>
  <c r="H8" i="456"/>
  <c r="H7" i="456"/>
  <c r="H14" i="456" s="1"/>
  <c r="H3" i="456"/>
  <c r="F28" i="462" l="1"/>
  <c r="H27" i="462" s="1"/>
  <c r="H29" i="462" s="1"/>
  <c r="H31" i="462" s="1"/>
  <c r="F28" i="461"/>
  <c r="H27" i="461" s="1"/>
  <c r="H29" i="461" s="1"/>
  <c r="H31" i="461" s="1"/>
  <c r="F28" i="460"/>
  <c r="H27" i="460" s="1"/>
  <c r="H29" i="460" s="1"/>
  <c r="H31" i="460" s="1"/>
  <c r="F28" i="459"/>
  <c r="H27" i="459" s="1"/>
  <c r="H29" i="459" s="1"/>
  <c r="H31" i="459" s="1"/>
  <c r="F26" i="458"/>
  <c r="H25" i="458" s="1"/>
  <c r="H20" i="458"/>
  <c r="C25" i="458" s="1"/>
  <c r="C32" i="458"/>
  <c r="H23" i="458" s="1"/>
  <c r="F26" i="457"/>
  <c r="H25" i="457" s="1"/>
  <c r="H20" i="457"/>
  <c r="C25" i="457" s="1"/>
  <c r="C32" i="457"/>
  <c r="H23" i="457" s="1"/>
  <c r="F26" i="456"/>
  <c r="H25" i="456" s="1"/>
  <c r="H20" i="456"/>
  <c r="C25" i="456" s="1"/>
  <c r="C32" i="456"/>
  <c r="H23" i="456" s="1"/>
  <c r="C27" i="455"/>
  <c r="D14" i="455"/>
  <c r="D20" i="455" s="1"/>
  <c r="C23" i="455" s="1"/>
  <c r="H12" i="455"/>
  <c r="H11" i="455"/>
  <c r="H10" i="455"/>
  <c r="H9" i="455"/>
  <c r="H8" i="455"/>
  <c r="H7" i="455"/>
  <c r="H14" i="455" s="1"/>
  <c r="H3" i="455"/>
  <c r="F28" i="458" l="1"/>
  <c r="H27" i="458" s="1"/>
  <c r="H29" i="458" s="1"/>
  <c r="H31" i="458" s="1"/>
  <c r="F28" i="457"/>
  <c r="H27" i="457" s="1"/>
  <c r="H29" i="457" s="1"/>
  <c r="H31" i="457" s="1"/>
  <c r="F28" i="456"/>
  <c r="H27" i="456" s="1"/>
  <c r="H29" i="456" s="1"/>
  <c r="H31" i="456" s="1"/>
  <c r="F26" i="455"/>
  <c r="H20" i="455"/>
  <c r="C25" i="455" s="1"/>
  <c r="C27" i="454"/>
  <c r="D14" i="454"/>
  <c r="D20" i="454" s="1"/>
  <c r="C23" i="454" s="1"/>
  <c r="H12" i="454"/>
  <c r="H11" i="454"/>
  <c r="H10" i="454"/>
  <c r="H9" i="454"/>
  <c r="H8" i="454"/>
  <c r="H7" i="454"/>
  <c r="H14" i="454" s="1"/>
  <c r="H3" i="454"/>
  <c r="C27" i="453"/>
  <c r="D14" i="453"/>
  <c r="D20" i="453" s="1"/>
  <c r="C23" i="453" s="1"/>
  <c r="H12" i="453"/>
  <c r="H11" i="453"/>
  <c r="H10" i="453"/>
  <c r="H9" i="453"/>
  <c r="H8" i="453"/>
  <c r="H7" i="453"/>
  <c r="H14" i="453" s="1"/>
  <c r="H3" i="453"/>
  <c r="C32" i="455" l="1"/>
  <c r="H23" i="455" s="1"/>
  <c r="H25" i="455"/>
  <c r="F26" i="454"/>
  <c r="H20" i="454"/>
  <c r="C25" i="454" s="1"/>
  <c r="F26" i="453"/>
  <c r="H20" i="453"/>
  <c r="C25" i="453" s="1"/>
  <c r="C23" i="452"/>
  <c r="D14" i="452"/>
  <c r="D16" i="452" s="1"/>
  <c r="C19" i="452" s="1"/>
  <c r="H12" i="452"/>
  <c r="H11" i="452"/>
  <c r="H10" i="452"/>
  <c r="H14" i="452" s="1"/>
  <c r="H3" i="452"/>
  <c r="F28" i="455" l="1"/>
  <c r="H27" i="455" s="1"/>
  <c r="H29" i="455" s="1"/>
  <c r="H31" i="455" s="1"/>
  <c r="C32" i="454"/>
  <c r="H23" i="454" s="1"/>
  <c r="H25" i="454"/>
  <c r="C32" i="453"/>
  <c r="H23" i="453" s="1"/>
  <c r="H25" i="453"/>
  <c r="F22" i="452"/>
  <c r="H21" i="452" s="1"/>
  <c r="H16" i="452"/>
  <c r="C21" i="452" s="1"/>
  <c r="C28" i="452"/>
  <c r="H19" i="452" s="1"/>
  <c r="F28" i="454" l="1"/>
  <c r="H27" i="454" s="1"/>
  <c r="H29" i="454" s="1"/>
  <c r="H31" i="454" s="1"/>
  <c r="F28" i="453"/>
  <c r="H27" i="453" s="1"/>
  <c r="H29" i="453" s="1"/>
  <c r="H31" i="453" s="1"/>
  <c r="F24" i="452"/>
  <c r="H23" i="452" s="1"/>
  <c r="H25" i="452" s="1"/>
  <c r="H27" i="452" s="1"/>
  <c r="C27" i="451"/>
  <c r="D14" i="451"/>
  <c r="D20" i="451" s="1"/>
  <c r="C23" i="451" s="1"/>
  <c r="H12" i="451"/>
  <c r="H11" i="451"/>
  <c r="H10" i="451"/>
  <c r="H9" i="451"/>
  <c r="H8" i="451"/>
  <c r="H7" i="451"/>
  <c r="H14" i="451" s="1"/>
  <c r="H3" i="451"/>
  <c r="C27" i="450"/>
  <c r="D14" i="450"/>
  <c r="D20" i="450" s="1"/>
  <c r="C23" i="450" s="1"/>
  <c r="H12" i="450"/>
  <c r="H11" i="450"/>
  <c r="H10" i="450"/>
  <c r="H9" i="450"/>
  <c r="H8" i="450"/>
  <c r="H7" i="450"/>
  <c r="H14" i="450" s="1"/>
  <c r="H3" i="450"/>
  <c r="F26" i="451" l="1"/>
  <c r="H20" i="451"/>
  <c r="C25" i="451" s="1"/>
  <c r="F26" i="450"/>
  <c r="H20" i="450"/>
  <c r="C25" i="450" s="1"/>
  <c r="C27" i="449"/>
  <c r="D14" i="449"/>
  <c r="D20" i="449" s="1"/>
  <c r="C23" i="449" s="1"/>
  <c r="H12" i="449"/>
  <c r="H11" i="449"/>
  <c r="H10" i="449"/>
  <c r="H9" i="449"/>
  <c r="H8" i="449"/>
  <c r="H7" i="449"/>
  <c r="H14" i="449" s="1"/>
  <c r="H3" i="449"/>
  <c r="C27" i="448"/>
  <c r="D14" i="448"/>
  <c r="D20" i="448" s="1"/>
  <c r="C23" i="448" s="1"/>
  <c r="H12" i="448"/>
  <c r="H11" i="448"/>
  <c r="H10" i="448"/>
  <c r="H9" i="448"/>
  <c r="H8" i="448"/>
  <c r="H7" i="448"/>
  <c r="H14" i="448" s="1"/>
  <c r="H3" i="448"/>
  <c r="C27" i="447"/>
  <c r="D14" i="447"/>
  <c r="D20" i="447" s="1"/>
  <c r="C23" i="447" s="1"/>
  <c r="H12" i="447"/>
  <c r="H11" i="447"/>
  <c r="H10" i="447"/>
  <c r="H9" i="447"/>
  <c r="H8" i="447"/>
  <c r="H7" i="447"/>
  <c r="H14" i="447" s="1"/>
  <c r="H3" i="447"/>
  <c r="C27" i="446"/>
  <c r="D14" i="446"/>
  <c r="D20" i="446" s="1"/>
  <c r="C23" i="446" s="1"/>
  <c r="H12" i="446"/>
  <c r="H11" i="446"/>
  <c r="H10" i="446"/>
  <c r="H9" i="446"/>
  <c r="H8" i="446"/>
  <c r="H7" i="446"/>
  <c r="H14" i="446" s="1"/>
  <c r="H3" i="446"/>
  <c r="C27" i="445"/>
  <c r="D14" i="445"/>
  <c r="D20" i="445" s="1"/>
  <c r="C23" i="445" s="1"/>
  <c r="H12" i="445"/>
  <c r="H11" i="445"/>
  <c r="H10" i="445"/>
  <c r="H9" i="445"/>
  <c r="H8" i="445"/>
  <c r="H7" i="445"/>
  <c r="H14" i="445" s="1"/>
  <c r="H3" i="445"/>
  <c r="C27" i="444"/>
  <c r="D14" i="444"/>
  <c r="D20" i="444" s="1"/>
  <c r="C23" i="444" s="1"/>
  <c r="H12" i="444"/>
  <c r="H11" i="444"/>
  <c r="H10" i="444"/>
  <c r="H9" i="444"/>
  <c r="H8" i="444"/>
  <c r="H7" i="444"/>
  <c r="H14" i="444" s="1"/>
  <c r="H3" i="444"/>
  <c r="H8" i="443"/>
  <c r="C27" i="443"/>
  <c r="D14" i="443"/>
  <c r="D20" i="443" s="1"/>
  <c r="C23" i="443" s="1"/>
  <c r="H12" i="443"/>
  <c r="H11" i="443"/>
  <c r="H10" i="443"/>
  <c r="H9" i="443"/>
  <c r="H7" i="443"/>
  <c r="H14" i="443" s="1"/>
  <c r="H3" i="443"/>
  <c r="C27" i="442"/>
  <c r="D14" i="442"/>
  <c r="D20" i="442" s="1"/>
  <c r="C23" i="442" s="1"/>
  <c r="H12" i="442"/>
  <c r="H11" i="442"/>
  <c r="H10" i="442"/>
  <c r="H9" i="442"/>
  <c r="H7" i="442"/>
  <c r="H14" i="442" s="1"/>
  <c r="H3" i="442"/>
  <c r="C27" i="441"/>
  <c r="D14" i="441"/>
  <c r="D20" i="441" s="1"/>
  <c r="C23" i="441" s="1"/>
  <c r="H12" i="441"/>
  <c r="H11" i="441"/>
  <c r="H10" i="441"/>
  <c r="H9" i="441"/>
  <c r="H7" i="441"/>
  <c r="H14" i="441" s="1"/>
  <c r="H3" i="441"/>
  <c r="C27" i="440"/>
  <c r="D14" i="440"/>
  <c r="D20" i="440" s="1"/>
  <c r="C23" i="440" s="1"/>
  <c r="H12" i="440"/>
  <c r="H11" i="440"/>
  <c r="H10" i="440"/>
  <c r="H9" i="440"/>
  <c r="H7" i="440"/>
  <c r="H14" i="440" s="1"/>
  <c r="H3" i="440"/>
  <c r="C27" i="439"/>
  <c r="D14" i="439"/>
  <c r="D20" i="439" s="1"/>
  <c r="C23" i="439" s="1"/>
  <c r="H12" i="439"/>
  <c r="H11" i="439"/>
  <c r="H10" i="439"/>
  <c r="H9" i="439"/>
  <c r="H7" i="439"/>
  <c r="H14" i="439" s="1"/>
  <c r="H3" i="439"/>
  <c r="C27" i="438"/>
  <c r="D14" i="438"/>
  <c r="D20" i="438" s="1"/>
  <c r="C23" i="438" s="1"/>
  <c r="H12" i="438"/>
  <c r="H11" i="438"/>
  <c r="H10" i="438"/>
  <c r="H9" i="438"/>
  <c r="H7" i="438"/>
  <c r="H14" i="438" s="1"/>
  <c r="H3" i="438"/>
  <c r="C27" i="437"/>
  <c r="D14" i="437"/>
  <c r="D20" i="437" s="1"/>
  <c r="C23" i="437" s="1"/>
  <c r="H12" i="437"/>
  <c r="H11" i="437"/>
  <c r="H10" i="437"/>
  <c r="H9" i="437"/>
  <c r="H7" i="437"/>
  <c r="H14" i="437" s="1"/>
  <c r="H3" i="437"/>
  <c r="C27" i="436"/>
  <c r="D14" i="436"/>
  <c r="D20" i="436" s="1"/>
  <c r="C23" i="436" s="1"/>
  <c r="H12" i="436"/>
  <c r="H11" i="436"/>
  <c r="H10" i="436"/>
  <c r="H9" i="436"/>
  <c r="H7" i="436"/>
  <c r="H14" i="436" s="1"/>
  <c r="H3" i="436"/>
  <c r="C27" i="435"/>
  <c r="D14" i="435"/>
  <c r="D20" i="435" s="1"/>
  <c r="C23" i="435" s="1"/>
  <c r="H12" i="435"/>
  <c r="H11" i="435"/>
  <c r="H10" i="435"/>
  <c r="H9" i="435"/>
  <c r="H7" i="435"/>
  <c r="H14" i="435" s="1"/>
  <c r="H3" i="435"/>
  <c r="C27" i="434"/>
  <c r="D14" i="434"/>
  <c r="D20" i="434" s="1"/>
  <c r="C23" i="434" s="1"/>
  <c r="H12" i="434"/>
  <c r="H11" i="434"/>
  <c r="H10" i="434"/>
  <c r="H9" i="434"/>
  <c r="H7" i="434"/>
  <c r="H14" i="434" s="1"/>
  <c r="H3" i="434"/>
  <c r="C27" i="433"/>
  <c r="D14" i="433"/>
  <c r="D20" i="433" s="1"/>
  <c r="C23" i="433" s="1"/>
  <c r="H12" i="433"/>
  <c r="H11" i="433"/>
  <c r="H10" i="433"/>
  <c r="H9" i="433"/>
  <c r="H7" i="433"/>
  <c r="H14" i="433" s="1"/>
  <c r="H3" i="433"/>
  <c r="C27" i="432"/>
  <c r="D14" i="432"/>
  <c r="D20" i="432" s="1"/>
  <c r="C23" i="432" s="1"/>
  <c r="H12" i="432"/>
  <c r="H11" i="432"/>
  <c r="H10" i="432"/>
  <c r="H9" i="432"/>
  <c r="H7" i="432"/>
  <c r="H14" i="432" s="1"/>
  <c r="H3" i="432"/>
  <c r="C27" i="431"/>
  <c r="D14" i="431"/>
  <c r="D20" i="431" s="1"/>
  <c r="C23" i="431" s="1"/>
  <c r="H12" i="431"/>
  <c r="H11" i="431"/>
  <c r="H10" i="431"/>
  <c r="H9" i="431"/>
  <c r="H7" i="431"/>
  <c r="H14" i="431" s="1"/>
  <c r="H3" i="431"/>
  <c r="C29" i="430"/>
  <c r="C27" i="430"/>
  <c r="D14" i="430"/>
  <c r="D20" i="430" s="1"/>
  <c r="C23" i="430" s="1"/>
  <c r="H12" i="430"/>
  <c r="H11" i="430"/>
  <c r="H10" i="430"/>
  <c r="H9" i="430"/>
  <c r="H7" i="430"/>
  <c r="H14" i="430" s="1"/>
  <c r="H3" i="430"/>
  <c r="C32" i="451" l="1"/>
  <c r="H23" i="451" s="1"/>
  <c r="H25" i="451"/>
  <c r="C32" i="450"/>
  <c r="H23" i="450" s="1"/>
  <c r="H25" i="450"/>
  <c r="F26" i="449"/>
  <c r="H20" i="449"/>
  <c r="C25" i="449" s="1"/>
  <c r="F26" i="448"/>
  <c r="H20" i="448"/>
  <c r="C25" i="448" s="1"/>
  <c r="F26" i="447"/>
  <c r="H20" i="447"/>
  <c r="C25" i="447" s="1"/>
  <c r="F26" i="446"/>
  <c r="H20" i="446"/>
  <c r="C25" i="446" s="1"/>
  <c r="F26" i="445"/>
  <c r="H20" i="445"/>
  <c r="C25" i="445" s="1"/>
  <c r="F26" i="444"/>
  <c r="H20" i="444"/>
  <c r="C25" i="444" s="1"/>
  <c r="F26" i="443"/>
  <c r="H20" i="443"/>
  <c r="C25" i="443" s="1"/>
  <c r="F26" i="442"/>
  <c r="H20" i="442"/>
  <c r="C25" i="442" s="1"/>
  <c r="F26" i="441"/>
  <c r="H20" i="441"/>
  <c r="C25" i="441" s="1"/>
  <c r="F26" i="440"/>
  <c r="H20" i="440"/>
  <c r="C25" i="440" s="1"/>
  <c r="F26" i="439"/>
  <c r="H20" i="439"/>
  <c r="C25" i="439" s="1"/>
  <c r="F26" i="438"/>
  <c r="H20" i="438"/>
  <c r="C25" i="438" s="1"/>
  <c r="F26" i="437"/>
  <c r="H20" i="437"/>
  <c r="C25" i="437" s="1"/>
  <c r="F26" i="436"/>
  <c r="H20" i="436"/>
  <c r="C25" i="436" s="1"/>
  <c r="F26" i="435"/>
  <c r="H20" i="435"/>
  <c r="C25" i="435" s="1"/>
  <c r="F26" i="434"/>
  <c r="H20" i="434"/>
  <c r="C25" i="434" s="1"/>
  <c r="F26" i="433"/>
  <c r="H20" i="433"/>
  <c r="C25" i="433" s="1"/>
  <c r="F26" i="432"/>
  <c r="H20" i="432"/>
  <c r="C25" i="432" s="1"/>
  <c r="F26" i="431"/>
  <c r="H20" i="431"/>
  <c r="C25" i="431" s="1"/>
  <c r="F26" i="430"/>
  <c r="H25" i="430" s="1"/>
  <c r="H20" i="430"/>
  <c r="C25" i="430" s="1"/>
  <c r="C32" i="430"/>
  <c r="H23" i="430" s="1"/>
  <c r="F28" i="451" l="1"/>
  <c r="H27" i="451" s="1"/>
  <c r="H29" i="451" s="1"/>
  <c r="H31" i="451" s="1"/>
  <c r="F28" i="450"/>
  <c r="H27" i="450" s="1"/>
  <c r="H29" i="450" s="1"/>
  <c r="H31" i="450" s="1"/>
  <c r="C32" i="449"/>
  <c r="H23" i="449" s="1"/>
  <c r="H25" i="449"/>
  <c r="C32" i="448"/>
  <c r="H23" i="448" s="1"/>
  <c r="H25" i="448"/>
  <c r="C32" i="447"/>
  <c r="H23" i="447" s="1"/>
  <c r="H25" i="447"/>
  <c r="C32" i="446"/>
  <c r="H23" i="446" s="1"/>
  <c r="H25" i="446"/>
  <c r="C32" i="445"/>
  <c r="H23" i="445" s="1"/>
  <c r="H25" i="445"/>
  <c r="C32" i="444"/>
  <c r="H23" i="444" s="1"/>
  <c r="H25" i="444"/>
  <c r="C32" i="443"/>
  <c r="H23" i="443" s="1"/>
  <c r="H25" i="443"/>
  <c r="C32" i="442"/>
  <c r="H23" i="442" s="1"/>
  <c r="H25" i="442"/>
  <c r="C32" i="441"/>
  <c r="H23" i="441" s="1"/>
  <c r="H25" i="441"/>
  <c r="C32" i="440"/>
  <c r="H23" i="440" s="1"/>
  <c r="H25" i="440"/>
  <c r="C32" i="439"/>
  <c r="H23" i="439" s="1"/>
  <c r="H25" i="439"/>
  <c r="C32" i="438"/>
  <c r="H23" i="438" s="1"/>
  <c r="H25" i="438"/>
  <c r="C32" i="437"/>
  <c r="H23" i="437" s="1"/>
  <c r="H25" i="437"/>
  <c r="C32" i="436"/>
  <c r="H23" i="436" s="1"/>
  <c r="H25" i="436"/>
  <c r="C32" i="435"/>
  <c r="H23" i="435" s="1"/>
  <c r="H25" i="435"/>
  <c r="C32" i="434"/>
  <c r="H23" i="434" s="1"/>
  <c r="H25" i="434"/>
  <c r="C32" i="433"/>
  <c r="H23" i="433" s="1"/>
  <c r="H25" i="433"/>
  <c r="C32" i="432"/>
  <c r="H23" i="432" s="1"/>
  <c r="H25" i="432"/>
  <c r="C32" i="431"/>
  <c r="H23" i="431" s="1"/>
  <c r="H25" i="431"/>
  <c r="F28" i="430"/>
  <c r="H27" i="430" s="1"/>
  <c r="H29" i="430" s="1"/>
  <c r="H31" i="430" s="1"/>
  <c r="F28" i="449" l="1"/>
  <c r="H27" i="449" s="1"/>
  <c r="H29" i="449" s="1"/>
  <c r="H31" i="449" s="1"/>
  <c r="F28" i="448"/>
  <c r="H27" i="448" s="1"/>
  <c r="H29" i="448" s="1"/>
  <c r="H31" i="448" s="1"/>
  <c r="F28" i="447"/>
  <c r="H27" i="447" s="1"/>
  <c r="H29" i="447" s="1"/>
  <c r="H31" i="447" s="1"/>
  <c r="F28" i="446"/>
  <c r="H27" i="446" s="1"/>
  <c r="H29" i="446" s="1"/>
  <c r="H31" i="446" s="1"/>
  <c r="F28" i="445"/>
  <c r="H27" i="445" s="1"/>
  <c r="H29" i="445" s="1"/>
  <c r="H31" i="445" s="1"/>
  <c r="F28" i="444"/>
  <c r="H27" i="444" s="1"/>
  <c r="H29" i="444" s="1"/>
  <c r="H31" i="444" s="1"/>
  <c r="F28" i="443"/>
  <c r="H27" i="443" s="1"/>
  <c r="H29" i="443" s="1"/>
  <c r="H31" i="443" s="1"/>
  <c r="F28" i="442"/>
  <c r="H27" i="442" s="1"/>
  <c r="H29" i="442" s="1"/>
  <c r="H31" i="442" s="1"/>
  <c r="F28" i="441"/>
  <c r="H27" i="441" s="1"/>
  <c r="H29" i="441" s="1"/>
  <c r="H31" i="441" s="1"/>
  <c r="F28" i="440"/>
  <c r="H27" i="440" s="1"/>
  <c r="H29" i="440" s="1"/>
  <c r="H31" i="440" s="1"/>
  <c r="F28" i="439"/>
  <c r="H27" i="439" s="1"/>
  <c r="H29" i="439" s="1"/>
  <c r="H31" i="439" s="1"/>
  <c r="F28" i="438"/>
  <c r="H27" i="438" s="1"/>
  <c r="H29" i="438" s="1"/>
  <c r="H31" i="438" s="1"/>
  <c r="F28" i="437"/>
  <c r="H27" i="437" s="1"/>
  <c r="H29" i="437" s="1"/>
  <c r="H31" i="437" s="1"/>
  <c r="F28" i="436"/>
  <c r="H27" i="436" s="1"/>
  <c r="H29" i="436" s="1"/>
  <c r="H31" i="436" s="1"/>
  <c r="F28" i="435"/>
  <c r="H27" i="435" s="1"/>
  <c r="H29" i="435" s="1"/>
  <c r="H31" i="435" s="1"/>
  <c r="F28" i="434"/>
  <c r="H27" i="434" s="1"/>
  <c r="H29" i="434" s="1"/>
  <c r="H31" i="434" s="1"/>
  <c r="F28" i="433"/>
  <c r="H27" i="433" s="1"/>
  <c r="H29" i="433" s="1"/>
  <c r="H31" i="433" s="1"/>
  <c r="F28" i="432"/>
  <c r="H27" i="432" s="1"/>
  <c r="H29" i="432" s="1"/>
  <c r="H31" i="432" s="1"/>
  <c r="F28" i="431"/>
  <c r="H27" i="431" s="1"/>
  <c r="H29" i="431" s="1"/>
  <c r="H31" i="431" s="1"/>
  <c r="C27" i="429"/>
  <c r="D14" i="429"/>
  <c r="D20" i="429" s="1"/>
  <c r="C23" i="429" s="1"/>
  <c r="H12" i="429"/>
  <c r="H11" i="429"/>
  <c r="H10" i="429"/>
  <c r="H9" i="429"/>
  <c r="H7" i="429"/>
  <c r="H14" i="429" s="1"/>
  <c r="H3" i="429"/>
  <c r="F26" i="429" l="1"/>
  <c r="H25" i="429" s="1"/>
  <c r="H20" i="429"/>
  <c r="C25" i="429" s="1"/>
  <c r="C32" i="429"/>
  <c r="H23" i="429" s="1"/>
  <c r="F28" i="429" l="1"/>
  <c r="H27" i="429" s="1"/>
  <c r="H29" i="429" s="1"/>
  <c r="H31" i="429" s="1"/>
  <c r="C27" i="428" l="1"/>
  <c r="D14" i="428"/>
  <c r="D20" i="428" s="1"/>
  <c r="C23" i="428" s="1"/>
  <c r="H12" i="428"/>
  <c r="H11" i="428"/>
  <c r="H10" i="428"/>
  <c r="H9" i="428"/>
  <c r="H8" i="428"/>
  <c r="H7" i="428"/>
  <c r="H14" i="428" s="1"/>
  <c r="H3" i="428"/>
  <c r="C27" i="427"/>
  <c r="D14" i="427"/>
  <c r="D20" i="427" s="1"/>
  <c r="C23" i="427" s="1"/>
  <c r="H12" i="427"/>
  <c r="H11" i="427"/>
  <c r="H10" i="427"/>
  <c r="H9" i="427"/>
  <c r="H8" i="427"/>
  <c r="H7" i="427"/>
  <c r="H14" i="427" s="1"/>
  <c r="H3" i="427"/>
  <c r="F26" i="428" l="1"/>
  <c r="H25" i="428" s="1"/>
  <c r="H20" i="428"/>
  <c r="C25" i="428" s="1"/>
  <c r="C32" i="428"/>
  <c r="H23" i="428" s="1"/>
  <c r="F26" i="427"/>
  <c r="H25" i="427" s="1"/>
  <c r="H20" i="427"/>
  <c r="C25" i="427" s="1"/>
  <c r="C32" i="427"/>
  <c r="H23" i="427" s="1"/>
  <c r="C27" i="426"/>
  <c r="D14" i="426"/>
  <c r="D20" i="426" s="1"/>
  <c r="C23" i="426" s="1"/>
  <c r="H12" i="426"/>
  <c r="H11" i="426"/>
  <c r="H10" i="426"/>
  <c r="H9" i="426"/>
  <c r="H8" i="426"/>
  <c r="H7" i="426"/>
  <c r="H14" i="426" s="1"/>
  <c r="H3" i="426"/>
  <c r="F28" i="428" l="1"/>
  <c r="H27" i="428" s="1"/>
  <c r="H29" i="428" s="1"/>
  <c r="H31" i="428" s="1"/>
  <c r="F28" i="427"/>
  <c r="H27" i="427" s="1"/>
  <c r="H29" i="427" s="1"/>
  <c r="H31" i="427" s="1"/>
  <c r="F26" i="426"/>
  <c r="H25" i="426" s="1"/>
  <c r="H20" i="426"/>
  <c r="C25" i="426" s="1"/>
  <c r="C32" i="426"/>
  <c r="H23" i="426" s="1"/>
  <c r="F28" i="426" l="1"/>
  <c r="H27" i="426" s="1"/>
  <c r="H29" i="426" s="1"/>
  <c r="H31" i="426" s="1"/>
  <c r="C27" i="425" l="1"/>
  <c r="D14" i="425"/>
  <c r="D20" i="425" s="1"/>
  <c r="C23" i="425" s="1"/>
  <c r="H12" i="425"/>
  <c r="H11" i="425"/>
  <c r="H10" i="425"/>
  <c r="H9" i="425"/>
  <c r="H8" i="425"/>
  <c r="H7" i="425"/>
  <c r="H14" i="425" s="1"/>
  <c r="H3" i="425"/>
  <c r="C27" i="424"/>
  <c r="D14" i="424"/>
  <c r="D20" i="424" s="1"/>
  <c r="C23" i="424" s="1"/>
  <c r="H12" i="424"/>
  <c r="H11" i="424"/>
  <c r="H10" i="424"/>
  <c r="H9" i="424"/>
  <c r="H8" i="424"/>
  <c r="H7" i="424"/>
  <c r="H14" i="424" s="1"/>
  <c r="H3" i="424"/>
  <c r="F26" i="425" l="1"/>
  <c r="H25" i="425" s="1"/>
  <c r="H20" i="425"/>
  <c r="C25" i="425" s="1"/>
  <c r="C32" i="425"/>
  <c r="H23" i="425" s="1"/>
  <c r="F26" i="424"/>
  <c r="H25" i="424" s="1"/>
  <c r="H20" i="424"/>
  <c r="C25" i="424" s="1"/>
  <c r="C32" i="424"/>
  <c r="H23" i="424" s="1"/>
  <c r="F28" i="425" l="1"/>
  <c r="H27" i="425" s="1"/>
  <c r="H29" i="425" s="1"/>
  <c r="H31" i="425" s="1"/>
  <c r="F28" i="424"/>
  <c r="H27" i="424" s="1"/>
  <c r="H29" i="424" s="1"/>
  <c r="H31" i="424" s="1"/>
  <c r="C27" i="423" l="1"/>
  <c r="D14" i="423"/>
  <c r="D20" i="423" s="1"/>
  <c r="C23" i="423" s="1"/>
  <c r="H12" i="423"/>
  <c r="H11" i="423"/>
  <c r="H10" i="423"/>
  <c r="H9" i="423"/>
  <c r="H8" i="423"/>
  <c r="H7" i="423"/>
  <c r="H14" i="423" s="1"/>
  <c r="H3" i="423"/>
  <c r="C27" i="422"/>
  <c r="D14" i="422"/>
  <c r="D20" i="422" s="1"/>
  <c r="C23" i="422" s="1"/>
  <c r="H12" i="422"/>
  <c r="H11" i="422"/>
  <c r="H10" i="422"/>
  <c r="H9" i="422"/>
  <c r="H8" i="422"/>
  <c r="H7" i="422"/>
  <c r="H14" i="422" s="1"/>
  <c r="H3" i="422"/>
  <c r="C27" i="421"/>
  <c r="D14" i="421"/>
  <c r="D20" i="421" s="1"/>
  <c r="C23" i="421" s="1"/>
  <c r="H12" i="421"/>
  <c r="H11" i="421"/>
  <c r="H10" i="421"/>
  <c r="H9" i="421"/>
  <c r="H8" i="421"/>
  <c r="H7" i="421"/>
  <c r="H14" i="421" s="1"/>
  <c r="H3" i="421"/>
  <c r="H7" i="420"/>
  <c r="C27" i="420"/>
  <c r="D14" i="420"/>
  <c r="D20" i="420" s="1"/>
  <c r="C23" i="420" s="1"/>
  <c r="H12" i="420"/>
  <c r="H11" i="420"/>
  <c r="H10" i="420"/>
  <c r="H9" i="420"/>
  <c r="H8" i="420"/>
  <c r="H14" i="420" s="1"/>
  <c r="H3" i="420"/>
  <c r="C27" i="419"/>
  <c r="D14" i="419"/>
  <c r="D20" i="419" s="1"/>
  <c r="C23" i="419" s="1"/>
  <c r="H12" i="419"/>
  <c r="H11" i="419"/>
  <c r="H10" i="419"/>
  <c r="H9" i="419"/>
  <c r="H8" i="419"/>
  <c r="H14" i="419"/>
  <c r="H3" i="419"/>
  <c r="C27" i="418"/>
  <c r="D14" i="418"/>
  <c r="D20" i="418" s="1"/>
  <c r="C23" i="418" s="1"/>
  <c r="H12" i="418"/>
  <c r="H11" i="418"/>
  <c r="H10" i="418"/>
  <c r="H9" i="418"/>
  <c r="H8" i="418"/>
  <c r="H7" i="418"/>
  <c r="H14" i="418" s="1"/>
  <c r="H3" i="418"/>
  <c r="H7" i="417"/>
  <c r="C27" i="417"/>
  <c r="D14" i="417"/>
  <c r="D20" i="417" s="1"/>
  <c r="C23" i="417" s="1"/>
  <c r="H12" i="417"/>
  <c r="H11" i="417"/>
  <c r="H10" i="417"/>
  <c r="H9" i="417"/>
  <c r="H8" i="417"/>
  <c r="H14" i="417" s="1"/>
  <c r="H3" i="417"/>
  <c r="C27" i="416"/>
  <c r="D14" i="416"/>
  <c r="D20" i="416" s="1"/>
  <c r="C23" i="416" s="1"/>
  <c r="H12" i="416"/>
  <c r="H11" i="416"/>
  <c r="H10" i="416"/>
  <c r="H9" i="416"/>
  <c r="H8" i="416"/>
  <c r="H14" i="416"/>
  <c r="H3" i="416"/>
  <c r="C27" i="415"/>
  <c r="D14" i="415"/>
  <c r="D20" i="415" s="1"/>
  <c r="C23" i="415" s="1"/>
  <c r="H12" i="415"/>
  <c r="H11" i="415"/>
  <c r="H10" i="415"/>
  <c r="H9" i="415"/>
  <c r="H8" i="415"/>
  <c r="H7" i="415"/>
  <c r="H14" i="415" s="1"/>
  <c r="H3" i="415"/>
  <c r="F26" i="423" l="1"/>
  <c r="H25" i="423" s="1"/>
  <c r="H20" i="423"/>
  <c r="C25" i="423" s="1"/>
  <c r="C32" i="423"/>
  <c r="H23" i="423" s="1"/>
  <c r="F26" i="422"/>
  <c r="H25" i="422" s="1"/>
  <c r="H20" i="422"/>
  <c r="C25" i="422" s="1"/>
  <c r="C32" i="422"/>
  <c r="H23" i="422" s="1"/>
  <c r="F26" i="421"/>
  <c r="H25" i="421" s="1"/>
  <c r="H20" i="421"/>
  <c r="C25" i="421" s="1"/>
  <c r="C32" i="421"/>
  <c r="H23" i="421" s="1"/>
  <c r="F26" i="420"/>
  <c r="H25" i="420" s="1"/>
  <c r="H20" i="420"/>
  <c r="C25" i="420" s="1"/>
  <c r="C32" i="420"/>
  <c r="H23" i="420" s="1"/>
  <c r="F26" i="419"/>
  <c r="H25" i="419" s="1"/>
  <c r="H20" i="419"/>
  <c r="C25" i="419" s="1"/>
  <c r="C32" i="419"/>
  <c r="H23" i="419" s="1"/>
  <c r="F26" i="418"/>
  <c r="H25" i="418" s="1"/>
  <c r="H20" i="418"/>
  <c r="C25" i="418" s="1"/>
  <c r="C32" i="418"/>
  <c r="H23" i="418" s="1"/>
  <c r="F26" i="417"/>
  <c r="H25" i="417" s="1"/>
  <c r="H20" i="417"/>
  <c r="C25" i="417" s="1"/>
  <c r="C32" i="417"/>
  <c r="H23" i="417" s="1"/>
  <c r="F26" i="416"/>
  <c r="H25" i="416" s="1"/>
  <c r="H20" i="416"/>
  <c r="C25" i="416" s="1"/>
  <c r="C32" i="416"/>
  <c r="H23" i="416" s="1"/>
  <c r="F26" i="415"/>
  <c r="H25" i="415" s="1"/>
  <c r="H20" i="415"/>
  <c r="C25" i="415" s="1"/>
  <c r="C32" i="415"/>
  <c r="H23" i="415" s="1"/>
  <c r="F28" i="423" l="1"/>
  <c r="H27" i="423" s="1"/>
  <c r="H29" i="423" s="1"/>
  <c r="H31" i="423" s="1"/>
  <c r="F28" i="422"/>
  <c r="H27" i="422" s="1"/>
  <c r="H29" i="422" s="1"/>
  <c r="H31" i="422" s="1"/>
  <c r="F28" i="421"/>
  <c r="H27" i="421" s="1"/>
  <c r="H29" i="421" s="1"/>
  <c r="H31" i="421" s="1"/>
  <c r="F28" i="420"/>
  <c r="H27" i="420" s="1"/>
  <c r="H29" i="420" s="1"/>
  <c r="H31" i="420" s="1"/>
  <c r="F28" i="419"/>
  <c r="H27" i="419" s="1"/>
  <c r="H29" i="419" s="1"/>
  <c r="H31" i="419" s="1"/>
  <c r="F28" i="418"/>
  <c r="H27" i="418" s="1"/>
  <c r="H29" i="418" s="1"/>
  <c r="H31" i="418" s="1"/>
  <c r="F28" i="417"/>
  <c r="H27" i="417" s="1"/>
  <c r="H29" i="417" s="1"/>
  <c r="H31" i="417" s="1"/>
  <c r="F28" i="416"/>
  <c r="H27" i="416" s="1"/>
  <c r="H29" i="416" s="1"/>
  <c r="H31" i="416" s="1"/>
  <c r="F28" i="415"/>
  <c r="H27" i="415" s="1"/>
  <c r="H29" i="415" s="1"/>
  <c r="H31" i="415" s="1"/>
  <c r="C27" i="414"/>
  <c r="D14" i="414"/>
  <c r="D20" i="414" s="1"/>
  <c r="C23" i="414" s="1"/>
  <c r="H12" i="414"/>
  <c r="H11" i="414"/>
  <c r="H10" i="414"/>
  <c r="H9" i="414"/>
  <c r="H8" i="414"/>
  <c r="H7" i="414"/>
  <c r="H14" i="414" s="1"/>
  <c r="H3" i="414"/>
  <c r="F26" i="414" l="1"/>
  <c r="H25" i="414" s="1"/>
  <c r="H20" i="414"/>
  <c r="C25" i="414" s="1"/>
  <c r="C32" i="414"/>
  <c r="H23" i="414" s="1"/>
  <c r="F28" i="414" l="1"/>
  <c r="H27" i="414" s="1"/>
  <c r="H29" i="414" s="1"/>
  <c r="H31" i="414" s="1"/>
  <c r="H7" i="413" l="1"/>
  <c r="C27" i="413"/>
  <c r="D14" i="413"/>
  <c r="D20" i="413" s="1"/>
  <c r="C23" i="413" s="1"/>
  <c r="H12" i="413"/>
  <c r="H11" i="413"/>
  <c r="H10" i="413"/>
  <c r="H9" i="413"/>
  <c r="H8" i="413"/>
  <c r="H14" i="413" s="1"/>
  <c r="H3" i="413"/>
  <c r="C27" i="412"/>
  <c r="D14" i="412"/>
  <c r="D20" i="412" s="1"/>
  <c r="C23" i="412" s="1"/>
  <c r="H12" i="412"/>
  <c r="H11" i="412"/>
  <c r="H10" i="412"/>
  <c r="H9" i="412"/>
  <c r="H8" i="412"/>
  <c r="H14" i="412"/>
  <c r="H3" i="412"/>
  <c r="C27" i="411"/>
  <c r="D14" i="411"/>
  <c r="D20" i="411" s="1"/>
  <c r="C23" i="411" s="1"/>
  <c r="H12" i="411"/>
  <c r="H11" i="411"/>
  <c r="H10" i="411"/>
  <c r="H9" i="411"/>
  <c r="H8" i="411"/>
  <c r="H7" i="411"/>
  <c r="H14" i="411" s="1"/>
  <c r="H3" i="411"/>
  <c r="H12" i="410"/>
  <c r="C27" i="410"/>
  <c r="D14" i="410"/>
  <c r="D20" i="410" s="1"/>
  <c r="C23" i="410" s="1"/>
  <c r="H11" i="410"/>
  <c r="H10" i="410"/>
  <c r="H9" i="410"/>
  <c r="H8" i="410"/>
  <c r="H7" i="410"/>
  <c r="H14" i="410" s="1"/>
  <c r="H3" i="410"/>
  <c r="C27" i="409"/>
  <c r="D14" i="409"/>
  <c r="D20" i="409" s="1"/>
  <c r="C23" i="409" s="1"/>
  <c r="H11" i="409"/>
  <c r="H10" i="409"/>
  <c r="H9" i="409"/>
  <c r="H8" i="409"/>
  <c r="H7" i="409"/>
  <c r="H14" i="409" s="1"/>
  <c r="H3" i="409"/>
  <c r="F26" i="413" l="1"/>
  <c r="H25" i="413" s="1"/>
  <c r="H20" i="413"/>
  <c r="C25" i="413" s="1"/>
  <c r="C32" i="413"/>
  <c r="H23" i="413" s="1"/>
  <c r="F26" i="412"/>
  <c r="H25" i="412" s="1"/>
  <c r="H20" i="412"/>
  <c r="C25" i="412" s="1"/>
  <c r="C32" i="412"/>
  <c r="H23" i="412" s="1"/>
  <c r="F26" i="411"/>
  <c r="H25" i="411" s="1"/>
  <c r="H20" i="411"/>
  <c r="C25" i="411" s="1"/>
  <c r="C32" i="411"/>
  <c r="H23" i="411" s="1"/>
  <c r="F26" i="410"/>
  <c r="H25" i="410" s="1"/>
  <c r="H20" i="410"/>
  <c r="C25" i="410" s="1"/>
  <c r="C32" i="410"/>
  <c r="H23" i="410" s="1"/>
  <c r="F26" i="409"/>
  <c r="H25" i="409" s="1"/>
  <c r="H20" i="409"/>
  <c r="C25" i="409" s="1"/>
  <c r="C32" i="409"/>
  <c r="H23" i="409" s="1"/>
  <c r="F28" i="413" l="1"/>
  <c r="H27" i="413" s="1"/>
  <c r="H29" i="413" s="1"/>
  <c r="H31" i="413" s="1"/>
  <c r="F28" i="412"/>
  <c r="H27" i="412" s="1"/>
  <c r="H29" i="412" s="1"/>
  <c r="H31" i="412" s="1"/>
  <c r="F28" i="411"/>
  <c r="H27" i="411" s="1"/>
  <c r="H29" i="411" s="1"/>
  <c r="H31" i="411" s="1"/>
  <c r="F28" i="410"/>
  <c r="H27" i="410" s="1"/>
  <c r="H29" i="410" s="1"/>
  <c r="H31" i="410" s="1"/>
  <c r="F28" i="409"/>
  <c r="H27" i="409" s="1"/>
  <c r="H29" i="409" s="1"/>
  <c r="H31" i="409" s="1"/>
  <c r="C27" i="408"/>
  <c r="D14" i="408"/>
  <c r="D20" i="408" s="1"/>
  <c r="C23" i="408" s="1"/>
  <c r="H11" i="408"/>
  <c r="H10" i="408"/>
  <c r="H9" i="408"/>
  <c r="H8" i="408"/>
  <c r="H7" i="408"/>
  <c r="H14" i="408" s="1"/>
  <c r="H3" i="408"/>
  <c r="H7" i="407"/>
  <c r="C27" i="407"/>
  <c r="D14" i="407"/>
  <c r="D20" i="407" s="1"/>
  <c r="C23" i="407" s="1"/>
  <c r="H11" i="407"/>
  <c r="H10" i="407"/>
  <c r="H9" i="407"/>
  <c r="H8" i="407"/>
  <c r="H14" i="407" s="1"/>
  <c r="H3" i="407"/>
  <c r="F26" i="408" l="1"/>
  <c r="H25" i="408" s="1"/>
  <c r="H20" i="408"/>
  <c r="C25" i="408" s="1"/>
  <c r="C32" i="408"/>
  <c r="H23" i="408" s="1"/>
  <c r="F26" i="407"/>
  <c r="H25" i="407" s="1"/>
  <c r="H20" i="407"/>
  <c r="C25" i="407" s="1"/>
  <c r="C32" i="407"/>
  <c r="H23" i="407" s="1"/>
  <c r="H8" i="406"/>
  <c r="H9" i="406"/>
  <c r="C27" i="406"/>
  <c r="D14" i="406"/>
  <c r="D20" i="406" s="1"/>
  <c r="C23" i="406" s="1"/>
  <c r="H11" i="406"/>
  <c r="H10" i="406"/>
  <c r="H14" i="406"/>
  <c r="H3" i="406"/>
  <c r="H8" i="402"/>
  <c r="H9" i="402"/>
  <c r="H10" i="402"/>
  <c r="H11" i="402"/>
  <c r="C27" i="402"/>
  <c r="D14" i="402"/>
  <c r="D20" i="402" s="1"/>
  <c r="C23" i="402" s="1"/>
  <c r="H7" i="402"/>
  <c r="H14" i="402" s="1"/>
  <c r="H3" i="402"/>
  <c r="C27" i="403"/>
  <c r="D14" i="403"/>
  <c r="D20" i="403" s="1"/>
  <c r="C23" i="403" s="1"/>
  <c r="H7" i="403"/>
  <c r="H14" i="403" s="1"/>
  <c r="H3" i="403"/>
  <c r="C27" i="404"/>
  <c r="D14" i="404"/>
  <c r="D20" i="404" s="1"/>
  <c r="C23" i="404" s="1"/>
  <c r="H7" i="404"/>
  <c r="H14" i="404" s="1"/>
  <c r="H3" i="404"/>
  <c r="F28" i="408" l="1"/>
  <c r="H27" i="408" s="1"/>
  <c r="H29" i="408" s="1"/>
  <c r="H31" i="408" s="1"/>
  <c r="F28" i="407"/>
  <c r="H27" i="407" s="1"/>
  <c r="H29" i="407" s="1"/>
  <c r="H31" i="407" s="1"/>
  <c r="F26" i="406"/>
  <c r="H25" i="406" s="1"/>
  <c r="H20" i="406"/>
  <c r="C25" i="406" s="1"/>
  <c r="C32" i="406"/>
  <c r="H23" i="406" s="1"/>
  <c r="F26" i="402"/>
  <c r="H25" i="402" s="1"/>
  <c r="H20" i="402"/>
  <c r="C25" i="402" s="1"/>
  <c r="C32" i="402"/>
  <c r="H23" i="402" s="1"/>
  <c r="F26" i="403"/>
  <c r="H25" i="403" s="1"/>
  <c r="H20" i="403"/>
  <c r="C25" i="403" s="1"/>
  <c r="C32" i="403"/>
  <c r="H23" i="403" s="1"/>
  <c r="F26" i="404"/>
  <c r="H25" i="404" s="1"/>
  <c r="H20" i="404"/>
  <c r="C25" i="404" s="1"/>
  <c r="C32" i="404"/>
  <c r="H23" i="404" s="1"/>
  <c r="C27" i="405"/>
  <c r="D14" i="405"/>
  <c r="D20" i="405" s="1"/>
  <c r="C23" i="405" s="1"/>
  <c r="H8" i="405"/>
  <c r="H7" i="405"/>
  <c r="H14" i="405" s="1"/>
  <c r="H3" i="405"/>
  <c r="C27" i="401"/>
  <c r="D14" i="401"/>
  <c r="D20" i="401" s="1"/>
  <c r="C23" i="401" s="1"/>
  <c r="H8" i="401"/>
  <c r="H7" i="401"/>
  <c r="H14" i="401" s="1"/>
  <c r="H3" i="401"/>
  <c r="F28" i="406" l="1"/>
  <c r="H27" i="406" s="1"/>
  <c r="H29" i="406" s="1"/>
  <c r="H31" i="406" s="1"/>
  <c r="F28" i="402"/>
  <c r="H27" i="402" s="1"/>
  <c r="H29" i="402" s="1"/>
  <c r="H31" i="402" s="1"/>
  <c r="F28" i="403"/>
  <c r="H27" i="403" s="1"/>
  <c r="H29" i="403" s="1"/>
  <c r="H31" i="403" s="1"/>
  <c r="F28" i="404"/>
  <c r="H27" i="404" s="1"/>
  <c r="H29" i="404" s="1"/>
  <c r="H31" i="404" s="1"/>
  <c r="F26" i="405"/>
  <c r="H25" i="405" s="1"/>
  <c r="H20" i="405"/>
  <c r="C25" i="405" s="1"/>
  <c r="C32" i="405"/>
  <c r="H23" i="405" s="1"/>
  <c r="F26" i="401"/>
  <c r="H25" i="401" s="1"/>
  <c r="H20" i="401"/>
  <c r="C25" i="401" s="1"/>
  <c r="C32" i="401"/>
  <c r="H23" i="401" s="1"/>
  <c r="F28" i="405" l="1"/>
  <c r="H27" i="405" s="1"/>
  <c r="H29" i="405" s="1"/>
  <c r="H31" i="405" s="1"/>
  <c r="F28" i="401"/>
  <c r="H27" i="401" s="1"/>
  <c r="H29" i="401" s="1"/>
  <c r="H31" i="401" s="1"/>
  <c r="C27" i="400" l="1"/>
  <c r="D14" i="400"/>
  <c r="D20" i="400" s="1"/>
  <c r="C23" i="400" s="1"/>
  <c r="H8" i="400"/>
  <c r="H7" i="400"/>
  <c r="H14" i="400" s="1"/>
  <c r="H3" i="400"/>
  <c r="F26" i="400" l="1"/>
  <c r="H25" i="400" s="1"/>
  <c r="H20" i="400"/>
  <c r="C25" i="400" s="1"/>
  <c r="C32" i="400"/>
  <c r="H23" i="400" s="1"/>
  <c r="F28" i="400" l="1"/>
  <c r="H27" i="400" s="1"/>
  <c r="H29" i="400" s="1"/>
  <c r="H31" i="400" s="1"/>
  <c r="H3" i="399" l="1"/>
  <c r="H3" i="398"/>
  <c r="H3" i="397"/>
  <c r="H3" i="396"/>
  <c r="C27" i="399"/>
  <c r="F26" i="399"/>
  <c r="H25" i="399"/>
  <c r="D14" i="399"/>
  <c r="D20" i="399" s="1"/>
  <c r="C23" i="399" s="1"/>
  <c r="H8" i="399"/>
  <c r="H7" i="399"/>
  <c r="H14" i="399" s="1"/>
  <c r="H20" i="399" s="1"/>
  <c r="C25" i="399" s="1"/>
  <c r="C27" i="398"/>
  <c r="F26" i="398"/>
  <c r="H25" i="398"/>
  <c r="D14" i="398"/>
  <c r="D20" i="398" s="1"/>
  <c r="C23" i="398" s="1"/>
  <c r="H8" i="398"/>
  <c r="H7" i="398"/>
  <c r="H14" i="398" s="1"/>
  <c r="H20" i="398" s="1"/>
  <c r="C25" i="398" s="1"/>
  <c r="C32" i="399" l="1"/>
  <c r="H23" i="399" s="1"/>
  <c r="C32" i="398"/>
  <c r="H23" i="398" s="1"/>
  <c r="H8" i="397"/>
  <c r="C27" i="397"/>
  <c r="F26" i="397"/>
  <c r="H25" i="397"/>
  <c r="D14" i="397"/>
  <c r="D20" i="397" s="1"/>
  <c r="C23" i="397" s="1"/>
  <c r="H7" i="397"/>
  <c r="H14" i="397" s="1"/>
  <c r="H20" i="397" s="1"/>
  <c r="C25" i="397" s="1"/>
  <c r="F28" i="399" l="1"/>
  <c r="H27" i="399" s="1"/>
  <c r="H29" i="399" s="1"/>
  <c r="H31" i="399" s="1"/>
  <c r="F28" i="398"/>
  <c r="H27" i="398" s="1"/>
  <c r="H29" i="398" s="1"/>
  <c r="H31" i="398" s="1"/>
  <c r="C32" i="397"/>
  <c r="H23" i="397" s="1"/>
  <c r="F28" i="397" l="1"/>
  <c r="H27" i="397" s="1"/>
  <c r="H29" i="397" s="1"/>
  <c r="H31" i="397" s="1"/>
  <c r="C27" i="396" l="1"/>
  <c r="D14" i="396"/>
  <c r="D20" i="396" s="1"/>
  <c r="C23" i="396" s="1"/>
  <c r="H7" i="396"/>
  <c r="H14" i="396" s="1"/>
  <c r="H7" i="395"/>
  <c r="C27" i="395"/>
  <c r="H14" i="395"/>
  <c r="D14" i="395"/>
  <c r="D20" i="395" s="1"/>
  <c r="C23" i="395" s="1"/>
  <c r="H3" i="395"/>
  <c r="F26" i="396" l="1"/>
  <c r="H25" i="396" s="1"/>
  <c r="H20" i="396"/>
  <c r="C25" i="396" s="1"/>
  <c r="C32" i="396"/>
  <c r="H23" i="396" s="1"/>
  <c r="F26" i="395"/>
  <c r="H25" i="395" s="1"/>
  <c r="H20" i="395"/>
  <c r="C25" i="395" s="1"/>
  <c r="C32" i="395"/>
  <c r="H23" i="395" s="1"/>
  <c r="C27" i="394"/>
  <c r="D14" i="394"/>
  <c r="H14" i="394"/>
  <c r="H3" i="394"/>
  <c r="F28" i="396" l="1"/>
  <c r="H27" i="396" s="1"/>
  <c r="H29" i="396" s="1"/>
  <c r="H31" i="396" s="1"/>
  <c r="F28" i="395"/>
  <c r="H27" i="395" s="1"/>
  <c r="H29" i="395" s="1"/>
  <c r="H31" i="395" s="1"/>
  <c r="F26" i="394"/>
  <c r="H25" i="394" s="1"/>
  <c r="H20" i="394"/>
  <c r="C25" i="394" s="1"/>
  <c r="D20" i="394"/>
  <c r="C23" i="394" s="1"/>
  <c r="C32" i="394" s="1"/>
  <c r="H23" i="394" s="1"/>
  <c r="F28" i="394" l="1"/>
  <c r="H27" i="394" s="1"/>
  <c r="H29" i="394" s="1"/>
  <c r="H31" i="394" s="1"/>
  <c r="H10" i="393" l="1"/>
  <c r="H11" i="393"/>
  <c r="H12" i="393"/>
  <c r="H7" i="393"/>
  <c r="H8" i="393"/>
  <c r="C27" i="393"/>
  <c r="D14" i="393"/>
  <c r="H9" i="393"/>
  <c r="H14" i="393" s="1"/>
  <c r="H3" i="393"/>
  <c r="D20" i="393" l="1"/>
  <c r="C23" i="393" s="1"/>
  <c r="C29" i="393"/>
  <c r="F26" i="393"/>
  <c r="H25" i="393" s="1"/>
  <c r="H20" i="393"/>
  <c r="C25" i="393" s="1"/>
  <c r="C32" i="393"/>
  <c r="H23" i="393" s="1"/>
  <c r="F28" i="393" l="1"/>
  <c r="H27" i="393" s="1"/>
  <c r="H29" i="393" s="1"/>
  <c r="H31" i="393" s="1"/>
  <c r="C25" i="392" l="1"/>
  <c r="D12" i="392"/>
  <c r="D18" i="392" s="1"/>
  <c r="C21" i="392" s="1"/>
  <c r="H9" i="392"/>
  <c r="H12" i="392" s="1"/>
  <c r="H3" i="392"/>
  <c r="C25" i="391"/>
  <c r="D12" i="391"/>
  <c r="D18" i="391" s="1"/>
  <c r="C21" i="391" s="1"/>
  <c r="H9" i="391"/>
  <c r="H12" i="391" s="1"/>
  <c r="H3" i="391"/>
  <c r="C25" i="390"/>
  <c r="D12" i="390"/>
  <c r="D18" i="390" s="1"/>
  <c r="C21" i="390" s="1"/>
  <c r="H9" i="390"/>
  <c r="H12" i="390" s="1"/>
  <c r="H3" i="390"/>
  <c r="C25" i="389"/>
  <c r="D12" i="389"/>
  <c r="D18" i="389" s="1"/>
  <c r="C21" i="389" s="1"/>
  <c r="H9" i="389"/>
  <c r="H12" i="389" s="1"/>
  <c r="H3" i="389"/>
  <c r="H23" i="388"/>
  <c r="C25" i="388"/>
  <c r="D12" i="388"/>
  <c r="D18" i="388" s="1"/>
  <c r="C21" i="388" s="1"/>
  <c r="H9" i="388"/>
  <c r="H12" i="388" s="1"/>
  <c r="H3" i="388"/>
  <c r="H10" i="387"/>
  <c r="C25" i="387"/>
  <c r="D12" i="387"/>
  <c r="D18" i="387" s="1"/>
  <c r="C21" i="387" s="1"/>
  <c r="H9" i="387"/>
  <c r="H12" i="387" s="1"/>
  <c r="H3" i="387"/>
  <c r="F24" i="392" l="1"/>
  <c r="H23" i="392" s="1"/>
  <c r="H18" i="392"/>
  <c r="C23" i="392" s="1"/>
  <c r="C30" i="392"/>
  <c r="H21" i="392" s="1"/>
  <c r="F24" i="391"/>
  <c r="H23" i="391" s="1"/>
  <c r="H18" i="391"/>
  <c r="C23" i="391" s="1"/>
  <c r="C30" i="391"/>
  <c r="H21" i="391" s="1"/>
  <c r="F24" i="390"/>
  <c r="H23" i="390" s="1"/>
  <c r="H18" i="390"/>
  <c r="C23" i="390" s="1"/>
  <c r="C30" i="390"/>
  <c r="H21" i="390" s="1"/>
  <c r="F24" i="389"/>
  <c r="H23" i="389" s="1"/>
  <c r="H18" i="389"/>
  <c r="C23" i="389" s="1"/>
  <c r="C30" i="389"/>
  <c r="H21" i="389" s="1"/>
  <c r="F24" i="388"/>
  <c r="H18" i="388"/>
  <c r="C23" i="388" s="1"/>
  <c r="C30" i="388"/>
  <c r="H21" i="388" s="1"/>
  <c r="F24" i="387"/>
  <c r="H23" i="387" s="1"/>
  <c r="H18" i="387"/>
  <c r="C23" i="387" s="1"/>
  <c r="C30" i="387"/>
  <c r="H21" i="387" s="1"/>
  <c r="F26" i="392" l="1"/>
  <c r="H25" i="392" s="1"/>
  <c r="H27" i="392" s="1"/>
  <c r="H29" i="392" s="1"/>
  <c r="F26" i="391"/>
  <c r="H25" i="391" s="1"/>
  <c r="H27" i="391" s="1"/>
  <c r="H29" i="391" s="1"/>
  <c r="F26" i="390"/>
  <c r="H25" i="390" s="1"/>
  <c r="H27" i="390" s="1"/>
  <c r="H29" i="390" s="1"/>
  <c r="F26" i="389"/>
  <c r="H25" i="389" s="1"/>
  <c r="H27" i="389" s="1"/>
  <c r="H29" i="389" s="1"/>
  <c r="F26" i="388"/>
  <c r="H25" i="388" s="1"/>
  <c r="H27" i="388" s="1"/>
  <c r="H29" i="388" s="1"/>
  <c r="F26" i="387"/>
  <c r="H25" i="387" s="1"/>
  <c r="H27" i="387" s="1"/>
  <c r="H29" i="387" s="1"/>
  <c r="C25" i="386" l="1"/>
  <c r="D12" i="386"/>
  <c r="D18" i="386" s="1"/>
  <c r="C21" i="386" s="1"/>
  <c r="H9" i="386"/>
  <c r="H12" i="386" s="1"/>
  <c r="H3" i="386"/>
  <c r="F24" i="386" l="1"/>
  <c r="H23" i="386" s="1"/>
  <c r="H18" i="386"/>
  <c r="C23" i="386" s="1"/>
  <c r="C30" i="386"/>
  <c r="H21" i="386" s="1"/>
  <c r="F26" i="386" l="1"/>
  <c r="H25" i="386" s="1"/>
  <c r="H27" i="386" s="1"/>
  <c r="H29" i="386" s="1"/>
  <c r="C25" i="385" l="1"/>
  <c r="D12" i="385"/>
  <c r="D18" i="385" s="1"/>
  <c r="C21" i="385" s="1"/>
  <c r="H9" i="385"/>
  <c r="H12" i="385" s="1"/>
  <c r="H3" i="385"/>
  <c r="F24" i="385" l="1"/>
  <c r="H23" i="385" s="1"/>
  <c r="H18" i="385"/>
  <c r="C23" i="385" s="1"/>
  <c r="C30" i="385"/>
  <c r="H21" i="385" s="1"/>
  <c r="F26" i="385" l="1"/>
  <c r="H25" i="385" s="1"/>
  <c r="H27" i="385" s="1"/>
  <c r="H29" i="385" s="1"/>
  <c r="C25" i="384" l="1"/>
  <c r="D12" i="384"/>
  <c r="D18" i="384" s="1"/>
  <c r="C21" i="384" s="1"/>
  <c r="H9" i="384"/>
  <c r="H12" i="384" s="1"/>
  <c r="H3" i="384"/>
  <c r="F24" i="384" l="1"/>
  <c r="H23" i="384" s="1"/>
  <c r="H18" i="384"/>
  <c r="C23" i="384" s="1"/>
  <c r="C30" i="384"/>
  <c r="H21" i="384" s="1"/>
  <c r="F26" i="384" l="1"/>
  <c r="H25" i="384" s="1"/>
  <c r="H27" i="384" s="1"/>
  <c r="H29" i="384" s="1"/>
  <c r="H10" i="383" l="1"/>
  <c r="C25" i="383"/>
  <c r="D12" i="383"/>
  <c r="D18" i="383" s="1"/>
  <c r="C21" i="383" s="1"/>
  <c r="H9" i="383"/>
  <c r="H12" i="383" s="1"/>
  <c r="H3" i="383"/>
  <c r="F24" i="383" l="1"/>
  <c r="H23" i="383" s="1"/>
  <c r="H18" i="383"/>
  <c r="C23" i="383" s="1"/>
  <c r="C30" i="383"/>
  <c r="H21" i="383" s="1"/>
  <c r="F26" i="383" l="1"/>
  <c r="H25" i="383" s="1"/>
  <c r="H27" i="383" s="1"/>
  <c r="H29" i="383" s="1"/>
  <c r="C26" i="382" l="1"/>
  <c r="D13" i="382"/>
  <c r="D19" i="382" s="1"/>
  <c r="C22" i="382" s="1"/>
  <c r="H10" i="382"/>
  <c r="H13" i="382" s="1"/>
  <c r="H3" i="382"/>
  <c r="F25" i="382" l="1"/>
  <c r="H24" i="382" s="1"/>
  <c r="H19" i="382"/>
  <c r="C24" i="382" s="1"/>
  <c r="C31" i="382"/>
  <c r="H22" i="382" s="1"/>
  <c r="F27" i="382" l="1"/>
  <c r="H26" i="382" s="1"/>
  <c r="H28" i="382" s="1"/>
  <c r="H30" i="382" s="1"/>
  <c r="C25" i="381" l="1"/>
  <c r="D12" i="381"/>
  <c r="D18" i="381" s="1"/>
  <c r="C21" i="381" s="1"/>
  <c r="H9" i="381"/>
  <c r="H12" i="381" s="1"/>
  <c r="H3" i="381"/>
  <c r="F24" i="381" l="1"/>
  <c r="H23" i="381" s="1"/>
  <c r="H18" i="381"/>
  <c r="C23" i="381" s="1"/>
  <c r="C30" i="381"/>
  <c r="H21" i="381" s="1"/>
  <c r="F26" i="381" l="1"/>
  <c r="H25" i="381" s="1"/>
  <c r="H27" i="381" s="1"/>
  <c r="H29" i="381" s="1"/>
  <c r="C25" i="380" l="1"/>
  <c r="D12" i="380"/>
  <c r="D18" i="380" s="1"/>
  <c r="C21" i="380" s="1"/>
  <c r="H11" i="380"/>
  <c r="H10" i="380"/>
  <c r="H9" i="380"/>
  <c r="H12" i="380" s="1"/>
  <c r="H3" i="380"/>
  <c r="F24" i="380" l="1"/>
  <c r="H23" i="380" s="1"/>
  <c r="H18" i="380"/>
  <c r="C23" i="380" s="1"/>
  <c r="C30" i="380"/>
  <c r="H21" i="380" s="1"/>
  <c r="F26" i="380" l="1"/>
  <c r="H25" i="380" s="1"/>
  <c r="H27" i="380" s="1"/>
  <c r="H29" i="380" s="1"/>
  <c r="C26" i="379"/>
  <c r="D13" i="379"/>
  <c r="D19" i="379" s="1"/>
  <c r="C22" i="379" s="1"/>
  <c r="H11" i="379"/>
  <c r="H10" i="379"/>
  <c r="H13" i="379" s="1"/>
  <c r="H3" i="379"/>
  <c r="C26" i="378"/>
  <c r="D13" i="378"/>
  <c r="D19" i="378" s="1"/>
  <c r="C22" i="378" s="1"/>
  <c r="H11" i="378"/>
  <c r="H10" i="378"/>
  <c r="H13" i="378" s="1"/>
  <c r="H3" i="378"/>
  <c r="C26" i="377"/>
  <c r="D13" i="377"/>
  <c r="D19" i="377" s="1"/>
  <c r="C22" i="377" s="1"/>
  <c r="H11" i="377"/>
  <c r="H10" i="377"/>
  <c r="H13" i="377" s="1"/>
  <c r="H3" i="377"/>
  <c r="C26" i="376"/>
  <c r="D13" i="376"/>
  <c r="D19" i="376" s="1"/>
  <c r="C22" i="376" s="1"/>
  <c r="H11" i="376"/>
  <c r="H10" i="376"/>
  <c r="H13" i="376" s="1"/>
  <c r="H3" i="376"/>
  <c r="C26" i="375"/>
  <c r="D13" i="375"/>
  <c r="D19" i="375" s="1"/>
  <c r="C22" i="375" s="1"/>
  <c r="H11" i="375"/>
  <c r="H10" i="375"/>
  <c r="H13" i="375" s="1"/>
  <c r="H3" i="375"/>
  <c r="C26" i="374"/>
  <c r="D13" i="374"/>
  <c r="D19" i="374" s="1"/>
  <c r="C22" i="374" s="1"/>
  <c r="H11" i="374"/>
  <c r="H10" i="374"/>
  <c r="H13" i="374" s="1"/>
  <c r="H3" i="374"/>
  <c r="H10" i="373"/>
  <c r="C26" i="373"/>
  <c r="D13" i="373"/>
  <c r="D19" i="373" s="1"/>
  <c r="C22" i="373" s="1"/>
  <c r="H11" i="373"/>
  <c r="H13" i="373" s="1"/>
  <c r="H3" i="373"/>
  <c r="C26" i="372"/>
  <c r="D13" i="372"/>
  <c r="D19" i="372" s="1"/>
  <c r="C22" i="372" s="1"/>
  <c r="H11" i="372"/>
  <c r="H13" i="372"/>
  <c r="H3" i="372"/>
  <c r="C26" i="371"/>
  <c r="D13" i="371"/>
  <c r="D19" i="371" s="1"/>
  <c r="C22" i="371" s="1"/>
  <c r="H11" i="371"/>
  <c r="H10" i="371"/>
  <c r="H13" i="371" s="1"/>
  <c r="H3" i="371"/>
  <c r="C26" i="370"/>
  <c r="D13" i="370"/>
  <c r="D19" i="370" s="1"/>
  <c r="C22" i="370" s="1"/>
  <c r="H11" i="370"/>
  <c r="H10" i="370"/>
  <c r="H13" i="370" s="1"/>
  <c r="H3" i="370"/>
  <c r="H10" i="369"/>
  <c r="H11" i="369"/>
  <c r="C26" i="369"/>
  <c r="D13" i="369"/>
  <c r="D19" i="369" s="1"/>
  <c r="C22" i="369" s="1"/>
  <c r="H13" i="369"/>
  <c r="H3" i="369"/>
  <c r="C26" i="368"/>
  <c r="D13" i="368"/>
  <c r="D19" i="368" s="1"/>
  <c r="C22" i="368" s="1"/>
  <c r="H11" i="368"/>
  <c r="H13" i="368" s="1"/>
  <c r="H3" i="368"/>
  <c r="C26" i="367"/>
  <c r="D13" i="367"/>
  <c r="D19" i="367" s="1"/>
  <c r="C22" i="367" s="1"/>
  <c r="H11" i="367"/>
  <c r="H13" i="367" s="1"/>
  <c r="H3" i="367"/>
  <c r="C26" i="366"/>
  <c r="D13" i="366"/>
  <c r="D19" i="366" s="1"/>
  <c r="C22" i="366" s="1"/>
  <c r="H12" i="366"/>
  <c r="H11" i="366"/>
  <c r="H13" i="366" s="1"/>
  <c r="H3" i="366"/>
  <c r="F25" i="379" l="1"/>
  <c r="H24" i="379" s="1"/>
  <c r="H19" i="379"/>
  <c r="C24" i="379" s="1"/>
  <c r="C31" i="379"/>
  <c r="H22" i="379" s="1"/>
  <c r="F25" i="378"/>
  <c r="H24" i="378" s="1"/>
  <c r="H19" i="378"/>
  <c r="C24" i="378" s="1"/>
  <c r="C31" i="378"/>
  <c r="H22" i="378" s="1"/>
  <c r="F25" i="377"/>
  <c r="H24" i="377" s="1"/>
  <c r="H19" i="377"/>
  <c r="C24" i="377" s="1"/>
  <c r="C31" i="377"/>
  <c r="H22" i="377" s="1"/>
  <c r="F25" i="376"/>
  <c r="H24" i="376" s="1"/>
  <c r="H19" i="376"/>
  <c r="C24" i="376" s="1"/>
  <c r="C31" i="376"/>
  <c r="H22" i="376" s="1"/>
  <c r="F25" i="375"/>
  <c r="H24" i="375" s="1"/>
  <c r="H19" i="375"/>
  <c r="C24" i="375" s="1"/>
  <c r="C31" i="375"/>
  <c r="H22" i="375" s="1"/>
  <c r="F25" i="374"/>
  <c r="H24" i="374" s="1"/>
  <c r="H19" i="374"/>
  <c r="C24" i="374" s="1"/>
  <c r="C31" i="374"/>
  <c r="H22" i="374" s="1"/>
  <c r="F25" i="373"/>
  <c r="H24" i="373" s="1"/>
  <c r="H19" i="373"/>
  <c r="C24" i="373" s="1"/>
  <c r="C31" i="373"/>
  <c r="H22" i="373" s="1"/>
  <c r="F25" i="372"/>
  <c r="H24" i="372" s="1"/>
  <c r="H19" i="372"/>
  <c r="C24" i="372" s="1"/>
  <c r="C31" i="372"/>
  <c r="H22" i="372" s="1"/>
  <c r="F25" i="371"/>
  <c r="H24" i="371" s="1"/>
  <c r="H19" i="371"/>
  <c r="C24" i="371" s="1"/>
  <c r="C31" i="371"/>
  <c r="H22" i="371" s="1"/>
  <c r="F25" i="370"/>
  <c r="H24" i="370" s="1"/>
  <c r="H19" i="370"/>
  <c r="C24" i="370" s="1"/>
  <c r="C31" i="370"/>
  <c r="H22" i="370" s="1"/>
  <c r="F25" i="369"/>
  <c r="H24" i="369" s="1"/>
  <c r="H19" i="369"/>
  <c r="C24" i="369" s="1"/>
  <c r="C31" i="369"/>
  <c r="H22" i="369" s="1"/>
  <c r="F25" i="368"/>
  <c r="H24" i="368" s="1"/>
  <c r="H19" i="368"/>
  <c r="C24" i="368" s="1"/>
  <c r="C31" i="368"/>
  <c r="H22" i="368" s="1"/>
  <c r="F25" i="367"/>
  <c r="H24" i="367" s="1"/>
  <c r="H19" i="367"/>
  <c r="C24" i="367" s="1"/>
  <c r="C31" i="367"/>
  <c r="H22" i="367" s="1"/>
  <c r="F25" i="366"/>
  <c r="H24" i="366" s="1"/>
  <c r="H19" i="366"/>
  <c r="C24" i="366" s="1"/>
  <c r="C31" i="366"/>
  <c r="H22" i="366" s="1"/>
  <c r="H12" i="365"/>
  <c r="C26" i="365"/>
  <c r="D13" i="365"/>
  <c r="D19" i="365" s="1"/>
  <c r="C22" i="365" s="1"/>
  <c r="H11" i="365"/>
  <c r="H13" i="365"/>
  <c r="H3" i="365"/>
  <c r="H11" i="364"/>
  <c r="C26" i="364"/>
  <c r="D13" i="364"/>
  <c r="D19" i="364" s="1"/>
  <c r="C22" i="364" s="1"/>
  <c r="H10" i="364"/>
  <c r="H9" i="364"/>
  <c r="H8" i="364"/>
  <c r="H7" i="364"/>
  <c r="H13" i="364" s="1"/>
  <c r="H3" i="364"/>
  <c r="H10" i="363"/>
  <c r="H7" i="363"/>
  <c r="H8" i="363"/>
  <c r="C25" i="363"/>
  <c r="D12" i="363"/>
  <c r="D18" i="363" s="1"/>
  <c r="C21" i="363" s="1"/>
  <c r="H9" i="363"/>
  <c r="H12" i="363" s="1"/>
  <c r="H3" i="363"/>
  <c r="C25" i="362"/>
  <c r="D12" i="362"/>
  <c r="D18" i="362" s="1"/>
  <c r="C21" i="362" s="1"/>
  <c r="H11" i="362"/>
  <c r="H10" i="362"/>
  <c r="H9" i="362"/>
  <c r="H12" i="362" s="1"/>
  <c r="H3" i="362"/>
  <c r="H10" i="361"/>
  <c r="H11" i="361"/>
  <c r="C25" i="361"/>
  <c r="D12" i="361"/>
  <c r="D18" i="361" s="1"/>
  <c r="C21" i="361" s="1"/>
  <c r="H9" i="361"/>
  <c r="H12" i="361" s="1"/>
  <c r="H3" i="361"/>
  <c r="F27" i="379" l="1"/>
  <c r="H26" i="379" s="1"/>
  <c r="H28" i="379" s="1"/>
  <c r="H30" i="379" s="1"/>
  <c r="F27" i="378"/>
  <c r="H26" i="378" s="1"/>
  <c r="H28" i="378" s="1"/>
  <c r="H30" i="378" s="1"/>
  <c r="F27" i="377"/>
  <c r="H26" i="377" s="1"/>
  <c r="H28" i="377" s="1"/>
  <c r="H30" i="377" s="1"/>
  <c r="F27" i="376"/>
  <c r="H26" i="376" s="1"/>
  <c r="H28" i="376" s="1"/>
  <c r="H30" i="376" s="1"/>
  <c r="F27" i="375"/>
  <c r="H26" i="375" s="1"/>
  <c r="H28" i="375" s="1"/>
  <c r="H30" i="375" s="1"/>
  <c r="F27" i="374"/>
  <c r="H26" i="374" s="1"/>
  <c r="H28" i="374" s="1"/>
  <c r="H30" i="374" s="1"/>
  <c r="F27" i="373"/>
  <c r="H26" i="373" s="1"/>
  <c r="H28" i="373" s="1"/>
  <c r="H30" i="373" s="1"/>
  <c r="F27" i="372"/>
  <c r="H26" i="372" s="1"/>
  <c r="H28" i="372" s="1"/>
  <c r="H30" i="372" s="1"/>
  <c r="F27" i="371"/>
  <c r="H26" i="371" s="1"/>
  <c r="H28" i="371" s="1"/>
  <c r="H30" i="371" s="1"/>
  <c r="F27" i="370"/>
  <c r="H26" i="370" s="1"/>
  <c r="H28" i="370" s="1"/>
  <c r="H30" i="370" s="1"/>
  <c r="F27" i="369"/>
  <c r="H26" i="369" s="1"/>
  <c r="H28" i="369" s="1"/>
  <c r="H30" i="369" s="1"/>
  <c r="F27" i="368"/>
  <c r="H26" i="368" s="1"/>
  <c r="H28" i="368" s="1"/>
  <c r="H30" i="368" s="1"/>
  <c r="F27" i="367"/>
  <c r="H26" i="367" s="1"/>
  <c r="H28" i="367" s="1"/>
  <c r="H30" i="367" s="1"/>
  <c r="F27" i="366"/>
  <c r="H26" i="366" s="1"/>
  <c r="H28" i="366" s="1"/>
  <c r="H30" i="366" s="1"/>
  <c r="F25" i="365"/>
  <c r="H24" i="365" s="1"/>
  <c r="H19" i="365"/>
  <c r="C24" i="365" s="1"/>
  <c r="C31" i="365"/>
  <c r="H22" i="365" s="1"/>
  <c r="F25" i="364"/>
  <c r="H24" i="364" s="1"/>
  <c r="H19" i="364"/>
  <c r="C24" i="364" s="1"/>
  <c r="C31" i="364"/>
  <c r="H22" i="364" s="1"/>
  <c r="F24" i="363"/>
  <c r="H23" i="363" s="1"/>
  <c r="H18" i="363"/>
  <c r="C23" i="363" s="1"/>
  <c r="C30" i="363"/>
  <c r="H21" i="363" s="1"/>
  <c r="F24" i="362"/>
  <c r="H23" i="362" s="1"/>
  <c r="H18" i="362"/>
  <c r="C23" i="362" s="1"/>
  <c r="C30" i="362"/>
  <c r="H21" i="362" s="1"/>
  <c r="F24" i="361"/>
  <c r="H23" i="361" s="1"/>
  <c r="H18" i="361"/>
  <c r="C23" i="361" s="1"/>
  <c r="C30" i="361"/>
  <c r="H21" i="361" s="1"/>
  <c r="F27" i="365" l="1"/>
  <c r="H26" i="365" s="1"/>
  <c r="H28" i="365" s="1"/>
  <c r="H30" i="365" s="1"/>
  <c r="F27" i="364"/>
  <c r="H26" i="364" s="1"/>
  <c r="H28" i="364" s="1"/>
  <c r="H30" i="364" s="1"/>
  <c r="F26" i="363"/>
  <c r="H25" i="363" s="1"/>
  <c r="H27" i="363" s="1"/>
  <c r="H29" i="363" s="1"/>
  <c r="F26" i="362"/>
  <c r="H25" i="362" s="1"/>
  <c r="H27" i="362" s="1"/>
  <c r="H29" i="362" s="1"/>
  <c r="F26" i="361"/>
  <c r="H25" i="361" s="1"/>
  <c r="H27" i="361" s="1"/>
  <c r="H29" i="361" s="1"/>
  <c r="H9" i="360" l="1"/>
  <c r="C25" i="360"/>
  <c r="D12" i="360"/>
  <c r="D18" i="360" s="1"/>
  <c r="C21" i="360" s="1"/>
  <c r="H12" i="360"/>
  <c r="H3" i="360"/>
  <c r="F24" i="360" l="1"/>
  <c r="H23" i="360" s="1"/>
  <c r="H18" i="360"/>
  <c r="C23" i="360" s="1"/>
  <c r="C30" i="360"/>
  <c r="H21" i="360" s="1"/>
  <c r="F26" i="360" l="1"/>
  <c r="H25" i="360" s="1"/>
  <c r="H27" i="360" s="1"/>
  <c r="H29" i="360" s="1"/>
  <c r="H9" i="359"/>
  <c r="C25" i="359"/>
  <c r="H12" i="359"/>
  <c r="D12" i="359"/>
  <c r="D18" i="359" s="1"/>
  <c r="C21" i="359" s="1"/>
  <c r="H3" i="359"/>
  <c r="C25" i="358"/>
  <c r="D12" i="358"/>
  <c r="D18" i="358" s="1"/>
  <c r="C21" i="358" s="1"/>
  <c r="H12" i="358"/>
  <c r="H3" i="358"/>
  <c r="C25" i="357"/>
  <c r="D12" i="357"/>
  <c r="D18" i="357" s="1"/>
  <c r="C21" i="357" s="1"/>
  <c r="H9" i="357"/>
  <c r="H12" i="357"/>
  <c r="H3" i="357"/>
  <c r="F24" i="359" l="1"/>
  <c r="H23" i="359" s="1"/>
  <c r="H18" i="359"/>
  <c r="C23" i="359" s="1"/>
  <c r="C30" i="359"/>
  <c r="H21" i="359" s="1"/>
  <c r="F24" i="358"/>
  <c r="H23" i="358" s="1"/>
  <c r="H18" i="358"/>
  <c r="C23" i="358" s="1"/>
  <c r="C30" i="358"/>
  <c r="H21" i="358" s="1"/>
  <c r="F24" i="357"/>
  <c r="H23" i="357" s="1"/>
  <c r="H18" i="357"/>
  <c r="C23" i="357" s="1"/>
  <c r="C30" i="357"/>
  <c r="H21" i="357" s="1"/>
  <c r="H9" i="355"/>
  <c r="H9" i="356"/>
  <c r="C25" i="356"/>
  <c r="D12" i="356"/>
  <c r="D18" i="356" s="1"/>
  <c r="C21" i="356" s="1"/>
  <c r="H8" i="356"/>
  <c r="H12" i="356" s="1"/>
  <c r="H3" i="356"/>
  <c r="C25" i="355"/>
  <c r="D12" i="355"/>
  <c r="D18" i="355" s="1"/>
  <c r="C21" i="355" s="1"/>
  <c r="H8" i="355"/>
  <c r="H12" i="355" s="1"/>
  <c r="H3" i="355"/>
  <c r="C25" i="354"/>
  <c r="D12" i="354"/>
  <c r="D18" i="354" s="1"/>
  <c r="C21" i="354" s="1"/>
  <c r="H8" i="354"/>
  <c r="H12" i="354" s="1"/>
  <c r="H3" i="354"/>
  <c r="C25" i="353"/>
  <c r="D12" i="353"/>
  <c r="D18" i="353" s="1"/>
  <c r="C21" i="353" s="1"/>
  <c r="H8" i="353"/>
  <c r="H12" i="353" s="1"/>
  <c r="H3" i="353"/>
  <c r="C25" i="352"/>
  <c r="D12" i="352"/>
  <c r="D18" i="352" s="1"/>
  <c r="C21" i="352" s="1"/>
  <c r="H8" i="352"/>
  <c r="H12" i="352" s="1"/>
  <c r="H3" i="352"/>
  <c r="F26" i="359" l="1"/>
  <c r="H25" i="359" s="1"/>
  <c r="H27" i="359" s="1"/>
  <c r="H29" i="359" s="1"/>
  <c r="F26" i="358"/>
  <c r="H25" i="358" s="1"/>
  <c r="H27" i="358" s="1"/>
  <c r="H29" i="358" s="1"/>
  <c r="F26" i="357"/>
  <c r="H25" i="357" s="1"/>
  <c r="H27" i="357" s="1"/>
  <c r="H29" i="357" s="1"/>
  <c r="F24" i="356"/>
  <c r="H23" i="356" s="1"/>
  <c r="H18" i="356"/>
  <c r="C23" i="356" s="1"/>
  <c r="C30" i="356"/>
  <c r="H21" i="356" s="1"/>
  <c r="F24" i="355"/>
  <c r="H23" i="355" s="1"/>
  <c r="H18" i="355"/>
  <c r="C23" i="355" s="1"/>
  <c r="C30" i="355"/>
  <c r="H21" i="355" s="1"/>
  <c r="F24" i="354"/>
  <c r="H23" i="354" s="1"/>
  <c r="H18" i="354"/>
  <c r="C23" i="354" s="1"/>
  <c r="C30" i="354"/>
  <c r="H21" i="354" s="1"/>
  <c r="F24" i="353"/>
  <c r="H23" i="353" s="1"/>
  <c r="H18" i="353"/>
  <c r="C23" i="353" s="1"/>
  <c r="C30" i="353"/>
  <c r="H21" i="353" s="1"/>
  <c r="F24" i="352"/>
  <c r="H23" i="352" s="1"/>
  <c r="H18" i="352"/>
  <c r="C23" i="352" s="1"/>
  <c r="C30" i="352"/>
  <c r="H21" i="352" s="1"/>
  <c r="F26" i="356" l="1"/>
  <c r="H25" i="356" s="1"/>
  <c r="H27" i="356" s="1"/>
  <c r="H29" i="356" s="1"/>
  <c r="F26" i="355"/>
  <c r="H25" i="355" s="1"/>
  <c r="H27" i="355" s="1"/>
  <c r="H29" i="355" s="1"/>
  <c r="F26" i="354"/>
  <c r="H25" i="354" s="1"/>
  <c r="H27" i="354" s="1"/>
  <c r="H29" i="354" s="1"/>
  <c r="F26" i="353"/>
  <c r="H25" i="353" s="1"/>
  <c r="H27" i="353" s="1"/>
  <c r="H29" i="353" s="1"/>
  <c r="F26" i="352"/>
  <c r="H25" i="352" s="1"/>
  <c r="H27" i="352" s="1"/>
  <c r="H29" i="352" s="1"/>
  <c r="C25" i="351" l="1"/>
  <c r="D12" i="351"/>
  <c r="D18" i="351" s="1"/>
  <c r="C21" i="351" s="1"/>
  <c r="H8" i="351"/>
  <c r="H12" i="351" s="1"/>
  <c r="H3" i="351"/>
  <c r="C25" i="350"/>
  <c r="D12" i="350"/>
  <c r="D18" i="350" s="1"/>
  <c r="C21" i="350" s="1"/>
  <c r="H8" i="350"/>
  <c r="H12" i="350" s="1"/>
  <c r="H3" i="350"/>
  <c r="C25" i="349"/>
  <c r="D12" i="349"/>
  <c r="D18" i="349" s="1"/>
  <c r="C21" i="349" s="1"/>
  <c r="H8" i="349"/>
  <c r="H12" i="349" s="1"/>
  <c r="H3" i="349"/>
  <c r="C25" i="348"/>
  <c r="D12" i="348"/>
  <c r="D18" i="348" s="1"/>
  <c r="C21" i="348" s="1"/>
  <c r="H8" i="348"/>
  <c r="H12" i="348" s="1"/>
  <c r="H3" i="348"/>
  <c r="C25" i="347"/>
  <c r="D12" i="347"/>
  <c r="D18" i="347" s="1"/>
  <c r="C21" i="347" s="1"/>
  <c r="H8" i="347"/>
  <c r="H12" i="347" s="1"/>
  <c r="H3" i="347"/>
  <c r="C25" i="344"/>
  <c r="D12" i="344"/>
  <c r="D18" i="344" s="1"/>
  <c r="C21" i="344" s="1"/>
  <c r="H8" i="344"/>
  <c r="H12" i="344" s="1"/>
  <c r="H3" i="344"/>
  <c r="C25" i="346"/>
  <c r="D12" i="346"/>
  <c r="D18" i="346" s="1"/>
  <c r="C21" i="346" s="1"/>
  <c r="H8" i="346"/>
  <c r="H12" i="346" s="1"/>
  <c r="H3" i="346"/>
  <c r="F24" i="351" l="1"/>
  <c r="H23" i="351" s="1"/>
  <c r="H18" i="351"/>
  <c r="C23" i="351" s="1"/>
  <c r="C30" i="351"/>
  <c r="H21" i="351" s="1"/>
  <c r="F24" i="350"/>
  <c r="H23" i="350" s="1"/>
  <c r="H18" i="350"/>
  <c r="C23" i="350" s="1"/>
  <c r="C30" i="350"/>
  <c r="H21" i="350" s="1"/>
  <c r="F24" i="349"/>
  <c r="H23" i="349" s="1"/>
  <c r="H18" i="349"/>
  <c r="C23" i="349" s="1"/>
  <c r="C30" i="349"/>
  <c r="H21" i="349" s="1"/>
  <c r="F24" i="348"/>
  <c r="H23" i="348" s="1"/>
  <c r="H18" i="348"/>
  <c r="C23" i="348" s="1"/>
  <c r="C30" i="348"/>
  <c r="H21" i="348" s="1"/>
  <c r="F24" i="347"/>
  <c r="H23" i="347" s="1"/>
  <c r="H18" i="347"/>
  <c r="C23" i="347" s="1"/>
  <c r="C30" i="347"/>
  <c r="H21" i="347" s="1"/>
  <c r="F24" i="344"/>
  <c r="H23" i="344" s="1"/>
  <c r="H18" i="344"/>
  <c r="C23" i="344" s="1"/>
  <c r="C30" i="344"/>
  <c r="H21" i="344" s="1"/>
  <c r="F24" i="346"/>
  <c r="H23" i="346" s="1"/>
  <c r="H18" i="346"/>
  <c r="C23" i="346" s="1"/>
  <c r="C30" i="346"/>
  <c r="H21" i="346" s="1"/>
  <c r="C25" i="345"/>
  <c r="D12" i="345"/>
  <c r="D18" i="345" s="1"/>
  <c r="C21" i="345" s="1"/>
  <c r="H8" i="345"/>
  <c r="H12" i="345" s="1"/>
  <c r="H3" i="345"/>
  <c r="F26" i="351" l="1"/>
  <c r="H25" i="351" s="1"/>
  <c r="H27" i="351" s="1"/>
  <c r="H29" i="351" s="1"/>
  <c r="F26" i="350"/>
  <c r="H25" i="350" s="1"/>
  <c r="H27" i="350" s="1"/>
  <c r="H29" i="350" s="1"/>
  <c r="F26" i="349"/>
  <c r="H25" i="349" s="1"/>
  <c r="H27" i="349" s="1"/>
  <c r="H29" i="349" s="1"/>
  <c r="F26" i="348"/>
  <c r="H25" i="348" s="1"/>
  <c r="H27" i="348" s="1"/>
  <c r="H29" i="348" s="1"/>
  <c r="F26" i="347"/>
  <c r="H25" i="347" s="1"/>
  <c r="H27" i="347" s="1"/>
  <c r="H29" i="347" s="1"/>
  <c r="F26" i="344"/>
  <c r="H25" i="344" s="1"/>
  <c r="H27" i="344" s="1"/>
  <c r="H29" i="344" s="1"/>
  <c r="F26" i="346"/>
  <c r="H25" i="346" s="1"/>
  <c r="H27" i="346" s="1"/>
  <c r="H29" i="346" s="1"/>
  <c r="F24" i="345"/>
  <c r="H23" i="345" s="1"/>
  <c r="H18" i="345"/>
  <c r="C23" i="345" s="1"/>
  <c r="C30" i="345"/>
  <c r="H21" i="345" s="1"/>
  <c r="C25" i="343"/>
  <c r="D12" i="343"/>
  <c r="D18" i="343" s="1"/>
  <c r="C21" i="343" s="1"/>
  <c r="H8" i="343"/>
  <c r="H12" i="343" s="1"/>
  <c r="H3" i="343"/>
  <c r="C25" i="342"/>
  <c r="D12" i="342"/>
  <c r="D18" i="342" s="1"/>
  <c r="C21" i="342" s="1"/>
  <c r="H8" i="342"/>
  <c r="H12" i="342" s="1"/>
  <c r="H3" i="342"/>
  <c r="C25" i="341"/>
  <c r="D12" i="341"/>
  <c r="D18" i="341" s="1"/>
  <c r="C21" i="341" s="1"/>
  <c r="H8" i="341"/>
  <c r="H12" i="341" s="1"/>
  <c r="H3" i="341"/>
  <c r="F26" i="345" l="1"/>
  <c r="H25" i="345" s="1"/>
  <c r="H27" i="345" s="1"/>
  <c r="H29" i="345" s="1"/>
  <c r="F24" i="343"/>
  <c r="H23" i="343" s="1"/>
  <c r="H18" i="343"/>
  <c r="C23" i="343" s="1"/>
  <c r="C30" i="343"/>
  <c r="H21" i="343" s="1"/>
  <c r="F24" i="342"/>
  <c r="H23" i="342" s="1"/>
  <c r="H18" i="342"/>
  <c r="C23" i="342" s="1"/>
  <c r="C30" i="342"/>
  <c r="H21" i="342" s="1"/>
  <c r="F24" i="341"/>
  <c r="H23" i="341" s="1"/>
  <c r="H18" i="341"/>
  <c r="C23" i="341" s="1"/>
  <c r="C30" i="341"/>
  <c r="H21" i="341" s="1"/>
  <c r="F26" i="343" l="1"/>
  <c r="H25" i="343" s="1"/>
  <c r="H27" i="343" s="1"/>
  <c r="H29" i="343" s="1"/>
  <c r="F26" i="342"/>
  <c r="H25" i="342" s="1"/>
  <c r="H27" i="342" s="1"/>
  <c r="H29" i="342" s="1"/>
  <c r="F26" i="341"/>
  <c r="H25" i="341" s="1"/>
  <c r="H27" i="341" s="1"/>
  <c r="H29" i="341" s="1"/>
  <c r="C25" i="340" l="1"/>
  <c r="D12" i="340"/>
  <c r="D18" i="340" s="1"/>
  <c r="C21" i="340" s="1"/>
  <c r="H8" i="340"/>
  <c r="H12" i="340" s="1"/>
  <c r="H3" i="340"/>
  <c r="C25" i="339"/>
  <c r="D12" i="339"/>
  <c r="D18" i="339" s="1"/>
  <c r="C21" i="339" s="1"/>
  <c r="H8" i="339"/>
  <c r="H12" i="339" s="1"/>
  <c r="H3" i="339"/>
  <c r="C25" i="338"/>
  <c r="D12" i="338"/>
  <c r="D18" i="338" s="1"/>
  <c r="C21" i="338" s="1"/>
  <c r="H8" i="338"/>
  <c r="H12" i="338" s="1"/>
  <c r="H3" i="338"/>
  <c r="C25" i="337"/>
  <c r="D12" i="337"/>
  <c r="D18" i="337" s="1"/>
  <c r="C21" i="337" s="1"/>
  <c r="H8" i="337"/>
  <c r="H12" i="337" s="1"/>
  <c r="H3" i="337"/>
  <c r="F24" i="340" l="1"/>
  <c r="H23" i="340" s="1"/>
  <c r="H18" i="340"/>
  <c r="C23" i="340" s="1"/>
  <c r="C30" i="340"/>
  <c r="H21" i="340" s="1"/>
  <c r="F24" i="339"/>
  <c r="H23" i="339" s="1"/>
  <c r="H18" i="339"/>
  <c r="C23" i="339" s="1"/>
  <c r="C30" i="339"/>
  <c r="H21" i="339" s="1"/>
  <c r="F24" i="338"/>
  <c r="H23" i="338" s="1"/>
  <c r="H18" i="338"/>
  <c r="C23" i="338" s="1"/>
  <c r="C30" i="338"/>
  <c r="H21" i="338" s="1"/>
  <c r="F24" i="337"/>
  <c r="H23" i="337" s="1"/>
  <c r="H18" i="337"/>
  <c r="C23" i="337" s="1"/>
  <c r="C30" i="337"/>
  <c r="H21" i="337" s="1"/>
  <c r="C25" i="336"/>
  <c r="D12" i="336"/>
  <c r="D18" i="336" s="1"/>
  <c r="C21" i="336" s="1"/>
  <c r="H8" i="336"/>
  <c r="H12" i="336"/>
  <c r="H3" i="336"/>
  <c r="H9" i="335"/>
  <c r="H10" i="335"/>
  <c r="H7" i="335"/>
  <c r="C25" i="335"/>
  <c r="D12" i="335"/>
  <c r="D18" i="335" s="1"/>
  <c r="C21" i="335" s="1"/>
  <c r="H8" i="335"/>
  <c r="H12" i="335" s="1"/>
  <c r="H3" i="335"/>
  <c r="C25" i="334"/>
  <c r="D12" i="334"/>
  <c r="D18" i="334" s="1"/>
  <c r="C21" i="334" s="1"/>
  <c r="H8" i="334"/>
  <c r="H12" i="334" s="1"/>
  <c r="H3" i="334"/>
  <c r="C25" i="333"/>
  <c r="D12" i="333"/>
  <c r="D18" i="333" s="1"/>
  <c r="C21" i="333" s="1"/>
  <c r="H8" i="333"/>
  <c r="H12" i="333" s="1"/>
  <c r="H3" i="333"/>
  <c r="F26" i="340" l="1"/>
  <c r="H25" i="340" s="1"/>
  <c r="H27" i="340" s="1"/>
  <c r="H29" i="340" s="1"/>
  <c r="F26" i="339"/>
  <c r="H25" i="339" s="1"/>
  <c r="H27" i="339" s="1"/>
  <c r="H29" i="339" s="1"/>
  <c r="F26" i="338"/>
  <c r="H25" i="338" s="1"/>
  <c r="H27" i="338" s="1"/>
  <c r="H29" i="338" s="1"/>
  <c r="F26" i="337"/>
  <c r="H25" i="337" s="1"/>
  <c r="H27" i="337" s="1"/>
  <c r="H29" i="337" s="1"/>
  <c r="F24" i="336"/>
  <c r="H23" i="336" s="1"/>
  <c r="H18" i="336"/>
  <c r="C23" i="336" s="1"/>
  <c r="C30" i="336"/>
  <c r="H21" i="336" s="1"/>
  <c r="F24" i="335"/>
  <c r="H23" i="335" s="1"/>
  <c r="H18" i="335"/>
  <c r="C23" i="335" s="1"/>
  <c r="C30" i="335"/>
  <c r="H21" i="335" s="1"/>
  <c r="F24" i="334"/>
  <c r="H23" i="334" s="1"/>
  <c r="H18" i="334"/>
  <c r="C23" i="334" s="1"/>
  <c r="C30" i="334"/>
  <c r="H21" i="334" s="1"/>
  <c r="F24" i="333"/>
  <c r="H23" i="333" s="1"/>
  <c r="H18" i="333"/>
  <c r="C23" i="333" s="1"/>
  <c r="C30" i="333"/>
  <c r="H21" i="333" s="1"/>
  <c r="F26" i="336" l="1"/>
  <c r="H25" i="336" s="1"/>
  <c r="H27" i="336" s="1"/>
  <c r="H29" i="336" s="1"/>
  <c r="F26" i="335"/>
  <c r="H25" i="335" s="1"/>
  <c r="H27" i="335" s="1"/>
  <c r="H29" i="335" s="1"/>
  <c r="F26" i="334"/>
  <c r="H25" i="334" s="1"/>
  <c r="H27" i="334" s="1"/>
  <c r="H29" i="334" s="1"/>
  <c r="F26" i="333"/>
  <c r="H25" i="333" s="1"/>
  <c r="H27" i="333" s="1"/>
  <c r="H29" i="333" s="1"/>
  <c r="H9" i="332" l="1"/>
  <c r="C25" i="332" l="1"/>
  <c r="D12" i="332"/>
  <c r="D18" i="332" s="1"/>
  <c r="C21" i="332" s="1"/>
  <c r="H8" i="332"/>
  <c r="H12" i="332" s="1"/>
  <c r="H3" i="332"/>
  <c r="C25" i="331"/>
  <c r="D12" i="331"/>
  <c r="D18" i="331" s="1"/>
  <c r="C21" i="331" s="1"/>
  <c r="H8" i="331"/>
  <c r="H12" i="331"/>
  <c r="H3" i="331"/>
  <c r="F24" i="330"/>
  <c r="H8" i="330"/>
  <c r="H7" i="330"/>
  <c r="C25" i="330"/>
  <c r="H23" i="330"/>
  <c r="D12" i="330"/>
  <c r="D18" i="330" s="1"/>
  <c r="C21" i="330" s="1"/>
  <c r="H12" i="330"/>
  <c r="H3" i="330"/>
  <c r="H18" i="330" s="1"/>
  <c r="C23" i="330" s="1"/>
  <c r="H10" i="329"/>
  <c r="H9" i="329"/>
  <c r="C25" i="329"/>
  <c r="D12" i="329"/>
  <c r="D18" i="329" s="1"/>
  <c r="C21" i="329" s="1"/>
  <c r="H12" i="329"/>
  <c r="H3" i="329"/>
  <c r="C25" i="328"/>
  <c r="D12" i="328"/>
  <c r="D18" i="328" s="1"/>
  <c r="C21" i="328" s="1"/>
  <c r="H7" i="328"/>
  <c r="H12" i="328" s="1"/>
  <c r="H3" i="328"/>
  <c r="C25" i="327"/>
  <c r="D12" i="327"/>
  <c r="D18" i="327" s="1"/>
  <c r="C21" i="327" s="1"/>
  <c r="H7" i="327"/>
  <c r="H12" i="327" s="1"/>
  <c r="H3" i="327"/>
  <c r="C25" i="326"/>
  <c r="D12" i="326"/>
  <c r="D18" i="326" s="1"/>
  <c r="C21" i="326" s="1"/>
  <c r="H7" i="326"/>
  <c r="H12" i="326" s="1"/>
  <c r="H3" i="326"/>
  <c r="C25" i="325"/>
  <c r="D12" i="325"/>
  <c r="D18" i="325" s="1"/>
  <c r="C21" i="325" s="1"/>
  <c r="H7" i="325"/>
  <c r="H12" i="325" s="1"/>
  <c r="H3" i="325"/>
  <c r="C25" i="324"/>
  <c r="D12" i="324"/>
  <c r="D18" i="324" s="1"/>
  <c r="C21" i="324" s="1"/>
  <c r="H7" i="324"/>
  <c r="H12" i="324" s="1"/>
  <c r="H3" i="324"/>
  <c r="C25" i="323"/>
  <c r="D12" i="323"/>
  <c r="D18" i="323" s="1"/>
  <c r="C21" i="323" s="1"/>
  <c r="H7" i="323"/>
  <c r="H12" i="323" s="1"/>
  <c r="H3" i="323"/>
  <c r="C25" i="322"/>
  <c r="D12" i="322"/>
  <c r="D18" i="322" s="1"/>
  <c r="C21" i="322" s="1"/>
  <c r="H7" i="322"/>
  <c r="H12" i="322" s="1"/>
  <c r="H3" i="322"/>
  <c r="C25" i="321"/>
  <c r="D12" i="321"/>
  <c r="D18" i="321" s="1"/>
  <c r="C21" i="321" s="1"/>
  <c r="H7" i="321"/>
  <c r="H12" i="321" s="1"/>
  <c r="H3" i="321"/>
  <c r="C25" i="320"/>
  <c r="D12" i="320"/>
  <c r="D18" i="320" s="1"/>
  <c r="C21" i="320" s="1"/>
  <c r="H7" i="320"/>
  <c r="H12" i="320" s="1"/>
  <c r="H3" i="320"/>
  <c r="C25" i="319"/>
  <c r="D12" i="319"/>
  <c r="D18" i="319" s="1"/>
  <c r="C21" i="319" s="1"/>
  <c r="H7" i="319"/>
  <c r="H12" i="319" s="1"/>
  <c r="H3" i="319"/>
  <c r="C25" i="318"/>
  <c r="D12" i="318"/>
  <c r="D18" i="318" s="1"/>
  <c r="C21" i="318" s="1"/>
  <c r="H7" i="318"/>
  <c r="H12" i="318" s="1"/>
  <c r="H3" i="318"/>
  <c r="C25" i="317"/>
  <c r="D12" i="317"/>
  <c r="D18" i="317" s="1"/>
  <c r="C21" i="317" s="1"/>
  <c r="H7" i="317"/>
  <c r="H12" i="317" s="1"/>
  <c r="H3" i="317"/>
  <c r="C25" i="316"/>
  <c r="D12" i="316"/>
  <c r="D18" i="316" s="1"/>
  <c r="C21" i="316" s="1"/>
  <c r="H7" i="316"/>
  <c r="H12" i="316" s="1"/>
  <c r="H3" i="316"/>
  <c r="C25" i="315"/>
  <c r="D12" i="315"/>
  <c r="D18" i="315" s="1"/>
  <c r="C21" i="315" s="1"/>
  <c r="H7" i="315"/>
  <c r="H12" i="315" s="1"/>
  <c r="H3" i="315"/>
  <c r="C25" i="314"/>
  <c r="D12" i="314"/>
  <c r="D18" i="314" s="1"/>
  <c r="C21" i="314" s="1"/>
  <c r="H7" i="314"/>
  <c r="H12" i="314" s="1"/>
  <c r="H3" i="314"/>
  <c r="C25" i="313"/>
  <c r="D12" i="313"/>
  <c r="D18" i="313" s="1"/>
  <c r="C21" i="313" s="1"/>
  <c r="H7" i="313"/>
  <c r="H12" i="313" s="1"/>
  <c r="H3" i="313"/>
  <c r="H7" i="311"/>
  <c r="C25" i="311"/>
  <c r="D12" i="311"/>
  <c r="D18" i="311" s="1"/>
  <c r="C21" i="311" s="1"/>
  <c r="H12" i="311"/>
  <c r="H3" i="311"/>
  <c r="F24" i="332" l="1"/>
  <c r="H23" i="332" s="1"/>
  <c r="H18" i="332"/>
  <c r="C23" i="332" s="1"/>
  <c r="C30" i="332"/>
  <c r="H21" i="332" s="1"/>
  <c r="F24" i="331"/>
  <c r="H23" i="331" s="1"/>
  <c r="H18" i="331"/>
  <c r="C23" i="331" s="1"/>
  <c r="C30" i="331"/>
  <c r="H21" i="331" s="1"/>
  <c r="C30" i="330"/>
  <c r="H21" i="330" s="1"/>
  <c r="H23" i="329"/>
  <c r="H18" i="329"/>
  <c r="C23" i="329" s="1"/>
  <c r="C30" i="329"/>
  <c r="H21" i="329" s="1"/>
  <c r="F24" i="328"/>
  <c r="H23" i="328" s="1"/>
  <c r="H18" i="328"/>
  <c r="C23" i="328" s="1"/>
  <c r="C30" i="328"/>
  <c r="H21" i="328" s="1"/>
  <c r="F24" i="327"/>
  <c r="H23" i="327" s="1"/>
  <c r="H18" i="327"/>
  <c r="C23" i="327" s="1"/>
  <c r="C30" i="327"/>
  <c r="H21" i="327" s="1"/>
  <c r="F24" i="326"/>
  <c r="H23" i="326" s="1"/>
  <c r="H18" i="326"/>
  <c r="C23" i="326" s="1"/>
  <c r="C30" i="326"/>
  <c r="H21" i="326" s="1"/>
  <c r="F24" i="325"/>
  <c r="H23" i="325" s="1"/>
  <c r="H18" i="325"/>
  <c r="C23" i="325" s="1"/>
  <c r="C30" i="325"/>
  <c r="H21" i="325" s="1"/>
  <c r="F24" i="324"/>
  <c r="H23" i="324" s="1"/>
  <c r="H18" i="324"/>
  <c r="C23" i="324" s="1"/>
  <c r="C30" i="324"/>
  <c r="H21" i="324" s="1"/>
  <c r="F24" i="323"/>
  <c r="H23" i="323" s="1"/>
  <c r="H18" i="323"/>
  <c r="C23" i="323" s="1"/>
  <c r="C30" i="323"/>
  <c r="H21" i="323" s="1"/>
  <c r="F24" i="322"/>
  <c r="H23" i="322" s="1"/>
  <c r="H18" i="322"/>
  <c r="C23" i="322" s="1"/>
  <c r="C30" i="322"/>
  <c r="H21" i="322" s="1"/>
  <c r="F24" i="321"/>
  <c r="H23" i="321" s="1"/>
  <c r="H18" i="321"/>
  <c r="C23" i="321" s="1"/>
  <c r="C30" i="321"/>
  <c r="H21" i="321" s="1"/>
  <c r="F24" i="320"/>
  <c r="H23" i="320" s="1"/>
  <c r="H18" i="320"/>
  <c r="C23" i="320" s="1"/>
  <c r="C30" i="320"/>
  <c r="H21" i="320" s="1"/>
  <c r="F24" i="319"/>
  <c r="H23" i="319" s="1"/>
  <c r="H18" i="319"/>
  <c r="C23" i="319" s="1"/>
  <c r="C30" i="319"/>
  <c r="H21" i="319" s="1"/>
  <c r="F24" i="318"/>
  <c r="H23" i="318" s="1"/>
  <c r="H18" i="318"/>
  <c r="C23" i="318" s="1"/>
  <c r="C30" i="318"/>
  <c r="H21" i="318" s="1"/>
  <c r="F24" i="317"/>
  <c r="H23" i="317" s="1"/>
  <c r="H18" i="317"/>
  <c r="C23" i="317" s="1"/>
  <c r="C30" i="317"/>
  <c r="H21" i="317" s="1"/>
  <c r="F24" i="316"/>
  <c r="H23" i="316" s="1"/>
  <c r="H18" i="316"/>
  <c r="C23" i="316" s="1"/>
  <c r="C30" i="316"/>
  <c r="H21" i="316" s="1"/>
  <c r="F24" i="315"/>
  <c r="H23" i="315" s="1"/>
  <c r="H18" i="315"/>
  <c r="C23" i="315" s="1"/>
  <c r="C30" i="315"/>
  <c r="H21" i="315" s="1"/>
  <c r="F24" i="314"/>
  <c r="H23" i="314" s="1"/>
  <c r="H18" i="314"/>
  <c r="C23" i="314" s="1"/>
  <c r="C30" i="314"/>
  <c r="H21" i="314" s="1"/>
  <c r="F24" i="313"/>
  <c r="H23" i="313" s="1"/>
  <c r="H18" i="313"/>
  <c r="C23" i="313" s="1"/>
  <c r="C30" i="313"/>
  <c r="H21" i="313" s="1"/>
  <c r="F24" i="311"/>
  <c r="H23" i="311" s="1"/>
  <c r="H18" i="311"/>
  <c r="C23" i="311" s="1"/>
  <c r="C30" i="311"/>
  <c r="H21" i="311" s="1"/>
  <c r="F26" i="332" l="1"/>
  <c r="H25" i="332" s="1"/>
  <c r="H27" i="332" s="1"/>
  <c r="H29" i="332" s="1"/>
  <c r="F26" i="331"/>
  <c r="H25" i="331" s="1"/>
  <c r="H27" i="331" s="1"/>
  <c r="H29" i="331" s="1"/>
  <c r="F26" i="330"/>
  <c r="H25" i="330" s="1"/>
  <c r="H27" i="330" s="1"/>
  <c r="H29" i="330" s="1"/>
  <c r="F26" i="329"/>
  <c r="H25" i="329" s="1"/>
  <c r="H27" i="329" s="1"/>
  <c r="H29" i="329" s="1"/>
  <c r="F26" i="328"/>
  <c r="H25" i="328" s="1"/>
  <c r="H27" i="328" s="1"/>
  <c r="H29" i="328" s="1"/>
  <c r="F26" i="327"/>
  <c r="H25" i="327" s="1"/>
  <c r="H27" i="327" s="1"/>
  <c r="H29" i="327" s="1"/>
  <c r="F26" i="326"/>
  <c r="H25" i="326" s="1"/>
  <c r="H27" i="326" s="1"/>
  <c r="H29" i="326" s="1"/>
  <c r="F26" i="325"/>
  <c r="H25" i="325" s="1"/>
  <c r="H27" i="325" s="1"/>
  <c r="H29" i="325" s="1"/>
  <c r="F26" i="324"/>
  <c r="H25" i="324" s="1"/>
  <c r="H27" i="324" s="1"/>
  <c r="H29" i="324" s="1"/>
  <c r="F26" i="323"/>
  <c r="H25" i="323" s="1"/>
  <c r="H27" i="323" s="1"/>
  <c r="H29" i="323" s="1"/>
  <c r="F26" i="322"/>
  <c r="H25" i="322" s="1"/>
  <c r="H27" i="322" s="1"/>
  <c r="H29" i="322" s="1"/>
  <c r="F26" i="321"/>
  <c r="H25" i="321" s="1"/>
  <c r="H27" i="321" s="1"/>
  <c r="H29" i="321" s="1"/>
  <c r="F26" i="320"/>
  <c r="H25" i="320" s="1"/>
  <c r="H27" i="320" s="1"/>
  <c r="H29" i="320" s="1"/>
  <c r="F26" i="319"/>
  <c r="H25" i="319" s="1"/>
  <c r="H27" i="319" s="1"/>
  <c r="H29" i="319" s="1"/>
  <c r="F26" i="318"/>
  <c r="H25" i="318" s="1"/>
  <c r="H27" i="318" s="1"/>
  <c r="H29" i="318" s="1"/>
  <c r="F26" i="317"/>
  <c r="H25" i="317" s="1"/>
  <c r="H27" i="317" s="1"/>
  <c r="H29" i="317" s="1"/>
  <c r="F26" i="316"/>
  <c r="H25" i="316" s="1"/>
  <c r="H27" i="316" s="1"/>
  <c r="H29" i="316" s="1"/>
  <c r="F26" i="315"/>
  <c r="H25" i="315" s="1"/>
  <c r="H27" i="315" s="1"/>
  <c r="H29" i="315" s="1"/>
  <c r="F26" i="314"/>
  <c r="H25" i="314" s="1"/>
  <c r="H27" i="314" s="1"/>
  <c r="H29" i="314" s="1"/>
  <c r="F26" i="313"/>
  <c r="H25" i="313" s="1"/>
  <c r="H27" i="313" s="1"/>
  <c r="H29" i="313" s="1"/>
  <c r="F26" i="311"/>
  <c r="H25" i="311" s="1"/>
  <c r="H27" i="311" s="1"/>
  <c r="H29" i="311" s="1"/>
  <c r="H8" i="309" l="1"/>
  <c r="C25" i="309"/>
  <c r="D12" i="309"/>
  <c r="D18" i="309" s="1"/>
  <c r="C21" i="309" s="1"/>
  <c r="H12" i="309"/>
  <c r="H3" i="309"/>
  <c r="F24" i="309" l="1"/>
  <c r="H23" i="309" s="1"/>
  <c r="H18" i="309"/>
  <c r="C23" i="309" s="1"/>
  <c r="C30" i="309"/>
  <c r="H21" i="309" s="1"/>
  <c r="F26" i="309" l="1"/>
  <c r="H25" i="309" s="1"/>
  <c r="H27" i="309" s="1"/>
  <c r="H29" i="309" s="1"/>
  <c r="F24" i="308" l="1"/>
  <c r="C25" i="308"/>
  <c r="H23" i="308"/>
  <c r="D12" i="308"/>
  <c r="D18" i="308" s="1"/>
  <c r="C21" i="308" s="1"/>
  <c r="H7" i="308"/>
  <c r="H12" i="308" s="1"/>
  <c r="H3" i="308"/>
  <c r="H18" i="308" s="1"/>
  <c r="C23" i="308" s="1"/>
  <c r="C30" i="308" l="1"/>
  <c r="H21" i="308" s="1"/>
  <c r="F26" i="308" l="1"/>
  <c r="H25" i="308" s="1"/>
  <c r="H27" i="308" s="1"/>
  <c r="H29" i="308" s="1"/>
  <c r="H8" i="307" l="1"/>
  <c r="H10" i="307"/>
  <c r="C25" i="307"/>
  <c r="D12" i="307"/>
  <c r="D18" i="307" s="1"/>
  <c r="C21" i="307" s="1"/>
  <c r="H11" i="307"/>
  <c r="H7" i="307"/>
  <c r="H12" i="307" s="1"/>
  <c r="H3" i="307"/>
  <c r="C25" i="306"/>
  <c r="D12" i="306"/>
  <c r="D18" i="306" s="1"/>
  <c r="C21" i="306" s="1"/>
  <c r="H11" i="306"/>
  <c r="H7" i="306"/>
  <c r="H12" i="306" s="1"/>
  <c r="H3" i="306"/>
  <c r="C25" i="305"/>
  <c r="D12" i="305"/>
  <c r="D18" i="305" s="1"/>
  <c r="C21" i="305" s="1"/>
  <c r="H11" i="305"/>
  <c r="H7" i="305"/>
  <c r="H12" i="305" s="1"/>
  <c r="H3" i="305"/>
  <c r="H23" i="307" l="1"/>
  <c r="H18" i="307"/>
  <c r="C23" i="307" s="1"/>
  <c r="C30" i="307"/>
  <c r="H21" i="307" s="1"/>
  <c r="F24" i="306"/>
  <c r="H23" i="306" s="1"/>
  <c r="H18" i="306"/>
  <c r="C23" i="306" s="1"/>
  <c r="C30" i="306"/>
  <c r="H21" i="306" s="1"/>
  <c r="F24" i="305"/>
  <c r="H23" i="305" s="1"/>
  <c r="H18" i="305"/>
  <c r="C23" i="305" s="1"/>
  <c r="C30" i="305"/>
  <c r="H21" i="305" s="1"/>
  <c r="F26" i="307" l="1"/>
  <c r="H25" i="307" s="1"/>
  <c r="H27" i="307" s="1"/>
  <c r="H29" i="307" s="1"/>
  <c r="F26" i="306"/>
  <c r="H25" i="306" s="1"/>
  <c r="H27" i="306" s="1"/>
  <c r="H29" i="306" s="1"/>
  <c r="F26" i="305"/>
  <c r="H25" i="305" s="1"/>
  <c r="H27" i="305" s="1"/>
  <c r="H29" i="305" s="1"/>
  <c r="C25" i="304" l="1"/>
  <c r="D12" i="304"/>
  <c r="D18" i="304" s="1"/>
  <c r="C21" i="304" s="1"/>
  <c r="H11" i="304"/>
  <c r="H7" i="304"/>
  <c r="H12" i="304" s="1"/>
  <c r="H3" i="304"/>
  <c r="C25" i="303"/>
  <c r="D12" i="303"/>
  <c r="D18" i="303" s="1"/>
  <c r="C21" i="303" s="1"/>
  <c r="H11" i="303"/>
  <c r="H7" i="303"/>
  <c r="H12" i="303" s="1"/>
  <c r="H3" i="303"/>
  <c r="C25" i="302"/>
  <c r="D12" i="302"/>
  <c r="D18" i="302" s="1"/>
  <c r="C21" i="302" s="1"/>
  <c r="H11" i="302"/>
  <c r="H7" i="302"/>
  <c r="H12" i="302" s="1"/>
  <c r="H3" i="302"/>
  <c r="F24" i="304" l="1"/>
  <c r="H23" i="304" s="1"/>
  <c r="H18" i="304"/>
  <c r="C23" i="304" s="1"/>
  <c r="C30" i="304"/>
  <c r="H21" i="304" s="1"/>
  <c r="F24" i="303"/>
  <c r="H23" i="303" s="1"/>
  <c r="H18" i="303"/>
  <c r="C23" i="303" s="1"/>
  <c r="C30" i="303"/>
  <c r="H21" i="303" s="1"/>
  <c r="F24" i="302"/>
  <c r="H23" i="302" s="1"/>
  <c r="H18" i="302"/>
  <c r="C23" i="302" s="1"/>
  <c r="C30" i="302"/>
  <c r="H21" i="302" s="1"/>
  <c r="F26" i="304" l="1"/>
  <c r="H25" i="304" s="1"/>
  <c r="H27" i="304" s="1"/>
  <c r="H29" i="304" s="1"/>
  <c r="F26" i="303"/>
  <c r="H25" i="303" s="1"/>
  <c r="H27" i="303" s="1"/>
  <c r="H29" i="303" s="1"/>
  <c r="F26" i="302"/>
  <c r="H25" i="302" s="1"/>
  <c r="H27" i="302" s="1"/>
  <c r="H29" i="302" s="1"/>
  <c r="H9" i="300"/>
  <c r="H11" i="300"/>
  <c r="C25" i="300"/>
  <c r="D12" i="300"/>
  <c r="D18" i="300" s="1"/>
  <c r="C21" i="300" s="1"/>
  <c r="H8" i="300"/>
  <c r="H7" i="300"/>
  <c r="H12" i="300" s="1"/>
  <c r="H3" i="300"/>
  <c r="H8" i="301"/>
  <c r="C25" i="301"/>
  <c r="D12" i="301"/>
  <c r="D18" i="301" s="1"/>
  <c r="C21" i="301" s="1"/>
  <c r="H7" i="301"/>
  <c r="H12" i="301" s="1"/>
  <c r="H3" i="301"/>
  <c r="F24" i="300" l="1"/>
  <c r="H23" i="300" s="1"/>
  <c r="H18" i="300"/>
  <c r="C23" i="300" s="1"/>
  <c r="C30" i="300"/>
  <c r="H21" i="300" s="1"/>
  <c r="F24" i="301"/>
  <c r="H23" i="301" s="1"/>
  <c r="H18" i="301"/>
  <c r="C23" i="301" s="1"/>
  <c r="C30" i="301"/>
  <c r="H21" i="301" s="1"/>
  <c r="C25" i="299"/>
  <c r="D12" i="299"/>
  <c r="D18" i="299" s="1"/>
  <c r="C21" i="299" s="1"/>
  <c r="H7" i="299"/>
  <c r="H12" i="299" s="1"/>
  <c r="H3" i="299"/>
  <c r="C25" i="298"/>
  <c r="D12" i="298"/>
  <c r="D18" i="298" s="1"/>
  <c r="C21" i="298" s="1"/>
  <c r="H8" i="298"/>
  <c r="H7" i="298"/>
  <c r="H12" i="298" s="1"/>
  <c r="H3" i="298"/>
  <c r="H8" i="297"/>
  <c r="C25" i="297"/>
  <c r="D12" i="297"/>
  <c r="D18" i="297" s="1"/>
  <c r="C21" i="297" s="1"/>
  <c r="H7" i="297"/>
  <c r="H12" i="297" s="1"/>
  <c r="H3" i="297"/>
  <c r="C25" i="296"/>
  <c r="D12" i="296"/>
  <c r="D18" i="296" s="1"/>
  <c r="C21" i="296" s="1"/>
  <c r="H7" i="296"/>
  <c r="H12" i="296" s="1"/>
  <c r="H3" i="296"/>
  <c r="C25" i="295"/>
  <c r="D12" i="295"/>
  <c r="D18" i="295" s="1"/>
  <c r="C21" i="295" s="1"/>
  <c r="H7" i="295"/>
  <c r="H12" i="295" s="1"/>
  <c r="H3" i="295"/>
  <c r="C25" i="294"/>
  <c r="D12" i="294"/>
  <c r="D18" i="294" s="1"/>
  <c r="C21" i="294" s="1"/>
  <c r="H7" i="294"/>
  <c r="H12" i="294" s="1"/>
  <c r="H3" i="294"/>
  <c r="C25" i="293"/>
  <c r="D12" i="293"/>
  <c r="D18" i="293" s="1"/>
  <c r="C21" i="293" s="1"/>
  <c r="H7" i="293"/>
  <c r="H12" i="293" s="1"/>
  <c r="H3" i="293"/>
  <c r="F26" i="300" l="1"/>
  <c r="H25" i="300" s="1"/>
  <c r="H27" i="300" s="1"/>
  <c r="H29" i="300" s="1"/>
  <c r="F26" i="301"/>
  <c r="H25" i="301" s="1"/>
  <c r="H27" i="301" s="1"/>
  <c r="H29" i="301" s="1"/>
  <c r="F24" i="299"/>
  <c r="H23" i="299" s="1"/>
  <c r="H18" i="299"/>
  <c r="C23" i="299" s="1"/>
  <c r="C30" i="299"/>
  <c r="H21" i="299" s="1"/>
  <c r="F24" i="298"/>
  <c r="H23" i="298" s="1"/>
  <c r="H18" i="298"/>
  <c r="C23" i="298" s="1"/>
  <c r="C30" i="298"/>
  <c r="H21" i="298" s="1"/>
  <c r="F24" i="297"/>
  <c r="H23" i="297" s="1"/>
  <c r="H18" i="297"/>
  <c r="C23" i="297" s="1"/>
  <c r="C30" i="297"/>
  <c r="H21" i="297" s="1"/>
  <c r="F24" i="296"/>
  <c r="H23" i="296" s="1"/>
  <c r="H18" i="296"/>
  <c r="C23" i="296" s="1"/>
  <c r="C30" i="296"/>
  <c r="H21" i="296" s="1"/>
  <c r="F24" i="295"/>
  <c r="H23" i="295" s="1"/>
  <c r="H18" i="295"/>
  <c r="C23" i="295" s="1"/>
  <c r="C30" i="295"/>
  <c r="H21" i="295" s="1"/>
  <c r="F24" i="294"/>
  <c r="H23" i="294" s="1"/>
  <c r="H18" i="294"/>
  <c r="C23" i="294" s="1"/>
  <c r="C30" i="294"/>
  <c r="H21" i="294" s="1"/>
  <c r="F24" i="293"/>
  <c r="H23" i="293" s="1"/>
  <c r="H18" i="293"/>
  <c r="C23" i="293" s="1"/>
  <c r="C30" i="293"/>
  <c r="H21" i="293" s="1"/>
  <c r="C25" i="292"/>
  <c r="D12" i="292"/>
  <c r="D18" i="292" s="1"/>
  <c r="C21" i="292" s="1"/>
  <c r="H7" i="292"/>
  <c r="H12" i="292" s="1"/>
  <c r="H3" i="292"/>
  <c r="F26" i="299" l="1"/>
  <c r="H25" i="299" s="1"/>
  <c r="H27" i="299" s="1"/>
  <c r="H29" i="299" s="1"/>
  <c r="F26" i="298"/>
  <c r="H25" i="298" s="1"/>
  <c r="H27" i="298" s="1"/>
  <c r="H29" i="298" s="1"/>
  <c r="F26" i="297"/>
  <c r="H25" i="297" s="1"/>
  <c r="H27" i="297" s="1"/>
  <c r="H29" i="297" s="1"/>
  <c r="F26" i="296"/>
  <c r="H25" i="296" s="1"/>
  <c r="H27" i="296" s="1"/>
  <c r="H29" i="296" s="1"/>
  <c r="F26" i="295"/>
  <c r="H25" i="295" s="1"/>
  <c r="H27" i="295" s="1"/>
  <c r="H29" i="295" s="1"/>
  <c r="F26" i="294"/>
  <c r="H25" i="294" s="1"/>
  <c r="H27" i="294" s="1"/>
  <c r="H29" i="294" s="1"/>
  <c r="F26" i="293"/>
  <c r="H25" i="293" s="1"/>
  <c r="H27" i="293" s="1"/>
  <c r="H29" i="293" s="1"/>
  <c r="F24" i="292"/>
  <c r="H23" i="292" s="1"/>
  <c r="H18" i="292"/>
  <c r="C23" i="292" s="1"/>
  <c r="C30" i="292"/>
  <c r="H21" i="292" s="1"/>
  <c r="C25" i="291"/>
  <c r="D12" i="291"/>
  <c r="D18" i="291" s="1"/>
  <c r="C21" i="291" s="1"/>
  <c r="H7" i="291"/>
  <c r="H12" i="291" s="1"/>
  <c r="H3" i="291"/>
  <c r="C25" i="290"/>
  <c r="D12" i="290"/>
  <c r="D18" i="290" s="1"/>
  <c r="C21" i="290" s="1"/>
  <c r="H7" i="290"/>
  <c r="H12" i="290" s="1"/>
  <c r="H3" i="290"/>
  <c r="C25" i="289"/>
  <c r="D12" i="289"/>
  <c r="D18" i="289" s="1"/>
  <c r="C21" i="289" s="1"/>
  <c r="H7" i="289"/>
  <c r="H12" i="289" s="1"/>
  <c r="H3" i="289"/>
  <c r="C25" i="288"/>
  <c r="D12" i="288"/>
  <c r="D18" i="288" s="1"/>
  <c r="C21" i="288" s="1"/>
  <c r="H7" i="288"/>
  <c r="H12" i="288" s="1"/>
  <c r="H3" i="288"/>
  <c r="F26" i="292" l="1"/>
  <c r="H25" i="292" s="1"/>
  <c r="H27" i="292" s="1"/>
  <c r="H29" i="292" s="1"/>
  <c r="F24" i="291"/>
  <c r="H23" i="291" s="1"/>
  <c r="H18" i="291"/>
  <c r="C23" i="291" s="1"/>
  <c r="C30" i="291"/>
  <c r="H21" i="291" s="1"/>
  <c r="F24" i="290"/>
  <c r="H23" i="290" s="1"/>
  <c r="H18" i="290"/>
  <c r="C23" i="290" s="1"/>
  <c r="C30" i="290"/>
  <c r="H21" i="290" s="1"/>
  <c r="F24" i="289"/>
  <c r="H23" i="289" s="1"/>
  <c r="H18" i="289"/>
  <c r="C23" i="289" s="1"/>
  <c r="C30" i="289"/>
  <c r="H21" i="289" s="1"/>
  <c r="F24" i="288"/>
  <c r="H23" i="288" s="1"/>
  <c r="H18" i="288"/>
  <c r="C23" i="288" s="1"/>
  <c r="C30" i="288"/>
  <c r="H21" i="288" s="1"/>
  <c r="F26" i="291" l="1"/>
  <c r="H25" i="291" s="1"/>
  <c r="H27" i="291" s="1"/>
  <c r="H29" i="291" s="1"/>
  <c r="F26" i="290"/>
  <c r="H25" i="290" s="1"/>
  <c r="H27" i="290" s="1"/>
  <c r="H29" i="290" s="1"/>
  <c r="F26" i="289"/>
  <c r="H25" i="289" s="1"/>
  <c r="H27" i="289" s="1"/>
  <c r="H29" i="289" s="1"/>
  <c r="F26" i="288"/>
  <c r="H25" i="288" s="1"/>
  <c r="H27" i="288" s="1"/>
  <c r="H29" i="288" s="1"/>
  <c r="C25" i="287" l="1"/>
  <c r="D12" i="287"/>
  <c r="D18" i="287" s="1"/>
  <c r="C21" i="287" s="1"/>
  <c r="H7" i="287"/>
  <c r="H12" i="287" s="1"/>
  <c r="H3" i="287"/>
  <c r="C25" i="286"/>
  <c r="D12" i="286"/>
  <c r="D18" i="286" s="1"/>
  <c r="C21" i="286" s="1"/>
  <c r="H7" i="286"/>
  <c r="H12" i="286" s="1"/>
  <c r="H3" i="286"/>
  <c r="F24" i="287" l="1"/>
  <c r="H23" i="287" s="1"/>
  <c r="H18" i="287"/>
  <c r="C23" i="287" s="1"/>
  <c r="C30" i="287"/>
  <c r="H21" i="287" s="1"/>
  <c r="F24" i="286"/>
  <c r="H23" i="286" s="1"/>
  <c r="H18" i="286"/>
  <c r="C23" i="286" s="1"/>
  <c r="C30" i="286"/>
  <c r="H21" i="286" s="1"/>
  <c r="F26" i="287" l="1"/>
  <c r="H25" i="287" s="1"/>
  <c r="H27" i="287" s="1"/>
  <c r="H29" i="287" s="1"/>
  <c r="F26" i="286"/>
  <c r="H25" i="286" s="1"/>
  <c r="H27" i="286" s="1"/>
  <c r="H29" i="286" s="1"/>
  <c r="C25" i="285" l="1"/>
  <c r="D12" i="285"/>
  <c r="D18" i="285" s="1"/>
  <c r="C21" i="285" s="1"/>
  <c r="H7" i="285"/>
  <c r="H12" i="285" s="1"/>
  <c r="H3" i="285"/>
  <c r="C25" i="284"/>
  <c r="D12" i="284"/>
  <c r="D18" i="284" s="1"/>
  <c r="C21" i="284" s="1"/>
  <c r="H7" i="284"/>
  <c r="H12" i="284" s="1"/>
  <c r="H3" i="284"/>
  <c r="H7" i="283"/>
  <c r="C25" i="283"/>
  <c r="H12" i="283"/>
  <c r="D12" i="283"/>
  <c r="D18" i="283" s="1"/>
  <c r="C21" i="283" s="1"/>
  <c r="H3" i="283"/>
  <c r="F24" i="285" l="1"/>
  <c r="H23" i="285" s="1"/>
  <c r="H18" i="285"/>
  <c r="C23" i="285" s="1"/>
  <c r="C30" i="285"/>
  <c r="H21" i="285" s="1"/>
  <c r="F24" i="284"/>
  <c r="H23" i="284" s="1"/>
  <c r="H18" i="284"/>
  <c r="C23" i="284" s="1"/>
  <c r="C30" i="284"/>
  <c r="H21" i="284" s="1"/>
  <c r="F24" i="283"/>
  <c r="H23" i="283" s="1"/>
  <c r="H18" i="283"/>
  <c r="C23" i="283" s="1"/>
  <c r="C30" i="283"/>
  <c r="H21" i="283" s="1"/>
  <c r="C25" i="282"/>
  <c r="D12" i="282"/>
  <c r="D18" i="282" s="1"/>
  <c r="C21" i="282" s="1"/>
  <c r="H12" i="282"/>
  <c r="H3" i="282"/>
  <c r="F26" i="285" l="1"/>
  <c r="H25" i="285" s="1"/>
  <c r="H27" i="285" s="1"/>
  <c r="H29" i="285" s="1"/>
  <c r="F26" i="284"/>
  <c r="H25" i="284" s="1"/>
  <c r="H27" i="284" s="1"/>
  <c r="H29" i="284" s="1"/>
  <c r="F26" i="283"/>
  <c r="H25" i="283" s="1"/>
  <c r="H27" i="283" s="1"/>
  <c r="H29" i="283" s="1"/>
  <c r="F24" i="282"/>
  <c r="H23" i="282" s="1"/>
  <c r="H18" i="282"/>
  <c r="C23" i="282" s="1"/>
  <c r="C30" i="282"/>
  <c r="H21" i="282" s="1"/>
  <c r="F26" i="282" l="1"/>
  <c r="H25" i="282" s="1"/>
  <c r="H27" i="282" s="1"/>
  <c r="H29" i="282" s="1"/>
  <c r="F24" i="281" l="1"/>
  <c r="H8" i="281"/>
  <c r="C25" i="281"/>
  <c r="D12" i="281"/>
  <c r="D18" i="281" s="1"/>
  <c r="C21" i="281" s="1"/>
  <c r="H7" i="281"/>
  <c r="H12" i="281" s="1"/>
  <c r="H3" i="281"/>
  <c r="C25" i="280"/>
  <c r="D12" i="280"/>
  <c r="D18" i="280" s="1"/>
  <c r="C21" i="280" s="1"/>
  <c r="H7" i="280"/>
  <c r="H12" i="280" s="1"/>
  <c r="H3" i="280"/>
  <c r="C25" i="279"/>
  <c r="D12" i="279"/>
  <c r="D18" i="279" s="1"/>
  <c r="C21" i="279" s="1"/>
  <c r="H7" i="279"/>
  <c r="H12" i="279" s="1"/>
  <c r="H3" i="279"/>
  <c r="C25" i="278"/>
  <c r="D12" i="278"/>
  <c r="D18" i="278" s="1"/>
  <c r="C21" i="278" s="1"/>
  <c r="H7" i="278"/>
  <c r="H12" i="278" s="1"/>
  <c r="H3" i="278"/>
  <c r="C25" i="277"/>
  <c r="D12" i="277"/>
  <c r="D18" i="277" s="1"/>
  <c r="C21" i="277" s="1"/>
  <c r="H7" i="277"/>
  <c r="H12" i="277" s="1"/>
  <c r="H3" i="277"/>
  <c r="H8" i="276"/>
  <c r="C25" i="276"/>
  <c r="D12" i="276"/>
  <c r="D18" i="276" s="1"/>
  <c r="C21" i="276" s="1"/>
  <c r="H7" i="276"/>
  <c r="H12" i="276" s="1"/>
  <c r="H3" i="276"/>
  <c r="C25" i="275"/>
  <c r="D12" i="275"/>
  <c r="D18" i="275" s="1"/>
  <c r="C21" i="275" s="1"/>
  <c r="H7" i="275"/>
  <c r="H12" i="275" s="1"/>
  <c r="H3" i="275"/>
  <c r="C25" i="274"/>
  <c r="D12" i="274"/>
  <c r="D18" i="274" s="1"/>
  <c r="C21" i="274" s="1"/>
  <c r="H7" i="274"/>
  <c r="H12" i="274" s="1"/>
  <c r="H3" i="274"/>
  <c r="C25" i="273"/>
  <c r="D12" i="273"/>
  <c r="D18" i="273" s="1"/>
  <c r="C21" i="273" s="1"/>
  <c r="H7" i="273"/>
  <c r="H12" i="273" s="1"/>
  <c r="H3" i="273"/>
  <c r="H12" i="272"/>
  <c r="H7" i="272"/>
  <c r="C25" i="272"/>
  <c r="D12" i="272"/>
  <c r="D18" i="272" s="1"/>
  <c r="C21" i="272" s="1"/>
  <c r="H23" i="281" l="1"/>
  <c r="H18" i="281"/>
  <c r="C23" i="281" s="1"/>
  <c r="C30" i="281"/>
  <c r="H21" i="281" s="1"/>
  <c r="F24" i="280"/>
  <c r="H23" i="280" s="1"/>
  <c r="H18" i="280"/>
  <c r="C23" i="280" s="1"/>
  <c r="C30" i="280"/>
  <c r="H21" i="280" s="1"/>
  <c r="F24" i="279"/>
  <c r="H23" i="279" s="1"/>
  <c r="H18" i="279"/>
  <c r="C23" i="279" s="1"/>
  <c r="C30" i="279"/>
  <c r="H21" i="279" s="1"/>
  <c r="F24" i="278"/>
  <c r="H23" i="278" s="1"/>
  <c r="H18" i="278"/>
  <c r="C23" i="278" s="1"/>
  <c r="C30" i="278"/>
  <c r="H21" i="278" s="1"/>
  <c r="F24" i="277"/>
  <c r="H23" i="277" s="1"/>
  <c r="H18" i="277"/>
  <c r="C23" i="277" s="1"/>
  <c r="C30" i="277"/>
  <c r="H21" i="277" s="1"/>
  <c r="F24" i="276"/>
  <c r="H23" i="276" s="1"/>
  <c r="H18" i="276"/>
  <c r="C23" i="276" s="1"/>
  <c r="C30" i="276"/>
  <c r="H21" i="276" s="1"/>
  <c r="F24" i="275"/>
  <c r="H23" i="275" s="1"/>
  <c r="H18" i="275"/>
  <c r="C23" i="275" s="1"/>
  <c r="C30" i="275"/>
  <c r="H21" i="275" s="1"/>
  <c r="F24" i="274"/>
  <c r="H23" i="274" s="1"/>
  <c r="H18" i="274"/>
  <c r="C23" i="274" s="1"/>
  <c r="C30" i="274"/>
  <c r="H21" i="274" s="1"/>
  <c r="F24" i="273"/>
  <c r="H23" i="273" s="1"/>
  <c r="H18" i="273"/>
  <c r="C23" i="273" s="1"/>
  <c r="C30" i="273"/>
  <c r="H21" i="273" s="1"/>
  <c r="H23" i="272"/>
  <c r="H18" i="272"/>
  <c r="C23" i="272" s="1"/>
  <c r="C30" i="272"/>
  <c r="H21" i="272" s="1"/>
  <c r="F26" i="281" l="1"/>
  <c r="H25" i="281" s="1"/>
  <c r="H27" i="281" s="1"/>
  <c r="H29" i="281" s="1"/>
  <c r="F26" i="280"/>
  <c r="H25" i="280" s="1"/>
  <c r="H27" i="280" s="1"/>
  <c r="H29" i="280" s="1"/>
  <c r="F26" i="279"/>
  <c r="H25" i="279" s="1"/>
  <c r="H27" i="279" s="1"/>
  <c r="H29" i="279" s="1"/>
  <c r="F26" i="278"/>
  <c r="H25" i="278" s="1"/>
  <c r="H27" i="278" s="1"/>
  <c r="H29" i="278" s="1"/>
  <c r="F26" i="277"/>
  <c r="H25" i="277" s="1"/>
  <c r="H27" i="277" s="1"/>
  <c r="H29" i="277" s="1"/>
  <c r="F26" i="276"/>
  <c r="H25" i="276" s="1"/>
  <c r="H27" i="276" s="1"/>
  <c r="H29" i="276" s="1"/>
  <c r="F26" i="275"/>
  <c r="H25" i="275" s="1"/>
  <c r="H27" i="275" s="1"/>
  <c r="H29" i="275" s="1"/>
  <c r="F26" i="274"/>
  <c r="H25" i="274" s="1"/>
  <c r="H27" i="274" s="1"/>
  <c r="H29" i="274" s="1"/>
  <c r="F26" i="273"/>
  <c r="H25" i="273" s="1"/>
  <c r="H27" i="273" s="1"/>
  <c r="H29" i="273" s="1"/>
  <c r="F26" i="272"/>
  <c r="H25" i="272" s="1"/>
  <c r="H27" i="272" s="1"/>
  <c r="H29" i="272" s="1"/>
  <c r="C25" i="271" l="1"/>
  <c r="H12" i="271"/>
  <c r="D12" i="271"/>
  <c r="D18" i="271" s="1"/>
  <c r="C21" i="271" s="1"/>
  <c r="H3" i="271"/>
  <c r="C25" i="270"/>
  <c r="D12" i="270"/>
  <c r="D18" i="270" s="1"/>
  <c r="C21" i="270" s="1"/>
  <c r="H12" i="270"/>
  <c r="H3" i="270"/>
  <c r="C25" i="269"/>
  <c r="D12" i="269"/>
  <c r="D18" i="269" s="1"/>
  <c r="C21" i="269" s="1"/>
  <c r="H7" i="269"/>
  <c r="H12" i="269" s="1"/>
  <c r="H3" i="269"/>
  <c r="C25" i="268"/>
  <c r="D12" i="268"/>
  <c r="D18" i="268" s="1"/>
  <c r="C21" i="268" s="1"/>
  <c r="H7" i="268"/>
  <c r="H12" i="268" s="1"/>
  <c r="H3" i="268"/>
  <c r="C25" i="267"/>
  <c r="D12" i="267"/>
  <c r="D18" i="267" s="1"/>
  <c r="C21" i="267" s="1"/>
  <c r="H7" i="267"/>
  <c r="H12" i="267" s="1"/>
  <c r="H3" i="267"/>
  <c r="C25" i="266"/>
  <c r="D12" i="266"/>
  <c r="D18" i="266" s="1"/>
  <c r="C21" i="266" s="1"/>
  <c r="H7" i="266"/>
  <c r="H12" i="266" s="1"/>
  <c r="H3" i="266"/>
  <c r="H8" i="265"/>
  <c r="C25" i="265"/>
  <c r="D12" i="265"/>
  <c r="D18" i="265" s="1"/>
  <c r="C21" i="265" s="1"/>
  <c r="H7" i="265"/>
  <c r="H12" i="265" s="1"/>
  <c r="H3" i="265"/>
  <c r="F24" i="264"/>
  <c r="H3" i="264"/>
  <c r="C25" i="264"/>
  <c r="H23" i="264"/>
  <c r="D12" i="264"/>
  <c r="D18" i="264" s="1"/>
  <c r="C21" i="264" s="1"/>
  <c r="H7" i="264"/>
  <c r="H12" i="264" s="1"/>
  <c r="H18" i="264" s="1"/>
  <c r="C23" i="264" s="1"/>
  <c r="C25" i="263"/>
  <c r="D12" i="263"/>
  <c r="D18" i="263" s="1"/>
  <c r="C21" i="263" s="1"/>
  <c r="H7" i="263"/>
  <c r="H12" i="263" s="1"/>
  <c r="C25" i="262"/>
  <c r="D12" i="262"/>
  <c r="D18" i="262" s="1"/>
  <c r="C21" i="262" s="1"/>
  <c r="H7" i="262"/>
  <c r="H12" i="262" s="1"/>
  <c r="H3" i="262"/>
  <c r="C25" i="261"/>
  <c r="D12" i="261"/>
  <c r="D18" i="261" s="1"/>
  <c r="C21" i="261" s="1"/>
  <c r="H7" i="261"/>
  <c r="H12" i="261" s="1"/>
  <c r="H3" i="261"/>
  <c r="H8" i="260"/>
  <c r="C25" i="260"/>
  <c r="D12" i="260"/>
  <c r="D18" i="260" s="1"/>
  <c r="C21" i="260" s="1"/>
  <c r="H7" i="260"/>
  <c r="H12" i="260" s="1"/>
  <c r="H3" i="260"/>
  <c r="C25" i="259"/>
  <c r="D12" i="259"/>
  <c r="D18" i="259" s="1"/>
  <c r="C21" i="259" s="1"/>
  <c r="H7" i="259"/>
  <c r="H12" i="259" s="1"/>
  <c r="H3" i="259"/>
  <c r="C25" i="258"/>
  <c r="D12" i="258"/>
  <c r="D18" i="258" s="1"/>
  <c r="C21" i="258" s="1"/>
  <c r="H7" i="258"/>
  <c r="H12" i="258" s="1"/>
  <c r="H3" i="258"/>
  <c r="F24" i="271" l="1"/>
  <c r="H23" i="271" s="1"/>
  <c r="H18" i="271"/>
  <c r="C23" i="271" s="1"/>
  <c r="C30" i="271"/>
  <c r="H21" i="271" s="1"/>
  <c r="F24" i="270"/>
  <c r="H23" i="270" s="1"/>
  <c r="H18" i="270"/>
  <c r="C23" i="270" s="1"/>
  <c r="C30" i="270"/>
  <c r="H21" i="270" s="1"/>
  <c r="F24" i="269"/>
  <c r="H23" i="269" s="1"/>
  <c r="H18" i="269"/>
  <c r="C23" i="269" s="1"/>
  <c r="C30" i="269"/>
  <c r="H21" i="269" s="1"/>
  <c r="F24" i="268"/>
  <c r="H23" i="268" s="1"/>
  <c r="H18" i="268"/>
  <c r="C23" i="268" s="1"/>
  <c r="C30" i="268"/>
  <c r="H21" i="268" s="1"/>
  <c r="F24" i="267"/>
  <c r="H23" i="267" s="1"/>
  <c r="H18" i="267"/>
  <c r="C23" i="267" s="1"/>
  <c r="C30" i="267"/>
  <c r="H21" i="267" s="1"/>
  <c r="F24" i="266"/>
  <c r="H23" i="266" s="1"/>
  <c r="H18" i="266"/>
  <c r="C23" i="266" s="1"/>
  <c r="C30" i="266"/>
  <c r="H21" i="266" s="1"/>
  <c r="F24" i="265"/>
  <c r="H23" i="265" s="1"/>
  <c r="H18" i="265"/>
  <c r="C23" i="265" s="1"/>
  <c r="C30" i="265"/>
  <c r="H21" i="265" s="1"/>
  <c r="C30" i="264"/>
  <c r="H21" i="264" s="1"/>
  <c r="H23" i="263"/>
  <c r="H18" i="263"/>
  <c r="C23" i="263" s="1"/>
  <c r="C30" i="263"/>
  <c r="H21" i="263" s="1"/>
  <c r="F24" i="262"/>
  <c r="H23" i="262" s="1"/>
  <c r="H18" i="262"/>
  <c r="C23" i="262" s="1"/>
  <c r="C30" i="262"/>
  <c r="H21" i="262" s="1"/>
  <c r="F24" i="261"/>
  <c r="H23" i="261" s="1"/>
  <c r="H18" i="261"/>
  <c r="C23" i="261" s="1"/>
  <c r="C30" i="261"/>
  <c r="H21" i="261" s="1"/>
  <c r="F24" i="260"/>
  <c r="H23" i="260" s="1"/>
  <c r="H18" i="260"/>
  <c r="C23" i="260" s="1"/>
  <c r="C30" i="260"/>
  <c r="H21" i="260" s="1"/>
  <c r="F24" i="259"/>
  <c r="H23" i="259" s="1"/>
  <c r="H18" i="259"/>
  <c r="C23" i="259" s="1"/>
  <c r="C30" i="259"/>
  <c r="H21" i="259" s="1"/>
  <c r="F24" i="258"/>
  <c r="H23" i="258" s="1"/>
  <c r="H18" i="258"/>
  <c r="C23" i="258" s="1"/>
  <c r="C30" i="258"/>
  <c r="H21" i="258" s="1"/>
  <c r="C25" i="257"/>
  <c r="D12" i="257"/>
  <c r="D18" i="257" s="1"/>
  <c r="C21" i="257" s="1"/>
  <c r="H7" i="257"/>
  <c r="H12" i="257" s="1"/>
  <c r="H3" i="257"/>
  <c r="C25" i="256"/>
  <c r="D12" i="256"/>
  <c r="D18" i="256" s="1"/>
  <c r="C21" i="256" s="1"/>
  <c r="H7" i="256"/>
  <c r="H12" i="256" s="1"/>
  <c r="H3" i="256"/>
  <c r="C25" i="255"/>
  <c r="D12" i="255"/>
  <c r="D18" i="255" s="1"/>
  <c r="C21" i="255" s="1"/>
  <c r="H7" i="255"/>
  <c r="H12" i="255" s="1"/>
  <c r="H3" i="255"/>
  <c r="C25" i="254"/>
  <c r="D12" i="254"/>
  <c r="D18" i="254" s="1"/>
  <c r="C21" i="254" s="1"/>
  <c r="H7" i="254"/>
  <c r="H12" i="254" s="1"/>
  <c r="H3" i="254"/>
  <c r="C25" i="253"/>
  <c r="D12" i="253"/>
  <c r="D18" i="253" s="1"/>
  <c r="C21" i="253" s="1"/>
  <c r="H7" i="253"/>
  <c r="H12" i="253" s="1"/>
  <c r="H3" i="253"/>
  <c r="C25" i="252"/>
  <c r="D12" i="252"/>
  <c r="D18" i="252" s="1"/>
  <c r="C21" i="252" s="1"/>
  <c r="H7" i="252"/>
  <c r="H12" i="252" s="1"/>
  <c r="H3" i="252"/>
  <c r="C19" i="251"/>
  <c r="D10" i="251"/>
  <c r="D12" i="251" s="1"/>
  <c r="C15" i="251" s="1"/>
  <c r="H8" i="251"/>
  <c r="H10" i="251" s="1"/>
  <c r="H3" i="251"/>
  <c r="F26" i="271" l="1"/>
  <c r="H25" i="271" s="1"/>
  <c r="H27" i="271" s="1"/>
  <c r="H29" i="271" s="1"/>
  <c r="F26" i="270"/>
  <c r="H25" i="270" s="1"/>
  <c r="H27" i="270" s="1"/>
  <c r="H29" i="270" s="1"/>
  <c r="F26" i="269"/>
  <c r="H25" i="269" s="1"/>
  <c r="H27" i="269" s="1"/>
  <c r="H29" i="269" s="1"/>
  <c r="F26" i="268"/>
  <c r="H25" i="268" s="1"/>
  <c r="H27" i="268" s="1"/>
  <c r="H29" i="268" s="1"/>
  <c r="F26" i="267"/>
  <c r="H25" i="267" s="1"/>
  <c r="H27" i="267" s="1"/>
  <c r="H29" i="267" s="1"/>
  <c r="F26" i="266"/>
  <c r="H25" i="266" s="1"/>
  <c r="H27" i="266" s="1"/>
  <c r="H29" i="266" s="1"/>
  <c r="F26" i="265"/>
  <c r="H25" i="265" s="1"/>
  <c r="H27" i="265" s="1"/>
  <c r="H29" i="265" s="1"/>
  <c r="F26" i="264"/>
  <c r="H25" i="264" s="1"/>
  <c r="H27" i="264" s="1"/>
  <c r="H29" i="264" s="1"/>
  <c r="F26" i="263"/>
  <c r="H25" i="263" s="1"/>
  <c r="H27" i="263" s="1"/>
  <c r="H29" i="263" s="1"/>
  <c r="F26" i="262"/>
  <c r="H25" i="262" s="1"/>
  <c r="H27" i="262" s="1"/>
  <c r="H29" i="262" s="1"/>
  <c r="F26" i="261"/>
  <c r="H25" i="261" s="1"/>
  <c r="H27" i="261" s="1"/>
  <c r="H29" i="261" s="1"/>
  <c r="F26" i="260"/>
  <c r="H25" i="260" s="1"/>
  <c r="H27" i="260" s="1"/>
  <c r="H29" i="260" s="1"/>
  <c r="F26" i="259"/>
  <c r="H25" i="259" s="1"/>
  <c r="H27" i="259" s="1"/>
  <c r="H29" i="259" s="1"/>
  <c r="F26" i="258"/>
  <c r="H25" i="258" s="1"/>
  <c r="H27" i="258" s="1"/>
  <c r="H29" i="258" s="1"/>
  <c r="F24" i="257"/>
  <c r="H23" i="257" s="1"/>
  <c r="H18" i="257"/>
  <c r="C23" i="257" s="1"/>
  <c r="C30" i="257"/>
  <c r="H21" i="257" s="1"/>
  <c r="F24" i="256"/>
  <c r="H23" i="256" s="1"/>
  <c r="H18" i="256"/>
  <c r="C23" i="256" s="1"/>
  <c r="C30" i="256"/>
  <c r="H21" i="256" s="1"/>
  <c r="F24" i="255"/>
  <c r="H23" i="255" s="1"/>
  <c r="H18" i="255"/>
  <c r="C23" i="255" s="1"/>
  <c r="C30" i="255"/>
  <c r="H21" i="255" s="1"/>
  <c r="F24" i="254"/>
  <c r="H23" i="254" s="1"/>
  <c r="H18" i="254"/>
  <c r="C23" i="254" s="1"/>
  <c r="C30" i="254"/>
  <c r="H21" i="254" s="1"/>
  <c r="F24" i="253"/>
  <c r="H23" i="253" s="1"/>
  <c r="H18" i="253"/>
  <c r="C23" i="253" s="1"/>
  <c r="C30" i="253"/>
  <c r="H21" i="253" s="1"/>
  <c r="F24" i="252"/>
  <c r="H23" i="252" s="1"/>
  <c r="H18" i="252"/>
  <c r="C23" i="252" s="1"/>
  <c r="C30" i="252"/>
  <c r="H21" i="252" s="1"/>
  <c r="F18" i="251"/>
  <c r="H17" i="251" s="1"/>
  <c r="H12" i="251"/>
  <c r="C17" i="251" s="1"/>
  <c r="C24" i="251"/>
  <c r="H15" i="251" s="1"/>
  <c r="F26" i="257" l="1"/>
  <c r="H25" i="257" s="1"/>
  <c r="H27" i="257" s="1"/>
  <c r="H29" i="257" s="1"/>
  <c r="F26" i="256"/>
  <c r="H25" i="256" s="1"/>
  <c r="H27" i="256" s="1"/>
  <c r="H29" i="256" s="1"/>
  <c r="F26" i="255"/>
  <c r="H25" i="255" s="1"/>
  <c r="H27" i="255" s="1"/>
  <c r="H29" i="255" s="1"/>
  <c r="F26" i="254"/>
  <c r="H25" i="254" s="1"/>
  <c r="H27" i="254" s="1"/>
  <c r="H29" i="254" s="1"/>
  <c r="F26" i="253"/>
  <c r="H25" i="253" s="1"/>
  <c r="H27" i="253" s="1"/>
  <c r="H29" i="253" s="1"/>
  <c r="F26" i="252"/>
  <c r="H25" i="252" s="1"/>
  <c r="H27" i="252" s="1"/>
  <c r="H29" i="252" s="1"/>
  <c r="F20" i="251"/>
  <c r="H19" i="251" s="1"/>
  <c r="H21" i="251" s="1"/>
  <c r="H23" i="251" s="1"/>
  <c r="C25" i="250" l="1"/>
  <c r="D12" i="250"/>
  <c r="D18" i="250" s="1"/>
  <c r="C21" i="250" s="1"/>
  <c r="H7" i="250"/>
  <c r="H12" i="250" s="1"/>
  <c r="H3" i="250"/>
  <c r="H3" i="249"/>
  <c r="C25" i="249"/>
  <c r="F24" i="249"/>
  <c r="H23" i="249"/>
  <c r="D12" i="249"/>
  <c r="D18" i="249" s="1"/>
  <c r="C21" i="249" s="1"/>
  <c r="H7" i="249"/>
  <c r="H12" i="249" s="1"/>
  <c r="H18" i="249" s="1"/>
  <c r="C23" i="249" s="1"/>
  <c r="H7" i="248"/>
  <c r="C25" i="248"/>
  <c r="F24" i="248"/>
  <c r="H23" i="248"/>
  <c r="H12" i="248"/>
  <c r="H18" i="248" s="1"/>
  <c r="C23" i="248" s="1"/>
  <c r="D12" i="248"/>
  <c r="D18" i="248" s="1"/>
  <c r="C21" i="248" s="1"/>
  <c r="C30" i="248" s="1"/>
  <c r="H21" i="248" s="1"/>
  <c r="C25" i="247"/>
  <c r="F24" i="247"/>
  <c r="H23" i="247"/>
  <c r="H12" i="247"/>
  <c r="H18" i="247" s="1"/>
  <c r="C23" i="247" s="1"/>
  <c r="D12" i="247"/>
  <c r="D18" i="247" s="1"/>
  <c r="C21" i="247" s="1"/>
  <c r="C30" i="247" s="1"/>
  <c r="H21" i="247" s="1"/>
  <c r="C25" i="246"/>
  <c r="F24" i="246"/>
  <c r="H23" i="246"/>
  <c r="H12" i="246"/>
  <c r="H18" i="246" s="1"/>
  <c r="C23" i="246" s="1"/>
  <c r="D12" i="246"/>
  <c r="D18" i="246" s="1"/>
  <c r="C21" i="246" s="1"/>
  <c r="C30" i="246" s="1"/>
  <c r="H21" i="246" s="1"/>
  <c r="F24" i="250" l="1"/>
  <c r="H23" i="250" s="1"/>
  <c r="H18" i="250"/>
  <c r="C23" i="250" s="1"/>
  <c r="C30" i="250"/>
  <c r="H21" i="250" s="1"/>
  <c r="C30" i="249"/>
  <c r="H21" i="249" s="1"/>
  <c r="F26" i="248"/>
  <c r="H25" i="248" s="1"/>
  <c r="H27" i="248" s="1"/>
  <c r="H29" i="248" s="1"/>
  <c r="F26" i="247"/>
  <c r="H25" i="247" s="1"/>
  <c r="H27" i="247" s="1"/>
  <c r="H29" i="247" s="1"/>
  <c r="F26" i="246"/>
  <c r="H25" i="246" s="1"/>
  <c r="H27" i="246" s="1"/>
  <c r="H29" i="246" s="1"/>
  <c r="F26" i="250" l="1"/>
  <c r="H25" i="250" s="1"/>
  <c r="H27" i="250" s="1"/>
  <c r="H29" i="250" s="1"/>
  <c r="F26" i="249"/>
  <c r="H25" i="249" s="1"/>
  <c r="H27" i="249" s="1"/>
  <c r="H29" i="249" s="1"/>
  <c r="C25" i="245"/>
  <c r="F24" i="245"/>
  <c r="H23" i="245"/>
  <c r="H12" i="245"/>
  <c r="H18" i="245" s="1"/>
  <c r="C23" i="245" s="1"/>
  <c r="D12" i="245"/>
  <c r="D18" i="245" s="1"/>
  <c r="C21" i="245" s="1"/>
  <c r="C30" i="245" s="1"/>
  <c r="H21" i="245" s="1"/>
  <c r="F26" i="245" l="1"/>
  <c r="H25" i="245" s="1"/>
  <c r="H27" i="245" s="1"/>
  <c r="H29" i="245" s="1"/>
  <c r="C25" i="244" l="1"/>
  <c r="F24" i="244"/>
  <c r="H23" i="244"/>
  <c r="H12" i="244"/>
  <c r="H18" i="244" s="1"/>
  <c r="C23" i="244" s="1"/>
  <c r="D12" i="244"/>
  <c r="D18" i="244" s="1"/>
  <c r="C21" i="244" s="1"/>
  <c r="C30" i="244" s="1"/>
  <c r="H21" i="244" s="1"/>
  <c r="F26" i="244" l="1"/>
  <c r="H25" i="244" s="1"/>
  <c r="H27" i="244" s="1"/>
  <c r="H29" i="244" s="1"/>
  <c r="C24" i="243" l="1"/>
  <c r="F23" i="243"/>
  <c r="H22" i="243"/>
  <c r="H11" i="243"/>
  <c r="H17" i="243" s="1"/>
  <c r="C22" i="243" s="1"/>
  <c r="D11" i="243"/>
  <c r="D17" i="243" s="1"/>
  <c r="C20" i="243" s="1"/>
  <c r="C29" i="243" s="1"/>
  <c r="H20" i="243" s="1"/>
  <c r="C24" i="242"/>
  <c r="F23" i="242"/>
  <c r="H22" i="242"/>
  <c r="H11" i="242"/>
  <c r="H17" i="242" s="1"/>
  <c r="C22" i="242" s="1"/>
  <c r="D11" i="242"/>
  <c r="D17" i="242" s="1"/>
  <c r="C20" i="242" s="1"/>
  <c r="C29" i="242" s="1"/>
  <c r="H20" i="242" s="1"/>
  <c r="C24" i="241"/>
  <c r="F23" i="241"/>
  <c r="H22" i="241"/>
  <c r="H11" i="241"/>
  <c r="H17" i="241" s="1"/>
  <c r="C22" i="241" s="1"/>
  <c r="D11" i="241"/>
  <c r="D17" i="241" s="1"/>
  <c r="C20" i="241" s="1"/>
  <c r="C29" i="241" s="1"/>
  <c r="H20" i="241" s="1"/>
  <c r="C24" i="240"/>
  <c r="F23" i="240"/>
  <c r="H22" i="240"/>
  <c r="H11" i="240"/>
  <c r="H17" i="240" s="1"/>
  <c r="C22" i="240" s="1"/>
  <c r="D11" i="240"/>
  <c r="D17" i="240" s="1"/>
  <c r="C20" i="240" s="1"/>
  <c r="C29" i="240" s="1"/>
  <c r="H20" i="240" s="1"/>
  <c r="F25" i="243" l="1"/>
  <c r="H24" i="243" s="1"/>
  <c r="H26" i="243" s="1"/>
  <c r="H28" i="243" s="1"/>
  <c r="F25" i="242"/>
  <c r="H24" i="242" s="1"/>
  <c r="H26" i="242" s="1"/>
  <c r="H28" i="242" s="1"/>
  <c r="F25" i="241"/>
  <c r="H24" i="241" s="1"/>
  <c r="H26" i="241" s="1"/>
  <c r="H28" i="241" s="1"/>
  <c r="F25" i="240"/>
  <c r="H24" i="240" s="1"/>
  <c r="H26" i="240" s="1"/>
  <c r="H28" i="240" s="1"/>
  <c r="C24" i="239" l="1"/>
  <c r="F23" i="239"/>
  <c r="H22" i="239"/>
  <c r="H11" i="239"/>
  <c r="H17" i="239" s="1"/>
  <c r="C22" i="239" s="1"/>
  <c r="D11" i="239"/>
  <c r="D17" i="239" s="1"/>
  <c r="C20" i="239" s="1"/>
  <c r="C29" i="239" s="1"/>
  <c r="H20" i="239" s="1"/>
  <c r="F25" i="239" l="1"/>
  <c r="H24" i="239" s="1"/>
  <c r="H26" i="239" s="1"/>
  <c r="H28" i="239" s="1"/>
  <c r="C24" i="238"/>
  <c r="F23" i="238"/>
  <c r="H22" i="238"/>
  <c r="H11" i="238"/>
  <c r="H17" i="238" s="1"/>
  <c r="C22" i="238" s="1"/>
  <c r="D11" i="238"/>
  <c r="D17" i="238" s="1"/>
  <c r="C20" i="238" s="1"/>
  <c r="C29" i="238" s="1"/>
  <c r="H20" i="238" s="1"/>
  <c r="C24" i="237"/>
  <c r="F23" i="237"/>
  <c r="H22" i="237"/>
  <c r="H11" i="237"/>
  <c r="H17" i="237" s="1"/>
  <c r="C22" i="237" s="1"/>
  <c r="D11" i="237"/>
  <c r="D17" i="237" s="1"/>
  <c r="C20" i="237" s="1"/>
  <c r="C29" i="237" s="1"/>
  <c r="H20" i="237" s="1"/>
  <c r="F25" i="238" l="1"/>
  <c r="H24" i="238" s="1"/>
  <c r="H26" i="238" s="1"/>
  <c r="H28" i="238" s="1"/>
  <c r="F25" i="237"/>
  <c r="H24" i="237" s="1"/>
  <c r="H26" i="237" s="1"/>
  <c r="H28" i="237" s="1"/>
  <c r="C24" i="236"/>
  <c r="F23" i="236"/>
  <c r="H22" i="236"/>
  <c r="H11" i="236"/>
  <c r="H17" i="236" s="1"/>
  <c r="C22" i="236" s="1"/>
  <c r="D11" i="236"/>
  <c r="D17" i="236" s="1"/>
  <c r="C20" i="236" s="1"/>
  <c r="C29" i="236" s="1"/>
  <c r="H20" i="236" s="1"/>
  <c r="F25" i="236" l="1"/>
  <c r="H24" i="236" s="1"/>
  <c r="H26" i="236" s="1"/>
  <c r="H28" i="236" s="1"/>
  <c r="C24" i="235" l="1"/>
  <c r="F23" i="235"/>
  <c r="H22" i="235"/>
  <c r="H11" i="235"/>
  <c r="H17" i="235" s="1"/>
  <c r="C22" i="235" s="1"/>
  <c r="D11" i="235"/>
  <c r="D17" i="235" s="1"/>
  <c r="C20" i="235" s="1"/>
  <c r="C29" i="235" s="1"/>
  <c r="H20" i="235" s="1"/>
  <c r="F25" i="235" l="1"/>
  <c r="H24" i="235" s="1"/>
  <c r="H26" i="235" s="1"/>
  <c r="H28" i="235" s="1"/>
  <c r="C24" i="234"/>
  <c r="F23" i="234"/>
  <c r="H22" i="234"/>
  <c r="H11" i="234"/>
  <c r="H17" i="234" s="1"/>
  <c r="C22" i="234" s="1"/>
  <c r="D11" i="234"/>
  <c r="D17" i="234" s="1"/>
  <c r="C20" i="234" s="1"/>
  <c r="C29" i="234" s="1"/>
  <c r="H20" i="234" s="1"/>
  <c r="C24" i="233"/>
  <c r="F23" i="233"/>
  <c r="H22" i="233"/>
  <c r="H11" i="233"/>
  <c r="H17" i="233" s="1"/>
  <c r="C22" i="233" s="1"/>
  <c r="D11" i="233"/>
  <c r="D17" i="233" s="1"/>
  <c r="C20" i="233" s="1"/>
  <c r="C29" i="233" s="1"/>
  <c r="H20" i="233" s="1"/>
  <c r="F23" i="232"/>
  <c r="C24" i="232"/>
  <c r="H22" i="232"/>
  <c r="H11" i="232"/>
  <c r="H17" i="232" s="1"/>
  <c r="C22" i="232" s="1"/>
  <c r="D11" i="232"/>
  <c r="D17" i="232" s="1"/>
  <c r="C20" i="232" s="1"/>
  <c r="C29" i="232" s="1"/>
  <c r="H20" i="232" s="1"/>
  <c r="C24" i="231"/>
  <c r="H22" i="231"/>
  <c r="H11" i="231"/>
  <c r="H17" i="231" s="1"/>
  <c r="C22" i="231" s="1"/>
  <c r="D11" i="231"/>
  <c r="D17" i="231" s="1"/>
  <c r="C20" i="231" s="1"/>
  <c r="C29" i="231" s="1"/>
  <c r="H20" i="231" s="1"/>
  <c r="F25" i="234" l="1"/>
  <c r="H24" i="234" s="1"/>
  <c r="H26" i="234" s="1"/>
  <c r="H28" i="234" s="1"/>
  <c r="F25" i="233"/>
  <c r="H24" i="233" s="1"/>
  <c r="H26" i="233" s="1"/>
  <c r="H28" i="233" s="1"/>
  <c r="F25" i="232"/>
  <c r="H24" i="232" s="1"/>
  <c r="H26" i="232" s="1"/>
  <c r="H28" i="232" s="1"/>
  <c r="F25" i="231"/>
  <c r="H24" i="231" s="1"/>
  <c r="H26" i="231" s="1"/>
  <c r="H28" i="231" s="1"/>
  <c r="C24" i="230" l="1"/>
  <c r="F23" i="230"/>
  <c r="H22" i="230"/>
  <c r="H11" i="230"/>
  <c r="H17" i="230" s="1"/>
  <c r="C22" i="230" s="1"/>
  <c r="D11" i="230"/>
  <c r="D17" i="230" s="1"/>
  <c r="C20" i="230" s="1"/>
  <c r="C29" i="230" s="1"/>
  <c r="H20" i="230" s="1"/>
  <c r="F23" i="229"/>
  <c r="C24" i="229"/>
  <c r="H22" i="229"/>
  <c r="H11" i="229"/>
  <c r="H17" i="229" s="1"/>
  <c r="C22" i="229" s="1"/>
  <c r="D11" i="229"/>
  <c r="D17" i="229" s="1"/>
  <c r="C20" i="229" s="1"/>
  <c r="C29" i="229" s="1"/>
  <c r="H20" i="229" s="1"/>
  <c r="F25" i="230" l="1"/>
  <c r="H24" i="230" s="1"/>
  <c r="H26" i="230" s="1"/>
  <c r="H28" i="230" s="1"/>
  <c r="F25" i="229"/>
  <c r="H24" i="229" s="1"/>
  <c r="H26" i="229" s="1"/>
  <c r="H28" i="229" s="1"/>
  <c r="C24" i="228"/>
  <c r="H22" i="228"/>
  <c r="H11" i="228"/>
  <c r="H17" i="228" s="1"/>
  <c r="C22" i="228" s="1"/>
  <c r="D11" i="228"/>
  <c r="D17" i="228" s="1"/>
  <c r="C20" i="228" s="1"/>
  <c r="C29" i="228" s="1"/>
  <c r="H20" i="228" s="1"/>
  <c r="F23" i="227"/>
  <c r="C24" i="227"/>
  <c r="H22" i="227"/>
  <c r="H11" i="227"/>
  <c r="H17" i="227" s="1"/>
  <c r="C22" i="227" s="1"/>
  <c r="D11" i="227"/>
  <c r="D17" i="227" s="1"/>
  <c r="C20" i="227" s="1"/>
  <c r="C29" i="227" s="1"/>
  <c r="H20" i="227" s="1"/>
  <c r="C24" i="226"/>
  <c r="H22" i="226"/>
  <c r="H11" i="226"/>
  <c r="H17" i="226" s="1"/>
  <c r="C22" i="226" s="1"/>
  <c r="D11" i="226"/>
  <c r="D17" i="226" s="1"/>
  <c r="C20" i="226" s="1"/>
  <c r="C29" i="226" s="1"/>
  <c r="H20" i="226" s="1"/>
  <c r="C24" i="224"/>
  <c r="F23" i="224"/>
  <c r="H22" i="224"/>
  <c r="H11" i="224"/>
  <c r="H17" i="224" s="1"/>
  <c r="C22" i="224" s="1"/>
  <c r="D11" i="224"/>
  <c r="D17" i="224" s="1"/>
  <c r="C20" i="224" s="1"/>
  <c r="C29" i="224" s="1"/>
  <c r="H20" i="224" s="1"/>
  <c r="C23" i="225"/>
  <c r="F22" i="225"/>
  <c r="H21" i="225"/>
  <c r="H10" i="225"/>
  <c r="H16" i="225" s="1"/>
  <c r="C21" i="225" s="1"/>
  <c r="D10" i="225"/>
  <c r="D16" i="225" s="1"/>
  <c r="C19" i="225" s="1"/>
  <c r="C28" i="225" s="1"/>
  <c r="H19" i="225" s="1"/>
  <c r="C23" i="223"/>
  <c r="F22" i="223"/>
  <c r="H21" i="223"/>
  <c r="H10" i="223"/>
  <c r="H16" i="223" s="1"/>
  <c r="C21" i="223" s="1"/>
  <c r="D10" i="223"/>
  <c r="D16" i="223" s="1"/>
  <c r="C19" i="223" s="1"/>
  <c r="C28" i="223" s="1"/>
  <c r="H19" i="223" s="1"/>
  <c r="C23" i="222"/>
  <c r="F22" i="222"/>
  <c r="H21" i="222"/>
  <c r="H10" i="222"/>
  <c r="H16" i="222" s="1"/>
  <c r="C21" i="222" s="1"/>
  <c r="D10" i="222"/>
  <c r="D16" i="222" s="1"/>
  <c r="C19" i="222" s="1"/>
  <c r="C28" i="222" s="1"/>
  <c r="H19" i="222" s="1"/>
  <c r="F25" i="228" l="1"/>
  <c r="H24" i="228" s="1"/>
  <c r="H26" i="228" s="1"/>
  <c r="H28" i="228" s="1"/>
  <c r="F25" i="227"/>
  <c r="H24" i="227" s="1"/>
  <c r="H26" i="227" s="1"/>
  <c r="H28" i="227" s="1"/>
  <c r="F25" i="226"/>
  <c r="H24" i="226" s="1"/>
  <c r="H26" i="226" s="1"/>
  <c r="H28" i="226" s="1"/>
  <c r="F25" i="224"/>
  <c r="H24" i="224" s="1"/>
  <c r="H26" i="224" s="1"/>
  <c r="H28" i="224" s="1"/>
  <c r="F24" i="225"/>
  <c r="H23" i="225" s="1"/>
  <c r="H25" i="225" s="1"/>
  <c r="H27" i="225" s="1"/>
  <c r="F24" i="223"/>
  <c r="H23" i="223" s="1"/>
  <c r="H25" i="223" s="1"/>
  <c r="H27" i="223" s="1"/>
  <c r="F24" i="222"/>
  <c r="H23" i="222" s="1"/>
  <c r="H25" i="222" s="1"/>
  <c r="H27" i="222" s="1"/>
  <c r="C23" i="221" l="1"/>
  <c r="F22" i="221"/>
  <c r="H21" i="221"/>
  <c r="H10" i="221"/>
  <c r="H16" i="221" s="1"/>
  <c r="C21" i="221" s="1"/>
  <c r="D10" i="221"/>
  <c r="D16" i="221" s="1"/>
  <c r="C19" i="221" s="1"/>
  <c r="C28" i="221" s="1"/>
  <c r="H19" i="221" s="1"/>
  <c r="F24" i="221" l="1"/>
  <c r="H23" i="221" s="1"/>
  <c r="H25" i="221" s="1"/>
  <c r="H27" i="221" s="1"/>
  <c r="C23" i="220"/>
  <c r="F22" i="220"/>
  <c r="H21" i="220"/>
  <c r="H10" i="220"/>
  <c r="H16" i="220" s="1"/>
  <c r="C21" i="220" s="1"/>
  <c r="D10" i="220"/>
  <c r="D16" i="220" s="1"/>
  <c r="C19" i="220" s="1"/>
  <c r="C28" i="220" s="1"/>
  <c r="H19" i="220" s="1"/>
  <c r="C23" i="219"/>
  <c r="F22" i="219"/>
  <c r="H21" i="219"/>
  <c r="H10" i="219"/>
  <c r="H16" i="219" s="1"/>
  <c r="C21" i="219" s="1"/>
  <c r="D10" i="219"/>
  <c r="D16" i="219" s="1"/>
  <c r="C19" i="219" s="1"/>
  <c r="C28" i="219" s="1"/>
  <c r="H19" i="219" s="1"/>
  <c r="F24" i="220" l="1"/>
  <c r="H23" i="220" s="1"/>
  <c r="H25" i="220" s="1"/>
  <c r="H27" i="220" s="1"/>
  <c r="F24" i="219"/>
  <c r="H23" i="219" s="1"/>
  <c r="H25" i="219" s="1"/>
  <c r="H27" i="219" s="1"/>
  <c r="C23" i="218"/>
  <c r="F22" i="218"/>
  <c r="H21" i="218"/>
  <c r="H10" i="218"/>
  <c r="H16" i="218" s="1"/>
  <c r="C21" i="218" s="1"/>
  <c r="D10" i="218"/>
  <c r="D16" i="218" s="1"/>
  <c r="C19" i="218" s="1"/>
  <c r="C28" i="218" s="1"/>
  <c r="H19" i="218" s="1"/>
  <c r="C23" i="217"/>
  <c r="F22" i="217"/>
  <c r="H21" i="217"/>
  <c r="H10" i="217"/>
  <c r="H16" i="217" s="1"/>
  <c r="C21" i="217" s="1"/>
  <c r="D10" i="217"/>
  <c r="D16" i="217" s="1"/>
  <c r="C19" i="217" s="1"/>
  <c r="C28" i="217" s="1"/>
  <c r="H19" i="217" s="1"/>
  <c r="F22" i="216"/>
  <c r="C23" i="216"/>
  <c r="H21" i="216"/>
  <c r="H10" i="216"/>
  <c r="H16" i="216" s="1"/>
  <c r="C21" i="216" s="1"/>
  <c r="D10" i="216"/>
  <c r="D16" i="216" s="1"/>
  <c r="C19" i="216" s="1"/>
  <c r="C28" i="216" s="1"/>
  <c r="H19" i="216" s="1"/>
  <c r="F24" i="218" l="1"/>
  <c r="H23" i="218" s="1"/>
  <c r="H25" i="218" s="1"/>
  <c r="H27" i="218" s="1"/>
  <c r="F24" i="217"/>
  <c r="H23" i="217" s="1"/>
  <c r="H25" i="217" s="1"/>
  <c r="H27" i="217" s="1"/>
  <c r="F24" i="216"/>
  <c r="H23" i="216" s="1"/>
  <c r="H25" i="216" s="1"/>
  <c r="H27" i="216" s="1"/>
  <c r="C28" i="215"/>
  <c r="H26" i="215"/>
  <c r="H15" i="215"/>
  <c r="H21" i="215" s="1"/>
  <c r="C26" i="215" s="1"/>
  <c r="D15" i="215"/>
  <c r="D21" i="215" s="1"/>
  <c r="C24" i="215" s="1"/>
  <c r="C33" i="215" s="1"/>
  <c r="H24" i="215" s="1"/>
  <c r="C28" i="214"/>
  <c r="F27" i="214"/>
  <c r="H26" i="214"/>
  <c r="H15" i="214"/>
  <c r="H21" i="214" s="1"/>
  <c r="C26" i="214" s="1"/>
  <c r="D15" i="214"/>
  <c r="D21" i="214" s="1"/>
  <c r="C24" i="214" s="1"/>
  <c r="C33" i="214" s="1"/>
  <c r="H24" i="214" s="1"/>
  <c r="C28" i="213"/>
  <c r="F27" i="213"/>
  <c r="H26" i="213"/>
  <c r="H15" i="213"/>
  <c r="H21" i="213" s="1"/>
  <c r="C26" i="213" s="1"/>
  <c r="D15" i="213"/>
  <c r="D21" i="213" s="1"/>
  <c r="C24" i="213" s="1"/>
  <c r="C33" i="213" s="1"/>
  <c r="H24" i="213" s="1"/>
  <c r="F29" i="215" l="1"/>
  <c r="H28" i="215" s="1"/>
  <c r="H30" i="215" s="1"/>
  <c r="H32" i="215" s="1"/>
  <c r="F29" i="214"/>
  <c r="H28" i="214" s="1"/>
  <c r="H30" i="214" s="1"/>
  <c r="H32" i="214" s="1"/>
  <c r="F29" i="213"/>
  <c r="H28" i="213" s="1"/>
  <c r="H30" i="213" s="1"/>
  <c r="H32" i="213" s="1"/>
  <c r="C28" i="212"/>
  <c r="F27" i="212"/>
  <c r="H26" i="212"/>
  <c r="H15" i="212"/>
  <c r="H21" i="212" s="1"/>
  <c r="C26" i="212" s="1"/>
  <c r="D15" i="212"/>
  <c r="D21" i="212" s="1"/>
  <c r="C24" i="212" s="1"/>
  <c r="C33" i="212" s="1"/>
  <c r="H24" i="212" s="1"/>
  <c r="C28" i="211"/>
  <c r="F27" i="211"/>
  <c r="H26" i="211"/>
  <c r="H15" i="211"/>
  <c r="H21" i="211" s="1"/>
  <c r="C26" i="211" s="1"/>
  <c r="D15" i="211"/>
  <c r="D21" i="211" s="1"/>
  <c r="C24" i="211" s="1"/>
  <c r="C33" i="211" s="1"/>
  <c r="H24" i="211" s="1"/>
  <c r="F29" i="212" l="1"/>
  <c r="H28" i="212" s="1"/>
  <c r="H30" i="212" s="1"/>
  <c r="H32" i="212" s="1"/>
  <c r="F29" i="211"/>
  <c r="H28" i="211" s="1"/>
  <c r="H30" i="211" s="1"/>
  <c r="H32" i="211" s="1"/>
  <c r="C28" i="210"/>
  <c r="F27" i="210"/>
  <c r="H26" i="210"/>
  <c r="H15" i="210"/>
  <c r="H21" i="210" s="1"/>
  <c r="C26" i="210" s="1"/>
  <c r="D15" i="210"/>
  <c r="D21" i="210" s="1"/>
  <c r="C24" i="210" s="1"/>
  <c r="C33" i="210" s="1"/>
  <c r="H24" i="210" s="1"/>
  <c r="F29" i="210" l="1"/>
  <c r="H28" i="210" s="1"/>
  <c r="H30" i="210" s="1"/>
  <c r="H32" i="210" s="1"/>
  <c r="F25" i="209"/>
  <c r="C26" i="209"/>
  <c r="H24" i="209"/>
  <c r="H13" i="209"/>
  <c r="H19" i="209" s="1"/>
  <c r="C24" i="209" s="1"/>
  <c r="D13" i="209"/>
  <c r="D19" i="209" s="1"/>
  <c r="C22" i="209" s="1"/>
  <c r="C31" i="209" s="1"/>
  <c r="H22" i="209" s="1"/>
  <c r="F27" i="209" l="1"/>
  <c r="H26" i="209" s="1"/>
  <c r="H28" i="209" s="1"/>
  <c r="H30" i="209" s="1"/>
  <c r="C28" i="208"/>
  <c r="H26" i="208"/>
  <c r="H15" i="208"/>
  <c r="H21" i="208" s="1"/>
  <c r="C26" i="208" s="1"/>
  <c r="D15" i="208"/>
  <c r="D21" i="208" s="1"/>
  <c r="C24" i="208" s="1"/>
  <c r="C33" i="208" s="1"/>
  <c r="H24" i="208" s="1"/>
  <c r="F29" i="208" l="1"/>
  <c r="H28" i="208" s="1"/>
  <c r="H30" i="208" s="1"/>
  <c r="H32" i="208" s="1"/>
  <c r="C28" i="207" l="1"/>
  <c r="F27" i="207"/>
  <c r="H26" i="207"/>
  <c r="H15" i="207"/>
  <c r="H21" i="207" s="1"/>
  <c r="C26" i="207" s="1"/>
  <c r="D15" i="207"/>
  <c r="D21" i="207" s="1"/>
  <c r="C24" i="207" s="1"/>
  <c r="C33" i="207" s="1"/>
  <c r="H24" i="207" s="1"/>
  <c r="F29" i="207" l="1"/>
  <c r="H28" i="207" s="1"/>
  <c r="H30" i="207" s="1"/>
  <c r="H32" i="207" s="1"/>
  <c r="F27" i="206" l="1"/>
  <c r="C28" i="206"/>
  <c r="H26" i="206"/>
  <c r="H15" i="206"/>
  <c r="H21" i="206" s="1"/>
  <c r="C26" i="206" s="1"/>
  <c r="D15" i="206"/>
  <c r="D21" i="206" s="1"/>
  <c r="C24" i="206" s="1"/>
  <c r="C33" i="206" s="1"/>
  <c r="H24" i="206" s="1"/>
  <c r="F29" i="206" l="1"/>
  <c r="H28" i="206" s="1"/>
  <c r="H30" i="206" s="1"/>
  <c r="H32" i="206" s="1"/>
  <c r="C28" i="205"/>
  <c r="H26" i="205"/>
  <c r="H15" i="205"/>
  <c r="H21" i="205" s="1"/>
  <c r="C26" i="205" s="1"/>
  <c r="D15" i="205"/>
  <c r="D21" i="205" s="1"/>
  <c r="C24" i="205" s="1"/>
  <c r="C33" i="205" s="1"/>
  <c r="H24" i="205" s="1"/>
  <c r="C28" i="204"/>
  <c r="F27" i="204"/>
  <c r="H26" i="204"/>
  <c r="H15" i="204"/>
  <c r="H21" i="204" s="1"/>
  <c r="C26" i="204" s="1"/>
  <c r="D15" i="204"/>
  <c r="D21" i="204" s="1"/>
  <c r="C24" i="204" s="1"/>
  <c r="C33" i="204" s="1"/>
  <c r="H24" i="204" s="1"/>
  <c r="F29" i="205" l="1"/>
  <c r="H28" i="205" s="1"/>
  <c r="H30" i="205" s="1"/>
  <c r="H32" i="205" s="1"/>
  <c r="F29" i="204"/>
  <c r="H28" i="204" s="1"/>
  <c r="H30" i="204" s="1"/>
  <c r="H32" i="204" s="1"/>
  <c r="C28" i="203" l="1"/>
  <c r="F27" i="203"/>
  <c r="H26" i="203"/>
  <c r="H15" i="203"/>
  <c r="H21" i="203" s="1"/>
  <c r="C26" i="203" s="1"/>
  <c r="D15" i="203"/>
  <c r="D21" i="203" s="1"/>
  <c r="C24" i="203" s="1"/>
  <c r="C33" i="203" s="1"/>
  <c r="H24" i="203" s="1"/>
  <c r="F29" i="203" l="1"/>
  <c r="H28" i="203" s="1"/>
  <c r="H30" i="203" s="1"/>
  <c r="H32" i="203" s="1"/>
  <c r="C28" i="202" l="1"/>
  <c r="F27" i="202"/>
  <c r="H26" i="202"/>
  <c r="H15" i="202"/>
  <c r="H21" i="202" s="1"/>
  <c r="C26" i="202" s="1"/>
  <c r="D15" i="202"/>
  <c r="D21" i="202" s="1"/>
  <c r="C24" i="202" s="1"/>
  <c r="C33" i="202" s="1"/>
  <c r="H24" i="202" s="1"/>
  <c r="F29" i="202" l="1"/>
  <c r="H28" i="202" s="1"/>
  <c r="H30" i="202" s="1"/>
  <c r="H32" i="202" s="1"/>
  <c r="C28" i="201" l="1"/>
  <c r="F27" i="201"/>
  <c r="H26" i="201"/>
  <c r="H15" i="201"/>
  <c r="H21" i="201" s="1"/>
  <c r="C26" i="201" s="1"/>
  <c r="D15" i="201"/>
  <c r="D21" i="201" s="1"/>
  <c r="C24" i="201" s="1"/>
  <c r="C33" i="201" s="1"/>
  <c r="H24" i="201" s="1"/>
  <c r="C28" i="200"/>
  <c r="F27" i="200"/>
  <c r="H26" i="200"/>
  <c r="H15" i="200"/>
  <c r="H21" i="200" s="1"/>
  <c r="C26" i="200" s="1"/>
  <c r="D15" i="200"/>
  <c r="D21" i="200" s="1"/>
  <c r="C24" i="200" s="1"/>
  <c r="C33" i="200" s="1"/>
  <c r="H24" i="200" s="1"/>
  <c r="F29" i="201" l="1"/>
  <c r="H28" i="201" s="1"/>
  <c r="H30" i="201" s="1"/>
  <c r="H32" i="201" s="1"/>
  <c r="F29" i="200"/>
  <c r="H28" i="200" s="1"/>
  <c r="H30" i="200" s="1"/>
  <c r="H32" i="200" s="1"/>
  <c r="C28" i="199" l="1"/>
  <c r="F27" i="199"/>
  <c r="H26" i="199"/>
  <c r="H15" i="199"/>
  <c r="H21" i="199" s="1"/>
  <c r="C26" i="199" s="1"/>
  <c r="D15" i="199"/>
  <c r="D21" i="199" s="1"/>
  <c r="C24" i="199" s="1"/>
  <c r="C33" i="199" s="1"/>
  <c r="H24" i="199" s="1"/>
  <c r="C28" i="198"/>
  <c r="F27" i="198"/>
  <c r="H26" i="198"/>
  <c r="H15" i="198"/>
  <c r="H21" i="198" s="1"/>
  <c r="C26" i="198" s="1"/>
  <c r="D15" i="198"/>
  <c r="D21" i="198" s="1"/>
  <c r="C24" i="198" s="1"/>
  <c r="C33" i="198" s="1"/>
  <c r="H24" i="198" s="1"/>
  <c r="C28" i="197"/>
  <c r="F27" i="197"/>
  <c r="H26" i="197"/>
  <c r="H15" i="197"/>
  <c r="H21" i="197" s="1"/>
  <c r="C26" i="197" s="1"/>
  <c r="D15" i="197"/>
  <c r="D21" i="197" s="1"/>
  <c r="C24" i="197" s="1"/>
  <c r="C33" i="197" s="1"/>
  <c r="H24" i="197" s="1"/>
  <c r="C28" i="196"/>
  <c r="F27" i="196"/>
  <c r="H26" i="196"/>
  <c r="H15" i="196"/>
  <c r="H21" i="196" s="1"/>
  <c r="C26" i="196" s="1"/>
  <c r="D15" i="196"/>
  <c r="D21" i="196" s="1"/>
  <c r="C24" i="196" s="1"/>
  <c r="C33" i="196" s="1"/>
  <c r="H24" i="196" s="1"/>
  <c r="F29" i="199" l="1"/>
  <c r="H28" i="199" s="1"/>
  <c r="H30" i="199" s="1"/>
  <c r="H32" i="199" s="1"/>
  <c r="F29" i="198"/>
  <c r="H28" i="198" s="1"/>
  <c r="H30" i="198" s="1"/>
  <c r="H32" i="198" s="1"/>
  <c r="F29" i="197"/>
  <c r="H28" i="197" s="1"/>
  <c r="H30" i="197" s="1"/>
  <c r="H32" i="197" s="1"/>
  <c r="F29" i="196"/>
  <c r="H28" i="196" s="1"/>
  <c r="H30" i="196" s="1"/>
  <c r="H32" i="196" s="1"/>
  <c r="C28" i="195" l="1"/>
  <c r="F27" i="195"/>
  <c r="H26" i="195"/>
  <c r="H15" i="195"/>
  <c r="H21" i="195" s="1"/>
  <c r="C26" i="195" s="1"/>
  <c r="D15" i="195"/>
  <c r="D21" i="195" s="1"/>
  <c r="C24" i="195" s="1"/>
  <c r="C33" i="195" s="1"/>
  <c r="H24" i="195" s="1"/>
  <c r="F29" i="195" l="1"/>
  <c r="H28" i="195" s="1"/>
  <c r="H30" i="195" s="1"/>
  <c r="H32" i="195" s="1"/>
  <c r="F27" i="194"/>
  <c r="C28" i="194"/>
  <c r="H26" i="194"/>
  <c r="H15" i="194"/>
  <c r="H21" i="194" s="1"/>
  <c r="C26" i="194" s="1"/>
  <c r="D15" i="194"/>
  <c r="D21" i="194" s="1"/>
  <c r="C24" i="194" s="1"/>
  <c r="C33" i="194" s="1"/>
  <c r="H24" i="194" s="1"/>
  <c r="F29" i="194" l="1"/>
  <c r="H28" i="194" s="1"/>
  <c r="H30" i="194" s="1"/>
  <c r="H32" i="194" s="1"/>
  <c r="C28" i="193"/>
  <c r="H26" i="193"/>
  <c r="H15" i="193"/>
  <c r="H21" i="193" s="1"/>
  <c r="C26" i="193" s="1"/>
  <c r="D15" i="193"/>
  <c r="D21" i="193" s="1"/>
  <c r="C24" i="193" s="1"/>
  <c r="C33" i="193" s="1"/>
  <c r="H24" i="193" s="1"/>
  <c r="F29" i="193" l="1"/>
  <c r="H28" i="193" s="1"/>
  <c r="H30" i="193" s="1"/>
  <c r="H32" i="193" s="1"/>
  <c r="C28" i="192"/>
  <c r="F27" i="192"/>
  <c r="H26" i="192"/>
  <c r="H15" i="192"/>
  <c r="H21" i="192" s="1"/>
  <c r="C26" i="192" s="1"/>
  <c r="D15" i="192"/>
  <c r="D21" i="192" s="1"/>
  <c r="C24" i="192" s="1"/>
  <c r="C33" i="192" s="1"/>
  <c r="H24" i="192" s="1"/>
  <c r="F29" i="192" l="1"/>
  <c r="H28" i="192" s="1"/>
  <c r="H30" i="192" s="1"/>
  <c r="H32" i="192" s="1"/>
  <c r="C28" i="191" l="1"/>
  <c r="F27" i="191"/>
  <c r="H26" i="191"/>
  <c r="H15" i="191"/>
  <c r="H21" i="191" s="1"/>
  <c r="C26" i="191" s="1"/>
  <c r="D15" i="191"/>
  <c r="D21" i="191" s="1"/>
  <c r="C24" i="191" s="1"/>
  <c r="C33" i="191" s="1"/>
  <c r="H24" i="191" s="1"/>
  <c r="F29" i="191" l="1"/>
  <c r="H28" i="191" s="1"/>
  <c r="H30" i="191" s="1"/>
  <c r="H32" i="191" s="1"/>
  <c r="C28" i="190" l="1"/>
  <c r="F27" i="190"/>
  <c r="H26" i="190"/>
  <c r="H15" i="190"/>
  <c r="H21" i="190" s="1"/>
  <c r="C26" i="190" s="1"/>
  <c r="D15" i="190"/>
  <c r="D21" i="190" s="1"/>
  <c r="C24" i="190" s="1"/>
  <c r="C33" i="190" s="1"/>
  <c r="H24" i="190" s="1"/>
  <c r="F29" i="190" l="1"/>
  <c r="H28" i="190" s="1"/>
  <c r="H30" i="190" s="1"/>
  <c r="H32" i="190" s="1"/>
  <c r="C28" i="189" l="1"/>
  <c r="F27" i="189"/>
  <c r="H26" i="189"/>
  <c r="H15" i="189"/>
  <c r="H21" i="189" s="1"/>
  <c r="C26" i="189" s="1"/>
  <c r="D15" i="189"/>
  <c r="D21" i="189" s="1"/>
  <c r="C24" i="189" s="1"/>
  <c r="C33" i="189" s="1"/>
  <c r="H24" i="189" s="1"/>
  <c r="C28" i="188"/>
  <c r="F27" i="188"/>
  <c r="H26" i="188"/>
  <c r="H15" i="188"/>
  <c r="H21" i="188" s="1"/>
  <c r="C26" i="188" s="1"/>
  <c r="D15" i="188"/>
  <c r="D21" i="188" s="1"/>
  <c r="C24" i="188" s="1"/>
  <c r="C33" i="188" s="1"/>
  <c r="H24" i="188" s="1"/>
  <c r="C28" i="187"/>
  <c r="F27" i="187"/>
  <c r="H26" i="187"/>
  <c r="H15" i="187"/>
  <c r="H21" i="187" s="1"/>
  <c r="C26" i="187" s="1"/>
  <c r="D15" i="187"/>
  <c r="D21" i="187" s="1"/>
  <c r="C24" i="187" s="1"/>
  <c r="C33" i="187" s="1"/>
  <c r="H24" i="187" s="1"/>
  <c r="F29" i="189" l="1"/>
  <c r="H28" i="189" s="1"/>
  <c r="H30" i="189" s="1"/>
  <c r="H32" i="189" s="1"/>
  <c r="F29" i="188"/>
  <c r="H28" i="188" s="1"/>
  <c r="H30" i="188" s="1"/>
  <c r="H32" i="188" s="1"/>
  <c r="F29" i="187"/>
  <c r="H28" i="187" s="1"/>
  <c r="H30" i="187" s="1"/>
  <c r="H32" i="187" s="1"/>
  <c r="C28" i="186" l="1"/>
  <c r="F27" i="186"/>
  <c r="H26" i="186"/>
  <c r="H15" i="186"/>
  <c r="H21" i="186" s="1"/>
  <c r="C26" i="186" s="1"/>
  <c r="D15" i="186"/>
  <c r="D21" i="186" s="1"/>
  <c r="C24" i="186" s="1"/>
  <c r="C33" i="186" s="1"/>
  <c r="H24" i="186" s="1"/>
  <c r="F29" i="186" l="1"/>
  <c r="H28" i="186" s="1"/>
  <c r="H30" i="186" s="1"/>
  <c r="H32" i="186" s="1"/>
  <c r="C28" i="185" l="1"/>
  <c r="F27" i="185"/>
  <c r="H26" i="185"/>
  <c r="H15" i="185"/>
  <c r="H21" i="185" s="1"/>
  <c r="C26" i="185" s="1"/>
  <c r="D15" i="185"/>
  <c r="D21" i="185" s="1"/>
  <c r="C24" i="185" s="1"/>
  <c r="C33" i="185" s="1"/>
  <c r="H24" i="185" s="1"/>
  <c r="F29" i="185" l="1"/>
  <c r="H28" i="185" s="1"/>
  <c r="H30" i="185" s="1"/>
  <c r="H32" i="185" s="1"/>
  <c r="F27" i="184" l="1"/>
  <c r="C28" i="184"/>
  <c r="H26" i="184"/>
  <c r="H15" i="184"/>
  <c r="H21" i="184" s="1"/>
  <c r="C26" i="184" s="1"/>
  <c r="D15" i="184"/>
  <c r="D21" i="184" s="1"/>
  <c r="C24" i="184" s="1"/>
  <c r="C33" i="184" s="1"/>
  <c r="H24" i="184" s="1"/>
  <c r="F29" i="184" l="1"/>
  <c r="H28" i="184" s="1"/>
  <c r="H30" i="184" s="1"/>
  <c r="H32" i="184" s="1"/>
  <c r="C28" i="183" l="1"/>
  <c r="H26" i="183"/>
  <c r="H15" i="183"/>
  <c r="H21" i="183" s="1"/>
  <c r="C26" i="183" s="1"/>
  <c r="D15" i="183"/>
  <c r="D21" i="183" s="1"/>
  <c r="C24" i="183" s="1"/>
  <c r="C33" i="183" s="1"/>
  <c r="H24" i="183" s="1"/>
  <c r="C28" i="182"/>
  <c r="F27" i="182"/>
  <c r="H26" i="182"/>
  <c r="H15" i="182"/>
  <c r="H21" i="182" s="1"/>
  <c r="C26" i="182" s="1"/>
  <c r="D15" i="182"/>
  <c r="D21" i="182" s="1"/>
  <c r="C24" i="182" s="1"/>
  <c r="C33" i="182" s="1"/>
  <c r="H24" i="182" s="1"/>
  <c r="C28" i="181"/>
  <c r="F27" i="181"/>
  <c r="H26" i="181"/>
  <c r="H15" i="181"/>
  <c r="H21" i="181" s="1"/>
  <c r="C26" i="181" s="1"/>
  <c r="D15" i="181"/>
  <c r="D21" i="181" s="1"/>
  <c r="C24" i="181" s="1"/>
  <c r="C33" i="181" s="1"/>
  <c r="H24" i="181" s="1"/>
  <c r="F29" i="183" l="1"/>
  <c r="H28" i="183" s="1"/>
  <c r="H30" i="183" s="1"/>
  <c r="H32" i="183" s="1"/>
  <c r="F29" i="182"/>
  <c r="H28" i="182" s="1"/>
  <c r="H30" i="182" s="1"/>
  <c r="H32" i="182" s="1"/>
  <c r="F29" i="181"/>
  <c r="H28" i="181" s="1"/>
  <c r="H30" i="181" s="1"/>
  <c r="H32" i="181" s="1"/>
  <c r="C28" i="180" l="1"/>
  <c r="F27" i="180"/>
  <c r="H26" i="180"/>
  <c r="H15" i="180"/>
  <c r="H21" i="180" s="1"/>
  <c r="C26" i="180" s="1"/>
  <c r="D15" i="180"/>
  <c r="D21" i="180" s="1"/>
  <c r="C24" i="180" s="1"/>
  <c r="C33" i="180" s="1"/>
  <c r="H24" i="180" s="1"/>
  <c r="F29" i="180" l="1"/>
  <c r="H28" i="180" s="1"/>
  <c r="H30" i="180" s="1"/>
  <c r="H32" i="180" s="1"/>
  <c r="C28" i="179"/>
  <c r="F27" i="179"/>
  <c r="H26" i="179"/>
  <c r="H15" i="179"/>
  <c r="H21" i="179" s="1"/>
  <c r="C26" i="179" s="1"/>
  <c r="D15" i="179"/>
  <c r="D21" i="179" s="1"/>
  <c r="C24" i="179" s="1"/>
  <c r="C33" i="179" s="1"/>
  <c r="H24" i="179" s="1"/>
  <c r="C28" i="178"/>
  <c r="F27" i="178"/>
  <c r="H26" i="178"/>
  <c r="H15" i="178"/>
  <c r="H21" i="178" s="1"/>
  <c r="C26" i="178" s="1"/>
  <c r="D15" i="178"/>
  <c r="D21" i="178" s="1"/>
  <c r="C24" i="178" s="1"/>
  <c r="C33" i="178" s="1"/>
  <c r="H24" i="178" s="1"/>
  <c r="F29" i="179" l="1"/>
  <c r="H28" i="179" s="1"/>
  <c r="H30" i="179" s="1"/>
  <c r="H32" i="179" s="1"/>
  <c r="F29" i="178"/>
  <c r="H28" i="178" s="1"/>
  <c r="H30" i="178" s="1"/>
  <c r="H32" i="178" s="1"/>
  <c r="C28" i="177" l="1"/>
  <c r="F27" i="177"/>
  <c r="H26" i="177"/>
  <c r="H15" i="177"/>
  <c r="H21" i="177" s="1"/>
  <c r="C26" i="177" s="1"/>
  <c r="D15" i="177"/>
  <c r="D21" i="177" s="1"/>
  <c r="C24" i="177" s="1"/>
  <c r="C33" i="177" s="1"/>
  <c r="H24" i="177" s="1"/>
  <c r="F29" i="177" l="1"/>
  <c r="H28" i="177" s="1"/>
  <c r="H30" i="177" s="1"/>
  <c r="H32" i="177" s="1"/>
  <c r="C28" i="176" l="1"/>
  <c r="F27" i="176"/>
  <c r="H26" i="176"/>
  <c r="H15" i="176"/>
  <c r="H21" i="176" s="1"/>
  <c r="C26" i="176" s="1"/>
  <c r="D15" i="176"/>
  <c r="D21" i="176" s="1"/>
  <c r="C24" i="176" s="1"/>
  <c r="C33" i="176" s="1"/>
  <c r="H24" i="176" s="1"/>
  <c r="F29" i="176" l="1"/>
  <c r="H28" i="176" s="1"/>
  <c r="H30" i="176" s="1"/>
  <c r="H32" i="176" s="1"/>
  <c r="C28" i="175"/>
  <c r="F27" i="175"/>
  <c r="H26" i="175"/>
  <c r="H15" i="175"/>
  <c r="H21" i="175" s="1"/>
  <c r="C26" i="175" s="1"/>
  <c r="D15" i="175"/>
  <c r="D21" i="175" s="1"/>
  <c r="C24" i="175" s="1"/>
  <c r="C33" i="175" s="1"/>
  <c r="H24" i="175" s="1"/>
  <c r="F29" i="175" l="1"/>
  <c r="H28" i="175" s="1"/>
  <c r="H30" i="175" s="1"/>
  <c r="H32" i="175" s="1"/>
  <c r="C28" i="174"/>
  <c r="F27" i="174"/>
  <c r="H26" i="174"/>
  <c r="H15" i="174"/>
  <c r="H21" i="174" s="1"/>
  <c r="C26" i="174" s="1"/>
  <c r="D15" i="174"/>
  <c r="D21" i="174" s="1"/>
  <c r="C24" i="174" s="1"/>
  <c r="C33" i="174" s="1"/>
  <c r="H24" i="174" s="1"/>
  <c r="F29" i="174" l="1"/>
  <c r="H28" i="174" s="1"/>
  <c r="H30" i="174" s="1"/>
  <c r="H32" i="174" s="1"/>
  <c r="F27" i="173" l="1"/>
  <c r="C28" i="173"/>
  <c r="H26" i="173"/>
  <c r="H15" i="173"/>
  <c r="H21" i="173" s="1"/>
  <c r="C26" i="173" s="1"/>
  <c r="D15" i="173"/>
  <c r="D21" i="173" s="1"/>
  <c r="C24" i="173" s="1"/>
  <c r="C33" i="173" s="1"/>
  <c r="H24" i="173" s="1"/>
  <c r="C28" i="172"/>
  <c r="H26" i="172"/>
  <c r="H15" i="172"/>
  <c r="H21" i="172" s="1"/>
  <c r="C26" i="172" s="1"/>
  <c r="D15" i="172"/>
  <c r="D21" i="172" s="1"/>
  <c r="C24" i="172" s="1"/>
  <c r="C33" i="172" s="1"/>
  <c r="H24" i="172" s="1"/>
  <c r="F29" i="173" l="1"/>
  <c r="H28" i="173" s="1"/>
  <c r="H30" i="173" s="1"/>
  <c r="H32" i="173" s="1"/>
  <c r="F29" i="172"/>
  <c r="H28" i="172" s="1"/>
  <c r="H30" i="172" s="1"/>
  <c r="H32" i="172" s="1"/>
  <c r="C28" i="171" l="1"/>
  <c r="F27" i="171"/>
  <c r="H26" i="171"/>
  <c r="H15" i="171"/>
  <c r="H21" i="171" s="1"/>
  <c r="C26" i="171" s="1"/>
  <c r="D15" i="171"/>
  <c r="D21" i="171" s="1"/>
  <c r="C24" i="171" s="1"/>
  <c r="C33" i="171" s="1"/>
  <c r="H24" i="171" s="1"/>
  <c r="C28" i="170"/>
  <c r="F27" i="170"/>
  <c r="H26" i="170"/>
  <c r="H15" i="170"/>
  <c r="H21" i="170" s="1"/>
  <c r="C26" i="170" s="1"/>
  <c r="D15" i="170"/>
  <c r="D21" i="170" s="1"/>
  <c r="C24" i="170" s="1"/>
  <c r="C33" i="170" s="1"/>
  <c r="H24" i="170" s="1"/>
  <c r="F29" i="171" l="1"/>
  <c r="H28" i="171" s="1"/>
  <c r="H30" i="171" s="1"/>
  <c r="H32" i="171" s="1"/>
  <c r="F29" i="170"/>
  <c r="H28" i="170" s="1"/>
  <c r="H30" i="170" s="1"/>
  <c r="H32" i="170" s="1"/>
  <c r="C28" i="169"/>
  <c r="F27" i="169"/>
  <c r="H26" i="169"/>
  <c r="H15" i="169"/>
  <c r="H21" i="169" s="1"/>
  <c r="C26" i="169" s="1"/>
  <c r="D15" i="169"/>
  <c r="D21" i="169" s="1"/>
  <c r="C24" i="169" s="1"/>
  <c r="C33" i="169" s="1"/>
  <c r="H24" i="169" s="1"/>
  <c r="F29" i="169" l="1"/>
  <c r="H28" i="169" s="1"/>
  <c r="H30" i="169" s="1"/>
  <c r="H32" i="169" s="1"/>
  <c r="C28" i="168" l="1"/>
  <c r="F27" i="168"/>
  <c r="H26" i="168"/>
  <c r="H15" i="168"/>
  <c r="H21" i="168" s="1"/>
  <c r="C26" i="168" s="1"/>
  <c r="D15" i="168"/>
  <c r="D21" i="168" s="1"/>
  <c r="C24" i="168" s="1"/>
  <c r="C33" i="168" s="1"/>
  <c r="H24" i="168" s="1"/>
  <c r="C28" i="167"/>
  <c r="F27" i="167"/>
  <c r="H26" i="167"/>
  <c r="H15" i="167"/>
  <c r="H21" i="167" s="1"/>
  <c r="C26" i="167" s="1"/>
  <c r="D15" i="167"/>
  <c r="D21" i="167" s="1"/>
  <c r="C24" i="167" s="1"/>
  <c r="C33" i="167" s="1"/>
  <c r="H24" i="167" s="1"/>
  <c r="C28" i="166"/>
  <c r="F27" i="166"/>
  <c r="H26" i="166"/>
  <c r="H15" i="166"/>
  <c r="H21" i="166" s="1"/>
  <c r="C26" i="166" s="1"/>
  <c r="D15" i="166"/>
  <c r="D21" i="166" s="1"/>
  <c r="C24" i="166" s="1"/>
  <c r="C33" i="166" s="1"/>
  <c r="H24" i="166" s="1"/>
  <c r="C28" i="165"/>
  <c r="F27" i="165"/>
  <c r="H26" i="165"/>
  <c r="H15" i="165"/>
  <c r="H21" i="165" s="1"/>
  <c r="C26" i="165" s="1"/>
  <c r="D15" i="165"/>
  <c r="D21" i="165" s="1"/>
  <c r="C24" i="165" s="1"/>
  <c r="C33" i="165" s="1"/>
  <c r="H24" i="165" s="1"/>
  <c r="F29" i="168" l="1"/>
  <c r="H28" i="168" s="1"/>
  <c r="H30" i="168" s="1"/>
  <c r="H32" i="168" s="1"/>
  <c r="F29" i="167"/>
  <c r="H28" i="167" s="1"/>
  <c r="H30" i="167" s="1"/>
  <c r="H32" i="167" s="1"/>
  <c r="F29" i="166"/>
  <c r="H28" i="166" s="1"/>
  <c r="H30" i="166" s="1"/>
  <c r="H32" i="166" s="1"/>
  <c r="F29" i="165"/>
  <c r="H28" i="165" s="1"/>
  <c r="H30" i="165" s="1"/>
  <c r="H32" i="165" s="1"/>
  <c r="C28" i="164" l="1"/>
  <c r="F27" i="164"/>
  <c r="H26" i="164"/>
  <c r="H15" i="164"/>
  <c r="H21" i="164" s="1"/>
  <c r="C26" i="164" s="1"/>
  <c r="D15" i="164"/>
  <c r="D21" i="164" s="1"/>
  <c r="C24" i="164" s="1"/>
  <c r="C33" i="164" s="1"/>
  <c r="H24" i="164" s="1"/>
  <c r="C28" i="163"/>
  <c r="F27" i="163"/>
  <c r="H26" i="163"/>
  <c r="H15" i="163"/>
  <c r="H21" i="163" s="1"/>
  <c r="C26" i="163" s="1"/>
  <c r="D15" i="163"/>
  <c r="D21" i="163" s="1"/>
  <c r="C24" i="163" s="1"/>
  <c r="C33" i="163" s="1"/>
  <c r="H24" i="163" s="1"/>
  <c r="C28" i="162"/>
  <c r="F27" i="162"/>
  <c r="H26" i="162"/>
  <c r="H15" i="162"/>
  <c r="H21" i="162" s="1"/>
  <c r="C26" i="162" s="1"/>
  <c r="D15" i="162"/>
  <c r="D21" i="162" s="1"/>
  <c r="C24" i="162" s="1"/>
  <c r="C33" i="162" s="1"/>
  <c r="H24" i="162" s="1"/>
  <c r="F29" i="164" l="1"/>
  <c r="H28" i="164" s="1"/>
  <c r="H30" i="164" s="1"/>
  <c r="H32" i="164" s="1"/>
  <c r="F29" i="163"/>
  <c r="H28" i="163" s="1"/>
  <c r="H30" i="163" s="1"/>
  <c r="H32" i="163" s="1"/>
  <c r="F29" i="162"/>
  <c r="H28" i="162" s="1"/>
  <c r="H30" i="162" s="1"/>
  <c r="H32" i="162" s="1"/>
  <c r="C28" i="161"/>
  <c r="F27" i="161"/>
  <c r="H26" i="161"/>
  <c r="H15" i="161"/>
  <c r="H21" i="161" s="1"/>
  <c r="C26" i="161" s="1"/>
  <c r="D15" i="161"/>
  <c r="D21" i="161" s="1"/>
  <c r="C24" i="161" s="1"/>
  <c r="C33" i="161" s="1"/>
  <c r="H24" i="161" s="1"/>
  <c r="C28" i="160"/>
  <c r="F27" i="160"/>
  <c r="H26" i="160"/>
  <c r="H15" i="160"/>
  <c r="H21" i="160" s="1"/>
  <c r="C26" i="160" s="1"/>
  <c r="D15" i="160"/>
  <c r="D21" i="160" s="1"/>
  <c r="C24" i="160" s="1"/>
  <c r="C33" i="160" s="1"/>
  <c r="H24" i="160" s="1"/>
  <c r="F29" i="161" l="1"/>
  <c r="H28" i="161" s="1"/>
  <c r="H30" i="161" s="1"/>
  <c r="H32" i="161" s="1"/>
  <c r="F29" i="160"/>
  <c r="H28" i="160" s="1"/>
  <c r="H30" i="160" s="1"/>
  <c r="H32" i="160" s="1"/>
  <c r="C28" i="159" l="1"/>
  <c r="F27" i="159"/>
  <c r="H26" i="159"/>
  <c r="H15" i="159"/>
  <c r="H21" i="159" s="1"/>
  <c r="C26" i="159" s="1"/>
  <c r="D15" i="159"/>
  <c r="D21" i="159" s="1"/>
  <c r="C24" i="159" s="1"/>
  <c r="C33" i="159" s="1"/>
  <c r="H24" i="159" s="1"/>
  <c r="C28" i="158"/>
  <c r="F27" i="158"/>
  <c r="H26" i="158"/>
  <c r="H15" i="158"/>
  <c r="H21" i="158" s="1"/>
  <c r="C26" i="158" s="1"/>
  <c r="D15" i="158"/>
  <c r="D21" i="158" s="1"/>
  <c r="C24" i="158" s="1"/>
  <c r="C33" i="158" s="1"/>
  <c r="H24" i="158" s="1"/>
  <c r="F29" i="159" l="1"/>
  <c r="H28" i="159" s="1"/>
  <c r="H30" i="159" s="1"/>
  <c r="H32" i="159" s="1"/>
  <c r="F29" i="158"/>
  <c r="H28" i="158" s="1"/>
  <c r="H30" i="158" s="1"/>
  <c r="H32" i="158" s="1"/>
  <c r="C28" i="157"/>
  <c r="F27" i="157"/>
  <c r="H26" i="157"/>
  <c r="H15" i="157"/>
  <c r="H21" i="157" s="1"/>
  <c r="C26" i="157" s="1"/>
  <c r="D15" i="157"/>
  <c r="D21" i="157" s="1"/>
  <c r="C24" i="157" s="1"/>
  <c r="C33" i="157" s="1"/>
  <c r="H24" i="157" s="1"/>
  <c r="C28" i="156"/>
  <c r="F27" i="156"/>
  <c r="H26" i="156"/>
  <c r="H15" i="156"/>
  <c r="H21" i="156" s="1"/>
  <c r="C26" i="156" s="1"/>
  <c r="D15" i="156"/>
  <c r="D21" i="156" s="1"/>
  <c r="C24" i="156" s="1"/>
  <c r="C33" i="156" s="1"/>
  <c r="H24" i="156" s="1"/>
  <c r="C28" i="155"/>
  <c r="F27" i="155"/>
  <c r="H26" i="155"/>
  <c r="H15" i="155"/>
  <c r="H21" i="155" s="1"/>
  <c r="C26" i="155" s="1"/>
  <c r="D15" i="155"/>
  <c r="D21" i="155" s="1"/>
  <c r="C24" i="155" s="1"/>
  <c r="C33" i="155" s="1"/>
  <c r="H24" i="155" s="1"/>
  <c r="C28" i="154"/>
  <c r="F27" i="154"/>
  <c r="H26" i="154"/>
  <c r="H15" i="154"/>
  <c r="H21" i="154" s="1"/>
  <c r="C26" i="154" s="1"/>
  <c r="D15" i="154"/>
  <c r="D21" i="154" s="1"/>
  <c r="C24" i="154" s="1"/>
  <c r="C33" i="154" s="1"/>
  <c r="H24" i="154" s="1"/>
  <c r="C28" i="153"/>
  <c r="F27" i="153"/>
  <c r="H26" i="153"/>
  <c r="H15" i="153"/>
  <c r="H21" i="153" s="1"/>
  <c r="C26" i="153" s="1"/>
  <c r="D15" i="153"/>
  <c r="D21" i="153" s="1"/>
  <c r="C24" i="153" s="1"/>
  <c r="C33" i="153" s="1"/>
  <c r="H24" i="153" s="1"/>
  <c r="C28" i="152"/>
  <c r="F27" i="152"/>
  <c r="H26" i="152"/>
  <c r="H15" i="152"/>
  <c r="H21" i="152" s="1"/>
  <c r="C26" i="152" s="1"/>
  <c r="D15" i="152"/>
  <c r="D21" i="152" s="1"/>
  <c r="C24" i="152" s="1"/>
  <c r="C33" i="152" s="1"/>
  <c r="H24" i="152" s="1"/>
  <c r="F29" i="157" l="1"/>
  <c r="H28" i="157" s="1"/>
  <c r="H30" i="157" s="1"/>
  <c r="H32" i="157" s="1"/>
  <c r="F29" i="156"/>
  <c r="H28" i="156" s="1"/>
  <c r="H30" i="156" s="1"/>
  <c r="H32" i="156" s="1"/>
  <c r="F29" i="155"/>
  <c r="H28" i="155" s="1"/>
  <c r="H30" i="155" s="1"/>
  <c r="H32" i="155" s="1"/>
  <c r="F29" i="154"/>
  <c r="H28" i="154" s="1"/>
  <c r="H30" i="154" s="1"/>
  <c r="H32" i="154" s="1"/>
  <c r="F29" i="153"/>
  <c r="H28" i="153" s="1"/>
  <c r="H30" i="153" s="1"/>
  <c r="H32" i="153" s="1"/>
  <c r="F29" i="152"/>
  <c r="H28" i="152" s="1"/>
  <c r="H30" i="152" s="1"/>
  <c r="H32" i="152" s="1"/>
  <c r="C28" i="151" l="1"/>
  <c r="F27" i="151"/>
  <c r="H26" i="151"/>
  <c r="H15" i="151"/>
  <c r="H21" i="151" s="1"/>
  <c r="C26" i="151" s="1"/>
  <c r="D15" i="151"/>
  <c r="D21" i="151" s="1"/>
  <c r="C24" i="151" s="1"/>
  <c r="C33" i="151" s="1"/>
  <c r="H24" i="151" s="1"/>
  <c r="C28" i="150"/>
  <c r="F27" i="150"/>
  <c r="H26" i="150"/>
  <c r="H15" i="150"/>
  <c r="H21" i="150" s="1"/>
  <c r="C26" i="150" s="1"/>
  <c r="D15" i="150"/>
  <c r="D21" i="150" s="1"/>
  <c r="C24" i="150" s="1"/>
  <c r="C33" i="150" s="1"/>
  <c r="H24" i="150" s="1"/>
  <c r="F29" i="151" l="1"/>
  <c r="H28" i="151" s="1"/>
  <c r="H30" i="151" s="1"/>
  <c r="H32" i="151" s="1"/>
  <c r="F29" i="150"/>
  <c r="H28" i="150" s="1"/>
  <c r="H30" i="150" s="1"/>
  <c r="H32" i="150" s="1"/>
  <c r="C28" i="149"/>
  <c r="F27" i="149"/>
  <c r="H26" i="149"/>
  <c r="H15" i="149"/>
  <c r="H21" i="149" s="1"/>
  <c r="C26" i="149" s="1"/>
  <c r="D15" i="149"/>
  <c r="D21" i="149" s="1"/>
  <c r="C24" i="149" s="1"/>
  <c r="C33" i="149" s="1"/>
  <c r="H24" i="149" s="1"/>
  <c r="F29" i="149" l="1"/>
  <c r="H28" i="149" s="1"/>
  <c r="H30" i="149" s="1"/>
  <c r="H32" i="149" s="1"/>
  <c r="C28" i="148"/>
  <c r="F27" i="148"/>
  <c r="H26" i="148"/>
  <c r="H15" i="148"/>
  <c r="H21" i="148" s="1"/>
  <c r="C26" i="148" s="1"/>
  <c r="D15" i="148"/>
  <c r="D21" i="148" s="1"/>
  <c r="C24" i="148" s="1"/>
  <c r="C33" i="148" s="1"/>
  <c r="H24" i="148" s="1"/>
  <c r="F29" i="148" l="1"/>
  <c r="H28" i="148" s="1"/>
  <c r="H30" i="148" s="1"/>
  <c r="H32" i="148" s="1"/>
  <c r="C28" i="147" l="1"/>
  <c r="F27" i="147"/>
  <c r="H26" i="147"/>
  <c r="H15" i="147"/>
  <c r="H21" i="147" s="1"/>
  <c r="C26" i="147" s="1"/>
  <c r="D15" i="147"/>
  <c r="D21" i="147" s="1"/>
  <c r="C24" i="147" s="1"/>
  <c r="C33" i="147" s="1"/>
  <c r="H24" i="147" s="1"/>
  <c r="C28" i="146"/>
  <c r="F27" i="146"/>
  <c r="H26" i="146"/>
  <c r="H15" i="146"/>
  <c r="H21" i="146" s="1"/>
  <c r="C26" i="146" s="1"/>
  <c r="D15" i="146"/>
  <c r="D21" i="146" s="1"/>
  <c r="C24" i="146" s="1"/>
  <c r="C33" i="146" s="1"/>
  <c r="H24" i="146" s="1"/>
  <c r="C28" i="145"/>
  <c r="F27" i="145"/>
  <c r="H26" i="145"/>
  <c r="H15" i="145"/>
  <c r="H21" i="145" s="1"/>
  <c r="C26" i="145" s="1"/>
  <c r="D15" i="145"/>
  <c r="D21" i="145" s="1"/>
  <c r="C24" i="145" s="1"/>
  <c r="C33" i="145" s="1"/>
  <c r="H24" i="145" s="1"/>
  <c r="C28" i="144"/>
  <c r="F27" i="144"/>
  <c r="H26" i="144"/>
  <c r="H15" i="144"/>
  <c r="H21" i="144" s="1"/>
  <c r="C26" i="144" s="1"/>
  <c r="D15" i="144"/>
  <c r="D21" i="144" s="1"/>
  <c r="C24" i="144" s="1"/>
  <c r="C33" i="144" s="1"/>
  <c r="H24" i="144" s="1"/>
  <c r="C28" i="143"/>
  <c r="F27" i="143"/>
  <c r="H26" i="143"/>
  <c r="H15" i="143"/>
  <c r="H21" i="143" s="1"/>
  <c r="C26" i="143" s="1"/>
  <c r="D15" i="143"/>
  <c r="D21" i="143" s="1"/>
  <c r="C24" i="143" s="1"/>
  <c r="C33" i="143" s="1"/>
  <c r="H24" i="143" s="1"/>
  <c r="C28" i="142"/>
  <c r="F27" i="142"/>
  <c r="H26" i="142"/>
  <c r="H15" i="142"/>
  <c r="H21" i="142" s="1"/>
  <c r="C26" i="142" s="1"/>
  <c r="D15" i="142"/>
  <c r="D21" i="142" s="1"/>
  <c r="C24" i="142" s="1"/>
  <c r="C33" i="142" s="1"/>
  <c r="H24" i="142" s="1"/>
  <c r="F29" i="147" l="1"/>
  <c r="H28" i="147" s="1"/>
  <c r="H30" i="147" s="1"/>
  <c r="H32" i="147" s="1"/>
  <c r="F29" i="146"/>
  <c r="H28" i="146" s="1"/>
  <c r="H30" i="146" s="1"/>
  <c r="H32" i="146" s="1"/>
  <c r="F29" i="145"/>
  <c r="H28" i="145" s="1"/>
  <c r="H30" i="145" s="1"/>
  <c r="H32" i="145" s="1"/>
  <c r="F29" i="144"/>
  <c r="H28" i="144" s="1"/>
  <c r="H30" i="144" s="1"/>
  <c r="H32" i="144" s="1"/>
  <c r="F29" i="143"/>
  <c r="H28" i="143" s="1"/>
  <c r="H30" i="143" s="1"/>
  <c r="H32" i="143" s="1"/>
  <c r="F29" i="142"/>
  <c r="H28" i="142" s="1"/>
  <c r="H30" i="142" s="1"/>
  <c r="H32" i="142" s="1"/>
  <c r="C28" i="141"/>
  <c r="F27" i="141"/>
  <c r="H26" i="141"/>
  <c r="H15" i="141"/>
  <c r="H21" i="141" s="1"/>
  <c r="C26" i="141" s="1"/>
  <c r="D15" i="141"/>
  <c r="D21" i="141" s="1"/>
  <c r="C24" i="141" s="1"/>
  <c r="C33" i="141" s="1"/>
  <c r="H24" i="141" s="1"/>
  <c r="C28" i="140"/>
  <c r="F27" i="140"/>
  <c r="H26" i="140"/>
  <c r="H15" i="140"/>
  <c r="H21" i="140" s="1"/>
  <c r="C26" i="140" s="1"/>
  <c r="D15" i="140"/>
  <c r="D21" i="140" s="1"/>
  <c r="C24" i="140" s="1"/>
  <c r="C33" i="140" s="1"/>
  <c r="H24" i="140" s="1"/>
  <c r="C28" i="139"/>
  <c r="F27" i="139"/>
  <c r="H26" i="139"/>
  <c r="H15" i="139"/>
  <c r="H21" i="139" s="1"/>
  <c r="C26" i="139" s="1"/>
  <c r="D15" i="139"/>
  <c r="D21" i="139" s="1"/>
  <c r="C24" i="139" s="1"/>
  <c r="C33" i="139" s="1"/>
  <c r="H24" i="139" s="1"/>
  <c r="F27" i="138"/>
  <c r="C28" i="138"/>
  <c r="H15" i="138"/>
  <c r="H21" i="138" s="1"/>
  <c r="C26" i="138" s="1"/>
  <c r="D15" i="138"/>
  <c r="D21" i="138" s="1"/>
  <c r="C24" i="138" s="1"/>
  <c r="C33" i="138" s="1"/>
  <c r="H24" i="138" s="1"/>
  <c r="C28" i="137"/>
  <c r="H26" i="137"/>
  <c r="H15" i="137"/>
  <c r="H21" i="137" s="1"/>
  <c r="C26" i="137" s="1"/>
  <c r="D15" i="137"/>
  <c r="D21" i="137" s="1"/>
  <c r="C24" i="137" s="1"/>
  <c r="C33" i="137" s="1"/>
  <c r="H24" i="137" s="1"/>
  <c r="F29" i="141" l="1"/>
  <c r="H28" i="141" s="1"/>
  <c r="H30" i="141" s="1"/>
  <c r="H32" i="141" s="1"/>
  <c r="F29" i="140"/>
  <c r="H28" i="140" s="1"/>
  <c r="H30" i="140" s="1"/>
  <c r="H32" i="140" s="1"/>
  <c r="F29" i="139"/>
  <c r="H28" i="139" s="1"/>
  <c r="H30" i="139" s="1"/>
  <c r="H32" i="139" s="1"/>
  <c r="F29" i="138"/>
  <c r="H28" i="138" s="1"/>
  <c r="F29" i="137"/>
  <c r="H28" i="137" s="1"/>
  <c r="H30" i="137" s="1"/>
  <c r="H32" i="137" s="1"/>
  <c r="C28" i="136" l="1"/>
  <c r="F27" i="136"/>
  <c r="H26" i="136"/>
  <c r="H15" i="136"/>
  <c r="H21" i="136" s="1"/>
  <c r="C26" i="136" s="1"/>
  <c r="D15" i="136"/>
  <c r="D21" i="136" s="1"/>
  <c r="C24" i="136" s="1"/>
  <c r="C33" i="136" s="1"/>
  <c r="H24" i="136" s="1"/>
  <c r="C28" i="135"/>
  <c r="F27" i="135"/>
  <c r="H26" i="135"/>
  <c r="H15" i="135"/>
  <c r="H21" i="135" s="1"/>
  <c r="C26" i="135" s="1"/>
  <c r="D15" i="135"/>
  <c r="D21" i="135" s="1"/>
  <c r="C24" i="135" s="1"/>
  <c r="C33" i="135" s="1"/>
  <c r="H24" i="135" s="1"/>
  <c r="C28" i="134"/>
  <c r="F27" i="134"/>
  <c r="H26" i="134"/>
  <c r="H15" i="134"/>
  <c r="H21" i="134" s="1"/>
  <c r="C26" i="134" s="1"/>
  <c r="D15" i="134"/>
  <c r="D21" i="134" s="1"/>
  <c r="C24" i="134" s="1"/>
  <c r="C33" i="134" s="1"/>
  <c r="H24" i="134" s="1"/>
  <c r="F29" i="136" l="1"/>
  <c r="H28" i="136" s="1"/>
  <c r="H30" i="136" s="1"/>
  <c r="H32" i="136" s="1"/>
  <c r="F29" i="135"/>
  <c r="H28" i="135" s="1"/>
  <c r="H30" i="135" s="1"/>
  <c r="H32" i="135" s="1"/>
  <c r="F29" i="134"/>
  <c r="H28" i="134" s="1"/>
  <c r="H30" i="134" s="1"/>
  <c r="H32" i="134" s="1"/>
  <c r="C28" i="133"/>
  <c r="F27" i="133"/>
  <c r="H26" i="133"/>
  <c r="H15" i="133"/>
  <c r="H21" i="133" s="1"/>
  <c r="C26" i="133" s="1"/>
  <c r="D15" i="133"/>
  <c r="D21" i="133" s="1"/>
  <c r="C24" i="133" s="1"/>
  <c r="C33" i="133" s="1"/>
  <c r="H24" i="133" s="1"/>
  <c r="F29" i="133" l="1"/>
  <c r="H28" i="133" s="1"/>
  <c r="H30" i="133" s="1"/>
  <c r="H32" i="133" s="1"/>
  <c r="C28" i="132"/>
  <c r="F27" i="132"/>
  <c r="H26" i="132"/>
  <c r="H15" i="132"/>
  <c r="H21" i="132" s="1"/>
  <c r="C26" i="132" s="1"/>
  <c r="D15" i="132"/>
  <c r="D21" i="132" s="1"/>
  <c r="C24" i="132" s="1"/>
  <c r="C33" i="132" s="1"/>
  <c r="H24" i="132" s="1"/>
  <c r="F29" i="132" l="1"/>
  <c r="H28" i="132" s="1"/>
  <c r="H30" i="132" s="1"/>
  <c r="H32" i="132" s="1"/>
  <c r="C28" i="131"/>
  <c r="F27" i="131"/>
  <c r="H26" i="131"/>
  <c r="H15" i="131"/>
  <c r="H21" i="131" s="1"/>
  <c r="C26" i="131" s="1"/>
  <c r="D15" i="131"/>
  <c r="D21" i="131" s="1"/>
  <c r="C24" i="131" s="1"/>
  <c r="C33" i="131" s="1"/>
  <c r="H24" i="131" s="1"/>
  <c r="C28" i="130"/>
  <c r="F27" i="130"/>
  <c r="H26" i="130"/>
  <c r="H15" i="130"/>
  <c r="H21" i="130" s="1"/>
  <c r="C26" i="130" s="1"/>
  <c r="D15" i="130"/>
  <c r="D21" i="130" s="1"/>
  <c r="C24" i="130" s="1"/>
  <c r="C33" i="130" s="1"/>
  <c r="H24" i="130" s="1"/>
  <c r="F29" i="131" l="1"/>
  <c r="H28" i="131" s="1"/>
  <c r="H30" i="131" s="1"/>
  <c r="H32" i="131" s="1"/>
  <c r="F29" i="130"/>
  <c r="H28" i="130" s="1"/>
  <c r="H30" i="130" s="1"/>
  <c r="H32" i="130" s="1"/>
  <c r="C28" i="129"/>
  <c r="F27" i="129"/>
  <c r="H26" i="129"/>
  <c r="H15" i="129"/>
  <c r="H21" i="129" s="1"/>
  <c r="C26" i="129" s="1"/>
  <c r="D15" i="129"/>
  <c r="D21" i="129" s="1"/>
  <c r="C24" i="129" s="1"/>
  <c r="C33" i="129" s="1"/>
  <c r="H24" i="129" s="1"/>
  <c r="C28" i="125"/>
  <c r="F27" i="125"/>
  <c r="H26" i="125"/>
  <c r="H15" i="125"/>
  <c r="H21" i="125" s="1"/>
  <c r="C26" i="125" s="1"/>
  <c r="D15" i="125"/>
  <c r="D21" i="125" s="1"/>
  <c r="C24" i="125" s="1"/>
  <c r="C33" i="125" s="1"/>
  <c r="H24" i="125" s="1"/>
  <c r="C28" i="128"/>
  <c r="F27" i="128"/>
  <c r="H26" i="128"/>
  <c r="H15" i="128"/>
  <c r="H21" i="128" s="1"/>
  <c r="C26" i="128" s="1"/>
  <c r="D15" i="128"/>
  <c r="D21" i="128" s="1"/>
  <c r="C24" i="128" s="1"/>
  <c r="C33" i="128" s="1"/>
  <c r="H24" i="128" s="1"/>
  <c r="F29" i="129" l="1"/>
  <c r="H28" i="129" s="1"/>
  <c r="H30" i="129" s="1"/>
  <c r="H32" i="129" s="1"/>
  <c r="F29" i="125"/>
  <c r="H28" i="125" s="1"/>
  <c r="H30" i="125" s="1"/>
  <c r="H32" i="125" s="1"/>
  <c r="F29" i="128"/>
  <c r="H28" i="128" s="1"/>
  <c r="H30" i="128" s="1"/>
  <c r="H32" i="128" s="1"/>
  <c r="C28" i="127" l="1"/>
  <c r="F27" i="127"/>
  <c r="H26" i="127"/>
  <c r="H15" i="127"/>
  <c r="H21" i="127" s="1"/>
  <c r="C26" i="127" s="1"/>
  <c r="D15" i="127"/>
  <c r="D21" i="127" s="1"/>
  <c r="C24" i="127" s="1"/>
  <c r="C33" i="127" s="1"/>
  <c r="H24" i="127" s="1"/>
  <c r="F29" i="127" l="1"/>
  <c r="H28" i="127" s="1"/>
  <c r="H30" i="127" s="1"/>
  <c r="H32" i="127" s="1"/>
  <c r="C28" i="126" l="1"/>
  <c r="F27" i="126"/>
  <c r="H26" i="126"/>
  <c r="H15" i="126"/>
  <c r="H21" i="126" s="1"/>
  <c r="C26" i="126" s="1"/>
  <c r="D15" i="126"/>
  <c r="D21" i="126" s="1"/>
  <c r="C24" i="126" s="1"/>
  <c r="C33" i="126" s="1"/>
  <c r="H24" i="126" s="1"/>
  <c r="F29" i="126" l="1"/>
  <c r="H28" i="126" s="1"/>
  <c r="H30" i="126" s="1"/>
  <c r="H32" i="126" s="1"/>
  <c r="C28" i="124"/>
  <c r="F27" i="124"/>
  <c r="H26" i="124"/>
  <c r="H15" i="124"/>
  <c r="H21" i="124" s="1"/>
  <c r="C26" i="124" s="1"/>
  <c r="D15" i="124"/>
  <c r="D21" i="124" s="1"/>
  <c r="C24" i="124" s="1"/>
  <c r="C33" i="124" s="1"/>
  <c r="H24" i="124" s="1"/>
  <c r="F29" i="124" l="1"/>
  <c r="H28" i="124" s="1"/>
  <c r="H30" i="124" s="1"/>
  <c r="H32" i="124" s="1"/>
  <c r="C28" i="123"/>
  <c r="F27" i="123"/>
  <c r="H26" i="123"/>
  <c r="H15" i="123"/>
  <c r="H21" i="123" s="1"/>
  <c r="C26" i="123" s="1"/>
  <c r="D15" i="123"/>
  <c r="D21" i="123" s="1"/>
  <c r="C24" i="123" s="1"/>
  <c r="C33" i="123" s="1"/>
  <c r="H24" i="123" s="1"/>
  <c r="C28" i="122"/>
  <c r="F27" i="122"/>
  <c r="H26" i="122"/>
  <c r="H15" i="122"/>
  <c r="H21" i="122" s="1"/>
  <c r="C26" i="122" s="1"/>
  <c r="D15" i="122"/>
  <c r="D21" i="122" s="1"/>
  <c r="C24" i="122" s="1"/>
  <c r="C33" i="122" s="1"/>
  <c r="H24" i="122" s="1"/>
  <c r="F29" i="123" l="1"/>
  <c r="H28" i="123" s="1"/>
  <c r="H30" i="123" s="1"/>
  <c r="H32" i="123" s="1"/>
  <c r="F29" i="122"/>
  <c r="H28" i="122" s="1"/>
  <c r="H30" i="122" s="1"/>
  <c r="H32" i="122" s="1"/>
  <c r="C28" i="121" l="1"/>
  <c r="F27" i="121"/>
  <c r="H26" i="121"/>
  <c r="H15" i="121"/>
  <c r="H21" i="121" s="1"/>
  <c r="C26" i="121" s="1"/>
  <c r="D15" i="121"/>
  <c r="D21" i="121" s="1"/>
  <c r="C24" i="121" s="1"/>
  <c r="C33" i="121" s="1"/>
  <c r="H24" i="121" s="1"/>
  <c r="C28" i="120"/>
  <c r="F27" i="120"/>
  <c r="H26" i="120"/>
  <c r="H15" i="120"/>
  <c r="H21" i="120" s="1"/>
  <c r="C26" i="120" s="1"/>
  <c r="D15" i="120"/>
  <c r="D21" i="120" s="1"/>
  <c r="C24" i="120" s="1"/>
  <c r="C33" i="120" s="1"/>
  <c r="H24" i="120" s="1"/>
  <c r="F29" i="121" l="1"/>
  <c r="H28" i="121" s="1"/>
  <c r="H30" i="121" s="1"/>
  <c r="H32" i="121" s="1"/>
  <c r="F29" i="120"/>
  <c r="H28" i="120" s="1"/>
  <c r="H30" i="120" s="1"/>
  <c r="H32" i="120" s="1"/>
  <c r="C28" i="119"/>
  <c r="F27" i="119"/>
  <c r="H26" i="119"/>
  <c r="H15" i="119"/>
  <c r="H21" i="119" s="1"/>
  <c r="C26" i="119" s="1"/>
  <c r="D15" i="119"/>
  <c r="D21" i="119" s="1"/>
  <c r="C24" i="119" s="1"/>
  <c r="C33" i="119" s="1"/>
  <c r="H24" i="119" s="1"/>
  <c r="F29" i="119" l="1"/>
  <c r="H28" i="119" s="1"/>
  <c r="H30" i="119" s="1"/>
  <c r="H32" i="119" s="1"/>
  <c r="C28" i="118"/>
  <c r="F27" i="118"/>
  <c r="H26" i="118"/>
  <c r="H15" i="118"/>
  <c r="H21" i="118" s="1"/>
  <c r="C26" i="118" s="1"/>
  <c r="D15" i="118"/>
  <c r="D21" i="118" s="1"/>
  <c r="C24" i="118" s="1"/>
  <c r="C33" i="118" s="1"/>
  <c r="H24" i="118" s="1"/>
  <c r="F29" i="118" l="1"/>
  <c r="H28" i="118" s="1"/>
  <c r="H30" i="118" s="1"/>
  <c r="H32" i="118" s="1"/>
  <c r="C28" i="117" l="1"/>
  <c r="F27" i="117"/>
  <c r="H26" i="117"/>
  <c r="H15" i="117"/>
  <c r="H21" i="117" s="1"/>
  <c r="C26" i="117" s="1"/>
  <c r="D15" i="117"/>
  <c r="D21" i="117" s="1"/>
  <c r="C24" i="117" s="1"/>
  <c r="C33" i="117" s="1"/>
  <c r="H24" i="117" s="1"/>
  <c r="F29" i="117" l="1"/>
  <c r="H28" i="117" s="1"/>
  <c r="H30" i="117" s="1"/>
  <c r="H32" i="117" s="1"/>
  <c r="C28" i="116" l="1"/>
  <c r="F27" i="116"/>
  <c r="H26" i="116"/>
  <c r="H15" i="116"/>
  <c r="H21" i="116" s="1"/>
  <c r="C26" i="116" s="1"/>
  <c r="D15" i="116"/>
  <c r="D21" i="116" s="1"/>
  <c r="C24" i="116" s="1"/>
  <c r="C33" i="116" s="1"/>
  <c r="H24" i="116" s="1"/>
  <c r="C28" i="115"/>
  <c r="F27" i="115"/>
  <c r="H26" i="115"/>
  <c r="H15" i="115"/>
  <c r="H21" i="115" s="1"/>
  <c r="C26" i="115" s="1"/>
  <c r="D15" i="115"/>
  <c r="D21" i="115" s="1"/>
  <c r="C24" i="115" s="1"/>
  <c r="C33" i="115" s="1"/>
  <c r="H24" i="115" s="1"/>
  <c r="C28" i="114"/>
  <c r="F27" i="114"/>
  <c r="H26" i="114"/>
  <c r="H15" i="114"/>
  <c r="H21" i="114" s="1"/>
  <c r="C26" i="114" s="1"/>
  <c r="D15" i="114"/>
  <c r="D21" i="114" s="1"/>
  <c r="C24" i="114" s="1"/>
  <c r="C33" i="114" s="1"/>
  <c r="H24" i="114" s="1"/>
  <c r="F29" i="116" l="1"/>
  <c r="H28" i="116" s="1"/>
  <c r="H30" i="116" s="1"/>
  <c r="H32" i="116" s="1"/>
  <c r="F29" i="115"/>
  <c r="H28" i="115" s="1"/>
  <c r="H30" i="115" s="1"/>
  <c r="H32" i="115" s="1"/>
  <c r="F29" i="114"/>
  <c r="H28" i="114" s="1"/>
  <c r="H30" i="114" s="1"/>
  <c r="H32" i="114" s="1"/>
  <c r="C28" i="113" l="1"/>
  <c r="F27" i="113"/>
  <c r="H26" i="113"/>
  <c r="H15" i="113"/>
  <c r="H21" i="113" s="1"/>
  <c r="C26" i="113" s="1"/>
  <c r="D15" i="113"/>
  <c r="D21" i="113" s="1"/>
  <c r="C24" i="113" s="1"/>
  <c r="C33" i="113" s="1"/>
  <c r="H24" i="113" s="1"/>
  <c r="C28" i="112"/>
  <c r="F27" i="112"/>
  <c r="H26" i="112"/>
  <c r="H15" i="112"/>
  <c r="H21" i="112" s="1"/>
  <c r="C26" i="112" s="1"/>
  <c r="D15" i="112"/>
  <c r="D21" i="112" s="1"/>
  <c r="C24" i="112" s="1"/>
  <c r="C33" i="112" s="1"/>
  <c r="H24" i="112" s="1"/>
  <c r="C28" i="111"/>
  <c r="F27" i="111"/>
  <c r="H26" i="111"/>
  <c r="H15" i="111"/>
  <c r="H21" i="111" s="1"/>
  <c r="C26" i="111" s="1"/>
  <c r="D15" i="111"/>
  <c r="D21" i="111" s="1"/>
  <c r="C24" i="111" s="1"/>
  <c r="C33" i="111" s="1"/>
  <c r="H24" i="111" s="1"/>
  <c r="C28" i="110"/>
  <c r="F27" i="110"/>
  <c r="H26" i="110"/>
  <c r="H15" i="110"/>
  <c r="H21" i="110" s="1"/>
  <c r="C26" i="110" s="1"/>
  <c r="D15" i="110"/>
  <c r="D21" i="110" s="1"/>
  <c r="C24" i="110" s="1"/>
  <c r="C33" i="110" s="1"/>
  <c r="H24" i="110" s="1"/>
  <c r="F29" i="113" l="1"/>
  <c r="H28" i="113" s="1"/>
  <c r="H30" i="113" s="1"/>
  <c r="H32" i="113" s="1"/>
  <c r="F29" i="112"/>
  <c r="H28" i="112" s="1"/>
  <c r="H30" i="112" s="1"/>
  <c r="H32" i="112" s="1"/>
  <c r="F29" i="111"/>
  <c r="H28" i="111" s="1"/>
  <c r="H30" i="111" s="1"/>
  <c r="H32" i="111" s="1"/>
  <c r="F29" i="110"/>
  <c r="H28" i="110" s="1"/>
  <c r="H30" i="110" s="1"/>
  <c r="H32" i="110" s="1"/>
  <c r="C28" i="109" l="1"/>
  <c r="F27" i="109"/>
  <c r="H26" i="109"/>
  <c r="H15" i="109"/>
  <c r="H21" i="109" s="1"/>
  <c r="C26" i="109" s="1"/>
  <c r="D15" i="109"/>
  <c r="D21" i="109" s="1"/>
  <c r="C24" i="109" s="1"/>
  <c r="C33" i="109" s="1"/>
  <c r="H24" i="109" s="1"/>
  <c r="F29" i="109" l="1"/>
  <c r="H28" i="109" s="1"/>
  <c r="H30" i="109" s="1"/>
  <c r="H32" i="109" s="1"/>
  <c r="C28" i="108"/>
  <c r="F27" i="108"/>
  <c r="H26" i="108"/>
  <c r="H15" i="108"/>
  <c r="H21" i="108" s="1"/>
  <c r="C26" i="108" s="1"/>
  <c r="D15" i="108"/>
  <c r="D21" i="108" s="1"/>
  <c r="C24" i="108" s="1"/>
  <c r="C33" i="108" s="1"/>
  <c r="H24" i="108" s="1"/>
  <c r="C28" i="107"/>
  <c r="F27" i="107"/>
  <c r="H26" i="107"/>
  <c r="H15" i="107"/>
  <c r="H21" i="107" s="1"/>
  <c r="C26" i="107" s="1"/>
  <c r="D15" i="107"/>
  <c r="D21" i="107" s="1"/>
  <c r="C24" i="107" s="1"/>
  <c r="C33" i="107" s="1"/>
  <c r="H24" i="107" s="1"/>
  <c r="F29" i="108" l="1"/>
  <c r="H28" i="108" s="1"/>
  <c r="H30" i="108" s="1"/>
  <c r="H32" i="108" s="1"/>
  <c r="F29" i="107"/>
  <c r="H28" i="107" s="1"/>
  <c r="H30" i="107" s="1"/>
  <c r="H32" i="107" s="1"/>
  <c r="C28" i="106" l="1"/>
  <c r="F27" i="106"/>
  <c r="H26" i="106"/>
  <c r="H15" i="106"/>
  <c r="H21" i="106" s="1"/>
  <c r="C26" i="106" s="1"/>
  <c r="D15" i="106"/>
  <c r="D21" i="106" s="1"/>
  <c r="C24" i="106" s="1"/>
  <c r="C33" i="106" s="1"/>
  <c r="H24" i="106" s="1"/>
  <c r="F29" i="106" l="1"/>
  <c r="H28" i="106" s="1"/>
  <c r="H30" i="106" s="1"/>
  <c r="H32" i="106" s="1"/>
  <c r="C28" i="105" l="1"/>
  <c r="F27" i="105"/>
  <c r="H26" i="105"/>
  <c r="H15" i="105"/>
  <c r="H21" i="105" s="1"/>
  <c r="C26" i="105" s="1"/>
  <c r="D15" i="105"/>
  <c r="D21" i="105" s="1"/>
  <c r="C24" i="105" s="1"/>
  <c r="C33" i="105" s="1"/>
  <c r="H24" i="105" s="1"/>
  <c r="F29" i="105" l="1"/>
  <c r="H28" i="105" s="1"/>
  <c r="H30" i="105" s="1"/>
  <c r="H32" i="105" s="1"/>
  <c r="C28" i="104" l="1"/>
  <c r="F27" i="104"/>
  <c r="H26" i="104"/>
  <c r="H15" i="104"/>
  <c r="H21" i="104" s="1"/>
  <c r="C26" i="104" s="1"/>
  <c r="D15" i="104"/>
  <c r="D21" i="104" s="1"/>
  <c r="C24" i="104" s="1"/>
  <c r="C33" i="104" s="1"/>
  <c r="H24" i="104" s="1"/>
  <c r="C28" i="103"/>
  <c r="F27" i="103"/>
  <c r="H26" i="103"/>
  <c r="H15" i="103"/>
  <c r="H21" i="103" s="1"/>
  <c r="C26" i="103" s="1"/>
  <c r="D15" i="103"/>
  <c r="D21" i="103" s="1"/>
  <c r="C24" i="103" s="1"/>
  <c r="C33" i="103" s="1"/>
  <c r="H24" i="103" s="1"/>
  <c r="F29" i="104" l="1"/>
  <c r="H28" i="104" s="1"/>
  <c r="F29" i="103"/>
  <c r="H28" i="103" s="1"/>
  <c r="H30" i="103" s="1"/>
  <c r="H32" i="103" s="1"/>
  <c r="H30" i="104" l="1"/>
  <c r="H32" i="104" s="1"/>
  <c r="C28" i="102" l="1"/>
  <c r="F27" i="102"/>
  <c r="H26" i="102"/>
  <c r="H15" i="102"/>
  <c r="H21" i="102" s="1"/>
  <c r="C26" i="102" s="1"/>
  <c r="D15" i="102"/>
  <c r="D21" i="102" s="1"/>
  <c r="C24" i="102" s="1"/>
  <c r="C33" i="102" s="1"/>
  <c r="H24" i="102" s="1"/>
  <c r="C28" i="89"/>
  <c r="F27" i="89"/>
  <c r="H26" i="89"/>
  <c r="H15" i="89"/>
  <c r="H21" i="89" s="1"/>
  <c r="C26" i="89" s="1"/>
  <c r="D15" i="89"/>
  <c r="D21" i="89" s="1"/>
  <c r="C24" i="89" s="1"/>
  <c r="C33" i="89" s="1"/>
  <c r="H24" i="89" s="1"/>
  <c r="F29" i="102" l="1"/>
  <c r="H28" i="102" s="1"/>
  <c r="H30" i="102" s="1"/>
  <c r="H32" i="102" s="1"/>
  <c r="F29" i="89"/>
  <c r="H28" i="89" s="1"/>
  <c r="H30" i="89" s="1"/>
  <c r="H32" i="89" s="1"/>
  <c r="C28" i="101" l="1"/>
  <c r="F27" i="101"/>
  <c r="H26" i="101"/>
  <c r="H15" i="101"/>
  <c r="H21" i="101" s="1"/>
  <c r="C26" i="101" s="1"/>
  <c r="D15" i="101"/>
  <c r="D21" i="101" s="1"/>
  <c r="C24" i="101" s="1"/>
  <c r="C33" i="101" s="1"/>
  <c r="H24" i="101" s="1"/>
  <c r="C28" i="100"/>
  <c r="F27" i="100"/>
  <c r="H26" i="100"/>
  <c r="H15" i="100"/>
  <c r="H21" i="100" s="1"/>
  <c r="C26" i="100" s="1"/>
  <c r="D15" i="100"/>
  <c r="D21" i="100" s="1"/>
  <c r="C24" i="100" s="1"/>
  <c r="C33" i="100" s="1"/>
  <c r="H24" i="100" s="1"/>
  <c r="F29" i="101" l="1"/>
  <c r="H28" i="101" s="1"/>
  <c r="H30" i="101" s="1"/>
  <c r="H32" i="101" s="1"/>
  <c r="F29" i="100"/>
  <c r="H28" i="100" s="1"/>
  <c r="H30" i="100" s="1"/>
  <c r="H32" i="100" s="1"/>
  <c r="C28" i="99" l="1"/>
  <c r="F27" i="99"/>
  <c r="H26" i="99"/>
  <c r="H15" i="99"/>
  <c r="H21" i="99" s="1"/>
  <c r="C26" i="99" s="1"/>
  <c r="D15" i="99"/>
  <c r="D21" i="99" s="1"/>
  <c r="C24" i="99" s="1"/>
  <c r="C33" i="99" s="1"/>
  <c r="H24" i="99" s="1"/>
  <c r="F29" i="99" l="1"/>
  <c r="H28" i="99" s="1"/>
  <c r="H30" i="99" s="1"/>
  <c r="H32" i="99" s="1"/>
  <c r="C28" i="98" l="1"/>
  <c r="F27" i="98"/>
  <c r="H26" i="98"/>
  <c r="H15" i="98"/>
  <c r="H21" i="98" s="1"/>
  <c r="C26" i="98" s="1"/>
  <c r="D15" i="98"/>
  <c r="D21" i="98" s="1"/>
  <c r="C24" i="98" s="1"/>
  <c r="C33" i="98" s="1"/>
  <c r="H24" i="98" s="1"/>
  <c r="F29" i="98" l="1"/>
  <c r="H28" i="98" s="1"/>
  <c r="H30" i="98" s="1"/>
  <c r="H32" i="98" s="1"/>
  <c r="C28" i="96"/>
  <c r="F27" i="96"/>
  <c r="H26" i="96"/>
  <c r="H15" i="96"/>
  <c r="H21" i="96" s="1"/>
  <c r="C26" i="96" s="1"/>
  <c r="D15" i="96"/>
  <c r="D21" i="96" s="1"/>
  <c r="C24" i="96" s="1"/>
  <c r="C33" i="96" s="1"/>
  <c r="H24" i="96" s="1"/>
  <c r="F29" i="96" l="1"/>
  <c r="H28" i="96" s="1"/>
  <c r="H30" i="96" s="1"/>
  <c r="H32" i="96" s="1"/>
  <c r="C28" i="95" l="1"/>
  <c r="F27" i="95"/>
  <c r="H26" i="95"/>
  <c r="H15" i="95"/>
  <c r="H21" i="95" s="1"/>
  <c r="C26" i="95" s="1"/>
  <c r="D15" i="95"/>
  <c r="D21" i="95" s="1"/>
  <c r="C24" i="95" s="1"/>
  <c r="C33" i="95" s="1"/>
  <c r="H24" i="95" s="1"/>
  <c r="C28" i="94"/>
  <c r="F27" i="94"/>
  <c r="H26" i="94"/>
  <c r="H15" i="94"/>
  <c r="H21" i="94" s="1"/>
  <c r="C26" i="94" s="1"/>
  <c r="D15" i="94"/>
  <c r="D21" i="94" s="1"/>
  <c r="C24" i="94" s="1"/>
  <c r="C33" i="94" s="1"/>
  <c r="H24" i="94" s="1"/>
  <c r="C28" i="93"/>
  <c r="F27" i="93"/>
  <c r="H26" i="93"/>
  <c r="H15" i="93"/>
  <c r="H21" i="93" s="1"/>
  <c r="C26" i="93" s="1"/>
  <c r="D15" i="93"/>
  <c r="D21" i="93" s="1"/>
  <c r="C24" i="93" s="1"/>
  <c r="C33" i="93" s="1"/>
  <c r="H24" i="93" s="1"/>
  <c r="C28" i="92"/>
  <c r="F27" i="92"/>
  <c r="H26" i="92"/>
  <c r="H15" i="92"/>
  <c r="H21" i="92" s="1"/>
  <c r="C26" i="92" s="1"/>
  <c r="D15" i="92"/>
  <c r="D21" i="92" s="1"/>
  <c r="C24" i="92" s="1"/>
  <c r="C33" i="92" s="1"/>
  <c r="H24" i="92" s="1"/>
  <c r="C28" i="91"/>
  <c r="F27" i="91"/>
  <c r="H26" i="91"/>
  <c r="H15" i="91"/>
  <c r="H21" i="91" s="1"/>
  <c r="C26" i="91" s="1"/>
  <c r="D15" i="91"/>
  <c r="D21" i="91" s="1"/>
  <c r="C24" i="91" s="1"/>
  <c r="C33" i="91" s="1"/>
  <c r="H24" i="91" s="1"/>
  <c r="F29" i="95" l="1"/>
  <c r="H28" i="95" s="1"/>
  <c r="H30" i="95" s="1"/>
  <c r="H32" i="95" s="1"/>
  <c r="F29" i="94"/>
  <c r="H28" i="94" s="1"/>
  <c r="H30" i="94" s="1"/>
  <c r="H32" i="94" s="1"/>
  <c r="F29" i="93"/>
  <c r="H28" i="93" s="1"/>
  <c r="H30" i="93" s="1"/>
  <c r="H32" i="93" s="1"/>
  <c r="F29" i="92"/>
  <c r="H28" i="92" s="1"/>
  <c r="H30" i="92" s="1"/>
  <c r="H32" i="92" s="1"/>
  <c r="F29" i="91"/>
  <c r="H28" i="91" s="1"/>
  <c r="H30" i="91" s="1"/>
  <c r="H32" i="91" s="1"/>
  <c r="C28" i="90" l="1"/>
  <c r="F27" i="90"/>
  <c r="H26" i="90"/>
  <c r="H15" i="90"/>
  <c r="H21" i="90" s="1"/>
  <c r="C26" i="90" s="1"/>
  <c r="D15" i="90"/>
  <c r="D21" i="90" s="1"/>
  <c r="C24" i="90" s="1"/>
  <c r="C33" i="90" s="1"/>
  <c r="H24" i="90" s="1"/>
  <c r="C29" i="88"/>
  <c r="F28" i="88"/>
  <c r="H27" i="88"/>
  <c r="H16" i="88"/>
  <c r="H22" i="88" s="1"/>
  <c r="C27" i="88" s="1"/>
  <c r="D16" i="88"/>
  <c r="D22" i="88" s="1"/>
  <c r="C25" i="88" s="1"/>
  <c r="C34" i="88" s="1"/>
  <c r="H25" i="88" s="1"/>
  <c r="C29" i="87"/>
  <c r="F28" i="87"/>
  <c r="H27" i="87"/>
  <c r="H16" i="87"/>
  <c r="H22" i="87" s="1"/>
  <c r="C27" i="87" s="1"/>
  <c r="D16" i="87"/>
  <c r="D22" i="87" s="1"/>
  <c r="C25" i="87" s="1"/>
  <c r="C34" i="87" s="1"/>
  <c r="H25" i="87" s="1"/>
  <c r="H16" i="86"/>
  <c r="D16" i="86"/>
  <c r="F29" i="90" l="1"/>
  <c r="H28" i="90" s="1"/>
  <c r="H30" i="90" s="1"/>
  <c r="H32" i="90" s="1"/>
  <c r="F30" i="88"/>
  <c r="H29" i="88" s="1"/>
  <c r="H31" i="88" s="1"/>
  <c r="H33" i="88" s="1"/>
  <c r="F30" i="87"/>
  <c r="H29" i="87" s="1"/>
  <c r="H31" i="87" s="1"/>
  <c r="H33" i="87" s="1"/>
  <c r="C29" i="86"/>
  <c r="F28" i="86"/>
  <c r="H27" i="86"/>
  <c r="H22" i="86"/>
  <c r="C27" i="86" s="1"/>
  <c r="D22" i="86"/>
  <c r="C25" i="86" s="1"/>
  <c r="C34" i="86" s="1"/>
  <c r="H25" i="86" s="1"/>
  <c r="C28" i="85"/>
  <c r="F27" i="85"/>
  <c r="H26" i="85"/>
  <c r="H15" i="85"/>
  <c r="H21" i="85" s="1"/>
  <c r="C26" i="85" s="1"/>
  <c r="D15" i="85"/>
  <c r="D21" i="85" s="1"/>
  <c r="C24" i="85" s="1"/>
  <c r="C33" i="85" s="1"/>
  <c r="H24" i="85" s="1"/>
  <c r="C28" i="84"/>
  <c r="F27" i="84"/>
  <c r="H26" i="84"/>
  <c r="H15" i="84"/>
  <c r="H21" i="84" s="1"/>
  <c r="C26" i="84" s="1"/>
  <c r="D15" i="84"/>
  <c r="D21" i="84" s="1"/>
  <c r="C24" i="84" s="1"/>
  <c r="C33" i="84" s="1"/>
  <c r="H24" i="84" s="1"/>
  <c r="C28" i="83"/>
  <c r="F27" i="83"/>
  <c r="H26" i="83"/>
  <c r="H15" i="83"/>
  <c r="H21" i="83" s="1"/>
  <c r="C26" i="83" s="1"/>
  <c r="D15" i="83"/>
  <c r="D21" i="83" s="1"/>
  <c r="C24" i="83" s="1"/>
  <c r="C33" i="83" s="1"/>
  <c r="H24" i="83" s="1"/>
  <c r="C28" i="82"/>
  <c r="F27" i="82"/>
  <c r="H26" i="82"/>
  <c r="H15" i="82"/>
  <c r="H21" i="82" s="1"/>
  <c r="C26" i="82" s="1"/>
  <c r="D15" i="82"/>
  <c r="D21" i="82" s="1"/>
  <c r="C24" i="82" s="1"/>
  <c r="C33" i="82" s="1"/>
  <c r="H24" i="82" s="1"/>
  <c r="C28" i="81"/>
  <c r="F27" i="81"/>
  <c r="H26" i="81"/>
  <c r="H15" i="81"/>
  <c r="H21" i="81" s="1"/>
  <c r="C26" i="81" s="1"/>
  <c r="D15" i="81"/>
  <c r="D21" i="81" s="1"/>
  <c r="C24" i="81" s="1"/>
  <c r="C33" i="81" s="1"/>
  <c r="H24" i="81" s="1"/>
  <c r="F30" i="86" l="1"/>
  <c r="H29" i="86" s="1"/>
  <c r="H31" i="86" s="1"/>
  <c r="H33" i="86" s="1"/>
  <c r="F29" i="85"/>
  <c r="H28" i="85" s="1"/>
  <c r="H30" i="85" s="1"/>
  <c r="H32" i="85" s="1"/>
  <c r="F29" i="84"/>
  <c r="H28" i="84" s="1"/>
  <c r="H30" i="84" s="1"/>
  <c r="H32" i="84" s="1"/>
  <c r="F29" i="83"/>
  <c r="H28" i="83" s="1"/>
  <c r="H30" i="83" s="1"/>
  <c r="H32" i="83" s="1"/>
  <c r="F29" i="82"/>
  <c r="H28" i="82" s="1"/>
  <c r="H30" i="82" s="1"/>
  <c r="H32" i="82" s="1"/>
  <c r="F29" i="81"/>
  <c r="H28" i="81" s="1"/>
  <c r="H30" i="81" s="1"/>
  <c r="H32" i="81" s="1"/>
  <c r="C28" i="80"/>
  <c r="F27" i="80"/>
  <c r="H26" i="80"/>
  <c r="H15" i="80"/>
  <c r="H21" i="80" s="1"/>
  <c r="C26" i="80" s="1"/>
  <c r="D15" i="80"/>
  <c r="D21" i="80" s="1"/>
  <c r="C24" i="80" s="1"/>
  <c r="C33" i="80" s="1"/>
  <c r="H24" i="80" s="1"/>
  <c r="C28" i="79"/>
  <c r="F27" i="79"/>
  <c r="H26" i="79"/>
  <c r="H15" i="79"/>
  <c r="H21" i="79" s="1"/>
  <c r="C26" i="79" s="1"/>
  <c r="D15" i="79"/>
  <c r="D21" i="79" s="1"/>
  <c r="C24" i="79" s="1"/>
  <c r="C33" i="79" s="1"/>
  <c r="H24" i="79" s="1"/>
  <c r="C28" i="78"/>
  <c r="F27" i="78"/>
  <c r="H26" i="78"/>
  <c r="H15" i="78"/>
  <c r="H21" i="78" s="1"/>
  <c r="C26" i="78" s="1"/>
  <c r="D15" i="78"/>
  <c r="D21" i="78" s="1"/>
  <c r="C24" i="78" s="1"/>
  <c r="C33" i="78" s="1"/>
  <c r="H24" i="78" s="1"/>
  <c r="C28" i="77"/>
  <c r="F27" i="77"/>
  <c r="H26" i="77"/>
  <c r="H15" i="77"/>
  <c r="H21" i="77" s="1"/>
  <c r="C26" i="77" s="1"/>
  <c r="D15" i="77"/>
  <c r="D21" i="77" s="1"/>
  <c r="C24" i="77" s="1"/>
  <c r="C33" i="77" s="1"/>
  <c r="H24" i="77" s="1"/>
  <c r="C28" i="76"/>
  <c r="F27" i="76"/>
  <c r="H26" i="76"/>
  <c r="H15" i="76"/>
  <c r="H21" i="76" s="1"/>
  <c r="C26" i="76" s="1"/>
  <c r="D15" i="76"/>
  <c r="D21" i="76" s="1"/>
  <c r="C24" i="76" s="1"/>
  <c r="C33" i="76" s="1"/>
  <c r="H24" i="76" s="1"/>
  <c r="H32" i="75"/>
  <c r="C28" i="75"/>
  <c r="F27" i="75"/>
  <c r="H26" i="75"/>
  <c r="H15" i="75"/>
  <c r="H21" i="75" s="1"/>
  <c r="C26" i="75" s="1"/>
  <c r="D15" i="75"/>
  <c r="D21" i="75" s="1"/>
  <c r="C24" i="75" s="1"/>
  <c r="C33" i="75" s="1"/>
  <c r="H24" i="75" s="1"/>
  <c r="C28" i="73"/>
  <c r="F27" i="73"/>
  <c r="H26" i="73"/>
  <c r="H15" i="73"/>
  <c r="H21" i="73" s="1"/>
  <c r="C26" i="73" s="1"/>
  <c r="D15" i="73"/>
  <c r="D21" i="73" s="1"/>
  <c r="C24" i="73" s="1"/>
  <c r="C33" i="73" s="1"/>
  <c r="H24" i="73" s="1"/>
  <c r="F29" i="80" l="1"/>
  <c r="H28" i="80" s="1"/>
  <c r="H30" i="80" s="1"/>
  <c r="H32" i="80" s="1"/>
  <c r="F29" i="79"/>
  <c r="H28" i="79" s="1"/>
  <c r="H30" i="79" s="1"/>
  <c r="H32" i="79" s="1"/>
  <c r="F29" i="78"/>
  <c r="H28" i="78" s="1"/>
  <c r="H30" i="78" s="1"/>
  <c r="H32" i="78" s="1"/>
  <c r="F29" i="77"/>
  <c r="H28" i="77" s="1"/>
  <c r="H30" i="77" s="1"/>
  <c r="H32" i="77" s="1"/>
  <c r="F29" i="76"/>
  <c r="H28" i="76" s="1"/>
  <c r="H30" i="76" s="1"/>
  <c r="H32" i="76" s="1"/>
  <c r="F29" i="75"/>
  <c r="H28" i="75" s="1"/>
  <c r="H30" i="75" s="1"/>
  <c r="F29" i="73"/>
  <c r="H28" i="73" s="1"/>
  <c r="H30" i="73" s="1"/>
  <c r="H32" i="73" s="1"/>
  <c r="H32" i="72" l="1"/>
  <c r="C28" i="72"/>
  <c r="F27" i="72"/>
  <c r="H26" i="72"/>
  <c r="H15" i="72"/>
  <c r="H21" i="72" s="1"/>
  <c r="C26" i="72" s="1"/>
  <c r="D15" i="72"/>
  <c r="D21" i="72" s="1"/>
  <c r="C24" i="72" s="1"/>
  <c r="C33" i="72" s="1"/>
  <c r="H24" i="72" s="1"/>
  <c r="H32" i="68"/>
  <c r="C28" i="68"/>
  <c r="F27" i="68"/>
  <c r="H26" i="68"/>
  <c r="H15" i="68"/>
  <c r="H21" i="68" s="1"/>
  <c r="C26" i="68" s="1"/>
  <c r="D15" i="68"/>
  <c r="D21" i="68" s="1"/>
  <c r="C24" i="68" s="1"/>
  <c r="C33" i="68" s="1"/>
  <c r="H24" i="68" s="1"/>
  <c r="F29" i="72" l="1"/>
  <c r="H28" i="72" s="1"/>
  <c r="H30" i="72" s="1"/>
  <c r="F29" i="68"/>
  <c r="H28" i="68" s="1"/>
  <c r="H30" i="68" s="1"/>
  <c r="C28" i="65" l="1"/>
  <c r="F27" i="65"/>
  <c r="H26" i="65"/>
  <c r="H15" i="65"/>
  <c r="H21" i="65" s="1"/>
  <c r="C26" i="65" s="1"/>
  <c r="D15" i="65"/>
  <c r="D21" i="65" s="1"/>
  <c r="C24" i="65" s="1"/>
  <c r="C33" i="65" s="1"/>
  <c r="H24" i="65" s="1"/>
  <c r="C28" i="64"/>
  <c r="F27" i="64"/>
  <c r="H26" i="64"/>
  <c r="H15" i="64"/>
  <c r="H21" i="64" s="1"/>
  <c r="C26" i="64" s="1"/>
  <c r="D15" i="64"/>
  <c r="D21" i="64" s="1"/>
  <c r="C24" i="64" s="1"/>
  <c r="C33" i="64" s="1"/>
  <c r="H24" i="64" s="1"/>
  <c r="F29" i="65" l="1"/>
  <c r="H28" i="65" s="1"/>
  <c r="H30" i="65" s="1"/>
  <c r="H32" i="65" s="1"/>
  <c r="F29" i="64"/>
  <c r="H28" i="64" s="1"/>
  <c r="H30" i="64" s="1"/>
  <c r="H32" i="64" s="1"/>
  <c r="C28" i="62"/>
  <c r="F27" i="62"/>
  <c r="H26" i="62"/>
  <c r="H15" i="62"/>
  <c r="H21" i="62" s="1"/>
  <c r="C26" i="62" s="1"/>
  <c r="D15" i="62"/>
  <c r="D21" i="62" s="1"/>
  <c r="C24" i="62" s="1"/>
  <c r="C33" i="62" s="1"/>
  <c r="H24" i="62" s="1"/>
  <c r="F29" i="62" l="1"/>
  <c r="H28" i="62" s="1"/>
  <c r="H30" i="62" s="1"/>
  <c r="H32" i="62" s="1"/>
  <c r="C28" i="61"/>
  <c r="F27" i="61"/>
  <c r="H26" i="61"/>
  <c r="H15" i="61"/>
  <c r="H21" i="61" s="1"/>
  <c r="C26" i="61" s="1"/>
  <c r="D15" i="61"/>
  <c r="D21" i="61" s="1"/>
  <c r="C24" i="61" s="1"/>
  <c r="C33" i="61" s="1"/>
  <c r="H24" i="61" s="1"/>
  <c r="F29" i="61" l="1"/>
  <c r="H28" i="61" s="1"/>
  <c r="H30" i="61" s="1"/>
  <c r="H32" i="61" s="1"/>
  <c r="C28" i="60"/>
  <c r="F27" i="60"/>
  <c r="H26" i="60"/>
  <c r="H15" i="60"/>
  <c r="H21" i="60" s="1"/>
  <c r="C26" i="60" s="1"/>
  <c r="D15" i="60"/>
  <c r="D21" i="60" s="1"/>
  <c r="C24" i="60" s="1"/>
  <c r="C33" i="60" s="1"/>
  <c r="H24" i="60" s="1"/>
  <c r="C28" i="59"/>
  <c r="F27" i="59"/>
  <c r="H26" i="59"/>
  <c r="H15" i="59"/>
  <c r="H21" i="59" s="1"/>
  <c r="C26" i="59" s="1"/>
  <c r="D15" i="59"/>
  <c r="D21" i="59" s="1"/>
  <c r="C24" i="59" s="1"/>
  <c r="C33" i="59" s="1"/>
  <c r="H24" i="59" s="1"/>
  <c r="C28" i="58"/>
  <c r="F27" i="58"/>
  <c r="H26" i="58"/>
  <c r="H15" i="58"/>
  <c r="H21" i="58" s="1"/>
  <c r="C26" i="58" s="1"/>
  <c r="D15" i="58"/>
  <c r="D21" i="58" s="1"/>
  <c r="C24" i="58" s="1"/>
  <c r="C33" i="58" s="1"/>
  <c r="H24" i="58" s="1"/>
  <c r="C28" i="57"/>
  <c r="F27" i="57"/>
  <c r="H26" i="57"/>
  <c r="H15" i="57"/>
  <c r="H21" i="57" s="1"/>
  <c r="C26" i="57" s="1"/>
  <c r="D15" i="57"/>
  <c r="D21" i="57" s="1"/>
  <c r="C24" i="57" s="1"/>
  <c r="C33" i="57" s="1"/>
  <c r="H24" i="57" s="1"/>
  <c r="C28" i="56"/>
  <c r="F27" i="56"/>
  <c r="H26" i="56"/>
  <c r="H15" i="56"/>
  <c r="H21" i="56" s="1"/>
  <c r="C26" i="56" s="1"/>
  <c r="D15" i="56"/>
  <c r="D21" i="56" s="1"/>
  <c r="C24" i="56" s="1"/>
  <c r="C33" i="56" s="1"/>
  <c r="H24" i="56" s="1"/>
  <c r="F29" i="60" l="1"/>
  <c r="H28" i="60" s="1"/>
  <c r="H30" i="60" s="1"/>
  <c r="H32" i="60" s="1"/>
  <c r="F29" i="59"/>
  <c r="H28" i="59" s="1"/>
  <c r="H30" i="59" s="1"/>
  <c r="H32" i="59" s="1"/>
  <c r="F29" i="58"/>
  <c r="H28" i="58" s="1"/>
  <c r="H30" i="58" s="1"/>
  <c r="H32" i="58" s="1"/>
  <c r="F29" i="57"/>
  <c r="H28" i="57" s="1"/>
  <c r="H30" i="57" s="1"/>
  <c r="H32" i="57" s="1"/>
  <c r="F29" i="56"/>
  <c r="H28" i="56" s="1"/>
  <c r="H30" i="56" s="1"/>
  <c r="H32" i="56" s="1"/>
  <c r="C28" i="54" l="1"/>
  <c r="F27" i="54"/>
  <c r="H26" i="54"/>
  <c r="H15" i="54"/>
  <c r="H21" i="54" s="1"/>
  <c r="C26" i="54" s="1"/>
  <c r="D15" i="54"/>
  <c r="D21" i="54" s="1"/>
  <c r="C24" i="54" s="1"/>
  <c r="C33" i="54" s="1"/>
  <c r="H24" i="54" s="1"/>
  <c r="C28" i="53"/>
  <c r="F27" i="53"/>
  <c r="H26" i="53"/>
  <c r="H15" i="53"/>
  <c r="H21" i="53" s="1"/>
  <c r="C26" i="53" s="1"/>
  <c r="D15" i="53"/>
  <c r="D21" i="53" s="1"/>
  <c r="C24" i="53" s="1"/>
  <c r="C33" i="53" s="1"/>
  <c r="H24" i="53" s="1"/>
  <c r="C28" i="52"/>
  <c r="F27" i="52"/>
  <c r="H26" i="52"/>
  <c r="H15" i="52"/>
  <c r="H21" i="52" s="1"/>
  <c r="C26" i="52" s="1"/>
  <c r="D15" i="52"/>
  <c r="D21" i="52" s="1"/>
  <c r="C24" i="52" s="1"/>
  <c r="C33" i="52" s="1"/>
  <c r="H24" i="52" s="1"/>
  <c r="C28" i="51"/>
  <c r="F27" i="51"/>
  <c r="H26" i="51"/>
  <c r="H15" i="51"/>
  <c r="H21" i="51" s="1"/>
  <c r="C26" i="51" s="1"/>
  <c r="D15" i="51"/>
  <c r="D21" i="51" s="1"/>
  <c r="C24" i="51" s="1"/>
  <c r="C33" i="51" s="1"/>
  <c r="H24" i="51" s="1"/>
  <c r="F29" i="54" l="1"/>
  <c r="H28" i="54" s="1"/>
  <c r="H30" i="54" s="1"/>
  <c r="H32" i="54" s="1"/>
  <c r="F29" i="53"/>
  <c r="H28" i="53" s="1"/>
  <c r="H30" i="53" s="1"/>
  <c r="H32" i="53" s="1"/>
  <c r="F29" i="52"/>
  <c r="H28" i="52" s="1"/>
  <c r="H30" i="52" s="1"/>
  <c r="H32" i="52" s="1"/>
  <c r="F29" i="51"/>
  <c r="H28" i="51" s="1"/>
  <c r="H30" i="51" s="1"/>
  <c r="H32" i="51" s="1"/>
  <c r="C28" i="50" l="1"/>
  <c r="F27" i="50"/>
  <c r="H26" i="50"/>
  <c r="H15" i="50"/>
  <c r="H21" i="50" s="1"/>
  <c r="C26" i="50" s="1"/>
  <c r="D15" i="50"/>
  <c r="D21" i="50" s="1"/>
  <c r="C24" i="50" s="1"/>
  <c r="C33" i="50" s="1"/>
  <c r="H24" i="50" s="1"/>
  <c r="F29" i="50" l="1"/>
  <c r="H28" i="50" s="1"/>
  <c r="H30" i="50" s="1"/>
  <c r="H32" i="50" s="1"/>
  <c r="D15" i="46"/>
  <c r="C28" i="46" l="1"/>
  <c r="F27" i="46"/>
  <c r="H26" i="46"/>
  <c r="H15" i="46"/>
  <c r="H21" i="46" s="1"/>
  <c r="C26" i="46" s="1"/>
  <c r="D21" i="46"/>
  <c r="C24" i="46" s="1"/>
  <c r="C33" i="46" s="1"/>
  <c r="H24" i="46" s="1"/>
  <c r="C27" i="45"/>
  <c r="F26" i="45"/>
  <c r="H25" i="45"/>
  <c r="H14" i="45"/>
  <c r="H20" i="45" s="1"/>
  <c r="C25" i="45" s="1"/>
  <c r="D14" i="45"/>
  <c r="D20" i="45" s="1"/>
  <c r="C23" i="45" s="1"/>
  <c r="C32" i="45" s="1"/>
  <c r="H23" i="45" s="1"/>
  <c r="C27" i="44"/>
  <c r="F26" i="44"/>
  <c r="H25" i="44"/>
  <c r="H14" i="44"/>
  <c r="H20" i="44" s="1"/>
  <c r="C25" i="44" s="1"/>
  <c r="D14" i="44"/>
  <c r="D20" i="44" s="1"/>
  <c r="C23" i="44" s="1"/>
  <c r="C32" i="44" s="1"/>
  <c r="H23" i="44" s="1"/>
  <c r="F29" i="46" l="1"/>
  <c r="H28" i="46" s="1"/>
  <c r="H30" i="46" s="1"/>
  <c r="H32" i="46" s="1"/>
  <c r="F28" i="45"/>
  <c r="H27" i="45" s="1"/>
  <c r="H29" i="45" s="1"/>
  <c r="H31" i="45" s="1"/>
  <c r="F28" i="44"/>
  <c r="H27" i="44" s="1"/>
  <c r="H29" i="44" s="1"/>
  <c r="H31" i="44" s="1"/>
  <c r="C27" i="41"/>
  <c r="F26" i="41"/>
  <c r="H25" i="41"/>
  <c r="H14" i="41"/>
  <c r="H20" i="41" s="1"/>
  <c r="C25" i="41" s="1"/>
  <c r="D14" i="41"/>
  <c r="D20" i="41" s="1"/>
  <c r="C23" i="41" s="1"/>
  <c r="C32" i="41" s="1"/>
  <c r="H23" i="41" s="1"/>
  <c r="C27" i="40"/>
  <c r="F26" i="40"/>
  <c r="C29" i="40" s="1"/>
  <c r="H25" i="40"/>
  <c r="H14" i="40"/>
  <c r="H20" i="40" s="1"/>
  <c r="C25" i="40" s="1"/>
  <c r="D14" i="40"/>
  <c r="D20" i="40" s="1"/>
  <c r="C23" i="40" s="1"/>
  <c r="C32" i="40" s="1"/>
  <c r="H23" i="40" s="1"/>
  <c r="F28" i="41" l="1"/>
  <c r="H27" i="41" s="1"/>
  <c r="H29" i="41" s="1"/>
  <c r="H31" i="41" s="1"/>
  <c r="F28" i="40"/>
  <c r="H27" i="40" s="1"/>
  <c r="H29" i="40" s="1"/>
  <c r="H31" i="40" s="1"/>
  <c r="C27" i="37"/>
  <c r="F26" i="37"/>
  <c r="H25" i="37"/>
  <c r="H14" i="37"/>
  <c r="H20" i="37" s="1"/>
  <c r="C25" i="37" s="1"/>
  <c r="D14" i="37"/>
  <c r="D20" i="37" s="1"/>
  <c r="C23" i="37" s="1"/>
  <c r="C32" i="37" s="1"/>
  <c r="H23" i="37" s="1"/>
  <c r="H14" i="36"/>
  <c r="D14" i="36"/>
  <c r="C27" i="36"/>
  <c r="F26" i="36"/>
  <c r="H25" i="36"/>
  <c r="H20" i="36"/>
  <c r="C25" i="36" s="1"/>
  <c r="D20" i="36"/>
  <c r="C23" i="36" s="1"/>
  <c r="C32" i="36" s="1"/>
  <c r="H23" i="36" s="1"/>
  <c r="F28" i="37" l="1"/>
  <c r="H27" i="37" s="1"/>
  <c r="H29" i="37" s="1"/>
  <c r="H31" i="37" s="1"/>
  <c r="F28" i="36"/>
  <c r="H27" i="36" s="1"/>
  <c r="H29" i="36" s="1"/>
  <c r="H31" i="36" s="1"/>
  <c r="C26" i="35" l="1"/>
  <c r="F25" i="35"/>
  <c r="H24" i="35"/>
  <c r="H13" i="35"/>
  <c r="H19" i="35" s="1"/>
  <c r="C24" i="35" s="1"/>
  <c r="D13" i="35"/>
  <c r="D19" i="35" s="1"/>
  <c r="C22" i="35" s="1"/>
  <c r="C31" i="35" s="1"/>
  <c r="H22" i="35" s="1"/>
  <c r="F27" i="35" l="1"/>
  <c r="H26" i="35" s="1"/>
  <c r="H28" i="35" s="1"/>
  <c r="H30" i="35" s="1"/>
  <c r="C26" i="34"/>
  <c r="F25" i="34"/>
  <c r="H24" i="34" s="1"/>
  <c r="H13" i="34"/>
  <c r="H19" i="34" s="1"/>
  <c r="C24" i="34" s="1"/>
  <c r="D13" i="34"/>
  <c r="D19" i="34" s="1"/>
  <c r="C22" i="34" s="1"/>
  <c r="C31" i="34" s="1"/>
  <c r="H22" i="34" s="1"/>
  <c r="F25" i="31"/>
  <c r="C26" i="31"/>
  <c r="H13" i="31"/>
  <c r="H19" i="31" s="1"/>
  <c r="C24" i="31" s="1"/>
  <c r="D13" i="31"/>
  <c r="D19" i="31" s="1"/>
  <c r="C22" i="31" s="1"/>
  <c r="C31" i="31" s="1"/>
  <c r="H22" i="31" s="1"/>
  <c r="H28" i="31" l="1"/>
  <c r="H30" i="31" s="1"/>
  <c r="F27" i="31"/>
  <c r="F27" i="34"/>
  <c r="H26" i="34" s="1"/>
  <c r="H28" i="34" s="1"/>
  <c r="H30" i="34" s="1"/>
  <c r="C26" i="28"/>
  <c r="H13" i="28"/>
  <c r="H19" i="28" s="1"/>
  <c r="C24" i="28" s="1"/>
  <c r="D13" i="28"/>
  <c r="D19" i="28" s="1"/>
  <c r="C22" i="28" s="1"/>
  <c r="C31" i="28" s="1"/>
  <c r="H22" i="28" s="1"/>
  <c r="H28" i="28" s="1"/>
  <c r="H30" i="28" s="1"/>
  <c r="C26" i="27"/>
  <c r="H13" i="27"/>
  <c r="H19" i="27" s="1"/>
  <c r="C24" i="27" s="1"/>
  <c r="D13" i="27"/>
  <c r="D19" i="27" s="1"/>
  <c r="C22" i="27" s="1"/>
  <c r="C31" i="27" s="1"/>
  <c r="H22" i="27" s="1"/>
  <c r="H28" i="27" s="1"/>
  <c r="H30" i="27" s="1"/>
  <c r="C26" i="26"/>
  <c r="H13" i="26"/>
  <c r="H19" i="26" s="1"/>
  <c r="C24" i="26" s="1"/>
  <c r="D13" i="26"/>
  <c r="D19" i="26" s="1"/>
  <c r="C22" i="26" s="1"/>
  <c r="C31" i="26" s="1"/>
  <c r="H22" i="26" s="1"/>
  <c r="H28" i="26" s="1"/>
  <c r="H30" i="26" s="1"/>
  <c r="C26" i="24"/>
  <c r="H13" i="24"/>
  <c r="H19" i="24" s="1"/>
  <c r="C24" i="24" s="1"/>
  <c r="D13" i="24"/>
  <c r="D19" i="24" s="1"/>
  <c r="C22" i="24" s="1"/>
  <c r="C31" i="24" s="1"/>
  <c r="H22" i="24" s="1"/>
  <c r="H28" i="24" s="1"/>
  <c r="H30" i="24" s="1"/>
  <c r="C26" i="23"/>
  <c r="H13" i="23"/>
  <c r="H19" i="23" s="1"/>
  <c r="C24" i="23" s="1"/>
  <c r="D13" i="23"/>
  <c r="D19" i="23" s="1"/>
  <c r="C22" i="23" s="1"/>
  <c r="C31" i="23" s="1"/>
  <c r="H22" i="23" s="1"/>
  <c r="H28" i="23" s="1"/>
  <c r="H30" i="23" s="1"/>
  <c r="C26" i="21"/>
  <c r="H13" i="21"/>
  <c r="H19" i="21" s="1"/>
  <c r="C24" i="21" s="1"/>
  <c r="D13" i="21"/>
  <c r="D19" i="21" s="1"/>
  <c r="C22" i="21" s="1"/>
  <c r="C31" i="21" s="1"/>
  <c r="H22" i="21" s="1"/>
  <c r="H28" i="21" s="1"/>
  <c r="H30" i="21" s="1"/>
  <c r="H18" i="16"/>
  <c r="D18" i="16"/>
  <c r="C26" i="18" l="1"/>
  <c r="H13" i="18"/>
  <c r="H19" i="18" s="1"/>
  <c r="C24" i="18" s="1"/>
  <c r="D13" i="18"/>
  <c r="D19" i="18" s="1"/>
  <c r="C22" i="18" s="1"/>
  <c r="C31" i="18" s="1"/>
  <c r="H22" i="18" s="1"/>
  <c r="H28" i="18" s="1"/>
  <c r="H30" i="18" s="1"/>
  <c r="C26" i="17"/>
  <c r="H13" i="17"/>
  <c r="H19" i="17" s="1"/>
  <c r="C24" i="17" s="1"/>
  <c r="D13" i="17"/>
  <c r="D19" i="17" s="1"/>
  <c r="C22" i="17" s="1"/>
  <c r="C31" i="17" s="1"/>
  <c r="H22" i="17" s="1"/>
  <c r="H28" i="17" s="1"/>
  <c r="H30" i="17" s="1"/>
  <c r="C29" i="16"/>
  <c r="H22" i="16"/>
  <c r="C27" i="16" s="1"/>
  <c r="D22" i="16"/>
  <c r="C25" i="16" s="1"/>
  <c r="C34" i="16" s="1"/>
  <c r="H25" i="16" s="1"/>
  <c r="H31" i="16" s="1"/>
  <c r="H33" i="16" s="1"/>
  <c r="H13" i="9"/>
  <c r="D13" i="9"/>
  <c r="C26" i="14"/>
  <c r="H13" i="14"/>
  <c r="H19" i="14" s="1"/>
  <c r="C24" i="14" s="1"/>
  <c r="D13" i="14"/>
  <c r="D19" i="14" s="1"/>
  <c r="C22" i="14" s="1"/>
  <c r="C31" i="14" s="1"/>
  <c r="H22" i="14" s="1"/>
  <c r="H28" i="14" s="1"/>
  <c r="H30" i="14" s="1"/>
  <c r="C26" i="12"/>
  <c r="H13" i="12"/>
  <c r="H19" i="12" s="1"/>
  <c r="C24" i="12" s="1"/>
  <c r="D13" i="12"/>
  <c r="D19" i="12" s="1"/>
  <c r="C22" i="12" s="1"/>
  <c r="C31" i="12" s="1"/>
  <c r="H22" i="12" s="1"/>
  <c r="H28" i="12" s="1"/>
  <c r="H30" i="12" s="1"/>
  <c r="H13" i="11"/>
  <c r="H19" i="11" s="1"/>
  <c r="C24" i="11" s="1"/>
  <c r="D13" i="11"/>
  <c r="D19" i="11" s="1"/>
  <c r="C22" i="11" s="1"/>
  <c r="C31" i="11" s="1"/>
  <c r="H22" i="11" s="1"/>
  <c r="H28" i="11" s="1"/>
  <c r="H30" i="11" s="1"/>
  <c r="D19" i="9"/>
  <c r="H19" i="9"/>
  <c r="C26" i="9"/>
  <c r="C24" i="9"/>
  <c r="C22" i="9"/>
  <c r="C31" i="9" s="1"/>
  <c r="H22" i="9" s="1"/>
  <c r="H28" i="9" s="1"/>
  <c r="H30" i="9" s="1"/>
  <c r="C25" i="8"/>
  <c r="H18" i="8"/>
  <c r="C23" i="8" s="1"/>
  <c r="D18" i="8"/>
  <c r="C21" i="8" s="1"/>
  <c r="C30" i="8" s="1"/>
  <c r="H21" i="8" s="1"/>
  <c r="H27" i="8" s="1"/>
  <c r="H29" i="8" s="1"/>
  <c r="C25" i="6"/>
  <c r="H18" i="6"/>
  <c r="C23" i="6" s="1"/>
  <c r="D18" i="6"/>
  <c r="C21" i="6" s="1"/>
  <c r="C30" i="6" s="1"/>
  <c r="H21" i="6" s="1"/>
  <c r="H27" i="6" s="1"/>
  <c r="H29" i="6" s="1"/>
  <c r="C25" i="4"/>
  <c r="H18" i="4"/>
  <c r="C23" i="4" s="1"/>
  <c r="D18" i="4"/>
  <c r="C21" i="4" s="1"/>
  <c r="C30" i="4" s="1"/>
  <c r="H21" i="4" s="1"/>
  <c r="H27" i="4" s="1"/>
  <c r="H29" i="4" s="1"/>
  <c r="C25" i="3"/>
  <c r="H18" i="3"/>
  <c r="C23" i="3" s="1"/>
  <c r="D18" i="3"/>
  <c r="C21" i="3" s="1"/>
  <c r="C30" i="3" s="1"/>
  <c r="H21" i="3" s="1"/>
  <c r="H27" i="3" s="1"/>
  <c r="H29" i="3" s="1"/>
  <c r="C25" i="2"/>
  <c r="H18" i="2"/>
  <c r="C23" i="2" s="1"/>
  <c r="D18" i="2"/>
  <c r="C21" i="2" s="1"/>
  <c r="C30" i="2" s="1"/>
  <c r="H21" i="2" s="1"/>
  <c r="H27" i="2" s="1"/>
  <c r="H29" i="2" s="1"/>
  <c r="C25" i="1"/>
  <c r="H18" i="1"/>
  <c r="C23" i="1" s="1"/>
  <c r="D18" i="1"/>
  <c r="C21" i="1" s="1"/>
  <c r="C30" i="1" s="1"/>
  <c r="H21" i="1" s="1"/>
  <c r="H27" i="1" s="1"/>
  <c r="H31" i="1" l="1"/>
  <c r="H29" i="1"/>
  <c r="H26" i="138"/>
  <c r="H30" i="138"/>
  <c r="H32" i="138" s="1"/>
</calcChain>
</file>

<file path=xl/sharedStrings.xml><?xml version="1.0" encoding="utf-8"?>
<sst xmlns="http://schemas.openxmlformats.org/spreadsheetml/2006/main" count="12737" uniqueCount="856">
  <si>
    <t>LIQUIDACION DE UTILIDADES -  VENTA A SOLUCIONES INDUSTRIALES</t>
  </si>
  <si>
    <t>MONTO VENTA :</t>
  </si>
  <si>
    <t>COMPRAS :</t>
  </si>
  <si>
    <t>IVA</t>
  </si>
  <si>
    <t>UT. BRUTA</t>
  </si>
  <si>
    <t>PROV. IVA</t>
  </si>
  <si>
    <t>UTIL. BRUTA</t>
  </si>
  <si>
    <t>MENOS</t>
  </si>
  <si>
    <t>4 X 1000</t>
  </si>
  <si>
    <t>COMISION</t>
  </si>
  <si>
    <t>UTILIDAD ANTES DE IMPTOS</t>
  </si>
  <si>
    <t>IMPUESTOS</t>
  </si>
  <si>
    <t>Ind y Cio</t>
  </si>
  <si>
    <t>Renta</t>
  </si>
  <si>
    <t>UTIL. NETA</t>
  </si>
  <si>
    <t>COMISION LUIS BENAVIDEZ  35%</t>
  </si>
  <si>
    <t>COMISION EDINSON CABEZAS 20 %</t>
  </si>
  <si>
    <t>7,7 x 1000</t>
  </si>
  <si>
    <t>MANUEL GIRALDO</t>
  </si>
  <si>
    <t>LIQUIDACION DE UTILIDADES -  VENTA A EISTEN</t>
  </si>
  <si>
    <t>COMISION LUIS BENAVIDEZ  50%</t>
  </si>
  <si>
    <t>IMPOACCEVAL</t>
  </si>
  <si>
    <t>LIQUIDACION DE UTILIDADES -  VENTA A SEBASTIAN NARVAEZ</t>
  </si>
  <si>
    <t>RETAL</t>
  </si>
  <si>
    <t>1,5 K</t>
  </si>
  <si>
    <t>LIQUIDACION DE UTILIDADES -  VENTA A AGROMETALICAS ROJAS SAS</t>
  </si>
  <si>
    <t xml:space="preserve">LIQUIDACION DE UTILIDADES -  VENTA A CARLOS SAMUEL LUGO </t>
  </si>
  <si>
    <t>IMPOACCEVAL  6352</t>
  </si>
  <si>
    <t>LIQUIDACION DE UTILIDADES -  VENTA A   HUGO FERNEL LOPEZ</t>
  </si>
  <si>
    <t xml:space="preserve">COMISION  LUIS A. BENAVIDEZ 50 % </t>
  </si>
  <si>
    <t>FACTURA ELECTRONICA  No.</t>
  </si>
  <si>
    <t>FACTURA ELECTRONICA No.</t>
  </si>
  <si>
    <t>FACTURA ELECTRONICA</t>
  </si>
  <si>
    <t>239 / 240</t>
  </si>
  <si>
    <t>LEGAJADO</t>
  </si>
  <si>
    <t>º</t>
  </si>
  <si>
    <t>LIQUIDACION DE UTILIDADES -  VENTA A   CARLOS SAMUEL LUGO MARIN</t>
  </si>
  <si>
    <t xml:space="preserve">COMISION LUIS BENAVIDES </t>
  </si>
  <si>
    <t>LIQUIDACION DE UTILIDADES -  VENTA A   SERGTEC S A S</t>
  </si>
  <si>
    <t>FLETE</t>
  </si>
  <si>
    <t>LIQUIDACION DE UTILIDADES -  VENTA A   AYC SOLUCIONES HIDROELECTRICAS SAS</t>
  </si>
  <si>
    <t>LIQUIDACION DE UTILIDADES -  VENTA A   AGROINDUSTRIALES DIAL</t>
  </si>
  <si>
    <t>SERVICIO RANURADO</t>
  </si>
  <si>
    <t>SERVICIO CORTE</t>
  </si>
  <si>
    <t>LIQUIDACION DE UTILIDADES -  VENTA A  BRONZMETAL</t>
  </si>
  <si>
    <t>INSTRUVAL    5218</t>
  </si>
  <si>
    <t>CODIFER  235424</t>
  </si>
  <si>
    <t>TUBOLAMINAS   115622</t>
  </si>
  <si>
    <t>WESCO   961750</t>
  </si>
  <si>
    <t>SUMIVALLE    69298</t>
  </si>
  <si>
    <t>MC ANDINOX  973</t>
  </si>
  <si>
    <t>MC ANDINOX  974</t>
  </si>
  <si>
    <t>IMPOACCEVAL     6260</t>
  </si>
  <si>
    <t>COMPRÓ  JLT</t>
  </si>
  <si>
    <t>AGOFER    19551</t>
  </si>
  <si>
    <t>RETALES INDUSTRIALES   2079</t>
  </si>
  <si>
    <t>FERRINCOL     29607</t>
  </si>
  <si>
    <t>SUMIVALLE    70441</t>
  </si>
  <si>
    <t>SUMIVALLE    70679</t>
  </si>
  <si>
    <t>SUMIVALLE    70442</t>
  </si>
  <si>
    <t>REDES TECNICAS  46696/46752</t>
  </si>
  <si>
    <t>SUMIVALLE 70474/70479</t>
  </si>
  <si>
    <t>SUMIVALLE   70615</t>
  </si>
  <si>
    <t>IMPOACCEVAL    6362</t>
  </si>
  <si>
    <t>REDES TECNICAS   47006</t>
  </si>
  <si>
    <t>SUMIVALLE   70968</t>
  </si>
  <si>
    <t>IMPOFER   12655</t>
  </si>
  <si>
    <t>TECNIVAPOR    2884</t>
  </si>
  <si>
    <t>FERRETERIA TUBERIAS 19920</t>
  </si>
  <si>
    <t>FERRETERIA TUBERIAS 19928</t>
  </si>
  <si>
    <t>REDES TECNICAS  46818</t>
  </si>
  <si>
    <t>SILVER   1105581</t>
  </si>
  <si>
    <t>EDINSON CABEZAS</t>
  </si>
  <si>
    <t>JLT</t>
  </si>
  <si>
    <t>ACEROS Y METALES   9097</t>
  </si>
  <si>
    <t>COMISION EDINSON CABEZAS</t>
  </si>
  <si>
    <t>LIQUIDACION DE UTILIDADES -  VENTA A   CENTRO INDUSTRIAL VILLEGAS</t>
  </si>
  <si>
    <t>IMPORINOX    243416</t>
  </si>
  <si>
    <t>REDES TECNICAS  46938</t>
  </si>
  <si>
    <t>TALLER REBOLLEDO   1023</t>
  </si>
  <si>
    <t>COMISION LUIS A. BENAVIDEZ</t>
  </si>
  <si>
    <t>LIQUIDACION DE UTILIDADES -  VENTA A  AYC SOLUCIONES HIDROELECTRICAS</t>
  </si>
  <si>
    <t>SUMIVALLE   71125</t>
  </si>
  <si>
    <t>REDES TECNICAS   47279</t>
  </si>
  <si>
    <t>RETALES INDUSTRIALES  2178</t>
  </si>
  <si>
    <t>COMISION LUIS A. BENAVIDES</t>
  </si>
  <si>
    <t>JLT RETAL DE TUBO 4"</t>
  </si>
  <si>
    <t>LIQUIDACION DE UTILIDADES -  BOMBAS Y FLUIDOS</t>
  </si>
  <si>
    <t>IMPOACCEVAL    6486</t>
  </si>
  <si>
    <t>RETALES INDUSTRIALES</t>
  </si>
  <si>
    <t>LIQUIDACION DE UTILIDADES -  INDUSTRIAS JILA</t>
  </si>
  <si>
    <t>GRUVAL   30921</t>
  </si>
  <si>
    <t>FLETE BERLINAS   51634</t>
  </si>
  <si>
    <t>COMISION LUIS A BENAVIDES</t>
  </si>
  <si>
    <t>LIQUIDACION DE UTILIDADES -  INDUSTRIAL  CORTEZ SAS</t>
  </si>
  <si>
    <t>LIQUIDACION DE UTILIDADES -  VICENTE ARMANDO PEPINOSA</t>
  </si>
  <si>
    <t>SUMIVALLE   71498</t>
  </si>
  <si>
    <t>LIQUIDACION DE UTILIDADES -  SOLUCIONES INDUSTRIALES</t>
  </si>
  <si>
    <t>INSTRUVAL   5341</t>
  </si>
  <si>
    <t>5 %  MANUEL GIRALDO</t>
  </si>
  <si>
    <t>LIQUIDACION DE UTILIDADES -  ROCIO ESPERANZA BERNAL TOVAR</t>
  </si>
  <si>
    <t xml:space="preserve">SUMIVALLE   71510 </t>
  </si>
  <si>
    <t>LA SOLUCION</t>
  </si>
  <si>
    <t>MARCK NARVAEZ  450</t>
  </si>
  <si>
    <t>LIQUIDACION DE UTILIDADES -  WATERCOL SAS</t>
  </si>
  <si>
    <t>SUMIVALLE   71564</t>
  </si>
  <si>
    <t>IMPORINOX</t>
  </si>
  <si>
    <t>FERSELEC SAS</t>
  </si>
  <si>
    <t>TECNIVAPOR</t>
  </si>
  <si>
    <t>FERRETERIA TUBERIAS   19969</t>
  </si>
  <si>
    <t>LIQUIDACION DE UTILIDADES -  SERVICIOS METALMECANICOS PALMIRA SAS</t>
  </si>
  <si>
    <t>RETALES INDUSTRIALES  3582</t>
  </si>
  <si>
    <t>IMPOACCEVAL   6531</t>
  </si>
  <si>
    <t>LIQUIDACION DE UTILIDADES -  GRIVAN INGENIERIA S.A.</t>
  </si>
  <si>
    <t>TUVACOL  105805</t>
  </si>
  <si>
    <t>COLIMPORTADOS  33714</t>
  </si>
  <si>
    <t>IMPOFER   12838</t>
  </si>
  <si>
    <t>SUMIVALLE    71791</t>
  </si>
  <si>
    <t>LIQUIDACION DE UTILIDADES -  AINOX S.A.S.</t>
  </si>
  <si>
    <t>REDES TECNICAS   47949</t>
  </si>
  <si>
    <t>LIQUIDACION DE UTILIDADES -  WATERCOL</t>
  </si>
  <si>
    <t>CORTESA   50042</t>
  </si>
  <si>
    <t>SUMIVALLE   71791</t>
  </si>
  <si>
    <t>LIQUIDACION DE UTILIDADES -  STB INGENIERIA SAS</t>
  </si>
  <si>
    <t>IMPOFER   12867</t>
  </si>
  <si>
    <t>IMPORINOX  245032</t>
  </si>
  <si>
    <t>RETALES INDUSTRIALES   2282</t>
  </si>
  <si>
    <t>LUIS A. BENAVIDES  RETAL TUBO</t>
  </si>
  <si>
    <t>FERSELEC  7933</t>
  </si>
  <si>
    <t>SEBASTIAN NARVAEZ   456</t>
  </si>
  <si>
    <t>TECNIVAPOR   2914</t>
  </si>
  <si>
    <t>TECNI VAPOR    2914</t>
  </si>
  <si>
    <t>LIQUIDACION DE UTILIDADES - BOMBAS Y FLUIDOS</t>
  </si>
  <si>
    <t>LIQUIDACION DE UTILIDADES - MICRON ENERGY DE COLOMBIA S.A.S.</t>
  </si>
  <si>
    <t>FERRETERIA TUBERIAS   20091</t>
  </si>
  <si>
    <t>LIQUIDACION DE UTILIDADES - ASTAIZA S.A.S.</t>
  </si>
  <si>
    <t>SUMIVALLE   71956</t>
  </si>
  <si>
    <t>FERSELEC   7971</t>
  </si>
  <si>
    <t>LIQUIDACION DE UTILIDADES - DICAV MECANIZADOS INDUSTRIALES S.A.S.</t>
  </si>
  <si>
    <t>LIQUIDACION DE UTILIDADES - LUIS FERNANDO SILVA RIAÑOS</t>
  </si>
  <si>
    <t>RETALES INDUSTRIALES   2318</t>
  </si>
  <si>
    <t>TRANSPORTE</t>
  </si>
  <si>
    <t>IMPORINOX    245567</t>
  </si>
  <si>
    <t>LIQUIDACION DE UTILIDADES - VICENTE ARMANDO PEPINOSA</t>
  </si>
  <si>
    <t>CODIFER     245053</t>
  </si>
  <si>
    <t>LIQUIDACION DE UTILIDADES - CALDERAS  DAZA S.A.S.</t>
  </si>
  <si>
    <t>287/289</t>
  </si>
  <si>
    <t>F.E. 287  ANULADA</t>
  </si>
  <si>
    <t>TUVACOL    105912</t>
  </si>
  <si>
    <t>COMISION  EDINSON CABEZAS</t>
  </si>
  <si>
    <t>LIQUIDACION DE UTILIDADES - WATERCOL  S.A.S.</t>
  </si>
  <si>
    <t>COMISION  LUIS A. BENAVIDES</t>
  </si>
  <si>
    <t>LIQUIDACION DE UTILIDADES - MECANIZADOS DEL PACIFICO S.A.S.</t>
  </si>
  <si>
    <t>FERSELEC   8046</t>
  </si>
  <si>
    <t>ASUMINCOL   6660</t>
  </si>
  <si>
    <t>SUMIVALLE   72406</t>
  </si>
  <si>
    <t>IMPOACCEVAL   6630</t>
  </si>
  <si>
    <t xml:space="preserve">STOCK  IMATEC </t>
  </si>
  <si>
    <t>SEBASTIAN NARVAEZ</t>
  </si>
  <si>
    <t>LIQUIDACION DE UTILIDADES - FERROVARIEDADES INDUSTRIALES S.A.S.</t>
  </si>
  <si>
    <t>LIQUIDACION DE UTILIDADES - CENTRO INDUSTRIAL VILLEGAS S.A.S.</t>
  </si>
  <si>
    <t xml:space="preserve">IMPORINOX   </t>
  </si>
  <si>
    <t>LIQUIDACION DE UTILIDADES - GREENPULP S.A.S.</t>
  </si>
  <si>
    <t>IMPORINOX     246040</t>
  </si>
  <si>
    <t>STOCK TUBERIA  6 "</t>
  </si>
  <si>
    <t>MANO DE OBRA STUB END</t>
  </si>
  <si>
    <t>LIQUIDACION DE UTILIDADES - OMAR MOSQUERA.</t>
  </si>
  <si>
    <t>FERSELEC    8061</t>
  </si>
  <si>
    <t>IMPOACCEVAL   6646</t>
  </si>
  <si>
    <t xml:space="preserve">MANO DE OBRA </t>
  </si>
  <si>
    <t>FERSELEC    8082</t>
  </si>
  <si>
    <t xml:space="preserve">STOCK IMATEC  </t>
  </si>
  <si>
    <t>LIQUIDACION DE UTILIDADES - WG ENERGIA INTEGRAL S.A.</t>
  </si>
  <si>
    <t>LIQUIDACION DE UTILIDADES - INTERCOL EPC   S.A.S.</t>
  </si>
  <si>
    <t>SUMIVALLE   72899</t>
  </si>
  <si>
    <t>LIQUIDACION DE UTILIDADES - FILTRO MOTOR'S SAS</t>
  </si>
  <si>
    <t>RETALES INDUSTRIALES  2434</t>
  </si>
  <si>
    <t>LIQUIDACION DE UTILIDADES - CENTRO INDUSTRIAL VILLEGAS SAS</t>
  </si>
  <si>
    <t>SUMIVALLE    72958</t>
  </si>
  <si>
    <t>LIQUIDACION DE UTILIDADES - FORERO CONDE Y CIA LTDA</t>
  </si>
  <si>
    <t>DISTRIBUCIONES PVC S.A.S.</t>
  </si>
  <si>
    <t xml:space="preserve"> </t>
  </si>
  <si>
    <t>CALDERAS Y COMBUSTION   37</t>
  </si>
  <si>
    <t>LIQUIDACION DE UTILIDADES - PRODUCTOS DE CAUCHO Y LONA</t>
  </si>
  <si>
    <t>SUMIVALLE   73019</t>
  </si>
  <si>
    <t xml:space="preserve">STOCK IMATEC </t>
  </si>
  <si>
    <t>LIQUIDACION DE UTILIDADES - BRONZMETAL</t>
  </si>
  <si>
    <t>IMPOACCEVAL   6731</t>
  </si>
  <si>
    <t>LIQUIDACION DE UTILIDADES - SOLUCIONES NEUMATICAS S.A.S.</t>
  </si>
  <si>
    <t>SUMIVALLE  73195</t>
  </si>
  <si>
    <t>LIQUIDACION DE UTILIDADES - SERVICIOS PARA LA INDUSTRIA JRL S.A.S.</t>
  </si>
  <si>
    <t>FERRETERIA TUBERIAS 20291</t>
  </si>
  <si>
    <t>IMPOACCEVAL  6761</t>
  </si>
  <si>
    <t>LIQUIDACION DE UTILIDADES - DANY MUÑOZ</t>
  </si>
  <si>
    <t>SUMIVALLE    73395</t>
  </si>
  <si>
    <t>LIQUIDACION DE UTILIDADES - SEMPROS S.A.S.</t>
  </si>
  <si>
    <t>STOCK IMATEC CODIFER 247509</t>
  </si>
  <si>
    <t>RETALES INDUSTRIALES 2510</t>
  </si>
  <si>
    <t>REDES TECNICAS  80361</t>
  </si>
  <si>
    <t>FRESELEC    8291</t>
  </si>
  <si>
    <t>SUMIVALLE  73395</t>
  </si>
  <si>
    <t>SUMIVALLE  73497</t>
  </si>
  <si>
    <t>LIQUIDACION DE UTILIDADES - WATERCOL</t>
  </si>
  <si>
    <t>IMPORINOX   248313</t>
  </si>
  <si>
    <t>STOCK IMATEC  IMPORINOX</t>
  </si>
  <si>
    <t>COLIMPORTADOS  34698</t>
  </si>
  <si>
    <t>COLIMPORTADOS  34614</t>
  </si>
  <si>
    <t>IMPOACCEVAL  6784</t>
  </si>
  <si>
    <t>FERSELEC  8291</t>
  </si>
  <si>
    <t>FLETE DOMICILIO</t>
  </si>
  <si>
    <t>LIQUIDACION DE UTILIDADES - TECNOAJI S.A.S.</t>
  </si>
  <si>
    <t>IMPORINOX   248212</t>
  </si>
  <si>
    <t>LIQUIDACION DE UTILIDADES - HSC INGENIERIA DE SISTEMAS HIDRAULICOS S.A.S.</t>
  </si>
  <si>
    <t>SUMIVALLE   73484</t>
  </si>
  <si>
    <t>SERVITORNO SILVA  6820</t>
  </si>
  <si>
    <t>LIQUIDACION DE UTILIDADES - JGH PROYECTOS Y SERVICIOS S.A.S.</t>
  </si>
  <si>
    <t>SUMIVALLE  73485</t>
  </si>
  <si>
    <t>STOCK IMATEC STUB END 4 "</t>
  </si>
  <si>
    <t>LIQUIDACION DE UTILIDADES - BRONZMETAL SAS</t>
  </si>
  <si>
    <t>IMPOACCEVAL   6819</t>
  </si>
  <si>
    <t>LIQUIDACION DE UTILIDADES - W G ENERGIA INTEGRAL SAS</t>
  </si>
  <si>
    <t>STOCK IMATEC</t>
  </si>
  <si>
    <t>LIQUIDACION DE UTILIDADES - SOLUCIONES INDUSTRIALES</t>
  </si>
  <si>
    <t>STOCK IMATEC CALD Y COMB  FE 37</t>
  </si>
  <si>
    <t>FERRETERIA TUBERIAS</t>
  </si>
  <si>
    <t>IMPOACCEVAL  6822</t>
  </si>
  <si>
    <t>COLIMPORTADOS</t>
  </si>
  <si>
    <t>LIQUIDACION DE UTILIDADES - MECANIZADOS INDUSTRIALES DEL CAUCA SAS</t>
  </si>
  <si>
    <t>CODIFER   251097</t>
  </si>
  <si>
    <t>LIQUIDACION DE UTILIDADES - DIDACONTROL S.A.S.</t>
  </si>
  <si>
    <t>CODIFER   251261</t>
  </si>
  <si>
    <t>FLETE BOGOTA</t>
  </si>
  <si>
    <t>FLETE ENTREGA CALI</t>
  </si>
  <si>
    <t>LIQUIDACION DE UTILIDADES - RAMIRO CHAUX MUÑOZ</t>
  </si>
  <si>
    <t>STOCK IMATEC  HELMAN 122753</t>
  </si>
  <si>
    <t>FERRETERIA TUBERIAS 20377</t>
  </si>
  <si>
    <t>LIQUIDACION DE UTILIDADES - OMAR MOSQUERA</t>
  </si>
  <si>
    <t>STOCK IMATEC  NIPLE</t>
  </si>
  <si>
    <t>IMPOACCEVAL  6850</t>
  </si>
  <si>
    <t>LIQUIDACION DE UTILIDADES  - CENTRO INDUSTRIAL VILLEGAS</t>
  </si>
  <si>
    <t>STOCK IMATEC CODIFER 245053</t>
  </si>
  <si>
    <t>LIQUIDACION DE UTILIDADES  - VICENTE ARMANDO PEPINOSA</t>
  </si>
  <si>
    <t>LIQUIDACION DE UTILIDADES  - SOLUCIONES INDUSTRIALES</t>
  </si>
  <si>
    <t>STOCK IMATEC IMPORINOX</t>
  </si>
  <si>
    <t>IMPOACCEVAL  6864</t>
  </si>
  <si>
    <t>CODIFER  252494</t>
  </si>
  <si>
    <t>LIQUIDACION DE UTILIDADES - SUMINISTRO Y SERVICIOS TECNICOS</t>
  </si>
  <si>
    <t>FERSELEC  8430</t>
  </si>
  <si>
    <t>SUMIVALLE  74435</t>
  </si>
  <si>
    <t>SOLDADURA BRIDA</t>
  </si>
  <si>
    <t>LIQUIDACION DE UTILIDADES  - FERRETERIA SU PROVEEDOR</t>
  </si>
  <si>
    <t>STOCK IMATEC RETAL TUBO 6 "</t>
  </si>
  <si>
    <t>MAQUINADA TUBO</t>
  </si>
  <si>
    <t>LIQUIDACION DE UTILIDADES  - VYG CONSTRUCTORES SAS</t>
  </si>
  <si>
    <t>LA BANDERA  28641</t>
  </si>
  <si>
    <t xml:space="preserve">STOCK IMATEC UNION HD </t>
  </si>
  <si>
    <t>QQ</t>
  </si>
  <si>
    <t>CODIFER  254226</t>
  </si>
  <si>
    <t>LIQUIDACION DE UTILIDADES  -VYG CONSTRUCTORES</t>
  </si>
  <si>
    <t xml:space="preserve">FERSELEC </t>
  </si>
  <si>
    <t>TRANSPORTE A TCC</t>
  </si>
  <si>
    <t>LIQUIDACION DE UTILIDADES  - WG ENERGIA INTEGRAL S.A.S.</t>
  </si>
  <si>
    <t>SUMIVALLE  74669</t>
  </si>
  <si>
    <t>LIQUIDACION DE UTILIDADES  - VYG CONSTRUCTORES S.A.S.</t>
  </si>
  <si>
    <t>FERSELEC  8464</t>
  </si>
  <si>
    <t>LIQUIDACION DE UTILIDADES  - MECANIZADOS DEL PACIFICO S.A.S.</t>
  </si>
  <si>
    <t>STOCK IMATEC  CODIFER 247509</t>
  </si>
  <si>
    <t>FERSELEC  8457</t>
  </si>
  <si>
    <t>FERSELEC   8456</t>
  </si>
  <si>
    <t>CLUYE</t>
  </si>
  <si>
    <t>LIQUIDACION DE UTILIDADES  - W G ENERGIA INTEGRAL S.A.S.</t>
  </si>
  <si>
    <t>IMPOACCEVAL  6962</t>
  </si>
  <si>
    <t>SOLDADURA  HECTOR PEREZ</t>
  </si>
  <si>
    <t>LIQUIDACION DE UTILIDADES  - RAMIRO CHAUX</t>
  </si>
  <si>
    <t>STOCK IMATEC IMPORINOX 251400</t>
  </si>
  <si>
    <t>LIQUIDACION DE UTILIDADES  - FERRETERIA SU PROVEEDOR S.A.S.</t>
  </si>
  <si>
    <t>STOCK IMATEC COMPRA X KILO</t>
  </si>
  <si>
    <t>LIQUIDACION DE UTILIDADES  - FERROVARIEDADAES INDUSTRIALES S.A.S.</t>
  </si>
  <si>
    <t>STOCK IMATEC WESCO 47534</t>
  </si>
  <si>
    <t>LIQUIDACION DE UTILIDADES  - AYC SOLUCIONES HIDROELECTRICAS S.A.S.</t>
  </si>
  <si>
    <t>CORTESA  51865</t>
  </si>
  <si>
    <t>METALICAS PAZ 3956</t>
  </si>
  <si>
    <t>LIQUIDACION DE UTILIDADES  - REFRIDACAR S.A.S.</t>
  </si>
  <si>
    <t>STOCK IMATEC CODIFER  245053</t>
  </si>
  <si>
    <t>SUMIVALLE  75470</t>
  </si>
  <si>
    <t>HELMAN  122753</t>
  </si>
  <si>
    <t>HONORARIOS HONORIO</t>
  </si>
  <si>
    <t>LIQUIDACION DE UTILIDADES  -MECANIZADOS INDUSTRIALES DEL CAUCA  S.A.S.</t>
  </si>
  <si>
    <t>IMPOACCEVAL  7022</t>
  </si>
  <si>
    <t>REDES TECNICAS  82291</t>
  </si>
  <si>
    <t>LIQUIDACION DE UTILIDADES  - INOXIDABLES FAGAR S.A.S.</t>
  </si>
  <si>
    <t>IMPOACCEVAL  7006</t>
  </si>
  <si>
    <t>LIQUIDACION DE UTILIDADES  - MFR PROYECTOS DE INGENIERIA ELECTRICA S.A.S.</t>
  </si>
  <si>
    <t>STOCK IMATEC  CODIFER  247509</t>
  </si>
  <si>
    <t>LIQUIDACION DE UTILIDADES  - S.M.S. INDUSTRIALES S.A.S.</t>
  </si>
  <si>
    <t>IMPORINOX  252467</t>
  </si>
  <si>
    <t>LIQUIDACION DE UTILIDADES  - ACUATANK S.A.S</t>
  </si>
  <si>
    <t>STOCK IMATEC  HELMAN  122753</t>
  </si>
  <si>
    <t>OZ DISTRIBUCIONES  1674</t>
  </si>
  <si>
    <t>LIQUIDACION DE UTILIDADES  - COMERCIALIZADORA Y SUMINISTROS DEL VALLE S.A.S.</t>
  </si>
  <si>
    <t>IMPORINOX  252506</t>
  </si>
  <si>
    <t>LIQUIDACION DE UTILIDADES  - PRODISMEC INGENIERIA S.A.S.</t>
  </si>
  <si>
    <t>FERRETERIA TUBERIAS   20654</t>
  </si>
  <si>
    <t>LIQUIDACION DE UTILIDADES  -  TECNOLOGIA Y MANTENIMIENTO PREVENTIVO S.A.S.</t>
  </si>
  <si>
    <t>STOC IMATEC</t>
  </si>
  <si>
    <t>LIQUIDACION DE UTILIDADES  -  METALMECANICA BASTIDAS S.A.S.</t>
  </si>
  <si>
    <t>MAURICIO LISCANO 157</t>
  </si>
  <si>
    <t>LIQUIDACION DE UTILIDADES  -  COMERCIAL DE TUBERIAS Y LAMINAS S.A.S.</t>
  </si>
  <si>
    <t>CODIFER 247509</t>
  </si>
  <si>
    <t>COMPRA CHATARRERIA</t>
  </si>
  <si>
    <t>INSUMOS</t>
  </si>
  <si>
    <t>MANO DE OBRA</t>
  </si>
  <si>
    <t>TUVACOL</t>
  </si>
  <si>
    <t>LIQUIDACION DE UTILIDADES  -  MAURICIO LISCANO SUAZA</t>
  </si>
  <si>
    <t>LIQUIDACION DE UTILIDADES  -  DIDACONTROL S.A.S.</t>
  </si>
  <si>
    <t>STOCK IMATEC CODIFER  247508</t>
  </si>
  <si>
    <t>LIQUIDACION DE UTILIDADES  - METALMECANICA BASTIDAS S.A.S.</t>
  </si>
  <si>
    <t>LIQUIDACION DE UTILIDADES  - HERMAR INGENIERIA S.A.S.</t>
  </si>
  <si>
    <t>STOCK IMATEC CODIFER 247508</t>
  </si>
  <si>
    <t>LIQUIDACION DE UTILIDADES  - J R L S.A.S.</t>
  </si>
  <si>
    <t>TUVACOL 106678</t>
  </si>
  <si>
    <t>FERSELEC  8824</t>
  </si>
  <si>
    <t>STOCK IMATEC CODIFER</t>
  </si>
  <si>
    <t>LIQUIDACION DE UTILIDADES  - SERVICIOS INDUSTRIALES KSA S.A.S.</t>
  </si>
  <si>
    <t>LIQUIDACION DE UTILIDADES  - FITTING VALVES S.A.S.</t>
  </si>
  <si>
    <t>TUVACOL 106690</t>
  </si>
  <si>
    <t>LIQUIDACION DE UTILIDADES  - METALICAS BASTIDAS S.A.S.</t>
  </si>
  <si>
    <t>LIQUIDACION DE UTILIDADES  - ACEROS COLOMBIA S.A.S.</t>
  </si>
  <si>
    <t>CODIFER  260744</t>
  </si>
  <si>
    <t>LIQUIDACION DE UTILIDADES  - SEBASTIAN NARVAEZ</t>
  </si>
  <si>
    <t>FERSELEC  8864</t>
  </si>
  <si>
    <t>LIQUIDACION DE UTILIDADES  - CABARCO INGENIERIA S.A.S.</t>
  </si>
  <si>
    <t>SUMIVALLE  76830</t>
  </si>
  <si>
    <t>LIQUIDACION DE UTILIDADES  - FONTANEROS HB S.A.S.</t>
  </si>
  <si>
    <t>FERSELEC  8910</t>
  </si>
  <si>
    <t>LIQUIDACION DE UTILIDADES  - VICENTE PEPINOSA</t>
  </si>
  <si>
    <t>STOCK IMATEC  COFIFER</t>
  </si>
  <si>
    <t>TRANSPORTE HONORIO</t>
  </si>
  <si>
    <t xml:space="preserve">FERRETERIA REINA   </t>
  </si>
  <si>
    <t>LIQUIDACION DE UTILIDADES  - DRILLING AND TOOLS S.A.S.</t>
  </si>
  <si>
    <t>COLDEACEROS  120953</t>
  </si>
  <si>
    <t>LIQUIDACION DE UTILIDADES  - ESPY S.AS. ESP</t>
  </si>
  <si>
    <t>ASUMINCOL 7192</t>
  </si>
  <si>
    <t>SUMIVALLE</t>
  </si>
  <si>
    <t>LIQUIDACION DE UTILIDADES  - PRODUCTOS DE CAUCHO Y LONA S.A.S.</t>
  </si>
  <si>
    <t>IMPORINOX 255836</t>
  </si>
  <si>
    <t>LIQUIDACION DE UTILIDADES  - AMJ GROUP S.A.S.</t>
  </si>
  <si>
    <t>LIQUIDACION DE UTILIDADES  - BRAIMM S.A.S</t>
  </si>
  <si>
    <t>STOCK IMATEC IMPOACCEVAL</t>
  </si>
  <si>
    <t>LIQUIDACION DE UTILIDADES  - ALMACENAMIENTO DE AGUA APLICACIONES Y TECNOLOGIA S.A.S.</t>
  </si>
  <si>
    <t>STOCK IMATEC HELMAN</t>
  </si>
  <si>
    <t>LIQUIDACION DE UTILIDADES  - SUMINISTROS PARA INDUSTRIA Y MANTENIMIENTO S.A.S.</t>
  </si>
  <si>
    <t>LIQUIDACION DE UTILIDADES  - GREEPULP S.A.S BIC</t>
  </si>
  <si>
    <t>STOCK IMATEC  STUB END</t>
  </si>
  <si>
    <t>LIQUIDACION DE UTILIDADES  - INGEGRALES DE COLOMBIA S.A.S.</t>
  </si>
  <si>
    <t>STOCK IMATEC TUVACOL</t>
  </si>
  <si>
    <t>LIQUIDACION DE UTILIDADES  - LUIS OSORIO</t>
  </si>
  <si>
    <t>LIQUIDACION DE UTILIDADES  -  ITALO GERMAN MARTINEZ</t>
  </si>
  <si>
    <t>STOCK IMATEC RANURADO</t>
  </si>
  <si>
    <t>LIQUIDACION DE UTILIDADES  -  RAMIRO CHAUX</t>
  </si>
  <si>
    <t>STOCK IMATEC SANITARIA</t>
  </si>
  <si>
    <t>+</t>
  </si>
  <si>
    <t>LIQUIDACION DE UTILIDADES  -  S.M.S. INDUSTRIALES S.A.S.</t>
  </si>
  <si>
    <t>IMPORINOX  256318</t>
  </si>
  <si>
    <t>LIQUIDACION DE UTILIDADES  -  AMJ GROUP S.A.S.</t>
  </si>
  <si>
    <t>CODIFER 263804</t>
  </si>
  <si>
    <t>CODIFER  263804</t>
  </si>
  <si>
    <t>CHATARRERIA</t>
  </si>
  <si>
    <t>M DE O  CESAR TORNO</t>
  </si>
  <si>
    <t>LIQUIDACION DE UTILIDADES  -  METALMECANICAS BASTIDAS S.A.S.</t>
  </si>
  <si>
    <t>IMPOACCEVAL  7319</t>
  </si>
  <si>
    <t>LIQUIDACION DE UTILIDADES  -  INDUSTRIAS METALICAS PAZ CO S.A.S.</t>
  </si>
  <si>
    <t>LIQUIDACION DE UTILIDADES  -  MANTENIMIENTO METALMECANICO S.A.S.</t>
  </si>
  <si>
    <t xml:space="preserve">FLETE </t>
  </si>
  <si>
    <t>LIQUIDACION DE UTILIDADES  -  PRODUCTOS DE CAUCHO Y LONA S.A.S.</t>
  </si>
  <si>
    <t>LIQUIDACION DE UTILIDADES  -  MANOLO SANTANDER</t>
  </si>
  <si>
    <t>FERRETERIA REINA</t>
  </si>
  <si>
    <t>SUMIVALLE  77827</t>
  </si>
  <si>
    <t>TRANSPORTE  PHANOR</t>
  </si>
  <si>
    <t>LIQUIDACION DE UTILIDADES  - INDUSTRIAL CORTEZ S.A.S.</t>
  </si>
  <si>
    <t>SUMIVALLE  77842</t>
  </si>
  <si>
    <t>IMPOACCEVAL  1926</t>
  </si>
  <si>
    <t>LIQUIDACION DE UTILIDADES  - CYC INGENIEROS S.A.S.</t>
  </si>
  <si>
    <t>LIQUIDACION DE UTILIDADES  - JOSE FDO. SALAZAR</t>
  </si>
  <si>
    <t>LIQUIDACION DE UTILIDADES  - AQUARRIEGO LTDA</t>
  </si>
  <si>
    <t>CODIFER  264510</t>
  </si>
  <si>
    <t>LIQUIDACION DE UTILIDADES  - AIRMATIC S.A.S.</t>
  </si>
  <si>
    <t>TUVACOL  106858</t>
  </si>
  <si>
    <t>MANO DE OBRA CESAR TORNO</t>
  </si>
  <si>
    <t>LIQUIDACION DE UTILIDADES  -FITTING VALVES S.A.S.</t>
  </si>
  <si>
    <t>TUVACOL  106950</t>
  </si>
  <si>
    <t>LIQUIDACION DE UTILIDADES  - FERMIN IFREDO MUÑOZ HOYOS</t>
  </si>
  <si>
    <t>SUMIVALLE  78117</t>
  </si>
  <si>
    <t>STOCK IMATEC  CODIFER</t>
  </si>
  <si>
    <t>TRANSPORTE PHANOR</t>
  </si>
  <si>
    <t>LIQUIDACION DE UTILIDADES  - INDUSTRIAS WALD DE OCCIDENTE S.A.S.</t>
  </si>
  <si>
    <t>STOCK IMATEC WESCO</t>
  </si>
  <si>
    <t>LIQUIDACION DE UTILIDADES  - SUMINISTROA PARA INGENIERIA Y MANTENIMIENTO S.A.S.</t>
  </si>
  <si>
    <t>F</t>
  </si>
  <si>
    <t>STOCK IMATEC HOYOSTOOL</t>
  </si>
  <si>
    <t>LIQUIDACION DE UTILIDADES  - SUMINISTROS PARA INGENIERIA Y MANTENIMIENTO S.A.S.</t>
  </si>
  <si>
    <t>LIQUIDACION DE UTILIDADES  - SOLUCIONES INDUSTRIALES Y DE MANTENIMIENTO J&amp;M S.A.S</t>
  </si>
  <si>
    <t xml:space="preserve">LIQUIDACION DE UTILIDADES  - INDUSTRIAS JILA LTDA </t>
  </si>
  <si>
    <t xml:space="preserve">LIQUIDACION DE UTILIDADES  - MOINSE INDUSTRIAL S.A.S. </t>
  </si>
  <si>
    <t>LIQUIDACION DE UTILIDADES  - HERMAR INGENIERIA</t>
  </si>
  <si>
    <t>LIQUIDACION DE UTILIDADES  - UB HIDROSANITARIOS  S.A.S.</t>
  </si>
  <si>
    <t>CODIFER 267775</t>
  </si>
  <si>
    <t>CODIFER 267746</t>
  </si>
  <si>
    <t>FERSELEC</t>
  </si>
  <si>
    <t>LIQUIDACION DE UTILIDADES  - FERMIN MUÑOZ</t>
  </si>
  <si>
    <t>CODIFER 267516</t>
  </si>
  <si>
    <t>SUMIVALLE  78688</t>
  </si>
  <si>
    <t>STOCK IMATEC ANDRES</t>
  </si>
  <si>
    <t>LIQUIDACION DE UTILIDADES  - GREEN PULP S.A.S. BIC</t>
  </si>
  <si>
    <t xml:space="preserve">MANO DE OBRA  </t>
  </si>
  <si>
    <t>LIQUIDACION DE UTILIDADES  - WATERCOL S.A.S.</t>
  </si>
  <si>
    <t>FERSELEC  9280</t>
  </si>
  <si>
    <t xml:space="preserve">OZ DISTRIBUCIONES  1774 </t>
  </si>
  <si>
    <t>SERVITORNO SILVA  7241</t>
  </si>
  <si>
    <t>STOCK IMATEC  ANDRES</t>
  </si>
  <si>
    <t>SROCK IMATEC CODIFER</t>
  </si>
  <si>
    <t>COMPRA ACCESORIO</t>
  </si>
  <si>
    <t>TUVACOL  107124</t>
  </si>
  <si>
    <t>TUVACOL  107147</t>
  </si>
  <si>
    <t>LIQUIDACION DE UTILIDADES  - MOINSE INDUSTRIAL S.A.S.</t>
  </si>
  <si>
    <t>LIQUIDACION DE UTILIDADES  - SOLUCIONES NEUMATICAS S.A.S.</t>
  </si>
  <si>
    <t>CODIFER  269797</t>
  </si>
  <si>
    <t>SUMIVALLE  79217</t>
  </si>
  <si>
    <t>LIQUIDACION DE UTILIDADES  - SERVICIOS PARA LA INDUSTRIA JRL S.A.S.</t>
  </si>
  <si>
    <t>IMPOFER  1000782</t>
  </si>
  <si>
    <t>HELMAN   123280</t>
  </si>
  <si>
    <t>TUBOLAMINAS  169803</t>
  </si>
  <si>
    <t>LIQUIDACION DE UTILIDADES  -  RONALD FABIAN ARAGON TAZAMA</t>
  </si>
  <si>
    <t>SUMIVALLE  79324</t>
  </si>
  <si>
    <t>SUMIVALLE 79323</t>
  </si>
  <si>
    <t>LIQUIDACION DE UTILIDADES  -  FONTANEROS  HB  S.A.S.</t>
  </si>
  <si>
    <t>FERSELEC  9364</t>
  </si>
  <si>
    <t xml:space="preserve">FERSELEC  </t>
  </si>
  <si>
    <t>LIQUIDACION DE UTILIDADES  - S. M. S. INDUSTRIALES S.A.S.</t>
  </si>
  <si>
    <t>TUBOLAMINAS  170472</t>
  </si>
  <si>
    <t>CORTESA  54289</t>
  </si>
  <si>
    <t>LIQUIDACION DE UTILIDADES  - RONALD FABIAN ARAGON</t>
  </si>
  <si>
    <t>SUMIVALLE  79265</t>
  </si>
  <si>
    <t>TUVACOL  107168</t>
  </si>
  <si>
    <t>LIQUIDACION DE UTILIDADES  - HUGO FERNEL LOPEZ</t>
  </si>
  <si>
    <t>LIQUIDACION DE UTILIDADES  - COMERCIALIZADORA DANFER S.A.S.</t>
  </si>
  <si>
    <t>LIQUIDACION DE UTILIDADES  - OUTSOURCING TALLER INDUSTRIAL S.A.S.</t>
  </si>
  <si>
    <t>CODIFER  272482</t>
  </si>
  <si>
    <t>LIQUIDACION DE UTILIDADES  - JAVIER AREVALO</t>
  </si>
  <si>
    <t>IMPORTADORA SUPERIOR</t>
  </si>
  <si>
    <t>LIQUIDACION DE UTILIDADES  - UB HIDROSANITARIO S.A.S.</t>
  </si>
  <si>
    <t>FERSELEC 9510</t>
  </si>
  <si>
    <t>FERSELEC 9520</t>
  </si>
  <si>
    <t xml:space="preserve">TRANSPORTE </t>
  </si>
  <si>
    <t>STOCK IMATEC  HELMAN</t>
  </si>
  <si>
    <t>LIQUIDACION DE UTILIDADES  - RAMIRO ROSERO LOPEZ</t>
  </si>
  <si>
    <t>LIQUIDACION DE UTILIDADES  - EMERGENCIAS INDUSTRIALES VC S.A.S.</t>
  </si>
  <si>
    <t>SUMIVALLE  80228</t>
  </si>
  <si>
    <t>LIQUIDACION DE UTILIDADES  -  WG  ENERGIA INTEGRAL S.A.S.</t>
  </si>
  <si>
    <t>STOCK MATEC</t>
  </si>
  <si>
    <t>LIQUIDACION DE UTILIDADES  -  CONSORCIO POZO RADIAL PUERTO MALLARINO 2020</t>
  </si>
  <si>
    <t>LIQUIDACION DE UTILIDADES  -  UB HIDROSANITARIO S.A.S.</t>
  </si>
  <si>
    <t>COMPRA  S/I</t>
  </si>
  <si>
    <t>LIQUIDACION DE UTILIDADES  -  INELCO S.A.S.</t>
  </si>
  <si>
    <t xml:space="preserve">HOYOS TOOL </t>
  </si>
  <si>
    <t>STOCK IMATEC HOYOS TOOL</t>
  </si>
  <si>
    <t>SUMIVALLE 80568</t>
  </si>
  <si>
    <t>TUVACOL  107414</t>
  </si>
  <si>
    <t>TORNILLOS D ACERO</t>
  </si>
  <si>
    <t>LIQUIDACION DE UTILIDADES  -  FERRETERIA SU PROVEEDOR</t>
  </si>
  <si>
    <t>LIQUIDACION DE UTILIDADES  -  JONNY VALENCIA ESTACIO</t>
  </si>
  <si>
    <t>LIQUIDACION DE UTILIDADES  -  ALFREY ALTIMER CAIPE</t>
  </si>
  <si>
    <t>IMPOFER</t>
  </si>
  <si>
    <t>LIQUIDACION DE UTILIDADES  -  SOLUCIONES INDUSTRIALES Y DE MANTENIMIENTO J&amp;M S.A.S.</t>
  </si>
  <si>
    <t>LIQUIDACION DE UTILIDADES  -  SOLUCIONES PARA LA INDUSTRIA JRL S.A.S.</t>
  </si>
  <si>
    <t>LIQUIDACION DE UTILIDADES  -  ALFREY CAIPE</t>
  </si>
  <si>
    <t>CODIFER</t>
  </si>
  <si>
    <t>LIQUIDACION DE UTILIDADES  -  MARCO JESUS MONTOYA MORALES</t>
  </si>
  <si>
    <t>LIQUIDACION DE UTILIDADES  -  DISEÑO Y MONTAJE JM S.A.S.</t>
  </si>
  <si>
    <t>LA BANDERA</t>
  </si>
  <si>
    <t>IMP. SUPERIOR</t>
  </si>
  <si>
    <t>COMPRA S/I</t>
  </si>
  <si>
    <t>LIQUIDACION DE UTILIDADES  -  DISTRIMOL INGENIERIA S.A.S.</t>
  </si>
  <si>
    <t>LIQUIDACION DE UTILIDADES   -  FERRETERIA  SU PROVEEDOR</t>
  </si>
  <si>
    <t>HELMAN</t>
  </si>
  <si>
    <t>LIQUIDACION DE UTILIDADES   -  FABRICACIONES &amp; CAUCHOS S.A.S.</t>
  </si>
  <si>
    <t>GRUVAL O&amp;M S.A.S.</t>
  </si>
  <si>
    <t>FLETE TCC</t>
  </si>
  <si>
    <t>LIQUIDACION DE UTILIDADES   -  COMERCIALIZADORA DANFER S.A.S.</t>
  </si>
  <si>
    <t>MANGUERAS INDUSTRIALES</t>
  </si>
  <si>
    <t>LIQUIDACION DE UTILIDADES   -  FERRETERIA SU PROVEEDOR S.A.S.</t>
  </si>
  <si>
    <t>STEAM INGENIERIA COLCALDERAS</t>
  </si>
  <si>
    <t>LIQUIDACION DE UTILIDADES   -  CRISPINIANO CHAVEZ</t>
  </si>
  <si>
    <t>LIQUIDACION DE UTILIDADES   -  SEBASTIAN NARVAEZ</t>
  </si>
  <si>
    <t>CASA DE NIPLES</t>
  </si>
  <si>
    <t>LIQUIDACION DE UTILIDADES   -  SERVICIOS PARA LA INDUSTRIA JRL S.A.S.</t>
  </si>
  <si>
    <t>LIQUIDACION DE UTILIDADES   -  SOPLAPACK  S.A.S.</t>
  </si>
  <si>
    <t>LIQUIDACION DE UTILIDADES   -  MECANIZADOS INDUSTRIALES DEL CAUCA</t>
  </si>
  <si>
    <t>REDES TECNICAS</t>
  </si>
  <si>
    <t>LIQUIDACION DE UTILIDADES   -  JOSE FERNANDO SALAZAR QUINTERO</t>
  </si>
  <si>
    <t>LIQUIDACION DE UTILIDADES   -  METALMECANICA BASTIDAS S.A.S.</t>
  </si>
  <si>
    <t>LIQUIDACION DE UTILIDADES   -  SUMINISTROS PARA INGENIERIA Y MANTENIMIENTO S.A.S.</t>
  </si>
  <si>
    <t>LIQUIDACION DE UTILIDADES   -  BRAVO CONSTRUCTORES  S.A.S.</t>
  </si>
  <si>
    <t>LIQUIDACION DE UTILIDADES   -  JONNY JAIRO VALENCIA ESTACIO</t>
  </si>
  <si>
    <t>C</t>
  </si>
  <si>
    <t>LIQUIDACION DE UTILIDADES   -  COMERCIALIZDORA DANFER S.A.S.</t>
  </si>
  <si>
    <t>LIQUIDACION DE UTILIDADES   -  SERVISAFE  S.A.S.</t>
  </si>
  <si>
    <t>STOCK IMATEC VALVULA</t>
  </si>
  <si>
    <t>STOCK IMATEC TEFLON</t>
  </si>
  <si>
    <t>STOCK IMATEC UNION</t>
  </si>
  <si>
    <t>FERSELEC NIPLE</t>
  </si>
  <si>
    <t>LIQUIDACION DE UTILIDADES   -  MARCO JESUS MONTAOYA  MORALES</t>
  </si>
  <si>
    <t>STOCK IMATEC CODO</t>
  </si>
  <si>
    <t>IMPORINOX DISCO</t>
  </si>
  <si>
    <t>LIQUIDACION DE UTILIDADES   -  WATERCOL</t>
  </si>
  <si>
    <t>OZ DIST.</t>
  </si>
  <si>
    <t>LIQUIDACION DE UTILIDADES   -  FERRETERIA SU PROVEEDOR</t>
  </si>
  <si>
    <t>STOCK IMATEC SUPERIOR</t>
  </si>
  <si>
    <t>LIQUIDACION DE UTILIDADES   -  SERVISAFE S.A.S.</t>
  </si>
  <si>
    <t>LIQUIDACION DE UTILIDADES   - COMERCIALIZADORA DANFER S.A.S.</t>
  </si>
  <si>
    <t>LIQUIDACION DE UTILIDADES   - VICENTE ARMANDO PEPINOSA</t>
  </si>
  <si>
    <t>LIQUIDACION DE UTILIDADES     -  SOLUCIONES INDUSTRIALES APONTE RAMOS ,S.A.S.</t>
  </si>
  <si>
    <t>STOCK IMATEC IMPPORINOX</t>
  </si>
  <si>
    <t xml:space="preserve">IMAD </t>
  </si>
  <si>
    <t>LIQUIDACION DE UTILIDADES   - ARISTIZABAL CONSTRUCTORES S.A.S.</t>
  </si>
  <si>
    <t>STOCK IMATEC GRUVAL</t>
  </si>
  <si>
    <t>LIQUIDACION DE UTILIDADES   - LAP INGENIERIA Y PROYECTOS S.A.S.</t>
  </si>
  <si>
    <t>LIQUIDACION DE UTILIDADES   -  MECANIZADOS INDUSTRIALES DEL CAUCA S.A.S.</t>
  </si>
  <si>
    <t/>
  </si>
  <si>
    <t>LIQUIDACION DE UTILIDADES   -  CONSTRURIVAL S.A.S.</t>
  </si>
  <si>
    <t>LIQUIDACION DE UTILIDADES   -  RAMIRO CHAUX MUÑOZ</t>
  </si>
  <si>
    <t>LIQUIDACION DE UTILIDADES   -  INELCO S.A.S.</t>
  </si>
  <si>
    <t>FERRETERIA BARBOSA</t>
  </si>
  <si>
    <t>LIQUIDACION DE UTILIDADES   -  VAPOR,AIRE,AGUA SOLUCIONES INDUSTRIALES S.A.S.</t>
  </si>
  <si>
    <t>LIQUIDACION DE UTILIDADES   -  SOLUCIONES INDUSTRIALES MV S.A.S.</t>
  </si>
  <si>
    <t>LIQUIDACION DE UTILIDADES   -  U B HIDROSANITARIO S.A.S.</t>
  </si>
  <si>
    <t>CODO LA 16</t>
  </si>
  <si>
    <t>LIQUIDACION DE UTILIDADES   -  ACUATANK S.A.S.</t>
  </si>
  <si>
    <t>LIQUIDACION DE UTILIDADES   -  S.M.S. INDUSTRIALES S.A.S.</t>
  </si>
  <si>
    <t>WESCO</t>
  </si>
  <si>
    <t>HONORIO</t>
  </si>
  <si>
    <t>LIQUIDACION DE UTILIDADES   -  MANUFACTURAS HOSPITALARIAS S.A.S.</t>
  </si>
  <si>
    <t>SROCK IMATEC</t>
  </si>
  <si>
    <t xml:space="preserve">                                                       </t>
  </si>
  <si>
    <t>LIQUIDACION DE UTILIDADES   - VAPOR, AIRE, AGUA SOLUCIONES INDUSTRIALES S.A.S.</t>
  </si>
  <si>
    <t>J2 CHATARRERIA</t>
  </si>
  <si>
    <t>LIQUIDACION DE UTILIDADES   - INELCO  S.A.S.</t>
  </si>
  <si>
    <t>LIQUIDACION DE UTILIDADES   - SOLUCIONES NEUMATICAS IPR INGENIERIA</t>
  </si>
  <si>
    <t>LIQUIDACION DE UTILIDADES   - W G ENERGIA INTEGRAL S.A.S.</t>
  </si>
  <si>
    <t>LIQUIDACION DE UTILIDADES   - HERMAR INGENIERIA S.A.S.</t>
  </si>
  <si>
    <t>LIQUIDACION DE UTILIDADES   - LUIS FERNANDO OSORIO</t>
  </si>
  <si>
    <t>LIQUIDACION DE UTILIDADES   - MOINSE INDUSTRIAL S.A.S.</t>
  </si>
  <si>
    <t>FERRETERIA IMPORVALVULAS</t>
  </si>
  <si>
    <t>M DE O  STUB END</t>
  </si>
  <si>
    <t>LIQUIDACION DE UTILIDADES   -  MOINSE INDUSTRIAL S.A.S.</t>
  </si>
  <si>
    <t>CASAVAL</t>
  </si>
  <si>
    <t>LIQUIDACION DE UTILIDADES   -  METALVIAL S.A.S.</t>
  </si>
  <si>
    <t>CESAR</t>
  </si>
  <si>
    <t>LIQUIDACION DE UTILIDADES   -  PRODUCTOS DE CAUCHO Y LONA S.A.S.</t>
  </si>
  <si>
    <t>LIQUIDACION DE UTILIDADES   -  SOLUCIONES INDUSTRIALES S.A.S.</t>
  </si>
  <si>
    <t>LIQUIDACION DE UTILIDADES   -  BRAIMMM S.A.S.</t>
  </si>
  <si>
    <t>LIQUIDACION DE UTILIDADES   -  INDUSTRIAS AMG  S.A.S.</t>
  </si>
  <si>
    <t>LIQUIDACION DE UTILIDADES   -  PROYECTOS AIMONT S.A.S.</t>
  </si>
  <si>
    <t>LIQUIDACION DE UTILIDADES   -  SANNOX DE COLOMBIA S.A.S.</t>
  </si>
  <si>
    <t>LIQUIDACION DE UTILIDADES   -  DIDACONTROL</t>
  </si>
  <si>
    <t>LIQUIDACION DE UTILIDADES   -  SANNOX DE COLOMBIA S.A.S</t>
  </si>
  <si>
    <t>LIQUIDACION DE UTILIDADES   -  AMJ GROUP S.A.S</t>
  </si>
  <si>
    <t>LIQUIDACION DE UTILIDADES   -  N T LABS S.A.S.</t>
  </si>
  <si>
    <t>LIQUIDACION DE UTILIDADES   -  AMJ GROUP S.A.S.</t>
  </si>
  <si>
    <t>ASUMINCOL</t>
  </si>
  <si>
    <t>LIQUIDACION DE UTILIDADES   -  DIEGO SANTODOMINGO</t>
  </si>
  <si>
    <t>LIQUIDACION DE UTILIDADES   -  VICENTE PEPINOSA</t>
  </si>
  <si>
    <t>LIQUIDACION DE UTILIDADES   -  SOLUCIONES INDUSTRIALES M V S.A.S.</t>
  </si>
  <si>
    <t>LIQUIDACION DE UTILIDADES   -  A M J GROUP S.A.S.</t>
  </si>
  <si>
    <t>LIQUIDACION DE UTILIDADES   -  EDIFICIO RINCON DEL PARQUE TORRE B</t>
  </si>
  <si>
    <t xml:space="preserve">DISTRIBUCIONES P V C </t>
  </si>
  <si>
    <t>LIQUIDACION DE UTILIDADES   -  MOINSE INDUSTRIAL</t>
  </si>
  <si>
    <t>SERVICIO DE CORTE  CODO 10 "</t>
  </si>
  <si>
    <t>SUM Y FABRICACION NIPLES</t>
  </si>
  <si>
    <t>COSTO FCRO.</t>
  </si>
  <si>
    <t>LIQUIDACION DE UTILIDADES   -  COMERCIALIZADORA DE ALIMENTOS RICH S.A.S.</t>
  </si>
  <si>
    <t>LIQUIDACION DE UTILIDADES   -  JUROC S.A.S.</t>
  </si>
  <si>
    <t>LIQUIDACION DE UTILIDADES   -  INSTRUMENTACION,SERVICIOS Y AUTOMATIZACION ISA S.A.S.</t>
  </si>
  <si>
    <t>DOTACIONES Y SEGURIDAD SUPER</t>
  </si>
  <si>
    <t>STOCK IMATEC FABIAN</t>
  </si>
  <si>
    <t>STOCK IMATEC  SUPERIOR</t>
  </si>
  <si>
    <t>FABRICACION NIPLERIA</t>
  </si>
  <si>
    <t>LIQUIDACION DE UTILIDADES   -  MANTENIMIENTO METALMECANICO S.A.S.</t>
  </si>
  <si>
    <t>LIQUIDACION DE UTILIDADES   -  INDUSTRIAS METALICAS PAZ</t>
  </si>
  <si>
    <t>LIQUIDACION DE UTILIDADES   -  SERVISAFE</t>
  </si>
  <si>
    <t>LIQUIDACION DE UTILIDADES   -  MARCO JESUS MONTOYA</t>
  </si>
  <si>
    <t>LIQUIDACION DE UTILIDADES   -  RAMIREZ Y SERNA R&amp;S INGENIERIA S.A.S.</t>
  </si>
  <si>
    <t>LIQUIDACION DE UTILIDADES   -  HERMAR INGENIERIA</t>
  </si>
  <si>
    <t>LIQUIDACION DE UTILIDADES   -  VICENTE ARMANDO PEPINOSA</t>
  </si>
  <si>
    <t>LIQUIDACION DE UTILIDADES   -  RAMIREZ SERNA R&amp;S INGENIERIA S.A.S.</t>
  </si>
  <si>
    <t>STOCK IMATEC IMPOFER</t>
  </si>
  <si>
    <t>VALVULAS INDUSTRIALES</t>
  </si>
  <si>
    <t>LIQUIDACION DE UTILIDADES   -  FERREORIENTE LTDA</t>
  </si>
  <si>
    <t>SERVICIO SAND BLASTING</t>
  </si>
  <si>
    <t>FABRICACION EMPAQUE</t>
  </si>
  <si>
    <t>LIQUIDACION DE UTILIDADES   -  VAPOR , AIRE , AGUA SOLUCIONES INDUSTRIALES</t>
  </si>
  <si>
    <t>LIQUIDACION DE UTILIDADES   -  EPRING S.A.S.</t>
  </si>
  <si>
    <t>LIQUIDACION DE UTILIDADES   -  INTERVALLE S.A.S.</t>
  </si>
  <si>
    <t>LIQUIDACION DE UTILIDADES   -  SERVICIOS PARA LA INDUSTRIA JRL  S.A.S.</t>
  </si>
  <si>
    <t>LIQUIDACION DE UTILIDADES   -  U B  HIDROSANITARIO S.A.S.</t>
  </si>
  <si>
    <t>LIQUIDACION DE UTILIDADES   -  ASCENSORES CARMACOL S.A.S.</t>
  </si>
  <si>
    <t>LIQUIDACION DE UTILIDADES   -  VAPOR , AIRE , AGUA SOLUCIONES INDUSTRIALES S.A.S.</t>
  </si>
  <si>
    <t>LIQUIDACION DE UTILIDADES   -  CENTRO INDUSTRIAL VILLEGAS S.A.S.</t>
  </si>
  <si>
    <t>LIQUIDACION DE UTILIDADES   -  SUMINISTRO PARA INGENIERIA Y MANTENIMIENTO S.A.S.</t>
  </si>
  <si>
    <t>LIQUIDACION DE UTILIDADES   -  ULTRASERVICIOS E INGENIERIA S.A.S.</t>
  </si>
  <si>
    <t>LIQUIDACION DE UTILIDADES   -   FERRETERIA SU PROVEEDOR S.A.S.</t>
  </si>
  <si>
    <t>LIQUIDACION DE UTILIDADES   -   MECANIZADOS DEL PACIFICO S.A.S.</t>
  </si>
  <si>
    <t>CORTESA</t>
  </si>
  <si>
    <t>LIQUIDACION DE UTILIDADES   -   RAMIRO CHAUX MUÑOZ</t>
  </si>
  <si>
    <t>LIQUIDACION DE UTILIDADES   -  FERRETERIA REINA S.A.</t>
  </si>
  <si>
    <t>SERVICIOS</t>
  </si>
  <si>
    <t>LIQUIDACION DE UTILIDADES   - SERVICIOS PARA LA INDUSTRIA JRL S.A.S.</t>
  </si>
  <si>
    <t>LIQUIDACION DE UTILIDADES   - FERRETERIA SU PROVEEDOR S.A.S</t>
  </si>
  <si>
    <t>LIQUIDACION DE UTILIDADES   - FERROTEC  LTDA</t>
  </si>
  <si>
    <t>LUIS A. BENAVIDES</t>
  </si>
  <si>
    <t>LIQUIDACION DE UTILIDADES   -  SOLUCIONES NEUMATICAS S.A.S.</t>
  </si>
  <si>
    <t xml:space="preserve">REDES TECNICAS </t>
  </si>
  <si>
    <t>FABRICACION IMATEC</t>
  </si>
  <si>
    <t>LIQUIDACION DE UTILIDADES   -  FITTING VALVES S.A.S.</t>
  </si>
  <si>
    <t>FABRICACIN STUN END</t>
  </si>
  <si>
    <t>METAL ELECTRICOS</t>
  </si>
  <si>
    <t>STOCK IMATEC GAMBOA</t>
  </si>
  <si>
    <t>LIQUIDACION DE UTILIDADES   -  SOLUCIONES INDUSTRIALES APONTE RAMOS  S.A.S.</t>
  </si>
  <si>
    <t>LIQUIDACION DE UTILIDADES   -  SOLUCIONES INDUSTRIALES MV  S.A.S.</t>
  </si>
  <si>
    <t xml:space="preserve">CODIFER </t>
  </si>
  <si>
    <t>LIQUIDACION DE UTILIDADES   -  VAPOR , AIRE, AGUA SOLUCIONES INDUSTRIALES S.A.S.</t>
  </si>
  <si>
    <t>LIQUIDACION DE UTILIDADES   -  ACEROSCOL S.A.S.</t>
  </si>
  <si>
    <t>LIQUIDACION DE UTILIDADES  -  INGEPRAK GZ  S.A.S.</t>
  </si>
  <si>
    <t>LIQUIDACION DE UTILIDADES  -  AGROINDUSTRIALES DIAL S.A.S.</t>
  </si>
  <si>
    <t>LIQUIDACION DE UTILIDADES  -  SERVISAFE S.A.S.</t>
  </si>
  <si>
    <t>LIQUIDACION DE UTILIDADES  -  SUMINISTRO PARA INGENIERIA Y MANTENIMIENTO S.A.S.</t>
  </si>
  <si>
    <t>LIQUIDACION DE UTILIDADES  -  U B HIDROSANITARIO S.A.S.</t>
  </si>
  <si>
    <t>LIQUIDACION DE UTILIDADES  -  AYC  SOLUCIONES HIDROELECTRICAS S.A.S.</t>
  </si>
  <si>
    <t>FABRICACION STUB END</t>
  </si>
  <si>
    <t>STOCK IMATEC SUMIVALLE</t>
  </si>
  <si>
    <t>LIQUIDACION DE UTILIDADES  -  AMJ  GROUP  S.A.S.</t>
  </si>
  <si>
    <t>OZ DISTRIBUCIONES</t>
  </si>
  <si>
    <t>LIQUIDACION DE UTILIDADES   -  IDUSTRIAS JILA LTDA.</t>
  </si>
  <si>
    <t>GRUVAL</t>
  </si>
  <si>
    <t>FLETE BERLINAS</t>
  </si>
  <si>
    <t>LIQUIDACION DE UTILIDADES   -  DIDA CONTOL S.A.S.</t>
  </si>
  <si>
    <t>LIQUIDACION DE UTILIDADES   -  INGENIERIA Y SOLUCIONES GROUP S.A.S.</t>
  </si>
  <si>
    <t>TECVAL</t>
  </si>
  <si>
    <t>LIQUIDACION DE UTILIDADES   -  DIGASOL HS  S.A.S.</t>
  </si>
  <si>
    <t>LIQUIDACION DE UTILIDADES   -  WATERCOL S.A.S.</t>
  </si>
  <si>
    <t>LIQUIDACION DE UTILIDADES  -   GRUPO ACERO Y CONFORT S.A.S.</t>
  </si>
  <si>
    <t>LIQUIDACION DE UTILIDADES  -   SUMINISTRO PARA INGENIERIA Y MANTENIMIENTO S.A.S.</t>
  </si>
  <si>
    <t>TUVALREP</t>
  </si>
  <si>
    <t>STEAM</t>
  </si>
  <si>
    <t>HELBERT</t>
  </si>
  <si>
    <t>IMATEC</t>
  </si>
  <si>
    <t xml:space="preserve">FLETES </t>
  </si>
  <si>
    <t>CTO. FINANCIERO</t>
  </si>
  <si>
    <t>STOCK  IMATEC</t>
  </si>
  <si>
    <t>FABRICACION</t>
  </si>
  <si>
    <t>LIQUIDACION DE UTILIDADES  -  INDUSTRIAS JILA LTDA</t>
  </si>
  <si>
    <t>ACINOX</t>
  </si>
  <si>
    <t>LIQUIDACION DE UTILIDADES  -  COLMECANICAS TWA S.A.S.</t>
  </si>
  <si>
    <t>LIQUIDACION DE UTILIDADES  -  SOLUCIONES INDUSTRIALES S.A.S.</t>
  </si>
  <si>
    <t>MANUEL GIT¡RALDO</t>
  </si>
  <si>
    <t>LIQUIDACION DE UTILIDADES  -  SERVICIOS PARA LA INDUSTRIA JRL S.A.S.</t>
  </si>
  <si>
    <t>LIQUIDACION DE UTILIDADES  -  INDUSTRIAS JILA  LTDA</t>
  </si>
  <si>
    <t>TUBOLAMINAS</t>
  </si>
  <si>
    <t>LIQUIDACION DE UTILIDADES  -  GRUPO ACERO Y CONFORT S.A.S.</t>
  </si>
  <si>
    <t>LIQUIDACION DE UTILIDADES  -  BRAIMM S.A.S.</t>
  </si>
  <si>
    <t>LIQUIDACION DE UTILIDADES  - TECNOX  LTDA</t>
  </si>
  <si>
    <t>LIQUIDACION DE UTILIDADES  - SERVISAFE S.A.S.</t>
  </si>
  <si>
    <t>LIQUIDACION DE UTILIDADES  -  NARVAEZ VIDAL MARCK ROGER SEBASTIAN</t>
  </si>
  <si>
    <t xml:space="preserve">EXCEDENTE </t>
  </si>
  <si>
    <t>LIQUIDACION DE UTILIDADES  -  AMJ  GROUP S.A.S.</t>
  </si>
  <si>
    <t>LIQUIDACION DE UTILIDADES  -  SERVISAFE  S.A.S.</t>
  </si>
  <si>
    <t>LIQUIDACION DE UTILIDADES  -  SUMINISTROS PARA INGENIERIA Y MANTENIMIENTO  S.A.S.</t>
  </si>
  <si>
    <t xml:space="preserve">LIQUIDACION DE UTILIDADES  -  FERRETERIA  LIDER </t>
  </si>
  <si>
    <t>LIQUIDACION DE UTILIDADES  -  VAPOR , AIRE , AGUA SOLUCIONES INDUSTRIALES  S.A.S.</t>
  </si>
  <si>
    <t>STOCK IMATEC MATERIALES</t>
  </si>
  <si>
    <t>LIQUIDACION DE UTILIDADES  -   SUMINISTROS PARA INGENIERIA Y MANTENIMIENTO S.A.S.</t>
  </si>
  <si>
    <t>LIQUIDACION DE UTILIDADES  -   INDUSTRIAS JILA  LTDA</t>
  </si>
  <si>
    <t>LIQUIDACION DE UTILIDADES  -   VAPOR , AIRE , AGUA SOLUCIONES INDUSTRIALES  S.A.S.</t>
  </si>
  <si>
    <t xml:space="preserve">MATERIALES </t>
  </si>
  <si>
    <t>MANO DE OBRA Y MAQUINADO</t>
  </si>
  <si>
    <t>LIQUIDACION DE UTILIDADES  -   HSC  INGENIERIA DE SISTEMAS HIDRAULICOS  S.A.S.</t>
  </si>
  <si>
    <t>EXCEDENTE INDUSTRIAL</t>
  </si>
  <si>
    <t>LIQUIDACION DE UTILIDADES  -   FERMIN IFREDO MUÑOZ</t>
  </si>
  <si>
    <t>LIQUIDACION DE UTILIDADES  -   SERVISAFE  S.A.S.</t>
  </si>
  <si>
    <t>LIQUIDACION DE UTILIDADES  -   FITTING VALVES  S.A.S.</t>
  </si>
  <si>
    <t>LIQUIDACION DE UTILIDADES  -   SUMINISTROS PARA INGENIERIA Y MANTENIMEINTO S.A.S.</t>
  </si>
  <si>
    <t>LIQUIDACION DE UTILIDADES  -   IMPORTACIONES Y SERVICIOS DEL VALLE  S.A.S.</t>
  </si>
  <si>
    <t>LIQUIDACION DE UTILIDADES  -  AMJ GROUP  S.A.S.</t>
  </si>
  <si>
    <t xml:space="preserve">LIQUIDACION DE UTILIDADES  -  RAMIRO CHAUX </t>
  </si>
  <si>
    <t>LIQUIDACION DE UTILIDADES  -  COLMECANICAS  TWA  S.A.S.</t>
  </si>
  <si>
    <t>LIQUIDACION DE UTILIDADES  -  ASERDIESEL  S.A.S.</t>
  </si>
  <si>
    <t>LIQUIDACION DE UTILIDADES    -   SERVISAFE  S.A.S.</t>
  </si>
  <si>
    <t>LIQUIDACION DE UTILIDADES    -   LUIS FERNANDO SILVA</t>
  </si>
  <si>
    <t>STUB END</t>
  </si>
  <si>
    <t>SILVA</t>
  </si>
  <si>
    <t>MATERIALES JUNTA</t>
  </si>
  <si>
    <t>LIQUIDACION DE UTILIDADES    -   SOLUCIONES INDUSTRIALES  S.A.S.</t>
  </si>
  <si>
    <t xml:space="preserve">MANUEL </t>
  </si>
  <si>
    <t>LIQUIDACION DE UTILIDADES    -   FERRETERIA LIDER</t>
  </si>
  <si>
    <t>LIQUIDACION DE UTILIDADES    -  MECANIZADOS INDUSTRIALES DEL CAUCA</t>
  </si>
  <si>
    <t>LIQUIDACION DE UTILIDADES    - FERRETERIA LIDER</t>
  </si>
  <si>
    <t>SYOCK IMATEC</t>
  </si>
  <si>
    <t>LIQUIDACION DE UTILIDADES    - SOLUCIONES TECNICAS INDUSTRIALES</t>
  </si>
  <si>
    <t>LIQUIDACION DE UTILIDADES    -  FERRETERIA SU PROVEEDOR</t>
  </si>
  <si>
    <t>LIQUIDACION DE UTILIDADES    -  AMJ GROUP S.A.S.</t>
  </si>
  <si>
    <t>LIQUIDACION DE UTILIDADES    -  MONTAJES Y REPARACIONES M&amp;R S.A.S.</t>
  </si>
  <si>
    <t>LIQUIDACION DE UTILIDADES    -  LAP INGENIERIA Y PROYECTOS S.A.S.</t>
  </si>
  <si>
    <t>LIQUIDACION DE UTILIDADES    -  BRAIMM S.A.S.</t>
  </si>
  <si>
    <t>LIQUIDACION DE UTILIDADES    -  SEBASTIAN NARVAEZ</t>
  </si>
  <si>
    <t>LIQUIDACION DE UTILIDADES    -  INDUSTRIAS JILA</t>
  </si>
  <si>
    <t>LIQUIDACION DE UTILIDADES     -  HERMAR INGENIERIA S.A.S.</t>
  </si>
  <si>
    <t>LIQUIDACION DE UTILIDADES     -  SEBASTIAN NARVAEZ</t>
  </si>
  <si>
    <t>LIQUIDACION DE UTILIDADES     -  BENJAMIN MORA</t>
  </si>
  <si>
    <t>EQUIPOS Y HERRAMIENTAS</t>
  </si>
  <si>
    <t>LIQUIDACION DE UTILIDADES     -  FERRETERIA LIDER</t>
  </si>
  <si>
    <t xml:space="preserve">CONSTRUMARKET </t>
  </si>
  <si>
    <t>LIQUIDACION DE UTILIDADES     -  COLMECANICAS TWA  S.A.S.</t>
  </si>
  <si>
    <t>LIQUIDACION DE UTILIDADES     -  SERVISAFE S.A.S.</t>
  </si>
  <si>
    <t>LIQUIDACION DE UTILIDADES     -  AGROINDUSTRIALES DIAL DE COLOMBIA S.A.S.</t>
  </si>
  <si>
    <t>LIQUIDACION DE UTILIDADES     -  BRAIMMM  S.A.S.</t>
  </si>
  <si>
    <t>LIQUIDACION DE UTILIDADES   -  IMAQ  S.A.S.</t>
  </si>
  <si>
    <t>DATAFONO</t>
  </si>
  <si>
    <t>LIQUIDACION DE UTILIDADES     -  SU PROVEEDOR S.A.S.</t>
  </si>
  <si>
    <t>LIQUIDACION DE UTILIDADES     -  JGH  PROYECTOS Y SERVICIOS S.A.S.</t>
  </si>
  <si>
    <t>LIQUIDACION DE UTILIDADES     -  METALMECANICA BASTIDAS S.A.S.</t>
  </si>
  <si>
    <t>SOLUCIONES NEUMATICAS</t>
  </si>
  <si>
    <t>LIQUIDACION DE UTILIDADES     -  UB HIDROSANITARIO S.A.S.</t>
  </si>
  <si>
    <t>LIQUIDACION DE UTILIDADES     -  HERMAR INGENIERIA</t>
  </si>
  <si>
    <t>LIQUIDACION DE UTILIDADES   -  FERRETERIA LIDER</t>
  </si>
  <si>
    <t>LIQUIDACION DE UTILIDADES    -  A Y C  SOLUCIONES HIDROELECTRICAS S.A.S.</t>
  </si>
  <si>
    <t>LIQUIDACION DE UTILIDADES    -  AGROINDUSTRIALES DIAL</t>
  </si>
  <si>
    <t>LIQUIDACION DE UTILIDADES    -  FERRETERIA LIDER</t>
  </si>
  <si>
    <t>LIQUIDACION DE UTILIDADES    -  SETEFER  LTDA</t>
  </si>
  <si>
    <t>LIQUIDACION DE UTILIDADES    -  S P I M  S.A.S.</t>
  </si>
  <si>
    <t>LIQUIDACION DE UTILIDADES    -  MOINSE INDUSTRIAL S.A.S.</t>
  </si>
  <si>
    <t>LIQUIDACION DE UTILIDADES    -  HSC  INGENIERIA DE SISTEMAS HIDRAULICOS S.A.S.</t>
  </si>
  <si>
    <t>LIQUIDACION DE UTILIDADES    -  INDUSTRIAS JILA  LTDA</t>
  </si>
  <si>
    <t>LIQUIDACION DE UTILIDADES   -  HSC  INGENIERIA DE SISTEMAS HIDRAULICOS S.A.S.</t>
  </si>
  <si>
    <t>COMISION DATAFONO</t>
  </si>
  <si>
    <t>LIQUIDACION DE UTILIDADES   -  ARISTIZABAL CONSTRUCTORES S.A.S.</t>
  </si>
  <si>
    <t>LIQUIDACION DE UTILIDADES   -  HSC INGENIERIA DE SISTEMAS HIDRAULICOS S.A.S.</t>
  </si>
  <si>
    <t>LIQUIDACION DE UTILIDADES   -  INDUSTRIAS JILA</t>
  </si>
  <si>
    <t>LIQUIDACION DE UTILIDADES   -  INTERCOL EPC  S.A.S.</t>
  </si>
  <si>
    <t>LIQUIDACION DE UTILIDADES   -  INDUSTRIAS JILA LTDA</t>
  </si>
  <si>
    <t>LIQUIDACION DE UTILIDADES   -  UB HIDROSANITARIO S.A.S.</t>
  </si>
  <si>
    <t>TRANSPOPRTE</t>
  </si>
  <si>
    <t>AGOFER</t>
  </si>
  <si>
    <t>LIQUIDACION DE UTILIDADES   -  IPM GROUP S.A.S.</t>
  </si>
  <si>
    <t>LIQUIDACION DE UTILIDADES   -  PRODUCTOS DE CAUCHO Y LONA  S.A.S.</t>
  </si>
  <si>
    <t>LIQUIDACION DE UTILIDADES   -  LAP INGENIERIA &amp; PROYECTOS S.A.S.</t>
  </si>
  <si>
    <t>LIQUIDACION DE UTILIDADES   - A Y C  SOLUCIONES HIDROELECTRICAS S.A.S.</t>
  </si>
  <si>
    <t>LIQUIDACION DE UTILIDADES   - FABRICACIONES &amp; CAUCHOS  S.A.S.</t>
  </si>
  <si>
    <t>LIQUIDACION DE UTILIDADES   - PROYECTOS AIMONT S.A.S.</t>
  </si>
  <si>
    <t>LIQUIDACION DE UTILIDADES   - VAPOR , AIRE , AGUA SOLUCIINES INDUSTRIALES  S.A.S.</t>
  </si>
  <si>
    <t>LIQUIDACION DE UTILIDADES   - SUMINISTRO PARA INGENIERIA Y MANTENIMIENTO S.A.S.</t>
  </si>
  <si>
    <t>LIQUIDACION DE UTILIDADES   -  RETENES INDUSTRIALES S.A.S.</t>
  </si>
  <si>
    <t>LIQUIDACION DE UTILIDADES   -  DISTRIBUCIONES PRAIN S.A.S.</t>
  </si>
  <si>
    <t>SERVICIO DE CORTE</t>
  </si>
  <si>
    <t>LIQUIDACION DE UTILIDADES   -  MONTAJES JIG INGENIERIA Y CONSTRUCCIONES S.A.S.</t>
  </si>
  <si>
    <t>LIQUIDACION DE UTILIDADES   -  FABRICACIONES &amp; CAUCHOS  S.A.S.</t>
  </si>
  <si>
    <t>LIQUIDACION DE UTILIDADES   - SUMINISTROS PARA INGENIERIA Y MANTENIMIENTO S.A.S.</t>
  </si>
  <si>
    <t>LIQUIDACION DE UTILIDADES   - HSC INGENIERIA  S.A.S.</t>
  </si>
  <si>
    <t>LIQUIDACION DE UTILIDADES   - TUVACOL</t>
  </si>
  <si>
    <t>FITTING VALVES</t>
  </si>
  <si>
    <t>INTERESES</t>
  </si>
  <si>
    <t xml:space="preserve">2 MESES  </t>
  </si>
  <si>
    <t>LIQUIDACION DE UTILIDADES   -  VAPOR AIRE AGUA SOLUCIONES</t>
  </si>
  <si>
    <t>LIQUIDACION DE UTILIDADES   - COMERCIALIZADORA DANFER</t>
  </si>
  <si>
    <t>LIQUIDACION DE UTILIDADES   - COSMO COMPAÑÍA</t>
  </si>
  <si>
    <t>LIQUIDACION DE UTILIDADES   - INDUSTRIAS AMG</t>
  </si>
  <si>
    <t>LIQUIDACION DE UTILIDADES   - VAPOR AIRE AGUA SOLUCIONES</t>
  </si>
  <si>
    <t>LIQUIDACION DE UTILIDADES   - ARE SERVICIOS</t>
  </si>
  <si>
    <t>FEV - 2</t>
  </si>
  <si>
    <t>LIQUIDACION DE UTILIDADES   - ALINEAR MANTENIMIENTO</t>
  </si>
  <si>
    <t>FEV - 3</t>
  </si>
  <si>
    <t>LIQUIDACION DE UTILIDADES   - SOLUCIONES INDUSTRIALES A SU MEDIDA</t>
  </si>
  <si>
    <t>FEV - 4</t>
  </si>
  <si>
    <t>LIQUIDACION DE UTILIDADES   -  TALLER INDUSTRIAL VELMU</t>
  </si>
  <si>
    <t>FEV - 8</t>
  </si>
  <si>
    <t>FEV - 9</t>
  </si>
  <si>
    <t>FEV - 10</t>
  </si>
  <si>
    <t>LIQUIDACION DE UTILIDADES   -  HYCO</t>
  </si>
  <si>
    <t>LIQUIDACION DE UTILIDADES   -  SOLUCIONES INDUSTRIALES</t>
  </si>
  <si>
    <t>FEV - 11</t>
  </si>
  <si>
    <t>FEV - 12</t>
  </si>
  <si>
    <t xml:space="preserve">LIQUIDACION DE UTILIDADES   -  S P I M </t>
  </si>
  <si>
    <t>FEV - 13</t>
  </si>
  <si>
    <t>FEV - 14</t>
  </si>
  <si>
    <t>LIQUIDACION DE UTILIDADES   -  S P I M</t>
  </si>
  <si>
    <t>LIQUIDACION DE UTILIDADES   -  IPM  GROUP</t>
  </si>
  <si>
    <t>FEV - 15</t>
  </si>
  <si>
    <t>FEV - 16</t>
  </si>
  <si>
    <t>FEV - 17</t>
  </si>
  <si>
    <t>LIQUIDACION DE UTILIDADES   -  COMERCIALIZADORA SURTIVALLE</t>
  </si>
  <si>
    <t>LIQUIDACION DE UTILIDADES   -  A Y C  SOLUCIONES HIDROELECTRICAS</t>
  </si>
  <si>
    <t>LIQUIDACION DE UTILIDADES   -  INDUSTRIA DE LACTEOS LA MAPORITA</t>
  </si>
  <si>
    <t>FEV - 18</t>
  </si>
  <si>
    <t>FEV - 19</t>
  </si>
  <si>
    <t>FEV - 20</t>
  </si>
  <si>
    <t xml:space="preserve">LIQUIDACION DE UTILIDADES   -  SOLUCIONES INDUSTRIALES </t>
  </si>
  <si>
    <t>FEV - 21</t>
  </si>
  <si>
    <t>LIQUIDACION DE UTILIDADES   -  PRODUCTOS DE CAUCHO Y LONA</t>
  </si>
  <si>
    <t>LIQUIDACION DE UTILIDADES   -  COMERCIALIZADORA DE ALIMENTOS RICH</t>
  </si>
  <si>
    <t>FEV - 22</t>
  </si>
  <si>
    <t>FEV - 23</t>
  </si>
  <si>
    <t>LIQUIDACION DE UTILIDADES   -  BRAVO INGENIERIA Y MONTAJES</t>
  </si>
  <si>
    <t>FEV - 24</t>
  </si>
  <si>
    <t>FEV - 25</t>
  </si>
  <si>
    <t xml:space="preserve">LIQUIDACION DE UTILIDADES   -  REMO INDUSTRIALES </t>
  </si>
  <si>
    <t>FEV - 26</t>
  </si>
  <si>
    <t xml:space="preserve">LIQUIDACION DE UTILIDADES   -  HSC INGENIERIA  </t>
  </si>
  <si>
    <t>FEV-27</t>
  </si>
  <si>
    <t xml:space="preserve">LIQUIDACION DE UTILIDADES   -  VICENTE PEPINOSA  </t>
  </si>
  <si>
    <t>FEV-28</t>
  </si>
  <si>
    <t>FEV-29</t>
  </si>
  <si>
    <t xml:space="preserve">LIQUIDACION DE UTILIDADES   -  AUTOMECHANIC SOLUTIION </t>
  </si>
  <si>
    <t>FEV-30</t>
  </si>
  <si>
    <t xml:space="preserve">LIQUIDACION DE UTILIDADES   -  RONALD FABIAN ARAGON </t>
  </si>
  <si>
    <t>FEV-31</t>
  </si>
  <si>
    <t>LIQUIDACION DE UTILIDADES   -  FERRETRIA LIDER</t>
  </si>
  <si>
    <t>LIQUIDACION DE UTILIDADES   -  PROYECTOS AIMONT</t>
  </si>
  <si>
    <t>FEV-32</t>
  </si>
  <si>
    <t>FEV-33</t>
  </si>
  <si>
    <t>LIQUIDACION DE UTILIDADES   -  FRANCISCO JAVIER ARCOS RECALDE</t>
  </si>
  <si>
    <t>FEV-34</t>
  </si>
  <si>
    <t xml:space="preserve">LIQUIDACION DE UTILIDADES   -  COMERCIALIZDORA  C Q </t>
  </si>
  <si>
    <t>FEV-35</t>
  </si>
  <si>
    <t>FEV-36</t>
  </si>
  <si>
    <t>LIQUIDACION DE UTILIDADES   -  AUTOMECHANIC SOLUTION</t>
  </si>
  <si>
    <t>FEV-37</t>
  </si>
  <si>
    <t>LIQUIDACION DE UTILIDADES   -  SPIM</t>
  </si>
  <si>
    <t>FEV-40</t>
  </si>
  <si>
    <t>FEV-39</t>
  </si>
  <si>
    <t>FEV-38</t>
  </si>
  <si>
    <t>FEV-41</t>
  </si>
  <si>
    <t>LIQUIDACION DE UTILIDADES   -  U B  HIDROSANITARIOS</t>
  </si>
  <si>
    <t>FEV-42</t>
  </si>
  <si>
    <t>FEV-43</t>
  </si>
  <si>
    <t>LIQUIDACION DE UTILIDADES   -  LMV SERVICLIMA</t>
  </si>
  <si>
    <t>FEV-45</t>
  </si>
  <si>
    <t>FEV-46</t>
  </si>
  <si>
    <t xml:space="preserve">LIQUIDACION DE UTILIDADES   -  AUTOMECHANIC SOLUTION </t>
  </si>
  <si>
    <t>FEV-47</t>
  </si>
  <si>
    <t>FEV-48</t>
  </si>
  <si>
    <t xml:space="preserve">LIQUIDACION DE UTILIDADES   -  SPIM </t>
  </si>
  <si>
    <t>FEV-49</t>
  </si>
  <si>
    <t xml:space="preserve">LIQUIDACION DE UTILIDADES  -  VICENTE ARMANDO PEPINOSA </t>
  </si>
  <si>
    <t>FEV-50</t>
  </si>
  <si>
    <t>LIQUIDACION DE UTILIDADES  -  U B  HIDROSANITARIO</t>
  </si>
  <si>
    <t>FEV-51</t>
  </si>
  <si>
    <t>LIQUIDACION DE UTILIDADES  -  FERRETERIA LIDER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</si>
</sst>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9" tint="-0.249977111117893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/>
    <xf numFmtId="42" fontId="1" fillId="0" borderId="0" applyFont="0" applyFill="0" applyBorder="0" applyAlignment="0" applyProtection="0"/>
  </cellStyleXfs>
  <cellXfs count="35">
    <xf numFmtId="0" fontId="0" fillId="0" borderId="0" xfId="0"/>
    <xf numFmtId="0" fontId="3" fillId="0" borderId="0" xfId="0" applyFont="1"/>
    <xf numFmtId="0" fontId="4" fillId="0" borderId="0" xfId="0" applyFont="1"/>
    <xf numFmtId="42" fontId="0" fillId="0" borderId="0" xfId="1" applyFont="1"/>
    <xf numFmtId="42" fontId="5" fillId="0" borderId="0" xfId="1" applyFont="1"/>
    <xf numFmtId="0" fontId="5" fillId="0" borderId="0" xfId="0" applyFont="1"/>
    <xf numFmtId="42" fontId="0" fillId="0" borderId="0" xfId="0" applyNumberFormat="1"/>
    <xf numFmtId="0" fontId="0" fillId="0" borderId="1" xfId="0" applyBorder="1"/>
    <xf numFmtId="42" fontId="6" fillId="0" borderId="0" xfId="0" applyNumberFormat="1" applyFont="1"/>
    <xf numFmtId="0" fontId="0" fillId="0" borderId="0" xfId="0" applyAlignment="1">
      <alignment horizontal="right"/>
    </xf>
    <xf numFmtId="42" fontId="6" fillId="0" borderId="0" xfId="1" applyFont="1"/>
    <xf numFmtId="42" fontId="7" fillId="0" borderId="0" xfId="1" applyFont="1"/>
    <xf numFmtId="0" fontId="4" fillId="0" borderId="0" xfId="0" applyFont="1" applyAlignment="1">
      <alignment horizontal="center"/>
    </xf>
    <xf numFmtId="0" fontId="2" fillId="0" borderId="0" xfId="0" applyFont="1"/>
    <xf numFmtId="0" fontId="8" fillId="0" borderId="0" xfId="0" applyFont="1"/>
    <xf numFmtId="0" fontId="8" fillId="0" borderId="0" xfId="0" applyFont="1" applyAlignment="1">
      <alignment horizontal="right"/>
    </xf>
    <xf numFmtId="9" fontId="8" fillId="0" borderId="0" xfId="0" applyNumberFormat="1" applyFont="1"/>
    <xf numFmtId="42" fontId="0" fillId="0" borderId="1" xfId="1" applyFont="1" applyBorder="1"/>
    <xf numFmtId="0" fontId="9" fillId="0" borderId="0" xfId="0" applyFont="1"/>
    <xf numFmtId="42" fontId="10" fillId="0" borderId="0" xfId="1" applyFont="1"/>
    <xf numFmtId="42" fontId="11" fillId="0" borderId="0" xfId="1" applyFont="1"/>
    <xf numFmtId="42" fontId="8" fillId="0" borderId="0" xfId="1" applyFont="1"/>
    <xf numFmtId="42" fontId="5" fillId="0" borderId="1" xfId="1" applyFont="1" applyBorder="1"/>
    <xf numFmtId="0" fontId="2" fillId="0" borderId="0" xfId="0" applyFont="1" applyAlignment="1">
      <alignment horizontal="right"/>
    </xf>
    <xf numFmtId="0" fontId="8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42" fontId="5" fillId="0" borderId="0" xfId="1" applyFont="1" applyBorder="1"/>
    <xf numFmtId="42" fontId="5" fillId="0" borderId="0" xfId="1" applyFont="1" applyFill="1" applyBorder="1"/>
    <xf numFmtId="42" fontId="0" fillId="0" borderId="0" xfId="1" applyFont="1" applyBorder="1"/>
    <xf numFmtId="42" fontId="5" fillId="0" borderId="2" xfId="1" applyFont="1" applyBorder="1"/>
    <xf numFmtId="42" fontId="5" fillId="0" borderId="0" xfId="0" applyNumberFormat="1" applyFont="1"/>
    <xf numFmtId="42" fontId="5" fillId="0" borderId="0" xfId="1" quotePrefix="1" applyFont="1" applyFill="1" applyBorder="1"/>
    <xf numFmtId="9" fontId="0" fillId="0" borderId="0" xfId="0" applyNumberFormat="1"/>
    <xf numFmtId="9" fontId="8" fillId="0" borderId="0" xfId="0" applyNumberFormat="1" applyFont="1" applyAlignment="1">
      <alignment horizontal="right"/>
    </xf>
  </cellXfs>
  <cellStyles count="2"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324" Type="http://schemas.openxmlformats.org/officeDocument/2006/relationships/worksheet" Target="worksheets/sheet324.xml"/><Relationship Id="rId531" Type="http://schemas.openxmlformats.org/officeDocument/2006/relationships/sharedStrings" Target="sharedStrings.xml"/><Relationship Id="rId170" Type="http://schemas.openxmlformats.org/officeDocument/2006/relationships/worksheet" Target="worksheets/sheet170.xml"/><Relationship Id="rId268" Type="http://schemas.openxmlformats.org/officeDocument/2006/relationships/worksheet" Target="worksheets/sheet268.xml"/><Relationship Id="rId475" Type="http://schemas.openxmlformats.org/officeDocument/2006/relationships/worksheet" Target="worksheets/sheet475.xml"/><Relationship Id="rId32" Type="http://schemas.openxmlformats.org/officeDocument/2006/relationships/worksheet" Target="worksheets/sheet32.xml"/><Relationship Id="rId128" Type="http://schemas.openxmlformats.org/officeDocument/2006/relationships/worksheet" Target="worksheets/sheet128.xml"/><Relationship Id="rId335" Type="http://schemas.openxmlformats.org/officeDocument/2006/relationships/worksheet" Target="worksheets/sheet335.xml"/><Relationship Id="rId5" Type="http://schemas.openxmlformats.org/officeDocument/2006/relationships/worksheet" Target="worksheets/sheet5.xml"/><Relationship Id="rId181" Type="http://schemas.openxmlformats.org/officeDocument/2006/relationships/worksheet" Target="worksheets/sheet181.xml"/><Relationship Id="rId237" Type="http://schemas.openxmlformats.org/officeDocument/2006/relationships/worksheet" Target="worksheets/sheet237.xml"/><Relationship Id="rId402" Type="http://schemas.openxmlformats.org/officeDocument/2006/relationships/worksheet" Target="worksheets/sheet402.xml"/><Relationship Id="rId279" Type="http://schemas.openxmlformats.org/officeDocument/2006/relationships/worksheet" Target="worksheets/sheet279.xml"/><Relationship Id="rId444" Type="http://schemas.openxmlformats.org/officeDocument/2006/relationships/worksheet" Target="worksheets/sheet444.xml"/><Relationship Id="rId486" Type="http://schemas.openxmlformats.org/officeDocument/2006/relationships/worksheet" Target="worksheets/sheet486.xml"/><Relationship Id="rId43" Type="http://schemas.openxmlformats.org/officeDocument/2006/relationships/worksheet" Target="worksheets/sheet43.xml"/><Relationship Id="rId139" Type="http://schemas.openxmlformats.org/officeDocument/2006/relationships/worksheet" Target="worksheets/sheet139.xml"/><Relationship Id="rId290" Type="http://schemas.openxmlformats.org/officeDocument/2006/relationships/worksheet" Target="worksheets/sheet290.xml"/><Relationship Id="rId304" Type="http://schemas.openxmlformats.org/officeDocument/2006/relationships/worksheet" Target="worksheets/sheet304.xml"/><Relationship Id="rId346" Type="http://schemas.openxmlformats.org/officeDocument/2006/relationships/worksheet" Target="worksheets/sheet346.xml"/><Relationship Id="rId388" Type="http://schemas.openxmlformats.org/officeDocument/2006/relationships/worksheet" Target="worksheets/sheet388.xml"/><Relationship Id="rId511" Type="http://schemas.openxmlformats.org/officeDocument/2006/relationships/worksheet" Target="worksheets/sheet511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92" Type="http://schemas.openxmlformats.org/officeDocument/2006/relationships/worksheet" Target="worksheets/sheet192.xml"/><Relationship Id="rId206" Type="http://schemas.openxmlformats.org/officeDocument/2006/relationships/worksheet" Target="worksheets/sheet206.xml"/><Relationship Id="rId413" Type="http://schemas.openxmlformats.org/officeDocument/2006/relationships/worksheet" Target="worksheets/sheet413.xml"/><Relationship Id="rId248" Type="http://schemas.openxmlformats.org/officeDocument/2006/relationships/worksheet" Target="worksheets/sheet248.xml"/><Relationship Id="rId455" Type="http://schemas.openxmlformats.org/officeDocument/2006/relationships/worksheet" Target="worksheets/sheet455.xml"/><Relationship Id="rId497" Type="http://schemas.openxmlformats.org/officeDocument/2006/relationships/worksheet" Target="worksheets/sheet497.xml"/><Relationship Id="rId12" Type="http://schemas.openxmlformats.org/officeDocument/2006/relationships/worksheet" Target="worksheets/sheet12.xml"/><Relationship Id="rId108" Type="http://schemas.openxmlformats.org/officeDocument/2006/relationships/worksheet" Target="worksheets/sheet108.xml"/><Relationship Id="rId315" Type="http://schemas.openxmlformats.org/officeDocument/2006/relationships/worksheet" Target="worksheets/sheet315.xml"/><Relationship Id="rId357" Type="http://schemas.openxmlformats.org/officeDocument/2006/relationships/worksheet" Target="worksheets/sheet357.xml"/><Relationship Id="rId522" Type="http://schemas.openxmlformats.org/officeDocument/2006/relationships/worksheet" Target="worksheets/sheet522.xml"/><Relationship Id="rId54" Type="http://schemas.openxmlformats.org/officeDocument/2006/relationships/worksheet" Target="worksheets/sheet54.xml"/><Relationship Id="rId96" Type="http://schemas.openxmlformats.org/officeDocument/2006/relationships/worksheet" Target="worksheets/sheet96.xml"/><Relationship Id="rId161" Type="http://schemas.openxmlformats.org/officeDocument/2006/relationships/worksheet" Target="worksheets/sheet161.xml"/><Relationship Id="rId217" Type="http://schemas.openxmlformats.org/officeDocument/2006/relationships/worksheet" Target="worksheets/sheet217.xml"/><Relationship Id="rId399" Type="http://schemas.openxmlformats.org/officeDocument/2006/relationships/worksheet" Target="worksheets/sheet399.xml"/><Relationship Id="rId259" Type="http://schemas.openxmlformats.org/officeDocument/2006/relationships/worksheet" Target="worksheets/sheet259.xml"/><Relationship Id="rId424" Type="http://schemas.openxmlformats.org/officeDocument/2006/relationships/worksheet" Target="worksheets/sheet424.xml"/><Relationship Id="rId466" Type="http://schemas.openxmlformats.org/officeDocument/2006/relationships/worksheet" Target="worksheets/sheet466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270" Type="http://schemas.openxmlformats.org/officeDocument/2006/relationships/worksheet" Target="worksheets/sheet270.xml"/><Relationship Id="rId326" Type="http://schemas.openxmlformats.org/officeDocument/2006/relationships/worksheet" Target="worksheets/sheet326.xml"/><Relationship Id="rId65" Type="http://schemas.openxmlformats.org/officeDocument/2006/relationships/worksheet" Target="worksheets/sheet65.xml"/><Relationship Id="rId130" Type="http://schemas.openxmlformats.org/officeDocument/2006/relationships/worksheet" Target="worksheets/sheet130.xml"/><Relationship Id="rId368" Type="http://schemas.openxmlformats.org/officeDocument/2006/relationships/worksheet" Target="worksheets/sheet368.xml"/><Relationship Id="rId172" Type="http://schemas.openxmlformats.org/officeDocument/2006/relationships/worksheet" Target="worksheets/sheet172.xml"/><Relationship Id="rId228" Type="http://schemas.openxmlformats.org/officeDocument/2006/relationships/worksheet" Target="worksheets/sheet228.xml"/><Relationship Id="rId435" Type="http://schemas.openxmlformats.org/officeDocument/2006/relationships/worksheet" Target="worksheets/sheet435.xml"/><Relationship Id="rId477" Type="http://schemas.openxmlformats.org/officeDocument/2006/relationships/worksheet" Target="worksheets/sheet477.xml"/><Relationship Id="rId281" Type="http://schemas.openxmlformats.org/officeDocument/2006/relationships/worksheet" Target="worksheets/sheet281.xml"/><Relationship Id="rId337" Type="http://schemas.openxmlformats.org/officeDocument/2006/relationships/worksheet" Target="worksheets/sheet337.xml"/><Relationship Id="rId502" Type="http://schemas.openxmlformats.org/officeDocument/2006/relationships/worksheet" Target="worksheets/sheet502.xml"/><Relationship Id="rId34" Type="http://schemas.openxmlformats.org/officeDocument/2006/relationships/worksheet" Target="worksheets/sheet34.xml"/><Relationship Id="rId76" Type="http://schemas.openxmlformats.org/officeDocument/2006/relationships/worksheet" Target="worksheets/sheet76.xml"/><Relationship Id="rId141" Type="http://schemas.openxmlformats.org/officeDocument/2006/relationships/worksheet" Target="worksheets/sheet141.xml"/><Relationship Id="rId379" Type="http://schemas.openxmlformats.org/officeDocument/2006/relationships/worksheet" Target="worksheets/sheet379.xml"/><Relationship Id="rId7" Type="http://schemas.openxmlformats.org/officeDocument/2006/relationships/worksheet" Target="worksheets/sheet7.xml"/><Relationship Id="rId183" Type="http://schemas.openxmlformats.org/officeDocument/2006/relationships/worksheet" Target="worksheets/sheet183.xml"/><Relationship Id="rId239" Type="http://schemas.openxmlformats.org/officeDocument/2006/relationships/worksheet" Target="worksheets/sheet239.xml"/><Relationship Id="rId390" Type="http://schemas.openxmlformats.org/officeDocument/2006/relationships/worksheet" Target="worksheets/sheet390.xml"/><Relationship Id="rId404" Type="http://schemas.openxmlformats.org/officeDocument/2006/relationships/worksheet" Target="worksheets/sheet404.xml"/><Relationship Id="rId446" Type="http://schemas.openxmlformats.org/officeDocument/2006/relationships/worksheet" Target="worksheets/sheet446.xml"/><Relationship Id="rId250" Type="http://schemas.openxmlformats.org/officeDocument/2006/relationships/worksheet" Target="worksheets/sheet250.xml"/><Relationship Id="rId292" Type="http://schemas.openxmlformats.org/officeDocument/2006/relationships/worksheet" Target="worksheets/sheet292.xml"/><Relationship Id="rId306" Type="http://schemas.openxmlformats.org/officeDocument/2006/relationships/worksheet" Target="worksheets/sheet306.xml"/><Relationship Id="rId488" Type="http://schemas.openxmlformats.org/officeDocument/2006/relationships/worksheet" Target="worksheets/sheet488.xml"/><Relationship Id="rId45" Type="http://schemas.openxmlformats.org/officeDocument/2006/relationships/worksheet" Target="worksheets/sheet45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348" Type="http://schemas.openxmlformats.org/officeDocument/2006/relationships/worksheet" Target="worksheets/sheet348.xml"/><Relationship Id="rId513" Type="http://schemas.openxmlformats.org/officeDocument/2006/relationships/worksheet" Target="worksheets/sheet513.xml"/><Relationship Id="rId152" Type="http://schemas.openxmlformats.org/officeDocument/2006/relationships/worksheet" Target="worksheets/sheet152.xml"/><Relationship Id="rId194" Type="http://schemas.openxmlformats.org/officeDocument/2006/relationships/worksheet" Target="worksheets/sheet194.xml"/><Relationship Id="rId208" Type="http://schemas.openxmlformats.org/officeDocument/2006/relationships/worksheet" Target="worksheets/sheet208.xml"/><Relationship Id="rId415" Type="http://schemas.openxmlformats.org/officeDocument/2006/relationships/worksheet" Target="worksheets/sheet415.xml"/><Relationship Id="rId457" Type="http://schemas.openxmlformats.org/officeDocument/2006/relationships/worksheet" Target="worksheets/sheet457.xml"/><Relationship Id="rId261" Type="http://schemas.openxmlformats.org/officeDocument/2006/relationships/worksheet" Target="worksheets/sheet261.xml"/><Relationship Id="rId499" Type="http://schemas.openxmlformats.org/officeDocument/2006/relationships/worksheet" Target="worksheets/sheet499.xml"/><Relationship Id="rId14" Type="http://schemas.openxmlformats.org/officeDocument/2006/relationships/worksheet" Target="worksheets/sheet14.xml"/><Relationship Id="rId56" Type="http://schemas.openxmlformats.org/officeDocument/2006/relationships/worksheet" Target="worksheets/sheet56.xml"/><Relationship Id="rId317" Type="http://schemas.openxmlformats.org/officeDocument/2006/relationships/worksheet" Target="worksheets/sheet317.xml"/><Relationship Id="rId359" Type="http://schemas.openxmlformats.org/officeDocument/2006/relationships/worksheet" Target="worksheets/sheet359.xml"/><Relationship Id="rId524" Type="http://schemas.openxmlformats.org/officeDocument/2006/relationships/worksheet" Target="worksheets/sheet524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63" Type="http://schemas.openxmlformats.org/officeDocument/2006/relationships/worksheet" Target="worksheets/sheet163.xml"/><Relationship Id="rId219" Type="http://schemas.openxmlformats.org/officeDocument/2006/relationships/worksheet" Target="worksheets/sheet219.xml"/><Relationship Id="rId370" Type="http://schemas.openxmlformats.org/officeDocument/2006/relationships/worksheet" Target="worksheets/sheet370.xml"/><Relationship Id="rId426" Type="http://schemas.openxmlformats.org/officeDocument/2006/relationships/worksheet" Target="worksheets/sheet426.xml"/><Relationship Id="rId230" Type="http://schemas.openxmlformats.org/officeDocument/2006/relationships/worksheet" Target="worksheets/sheet230.xml"/><Relationship Id="rId468" Type="http://schemas.openxmlformats.org/officeDocument/2006/relationships/worksheet" Target="worksheets/sheet468.xml"/><Relationship Id="rId25" Type="http://schemas.openxmlformats.org/officeDocument/2006/relationships/worksheet" Target="worksheets/sheet25.xml"/><Relationship Id="rId67" Type="http://schemas.openxmlformats.org/officeDocument/2006/relationships/worksheet" Target="worksheets/sheet67.xml"/><Relationship Id="rId272" Type="http://schemas.openxmlformats.org/officeDocument/2006/relationships/worksheet" Target="worksheets/sheet272.xml"/><Relationship Id="rId328" Type="http://schemas.openxmlformats.org/officeDocument/2006/relationships/worksheet" Target="worksheets/sheet328.xml"/><Relationship Id="rId132" Type="http://schemas.openxmlformats.org/officeDocument/2006/relationships/worksheet" Target="worksheets/sheet132.xml"/><Relationship Id="rId174" Type="http://schemas.openxmlformats.org/officeDocument/2006/relationships/worksheet" Target="worksheets/sheet174.xml"/><Relationship Id="rId381" Type="http://schemas.openxmlformats.org/officeDocument/2006/relationships/worksheet" Target="worksheets/sheet381.xml"/><Relationship Id="rId241" Type="http://schemas.openxmlformats.org/officeDocument/2006/relationships/worksheet" Target="worksheets/sheet241.xml"/><Relationship Id="rId437" Type="http://schemas.openxmlformats.org/officeDocument/2006/relationships/worksheet" Target="worksheets/sheet437.xml"/><Relationship Id="rId479" Type="http://schemas.openxmlformats.org/officeDocument/2006/relationships/worksheet" Target="worksheets/sheet479.xml"/><Relationship Id="rId36" Type="http://schemas.openxmlformats.org/officeDocument/2006/relationships/worksheet" Target="worksheets/sheet36.xml"/><Relationship Id="rId283" Type="http://schemas.openxmlformats.org/officeDocument/2006/relationships/worksheet" Target="worksheets/sheet283.xml"/><Relationship Id="rId339" Type="http://schemas.openxmlformats.org/officeDocument/2006/relationships/worksheet" Target="worksheets/sheet339.xml"/><Relationship Id="rId490" Type="http://schemas.openxmlformats.org/officeDocument/2006/relationships/worksheet" Target="worksheets/sheet490.xml"/><Relationship Id="rId504" Type="http://schemas.openxmlformats.org/officeDocument/2006/relationships/worksheet" Target="worksheets/sheet504.xml"/><Relationship Id="rId78" Type="http://schemas.openxmlformats.org/officeDocument/2006/relationships/worksheet" Target="worksheets/sheet78.xml"/><Relationship Id="rId101" Type="http://schemas.openxmlformats.org/officeDocument/2006/relationships/worksheet" Target="worksheets/sheet101.xml"/><Relationship Id="rId143" Type="http://schemas.openxmlformats.org/officeDocument/2006/relationships/worksheet" Target="worksheets/sheet143.xml"/><Relationship Id="rId185" Type="http://schemas.openxmlformats.org/officeDocument/2006/relationships/worksheet" Target="worksheets/sheet185.xml"/><Relationship Id="rId350" Type="http://schemas.openxmlformats.org/officeDocument/2006/relationships/worksheet" Target="worksheets/sheet350.xml"/><Relationship Id="rId406" Type="http://schemas.openxmlformats.org/officeDocument/2006/relationships/worksheet" Target="worksheets/sheet406.xml"/><Relationship Id="rId9" Type="http://schemas.openxmlformats.org/officeDocument/2006/relationships/worksheet" Target="worksheets/sheet9.xml"/><Relationship Id="rId210" Type="http://schemas.openxmlformats.org/officeDocument/2006/relationships/worksheet" Target="worksheets/sheet210.xml"/><Relationship Id="rId392" Type="http://schemas.openxmlformats.org/officeDocument/2006/relationships/worksheet" Target="worksheets/sheet392.xml"/><Relationship Id="rId448" Type="http://schemas.openxmlformats.org/officeDocument/2006/relationships/worksheet" Target="worksheets/sheet448.xml"/><Relationship Id="rId252" Type="http://schemas.openxmlformats.org/officeDocument/2006/relationships/worksheet" Target="worksheets/sheet252.xml"/><Relationship Id="rId294" Type="http://schemas.openxmlformats.org/officeDocument/2006/relationships/worksheet" Target="worksheets/sheet294.xml"/><Relationship Id="rId308" Type="http://schemas.openxmlformats.org/officeDocument/2006/relationships/worksheet" Target="worksheets/sheet308.xml"/><Relationship Id="rId515" Type="http://schemas.openxmlformats.org/officeDocument/2006/relationships/worksheet" Target="worksheets/sheet515.xml"/><Relationship Id="rId47" Type="http://schemas.openxmlformats.org/officeDocument/2006/relationships/worksheet" Target="worksheets/sheet47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54" Type="http://schemas.openxmlformats.org/officeDocument/2006/relationships/worksheet" Target="worksheets/sheet154.xml"/><Relationship Id="rId361" Type="http://schemas.openxmlformats.org/officeDocument/2006/relationships/worksheet" Target="worksheets/sheet361.xml"/><Relationship Id="rId196" Type="http://schemas.openxmlformats.org/officeDocument/2006/relationships/worksheet" Target="worksheets/sheet196.xml"/><Relationship Id="rId417" Type="http://schemas.openxmlformats.org/officeDocument/2006/relationships/worksheet" Target="worksheets/sheet417.xml"/><Relationship Id="rId459" Type="http://schemas.openxmlformats.org/officeDocument/2006/relationships/worksheet" Target="worksheets/sheet459.xml"/><Relationship Id="rId16" Type="http://schemas.openxmlformats.org/officeDocument/2006/relationships/worksheet" Target="worksheets/sheet16.xml"/><Relationship Id="rId221" Type="http://schemas.openxmlformats.org/officeDocument/2006/relationships/worksheet" Target="worksheets/sheet221.xml"/><Relationship Id="rId263" Type="http://schemas.openxmlformats.org/officeDocument/2006/relationships/worksheet" Target="worksheets/sheet263.xml"/><Relationship Id="rId319" Type="http://schemas.openxmlformats.org/officeDocument/2006/relationships/worksheet" Target="worksheets/sheet319.xml"/><Relationship Id="rId470" Type="http://schemas.openxmlformats.org/officeDocument/2006/relationships/worksheet" Target="worksheets/sheet470.xml"/><Relationship Id="rId526" Type="http://schemas.openxmlformats.org/officeDocument/2006/relationships/worksheet" Target="worksheets/sheet526.xml"/><Relationship Id="rId58" Type="http://schemas.openxmlformats.org/officeDocument/2006/relationships/worksheet" Target="worksheets/sheet58.xml"/><Relationship Id="rId123" Type="http://schemas.openxmlformats.org/officeDocument/2006/relationships/worksheet" Target="worksheets/sheet123.xml"/><Relationship Id="rId330" Type="http://schemas.openxmlformats.org/officeDocument/2006/relationships/worksheet" Target="worksheets/sheet330.xml"/><Relationship Id="rId165" Type="http://schemas.openxmlformats.org/officeDocument/2006/relationships/worksheet" Target="worksheets/sheet165.xml"/><Relationship Id="rId372" Type="http://schemas.openxmlformats.org/officeDocument/2006/relationships/worksheet" Target="worksheets/sheet372.xml"/><Relationship Id="rId428" Type="http://schemas.openxmlformats.org/officeDocument/2006/relationships/worksheet" Target="worksheets/sheet428.xml"/><Relationship Id="rId232" Type="http://schemas.openxmlformats.org/officeDocument/2006/relationships/worksheet" Target="worksheets/sheet232.xml"/><Relationship Id="rId274" Type="http://schemas.openxmlformats.org/officeDocument/2006/relationships/worksheet" Target="worksheets/sheet274.xml"/><Relationship Id="rId481" Type="http://schemas.openxmlformats.org/officeDocument/2006/relationships/worksheet" Target="worksheets/sheet481.xml"/><Relationship Id="rId27" Type="http://schemas.openxmlformats.org/officeDocument/2006/relationships/worksheet" Target="worksheets/sheet27.xml"/><Relationship Id="rId69" Type="http://schemas.openxmlformats.org/officeDocument/2006/relationships/worksheet" Target="worksheets/sheet69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76" Type="http://schemas.openxmlformats.org/officeDocument/2006/relationships/worksheet" Target="worksheets/sheet176.xml"/><Relationship Id="rId341" Type="http://schemas.openxmlformats.org/officeDocument/2006/relationships/worksheet" Target="worksheets/sheet341.xml"/><Relationship Id="rId383" Type="http://schemas.openxmlformats.org/officeDocument/2006/relationships/worksheet" Target="worksheets/sheet383.xml"/><Relationship Id="rId439" Type="http://schemas.openxmlformats.org/officeDocument/2006/relationships/worksheet" Target="worksheets/sheet439.xml"/><Relationship Id="rId201" Type="http://schemas.openxmlformats.org/officeDocument/2006/relationships/worksheet" Target="worksheets/sheet201.xml"/><Relationship Id="rId243" Type="http://schemas.openxmlformats.org/officeDocument/2006/relationships/worksheet" Target="worksheets/sheet243.xml"/><Relationship Id="rId285" Type="http://schemas.openxmlformats.org/officeDocument/2006/relationships/worksheet" Target="worksheets/sheet285.xml"/><Relationship Id="rId450" Type="http://schemas.openxmlformats.org/officeDocument/2006/relationships/worksheet" Target="worksheets/sheet450.xml"/><Relationship Id="rId506" Type="http://schemas.openxmlformats.org/officeDocument/2006/relationships/worksheet" Target="worksheets/sheet506.xml"/><Relationship Id="rId38" Type="http://schemas.openxmlformats.org/officeDocument/2006/relationships/worksheet" Target="worksheets/sheet38.xml"/><Relationship Id="rId103" Type="http://schemas.openxmlformats.org/officeDocument/2006/relationships/worksheet" Target="worksheets/sheet103.xml"/><Relationship Id="rId310" Type="http://schemas.openxmlformats.org/officeDocument/2006/relationships/worksheet" Target="worksheets/sheet310.xml"/><Relationship Id="rId492" Type="http://schemas.openxmlformats.org/officeDocument/2006/relationships/worksheet" Target="worksheets/sheet492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87" Type="http://schemas.openxmlformats.org/officeDocument/2006/relationships/worksheet" Target="worksheets/sheet187.xml"/><Relationship Id="rId352" Type="http://schemas.openxmlformats.org/officeDocument/2006/relationships/worksheet" Target="worksheets/sheet352.xml"/><Relationship Id="rId394" Type="http://schemas.openxmlformats.org/officeDocument/2006/relationships/worksheet" Target="worksheets/sheet394.xml"/><Relationship Id="rId408" Type="http://schemas.openxmlformats.org/officeDocument/2006/relationships/worksheet" Target="worksheets/sheet408.xml"/><Relationship Id="rId212" Type="http://schemas.openxmlformats.org/officeDocument/2006/relationships/worksheet" Target="worksheets/sheet212.xml"/><Relationship Id="rId254" Type="http://schemas.openxmlformats.org/officeDocument/2006/relationships/worksheet" Target="worksheets/sheet254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296" Type="http://schemas.openxmlformats.org/officeDocument/2006/relationships/worksheet" Target="worksheets/sheet296.xml"/><Relationship Id="rId461" Type="http://schemas.openxmlformats.org/officeDocument/2006/relationships/worksheet" Target="worksheets/sheet461.xml"/><Relationship Id="rId517" Type="http://schemas.openxmlformats.org/officeDocument/2006/relationships/worksheet" Target="worksheets/sheet517.xml"/><Relationship Id="rId60" Type="http://schemas.openxmlformats.org/officeDocument/2006/relationships/worksheet" Target="worksheets/sheet60.xml"/><Relationship Id="rId156" Type="http://schemas.openxmlformats.org/officeDocument/2006/relationships/worksheet" Target="worksheets/sheet156.xml"/><Relationship Id="rId198" Type="http://schemas.openxmlformats.org/officeDocument/2006/relationships/worksheet" Target="worksheets/sheet198.xml"/><Relationship Id="rId321" Type="http://schemas.openxmlformats.org/officeDocument/2006/relationships/worksheet" Target="worksheets/sheet321.xml"/><Relationship Id="rId363" Type="http://schemas.openxmlformats.org/officeDocument/2006/relationships/worksheet" Target="worksheets/sheet363.xml"/><Relationship Id="rId419" Type="http://schemas.openxmlformats.org/officeDocument/2006/relationships/worksheet" Target="worksheets/sheet419.xml"/><Relationship Id="rId223" Type="http://schemas.openxmlformats.org/officeDocument/2006/relationships/worksheet" Target="worksheets/sheet223.xml"/><Relationship Id="rId430" Type="http://schemas.openxmlformats.org/officeDocument/2006/relationships/worksheet" Target="worksheets/sheet430.xml"/><Relationship Id="rId18" Type="http://schemas.openxmlformats.org/officeDocument/2006/relationships/worksheet" Target="worksheets/sheet18.xml"/><Relationship Id="rId265" Type="http://schemas.openxmlformats.org/officeDocument/2006/relationships/worksheet" Target="worksheets/sheet265.xml"/><Relationship Id="rId472" Type="http://schemas.openxmlformats.org/officeDocument/2006/relationships/worksheet" Target="worksheets/sheet472.xml"/><Relationship Id="rId528" Type="http://schemas.openxmlformats.org/officeDocument/2006/relationships/worksheet" Target="worksheets/sheet528.xml"/><Relationship Id="rId125" Type="http://schemas.openxmlformats.org/officeDocument/2006/relationships/worksheet" Target="worksheets/sheet125.xml"/><Relationship Id="rId167" Type="http://schemas.openxmlformats.org/officeDocument/2006/relationships/worksheet" Target="worksheets/sheet167.xml"/><Relationship Id="rId332" Type="http://schemas.openxmlformats.org/officeDocument/2006/relationships/worksheet" Target="worksheets/sheet332.xml"/><Relationship Id="rId374" Type="http://schemas.openxmlformats.org/officeDocument/2006/relationships/worksheet" Target="worksheets/sheet374.xml"/><Relationship Id="rId71" Type="http://schemas.openxmlformats.org/officeDocument/2006/relationships/worksheet" Target="worksheets/sheet71.xml"/><Relationship Id="rId234" Type="http://schemas.openxmlformats.org/officeDocument/2006/relationships/worksheet" Target="worksheets/sheet234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76" Type="http://schemas.openxmlformats.org/officeDocument/2006/relationships/worksheet" Target="worksheets/sheet276.xml"/><Relationship Id="rId441" Type="http://schemas.openxmlformats.org/officeDocument/2006/relationships/worksheet" Target="worksheets/sheet441.xml"/><Relationship Id="rId483" Type="http://schemas.openxmlformats.org/officeDocument/2006/relationships/worksheet" Target="worksheets/sheet483.xml"/><Relationship Id="rId40" Type="http://schemas.openxmlformats.org/officeDocument/2006/relationships/worksheet" Target="worksheets/sheet40.xml"/><Relationship Id="rId136" Type="http://schemas.openxmlformats.org/officeDocument/2006/relationships/worksheet" Target="worksheets/sheet136.xml"/><Relationship Id="rId178" Type="http://schemas.openxmlformats.org/officeDocument/2006/relationships/worksheet" Target="worksheets/sheet178.xml"/><Relationship Id="rId301" Type="http://schemas.openxmlformats.org/officeDocument/2006/relationships/worksheet" Target="worksheets/sheet301.xml"/><Relationship Id="rId343" Type="http://schemas.openxmlformats.org/officeDocument/2006/relationships/worksheet" Target="worksheets/sheet343.xml"/><Relationship Id="rId82" Type="http://schemas.openxmlformats.org/officeDocument/2006/relationships/worksheet" Target="worksheets/sheet82.xml"/><Relationship Id="rId203" Type="http://schemas.openxmlformats.org/officeDocument/2006/relationships/worksheet" Target="worksheets/sheet203.xml"/><Relationship Id="rId385" Type="http://schemas.openxmlformats.org/officeDocument/2006/relationships/worksheet" Target="worksheets/sheet385.xml"/><Relationship Id="rId245" Type="http://schemas.openxmlformats.org/officeDocument/2006/relationships/worksheet" Target="worksheets/sheet245.xml"/><Relationship Id="rId287" Type="http://schemas.openxmlformats.org/officeDocument/2006/relationships/worksheet" Target="worksheets/sheet287.xml"/><Relationship Id="rId410" Type="http://schemas.openxmlformats.org/officeDocument/2006/relationships/worksheet" Target="worksheets/sheet410.xml"/><Relationship Id="rId452" Type="http://schemas.openxmlformats.org/officeDocument/2006/relationships/worksheet" Target="worksheets/sheet452.xml"/><Relationship Id="rId494" Type="http://schemas.openxmlformats.org/officeDocument/2006/relationships/worksheet" Target="worksheets/sheet494.xml"/><Relationship Id="rId508" Type="http://schemas.openxmlformats.org/officeDocument/2006/relationships/worksheet" Target="worksheets/sheet508.xml"/><Relationship Id="rId105" Type="http://schemas.openxmlformats.org/officeDocument/2006/relationships/worksheet" Target="worksheets/sheet105.xml"/><Relationship Id="rId147" Type="http://schemas.openxmlformats.org/officeDocument/2006/relationships/worksheet" Target="worksheets/sheet147.xml"/><Relationship Id="rId312" Type="http://schemas.openxmlformats.org/officeDocument/2006/relationships/worksheet" Target="worksheets/sheet312.xml"/><Relationship Id="rId354" Type="http://schemas.openxmlformats.org/officeDocument/2006/relationships/worksheet" Target="worksheets/sheet354.xml"/><Relationship Id="rId51" Type="http://schemas.openxmlformats.org/officeDocument/2006/relationships/worksheet" Target="worksheets/sheet51.xml"/><Relationship Id="rId93" Type="http://schemas.openxmlformats.org/officeDocument/2006/relationships/worksheet" Target="worksheets/sheet93.xml"/><Relationship Id="rId189" Type="http://schemas.openxmlformats.org/officeDocument/2006/relationships/worksheet" Target="worksheets/sheet189.xml"/><Relationship Id="rId396" Type="http://schemas.openxmlformats.org/officeDocument/2006/relationships/worksheet" Target="worksheets/sheet396.xml"/><Relationship Id="rId214" Type="http://schemas.openxmlformats.org/officeDocument/2006/relationships/worksheet" Target="worksheets/sheet214.xml"/><Relationship Id="rId256" Type="http://schemas.openxmlformats.org/officeDocument/2006/relationships/worksheet" Target="worksheets/sheet256.xml"/><Relationship Id="rId298" Type="http://schemas.openxmlformats.org/officeDocument/2006/relationships/worksheet" Target="worksheets/sheet298.xml"/><Relationship Id="rId421" Type="http://schemas.openxmlformats.org/officeDocument/2006/relationships/worksheet" Target="worksheets/sheet421.xml"/><Relationship Id="rId463" Type="http://schemas.openxmlformats.org/officeDocument/2006/relationships/worksheet" Target="worksheets/sheet463.xml"/><Relationship Id="rId519" Type="http://schemas.openxmlformats.org/officeDocument/2006/relationships/worksheet" Target="worksheets/sheet519.xml"/><Relationship Id="rId116" Type="http://schemas.openxmlformats.org/officeDocument/2006/relationships/worksheet" Target="worksheets/sheet116.xml"/><Relationship Id="rId158" Type="http://schemas.openxmlformats.org/officeDocument/2006/relationships/worksheet" Target="worksheets/sheet158.xml"/><Relationship Id="rId323" Type="http://schemas.openxmlformats.org/officeDocument/2006/relationships/worksheet" Target="worksheets/sheet323.xml"/><Relationship Id="rId530" Type="http://schemas.openxmlformats.org/officeDocument/2006/relationships/styles" Target="styles.xml"/><Relationship Id="rId20" Type="http://schemas.openxmlformats.org/officeDocument/2006/relationships/worksheet" Target="worksheets/sheet20.xml"/><Relationship Id="rId62" Type="http://schemas.openxmlformats.org/officeDocument/2006/relationships/worksheet" Target="worksheets/sheet62.xml"/><Relationship Id="rId365" Type="http://schemas.openxmlformats.org/officeDocument/2006/relationships/worksheet" Target="worksheets/sheet365.xml"/><Relationship Id="rId225" Type="http://schemas.openxmlformats.org/officeDocument/2006/relationships/worksheet" Target="worksheets/sheet225.xml"/><Relationship Id="rId267" Type="http://schemas.openxmlformats.org/officeDocument/2006/relationships/worksheet" Target="worksheets/sheet267.xml"/><Relationship Id="rId432" Type="http://schemas.openxmlformats.org/officeDocument/2006/relationships/worksheet" Target="worksheets/sheet432.xml"/><Relationship Id="rId474" Type="http://schemas.openxmlformats.org/officeDocument/2006/relationships/worksheet" Target="worksheets/sheet474.xml"/><Relationship Id="rId127" Type="http://schemas.openxmlformats.org/officeDocument/2006/relationships/worksheet" Target="worksheets/sheet127.xml"/><Relationship Id="rId31" Type="http://schemas.openxmlformats.org/officeDocument/2006/relationships/worksheet" Target="worksheets/sheet31.xml"/><Relationship Id="rId73" Type="http://schemas.openxmlformats.org/officeDocument/2006/relationships/worksheet" Target="worksheets/sheet73.xml"/><Relationship Id="rId169" Type="http://schemas.openxmlformats.org/officeDocument/2006/relationships/worksheet" Target="worksheets/sheet169.xml"/><Relationship Id="rId334" Type="http://schemas.openxmlformats.org/officeDocument/2006/relationships/worksheet" Target="worksheets/sheet334.xml"/><Relationship Id="rId376" Type="http://schemas.openxmlformats.org/officeDocument/2006/relationships/worksheet" Target="worksheets/sheet376.xml"/><Relationship Id="rId4" Type="http://schemas.openxmlformats.org/officeDocument/2006/relationships/worksheet" Target="worksheets/sheet4.xml"/><Relationship Id="rId180" Type="http://schemas.openxmlformats.org/officeDocument/2006/relationships/worksheet" Target="worksheets/sheet180.xml"/><Relationship Id="rId236" Type="http://schemas.openxmlformats.org/officeDocument/2006/relationships/worksheet" Target="worksheets/sheet236.xml"/><Relationship Id="rId278" Type="http://schemas.openxmlformats.org/officeDocument/2006/relationships/worksheet" Target="worksheets/sheet278.xml"/><Relationship Id="rId401" Type="http://schemas.openxmlformats.org/officeDocument/2006/relationships/worksheet" Target="worksheets/sheet401.xml"/><Relationship Id="rId443" Type="http://schemas.openxmlformats.org/officeDocument/2006/relationships/worksheet" Target="worksheets/sheet443.xml"/><Relationship Id="rId303" Type="http://schemas.openxmlformats.org/officeDocument/2006/relationships/worksheet" Target="worksheets/sheet303.xml"/><Relationship Id="rId485" Type="http://schemas.openxmlformats.org/officeDocument/2006/relationships/worksheet" Target="worksheets/sheet485.xml"/><Relationship Id="rId42" Type="http://schemas.openxmlformats.org/officeDocument/2006/relationships/worksheet" Target="worksheets/sheet42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345" Type="http://schemas.openxmlformats.org/officeDocument/2006/relationships/worksheet" Target="worksheets/sheet345.xml"/><Relationship Id="rId387" Type="http://schemas.openxmlformats.org/officeDocument/2006/relationships/worksheet" Target="worksheets/sheet387.xml"/><Relationship Id="rId510" Type="http://schemas.openxmlformats.org/officeDocument/2006/relationships/worksheet" Target="worksheets/sheet510.xml"/><Relationship Id="rId191" Type="http://schemas.openxmlformats.org/officeDocument/2006/relationships/worksheet" Target="worksheets/sheet191.xml"/><Relationship Id="rId205" Type="http://schemas.openxmlformats.org/officeDocument/2006/relationships/worksheet" Target="worksheets/sheet205.xml"/><Relationship Id="rId247" Type="http://schemas.openxmlformats.org/officeDocument/2006/relationships/worksheet" Target="worksheets/sheet247.xml"/><Relationship Id="rId412" Type="http://schemas.openxmlformats.org/officeDocument/2006/relationships/worksheet" Target="worksheets/sheet412.xml"/><Relationship Id="rId107" Type="http://schemas.openxmlformats.org/officeDocument/2006/relationships/worksheet" Target="worksheets/sheet107.xml"/><Relationship Id="rId289" Type="http://schemas.openxmlformats.org/officeDocument/2006/relationships/worksheet" Target="worksheets/sheet289.xml"/><Relationship Id="rId454" Type="http://schemas.openxmlformats.org/officeDocument/2006/relationships/worksheet" Target="worksheets/sheet454.xml"/><Relationship Id="rId496" Type="http://schemas.openxmlformats.org/officeDocument/2006/relationships/worksheet" Target="worksheets/sheet496.xml"/><Relationship Id="rId11" Type="http://schemas.openxmlformats.org/officeDocument/2006/relationships/worksheet" Target="worksheets/sheet11.xml"/><Relationship Id="rId53" Type="http://schemas.openxmlformats.org/officeDocument/2006/relationships/worksheet" Target="worksheets/sheet53.xml"/><Relationship Id="rId149" Type="http://schemas.openxmlformats.org/officeDocument/2006/relationships/worksheet" Target="worksheets/sheet149.xml"/><Relationship Id="rId314" Type="http://schemas.openxmlformats.org/officeDocument/2006/relationships/worksheet" Target="worksheets/sheet314.xml"/><Relationship Id="rId356" Type="http://schemas.openxmlformats.org/officeDocument/2006/relationships/worksheet" Target="worksheets/sheet356.xml"/><Relationship Id="rId398" Type="http://schemas.openxmlformats.org/officeDocument/2006/relationships/worksheet" Target="worksheets/sheet398.xml"/><Relationship Id="rId521" Type="http://schemas.openxmlformats.org/officeDocument/2006/relationships/worksheet" Target="worksheets/sheet521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16" Type="http://schemas.openxmlformats.org/officeDocument/2006/relationships/worksheet" Target="worksheets/sheet216.xml"/><Relationship Id="rId423" Type="http://schemas.openxmlformats.org/officeDocument/2006/relationships/worksheet" Target="worksheets/sheet423.xml"/><Relationship Id="rId258" Type="http://schemas.openxmlformats.org/officeDocument/2006/relationships/worksheet" Target="worksheets/sheet258.xml"/><Relationship Id="rId465" Type="http://schemas.openxmlformats.org/officeDocument/2006/relationships/worksheet" Target="worksheets/sheet465.xml"/><Relationship Id="rId22" Type="http://schemas.openxmlformats.org/officeDocument/2006/relationships/worksheet" Target="worksheets/sheet22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325" Type="http://schemas.openxmlformats.org/officeDocument/2006/relationships/worksheet" Target="worksheets/sheet325.xml"/><Relationship Id="rId367" Type="http://schemas.openxmlformats.org/officeDocument/2006/relationships/worksheet" Target="worksheets/sheet367.xml"/><Relationship Id="rId532" Type="http://schemas.openxmlformats.org/officeDocument/2006/relationships/calcChain" Target="calcChain.xml"/><Relationship Id="rId171" Type="http://schemas.openxmlformats.org/officeDocument/2006/relationships/worksheet" Target="worksheets/sheet171.xml"/><Relationship Id="rId227" Type="http://schemas.openxmlformats.org/officeDocument/2006/relationships/worksheet" Target="worksheets/sheet227.xml"/><Relationship Id="rId269" Type="http://schemas.openxmlformats.org/officeDocument/2006/relationships/worksheet" Target="worksheets/sheet269.xml"/><Relationship Id="rId434" Type="http://schemas.openxmlformats.org/officeDocument/2006/relationships/worksheet" Target="worksheets/sheet434.xml"/><Relationship Id="rId476" Type="http://schemas.openxmlformats.org/officeDocument/2006/relationships/worksheet" Target="worksheets/sheet476.xml"/><Relationship Id="rId33" Type="http://schemas.openxmlformats.org/officeDocument/2006/relationships/worksheet" Target="worksheets/sheet33.xml"/><Relationship Id="rId129" Type="http://schemas.openxmlformats.org/officeDocument/2006/relationships/worksheet" Target="worksheets/sheet129.xml"/><Relationship Id="rId280" Type="http://schemas.openxmlformats.org/officeDocument/2006/relationships/worksheet" Target="worksheets/sheet280.xml"/><Relationship Id="rId336" Type="http://schemas.openxmlformats.org/officeDocument/2006/relationships/worksheet" Target="worksheets/sheet336.xml"/><Relationship Id="rId501" Type="http://schemas.openxmlformats.org/officeDocument/2006/relationships/worksheet" Target="worksheets/sheet501.xml"/><Relationship Id="rId75" Type="http://schemas.openxmlformats.org/officeDocument/2006/relationships/worksheet" Target="worksheets/sheet75.xml"/><Relationship Id="rId140" Type="http://schemas.openxmlformats.org/officeDocument/2006/relationships/worksheet" Target="worksheets/sheet140.xml"/><Relationship Id="rId182" Type="http://schemas.openxmlformats.org/officeDocument/2006/relationships/worksheet" Target="worksheets/sheet182.xml"/><Relationship Id="rId378" Type="http://schemas.openxmlformats.org/officeDocument/2006/relationships/worksheet" Target="worksheets/sheet378.xml"/><Relationship Id="rId403" Type="http://schemas.openxmlformats.org/officeDocument/2006/relationships/worksheet" Target="worksheets/sheet403.xml"/><Relationship Id="rId6" Type="http://schemas.openxmlformats.org/officeDocument/2006/relationships/worksheet" Target="worksheets/sheet6.xml"/><Relationship Id="rId238" Type="http://schemas.openxmlformats.org/officeDocument/2006/relationships/worksheet" Target="worksheets/sheet238.xml"/><Relationship Id="rId445" Type="http://schemas.openxmlformats.org/officeDocument/2006/relationships/worksheet" Target="worksheets/sheet445.xml"/><Relationship Id="rId487" Type="http://schemas.openxmlformats.org/officeDocument/2006/relationships/worksheet" Target="worksheets/sheet487.xml"/><Relationship Id="rId291" Type="http://schemas.openxmlformats.org/officeDocument/2006/relationships/worksheet" Target="worksheets/sheet291.xml"/><Relationship Id="rId305" Type="http://schemas.openxmlformats.org/officeDocument/2006/relationships/worksheet" Target="worksheets/sheet305.xml"/><Relationship Id="rId347" Type="http://schemas.openxmlformats.org/officeDocument/2006/relationships/worksheet" Target="worksheets/sheet347.xml"/><Relationship Id="rId512" Type="http://schemas.openxmlformats.org/officeDocument/2006/relationships/worksheet" Target="worksheets/sheet512.xml"/><Relationship Id="rId44" Type="http://schemas.openxmlformats.org/officeDocument/2006/relationships/worksheet" Target="worksheets/sheet44.xml"/><Relationship Id="rId86" Type="http://schemas.openxmlformats.org/officeDocument/2006/relationships/worksheet" Target="worksheets/sheet86.xml"/><Relationship Id="rId151" Type="http://schemas.openxmlformats.org/officeDocument/2006/relationships/worksheet" Target="worksheets/sheet151.xml"/><Relationship Id="rId389" Type="http://schemas.openxmlformats.org/officeDocument/2006/relationships/worksheet" Target="worksheets/sheet389.xml"/><Relationship Id="rId193" Type="http://schemas.openxmlformats.org/officeDocument/2006/relationships/worksheet" Target="worksheets/sheet193.xml"/><Relationship Id="rId207" Type="http://schemas.openxmlformats.org/officeDocument/2006/relationships/worksheet" Target="worksheets/sheet207.xml"/><Relationship Id="rId249" Type="http://schemas.openxmlformats.org/officeDocument/2006/relationships/worksheet" Target="worksheets/sheet249.xml"/><Relationship Id="rId414" Type="http://schemas.openxmlformats.org/officeDocument/2006/relationships/worksheet" Target="worksheets/sheet414.xml"/><Relationship Id="rId456" Type="http://schemas.openxmlformats.org/officeDocument/2006/relationships/worksheet" Target="worksheets/sheet456.xml"/><Relationship Id="rId498" Type="http://schemas.openxmlformats.org/officeDocument/2006/relationships/worksheet" Target="worksheets/sheet498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260" Type="http://schemas.openxmlformats.org/officeDocument/2006/relationships/worksheet" Target="worksheets/sheet260.xml"/><Relationship Id="rId316" Type="http://schemas.openxmlformats.org/officeDocument/2006/relationships/worksheet" Target="worksheets/sheet316.xml"/><Relationship Id="rId523" Type="http://schemas.openxmlformats.org/officeDocument/2006/relationships/worksheet" Target="worksheets/sheet523.xml"/><Relationship Id="rId55" Type="http://schemas.openxmlformats.org/officeDocument/2006/relationships/worksheet" Target="worksheets/sheet55.xml"/><Relationship Id="rId97" Type="http://schemas.openxmlformats.org/officeDocument/2006/relationships/worksheet" Target="worksheets/sheet97.xml"/><Relationship Id="rId120" Type="http://schemas.openxmlformats.org/officeDocument/2006/relationships/worksheet" Target="worksheets/sheet120.xml"/><Relationship Id="rId358" Type="http://schemas.openxmlformats.org/officeDocument/2006/relationships/worksheet" Target="worksheets/sheet358.xml"/><Relationship Id="rId162" Type="http://schemas.openxmlformats.org/officeDocument/2006/relationships/worksheet" Target="worksheets/sheet162.xml"/><Relationship Id="rId218" Type="http://schemas.openxmlformats.org/officeDocument/2006/relationships/worksheet" Target="worksheets/sheet218.xml"/><Relationship Id="rId425" Type="http://schemas.openxmlformats.org/officeDocument/2006/relationships/worksheet" Target="worksheets/sheet425.xml"/><Relationship Id="rId467" Type="http://schemas.openxmlformats.org/officeDocument/2006/relationships/worksheet" Target="worksheets/sheet467.xml"/><Relationship Id="rId271" Type="http://schemas.openxmlformats.org/officeDocument/2006/relationships/worksheet" Target="worksheets/sheet271.xml"/><Relationship Id="rId24" Type="http://schemas.openxmlformats.org/officeDocument/2006/relationships/worksheet" Target="worksheets/sheet24.xml"/><Relationship Id="rId66" Type="http://schemas.openxmlformats.org/officeDocument/2006/relationships/worksheet" Target="worksheets/sheet66.xml"/><Relationship Id="rId131" Type="http://schemas.openxmlformats.org/officeDocument/2006/relationships/worksheet" Target="worksheets/sheet131.xml"/><Relationship Id="rId327" Type="http://schemas.openxmlformats.org/officeDocument/2006/relationships/worksheet" Target="worksheets/sheet327.xml"/><Relationship Id="rId369" Type="http://schemas.openxmlformats.org/officeDocument/2006/relationships/worksheet" Target="worksheets/sheet369.xml"/><Relationship Id="rId173" Type="http://schemas.openxmlformats.org/officeDocument/2006/relationships/worksheet" Target="worksheets/sheet173.xml"/><Relationship Id="rId229" Type="http://schemas.openxmlformats.org/officeDocument/2006/relationships/worksheet" Target="worksheets/sheet229.xml"/><Relationship Id="rId380" Type="http://schemas.openxmlformats.org/officeDocument/2006/relationships/worksheet" Target="worksheets/sheet380.xml"/><Relationship Id="rId436" Type="http://schemas.openxmlformats.org/officeDocument/2006/relationships/worksheet" Target="worksheets/sheet436.xml"/><Relationship Id="rId240" Type="http://schemas.openxmlformats.org/officeDocument/2006/relationships/worksheet" Target="worksheets/sheet240.xml"/><Relationship Id="rId478" Type="http://schemas.openxmlformats.org/officeDocument/2006/relationships/worksheet" Target="worksheets/sheet478.xml"/><Relationship Id="rId35" Type="http://schemas.openxmlformats.org/officeDocument/2006/relationships/worksheet" Target="worksheets/sheet35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282" Type="http://schemas.openxmlformats.org/officeDocument/2006/relationships/worksheet" Target="worksheets/sheet282.xml"/><Relationship Id="rId338" Type="http://schemas.openxmlformats.org/officeDocument/2006/relationships/worksheet" Target="worksheets/sheet338.xml"/><Relationship Id="rId503" Type="http://schemas.openxmlformats.org/officeDocument/2006/relationships/worksheet" Target="worksheets/sheet503.xml"/><Relationship Id="rId8" Type="http://schemas.openxmlformats.org/officeDocument/2006/relationships/worksheet" Target="worksheets/sheet8.xml"/><Relationship Id="rId142" Type="http://schemas.openxmlformats.org/officeDocument/2006/relationships/worksheet" Target="worksheets/sheet142.xml"/><Relationship Id="rId184" Type="http://schemas.openxmlformats.org/officeDocument/2006/relationships/worksheet" Target="worksheets/sheet184.xml"/><Relationship Id="rId391" Type="http://schemas.openxmlformats.org/officeDocument/2006/relationships/worksheet" Target="worksheets/sheet391.xml"/><Relationship Id="rId405" Type="http://schemas.openxmlformats.org/officeDocument/2006/relationships/worksheet" Target="worksheets/sheet405.xml"/><Relationship Id="rId447" Type="http://schemas.openxmlformats.org/officeDocument/2006/relationships/worksheet" Target="worksheets/sheet447.xml"/><Relationship Id="rId251" Type="http://schemas.openxmlformats.org/officeDocument/2006/relationships/worksheet" Target="worksheets/sheet251.xml"/><Relationship Id="rId489" Type="http://schemas.openxmlformats.org/officeDocument/2006/relationships/worksheet" Target="worksheets/sheet489.xml"/><Relationship Id="rId46" Type="http://schemas.openxmlformats.org/officeDocument/2006/relationships/worksheet" Target="worksheets/sheet46.xml"/><Relationship Id="rId293" Type="http://schemas.openxmlformats.org/officeDocument/2006/relationships/worksheet" Target="worksheets/sheet293.xml"/><Relationship Id="rId307" Type="http://schemas.openxmlformats.org/officeDocument/2006/relationships/worksheet" Target="worksheets/sheet307.xml"/><Relationship Id="rId349" Type="http://schemas.openxmlformats.org/officeDocument/2006/relationships/worksheet" Target="worksheets/sheet349.xml"/><Relationship Id="rId514" Type="http://schemas.openxmlformats.org/officeDocument/2006/relationships/worksheet" Target="worksheets/sheet514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53" Type="http://schemas.openxmlformats.org/officeDocument/2006/relationships/worksheet" Target="worksheets/sheet153.xml"/><Relationship Id="rId195" Type="http://schemas.openxmlformats.org/officeDocument/2006/relationships/worksheet" Target="worksheets/sheet195.xml"/><Relationship Id="rId209" Type="http://schemas.openxmlformats.org/officeDocument/2006/relationships/worksheet" Target="worksheets/sheet209.xml"/><Relationship Id="rId360" Type="http://schemas.openxmlformats.org/officeDocument/2006/relationships/worksheet" Target="worksheets/sheet360.xml"/><Relationship Id="rId416" Type="http://schemas.openxmlformats.org/officeDocument/2006/relationships/worksheet" Target="worksheets/sheet416.xml"/><Relationship Id="rId220" Type="http://schemas.openxmlformats.org/officeDocument/2006/relationships/worksheet" Target="worksheets/sheet220.xml"/><Relationship Id="rId458" Type="http://schemas.openxmlformats.org/officeDocument/2006/relationships/worksheet" Target="worksheets/sheet458.xml"/><Relationship Id="rId15" Type="http://schemas.openxmlformats.org/officeDocument/2006/relationships/worksheet" Target="worksheets/sheet15.xml"/><Relationship Id="rId57" Type="http://schemas.openxmlformats.org/officeDocument/2006/relationships/worksheet" Target="worksheets/sheet57.xml"/><Relationship Id="rId262" Type="http://schemas.openxmlformats.org/officeDocument/2006/relationships/worksheet" Target="worksheets/sheet262.xml"/><Relationship Id="rId318" Type="http://schemas.openxmlformats.org/officeDocument/2006/relationships/worksheet" Target="worksheets/sheet318.xml"/><Relationship Id="rId525" Type="http://schemas.openxmlformats.org/officeDocument/2006/relationships/worksheet" Target="worksheets/sheet525.xml"/><Relationship Id="rId99" Type="http://schemas.openxmlformats.org/officeDocument/2006/relationships/worksheet" Target="worksheets/sheet99.xml"/><Relationship Id="rId122" Type="http://schemas.openxmlformats.org/officeDocument/2006/relationships/worksheet" Target="worksheets/sheet122.xml"/><Relationship Id="rId164" Type="http://schemas.openxmlformats.org/officeDocument/2006/relationships/worksheet" Target="worksheets/sheet164.xml"/><Relationship Id="rId371" Type="http://schemas.openxmlformats.org/officeDocument/2006/relationships/worksheet" Target="worksheets/sheet371.xml"/><Relationship Id="rId427" Type="http://schemas.openxmlformats.org/officeDocument/2006/relationships/worksheet" Target="worksheets/sheet427.xml"/><Relationship Id="rId469" Type="http://schemas.openxmlformats.org/officeDocument/2006/relationships/worksheet" Target="worksheets/sheet469.xml"/><Relationship Id="rId26" Type="http://schemas.openxmlformats.org/officeDocument/2006/relationships/worksheet" Target="worksheets/sheet26.xml"/><Relationship Id="rId231" Type="http://schemas.openxmlformats.org/officeDocument/2006/relationships/worksheet" Target="worksheets/sheet231.xml"/><Relationship Id="rId273" Type="http://schemas.openxmlformats.org/officeDocument/2006/relationships/worksheet" Target="worksheets/sheet273.xml"/><Relationship Id="rId329" Type="http://schemas.openxmlformats.org/officeDocument/2006/relationships/worksheet" Target="worksheets/sheet329.xml"/><Relationship Id="rId480" Type="http://schemas.openxmlformats.org/officeDocument/2006/relationships/worksheet" Target="worksheets/sheet480.xml"/><Relationship Id="rId68" Type="http://schemas.openxmlformats.org/officeDocument/2006/relationships/worksheet" Target="worksheets/sheet68.xml"/><Relationship Id="rId133" Type="http://schemas.openxmlformats.org/officeDocument/2006/relationships/worksheet" Target="worksheets/sheet133.xml"/><Relationship Id="rId175" Type="http://schemas.openxmlformats.org/officeDocument/2006/relationships/worksheet" Target="worksheets/sheet175.xml"/><Relationship Id="rId340" Type="http://schemas.openxmlformats.org/officeDocument/2006/relationships/worksheet" Target="worksheets/sheet340.xml"/><Relationship Id="rId200" Type="http://schemas.openxmlformats.org/officeDocument/2006/relationships/worksheet" Target="worksheets/sheet200.xml"/><Relationship Id="rId382" Type="http://schemas.openxmlformats.org/officeDocument/2006/relationships/worksheet" Target="worksheets/sheet382.xml"/><Relationship Id="rId438" Type="http://schemas.openxmlformats.org/officeDocument/2006/relationships/worksheet" Target="worksheets/sheet438.xml"/><Relationship Id="rId242" Type="http://schemas.openxmlformats.org/officeDocument/2006/relationships/worksheet" Target="worksheets/sheet242.xml"/><Relationship Id="rId284" Type="http://schemas.openxmlformats.org/officeDocument/2006/relationships/worksheet" Target="worksheets/sheet284.xml"/><Relationship Id="rId491" Type="http://schemas.openxmlformats.org/officeDocument/2006/relationships/worksheet" Target="worksheets/sheet491.xml"/><Relationship Id="rId505" Type="http://schemas.openxmlformats.org/officeDocument/2006/relationships/worksheet" Target="worksheets/sheet505.xml"/><Relationship Id="rId37" Type="http://schemas.openxmlformats.org/officeDocument/2006/relationships/worksheet" Target="worksheets/sheet37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86" Type="http://schemas.openxmlformats.org/officeDocument/2006/relationships/worksheet" Target="worksheets/sheet186.xml"/><Relationship Id="rId351" Type="http://schemas.openxmlformats.org/officeDocument/2006/relationships/worksheet" Target="worksheets/sheet351.xml"/><Relationship Id="rId393" Type="http://schemas.openxmlformats.org/officeDocument/2006/relationships/worksheet" Target="worksheets/sheet393.xml"/><Relationship Id="rId407" Type="http://schemas.openxmlformats.org/officeDocument/2006/relationships/worksheet" Target="worksheets/sheet407.xml"/><Relationship Id="rId449" Type="http://schemas.openxmlformats.org/officeDocument/2006/relationships/worksheet" Target="worksheets/sheet449.xml"/><Relationship Id="rId211" Type="http://schemas.openxmlformats.org/officeDocument/2006/relationships/worksheet" Target="worksheets/sheet211.xml"/><Relationship Id="rId253" Type="http://schemas.openxmlformats.org/officeDocument/2006/relationships/worksheet" Target="worksheets/sheet253.xml"/><Relationship Id="rId295" Type="http://schemas.openxmlformats.org/officeDocument/2006/relationships/worksheet" Target="worksheets/sheet295.xml"/><Relationship Id="rId309" Type="http://schemas.openxmlformats.org/officeDocument/2006/relationships/worksheet" Target="worksheets/sheet309.xml"/><Relationship Id="rId460" Type="http://schemas.openxmlformats.org/officeDocument/2006/relationships/worksheet" Target="worksheets/sheet460.xml"/><Relationship Id="rId516" Type="http://schemas.openxmlformats.org/officeDocument/2006/relationships/worksheet" Target="worksheets/sheet516.xml"/><Relationship Id="rId48" Type="http://schemas.openxmlformats.org/officeDocument/2006/relationships/worksheet" Target="worksheets/sheet48.xml"/><Relationship Id="rId113" Type="http://schemas.openxmlformats.org/officeDocument/2006/relationships/worksheet" Target="worksheets/sheet113.xml"/><Relationship Id="rId320" Type="http://schemas.openxmlformats.org/officeDocument/2006/relationships/worksheet" Target="worksheets/sheet320.xml"/><Relationship Id="rId155" Type="http://schemas.openxmlformats.org/officeDocument/2006/relationships/worksheet" Target="worksheets/sheet155.xml"/><Relationship Id="rId197" Type="http://schemas.openxmlformats.org/officeDocument/2006/relationships/worksheet" Target="worksheets/sheet197.xml"/><Relationship Id="rId362" Type="http://schemas.openxmlformats.org/officeDocument/2006/relationships/worksheet" Target="worksheets/sheet362.xml"/><Relationship Id="rId418" Type="http://schemas.openxmlformats.org/officeDocument/2006/relationships/worksheet" Target="worksheets/sheet418.xml"/><Relationship Id="rId222" Type="http://schemas.openxmlformats.org/officeDocument/2006/relationships/worksheet" Target="worksheets/sheet222.xml"/><Relationship Id="rId264" Type="http://schemas.openxmlformats.org/officeDocument/2006/relationships/worksheet" Target="worksheets/sheet264.xml"/><Relationship Id="rId471" Type="http://schemas.openxmlformats.org/officeDocument/2006/relationships/worksheet" Target="worksheets/sheet471.xml"/><Relationship Id="rId17" Type="http://schemas.openxmlformats.org/officeDocument/2006/relationships/worksheet" Target="worksheets/sheet17.xml"/><Relationship Id="rId59" Type="http://schemas.openxmlformats.org/officeDocument/2006/relationships/worksheet" Target="worksheets/sheet59.xml"/><Relationship Id="rId124" Type="http://schemas.openxmlformats.org/officeDocument/2006/relationships/worksheet" Target="worksheets/sheet124.xml"/><Relationship Id="rId527" Type="http://schemas.openxmlformats.org/officeDocument/2006/relationships/worksheet" Target="worksheets/sheet527.xml"/><Relationship Id="rId70" Type="http://schemas.openxmlformats.org/officeDocument/2006/relationships/worksheet" Target="worksheets/sheet70.xml"/><Relationship Id="rId166" Type="http://schemas.openxmlformats.org/officeDocument/2006/relationships/worksheet" Target="worksheets/sheet166.xml"/><Relationship Id="rId331" Type="http://schemas.openxmlformats.org/officeDocument/2006/relationships/worksheet" Target="worksheets/sheet331.xml"/><Relationship Id="rId373" Type="http://schemas.openxmlformats.org/officeDocument/2006/relationships/worksheet" Target="worksheets/sheet373.xml"/><Relationship Id="rId429" Type="http://schemas.openxmlformats.org/officeDocument/2006/relationships/worksheet" Target="worksheets/sheet429.xml"/><Relationship Id="rId1" Type="http://schemas.openxmlformats.org/officeDocument/2006/relationships/worksheet" Target="worksheets/sheet1.xml"/><Relationship Id="rId233" Type="http://schemas.openxmlformats.org/officeDocument/2006/relationships/worksheet" Target="worksheets/sheet233.xml"/><Relationship Id="rId440" Type="http://schemas.openxmlformats.org/officeDocument/2006/relationships/worksheet" Target="worksheets/sheet440.xml"/><Relationship Id="rId28" Type="http://schemas.openxmlformats.org/officeDocument/2006/relationships/worksheet" Target="worksheets/sheet28.xml"/><Relationship Id="rId275" Type="http://schemas.openxmlformats.org/officeDocument/2006/relationships/worksheet" Target="worksheets/sheet275.xml"/><Relationship Id="rId300" Type="http://schemas.openxmlformats.org/officeDocument/2006/relationships/worksheet" Target="worksheets/sheet300.xml"/><Relationship Id="rId482" Type="http://schemas.openxmlformats.org/officeDocument/2006/relationships/worksheet" Target="worksheets/sheet482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77" Type="http://schemas.openxmlformats.org/officeDocument/2006/relationships/worksheet" Target="worksheets/sheet177.xml"/><Relationship Id="rId342" Type="http://schemas.openxmlformats.org/officeDocument/2006/relationships/worksheet" Target="worksheets/sheet342.xml"/><Relationship Id="rId384" Type="http://schemas.openxmlformats.org/officeDocument/2006/relationships/worksheet" Target="worksheets/sheet384.xml"/><Relationship Id="rId202" Type="http://schemas.openxmlformats.org/officeDocument/2006/relationships/worksheet" Target="worksheets/sheet202.xml"/><Relationship Id="rId244" Type="http://schemas.openxmlformats.org/officeDocument/2006/relationships/worksheet" Target="worksheets/sheet244.xml"/><Relationship Id="rId39" Type="http://schemas.openxmlformats.org/officeDocument/2006/relationships/worksheet" Target="worksheets/sheet39.xml"/><Relationship Id="rId286" Type="http://schemas.openxmlformats.org/officeDocument/2006/relationships/worksheet" Target="worksheets/sheet286.xml"/><Relationship Id="rId451" Type="http://schemas.openxmlformats.org/officeDocument/2006/relationships/worksheet" Target="worksheets/sheet451.xml"/><Relationship Id="rId493" Type="http://schemas.openxmlformats.org/officeDocument/2006/relationships/worksheet" Target="worksheets/sheet493.xml"/><Relationship Id="rId507" Type="http://schemas.openxmlformats.org/officeDocument/2006/relationships/worksheet" Target="worksheets/sheet507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46" Type="http://schemas.openxmlformats.org/officeDocument/2006/relationships/worksheet" Target="worksheets/sheet146.xml"/><Relationship Id="rId188" Type="http://schemas.openxmlformats.org/officeDocument/2006/relationships/worksheet" Target="worksheets/sheet188.xml"/><Relationship Id="rId311" Type="http://schemas.openxmlformats.org/officeDocument/2006/relationships/worksheet" Target="worksheets/sheet311.xml"/><Relationship Id="rId353" Type="http://schemas.openxmlformats.org/officeDocument/2006/relationships/worksheet" Target="worksheets/sheet353.xml"/><Relationship Id="rId395" Type="http://schemas.openxmlformats.org/officeDocument/2006/relationships/worksheet" Target="worksheets/sheet395.xml"/><Relationship Id="rId409" Type="http://schemas.openxmlformats.org/officeDocument/2006/relationships/worksheet" Target="worksheets/sheet409.xml"/><Relationship Id="rId92" Type="http://schemas.openxmlformats.org/officeDocument/2006/relationships/worksheet" Target="worksheets/sheet92.xml"/><Relationship Id="rId213" Type="http://schemas.openxmlformats.org/officeDocument/2006/relationships/worksheet" Target="worksheets/sheet213.xml"/><Relationship Id="rId420" Type="http://schemas.openxmlformats.org/officeDocument/2006/relationships/worksheet" Target="worksheets/sheet420.xml"/><Relationship Id="rId255" Type="http://schemas.openxmlformats.org/officeDocument/2006/relationships/worksheet" Target="worksheets/sheet255.xml"/><Relationship Id="rId297" Type="http://schemas.openxmlformats.org/officeDocument/2006/relationships/worksheet" Target="worksheets/sheet297.xml"/><Relationship Id="rId462" Type="http://schemas.openxmlformats.org/officeDocument/2006/relationships/worksheet" Target="worksheets/sheet462.xml"/><Relationship Id="rId518" Type="http://schemas.openxmlformats.org/officeDocument/2006/relationships/worksheet" Target="worksheets/sheet518.xml"/><Relationship Id="rId115" Type="http://schemas.openxmlformats.org/officeDocument/2006/relationships/worksheet" Target="worksheets/sheet115.xml"/><Relationship Id="rId157" Type="http://schemas.openxmlformats.org/officeDocument/2006/relationships/worksheet" Target="worksheets/sheet157.xml"/><Relationship Id="rId322" Type="http://schemas.openxmlformats.org/officeDocument/2006/relationships/worksheet" Target="worksheets/sheet322.xml"/><Relationship Id="rId364" Type="http://schemas.openxmlformats.org/officeDocument/2006/relationships/worksheet" Target="worksheets/sheet364.xml"/><Relationship Id="rId61" Type="http://schemas.openxmlformats.org/officeDocument/2006/relationships/worksheet" Target="worksheets/sheet61.xml"/><Relationship Id="rId199" Type="http://schemas.openxmlformats.org/officeDocument/2006/relationships/worksheet" Target="worksheets/sheet199.xml"/><Relationship Id="rId19" Type="http://schemas.openxmlformats.org/officeDocument/2006/relationships/worksheet" Target="worksheets/sheet19.xml"/><Relationship Id="rId224" Type="http://schemas.openxmlformats.org/officeDocument/2006/relationships/worksheet" Target="worksheets/sheet224.xml"/><Relationship Id="rId266" Type="http://schemas.openxmlformats.org/officeDocument/2006/relationships/worksheet" Target="worksheets/sheet266.xml"/><Relationship Id="rId431" Type="http://schemas.openxmlformats.org/officeDocument/2006/relationships/worksheet" Target="worksheets/sheet431.xml"/><Relationship Id="rId473" Type="http://schemas.openxmlformats.org/officeDocument/2006/relationships/worksheet" Target="worksheets/sheet473.xml"/><Relationship Id="rId529" Type="http://schemas.openxmlformats.org/officeDocument/2006/relationships/theme" Target="theme/theme1.xml"/><Relationship Id="rId30" Type="http://schemas.openxmlformats.org/officeDocument/2006/relationships/worksheet" Target="worksheets/sheet30.xml"/><Relationship Id="rId126" Type="http://schemas.openxmlformats.org/officeDocument/2006/relationships/worksheet" Target="worksheets/sheet126.xml"/><Relationship Id="rId168" Type="http://schemas.openxmlformats.org/officeDocument/2006/relationships/worksheet" Target="worksheets/sheet168.xml"/><Relationship Id="rId333" Type="http://schemas.openxmlformats.org/officeDocument/2006/relationships/worksheet" Target="worksheets/sheet333.xml"/><Relationship Id="rId72" Type="http://schemas.openxmlformats.org/officeDocument/2006/relationships/worksheet" Target="worksheets/sheet72.xml"/><Relationship Id="rId375" Type="http://schemas.openxmlformats.org/officeDocument/2006/relationships/worksheet" Target="worksheets/sheet375.xml"/><Relationship Id="rId3" Type="http://schemas.openxmlformats.org/officeDocument/2006/relationships/worksheet" Target="worksheets/sheet3.xml"/><Relationship Id="rId235" Type="http://schemas.openxmlformats.org/officeDocument/2006/relationships/worksheet" Target="worksheets/sheet235.xml"/><Relationship Id="rId277" Type="http://schemas.openxmlformats.org/officeDocument/2006/relationships/worksheet" Target="worksheets/sheet277.xml"/><Relationship Id="rId400" Type="http://schemas.openxmlformats.org/officeDocument/2006/relationships/worksheet" Target="worksheets/sheet400.xml"/><Relationship Id="rId442" Type="http://schemas.openxmlformats.org/officeDocument/2006/relationships/worksheet" Target="worksheets/sheet442.xml"/><Relationship Id="rId484" Type="http://schemas.openxmlformats.org/officeDocument/2006/relationships/worksheet" Target="worksheets/sheet484.xml"/><Relationship Id="rId137" Type="http://schemas.openxmlformats.org/officeDocument/2006/relationships/worksheet" Target="worksheets/sheet137.xml"/><Relationship Id="rId302" Type="http://schemas.openxmlformats.org/officeDocument/2006/relationships/worksheet" Target="worksheets/sheet302.xml"/><Relationship Id="rId344" Type="http://schemas.openxmlformats.org/officeDocument/2006/relationships/worksheet" Target="worksheets/sheet344.xml"/><Relationship Id="rId41" Type="http://schemas.openxmlformats.org/officeDocument/2006/relationships/worksheet" Target="worksheets/sheet41.xml"/><Relationship Id="rId83" Type="http://schemas.openxmlformats.org/officeDocument/2006/relationships/worksheet" Target="worksheets/sheet83.xml"/><Relationship Id="rId179" Type="http://schemas.openxmlformats.org/officeDocument/2006/relationships/worksheet" Target="worksheets/sheet179.xml"/><Relationship Id="rId386" Type="http://schemas.openxmlformats.org/officeDocument/2006/relationships/worksheet" Target="worksheets/sheet386.xml"/><Relationship Id="rId190" Type="http://schemas.openxmlformats.org/officeDocument/2006/relationships/worksheet" Target="worksheets/sheet190.xml"/><Relationship Id="rId204" Type="http://schemas.openxmlformats.org/officeDocument/2006/relationships/worksheet" Target="worksheets/sheet204.xml"/><Relationship Id="rId246" Type="http://schemas.openxmlformats.org/officeDocument/2006/relationships/worksheet" Target="worksheets/sheet246.xml"/><Relationship Id="rId288" Type="http://schemas.openxmlformats.org/officeDocument/2006/relationships/worksheet" Target="worksheets/sheet288.xml"/><Relationship Id="rId411" Type="http://schemas.openxmlformats.org/officeDocument/2006/relationships/worksheet" Target="worksheets/sheet411.xml"/><Relationship Id="rId453" Type="http://schemas.openxmlformats.org/officeDocument/2006/relationships/worksheet" Target="worksheets/sheet453.xml"/><Relationship Id="rId509" Type="http://schemas.openxmlformats.org/officeDocument/2006/relationships/worksheet" Target="worksheets/sheet509.xml"/><Relationship Id="rId106" Type="http://schemas.openxmlformats.org/officeDocument/2006/relationships/worksheet" Target="worksheets/sheet106.xml"/><Relationship Id="rId313" Type="http://schemas.openxmlformats.org/officeDocument/2006/relationships/worksheet" Target="worksheets/sheet313.xml"/><Relationship Id="rId495" Type="http://schemas.openxmlformats.org/officeDocument/2006/relationships/worksheet" Target="worksheets/sheet495.xml"/><Relationship Id="rId10" Type="http://schemas.openxmlformats.org/officeDocument/2006/relationships/worksheet" Target="worksheets/sheet10.xml"/><Relationship Id="rId52" Type="http://schemas.openxmlformats.org/officeDocument/2006/relationships/worksheet" Target="worksheets/sheet52.xml"/><Relationship Id="rId94" Type="http://schemas.openxmlformats.org/officeDocument/2006/relationships/worksheet" Target="worksheets/sheet94.xml"/><Relationship Id="rId148" Type="http://schemas.openxmlformats.org/officeDocument/2006/relationships/worksheet" Target="worksheets/sheet148.xml"/><Relationship Id="rId355" Type="http://schemas.openxmlformats.org/officeDocument/2006/relationships/worksheet" Target="worksheets/sheet355.xml"/><Relationship Id="rId397" Type="http://schemas.openxmlformats.org/officeDocument/2006/relationships/worksheet" Target="worksheets/sheet397.xml"/><Relationship Id="rId520" Type="http://schemas.openxmlformats.org/officeDocument/2006/relationships/worksheet" Target="worksheets/sheet520.xml"/><Relationship Id="rId215" Type="http://schemas.openxmlformats.org/officeDocument/2006/relationships/worksheet" Target="worksheets/sheet215.xml"/><Relationship Id="rId257" Type="http://schemas.openxmlformats.org/officeDocument/2006/relationships/worksheet" Target="worksheets/sheet257.xml"/><Relationship Id="rId422" Type="http://schemas.openxmlformats.org/officeDocument/2006/relationships/worksheet" Target="worksheets/sheet422.xml"/><Relationship Id="rId464" Type="http://schemas.openxmlformats.org/officeDocument/2006/relationships/worksheet" Target="worksheets/sheet464.xml"/><Relationship Id="rId299" Type="http://schemas.openxmlformats.org/officeDocument/2006/relationships/worksheet" Target="worksheets/sheet299.xml"/><Relationship Id="rId63" Type="http://schemas.openxmlformats.org/officeDocument/2006/relationships/worksheet" Target="worksheets/sheet63.xml"/><Relationship Id="rId159" Type="http://schemas.openxmlformats.org/officeDocument/2006/relationships/worksheet" Target="worksheets/sheet159.xml"/><Relationship Id="rId366" Type="http://schemas.openxmlformats.org/officeDocument/2006/relationships/worksheet" Target="worksheets/sheet366.xml"/><Relationship Id="rId226" Type="http://schemas.openxmlformats.org/officeDocument/2006/relationships/worksheet" Target="worksheets/sheet226.xml"/><Relationship Id="rId433" Type="http://schemas.openxmlformats.org/officeDocument/2006/relationships/worksheet" Target="worksheets/sheet433.xml"/><Relationship Id="rId74" Type="http://schemas.openxmlformats.org/officeDocument/2006/relationships/worksheet" Target="worksheets/sheet74.xml"/><Relationship Id="rId377" Type="http://schemas.openxmlformats.org/officeDocument/2006/relationships/worksheet" Target="worksheets/sheet377.xml"/><Relationship Id="rId500" Type="http://schemas.openxmlformats.org/officeDocument/2006/relationships/worksheet" Target="worksheets/sheet500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DDC37-2F3A-45E6-8830-6D4B1E2A3BF7}">
  <sheetPr>
    <pageSetUpPr fitToPage="1"/>
  </sheetPr>
  <dimension ref="A1:H32"/>
  <sheetViews>
    <sheetView topLeftCell="A25" workbookViewId="0">
      <selection activeCell="A16" sqref="A1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3.28515625" bestFit="1" customWidth="1"/>
    <col min="4" max="4" width="18" bestFit="1" customWidth="1"/>
    <col min="6" max="6" width="13" bestFit="1" customWidth="1"/>
    <col min="7" max="7" width="15.5703125" customWidth="1"/>
    <col min="8" max="8" width="16.5703125" bestFit="1" customWidth="1"/>
  </cols>
  <sheetData>
    <row r="1" spans="1:8" ht="23.25" x14ac:dyDescent="0.35">
      <c r="A1" s="1" t="s">
        <v>0</v>
      </c>
    </row>
    <row r="2" spans="1:8" ht="23.25" customHeight="1" x14ac:dyDescent="0.25"/>
    <row r="3" spans="1:8" ht="21" x14ac:dyDescent="0.35">
      <c r="A3" s="2" t="s">
        <v>1</v>
      </c>
      <c r="D3" s="11">
        <v>26480683</v>
      </c>
      <c r="F3" s="12" t="s">
        <v>3</v>
      </c>
      <c r="H3" s="11">
        <v>4228008</v>
      </c>
    </row>
    <row r="4" spans="1:8" x14ac:dyDescent="0.25">
      <c r="A4" s="13" t="s">
        <v>30</v>
      </c>
      <c r="C4" s="23">
        <v>230</v>
      </c>
    </row>
    <row r="5" spans="1:8" ht="21" x14ac:dyDescent="0.35">
      <c r="A5" s="2" t="s">
        <v>2</v>
      </c>
    </row>
    <row r="7" spans="1:8" ht="18.75" x14ac:dyDescent="0.3">
      <c r="A7" s="5" t="s">
        <v>45</v>
      </c>
      <c r="C7" s="3"/>
      <c r="D7" s="4">
        <v>5436995</v>
      </c>
      <c r="E7" s="24" t="s">
        <v>34</v>
      </c>
      <c r="H7" s="4">
        <v>892620</v>
      </c>
    </row>
    <row r="9" spans="1:8" ht="18.75" x14ac:dyDescent="0.3">
      <c r="A9" s="5" t="s">
        <v>46</v>
      </c>
      <c r="C9" s="3"/>
      <c r="D9" s="4">
        <v>3224149</v>
      </c>
      <c r="E9" s="24" t="s">
        <v>34</v>
      </c>
      <c r="H9" s="4">
        <v>514780</v>
      </c>
    </row>
    <row r="11" spans="1:8" ht="18.75" x14ac:dyDescent="0.3">
      <c r="A11" s="5" t="s">
        <v>47</v>
      </c>
      <c r="C11" s="3"/>
      <c r="D11" s="4">
        <v>177334</v>
      </c>
      <c r="E11" s="24" t="s">
        <v>34</v>
      </c>
      <c r="H11" s="4">
        <v>28314</v>
      </c>
    </row>
    <row r="13" spans="1:8" ht="18.75" x14ac:dyDescent="0.3">
      <c r="A13" s="5" t="s">
        <v>48</v>
      </c>
      <c r="C13" s="3"/>
      <c r="D13" s="4">
        <v>7568400</v>
      </c>
      <c r="E13" s="24" t="s">
        <v>34</v>
      </c>
      <c r="H13" s="4">
        <v>1208400</v>
      </c>
    </row>
    <row r="15" spans="1:8" ht="18.75" x14ac:dyDescent="0.3">
      <c r="A15" s="5" t="s">
        <v>49</v>
      </c>
      <c r="C15" s="3"/>
      <c r="D15" s="4">
        <v>374731</v>
      </c>
      <c r="E15" s="24" t="s">
        <v>34</v>
      </c>
      <c r="H15" s="4">
        <v>59831</v>
      </c>
    </row>
    <row r="16" spans="1:8" ht="15.75" thickBot="1" x14ac:dyDescent="0.3">
      <c r="D16" s="7"/>
      <c r="H16" s="7"/>
    </row>
    <row r="18" spans="1:8" ht="18.75" x14ac:dyDescent="0.3">
      <c r="C18" t="s">
        <v>4</v>
      </c>
      <c r="D18" s="4">
        <f>D3-D7-D9-D11-D13-D15</f>
        <v>9699074</v>
      </c>
      <c r="G18" t="s">
        <v>5</v>
      </c>
      <c r="H18" s="4">
        <f>H3-H7-H9-H11-H13-H15</f>
        <v>1524063</v>
      </c>
    </row>
    <row r="21" spans="1:8" ht="15.75" x14ac:dyDescent="0.25">
      <c r="A21" t="s">
        <v>6</v>
      </c>
      <c r="C21" s="8">
        <f>D18</f>
        <v>9699074</v>
      </c>
      <c r="E21" t="s">
        <v>10</v>
      </c>
      <c r="H21" s="6">
        <f>C30</f>
        <v>7069088.2680000002</v>
      </c>
    </row>
    <row r="23" spans="1:8" ht="15.75" x14ac:dyDescent="0.25">
      <c r="A23" t="s">
        <v>5</v>
      </c>
      <c r="B23" s="9" t="s">
        <v>7</v>
      </c>
      <c r="C23" s="8">
        <f>H18</f>
        <v>1524063</v>
      </c>
      <c r="E23" s="13" t="s">
        <v>11</v>
      </c>
      <c r="F23" s="9" t="s">
        <v>12</v>
      </c>
      <c r="G23" s="15" t="s">
        <v>17</v>
      </c>
      <c r="H23" s="3">
        <v>-156000</v>
      </c>
    </row>
    <row r="24" spans="1:8" x14ac:dyDescent="0.25">
      <c r="F24" s="3">
        <v>22252675</v>
      </c>
    </row>
    <row r="25" spans="1:8" ht="16.5" thickBot="1" x14ac:dyDescent="0.3">
      <c r="A25" t="s">
        <v>8</v>
      </c>
      <c r="B25" s="9" t="s">
        <v>7</v>
      </c>
      <c r="C25" s="8">
        <f>D3*0.004</f>
        <v>105922.732</v>
      </c>
      <c r="F25" s="9" t="s">
        <v>13</v>
      </c>
      <c r="G25" s="16">
        <v>0.35</v>
      </c>
      <c r="H25" s="17">
        <v>-1113000</v>
      </c>
    </row>
    <row r="26" spans="1:8" x14ac:dyDescent="0.25">
      <c r="F26" s="3">
        <v>7069088</v>
      </c>
    </row>
    <row r="27" spans="1:8" ht="15.75" x14ac:dyDescent="0.25">
      <c r="A27" t="s">
        <v>9</v>
      </c>
      <c r="B27" s="9" t="s">
        <v>7</v>
      </c>
      <c r="C27" s="10">
        <v>1000000</v>
      </c>
      <c r="G27" s="13" t="s">
        <v>14</v>
      </c>
      <c r="H27" s="6">
        <f>H21+H23+H25</f>
        <v>5800088.2680000002</v>
      </c>
    </row>
    <row r="28" spans="1:8" ht="15.75" thickBot="1" x14ac:dyDescent="0.3">
      <c r="A28" s="14" t="s">
        <v>18</v>
      </c>
      <c r="C28" s="7"/>
    </row>
    <row r="29" spans="1:8" x14ac:dyDescent="0.25">
      <c r="E29" t="s">
        <v>15</v>
      </c>
      <c r="H29" s="19">
        <f>H27*0.35</f>
        <v>2030030.8938</v>
      </c>
    </row>
    <row r="30" spans="1:8" ht="15.75" x14ac:dyDescent="0.25">
      <c r="A30" t="s">
        <v>10</v>
      </c>
      <c r="C30" s="10">
        <f>C21-C23-C25-C27</f>
        <v>7069088.2680000002</v>
      </c>
      <c r="H30" s="18"/>
    </row>
    <row r="31" spans="1:8" x14ac:dyDescent="0.25">
      <c r="E31" t="s">
        <v>16</v>
      </c>
      <c r="H31" s="19">
        <f>H27*0.2</f>
        <v>1160017.6536000001</v>
      </c>
    </row>
    <row r="32" spans="1:8" x14ac:dyDescent="0.25">
      <c r="H32" s="18"/>
    </row>
  </sheetData>
  <pageMargins left="0.70866141732283472" right="0.70866141732283472" top="0.74803149606299213" bottom="0.74803149606299213" header="0.31496062992125984" footer="0.31496062992125984"/>
  <pageSetup paperSize="9" scale="7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E28FA-07D8-4C53-A48B-3D8ED427BC89}">
  <dimension ref="A1:H32"/>
  <sheetViews>
    <sheetView topLeftCell="A16" workbookViewId="0">
      <selection activeCell="A8" sqref="A8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3.28515625" bestFit="1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19</v>
      </c>
    </row>
    <row r="2" spans="1:8" ht="21" customHeight="1" x14ac:dyDescent="0.25"/>
    <row r="3" spans="1:8" ht="21" x14ac:dyDescent="0.35">
      <c r="A3" s="2" t="s">
        <v>1</v>
      </c>
      <c r="D3" s="11">
        <v>1118600</v>
      </c>
      <c r="F3" s="12" t="s">
        <v>3</v>
      </c>
      <c r="H3" s="11">
        <v>178600</v>
      </c>
    </row>
    <row r="4" spans="1:8" x14ac:dyDescent="0.25">
      <c r="A4" s="13" t="s">
        <v>31</v>
      </c>
      <c r="C4" s="23">
        <v>231</v>
      </c>
    </row>
    <row r="5" spans="1:8" ht="21" x14ac:dyDescent="0.35">
      <c r="A5" s="2" t="s">
        <v>2</v>
      </c>
    </row>
    <row r="7" spans="1:8" ht="18.75" x14ac:dyDescent="0.3">
      <c r="A7" s="5" t="s">
        <v>50</v>
      </c>
      <c r="C7" s="3"/>
      <c r="D7" s="4">
        <v>774809</v>
      </c>
      <c r="E7" s="24" t="s">
        <v>34</v>
      </c>
      <c r="H7" s="4">
        <v>123709</v>
      </c>
    </row>
    <row r="9" spans="1:8" ht="18.75" x14ac:dyDescent="0.3">
      <c r="A9" s="5"/>
      <c r="C9" s="3"/>
      <c r="D9" s="4"/>
      <c r="H9" s="4"/>
    </row>
    <row r="11" spans="1:8" ht="18.75" x14ac:dyDescent="0.3">
      <c r="A11" s="5"/>
      <c r="C11" s="3"/>
      <c r="D11" s="4"/>
      <c r="H11" s="4"/>
    </row>
    <row r="13" spans="1:8" ht="18.75" x14ac:dyDescent="0.3">
      <c r="A13" s="5"/>
      <c r="C13" s="3"/>
      <c r="D13" s="4"/>
      <c r="H13" s="4"/>
    </row>
    <row r="15" spans="1:8" ht="18.75" x14ac:dyDescent="0.3">
      <c r="A15" s="5"/>
      <c r="C15" s="3"/>
      <c r="D15" s="4"/>
      <c r="H15" s="4"/>
    </row>
    <row r="16" spans="1:8" ht="15.75" thickBot="1" x14ac:dyDescent="0.3">
      <c r="D16" s="7"/>
      <c r="H16" s="7"/>
    </row>
    <row r="18" spans="1:8" ht="18.75" x14ac:dyDescent="0.3">
      <c r="C18" t="s">
        <v>4</v>
      </c>
      <c r="D18" s="4">
        <f>D3-D7-D9-D11-D13-D15</f>
        <v>343791</v>
      </c>
      <c r="G18" t="s">
        <v>5</v>
      </c>
      <c r="H18" s="4">
        <f>H3-H7-H9-H11-H13-H15</f>
        <v>54891</v>
      </c>
    </row>
    <row r="21" spans="1:8" ht="15.75" x14ac:dyDescent="0.25">
      <c r="A21" t="s">
        <v>6</v>
      </c>
      <c r="C21" s="8">
        <f>D18</f>
        <v>343791</v>
      </c>
      <c r="E21" t="s">
        <v>10</v>
      </c>
      <c r="H21" s="6">
        <f>C30</f>
        <v>284425.59999999998</v>
      </c>
    </row>
    <row r="23" spans="1:8" ht="15.75" x14ac:dyDescent="0.25">
      <c r="A23" t="s">
        <v>5</v>
      </c>
      <c r="B23" s="9" t="s">
        <v>7</v>
      </c>
      <c r="C23" s="8">
        <f>H18</f>
        <v>54891</v>
      </c>
      <c r="E23" s="13" t="s">
        <v>11</v>
      </c>
      <c r="F23" s="9" t="s">
        <v>12</v>
      </c>
      <c r="G23" s="15" t="s">
        <v>17</v>
      </c>
      <c r="H23" s="3">
        <v>-6580</v>
      </c>
    </row>
    <row r="24" spans="1:8" x14ac:dyDescent="0.25">
      <c r="F24" s="3">
        <v>940000</v>
      </c>
    </row>
    <row r="25" spans="1:8" ht="16.5" thickBot="1" x14ac:dyDescent="0.3">
      <c r="A25" t="s">
        <v>8</v>
      </c>
      <c r="B25" s="9" t="s">
        <v>7</v>
      </c>
      <c r="C25" s="8">
        <f>D3*0.004</f>
        <v>4474.4000000000005</v>
      </c>
      <c r="F25" s="9" t="s">
        <v>13</v>
      </c>
      <c r="G25" s="16">
        <v>0.35</v>
      </c>
      <c r="H25" s="17">
        <v>-99549</v>
      </c>
    </row>
    <row r="26" spans="1:8" x14ac:dyDescent="0.25">
      <c r="F26" s="3">
        <v>284426</v>
      </c>
    </row>
    <row r="27" spans="1:8" ht="15.75" x14ac:dyDescent="0.25">
      <c r="A27" t="s">
        <v>9</v>
      </c>
      <c r="B27" s="9" t="s">
        <v>7</v>
      </c>
      <c r="C27" s="10"/>
      <c r="G27" s="13" t="s">
        <v>14</v>
      </c>
      <c r="H27" s="6">
        <f>H21+H23+H25</f>
        <v>178296.59999999998</v>
      </c>
    </row>
    <row r="28" spans="1:8" ht="15.75" thickBot="1" x14ac:dyDescent="0.3">
      <c r="A28" s="14"/>
      <c r="C28" s="7"/>
    </row>
    <row r="29" spans="1:8" x14ac:dyDescent="0.25">
      <c r="E29" t="s">
        <v>20</v>
      </c>
      <c r="H29" s="20">
        <f>H27/2</f>
        <v>89148.299999999988</v>
      </c>
    </row>
    <row r="30" spans="1:8" ht="15.75" x14ac:dyDescent="0.25">
      <c r="A30" t="s">
        <v>10</v>
      </c>
      <c r="C30" s="10">
        <f>C21-C23-C25-C27</f>
        <v>284425.59999999998</v>
      </c>
      <c r="H30" s="18"/>
    </row>
    <row r="31" spans="1:8" x14ac:dyDescent="0.25">
      <c r="H31" s="3"/>
    </row>
    <row r="32" spans="1:8" x14ac:dyDescent="0.25">
      <c r="H32" s="1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03ED5-B044-4C9A-898C-6CA73DF53D28}">
  <dimension ref="A1:H32"/>
  <sheetViews>
    <sheetView topLeftCell="A16" workbookViewId="0">
      <selection activeCell="A7" sqref="A7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3.28515625" bestFit="1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19</v>
      </c>
    </row>
    <row r="3" spans="1:8" ht="21" x14ac:dyDescent="0.35">
      <c r="A3" s="2" t="s">
        <v>1</v>
      </c>
      <c r="D3" s="11">
        <v>321300</v>
      </c>
      <c r="F3" s="12" t="s">
        <v>3</v>
      </c>
      <c r="H3" s="11">
        <v>51300</v>
      </c>
    </row>
    <row r="4" spans="1:8" x14ac:dyDescent="0.25">
      <c r="A4" s="13" t="s">
        <v>31</v>
      </c>
      <c r="C4" s="23">
        <v>232</v>
      </c>
    </row>
    <row r="5" spans="1:8" ht="21" x14ac:dyDescent="0.35">
      <c r="A5" s="2" t="s">
        <v>2</v>
      </c>
    </row>
    <row r="7" spans="1:8" ht="18.75" x14ac:dyDescent="0.3">
      <c r="A7" s="5" t="s">
        <v>51</v>
      </c>
      <c r="C7" s="3"/>
      <c r="D7" s="4">
        <v>222173</v>
      </c>
      <c r="E7" s="24" t="s">
        <v>34</v>
      </c>
      <c r="H7" s="4">
        <v>35473</v>
      </c>
    </row>
    <row r="9" spans="1:8" ht="18.75" x14ac:dyDescent="0.3">
      <c r="A9" s="5"/>
      <c r="C9" s="3"/>
      <c r="D9" s="4"/>
      <c r="H9" s="4"/>
    </row>
    <row r="11" spans="1:8" ht="18.75" x14ac:dyDescent="0.3">
      <c r="A11" s="5"/>
      <c r="C11" s="3"/>
      <c r="D11" s="4"/>
      <c r="H11" s="4"/>
    </row>
    <row r="13" spans="1:8" ht="18.75" x14ac:dyDescent="0.3">
      <c r="A13" s="5"/>
      <c r="C13" s="3"/>
      <c r="D13" s="4"/>
      <c r="H13" s="4"/>
    </row>
    <row r="15" spans="1:8" ht="18.75" x14ac:dyDescent="0.3">
      <c r="A15" s="5"/>
      <c r="C15" s="3"/>
      <c r="D15" s="4"/>
      <c r="H15" s="4"/>
    </row>
    <row r="16" spans="1:8" ht="15.75" thickBot="1" x14ac:dyDescent="0.3">
      <c r="D16" s="7"/>
      <c r="H16" s="7"/>
    </row>
    <row r="18" spans="1:8" ht="18.75" x14ac:dyDescent="0.3">
      <c r="C18" t="s">
        <v>4</v>
      </c>
      <c r="D18" s="4">
        <f>D3-D7-D9-D11-D13-D15</f>
        <v>99127</v>
      </c>
      <c r="G18" t="s">
        <v>5</v>
      </c>
      <c r="H18" s="4">
        <f>H3-H7-H9-H11-H13-H15</f>
        <v>15827</v>
      </c>
    </row>
    <row r="21" spans="1:8" ht="15.75" x14ac:dyDescent="0.25">
      <c r="A21" t="s">
        <v>6</v>
      </c>
      <c r="C21" s="8">
        <f>D18</f>
        <v>99127</v>
      </c>
      <c r="E21" t="s">
        <v>10</v>
      </c>
      <c r="H21" s="6">
        <f>C30</f>
        <v>82014.8</v>
      </c>
    </row>
    <row r="23" spans="1:8" ht="15.75" x14ac:dyDescent="0.25">
      <c r="A23" t="s">
        <v>5</v>
      </c>
      <c r="B23" s="9" t="s">
        <v>7</v>
      </c>
      <c r="C23" s="8">
        <f>H18</f>
        <v>15827</v>
      </c>
      <c r="E23" s="13" t="s">
        <v>11</v>
      </c>
      <c r="F23" s="9" t="s">
        <v>12</v>
      </c>
      <c r="G23" s="15" t="s">
        <v>17</v>
      </c>
      <c r="H23" s="3">
        <v>-1900</v>
      </c>
    </row>
    <row r="24" spans="1:8" x14ac:dyDescent="0.25">
      <c r="F24" s="3">
        <v>270000</v>
      </c>
    </row>
    <row r="25" spans="1:8" ht="16.5" thickBot="1" x14ac:dyDescent="0.3">
      <c r="A25" t="s">
        <v>8</v>
      </c>
      <c r="B25" s="9" t="s">
        <v>7</v>
      </c>
      <c r="C25" s="8">
        <f>D3*0.004</f>
        <v>1285.2</v>
      </c>
      <c r="F25" s="9" t="s">
        <v>13</v>
      </c>
      <c r="G25" s="16">
        <v>0.35</v>
      </c>
      <c r="H25" s="17">
        <v>-28705</v>
      </c>
    </row>
    <row r="26" spans="1:8" x14ac:dyDescent="0.25">
      <c r="F26" s="3">
        <v>82015</v>
      </c>
    </row>
    <row r="27" spans="1:8" ht="15.75" x14ac:dyDescent="0.25">
      <c r="A27" t="s">
        <v>9</v>
      </c>
      <c r="B27" s="9" t="s">
        <v>7</v>
      </c>
      <c r="C27" s="10"/>
      <c r="G27" s="13" t="s">
        <v>14</v>
      </c>
      <c r="H27" s="6">
        <f>H21+H23+H25</f>
        <v>51409.8</v>
      </c>
    </row>
    <row r="28" spans="1:8" ht="15.75" thickBot="1" x14ac:dyDescent="0.3">
      <c r="A28" s="14"/>
      <c r="C28" s="7"/>
    </row>
    <row r="29" spans="1:8" x14ac:dyDescent="0.25">
      <c r="E29" t="s">
        <v>20</v>
      </c>
      <c r="H29" s="20">
        <f>H27/2</f>
        <v>25704.9</v>
      </c>
    </row>
    <row r="30" spans="1:8" ht="15.75" x14ac:dyDescent="0.25">
      <c r="A30" t="s">
        <v>10</v>
      </c>
      <c r="C30" s="10">
        <f>C21-C23-C25-C27</f>
        <v>82014.8</v>
      </c>
      <c r="H30" s="18"/>
    </row>
    <row r="31" spans="1:8" x14ac:dyDescent="0.25">
      <c r="H31" s="3"/>
    </row>
    <row r="32" spans="1:8" x14ac:dyDescent="0.25">
      <c r="H32" s="1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1DEF5-F422-4454-8A3C-F1DCF36ED909}">
  <dimension ref="A1:H32"/>
  <sheetViews>
    <sheetView topLeftCell="A22" workbookViewId="0">
      <selection activeCell="F26" sqref="F2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3.28515625" bestFit="1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0</v>
      </c>
    </row>
    <row r="3" spans="1:8" ht="21" x14ac:dyDescent="0.35">
      <c r="A3" s="2" t="s">
        <v>1</v>
      </c>
      <c r="D3" s="11">
        <v>523500</v>
      </c>
      <c r="F3" s="12" t="s">
        <v>3</v>
      </c>
      <c r="H3" s="11">
        <v>85500</v>
      </c>
    </row>
    <row r="4" spans="1:8" x14ac:dyDescent="0.25">
      <c r="A4" s="13" t="s">
        <v>32</v>
      </c>
      <c r="C4" s="23">
        <v>235</v>
      </c>
    </row>
    <row r="5" spans="1:8" ht="21" x14ac:dyDescent="0.35">
      <c r="A5" s="2" t="s">
        <v>2</v>
      </c>
    </row>
    <row r="7" spans="1:8" ht="18.75" x14ac:dyDescent="0.3">
      <c r="A7" s="5" t="s">
        <v>52</v>
      </c>
      <c r="C7" s="3"/>
      <c r="D7" s="4">
        <v>399978</v>
      </c>
      <c r="E7" s="24" t="s">
        <v>34</v>
      </c>
      <c r="H7" s="4">
        <v>63862</v>
      </c>
    </row>
    <row r="9" spans="1:8" ht="18.75" x14ac:dyDescent="0.3">
      <c r="A9" s="5"/>
      <c r="C9" s="3"/>
      <c r="D9" s="4"/>
      <c r="H9" s="4"/>
    </row>
    <row r="11" spans="1:8" ht="18.75" x14ac:dyDescent="0.3">
      <c r="A11" s="5"/>
      <c r="C11" s="3"/>
      <c r="D11" s="4"/>
      <c r="H11" s="4"/>
    </row>
    <row r="13" spans="1:8" ht="18.75" x14ac:dyDescent="0.3">
      <c r="A13" s="5"/>
      <c r="C13" s="3"/>
      <c r="D13" s="4"/>
      <c r="H13" s="4"/>
    </row>
    <row r="15" spans="1:8" ht="18.75" x14ac:dyDescent="0.3">
      <c r="A15" s="5"/>
      <c r="C15" s="3"/>
      <c r="D15" s="4"/>
      <c r="H15" s="4"/>
    </row>
    <row r="16" spans="1:8" ht="15.75" thickBot="1" x14ac:dyDescent="0.3">
      <c r="D16" s="7"/>
      <c r="H16" s="7"/>
    </row>
    <row r="18" spans="1:8" ht="18.75" x14ac:dyDescent="0.3">
      <c r="C18" t="s">
        <v>4</v>
      </c>
      <c r="D18" s="4">
        <f>D3-D7-D9-D11-D13-D15</f>
        <v>123522</v>
      </c>
      <c r="G18" t="s">
        <v>5</v>
      </c>
      <c r="H18" s="4">
        <f>H3-H7-H9-H11-H13-H15</f>
        <v>21638</v>
      </c>
    </row>
    <row r="21" spans="1:8" ht="15.75" x14ac:dyDescent="0.25">
      <c r="A21" t="s">
        <v>6</v>
      </c>
      <c r="C21" s="8">
        <f>D18</f>
        <v>123522</v>
      </c>
      <c r="E21" t="s">
        <v>10</v>
      </c>
      <c r="H21" s="6">
        <f>C30</f>
        <v>77890</v>
      </c>
    </row>
    <row r="23" spans="1:8" ht="15.75" x14ac:dyDescent="0.25">
      <c r="A23" t="s">
        <v>5</v>
      </c>
      <c r="B23" s="9" t="s">
        <v>7</v>
      </c>
      <c r="C23" s="8">
        <f>H18</f>
        <v>21638</v>
      </c>
      <c r="E23" s="13" t="s">
        <v>11</v>
      </c>
      <c r="F23" s="9" t="s">
        <v>12</v>
      </c>
      <c r="G23" s="15" t="s">
        <v>17</v>
      </c>
      <c r="H23" s="3">
        <v>-3150</v>
      </c>
    </row>
    <row r="24" spans="1:8" x14ac:dyDescent="0.25">
      <c r="F24" s="21">
        <v>450000</v>
      </c>
    </row>
    <row r="25" spans="1:8" ht="16.5" thickBot="1" x14ac:dyDescent="0.3">
      <c r="A25" t="s">
        <v>8</v>
      </c>
      <c r="B25" s="9" t="s">
        <v>7</v>
      </c>
      <c r="C25" s="8">
        <f>D3*0.004</f>
        <v>2094</v>
      </c>
      <c r="F25" s="9" t="s">
        <v>13</v>
      </c>
      <c r="G25" s="16">
        <v>0.35</v>
      </c>
      <c r="H25" s="17">
        <v>-27051</v>
      </c>
    </row>
    <row r="26" spans="1:8" x14ac:dyDescent="0.25">
      <c r="F26" s="21">
        <v>77290</v>
      </c>
    </row>
    <row r="27" spans="1:8" ht="15.75" x14ac:dyDescent="0.25">
      <c r="A27" t="s">
        <v>9</v>
      </c>
      <c r="B27" s="9" t="s">
        <v>7</v>
      </c>
      <c r="C27" s="10">
        <v>21900</v>
      </c>
      <c r="G27" s="13" t="s">
        <v>14</v>
      </c>
      <c r="H27" s="6">
        <f>H21+H23+H25</f>
        <v>47689</v>
      </c>
    </row>
    <row r="28" spans="1:8" ht="15.75" thickBot="1" x14ac:dyDescent="0.3">
      <c r="A28" s="14" t="s">
        <v>18</v>
      </c>
      <c r="C28" s="7"/>
    </row>
    <row r="29" spans="1:8" x14ac:dyDescent="0.25">
      <c r="E29" t="s">
        <v>20</v>
      </c>
      <c r="H29" s="20">
        <f>H27/2</f>
        <v>23844.5</v>
      </c>
    </row>
    <row r="30" spans="1:8" ht="15.75" x14ac:dyDescent="0.25">
      <c r="A30" t="s">
        <v>10</v>
      </c>
      <c r="C30" s="10">
        <f>C21-C23-C25-C27</f>
        <v>77890</v>
      </c>
      <c r="H30" s="18"/>
    </row>
    <row r="31" spans="1:8" x14ac:dyDescent="0.25">
      <c r="H31" s="3"/>
    </row>
    <row r="32" spans="1:8" x14ac:dyDescent="0.25">
      <c r="H32" s="18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898DF-33C3-45E6-8DAD-67DB6852EA9E}">
  <dimension ref="A1:H32"/>
  <sheetViews>
    <sheetView topLeftCell="A16" workbookViewId="0">
      <selection activeCell="B9" sqref="B9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3.28515625" bestFit="1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22</v>
      </c>
    </row>
    <row r="3" spans="1:8" ht="21" x14ac:dyDescent="0.35">
      <c r="A3" s="2" t="s">
        <v>1</v>
      </c>
      <c r="D3" s="11">
        <v>47600</v>
      </c>
      <c r="F3" s="12" t="s">
        <v>3</v>
      </c>
      <c r="H3" s="11">
        <v>7600</v>
      </c>
    </row>
    <row r="4" spans="1:8" x14ac:dyDescent="0.25">
      <c r="A4" s="13" t="s">
        <v>32</v>
      </c>
      <c r="C4" s="23">
        <v>236</v>
      </c>
    </row>
    <row r="5" spans="1:8" ht="21" x14ac:dyDescent="0.35">
      <c r="A5" s="2" t="s">
        <v>2</v>
      </c>
    </row>
    <row r="7" spans="1:8" ht="18.75" x14ac:dyDescent="0.3">
      <c r="A7" s="5" t="s">
        <v>23</v>
      </c>
      <c r="B7" t="s">
        <v>24</v>
      </c>
      <c r="C7" s="3"/>
      <c r="D7" s="4">
        <v>13000</v>
      </c>
      <c r="H7" s="4">
        <v>0</v>
      </c>
    </row>
    <row r="8" spans="1:8" x14ac:dyDescent="0.25">
      <c r="A8" s="14" t="s">
        <v>53</v>
      </c>
    </row>
    <row r="9" spans="1:8" ht="18.75" x14ac:dyDescent="0.3">
      <c r="A9" s="5"/>
      <c r="C9" s="3"/>
      <c r="D9" s="4"/>
      <c r="H9" s="4"/>
    </row>
    <row r="11" spans="1:8" ht="18.75" x14ac:dyDescent="0.3">
      <c r="A11" s="5"/>
      <c r="C11" s="3"/>
      <c r="D11" s="4"/>
      <c r="H11" s="4"/>
    </row>
    <row r="13" spans="1:8" ht="18.75" x14ac:dyDescent="0.3">
      <c r="A13" s="5"/>
      <c r="C13" s="3"/>
      <c r="D13" s="4"/>
      <c r="H13" s="4"/>
    </row>
    <row r="15" spans="1:8" ht="18.75" x14ac:dyDescent="0.3">
      <c r="A15" s="5"/>
      <c r="C15" s="3"/>
      <c r="D15" s="4"/>
      <c r="H15" s="4"/>
    </row>
    <row r="16" spans="1:8" ht="15.75" thickBot="1" x14ac:dyDescent="0.3">
      <c r="D16" s="7"/>
      <c r="H16" s="7"/>
    </row>
    <row r="18" spans="1:8" ht="18.75" x14ac:dyDescent="0.3">
      <c r="C18" t="s">
        <v>4</v>
      </c>
      <c r="D18" s="4">
        <f>D3-D7-D9-D11-D13-D15</f>
        <v>34600</v>
      </c>
      <c r="G18" t="s">
        <v>5</v>
      </c>
      <c r="H18" s="4">
        <f>H3-H7-H9-H11-H13-H15</f>
        <v>7600</v>
      </c>
    </row>
    <row r="21" spans="1:8" ht="15.75" x14ac:dyDescent="0.25">
      <c r="A21" t="s">
        <v>6</v>
      </c>
      <c r="C21" s="8">
        <f>D18</f>
        <v>34600</v>
      </c>
      <c r="E21" t="s">
        <v>10</v>
      </c>
      <c r="H21" s="6">
        <f>C30</f>
        <v>26809.599999999999</v>
      </c>
    </row>
    <row r="23" spans="1:8" ht="15.75" x14ac:dyDescent="0.25">
      <c r="A23" t="s">
        <v>5</v>
      </c>
      <c r="B23" s="9" t="s">
        <v>7</v>
      </c>
      <c r="C23" s="8">
        <f>H18</f>
        <v>7600</v>
      </c>
      <c r="E23" s="13" t="s">
        <v>11</v>
      </c>
      <c r="F23" s="9" t="s">
        <v>12</v>
      </c>
      <c r="G23" s="15" t="s">
        <v>17</v>
      </c>
      <c r="H23" s="3">
        <v>-280</v>
      </c>
    </row>
    <row r="24" spans="1:8" x14ac:dyDescent="0.25">
      <c r="F24" s="3">
        <v>40000</v>
      </c>
    </row>
    <row r="25" spans="1:8" ht="16.5" thickBot="1" x14ac:dyDescent="0.3">
      <c r="A25" t="s">
        <v>8</v>
      </c>
      <c r="B25" s="9" t="s">
        <v>7</v>
      </c>
      <c r="C25" s="8">
        <f>D3*0.004</f>
        <v>190.4</v>
      </c>
      <c r="F25" s="9" t="s">
        <v>13</v>
      </c>
      <c r="G25" s="16">
        <v>0.35</v>
      </c>
      <c r="H25" s="17">
        <v>-9400</v>
      </c>
    </row>
    <row r="26" spans="1:8" x14ac:dyDescent="0.25">
      <c r="F26" s="3">
        <v>26810</v>
      </c>
    </row>
    <row r="27" spans="1:8" ht="15.75" x14ac:dyDescent="0.25">
      <c r="A27" t="s">
        <v>9</v>
      </c>
      <c r="B27" s="9" t="s">
        <v>7</v>
      </c>
      <c r="C27" s="10"/>
      <c r="G27" s="13" t="s">
        <v>14</v>
      </c>
      <c r="H27" s="6">
        <f>H21+H23+H25</f>
        <v>17129.599999999999</v>
      </c>
    </row>
    <row r="28" spans="1:8" ht="15.75" thickBot="1" x14ac:dyDescent="0.3">
      <c r="A28" s="14"/>
      <c r="C28" s="7"/>
    </row>
    <row r="29" spans="1:8" x14ac:dyDescent="0.25">
      <c r="E29" t="s">
        <v>20</v>
      </c>
      <c r="H29" s="20">
        <f>H27*0.5</f>
        <v>8564.7999999999993</v>
      </c>
    </row>
    <row r="30" spans="1:8" ht="15.75" x14ac:dyDescent="0.25">
      <c r="A30" t="s">
        <v>10</v>
      </c>
      <c r="C30" s="10">
        <f>C21-C23-C25-C27</f>
        <v>26809.599999999999</v>
      </c>
      <c r="H30" s="18"/>
    </row>
    <row r="31" spans="1:8" x14ac:dyDescent="0.25">
      <c r="H31" s="3"/>
    </row>
    <row r="32" spans="1:8" x14ac:dyDescent="0.25">
      <c r="H32" s="1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00F2C-669E-4614-A124-136318F908B8}">
  <dimension ref="A1:H32"/>
  <sheetViews>
    <sheetView topLeftCell="A16" workbookViewId="0">
      <selection activeCell="A8" sqref="A8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3.28515625" bestFit="1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25</v>
      </c>
    </row>
    <row r="3" spans="1:8" ht="21" x14ac:dyDescent="0.35">
      <c r="A3" s="2" t="s">
        <v>1</v>
      </c>
      <c r="D3" s="11">
        <v>335380</v>
      </c>
      <c r="F3" s="12" t="s">
        <v>3</v>
      </c>
      <c r="H3" s="11">
        <v>53580</v>
      </c>
    </row>
    <row r="4" spans="1:8" x14ac:dyDescent="0.25">
      <c r="A4" s="13" t="s">
        <v>32</v>
      </c>
      <c r="C4" s="23">
        <v>238</v>
      </c>
    </row>
    <row r="5" spans="1:8" ht="21" x14ac:dyDescent="0.35">
      <c r="A5" s="2" t="s">
        <v>2</v>
      </c>
    </row>
    <row r="7" spans="1:8" ht="18.75" x14ac:dyDescent="0.3">
      <c r="A7" s="5" t="s">
        <v>54</v>
      </c>
      <c r="C7" s="3"/>
      <c r="D7" s="4">
        <v>254439</v>
      </c>
      <c r="E7" s="25" t="s">
        <v>34</v>
      </c>
      <c r="H7" s="4">
        <v>40625</v>
      </c>
    </row>
    <row r="9" spans="1:8" ht="18.75" x14ac:dyDescent="0.3">
      <c r="A9" s="5"/>
      <c r="C9" s="3"/>
      <c r="D9" s="4"/>
      <c r="H9" s="4"/>
    </row>
    <row r="11" spans="1:8" ht="18.75" x14ac:dyDescent="0.3">
      <c r="A11" s="5"/>
      <c r="C11" s="3"/>
      <c r="D11" s="4"/>
      <c r="H11" s="4"/>
    </row>
    <row r="13" spans="1:8" ht="18.75" x14ac:dyDescent="0.3">
      <c r="A13" s="5"/>
      <c r="C13" s="3"/>
      <c r="D13" s="4"/>
      <c r="H13" s="4"/>
    </row>
    <row r="15" spans="1:8" ht="18.75" x14ac:dyDescent="0.3">
      <c r="A15" s="5"/>
      <c r="C15" s="3"/>
      <c r="D15" s="4"/>
      <c r="H15" s="4"/>
    </row>
    <row r="16" spans="1:8" ht="15.75" thickBot="1" x14ac:dyDescent="0.3">
      <c r="D16" s="7"/>
      <c r="H16" s="7"/>
    </row>
    <row r="18" spans="1:8" ht="18.75" x14ac:dyDescent="0.3">
      <c r="C18" t="s">
        <v>4</v>
      </c>
      <c r="D18" s="4">
        <f>D3-D7-D9-D11-D13-D15</f>
        <v>80941</v>
      </c>
      <c r="G18" t="s">
        <v>5</v>
      </c>
      <c r="H18" s="4">
        <f>H3-H7-H9-H11-H13-H15</f>
        <v>12955</v>
      </c>
    </row>
    <row r="21" spans="1:8" ht="15.75" x14ac:dyDescent="0.25">
      <c r="A21" t="s">
        <v>6</v>
      </c>
      <c r="C21" s="8">
        <f>D18</f>
        <v>80941</v>
      </c>
      <c r="E21" t="s">
        <v>10</v>
      </c>
      <c r="H21" s="6">
        <f>C30</f>
        <v>66644.479999999996</v>
      </c>
    </row>
    <row r="23" spans="1:8" ht="15.75" x14ac:dyDescent="0.25">
      <c r="A23" t="s">
        <v>5</v>
      </c>
      <c r="B23" s="9" t="s">
        <v>7</v>
      </c>
      <c r="C23" s="8">
        <f>H18</f>
        <v>12955</v>
      </c>
      <c r="E23" s="13" t="s">
        <v>11</v>
      </c>
      <c r="F23" s="9" t="s">
        <v>12</v>
      </c>
      <c r="G23" s="15" t="s">
        <v>17</v>
      </c>
      <c r="H23" s="3">
        <v>-1973</v>
      </c>
    </row>
    <row r="24" spans="1:8" x14ac:dyDescent="0.25">
      <c r="F24" s="21">
        <v>28180</v>
      </c>
    </row>
    <row r="25" spans="1:8" ht="16.5" thickBot="1" x14ac:dyDescent="0.3">
      <c r="A25" t="s">
        <v>8</v>
      </c>
      <c r="B25" s="9" t="s">
        <v>7</v>
      </c>
      <c r="C25" s="8">
        <f>D3*0.004</f>
        <v>1341.52</v>
      </c>
      <c r="F25" s="9" t="s">
        <v>13</v>
      </c>
      <c r="G25" s="16">
        <v>0.35</v>
      </c>
      <c r="H25" s="17">
        <v>-23325</v>
      </c>
    </row>
    <row r="26" spans="1:8" x14ac:dyDescent="0.25">
      <c r="F26" s="21">
        <v>66644</v>
      </c>
    </row>
    <row r="27" spans="1:8" ht="15.75" x14ac:dyDescent="0.25">
      <c r="A27" t="s">
        <v>9</v>
      </c>
      <c r="B27" s="9" t="s">
        <v>7</v>
      </c>
      <c r="C27" s="10"/>
      <c r="G27" s="13" t="s">
        <v>14</v>
      </c>
      <c r="H27" s="6">
        <f>H21+H23+H25</f>
        <v>41346.479999999996</v>
      </c>
    </row>
    <row r="28" spans="1:8" ht="15.75" thickBot="1" x14ac:dyDescent="0.3">
      <c r="A28" s="14"/>
      <c r="C28" s="7"/>
    </row>
    <row r="29" spans="1:8" x14ac:dyDescent="0.25">
      <c r="E29" t="s">
        <v>20</v>
      </c>
      <c r="H29" s="20">
        <f>H27/2</f>
        <v>20673.239999999998</v>
      </c>
    </row>
    <row r="30" spans="1:8" ht="15.75" x14ac:dyDescent="0.25">
      <c r="A30" t="s">
        <v>10</v>
      </c>
      <c r="C30" s="10">
        <f>C21-C23-C25-C27</f>
        <v>66644.479999999996</v>
      </c>
      <c r="H30" s="18"/>
    </row>
    <row r="31" spans="1:8" x14ac:dyDescent="0.25">
      <c r="H31" s="3"/>
    </row>
    <row r="32" spans="1:8" x14ac:dyDescent="0.25">
      <c r="H32" s="1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0C330-2887-4F7A-96B3-200886117FE8}">
  <dimension ref="A1:H33"/>
  <sheetViews>
    <sheetView topLeftCell="A16" workbookViewId="0">
      <selection activeCell="C15" sqref="C15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3.28515625" bestFit="1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26</v>
      </c>
    </row>
    <row r="3" spans="1:8" ht="21" x14ac:dyDescent="0.35">
      <c r="A3" s="2" t="s">
        <v>1</v>
      </c>
      <c r="D3" s="11">
        <v>2890629</v>
      </c>
      <c r="F3" s="12" t="s">
        <v>3</v>
      </c>
      <c r="H3" s="11">
        <v>461259</v>
      </c>
    </row>
    <row r="4" spans="1:8" x14ac:dyDescent="0.25">
      <c r="A4" s="13" t="s">
        <v>32</v>
      </c>
      <c r="C4" s="23" t="s">
        <v>33</v>
      </c>
    </row>
    <row r="5" spans="1:8" ht="21" x14ac:dyDescent="0.35">
      <c r="A5" s="2" t="s">
        <v>2</v>
      </c>
    </row>
    <row r="6" spans="1:8" ht="18.75" x14ac:dyDescent="0.3">
      <c r="A6" s="5" t="s">
        <v>56</v>
      </c>
      <c r="D6" s="4">
        <v>277984</v>
      </c>
      <c r="E6" s="25" t="s">
        <v>34</v>
      </c>
      <c r="H6" s="4">
        <v>44384</v>
      </c>
    </row>
    <row r="7" spans="1:8" ht="18.75" x14ac:dyDescent="0.3">
      <c r="A7" s="5" t="s">
        <v>27</v>
      </c>
      <c r="C7" s="3"/>
      <c r="D7" s="4">
        <v>1069720</v>
      </c>
      <c r="E7" s="25" t="s">
        <v>34</v>
      </c>
      <c r="H7" s="4">
        <v>171908</v>
      </c>
    </row>
    <row r="8" spans="1:8" ht="18.75" x14ac:dyDescent="0.3">
      <c r="A8" s="5" t="s">
        <v>57</v>
      </c>
      <c r="D8" s="4">
        <v>495016</v>
      </c>
      <c r="E8" s="25" t="s">
        <v>34</v>
      </c>
      <c r="H8" s="4">
        <v>79036</v>
      </c>
    </row>
    <row r="9" spans="1:8" ht="18.75" x14ac:dyDescent="0.3">
      <c r="A9" s="5" t="s">
        <v>58</v>
      </c>
      <c r="C9" s="3"/>
      <c r="D9" s="4">
        <v>165577</v>
      </c>
      <c r="E9" s="25" t="s">
        <v>34</v>
      </c>
      <c r="H9" s="4">
        <v>26437</v>
      </c>
    </row>
    <row r="10" spans="1:8" ht="18.75" x14ac:dyDescent="0.3">
      <c r="A10" s="5" t="s">
        <v>59</v>
      </c>
      <c r="D10" s="4">
        <v>30309</v>
      </c>
      <c r="E10" s="25" t="s">
        <v>34</v>
      </c>
      <c r="H10" s="4">
        <v>4839</v>
      </c>
    </row>
    <row r="11" spans="1:8" ht="18.75" x14ac:dyDescent="0.3">
      <c r="A11" s="5" t="s">
        <v>61</v>
      </c>
      <c r="D11" s="4">
        <v>62600</v>
      </c>
      <c r="E11" s="25" t="s">
        <v>34</v>
      </c>
      <c r="H11" s="4">
        <v>9995</v>
      </c>
    </row>
    <row r="12" spans="1:8" ht="19.5" thickBot="1" x14ac:dyDescent="0.35">
      <c r="A12" s="5" t="s">
        <v>60</v>
      </c>
      <c r="C12" s="3"/>
      <c r="D12" s="22">
        <v>213546</v>
      </c>
      <c r="E12" s="25" t="s">
        <v>34</v>
      </c>
      <c r="H12" s="22">
        <v>34095</v>
      </c>
    </row>
    <row r="13" spans="1:8" ht="18.75" customHeight="1" x14ac:dyDescent="0.3">
      <c r="D13" s="4">
        <f>SUM(D6:D12)</f>
        <v>2314752</v>
      </c>
      <c r="H13" s="4">
        <f>SUM(H6:H12)</f>
        <v>370694</v>
      </c>
    </row>
    <row r="14" spans="1:8" ht="18.75" x14ac:dyDescent="0.3">
      <c r="A14" s="5"/>
      <c r="C14" s="3"/>
      <c r="D14" s="4"/>
      <c r="H14" s="4"/>
    </row>
    <row r="16" spans="1:8" ht="18.75" x14ac:dyDescent="0.3">
      <c r="A16" s="5"/>
      <c r="C16" s="3"/>
      <c r="D16" s="4"/>
      <c r="F16" t="s">
        <v>35</v>
      </c>
      <c r="H16" s="4"/>
    </row>
    <row r="17" spans="1:8" ht="15.75" thickBot="1" x14ac:dyDescent="0.3">
      <c r="D17" s="7"/>
      <c r="H17" s="7"/>
    </row>
    <row r="19" spans="1:8" ht="18.75" x14ac:dyDescent="0.3">
      <c r="C19" t="s">
        <v>4</v>
      </c>
      <c r="D19" s="4">
        <f>D3-D13</f>
        <v>575877</v>
      </c>
      <c r="G19" t="s">
        <v>5</v>
      </c>
      <c r="H19" s="4">
        <f>H3-H13</f>
        <v>90565</v>
      </c>
    </row>
    <row r="22" spans="1:8" ht="15.75" x14ac:dyDescent="0.25">
      <c r="A22" t="s">
        <v>6</v>
      </c>
      <c r="C22" s="8">
        <f>D19</f>
        <v>575877</v>
      </c>
      <c r="E22" t="s">
        <v>10</v>
      </c>
      <c r="H22" s="6">
        <f>C31</f>
        <v>473749.484</v>
      </c>
    </row>
    <row r="24" spans="1:8" ht="15.75" x14ac:dyDescent="0.25">
      <c r="A24" t="s">
        <v>5</v>
      </c>
      <c r="B24" s="9" t="s">
        <v>7</v>
      </c>
      <c r="C24" s="8">
        <f>H19</f>
        <v>90565</v>
      </c>
      <c r="E24" s="13" t="s">
        <v>11</v>
      </c>
      <c r="F24" s="9" t="s">
        <v>12</v>
      </c>
      <c r="G24" s="15" t="s">
        <v>17</v>
      </c>
      <c r="H24" s="3">
        <v>-17006</v>
      </c>
    </row>
    <row r="25" spans="1:8" x14ac:dyDescent="0.25">
      <c r="F25" s="21">
        <v>2429370</v>
      </c>
    </row>
    <row r="26" spans="1:8" ht="16.5" thickBot="1" x14ac:dyDescent="0.3">
      <c r="A26" t="s">
        <v>8</v>
      </c>
      <c r="B26" s="9" t="s">
        <v>7</v>
      </c>
      <c r="C26" s="8">
        <f>D3*0.004</f>
        <v>11562.516</v>
      </c>
      <c r="F26" s="9" t="s">
        <v>13</v>
      </c>
      <c r="G26" s="16">
        <v>0.35</v>
      </c>
      <c r="H26" s="17">
        <v>-165812</v>
      </c>
    </row>
    <row r="27" spans="1:8" x14ac:dyDescent="0.25">
      <c r="F27" s="21">
        <v>473749</v>
      </c>
    </row>
    <row r="28" spans="1:8" ht="15.75" x14ac:dyDescent="0.25">
      <c r="A28" t="s">
        <v>9</v>
      </c>
      <c r="B28" s="9" t="s">
        <v>7</v>
      </c>
      <c r="C28" s="10"/>
      <c r="G28" s="13" t="s">
        <v>14</v>
      </c>
      <c r="H28" s="6">
        <f>H22+H24+H26</f>
        <v>290931.484</v>
      </c>
    </row>
    <row r="29" spans="1:8" ht="15.75" thickBot="1" x14ac:dyDescent="0.3">
      <c r="A29" s="14"/>
      <c r="C29" s="7"/>
    </row>
    <row r="30" spans="1:8" x14ac:dyDescent="0.25">
      <c r="E30" t="s">
        <v>20</v>
      </c>
      <c r="H30" s="20">
        <f>H28/2</f>
        <v>145465.742</v>
      </c>
    </row>
    <row r="31" spans="1:8" ht="15.75" x14ac:dyDescent="0.25">
      <c r="A31" t="s">
        <v>10</v>
      </c>
      <c r="C31" s="10">
        <f>C22-C24-C26-C28</f>
        <v>473749.484</v>
      </c>
      <c r="H31" s="18"/>
    </row>
    <row r="32" spans="1:8" x14ac:dyDescent="0.25">
      <c r="H32" s="3"/>
    </row>
    <row r="33" spans="8:8" x14ac:dyDescent="0.25">
      <c r="H33" s="18"/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0E379-E7C1-483C-AF15-E6620492BB53}">
  <dimension ref="A1:H33"/>
  <sheetViews>
    <sheetView topLeftCell="A16" workbookViewId="0">
      <selection activeCell="I9" sqref="I9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3.28515625" bestFit="1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28</v>
      </c>
    </row>
    <row r="3" spans="1:8" ht="21" x14ac:dyDescent="0.35">
      <c r="A3" s="2" t="s">
        <v>1</v>
      </c>
      <c r="D3" s="11">
        <v>214200</v>
      </c>
      <c r="F3" s="12" t="s">
        <v>3</v>
      </c>
      <c r="H3" s="11">
        <v>34200</v>
      </c>
    </row>
    <row r="4" spans="1:8" x14ac:dyDescent="0.25">
      <c r="A4" s="13" t="s">
        <v>32</v>
      </c>
      <c r="C4" s="23">
        <v>241</v>
      </c>
    </row>
    <row r="5" spans="1:8" ht="21" x14ac:dyDescent="0.35">
      <c r="A5" s="2" t="s">
        <v>2</v>
      </c>
    </row>
    <row r="7" spans="1:8" ht="18.75" x14ac:dyDescent="0.3">
      <c r="A7" s="5" t="s">
        <v>55</v>
      </c>
      <c r="C7" s="3"/>
      <c r="D7" s="4">
        <v>124500</v>
      </c>
      <c r="H7" s="4">
        <v>0</v>
      </c>
    </row>
    <row r="8" spans="1:8" ht="18.75" x14ac:dyDescent="0.3">
      <c r="A8" s="5"/>
      <c r="D8" s="4"/>
      <c r="H8" s="4"/>
    </row>
    <row r="9" spans="1:8" ht="18.75" x14ac:dyDescent="0.3">
      <c r="A9" s="5"/>
      <c r="C9" s="3"/>
      <c r="D9" s="4"/>
      <c r="H9" s="4"/>
    </row>
    <row r="10" spans="1:8" ht="18.75" x14ac:dyDescent="0.3">
      <c r="A10" s="5"/>
      <c r="D10" s="4"/>
      <c r="H10" s="4"/>
    </row>
    <row r="11" spans="1:8" ht="18.75" x14ac:dyDescent="0.3">
      <c r="A11" s="5"/>
      <c r="D11" s="4"/>
      <c r="H11" s="4"/>
    </row>
    <row r="12" spans="1:8" ht="19.5" thickBot="1" x14ac:dyDescent="0.35">
      <c r="A12" s="5"/>
      <c r="C12" s="3"/>
      <c r="D12" s="22"/>
      <c r="H12" s="22"/>
    </row>
    <row r="13" spans="1:8" ht="18.75" customHeight="1" x14ac:dyDescent="0.3">
      <c r="D13" s="4">
        <f>SUM(D7:D12)</f>
        <v>124500</v>
      </c>
      <c r="H13" s="4">
        <f>SUM(H7:H12)</f>
        <v>0</v>
      </c>
    </row>
    <row r="14" spans="1:8" ht="18.75" x14ac:dyDescent="0.3">
      <c r="A14" s="5"/>
      <c r="C14" s="3"/>
      <c r="D14" s="4"/>
      <c r="H14" s="4"/>
    </row>
    <row r="16" spans="1:8" ht="18.75" x14ac:dyDescent="0.3">
      <c r="A16" s="5"/>
      <c r="C16" s="3"/>
      <c r="D16" s="4"/>
      <c r="F16" t="s">
        <v>35</v>
      </c>
      <c r="H16" s="4"/>
    </row>
    <row r="17" spans="1:8" ht="15.75" thickBot="1" x14ac:dyDescent="0.3">
      <c r="D17" s="7"/>
      <c r="H17" s="7"/>
    </row>
    <row r="19" spans="1:8" ht="18.75" x14ac:dyDescent="0.3">
      <c r="C19" t="s">
        <v>4</v>
      </c>
      <c r="D19" s="4">
        <f>D3-D13</f>
        <v>89700</v>
      </c>
      <c r="G19" t="s">
        <v>5</v>
      </c>
      <c r="H19" s="4">
        <f>H3-H13</f>
        <v>34200</v>
      </c>
    </row>
    <row r="22" spans="1:8" ht="15.75" x14ac:dyDescent="0.25">
      <c r="A22" t="s">
        <v>6</v>
      </c>
      <c r="C22" s="8">
        <f>D19</f>
        <v>89700</v>
      </c>
      <c r="E22" t="s">
        <v>10</v>
      </c>
      <c r="H22" s="6">
        <f>C31</f>
        <v>55002</v>
      </c>
    </row>
    <row r="24" spans="1:8" ht="15.75" x14ac:dyDescent="0.25">
      <c r="A24" t="s">
        <v>5</v>
      </c>
      <c r="B24" s="9" t="s">
        <v>7</v>
      </c>
      <c r="C24" s="8">
        <f>H19</f>
        <v>34200</v>
      </c>
      <c r="E24" s="13" t="s">
        <v>11</v>
      </c>
      <c r="F24" s="9" t="s">
        <v>12</v>
      </c>
      <c r="G24" s="15" t="s">
        <v>17</v>
      </c>
      <c r="H24" s="3">
        <v>-1260</v>
      </c>
    </row>
    <row r="25" spans="1:8" x14ac:dyDescent="0.25">
      <c r="F25" s="21">
        <v>180000</v>
      </c>
    </row>
    <row r="26" spans="1:8" ht="16.5" thickBot="1" x14ac:dyDescent="0.3">
      <c r="A26" t="s">
        <v>8</v>
      </c>
      <c r="B26" s="9" t="s">
        <v>7</v>
      </c>
      <c r="C26" s="8">
        <v>498</v>
      </c>
      <c r="F26" s="9" t="s">
        <v>13</v>
      </c>
      <c r="G26" s="16">
        <v>0.35</v>
      </c>
      <c r="H26" s="17">
        <v>-19251</v>
      </c>
    </row>
    <row r="27" spans="1:8" x14ac:dyDescent="0.25">
      <c r="F27" s="21">
        <v>55002</v>
      </c>
    </row>
    <row r="28" spans="1:8" ht="15.75" x14ac:dyDescent="0.25">
      <c r="A28" t="s">
        <v>9</v>
      </c>
      <c r="B28" s="9" t="s">
        <v>7</v>
      </c>
      <c r="C28" s="10"/>
      <c r="G28" s="13" t="s">
        <v>14</v>
      </c>
      <c r="H28" s="6">
        <f>H22+H24+H26</f>
        <v>34491</v>
      </c>
    </row>
    <row r="29" spans="1:8" ht="15.75" thickBot="1" x14ac:dyDescent="0.3">
      <c r="A29" s="14"/>
      <c r="C29" s="7"/>
    </row>
    <row r="30" spans="1:8" x14ac:dyDescent="0.25">
      <c r="E30" t="s">
        <v>29</v>
      </c>
      <c r="H30" s="20">
        <f>H28*0.5</f>
        <v>17245.5</v>
      </c>
    </row>
    <row r="31" spans="1:8" ht="15.75" x14ac:dyDescent="0.25">
      <c r="A31" t="s">
        <v>10</v>
      </c>
      <c r="C31" s="10">
        <f>C22-C24-C26-C28</f>
        <v>55002</v>
      </c>
      <c r="H31" s="18"/>
    </row>
    <row r="32" spans="1:8" x14ac:dyDescent="0.25">
      <c r="H32" s="3"/>
    </row>
    <row r="33" spans="8:8" x14ac:dyDescent="0.25">
      <c r="H33" s="18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73FCD-569C-4F1F-9BD1-30F5C3D5536D}">
  <dimension ref="A1:H33"/>
  <sheetViews>
    <sheetView topLeftCell="A19" workbookViewId="0">
      <selection activeCell="A8" sqref="A8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3.28515625" bestFit="1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36</v>
      </c>
    </row>
    <row r="3" spans="1:8" ht="21" x14ac:dyDescent="0.35">
      <c r="A3" s="2" t="s">
        <v>1</v>
      </c>
      <c r="D3" s="11">
        <v>253470</v>
      </c>
      <c r="F3" s="12" t="s">
        <v>3</v>
      </c>
      <c r="H3" s="11">
        <v>40470</v>
      </c>
    </row>
    <row r="4" spans="1:8" x14ac:dyDescent="0.25">
      <c r="A4" s="13" t="s">
        <v>32</v>
      </c>
      <c r="C4" s="26">
        <v>244</v>
      </c>
    </row>
    <row r="5" spans="1:8" ht="21" x14ac:dyDescent="0.35">
      <c r="A5" s="2" t="s">
        <v>2</v>
      </c>
    </row>
    <row r="7" spans="1:8" ht="18.75" x14ac:dyDescent="0.3">
      <c r="A7" s="5" t="s">
        <v>62</v>
      </c>
      <c r="C7" s="3"/>
      <c r="D7" s="4">
        <v>197921</v>
      </c>
      <c r="E7" s="25" t="s">
        <v>34</v>
      </c>
      <c r="H7" s="4">
        <v>31601</v>
      </c>
    </row>
    <row r="8" spans="1:8" ht="18.75" x14ac:dyDescent="0.3">
      <c r="A8" s="5"/>
      <c r="D8" s="4"/>
      <c r="H8" s="4"/>
    </row>
    <row r="9" spans="1:8" ht="18.75" x14ac:dyDescent="0.3">
      <c r="A9" s="5"/>
      <c r="C9" s="3"/>
      <c r="D9" s="4"/>
      <c r="H9" s="4"/>
    </row>
    <row r="10" spans="1:8" ht="18.75" x14ac:dyDescent="0.3">
      <c r="A10" s="5"/>
      <c r="D10" s="4"/>
      <c r="H10" s="4"/>
    </row>
    <row r="11" spans="1:8" ht="18.75" x14ac:dyDescent="0.3">
      <c r="A11" s="5"/>
      <c r="D11" s="4"/>
      <c r="H11" s="4"/>
    </row>
    <row r="12" spans="1:8" ht="19.5" thickBot="1" x14ac:dyDescent="0.35">
      <c r="A12" s="5"/>
      <c r="C12" s="3"/>
      <c r="D12" s="22"/>
      <c r="H12" s="22"/>
    </row>
    <row r="13" spans="1:8" ht="18.75" customHeight="1" x14ac:dyDescent="0.3">
      <c r="D13" s="4">
        <f>SUM(D7:D12)</f>
        <v>197921</v>
      </c>
      <c r="H13" s="4">
        <f>SUM(H7:H12)</f>
        <v>31601</v>
      </c>
    </row>
    <row r="14" spans="1:8" ht="18.75" x14ac:dyDescent="0.3">
      <c r="A14" s="5"/>
      <c r="C14" s="3"/>
      <c r="D14" s="4"/>
      <c r="H14" s="4"/>
    </row>
    <row r="16" spans="1:8" ht="18.75" x14ac:dyDescent="0.3">
      <c r="A16" s="5"/>
      <c r="C16" s="3"/>
      <c r="D16" s="4"/>
      <c r="F16" t="s">
        <v>35</v>
      </c>
      <c r="H16" s="4"/>
    </row>
    <row r="17" spans="1:8" ht="15.75" thickBot="1" x14ac:dyDescent="0.3">
      <c r="D17" s="7"/>
      <c r="H17" s="7"/>
    </row>
    <row r="19" spans="1:8" ht="18.75" x14ac:dyDescent="0.3">
      <c r="C19" t="s">
        <v>4</v>
      </c>
      <c r="D19" s="4">
        <f>D3-D13</f>
        <v>55549</v>
      </c>
      <c r="G19" t="s">
        <v>5</v>
      </c>
      <c r="H19" s="4">
        <f>H3-H13</f>
        <v>8869</v>
      </c>
    </row>
    <row r="22" spans="1:8" ht="15.75" x14ac:dyDescent="0.25">
      <c r="A22" t="s">
        <v>6</v>
      </c>
      <c r="C22" s="8">
        <f>D19</f>
        <v>55549</v>
      </c>
      <c r="E22" t="s">
        <v>10</v>
      </c>
      <c r="H22" s="6">
        <f>C31</f>
        <v>45666.12</v>
      </c>
    </row>
    <row r="24" spans="1:8" ht="15.75" x14ac:dyDescent="0.25">
      <c r="A24" t="s">
        <v>5</v>
      </c>
      <c r="B24" s="9" t="s">
        <v>7</v>
      </c>
      <c r="C24" s="8">
        <f>H19</f>
        <v>8869</v>
      </c>
      <c r="E24" s="13" t="s">
        <v>11</v>
      </c>
      <c r="F24" s="9" t="s">
        <v>12</v>
      </c>
      <c r="G24" s="15" t="s">
        <v>17</v>
      </c>
      <c r="H24" s="3">
        <v>-1491</v>
      </c>
    </row>
    <row r="25" spans="1:8" x14ac:dyDescent="0.25">
      <c r="F25" s="21">
        <v>213000</v>
      </c>
    </row>
    <row r="26" spans="1:8" ht="16.5" thickBot="1" x14ac:dyDescent="0.3">
      <c r="A26" t="s">
        <v>8</v>
      </c>
      <c r="B26" s="9" t="s">
        <v>7</v>
      </c>
      <c r="C26" s="8">
        <f>D3*0.004</f>
        <v>1013.88</v>
      </c>
      <c r="F26" s="9" t="s">
        <v>13</v>
      </c>
      <c r="G26" s="16">
        <v>0.35</v>
      </c>
      <c r="H26" s="17">
        <v>-15983</v>
      </c>
    </row>
    <row r="27" spans="1:8" x14ac:dyDescent="0.25">
      <c r="F27" s="21">
        <v>45666</v>
      </c>
    </row>
    <row r="28" spans="1:8" ht="15.75" x14ac:dyDescent="0.25">
      <c r="A28" t="s">
        <v>9</v>
      </c>
      <c r="B28" s="9" t="s">
        <v>7</v>
      </c>
      <c r="C28" s="10"/>
      <c r="G28" s="13" t="s">
        <v>14</v>
      </c>
      <c r="H28" s="6">
        <f>H22+H24+H26</f>
        <v>28192.120000000003</v>
      </c>
    </row>
    <row r="29" spans="1:8" ht="15.75" thickBot="1" x14ac:dyDescent="0.3">
      <c r="A29" s="14"/>
      <c r="C29" s="7"/>
    </row>
    <row r="30" spans="1:8" x14ac:dyDescent="0.25">
      <c r="E30" t="s">
        <v>37</v>
      </c>
      <c r="H30" s="20">
        <f>H28*0.5</f>
        <v>14096.060000000001</v>
      </c>
    </row>
    <row r="31" spans="1:8" ht="15.75" x14ac:dyDescent="0.25">
      <c r="A31" t="s">
        <v>10</v>
      </c>
      <c r="C31" s="10">
        <f>C22-C24-C26-C28</f>
        <v>45666.12</v>
      </c>
      <c r="H31" s="18"/>
    </row>
    <row r="32" spans="1:8" x14ac:dyDescent="0.25">
      <c r="H32" s="3"/>
    </row>
    <row r="33" spans="8:8" x14ac:dyDescent="0.25">
      <c r="H33" s="1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713E6-8714-413A-986B-B97729EF79D7}">
  <dimension ref="A1:H33"/>
  <sheetViews>
    <sheetView topLeftCell="A19" workbookViewId="0">
      <selection activeCell="H27" sqref="H27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3.28515625" bestFit="1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38</v>
      </c>
    </row>
    <row r="3" spans="1:8" ht="21" x14ac:dyDescent="0.35">
      <c r="A3" s="2" t="s">
        <v>1</v>
      </c>
      <c r="D3" s="11">
        <v>154700</v>
      </c>
      <c r="F3" s="12" t="s">
        <v>3</v>
      </c>
      <c r="H3" s="11">
        <v>24700</v>
      </c>
    </row>
    <row r="4" spans="1:8" x14ac:dyDescent="0.25">
      <c r="A4" s="13" t="s">
        <v>32</v>
      </c>
      <c r="C4" s="26">
        <v>245</v>
      </c>
    </row>
    <row r="5" spans="1:8" ht="21" x14ac:dyDescent="0.35">
      <c r="A5" s="2" t="s">
        <v>2</v>
      </c>
    </row>
    <row r="7" spans="1:8" ht="18.75" x14ac:dyDescent="0.3">
      <c r="A7" s="5" t="s">
        <v>63</v>
      </c>
      <c r="C7" s="3"/>
      <c r="D7" s="4">
        <v>100280</v>
      </c>
      <c r="E7" s="25" t="s">
        <v>34</v>
      </c>
      <c r="H7" s="4">
        <v>16011</v>
      </c>
    </row>
    <row r="8" spans="1:8" ht="18.75" x14ac:dyDescent="0.3">
      <c r="A8" s="5"/>
      <c r="D8" s="4"/>
      <c r="H8" s="4"/>
    </row>
    <row r="9" spans="1:8" ht="18.75" x14ac:dyDescent="0.3">
      <c r="A9" s="5"/>
      <c r="C9" s="3"/>
      <c r="D9" s="4"/>
      <c r="H9" s="4"/>
    </row>
    <row r="10" spans="1:8" ht="18.75" x14ac:dyDescent="0.3">
      <c r="A10" s="5"/>
      <c r="D10" s="4"/>
      <c r="H10" s="4"/>
    </row>
    <row r="11" spans="1:8" ht="18.75" x14ac:dyDescent="0.3">
      <c r="A11" s="5"/>
      <c r="D11" s="4"/>
      <c r="H11" s="4"/>
    </row>
    <row r="12" spans="1:8" ht="19.5" thickBot="1" x14ac:dyDescent="0.35">
      <c r="A12" s="5"/>
      <c r="C12" s="3"/>
      <c r="D12" s="22"/>
      <c r="H12" s="22"/>
    </row>
    <row r="13" spans="1:8" ht="18.75" customHeight="1" x14ac:dyDescent="0.3">
      <c r="D13" s="4">
        <f>SUM(D7:D12)</f>
        <v>100280</v>
      </c>
      <c r="H13" s="4">
        <f>SUM(H7:H12)</f>
        <v>16011</v>
      </c>
    </row>
    <row r="14" spans="1:8" ht="18.75" x14ac:dyDescent="0.3">
      <c r="A14" s="5"/>
      <c r="C14" s="3"/>
      <c r="D14" s="4"/>
      <c r="H14" s="4"/>
    </row>
    <row r="16" spans="1:8" ht="18.75" x14ac:dyDescent="0.3">
      <c r="A16" s="5"/>
      <c r="C16" s="3"/>
      <c r="D16" s="4"/>
      <c r="F16" t="s">
        <v>35</v>
      </c>
      <c r="H16" s="4"/>
    </row>
    <row r="17" spans="1:8" ht="15.75" thickBot="1" x14ac:dyDescent="0.3">
      <c r="D17" s="7"/>
      <c r="H17" s="7"/>
    </row>
    <row r="19" spans="1:8" ht="18.75" x14ac:dyDescent="0.3">
      <c r="C19" t="s">
        <v>4</v>
      </c>
      <c r="D19" s="4">
        <f>D3-D13</f>
        <v>54420</v>
      </c>
      <c r="G19" t="s">
        <v>5</v>
      </c>
      <c r="H19" s="4">
        <f>H3-H13</f>
        <v>8689</v>
      </c>
    </row>
    <row r="22" spans="1:8" ht="15.75" x14ac:dyDescent="0.25">
      <c r="A22" t="s">
        <v>6</v>
      </c>
      <c r="C22" s="8">
        <f>D19</f>
        <v>54420</v>
      </c>
      <c r="E22" t="s">
        <v>10</v>
      </c>
      <c r="H22" s="6">
        <f>C31</f>
        <v>45112.2</v>
      </c>
    </row>
    <row r="24" spans="1:8" ht="15.75" x14ac:dyDescent="0.25">
      <c r="A24" t="s">
        <v>5</v>
      </c>
      <c r="B24" s="9" t="s">
        <v>7</v>
      </c>
      <c r="C24" s="8">
        <f>H19</f>
        <v>8689</v>
      </c>
      <c r="E24" s="13" t="s">
        <v>11</v>
      </c>
      <c r="F24" s="9" t="s">
        <v>12</v>
      </c>
      <c r="G24" s="15" t="s">
        <v>17</v>
      </c>
      <c r="H24" s="3">
        <v>-910</v>
      </c>
    </row>
    <row r="25" spans="1:8" x14ac:dyDescent="0.25">
      <c r="F25" s="21">
        <v>130000</v>
      </c>
    </row>
    <row r="26" spans="1:8" ht="16.5" thickBot="1" x14ac:dyDescent="0.3">
      <c r="A26" t="s">
        <v>8</v>
      </c>
      <c r="B26" s="9" t="s">
        <v>7</v>
      </c>
      <c r="C26" s="8">
        <f>D3*0.004</f>
        <v>618.80000000000007</v>
      </c>
      <c r="F26" s="9" t="s">
        <v>13</v>
      </c>
      <c r="G26" s="16">
        <v>0.35</v>
      </c>
      <c r="H26" s="17">
        <v>-15790</v>
      </c>
    </row>
    <row r="27" spans="1:8" x14ac:dyDescent="0.25">
      <c r="F27" s="21">
        <v>45112</v>
      </c>
    </row>
    <row r="28" spans="1:8" ht="15.75" x14ac:dyDescent="0.25">
      <c r="A28" t="s">
        <v>9</v>
      </c>
      <c r="B28" s="9" t="s">
        <v>7</v>
      </c>
      <c r="C28" s="10"/>
      <c r="G28" s="13" t="s">
        <v>14</v>
      </c>
      <c r="H28" s="6">
        <f>H22+H24+H26</f>
        <v>28412.199999999997</v>
      </c>
    </row>
    <row r="29" spans="1:8" ht="15.75" thickBot="1" x14ac:dyDescent="0.3">
      <c r="A29" s="14"/>
      <c r="C29" s="7"/>
    </row>
    <row r="30" spans="1:8" x14ac:dyDescent="0.25">
      <c r="E30" t="s">
        <v>37</v>
      </c>
      <c r="H30" s="20">
        <f>H28*0.5</f>
        <v>14206.099999999999</v>
      </c>
    </row>
    <row r="31" spans="1:8" ht="15.75" x14ac:dyDescent="0.25">
      <c r="A31" t="s">
        <v>10</v>
      </c>
      <c r="C31" s="10">
        <f>C22-C24-C26-C28</f>
        <v>45112.2</v>
      </c>
      <c r="H31" s="18"/>
    </row>
    <row r="32" spans="1:8" x14ac:dyDescent="0.25">
      <c r="H32" s="3"/>
    </row>
    <row r="33" spans="8:8" x14ac:dyDescent="0.25">
      <c r="H33" s="18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8F462-C19D-4C67-820C-61F5BF4DDFCE}">
  <dimension ref="A1:H36"/>
  <sheetViews>
    <sheetView topLeftCell="A19" workbookViewId="0">
      <selection activeCell="J29" sqref="J29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3.28515625" bestFit="1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40</v>
      </c>
    </row>
    <row r="3" spans="1:8" ht="21" x14ac:dyDescent="0.35">
      <c r="A3" s="2" t="s">
        <v>1</v>
      </c>
      <c r="D3" s="11">
        <v>2828901</v>
      </c>
      <c r="F3" s="12" t="s">
        <v>3</v>
      </c>
      <c r="H3" s="11">
        <v>451677</v>
      </c>
    </row>
    <row r="4" spans="1:8" x14ac:dyDescent="0.25">
      <c r="A4" s="13" t="s">
        <v>32</v>
      </c>
      <c r="C4" s="26">
        <v>246</v>
      </c>
    </row>
    <row r="5" spans="1:8" ht="21" x14ac:dyDescent="0.35">
      <c r="A5" s="2" t="s">
        <v>2</v>
      </c>
    </row>
    <row r="7" spans="1:8" ht="18.75" x14ac:dyDescent="0.3">
      <c r="A7" s="5" t="s">
        <v>64</v>
      </c>
      <c r="C7" s="3"/>
      <c r="D7" s="4">
        <v>426526</v>
      </c>
      <c r="E7" s="25" t="s">
        <v>34</v>
      </c>
      <c r="H7" s="4">
        <v>68101</v>
      </c>
    </row>
    <row r="8" spans="1:8" ht="18.75" x14ac:dyDescent="0.3">
      <c r="A8" s="5" t="s">
        <v>65</v>
      </c>
      <c r="B8" s="5"/>
      <c r="C8" s="5"/>
      <c r="D8" s="4">
        <v>16793</v>
      </c>
      <c r="E8" s="25" t="s">
        <v>34</v>
      </c>
      <c r="H8" s="4">
        <v>2681</v>
      </c>
    </row>
    <row r="9" spans="1:8" ht="18.75" x14ac:dyDescent="0.3">
      <c r="A9" s="5" t="s">
        <v>66</v>
      </c>
      <c r="B9" s="5"/>
      <c r="C9" s="4"/>
      <c r="D9" s="4">
        <v>29121</v>
      </c>
      <c r="E9" s="25" t="s">
        <v>34</v>
      </c>
      <c r="H9" s="4">
        <v>4650</v>
      </c>
    </row>
    <row r="10" spans="1:8" ht="18.75" x14ac:dyDescent="0.3">
      <c r="A10" s="5" t="s">
        <v>67</v>
      </c>
      <c r="B10" s="5"/>
      <c r="C10" s="5"/>
      <c r="D10" s="4">
        <v>89250</v>
      </c>
      <c r="E10" s="25" t="s">
        <v>34</v>
      </c>
      <c r="H10" s="4">
        <v>14250</v>
      </c>
    </row>
    <row r="11" spans="1:8" ht="18.75" x14ac:dyDescent="0.3">
      <c r="A11" s="5" t="s">
        <v>68</v>
      </c>
      <c r="B11" s="5"/>
      <c r="C11" s="5"/>
      <c r="D11" s="4">
        <v>323323</v>
      </c>
      <c r="E11" s="25" t="s">
        <v>34</v>
      </c>
      <c r="H11" s="4">
        <v>51623</v>
      </c>
    </row>
    <row r="12" spans="1:8" ht="18.75" x14ac:dyDescent="0.3">
      <c r="A12" s="5" t="s">
        <v>69</v>
      </c>
      <c r="B12" s="5"/>
      <c r="C12" s="5"/>
      <c r="D12" s="4">
        <v>95200</v>
      </c>
      <c r="E12" s="25" t="s">
        <v>34</v>
      </c>
      <c r="H12" s="4">
        <v>15200</v>
      </c>
    </row>
    <row r="13" spans="1:8" ht="18.75" x14ac:dyDescent="0.3">
      <c r="A13" s="5" t="s">
        <v>70</v>
      </c>
      <c r="B13" s="5"/>
      <c r="C13" s="5"/>
      <c r="D13" s="4">
        <v>426526</v>
      </c>
      <c r="E13" s="25" t="s">
        <v>34</v>
      </c>
      <c r="H13" s="4">
        <v>68101</v>
      </c>
    </row>
    <row r="14" spans="1:8" ht="18.75" x14ac:dyDescent="0.3">
      <c r="A14" s="5" t="s">
        <v>71</v>
      </c>
      <c r="B14" s="5"/>
      <c r="C14" s="5"/>
      <c r="D14" s="4">
        <v>18202</v>
      </c>
      <c r="E14" s="25" t="s">
        <v>34</v>
      </c>
      <c r="H14" s="4">
        <v>2906</v>
      </c>
    </row>
    <row r="15" spans="1:8" ht="18.75" x14ac:dyDescent="0.3">
      <c r="A15" s="5" t="s">
        <v>42</v>
      </c>
      <c r="D15" s="4">
        <v>20000</v>
      </c>
      <c r="E15" s="25" t="s">
        <v>34</v>
      </c>
      <c r="H15" s="27">
        <v>0</v>
      </c>
    </row>
    <row r="16" spans="1:8" ht="18.75" customHeight="1" x14ac:dyDescent="0.3">
      <c r="A16" s="5" t="s">
        <v>72</v>
      </c>
      <c r="B16" s="5"/>
      <c r="C16" s="5"/>
      <c r="D16" s="5">
        <v>161000</v>
      </c>
      <c r="E16" s="25" t="s">
        <v>34</v>
      </c>
      <c r="F16" s="5"/>
      <c r="G16" s="5"/>
      <c r="H16" s="4">
        <v>0</v>
      </c>
    </row>
    <row r="17" spans="1:8" ht="19.5" thickBot="1" x14ac:dyDescent="0.35">
      <c r="A17" s="5" t="s">
        <v>73</v>
      </c>
      <c r="B17" s="5"/>
      <c r="C17" s="4"/>
      <c r="D17" s="22">
        <v>145000</v>
      </c>
      <c r="E17" s="25" t="s">
        <v>34</v>
      </c>
      <c r="F17" s="5"/>
      <c r="G17" s="5"/>
      <c r="H17" s="22">
        <v>0</v>
      </c>
    </row>
    <row r="18" spans="1:8" ht="18.75" x14ac:dyDescent="0.3">
      <c r="D18" s="4">
        <f>SUM(D7:D17)</f>
        <v>1750941</v>
      </c>
      <c r="H18" s="4">
        <f>SUM(H7:H17)</f>
        <v>227512</v>
      </c>
    </row>
    <row r="19" spans="1:8" ht="18.75" x14ac:dyDescent="0.3">
      <c r="A19" s="5"/>
      <c r="C19" s="3"/>
      <c r="D19" s="4"/>
      <c r="F19" t="s">
        <v>35</v>
      </c>
      <c r="H19" s="4"/>
    </row>
    <row r="20" spans="1:8" ht="15.75" thickBot="1" x14ac:dyDescent="0.3">
      <c r="D20" s="7"/>
      <c r="H20" s="7"/>
    </row>
    <row r="22" spans="1:8" ht="18.75" x14ac:dyDescent="0.3">
      <c r="C22" t="s">
        <v>4</v>
      </c>
      <c r="D22" s="4">
        <f>D3-D18</f>
        <v>1077960</v>
      </c>
      <c r="G22" t="s">
        <v>5</v>
      </c>
      <c r="H22" s="4">
        <f>H3-H18</f>
        <v>224165</v>
      </c>
    </row>
    <row r="25" spans="1:8" ht="15.75" x14ac:dyDescent="0.25">
      <c r="A25" t="s">
        <v>6</v>
      </c>
      <c r="C25" s="8">
        <f>D22</f>
        <v>1077960</v>
      </c>
      <c r="E25" t="s">
        <v>10</v>
      </c>
      <c r="H25" s="6">
        <f>C34</f>
        <v>842479.39599999995</v>
      </c>
    </row>
    <row r="27" spans="1:8" ht="15.75" x14ac:dyDescent="0.25">
      <c r="A27" t="s">
        <v>5</v>
      </c>
      <c r="B27" s="9" t="s">
        <v>7</v>
      </c>
      <c r="C27" s="8">
        <f>H22</f>
        <v>224165</v>
      </c>
      <c r="E27" s="13" t="s">
        <v>11</v>
      </c>
      <c r="F27" s="9" t="s">
        <v>12</v>
      </c>
      <c r="G27" s="15" t="s">
        <v>17</v>
      </c>
      <c r="H27" s="3">
        <v>-16641</v>
      </c>
    </row>
    <row r="28" spans="1:8" x14ac:dyDescent="0.25">
      <c r="F28" s="21">
        <v>2377250</v>
      </c>
    </row>
    <row r="29" spans="1:8" ht="16.5" thickBot="1" x14ac:dyDescent="0.3">
      <c r="A29" t="s">
        <v>8</v>
      </c>
      <c r="B29" s="9" t="s">
        <v>7</v>
      </c>
      <c r="C29" s="8">
        <f>D3*0.004</f>
        <v>11315.603999999999</v>
      </c>
      <c r="F29" s="9" t="s">
        <v>13</v>
      </c>
      <c r="G29" s="16">
        <v>0.35</v>
      </c>
      <c r="H29" s="17">
        <v>-294868</v>
      </c>
    </row>
    <row r="30" spans="1:8" x14ac:dyDescent="0.25">
      <c r="F30" s="21">
        <v>842479</v>
      </c>
    </row>
    <row r="31" spans="1:8" ht="15.75" x14ac:dyDescent="0.25">
      <c r="A31" t="s">
        <v>9</v>
      </c>
      <c r="B31" s="9" t="s">
        <v>7</v>
      </c>
      <c r="C31" s="10"/>
      <c r="G31" s="13" t="s">
        <v>14</v>
      </c>
      <c r="H31" s="6">
        <f>H25+H27+H29</f>
        <v>530970.39599999995</v>
      </c>
    </row>
    <row r="32" spans="1:8" ht="15.75" thickBot="1" x14ac:dyDescent="0.3">
      <c r="A32" s="14"/>
      <c r="C32" s="7"/>
    </row>
    <row r="33" spans="1:8" x14ac:dyDescent="0.25">
      <c r="E33" t="s">
        <v>37</v>
      </c>
      <c r="H33" s="20">
        <f>H31*0.5</f>
        <v>265485.19799999997</v>
      </c>
    </row>
    <row r="34" spans="1:8" ht="15.75" x14ac:dyDescent="0.25">
      <c r="A34" t="s">
        <v>10</v>
      </c>
      <c r="C34" s="10">
        <f>C25-C27-C29-C31</f>
        <v>842479.39599999995</v>
      </c>
      <c r="H34" s="18"/>
    </row>
    <row r="35" spans="1:8" x14ac:dyDescent="0.25">
      <c r="H35" s="3"/>
    </row>
    <row r="36" spans="1:8" x14ac:dyDescent="0.25">
      <c r="H36" s="1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D2D1F-1FCE-4DDF-ABDC-11D6DB6D0D7F}">
  <dimension ref="A1:H33"/>
  <sheetViews>
    <sheetView topLeftCell="A19" workbookViewId="0">
      <selection activeCell="H27" sqref="H27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3.28515625" bestFit="1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41</v>
      </c>
    </row>
    <row r="3" spans="1:8" ht="21" x14ac:dyDescent="0.35">
      <c r="A3" s="2" t="s">
        <v>1</v>
      </c>
      <c r="D3" s="11">
        <v>311304</v>
      </c>
      <c r="F3" s="12" t="s">
        <v>3</v>
      </c>
      <c r="H3" s="11">
        <v>49704</v>
      </c>
    </row>
    <row r="4" spans="1:8" x14ac:dyDescent="0.25">
      <c r="A4" s="13" t="s">
        <v>32</v>
      </c>
      <c r="C4" s="26">
        <v>247</v>
      </c>
    </row>
    <row r="5" spans="1:8" ht="21" x14ac:dyDescent="0.35">
      <c r="A5" s="2" t="s">
        <v>2</v>
      </c>
    </row>
    <row r="7" spans="1:8" ht="18.75" x14ac:dyDescent="0.3">
      <c r="A7" s="5" t="s">
        <v>74</v>
      </c>
      <c r="C7" s="3"/>
      <c r="D7" s="4">
        <v>116000</v>
      </c>
      <c r="E7" s="25" t="s">
        <v>34</v>
      </c>
      <c r="H7" s="4">
        <v>0</v>
      </c>
    </row>
    <row r="8" spans="1:8" ht="18.75" x14ac:dyDescent="0.3">
      <c r="A8" s="5"/>
      <c r="D8" s="4"/>
      <c r="H8" s="4"/>
    </row>
    <row r="9" spans="1:8" ht="18.75" x14ac:dyDescent="0.3">
      <c r="A9" s="5" t="s">
        <v>43</v>
      </c>
      <c r="C9" s="3"/>
      <c r="D9" s="4">
        <v>30000</v>
      </c>
      <c r="H9" s="4">
        <v>0</v>
      </c>
    </row>
    <row r="10" spans="1:8" ht="18.75" x14ac:dyDescent="0.3">
      <c r="A10" s="5"/>
      <c r="D10" s="4"/>
      <c r="H10" s="4"/>
    </row>
    <row r="11" spans="1:8" ht="18.75" x14ac:dyDescent="0.3">
      <c r="A11" s="5"/>
      <c r="D11" s="4"/>
      <c r="H11" s="4"/>
    </row>
    <row r="12" spans="1:8" ht="19.5" thickBot="1" x14ac:dyDescent="0.35">
      <c r="A12" s="5"/>
      <c r="C12" s="3"/>
      <c r="D12" s="22"/>
      <c r="H12" s="22"/>
    </row>
    <row r="13" spans="1:8" ht="18.75" customHeight="1" x14ac:dyDescent="0.3">
      <c r="D13" s="4">
        <f>SUM(D7:D12)</f>
        <v>146000</v>
      </c>
      <c r="H13" s="4">
        <f>SUM(H7:H12)</f>
        <v>0</v>
      </c>
    </row>
    <row r="14" spans="1:8" ht="18.75" x14ac:dyDescent="0.3">
      <c r="A14" s="5"/>
      <c r="C14" s="3"/>
      <c r="D14" s="4"/>
      <c r="H14" s="4"/>
    </row>
    <row r="16" spans="1:8" ht="18.75" x14ac:dyDescent="0.3">
      <c r="A16" s="5"/>
      <c r="C16" s="3"/>
      <c r="D16" s="4"/>
      <c r="H16" s="4"/>
    </row>
    <row r="17" spans="1:8" ht="15.75" thickBot="1" x14ac:dyDescent="0.3">
      <c r="D17" s="7"/>
      <c r="H17" s="7"/>
    </row>
    <row r="19" spans="1:8" ht="18.75" x14ac:dyDescent="0.3">
      <c r="C19" t="s">
        <v>4</v>
      </c>
      <c r="D19" s="4">
        <f>D3-D13</f>
        <v>165304</v>
      </c>
      <c r="G19" t="s">
        <v>5</v>
      </c>
      <c r="H19" s="4">
        <f>H3-H13</f>
        <v>49704</v>
      </c>
    </row>
    <row r="22" spans="1:8" ht="15.75" x14ac:dyDescent="0.25">
      <c r="A22" t="s">
        <v>6</v>
      </c>
      <c r="C22" s="8">
        <f>D19</f>
        <v>165304</v>
      </c>
      <c r="E22" t="s">
        <v>10</v>
      </c>
      <c r="H22" s="6">
        <f>C31</f>
        <v>114354.784</v>
      </c>
    </row>
    <row r="24" spans="1:8" ht="15.75" x14ac:dyDescent="0.25">
      <c r="A24" t="s">
        <v>5</v>
      </c>
      <c r="B24" s="9" t="s">
        <v>7</v>
      </c>
      <c r="C24" s="8">
        <f>H19</f>
        <v>49704</v>
      </c>
      <c r="E24" s="13" t="s">
        <v>11</v>
      </c>
      <c r="F24" s="9" t="s">
        <v>12</v>
      </c>
      <c r="G24" s="15" t="s">
        <v>17</v>
      </c>
      <c r="H24" s="3">
        <v>-1831</v>
      </c>
    </row>
    <row r="25" spans="1:8" x14ac:dyDescent="0.25">
      <c r="F25" s="21">
        <v>261600</v>
      </c>
    </row>
    <row r="26" spans="1:8" ht="16.5" thickBot="1" x14ac:dyDescent="0.3">
      <c r="A26" t="s">
        <v>8</v>
      </c>
      <c r="B26" s="9" t="s">
        <v>7</v>
      </c>
      <c r="C26" s="8">
        <f>D3*0.004</f>
        <v>1245.2160000000001</v>
      </c>
      <c r="F26" s="9" t="s">
        <v>13</v>
      </c>
      <c r="G26" s="16">
        <v>0.35</v>
      </c>
      <c r="H26" s="17">
        <v>-40024</v>
      </c>
    </row>
    <row r="27" spans="1:8" x14ac:dyDescent="0.25">
      <c r="F27" s="21">
        <v>114355</v>
      </c>
    </row>
    <row r="28" spans="1:8" ht="15.75" x14ac:dyDescent="0.25">
      <c r="A28" t="s">
        <v>9</v>
      </c>
      <c r="B28" s="9" t="s">
        <v>7</v>
      </c>
      <c r="C28" s="10"/>
      <c r="G28" s="13" t="s">
        <v>14</v>
      </c>
      <c r="H28" s="6">
        <f>H22+H24+H26</f>
        <v>72499.784</v>
      </c>
    </row>
    <row r="29" spans="1:8" ht="15.75" thickBot="1" x14ac:dyDescent="0.3">
      <c r="A29" s="14"/>
      <c r="C29" s="7"/>
    </row>
    <row r="30" spans="1:8" x14ac:dyDescent="0.25">
      <c r="E30" t="s">
        <v>37</v>
      </c>
      <c r="H30" s="20">
        <f>H28*0.5</f>
        <v>36249.892</v>
      </c>
    </row>
    <row r="31" spans="1:8" ht="15.75" x14ac:dyDescent="0.25">
      <c r="A31" t="s">
        <v>10</v>
      </c>
      <c r="C31" s="10">
        <f>C22-C24-C26-C28</f>
        <v>114354.784</v>
      </c>
      <c r="H31" s="18"/>
    </row>
    <row r="32" spans="1:8" x14ac:dyDescent="0.25">
      <c r="H32" s="3"/>
    </row>
    <row r="33" spans="8:8" x14ac:dyDescent="0.25">
      <c r="H33" s="18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488F5-47B7-4EDA-B1EF-DF1151C75ECF}">
  <dimension ref="A1:H33"/>
  <sheetViews>
    <sheetView topLeftCell="A16" workbookViewId="0">
      <selection activeCell="H27" sqref="H27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3.28515625" bestFit="1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44</v>
      </c>
    </row>
    <row r="3" spans="1:8" ht="21" x14ac:dyDescent="0.35">
      <c r="A3" s="2" t="s">
        <v>1</v>
      </c>
      <c r="D3" s="11">
        <v>71400</v>
      </c>
      <c r="F3" s="12" t="s">
        <v>3</v>
      </c>
      <c r="H3" s="11">
        <v>11400</v>
      </c>
    </row>
    <row r="4" spans="1:8" x14ac:dyDescent="0.25">
      <c r="A4" s="13" t="s">
        <v>32</v>
      </c>
      <c r="C4" s="26">
        <v>248</v>
      </c>
    </row>
    <row r="5" spans="1:8" ht="21" x14ac:dyDescent="0.35">
      <c r="A5" s="2" t="s">
        <v>2</v>
      </c>
    </row>
    <row r="7" spans="1:8" ht="18.75" x14ac:dyDescent="0.3">
      <c r="A7" s="5" t="s">
        <v>21</v>
      </c>
      <c r="C7" s="3"/>
      <c r="D7" s="4">
        <v>50360</v>
      </c>
      <c r="E7" s="25" t="s">
        <v>34</v>
      </c>
      <c r="H7" s="4">
        <v>8041</v>
      </c>
    </row>
    <row r="8" spans="1:8" ht="18.75" x14ac:dyDescent="0.3">
      <c r="A8" s="5"/>
      <c r="D8" s="4"/>
      <c r="H8" s="4"/>
    </row>
    <row r="9" spans="1:8" ht="18.75" x14ac:dyDescent="0.3">
      <c r="A9" s="5"/>
      <c r="C9" s="3"/>
      <c r="D9" s="4"/>
      <c r="H9" s="4"/>
    </row>
    <row r="10" spans="1:8" ht="18.75" x14ac:dyDescent="0.3">
      <c r="A10" s="5"/>
      <c r="D10" s="4"/>
      <c r="H10" s="4"/>
    </row>
    <row r="11" spans="1:8" ht="18.75" x14ac:dyDescent="0.3">
      <c r="A11" s="5"/>
      <c r="D11" s="4"/>
      <c r="H11" s="4"/>
    </row>
    <row r="12" spans="1:8" ht="19.5" thickBot="1" x14ac:dyDescent="0.35">
      <c r="A12" s="5"/>
      <c r="C12" s="3"/>
      <c r="D12" s="22"/>
      <c r="H12" s="22"/>
    </row>
    <row r="13" spans="1:8" ht="18.75" customHeight="1" x14ac:dyDescent="0.3">
      <c r="D13" s="4">
        <f>SUM(D7:D12)</f>
        <v>50360</v>
      </c>
      <c r="H13" s="4">
        <f>SUM(H7:H12)</f>
        <v>8041</v>
      </c>
    </row>
    <row r="14" spans="1:8" ht="18.75" x14ac:dyDescent="0.3">
      <c r="A14" s="5"/>
      <c r="C14" s="3"/>
      <c r="D14" s="4"/>
      <c r="H14" s="4"/>
    </row>
    <row r="16" spans="1:8" ht="18.75" x14ac:dyDescent="0.3">
      <c r="A16" s="5"/>
      <c r="C16" s="3"/>
      <c r="D16" s="4"/>
      <c r="H16" s="4"/>
    </row>
    <row r="17" spans="1:8" ht="15.75" thickBot="1" x14ac:dyDescent="0.3">
      <c r="D17" s="7"/>
      <c r="H17" s="7"/>
    </row>
    <row r="19" spans="1:8" ht="18.75" x14ac:dyDescent="0.3">
      <c r="C19" t="s">
        <v>4</v>
      </c>
      <c r="D19" s="4">
        <f>D3-D13</f>
        <v>21040</v>
      </c>
      <c r="G19" t="s">
        <v>5</v>
      </c>
      <c r="H19" s="4">
        <f>H3-H13</f>
        <v>3359</v>
      </c>
    </row>
    <row r="22" spans="1:8" ht="15.75" x14ac:dyDescent="0.25">
      <c r="A22" t="s">
        <v>6</v>
      </c>
      <c r="C22" s="8">
        <f>D19</f>
        <v>21040</v>
      </c>
      <c r="E22" t="s">
        <v>10</v>
      </c>
      <c r="H22" s="6">
        <f>C31</f>
        <v>17395.400000000001</v>
      </c>
    </row>
    <row r="24" spans="1:8" ht="15.75" x14ac:dyDescent="0.25">
      <c r="A24" t="s">
        <v>5</v>
      </c>
      <c r="B24" s="9" t="s">
        <v>7</v>
      </c>
      <c r="C24" s="8">
        <f>H19</f>
        <v>3359</v>
      </c>
      <c r="E24" s="13" t="s">
        <v>11</v>
      </c>
      <c r="F24" s="9" t="s">
        <v>12</v>
      </c>
      <c r="G24" s="15" t="s">
        <v>17</v>
      </c>
      <c r="H24" s="3">
        <v>-420</v>
      </c>
    </row>
    <row r="25" spans="1:8" x14ac:dyDescent="0.25">
      <c r="F25" s="21">
        <v>60000</v>
      </c>
    </row>
    <row r="26" spans="1:8" ht="16.5" thickBot="1" x14ac:dyDescent="0.3">
      <c r="A26" t="s">
        <v>8</v>
      </c>
      <c r="B26" s="9" t="s">
        <v>7</v>
      </c>
      <c r="C26" s="8">
        <f>D3*0.004</f>
        <v>285.60000000000002</v>
      </c>
      <c r="F26" s="9" t="s">
        <v>13</v>
      </c>
      <c r="G26" s="16">
        <v>0.35</v>
      </c>
      <c r="H26" s="17">
        <v>-6090</v>
      </c>
    </row>
    <row r="27" spans="1:8" x14ac:dyDescent="0.25">
      <c r="F27" s="21">
        <v>17395</v>
      </c>
    </row>
    <row r="28" spans="1:8" ht="15.75" x14ac:dyDescent="0.25">
      <c r="A28" t="s">
        <v>9</v>
      </c>
      <c r="B28" s="9" t="s">
        <v>7</v>
      </c>
      <c r="C28" s="10"/>
      <c r="G28" s="13" t="s">
        <v>14</v>
      </c>
      <c r="H28" s="6">
        <f>H22+H24+H26</f>
        <v>10885.400000000001</v>
      </c>
    </row>
    <row r="29" spans="1:8" ht="15.75" thickBot="1" x14ac:dyDescent="0.3">
      <c r="A29" s="14"/>
      <c r="C29" s="7"/>
    </row>
    <row r="30" spans="1:8" x14ac:dyDescent="0.25">
      <c r="E30" t="s">
        <v>37</v>
      </c>
      <c r="H30" s="20">
        <f>H28*0.5</f>
        <v>5442.7000000000007</v>
      </c>
    </row>
    <row r="31" spans="1:8" ht="15.75" x14ac:dyDescent="0.25">
      <c r="A31" t="s">
        <v>10</v>
      </c>
      <c r="C31" s="10">
        <f>C22-C24-C26-C28</f>
        <v>17395.400000000001</v>
      </c>
      <c r="H31" s="18"/>
    </row>
    <row r="32" spans="1:8" x14ac:dyDescent="0.25">
      <c r="H32" s="3"/>
    </row>
    <row r="33" spans="8:8" x14ac:dyDescent="0.25">
      <c r="H33" s="18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B4821-D0B0-4437-9E3C-720DE061FE65}">
  <dimension ref="A1:H33"/>
  <sheetViews>
    <sheetView topLeftCell="A19"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3.28515625" bestFit="1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76</v>
      </c>
    </row>
    <row r="3" spans="1:8" ht="21" x14ac:dyDescent="0.35">
      <c r="A3" s="2" t="s">
        <v>1</v>
      </c>
      <c r="D3" s="11">
        <v>1808800</v>
      </c>
      <c r="F3" s="12" t="s">
        <v>3</v>
      </c>
      <c r="H3" s="11">
        <v>288800</v>
      </c>
    </row>
    <row r="4" spans="1:8" x14ac:dyDescent="0.25">
      <c r="A4" s="13" t="s">
        <v>32</v>
      </c>
      <c r="C4" s="26">
        <v>251</v>
      </c>
    </row>
    <row r="5" spans="1:8" ht="21" x14ac:dyDescent="0.35">
      <c r="A5" s="2" t="s">
        <v>2</v>
      </c>
    </row>
    <row r="7" spans="1:8" ht="18.75" x14ac:dyDescent="0.3">
      <c r="A7" s="5" t="s">
        <v>77</v>
      </c>
      <c r="D7" s="4">
        <v>619039</v>
      </c>
      <c r="E7" s="25" t="s">
        <v>34</v>
      </c>
      <c r="H7" s="4">
        <v>98838</v>
      </c>
    </row>
    <row r="8" spans="1:8" ht="18.75" x14ac:dyDescent="0.3">
      <c r="A8" s="5" t="s">
        <v>78</v>
      </c>
      <c r="D8" s="4">
        <v>138040</v>
      </c>
      <c r="E8" s="25" t="s">
        <v>34</v>
      </c>
      <c r="H8" s="4">
        <v>22040</v>
      </c>
    </row>
    <row r="9" spans="1:8" ht="18.75" x14ac:dyDescent="0.3">
      <c r="A9" s="5" t="s">
        <v>79</v>
      </c>
      <c r="C9" s="3"/>
      <c r="D9" s="4">
        <v>333200</v>
      </c>
      <c r="E9" s="25" t="s">
        <v>34</v>
      </c>
      <c r="H9" s="4">
        <v>53200</v>
      </c>
    </row>
    <row r="10" spans="1:8" ht="18.75" x14ac:dyDescent="0.3">
      <c r="A10" s="5"/>
      <c r="D10" s="4"/>
      <c r="H10" s="4"/>
    </row>
    <row r="11" spans="1:8" ht="18.75" x14ac:dyDescent="0.3">
      <c r="A11" s="5"/>
      <c r="D11" s="4"/>
      <c r="H11" s="4"/>
    </row>
    <row r="12" spans="1:8" ht="19.5" thickBot="1" x14ac:dyDescent="0.35">
      <c r="A12" s="5"/>
      <c r="C12" s="3"/>
      <c r="D12" s="22"/>
      <c r="H12" s="22"/>
    </row>
    <row r="13" spans="1:8" ht="18.75" customHeight="1" x14ac:dyDescent="0.3">
      <c r="D13" s="4">
        <f>SUM(D7:D12)</f>
        <v>1090279</v>
      </c>
      <c r="H13" s="4">
        <f>SUM(H7:H12)</f>
        <v>174078</v>
      </c>
    </row>
    <row r="14" spans="1:8" ht="18.75" x14ac:dyDescent="0.3">
      <c r="A14" s="5"/>
      <c r="C14" s="3"/>
      <c r="D14" s="4"/>
      <c r="H14" s="4"/>
    </row>
    <row r="16" spans="1:8" ht="18.75" x14ac:dyDescent="0.3">
      <c r="A16" s="5"/>
      <c r="C16" s="3"/>
      <c r="D16" s="4"/>
      <c r="H16" s="4"/>
    </row>
    <row r="17" spans="1:8" ht="15.75" thickBot="1" x14ac:dyDescent="0.3">
      <c r="D17" s="7"/>
      <c r="H17" s="7"/>
    </row>
    <row r="19" spans="1:8" ht="18.75" x14ac:dyDescent="0.3">
      <c r="C19" t="s">
        <v>4</v>
      </c>
      <c r="D19" s="4">
        <f>D3-D13</f>
        <v>718521</v>
      </c>
      <c r="G19" t="s">
        <v>5</v>
      </c>
      <c r="H19" s="4">
        <f>H3-H13</f>
        <v>114722</v>
      </c>
    </row>
    <row r="22" spans="1:8" ht="15.75" x14ac:dyDescent="0.25">
      <c r="A22" t="s">
        <v>6</v>
      </c>
      <c r="C22" s="8">
        <f>D19</f>
        <v>718521</v>
      </c>
      <c r="E22" t="s">
        <v>10</v>
      </c>
      <c r="H22" s="6">
        <f>C31</f>
        <v>596563.80000000005</v>
      </c>
    </row>
    <row r="24" spans="1:8" ht="15.75" x14ac:dyDescent="0.25">
      <c r="A24" t="s">
        <v>5</v>
      </c>
      <c r="B24" s="9" t="s">
        <v>7</v>
      </c>
      <c r="C24" s="8">
        <f>H19</f>
        <v>114722</v>
      </c>
      <c r="E24" s="13" t="s">
        <v>11</v>
      </c>
      <c r="F24" s="9" t="s">
        <v>12</v>
      </c>
      <c r="G24" s="15" t="s">
        <v>17</v>
      </c>
      <c r="H24" s="3">
        <v>-10640</v>
      </c>
    </row>
    <row r="25" spans="1:8" x14ac:dyDescent="0.25">
      <c r="F25" s="21">
        <v>1520000</v>
      </c>
    </row>
    <row r="26" spans="1:8" ht="16.5" thickBot="1" x14ac:dyDescent="0.3">
      <c r="A26" t="s">
        <v>8</v>
      </c>
      <c r="B26" s="9" t="s">
        <v>7</v>
      </c>
      <c r="C26" s="8">
        <f>D3*0.004</f>
        <v>7235.2</v>
      </c>
      <c r="F26" s="9" t="s">
        <v>13</v>
      </c>
      <c r="G26" s="16">
        <v>0.35</v>
      </c>
      <c r="H26" s="17">
        <v>-208797</v>
      </c>
    </row>
    <row r="27" spans="1:8" x14ac:dyDescent="0.25">
      <c r="F27" s="21">
        <v>596564</v>
      </c>
    </row>
    <row r="28" spans="1:8" ht="15.75" x14ac:dyDescent="0.25">
      <c r="A28" t="s">
        <v>9</v>
      </c>
      <c r="B28" s="9" t="s">
        <v>7</v>
      </c>
      <c r="C28" s="10"/>
      <c r="G28" s="13" t="s">
        <v>14</v>
      </c>
      <c r="H28" s="6">
        <f>H22+H24+H26</f>
        <v>377126.80000000005</v>
      </c>
    </row>
    <row r="29" spans="1:8" ht="15.75" thickBot="1" x14ac:dyDescent="0.3">
      <c r="A29" s="14"/>
      <c r="C29" s="7"/>
    </row>
    <row r="30" spans="1:8" x14ac:dyDescent="0.25">
      <c r="E30" t="s">
        <v>80</v>
      </c>
      <c r="H30" s="20">
        <f>H28*0.5</f>
        <v>188563.40000000002</v>
      </c>
    </row>
    <row r="31" spans="1:8" ht="15.75" x14ac:dyDescent="0.25">
      <c r="A31" t="s">
        <v>10</v>
      </c>
      <c r="C31" s="10">
        <f>C22-C24-C26-C28</f>
        <v>596563.80000000005</v>
      </c>
      <c r="H31" s="18"/>
    </row>
    <row r="32" spans="1:8" x14ac:dyDescent="0.25">
      <c r="H32" s="3"/>
    </row>
    <row r="33" spans="8:8" x14ac:dyDescent="0.25">
      <c r="H33" s="18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493B3-38B6-4209-B832-E201E3882794}">
  <dimension ref="A1:H33"/>
  <sheetViews>
    <sheetView topLeftCell="A16" workbookViewId="0">
      <selection activeCell="C17" sqref="C17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3.28515625" bestFit="1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76</v>
      </c>
    </row>
    <row r="3" spans="1:8" ht="21" x14ac:dyDescent="0.35">
      <c r="A3" s="2" t="s">
        <v>1</v>
      </c>
      <c r="D3" s="11">
        <v>1808800</v>
      </c>
      <c r="F3" s="12" t="s">
        <v>3</v>
      </c>
      <c r="H3" s="11">
        <v>288800</v>
      </c>
    </row>
    <row r="4" spans="1:8" x14ac:dyDescent="0.25">
      <c r="A4" s="13" t="s">
        <v>32</v>
      </c>
      <c r="C4" s="26">
        <v>252</v>
      </c>
    </row>
    <row r="5" spans="1:8" ht="21" x14ac:dyDescent="0.35">
      <c r="A5" s="2" t="s">
        <v>2</v>
      </c>
    </row>
    <row r="7" spans="1:8" ht="18.75" x14ac:dyDescent="0.3">
      <c r="A7" s="5" t="s">
        <v>77</v>
      </c>
      <c r="D7" s="4">
        <v>619039</v>
      </c>
      <c r="E7" s="25" t="s">
        <v>34</v>
      </c>
      <c r="H7" s="4">
        <v>98838</v>
      </c>
    </row>
    <row r="8" spans="1:8" ht="18.75" x14ac:dyDescent="0.3">
      <c r="A8" s="5" t="s">
        <v>78</v>
      </c>
      <c r="D8" s="4">
        <v>138040</v>
      </c>
      <c r="E8" s="25" t="s">
        <v>34</v>
      </c>
      <c r="H8" s="4">
        <v>22040</v>
      </c>
    </row>
    <row r="9" spans="1:8" ht="18.75" x14ac:dyDescent="0.3">
      <c r="A9" s="5" t="s">
        <v>79</v>
      </c>
      <c r="C9" s="3"/>
      <c r="D9" s="4">
        <v>333200</v>
      </c>
      <c r="E9" s="25" t="s">
        <v>34</v>
      </c>
      <c r="H9" s="4">
        <v>53200</v>
      </c>
    </row>
    <row r="10" spans="1:8" ht="18.75" x14ac:dyDescent="0.3">
      <c r="A10" s="5"/>
      <c r="D10" s="4"/>
      <c r="H10" s="4"/>
    </row>
    <row r="11" spans="1:8" ht="18.75" x14ac:dyDescent="0.3">
      <c r="A11" s="5"/>
      <c r="D11" s="4"/>
      <c r="H11" s="4"/>
    </row>
    <row r="12" spans="1:8" ht="19.5" thickBot="1" x14ac:dyDescent="0.35">
      <c r="A12" s="5"/>
      <c r="C12" s="3"/>
      <c r="D12" s="22"/>
      <c r="H12" s="22"/>
    </row>
    <row r="13" spans="1:8" ht="18.75" customHeight="1" x14ac:dyDescent="0.3">
      <c r="D13" s="4">
        <f>SUM(D7:D12)</f>
        <v>1090279</v>
      </c>
      <c r="H13" s="4">
        <f>SUM(H7:H12)</f>
        <v>174078</v>
      </c>
    </row>
    <row r="14" spans="1:8" ht="18.75" x14ac:dyDescent="0.3">
      <c r="A14" s="5"/>
      <c r="C14" s="3"/>
      <c r="D14" s="4"/>
      <c r="H14" s="4"/>
    </row>
    <row r="16" spans="1:8" ht="18.75" x14ac:dyDescent="0.3">
      <c r="A16" s="5"/>
      <c r="C16" s="3"/>
      <c r="D16" s="4"/>
      <c r="H16" s="4"/>
    </row>
    <row r="17" spans="1:8" ht="15.75" thickBot="1" x14ac:dyDescent="0.3">
      <c r="D17" s="7"/>
      <c r="H17" s="7"/>
    </row>
    <row r="19" spans="1:8" ht="18.75" x14ac:dyDescent="0.3">
      <c r="C19" t="s">
        <v>4</v>
      </c>
      <c r="D19" s="4">
        <f>D3-D13</f>
        <v>718521</v>
      </c>
      <c r="G19" t="s">
        <v>5</v>
      </c>
      <c r="H19" s="4">
        <f>H3-H13</f>
        <v>114722</v>
      </c>
    </row>
    <row r="22" spans="1:8" ht="15.75" x14ac:dyDescent="0.25">
      <c r="A22" t="s">
        <v>6</v>
      </c>
      <c r="C22" s="8">
        <f>D19</f>
        <v>718521</v>
      </c>
      <c r="E22" t="s">
        <v>10</v>
      </c>
      <c r="H22" s="6">
        <f>C31</f>
        <v>596563.80000000005</v>
      </c>
    </row>
    <row r="24" spans="1:8" ht="15.75" x14ac:dyDescent="0.25">
      <c r="A24" t="s">
        <v>5</v>
      </c>
      <c r="B24" s="9" t="s">
        <v>7</v>
      </c>
      <c r="C24" s="8">
        <f>H19</f>
        <v>114722</v>
      </c>
      <c r="E24" s="13" t="s">
        <v>11</v>
      </c>
      <c r="F24" s="9" t="s">
        <v>12</v>
      </c>
      <c r="G24" s="15" t="s">
        <v>17</v>
      </c>
      <c r="H24" s="3">
        <v>-10640</v>
      </c>
    </row>
    <row r="25" spans="1:8" x14ac:dyDescent="0.25">
      <c r="F25" s="21">
        <v>1520000</v>
      </c>
    </row>
    <row r="26" spans="1:8" ht="16.5" thickBot="1" x14ac:dyDescent="0.3">
      <c r="A26" t="s">
        <v>8</v>
      </c>
      <c r="B26" s="9" t="s">
        <v>7</v>
      </c>
      <c r="C26" s="8">
        <f>D3*0.004</f>
        <v>7235.2</v>
      </c>
      <c r="F26" s="9" t="s">
        <v>13</v>
      </c>
      <c r="G26" s="16">
        <v>0.35</v>
      </c>
      <c r="H26" s="17">
        <v>-208797</v>
      </c>
    </row>
    <row r="27" spans="1:8" x14ac:dyDescent="0.25">
      <c r="F27" s="21">
        <v>596564</v>
      </c>
    </row>
    <row r="28" spans="1:8" ht="15.75" x14ac:dyDescent="0.25">
      <c r="A28" t="s">
        <v>9</v>
      </c>
      <c r="B28" s="9" t="s">
        <v>7</v>
      </c>
      <c r="C28" s="10"/>
      <c r="G28" s="13" t="s">
        <v>14</v>
      </c>
      <c r="H28" s="6">
        <f>H22+H24+H26</f>
        <v>377126.80000000005</v>
      </c>
    </row>
    <row r="29" spans="1:8" ht="15.75" thickBot="1" x14ac:dyDescent="0.3">
      <c r="A29" s="14"/>
      <c r="C29" s="7"/>
    </row>
    <row r="30" spans="1:8" x14ac:dyDescent="0.25">
      <c r="E30" t="s">
        <v>80</v>
      </c>
      <c r="H30" s="20">
        <f>H28*0.5</f>
        <v>188563.40000000002</v>
      </c>
    </row>
    <row r="31" spans="1:8" ht="15.75" x14ac:dyDescent="0.25">
      <c r="A31" t="s">
        <v>10</v>
      </c>
      <c r="C31" s="10">
        <f>C22-C24-C26-C28</f>
        <v>596563.80000000005</v>
      </c>
      <c r="H31" s="18"/>
    </row>
    <row r="32" spans="1:8" x14ac:dyDescent="0.25">
      <c r="H32" s="3"/>
    </row>
    <row r="33" spans="8:8" x14ac:dyDescent="0.25">
      <c r="H33" s="18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28368-F0E6-4EBB-9B3A-205B91F71B90}">
  <dimension ref="A1:H33"/>
  <sheetViews>
    <sheetView topLeftCell="A22"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3.28515625" bestFit="1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81</v>
      </c>
    </row>
    <row r="3" spans="1:8" ht="21" x14ac:dyDescent="0.35">
      <c r="A3" s="2" t="s">
        <v>1</v>
      </c>
      <c r="D3" s="11">
        <v>1108485</v>
      </c>
      <c r="F3" s="12" t="s">
        <v>3</v>
      </c>
      <c r="H3" s="11">
        <v>176985</v>
      </c>
    </row>
    <row r="4" spans="1:8" x14ac:dyDescent="0.25">
      <c r="A4" s="13" t="s">
        <v>32</v>
      </c>
      <c r="C4" s="26">
        <v>254</v>
      </c>
    </row>
    <row r="5" spans="1:8" ht="21" x14ac:dyDescent="0.35">
      <c r="A5" s="2" t="s">
        <v>2</v>
      </c>
    </row>
    <row r="7" spans="1:8" ht="18.75" x14ac:dyDescent="0.3">
      <c r="A7" s="5" t="s">
        <v>82</v>
      </c>
      <c r="D7" s="4">
        <v>470612</v>
      </c>
      <c r="E7" s="25" t="s">
        <v>34</v>
      </c>
      <c r="H7" s="4">
        <v>75140</v>
      </c>
    </row>
    <row r="8" spans="1:8" ht="18.75" x14ac:dyDescent="0.3">
      <c r="A8" s="5" t="s">
        <v>83</v>
      </c>
      <c r="D8" s="4">
        <v>227885</v>
      </c>
      <c r="E8" s="25" t="s">
        <v>34</v>
      </c>
      <c r="H8" s="4">
        <v>36385</v>
      </c>
    </row>
    <row r="9" spans="1:8" ht="18.75" x14ac:dyDescent="0.3">
      <c r="A9" s="5" t="s">
        <v>84</v>
      </c>
      <c r="C9" s="3"/>
      <c r="D9" s="4">
        <v>70400</v>
      </c>
      <c r="E9" s="25" t="s">
        <v>34</v>
      </c>
      <c r="H9" s="4">
        <v>0</v>
      </c>
    </row>
    <row r="10" spans="1:8" ht="18.75" x14ac:dyDescent="0.3">
      <c r="A10" s="5" t="s">
        <v>86</v>
      </c>
      <c r="D10" s="4">
        <v>35000</v>
      </c>
      <c r="E10" s="25" t="s">
        <v>34</v>
      </c>
      <c r="H10" s="4">
        <v>0</v>
      </c>
    </row>
    <row r="11" spans="1:8" ht="18.75" x14ac:dyDescent="0.3">
      <c r="A11" s="5"/>
      <c r="D11" s="4"/>
      <c r="H11" s="4"/>
    </row>
    <row r="12" spans="1:8" ht="19.5" thickBot="1" x14ac:dyDescent="0.35">
      <c r="A12" s="5"/>
      <c r="C12" s="3"/>
      <c r="D12" s="22"/>
      <c r="H12" s="22"/>
    </row>
    <row r="13" spans="1:8" ht="18.75" customHeight="1" x14ac:dyDescent="0.3">
      <c r="D13" s="4">
        <f>SUM(D7:D12)</f>
        <v>803897</v>
      </c>
      <c r="H13" s="4">
        <f>SUM(H7:H12)</f>
        <v>111525</v>
      </c>
    </row>
    <row r="14" spans="1:8" ht="18.75" x14ac:dyDescent="0.3">
      <c r="A14" s="5"/>
      <c r="C14" s="3"/>
      <c r="D14" s="4"/>
      <c r="H14" s="4"/>
    </row>
    <row r="16" spans="1:8" ht="18.75" x14ac:dyDescent="0.3">
      <c r="A16" s="5"/>
      <c r="C16" s="3"/>
      <c r="D16" s="4"/>
      <c r="H16" s="4"/>
    </row>
    <row r="17" spans="1:8" ht="15.75" thickBot="1" x14ac:dyDescent="0.3">
      <c r="D17" s="7"/>
      <c r="H17" s="7"/>
    </row>
    <row r="19" spans="1:8" ht="18.75" x14ac:dyDescent="0.3">
      <c r="C19" t="s">
        <v>4</v>
      </c>
      <c r="D19" s="4">
        <f>D3-D13</f>
        <v>304588</v>
      </c>
      <c r="G19" t="s">
        <v>5</v>
      </c>
      <c r="H19" s="4">
        <f>H3-H13</f>
        <v>65460</v>
      </c>
    </row>
    <row r="22" spans="1:8" ht="15.75" x14ac:dyDescent="0.25">
      <c r="A22" t="s">
        <v>6</v>
      </c>
      <c r="C22" s="8">
        <f>D19</f>
        <v>304588</v>
      </c>
      <c r="E22" t="s">
        <v>10</v>
      </c>
      <c r="H22" s="6">
        <f>C31</f>
        <v>234694.06</v>
      </c>
    </row>
    <row r="24" spans="1:8" ht="15.75" x14ac:dyDescent="0.25">
      <c r="A24" t="s">
        <v>5</v>
      </c>
      <c r="B24" s="9" t="s">
        <v>7</v>
      </c>
      <c r="C24" s="8">
        <f>H19</f>
        <v>65460</v>
      </c>
      <c r="E24" s="13" t="s">
        <v>11</v>
      </c>
      <c r="F24" s="9" t="s">
        <v>12</v>
      </c>
      <c r="G24" s="15" t="s">
        <v>17</v>
      </c>
      <c r="H24" s="3">
        <v>-6521</v>
      </c>
    </row>
    <row r="25" spans="1:8" x14ac:dyDescent="0.25">
      <c r="F25" s="21">
        <v>931500</v>
      </c>
    </row>
    <row r="26" spans="1:8" ht="16.5" thickBot="1" x14ac:dyDescent="0.3">
      <c r="A26" t="s">
        <v>8</v>
      </c>
      <c r="B26" s="9" t="s">
        <v>7</v>
      </c>
      <c r="C26" s="8">
        <f>D3*0.004</f>
        <v>4433.9400000000005</v>
      </c>
      <c r="F26" s="9" t="s">
        <v>13</v>
      </c>
      <c r="G26" s="16">
        <v>0.35</v>
      </c>
      <c r="H26" s="17">
        <v>-82143</v>
      </c>
    </row>
    <row r="27" spans="1:8" x14ac:dyDescent="0.25">
      <c r="F27" s="21">
        <v>234694</v>
      </c>
    </row>
    <row r="28" spans="1:8" ht="15.75" x14ac:dyDescent="0.25">
      <c r="A28" t="s">
        <v>9</v>
      </c>
      <c r="B28" s="9" t="s">
        <v>7</v>
      </c>
      <c r="C28" s="10"/>
      <c r="G28" s="13" t="s">
        <v>14</v>
      </c>
      <c r="H28" s="6">
        <f>H22+H24+H26</f>
        <v>146030.06</v>
      </c>
    </row>
    <row r="29" spans="1:8" ht="15.75" thickBot="1" x14ac:dyDescent="0.3">
      <c r="A29" s="14"/>
      <c r="C29" s="7"/>
    </row>
    <row r="30" spans="1:8" x14ac:dyDescent="0.25">
      <c r="E30" t="s">
        <v>85</v>
      </c>
      <c r="H30" s="20">
        <f>H28*0.5</f>
        <v>73015.03</v>
      </c>
    </row>
    <row r="31" spans="1:8" ht="15.75" x14ac:dyDescent="0.25">
      <c r="A31" t="s">
        <v>10</v>
      </c>
      <c r="C31" s="10">
        <f>C22-C24-C26-C28</f>
        <v>234694.06</v>
      </c>
      <c r="H31" s="18"/>
    </row>
    <row r="32" spans="1:8" x14ac:dyDescent="0.25">
      <c r="H32" s="3"/>
    </row>
    <row r="33" spans="8:8" x14ac:dyDescent="0.25">
      <c r="H33" s="18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208B9-1B9A-41E1-98B1-C739CAD48EE9}">
  <dimension ref="A1:H33"/>
  <sheetViews>
    <sheetView topLeftCell="A13"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3.28515625" bestFit="1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87</v>
      </c>
    </row>
    <row r="3" spans="1:8" ht="21" x14ac:dyDescent="0.35">
      <c r="A3" s="2" t="s">
        <v>1</v>
      </c>
      <c r="D3" s="11">
        <v>192780</v>
      </c>
      <c r="F3" s="12" t="s">
        <v>3</v>
      </c>
      <c r="H3" s="11">
        <v>30780</v>
      </c>
    </row>
    <row r="4" spans="1:8" x14ac:dyDescent="0.25">
      <c r="A4" s="13" t="s">
        <v>32</v>
      </c>
      <c r="C4" s="26">
        <v>256</v>
      </c>
    </row>
    <row r="5" spans="1:8" ht="21" x14ac:dyDescent="0.35">
      <c r="A5" s="2" t="s">
        <v>2</v>
      </c>
    </row>
    <row r="7" spans="1:8" ht="18.75" x14ac:dyDescent="0.3">
      <c r="A7" s="5" t="s">
        <v>88</v>
      </c>
      <c r="D7" s="4">
        <v>75134</v>
      </c>
      <c r="E7" s="25" t="s">
        <v>34</v>
      </c>
      <c r="H7" s="4">
        <v>11996</v>
      </c>
    </row>
    <row r="8" spans="1:8" ht="18.75" x14ac:dyDescent="0.3">
      <c r="A8" s="5" t="s">
        <v>89</v>
      </c>
      <c r="D8" s="4">
        <v>52000</v>
      </c>
      <c r="E8" s="25" t="s">
        <v>34</v>
      </c>
      <c r="H8" s="4">
        <v>0</v>
      </c>
    </row>
    <row r="9" spans="1:8" ht="18.75" x14ac:dyDescent="0.3">
      <c r="A9" s="5"/>
      <c r="C9" s="3"/>
      <c r="D9" s="4"/>
      <c r="E9" s="25"/>
      <c r="H9" s="4">
        <v>0</v>
      </c>
    </row>
    <row r="10" spans="1:8" ht="18.75" x14ac:dyDescent="0.3">
      <c r="A10" s="5"/>
      <c r="D10" s="4"/>
      <c r="E10" s="25"/>
      <c r="H10" s="4">
        <v>0</v>
      </c>
    </row>
    <row r="11" spans="1:8" ht="18.75" x14ac:dyDescent="0.3">
      <c r="A11" s="5"/>
      <c r="D11" s="4"/>
      <c r="H11" s="4"/>
    </row>
    <row r="12" spans="1:8" ht="19.5" thickBot="1" x14ac:dyDescent="0.35">
      <c r="A12" s="5"/>
      <c r="C12" s="3"/>
      <c r="D12" s="22"/>
      <c r="H12" s="22"/>
    </row>
    <row r="13" spans="1:8" ht="18.75" customHeight="1" x14ac:dyDescent="0.3">
      <c r="D13" s="4">
        <f>SUM(D7:D12)</f>
        <v>127134</v>
      </c>
      <c r="H13" s="4">
        <f>SUM(H7:H12)</f>
        <v>11996</v>
      </c>
    </row>
    <row r="14" spans="1:8" ht="18.75" x14ac:dyDescent="0.3">
      <c r="A14" s="5"/>
      <c r="C14" s="3"/>
      <c r="D14" s="4"/>
      <c r="H14" s="4"/>
    </row>
    <row r="16" spans="1:8" ht="18.75" x14ac:dyDescent="0.3">
      <c r="A16" s="5"/>
      <c r="C16" s="3"/>
      <c r="D16" s="4"/>
      <c r="H16" s="4"/>
    </row>
    <row r="17" spans="1:8" ht="15.75" thickBot="1" x14ac:dyDescent="0.3">
      <c r="D17" s="7"/>
      <c r="H17" s="7"/>
    </row>
    <row r="19" spans="1:8" ht="18.75" x14ac:dyDescent="0.3">
      <c r="C19" t="s">
        <v>4</v>
      </c>
      <c r="D19" s="4">
        <f>D3-D13</f>
        <v>65646</v>
      </c>
      <c r="G19" t="s">
        <v>5</v>
      </c>
      <c r="H19" s="4">
        <f>H3-H13</f>
        <v>18784</v>
      </c>
    </row>
    <row r="22" spans="1:8" ht="15.75" x14ac:dyDescent="0.25">
      <c r="A22" t="s">
        <v>6</v>
      </c>
      <c r="C22" s="8">
        <f>D19</f>
        <v>65646</v>
      </c>
      <c r="E22" t="s">
        <v>10</v>
      </c>
      <c r="H22" s="6">
        <f>C31</f>
        <v>46090.879999999997</v>
      </c>
    </row>
    <row r="24" spans="1:8" ht="15.75" x14ac:dyDescent="0.25">
      <c r="A24" t="s">
        <v>5</v>
      </c>
      <c r="B24" s="9" t="s">
        <v>7</v>
      </c>
      <c r="C24" s="8">
        <f>H19</f>
        <v>18784</v>
      </c>
      <c r="E24" s="13" t="s">
        <v>11</v>
      </c>
      <c r="F24" s="9" t="s">
        <v>12</v>
      </c>
      <c r="G24" s="15" t="s">
        <v>17</v>
      </c>
      <c r="H24" s="3">
        <v>-1134</v>
      </c>
    </row>
    <row r="25" spans="1:8" x14ac:dyDescent="0.25">
      <c r="F25" s="21">
        <v>162000</v>
      </c>
    </row>
    <row r="26" spans="1:8" ht="16.5" thickBot="1" x14ac:dyDescent="0.3">
      <c r="A26" t="s">
        <v>8</v>
      </c>
      <c r="B26" s="9" t="s">
        <v>7</v>
      </c>
      <c r="C26" s="8">
        <f>D3*0.004</f>
        <v>771.12</v>
      </c>
      <c r="F26" s="9" t="s">
        <v>13</v>
      </c>
      <c r="G26" s="16">
        <v>0.35</v>
      </c>
      <c r="H26" s="17">
        <v>-16132</v>
      </c>
    </row>
    <row r="27" spans="1:8" x14ac:dyDescent="0.25">
      <c r="F27" s="21">
        <v>46091</v>
      </c>
    </row>
    <row r="28" spans="1:8" ht="15.75" x14ac:dyDescent="0.25">
      <c r="A28" t="s">
        <v>9</v>
      </c>
      <c r="B28" s="9" t="s">
        <v>7</v>
      </c>
      <c r="C28" s="10"/>
      <c r="G28" s="13" t="s">
        <v>14</v>
      </c>
      <c r="H28" s="6">
        <f>H22+H24+H26</f>
        <v>28824.879999999997</v>
      </c>
    </row>
    <row r="29" spans="1:8" ht="15.75" thickBot="1" x14ac:dyDescent="0.3">
      <c r="A29" s="14"/>
      <c r="C29" s="7"/>
    </row>
    <row r="30" spans="1:8" x14ac:dyDescent="0.25">
      <c r="E30" t="s">
        <v>75</v>
      </c>
      <c r="H30" s="20">
        <f>H28*0.35</f>
        <v>10088.707999999999</v>
      </c>
    </row>
    <row r="31" spans="1:8" ht="15.75" x14ac:dyDescent="0.25">
      <c r="A31" t="s">
        <v>10</v>
      </c>
      <c r="C31" s="10">
        <f>C22-C24-C26-C28</f>
        <v>46090.879999999997</v>
      </c>
      <c r="H31" s="18"/>
    </row>
    <row r="32" spans="1:8" x14ac:dyDescent="0.25">
      <c r="H32" s="3"/>
    </row>
    <row r="33" spans="8:8" x14ac:dyDescent="0.25">
      <c r="H33" s="18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831C0-57BF-486B-B5B9-15A3FD7E1CB7}">
  <dimension ref="A1:H33"/>
  <sheetViews>
    <sheetView topLeftCell="A19"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3.28515625" bestFit="1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90</v>
      </c>
    </row>
    <row r="3" spans="1:8" ht="21" x14ac:dyDescent="0.35">
      <c r="A3" s="2" t="s">
        <v>1</v>
      </c>
      <c r="D3" s="11">
        <v>214200</v>
      </c>
      <c r="F3" s="12" t="s">
        <v>3</v>
      </c>
      <c r="H3" s="11">
        <v>34200</v>
      </c>
    </row>
    <row r="4" spans="1:8" x14ac:dyDescent="0.25">
      <c r="A4" s="13" t="s">
        <v>32</v>
      </c>
      <c r="C4" s="26">
        <v>257</v>
      </c>
    </row>
    <row r="5" spans="1:8" ht="21" x14ac:dyDescent="0.35">
      <c r="A5" s="2" t="s">
        <v>2</v>
      </c>
    </row>
    <row r="7" spans="1:8" ht="18.75" x14ac:dyDescent="0.3">
      <c r="A7" s="5" t="s">
        <v>91</v>
      </c>
      <c r="D7" s="4">
        <v>115158</v>
      </c>
      <c r="E7" s="25" t="s">
        <v>34</v>
      </c>
      <c r="H7" s="4">
        <v>18387</v>
      </c>
    </row>
    <row r="8" spans="1:8" ht="18.75" x14ac:dyDescent="0.3">
      <c r="A8" s="5" t="s">
        <v>92</v>
      </c>
      <c r="D8" s="4">
        <v>33800</v>
      </c>
      <c r="E8" s="25" t="s">
        <v>34</v>
      </c>
      <c r="H8" s="4">
        <v>0</v>
      </c>
    </row>
    <row r="9" spans="1:8" ht="18.75" x14ac:dyDescent="0.3">
      <c r="A9" s="5"/>
      <c r="C9" s="3"/>
      <c r="D9" s="4"/>
      <c r="E9" s="25"/>
      <c r="H9" s="4">
        <v>0</v>
      </c>
    </row>
    <row r="10" spans="1:8" ht="18.75" x14ac:dyDescent="0.3">
      <c r="A10" s="5"/>
      <c r="D10" s="4"/>
      <c r="E10" s="25"/>
      <c r="H10" s="4">
        <v>0</v>
      </c>
    </row>
    <row r="11" spans="1:8" ht="18.75" x14ac:dyDescent="0.3">
      <c r="A11" s="5"/>
      <c r="D11" s="4"/>
      <c r="H11" s="4"/>
    </row>
    <row r="12" spans="1:8" ht="19.5" thickBot="1" x14ac:dyDescent="0.35">
      <c r="A12" s="5"/>
      <c r="C12" s="3"/>
      <c r="D12" s="22"/>
      <c r="H12" s="22"/>
    </row>
    <row r="13" spans="1:8" ht="18.75" customHeight="1" x14ac:dyDescent="0.3">
      <c r="D13" s="4">
        <f>SUM(D7:D12)</f>
        <v>148958</v>
      </c>
      <c r="H13" s="4">
        <f>SUM(H7:H12)</f>
        <v>18387</v>
      </c>
    </row>
    <row r="14" spans="1:8" ht="18.75" x14ac:dyDescent="0.3">
      <c r="A14" s="5"/>
      <c r="C14" s="3"/>
      <c r="D14" s="4"/>
      <c r="H14" s="4"/>
    </row>
    <row r="16" spans="1:8" ht="18.75" x14ac:dyDescent="0.3">
      <c r="A16" s="5"/>
      <c r="C16" s="3"/>
      <c r="D16" s="4"/>
      <c r="H16" s="4"/>
    </row>
    <row r="17" spans="1:8" ht="15.75" thickBot="1" x14ac:dyDescent="0.3">
      <c r="D17" s="7"/>
      <c r="H17" s="7"/>
    </row>
    <row r="19" spans="1:8" ht="18.75" x14ac:dyDescent="0.3">
      <c r="C19" t="s">
        <v>4</v>
      </c>
      <c r="D19" s="4">
        <f>D3-D13</f>
        <v>65242</v>
      </c>
      <c r="G19" t="s">
        <v>5</v>
      </c>
      <c r="H19" s="4">
        <f>H3-H13</f>
        <v>15813</v>
      </c>
    </row>
    <row r="22" spans="1:8" ht="15.75" x14ac:dyDescent="0.25">
      <c r="A22" t="s">
        <v>6</v>
      </c>
      <c r="C22" s="8">
        <f>D19</f>
        <v>65242</v>
      </c>
      <c r="E22" t="s">
        <v>10</v>
      </c>
      <c r="H22" s="6">
        <f>C31</f>
        <v>48572.2</v>
      </c>
    </row>
    <row r="24" spans="1:8" ht="15.75" x14ac:dyDescent="0.25">
      <c r="A24" t="s">
        <v>5</v>
      </c>
      <c r="B24" s="9" t="s">
        <v>7</v>
      </c>
      <c r="C24" s="8">
        <f>H19</f>
        <v>15813</v>
      </c>
      <c r="E24" s="13" t="s">
        <v>11</v>
      </c>
      <c r="F24" s="9" t="s">
        <v>12</v>
      </c>
      <c r="G24" s="15" t="s">
        <v>17</v>
      </c>
      <c r="H24" s="3">
        <v>-1260</v>
      </c>
    </row>
    <row r="25" spans="1:8" x14ac:dyDescent="0.25">
      <c r="F25" s="21">
        <v>180000</v>
      </c>
    </row>
    <row r="26" spans="1:8" ht="16.5" thickBot="1" x14ac:dyDescent="0.3">
      <c r="A26" t="s">
        <v>8</v>
      </c>
      <c r="B26" s="9" t="s">
        <v>7</v>
      </c>
      <c r="C26" s="8">
        <f>D3*0.004</f>
        <v>856.80000000000007</v>
      </c>
      <c r="F26" s="9" t="s">
        <v>13</v>
      </c>
      <c r="G26" s="16">
        <v>0.35</v>
      </c>
      <c r="H26" s="17">
        <v>-17000</v>
      </c>
    </row>
    <row r="27" spans="1:8" x14ac:dyDescent="0.25">
      <c r="F27" s="21">
        <v>48572</v>
      </c>
    </row>
    <row r="28" spans="1:8" ht="15.75" x14ac:dyDescent="0.25">
      <c r="A28" t="s">
        <v>9</v>
      </c>
      <c r="B28" s="9" t="s">
        <v>7</v>
      </c>
      <c r="C28" s="10"/>
      <c r="G28" s="13" t="s">
        <v>14</v>
      </c>
      <c r="H28" s="6">
        <f>H22+H24+H26</f>
        <v>30312.199999999997</v>
      </c>
    </row>
    <row r="29" spans="1:8" ht="15.75" thickBot="1" x14ac:dyDescent="0.3">
      <c r="A29" s="14"/>
      <c r="C29" s="7"/>
    </row>
    <row r="30" spans="1:8" x14ac:dyDescent="0.25">
      <c r="E30" t="s">
        <v>93</v>
      </c>
      <c r="H30" s="20">
        <f>H28*0.5</f>
        <v>15156.099999999999</v>
      </c>
    </row>
    <row r="31" spans="1:8" ht="15.75" x14ac:dyDescent="0.25">
      <c r="A31" t="s">
        <v>10</v>
      </c>
      <c r="C31" s="10">
        <f>C22-C24-C26-C28</f>
        <v>48572.2</v>
      </c>
      <c r="H31" s="18"/>
    </row>
    <row r="32" spans="1:8" x14ac:dyDescent="0.25">
      <c r="H32" s="3"/>
    </row>
    <row r="33" spans="8:8" x14ac:dyDescent="0.25">
      <c r="H33" s="18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530A7-C2A4-4874-B621-0C247C1C0A77}">
  <dimension ref="A1:H33"/>
  <sheetViews>
    <sheetView topLeftCell="A19"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3.28515625" bestFit="1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94</v>
      </c>
    </row>
    <row r="3" spans="1:8" ht="21" x14ac:dyDescent="0.35">
      <c r="A3" s="2" t="s">
        <v>1</v>
      </c>
      <c r="D3" s="11">
        <v>4046000</v>
      </c>
      <c r="F3" s="12" t="s">
        <v>3</v>
      </c>
      <c r="H3" s="11">
        <v>646000</v>
      </c>
    </row>
    <row r="4" spans="1:8" x14ac:dyDescent="0.25">
      <c r="A4" s="13" t="s">
        <v>32</v>
      </c>
      <c r="C4" s="26">
        <v>258</v>
      </c>
    </row>
    <row r="5" spans="1:8" ht="21" x14ac:dyDescent="0.35">
      <c r="A5" s="2" t="s">
        <v>2</v>
      </c>
    </row>
    <row r="7" spans="1:8" ht="18.75" x14ac:dyDescent="0.3">
      <c r="A7" s="5" t="s">
        <v>72</v>
      </c>
      <c r="D7" s="4">
        <v>2100000</v>
      </c>
      <c r="E7" s="25" t="s">
        <v>34</v>
      </c>
      <c r="H7" s="4">
        <v>0</v>
      </c>
    </row>
    <row r="8" spans="1:8" ht="18.75" x14ac:dyDescent="0.3">
      <c r="A8" s="5"/>
      <c r="D8" s="4"/>
      <c r="E8" s="25"/>
      <c r="H8" s="4">
        <v>0</v>
      </c>
    </row>
    <row r="9" spans="1:8" ht="18.75" x14ac:dyDescent="0.3">
      <c r="A9" s="5"/>
      <c r="C9" s="3"/>
      <c r="D9" s="4"/>
      <c r="E9" s="25"/>
      <c r="H9" s="4">
        <v>0</v>
      </c>
    </row>
    <row r="10" spans="1:8" ht="18.75" x14ac:dyDescent="0.3">
      <c r="A10" s="5"/>
      <c r="D10" s="4"/>
      <c r="E10" s="25"/>
      <c r="H10" s="4">
        <v>0</v>
      </c>
    </row>
    <row r="11" spans="1:8" ht="18.75" x14ac:dyDescent="0.3">
      <c r="A11" s="5"/>
      <c r="D11" s="4"/>
      <c r="H11" s="4"/>
    </row>
    <row r="12" spans="1:8" ht="19.5" thickBot="1" x14ac:dyDescent="0.35">
      <c r="A12" s="5"/>
      <c r="C12" s="3"/>
      <c r="D12" s="22"/>
      <c r="H12" s="22"/>
    </row>
    <row r="13" spans="1:8" ht="18.75" customHeight="1" x14ac:dyDescent="0.3">
      <c r="D13" s="4">
        <f>SUM(D7:D12)</f>
        <v>2100000</v>
      </c>
      <c r="H13" s="4">
        <f>SUM(H7:H12)</f>
        <v>0</v>
      </c>
    </row>
    <row r="14" spans="1:8" ht="18.75" x14ac:dyDescent="0.3">
      <c r="A14" s="5"/>
      <c r="C14" s="3"/>
      <c r="D14" s="4"/>
      <c r="H14" s="4"/>
    </row>
    <row r="16" spans="1:8" ht="18.75" x14ac:dyDescent="0.3">
      <c r="A16" s="5"/>
      <c r="C16" s="3"/>
      <c r="D16" s="4"/>
      <c r="H16" s="4"/>
    </row>
    <row r="17" spans="1:8" ht="15.75" thickBot="1" x14ac:dyDescent="0.3">
      <c r="D17" s="7"/>
      <c r="H17" s="7"/>
    </row>
    <row r="19" spans="1:8" ht="18.75" x14ac:dyDescent="0.3">
      <c r="C19" t="s">
        <v>4</v>
      </c>
      <c r="D19" s="4">
        <f>D3-D13</f>
        <v>1946000</v>
      </c>
      <c r="G19" t="s">
        <v>5</v>
      </c>
      <c r="H19" s="4">
        <f>H3-H13</f>
        <v>646000</v>
      </c>
    </row>
    <row r="22" spans="1:8" ht="15.75" x14ac:dyDescent="0.25">
      <c r="A22" t="s">
        <v>6</v>
      </c>
      <c r="C22" s="8">
        <f>D19</f>
        <v>1946000</v>
      </c>
      <c r="E22" t="s">
        <v>10</v>
      </c>
      <c r="H22" s="6">
        <f>C31</f>
        <v>1283816</v>
      </c>
    </row>
    <row r="24" spans="1:8" ht="15.75" x14ac:dyDescent="0.25">
      <c r="A24" t="s">
        <v>5</v>
      </c>
      <c r="B24" s="9" t="s">
        <v>7</v>
      </c>
      <c r="C24" s="8">
        <f>H19</f>
        <v>646000</v>
      </c>
      <c r="E24" s="13" t="s">
        <v>11</v>
      </c>
      <c r="F24" s="9" t="s">
        <v>12</v>
      </c>
      <c r="G24" s="15" t="s">
        <v>17</v>
      </c>
      <c r="H24" s="3">
        <v>-23800</v>
      </c>
    </row>
    <row r="25" spans="1:8" x14ac:dyDescent="0.25">
      <c r="F25" s="21">
        <v>3400000</v>
      </c>
    </row>
    <row r="26" spans="1:8" ht="16.5" thickBot="1" x14ac:dyDescent="0.3">
      <c r="A26" t="s">
        <v>8</v>
      </c>
      <c r="B26" s="9" t="s">
        <v>7</v>
      </c>
      <c r="C26" s="8">
        <f>D3*0.004</f>
        <v>16184</v>
      </c>
      <c r="F26" s="9" t="s">
        <v>13</v>
      </c>
      <c r="G26" s="16">
        <v>0.35</v>
      </c>
      <c r="H26" s="17">
        <v>-449336</v>
      </c>
    </row>
    <row r="27" spans="1:8" x14ac:dyDescent="0.25">
      <c r="F27" s="21">
        <v>1283816</v>
      </c>
    </row>
    <row r="28" spans="1:8" ht="15.75" x14ac:dyDescent="0.25">
      <c r="A28" t="s">
        <v>9</v>
      </c>
      <c r="B28" s="9" t="s">
        <v>7</v>
      </c>
      <c r="C28" s="10"/>
      <c r="G28" s="13" t="s">
        <v>14</v>
      </c>
      <c r="H28" s="6">
        <f>H22+H24+H26</f>
        <v>810680</v>
      </c>
    </row>
    <row r="29" spans="1:8" ht="15.75" thickBot="1" x14ac:dyDescent="0.3">
      <c r="A29" s="14"/>
      <c r="C29" s="7"/>
    </row>
    <row r="30" spans="1:8" x14ac:dyDescent="0.25">
      <c r="E30" t="s">
        <v>93</v>
      </c>
      <c r="H30" s="20">
        <f>H28*0.5</f>
        <v>405340</v>
      </c>
    </row>
    <row r="31" spans="1:8" ht="15.75" x14ac:dyDescent="0.25">
      <c r="A31" t="s">
        <v>10</v>
      </c>
      <c r="C31" s="10">
        <f>C22-C24-C26-C28</f>
        <v>1283816</v>
      </c>
      <c r="H31" s="18"/>
    </row>
    <row r="32" spans="1:8" x14ac:dyDescent="0.25">
      <c r="H32" s="3"/>
    </row>
    <row r="33" spans="8:8" x14ac:dyDescent="0.25">
      <c r="H33" s="18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FEAD5-8B03-4758-AAA1-1F6B6B8CB319}">
  <dimension ref="A1:H33"/>
  <sheetViews>
    <sheetView topLeftCell="A16"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3.28515625" bestFit="1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95</v>
      </c>
    </row>
    <row r="3" spans="1:8" ht="21" x14ac:dyDescent="0.35">
      <c r="A3" s="2" t="s">
        <v>1</v>
      </c>
      <c r="D3" s="11">
        <v>374136</v>
      </c>
      <c r="F3" s="12" t="s">
        <v>3</v>
      </c>
      <c r="H3" s="11">
        <v>59736</v>
      </c>
    </row>
    <row r="4" spans="1:8" x14ac:dyDescent="0.25">
      <c r="A4" s="13" t="s">
        <v>32</v>
      </c>
      <c r="C4" s="26"/>
    </row>
    <row r="5" spans="1:8" ht="21" x14ac:dyDescent="0.35">
      <c r="A5" s="2" t="s">
        <v>2</v>
      </c>
    </row>
    <row r="7" spans="1:8" ht="18.75" x14ac:dyDescent="0.3">
      <c r="A7" s="5"/>
      <c r="D7" s="4"/>
      <c r="E7" s="25"/>
      <c r="H7" s="4"/>
    </row>
    <row r="8" spans="1:8" ht="18.75" x14ac:dyDescent="0.3">
      <c r="A8" s="5" t="s">
        <v>96</v>
      </c>
      <c r="D8" s="4">
        <v>263334</v>
      </c>
      <c r="E8" s="25" t="s">
        <v>34</v>
      </c>
      <c r="H8" s="4">
        <v>42524</v>
      </c>
    </row>
    <row r="9" spans="1:8" ht="18.75" x14ac:dyDescent="0.3">
      <c r="A9" s="5"/>
      <c r="C9" s="3"/>
      <c r="D9" s="4"/>
      <c r="E9" s="25"/>
      <c r="H9" s="4">
        <v>0</v>
      </c>
    </row>
    <row r="10" spans="1:8" ht="18.75" x14ac:dyDescent="0.3">
      <c r="A10" s="5"/>
      <c r="D10" s="4"/>
      <c r="E10" s="25"/>
      <c r="H10" s="4">
        <v>0</v>
      </c>
    </row>
    <row r="11" spans="1:8" ht="18.75" x14ac:dyDescent="0.3">
      <c r="A11" s="5"/>
      <c r="D11" s="4"/>
      <c r="H11" s="4"/>
    </row>
    <row r="12" spans="1:8" ht="19.5" thickBot="1" x14ac:dyDescent="0.35">
      <c r="A12" s="5"/>
      <c r="C12" s="3"/>
      <c r="D12" s="22"/>
      <c r="H12" s="22"/>
    </row>
    <row r="13" spans="1:8" ht="18.75" customHeight="1" x14ac:dyDescent="0.3">
      <c r="D13" s="4">
        <f>SUM(D7:D12)</f>
        <v>263334</v>
      </c>
      <c r="H13" s="4">
        <f>SUM(H7:H12)</f>
        <v>42524</v>
      </c>
    </row>
    <row r="14" spans="1:8" ht="18.75" x14ac:dyDescent="0.3">
      <c r="A14" s="5"/>
      <c r="C14" s="3"/>
      <c r="D14" s="4"/>
      <c r="H14" s="4"/>
    </row>
    <row r="16" spans="1:8" ht="18.75" x14ac:dyDescent="0.3">
      <c r="A16" s="5"/>
      <c r="C16" s="3"/>
      <c r="D16" s="4"/>
      <c r="H16" s="4"/>
    </row>
    <row r="17" spans="1:8" ht="15.75" thickBot="1" x14ac:dyDescent="0.3">
      <c r="D17" s="7"/>
      <c r="H17" s="7"/>
    </row>
    <row r="19" spans="1:8" ht="18.75" x14ac:dyDescent="0.3">
      <c r="C19" t="s">
        <v>4</v>
      </c>
      <c r="D19" s="4">
        <f>D3-D13</f>
        <v>110802</v>
      </c>
      <c r="G19" t="s">
        <v>5</v>
      </c>
      <c r="H19" s="4">
        <f>H3-H13</f>
        <v>17212</v>
      </c>
    </row>
    <row r="22" spans="1:8" ht="15.75" x14ac:dyDescent="0.25">
      <c r="A22" t="s">
        <v>6</v>
      </c>
      <c r="C22" s="8">
        <f>D19</f>
        <v>110802</v>
      </c>
      <c r="E22" t="s">
        <v>10</v>
      </c>
      <c r="H22" s="6">
        <f>C31</f>
        <v>92093.456000000006</v>
      </c>
    </row>
    <row r="24" spans="1:8" ht="15.75" x14ac:dyDescent="0.25">
      <c r="A24" t="s">
        <v>5</v>
      </c>
      <c r="B24" s="9" t="s">
        <v>7</v>
      </c>
      <c r="C24" s="8">
        <f>H19</f>
        <v>17212</v>
      </c>
      <c r="E24" s="13" t="s">
        <v>11</v>
      </c>
      <c r="F24" s="9" t="s">
        <v>12</v>
      </c>
      <c r="G24" s="15" t="s">
        <v>17</v>
      </c>
      <c r="H24" s="3">
        <v>-2201</v>
      </c>
    </row>
    <row r="25" spans="1:8" x14ac:dyDescent="0.25">
      <c r="F25" s="21">
        <f>D3-H3</f>
        <v>314400</v>
      </c>
    </row>
    <row r="26" spans="1:8" ht="16.5" thickBot="1" x14ac:dyDescent="0.3">
      <c r="A26" t="s">
        <v>8</v>
      </c>
      <c r="B26" s="9" t="s">
        <v>7</v>
      </c>
      <c r="C26" s="8">
        <f>D3*0.004</f>
        <v>1496.5440000000001</v>
      </c>
      <c r="F26" s="9" t="s">
        <v>13</v>
      </c>
      <c r="G26" s="16">
        <v>0.35</v>
      </c>
      <c r="H26" s="17">
        <v>-32233</v>
      </c>
    </row>
    <row r="27" spans="1:8" x14ac:dyDescent="0.25">
      <c r="F27" s="21">
        <f>H22</f>
        <v>92093.456000000006</v>
      </c>
    </row>
    <row r="28" spans="1:8" ht="15.75" x14ac:dyDescent="0.25">
      <c r="A28" t="s">
        <v>9</v>
      </c>
      <c r="B28" s="9" t="s">
        <v>7</v>
      </c>
      <c r="C28" s="10"/>
      <c r="G28" s="13" t="s">
        <v>14</v>
      </c>
      <c r="H28" s="6">
        <f>H22+H24+H26</f>
        <v>57659.456000000006</v>
      </c>
    </row>
    <row r="29" spans="1:8" ht="15.75" thickBot="1" x14ac:dyDescent="0.3">
      <c r="A29" s="14"/>
      <c r="C29" s="7"/>
    </row>
    <row r="30" spans="1:8" x14ac:dyDescent="0.25">
      <c r="E30" t="s">
        <v>80</v>
      </c>
      <c r="H30" s="20">
        <f>H28*0.5</f>
        <v>28829.728000000003</v>
      </c>
    </row>
    <row r="31" spans="1:8" ht="15.75" x14ac:dyDescent="0.25">
      <c r="A31" t="s">
        <v>10</v>
      </c>
      <c r="C31" s="10">
        <f>C22-C24-C26-C28</f>
        <v>92093.456000000006</v>
      </c>
      <c r="H31" s="18"/>
    </row>
    <row r="32" spans="1:8" x14ac:dyDescent="0.25">
      <c r="H32" s="3"/>
    </row>
    <row r="33" spans="8:8" x14ac:dyDescent="0.25">
      <c r="H33" s="18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317DF-6898-4015-992C-FB529A5F248B}">
  <dimension ref="A1:H33"/>
  <sheetViews>
    <sheetView topLeftCell="A25"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3.28515625" bestFit="1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97</v>
      </c>
    </row>
    <row r="3" spans="1:8" ht="21" x14ac:dyDescent="0.35">
      <c r="A3" s="2" t="s">
        <v>1</v>
      </c>
      <c r="D3" s="11">
        <v>729820</v>
      </c>
      <c r="F3" s="12" t="s">
        <v>3</v>
      </c>
      <c r="H3" s="11">
        <v>138666</v>
      </c>
    </row>
    <row r="4" spans="1:8" x14ac:dyDescent="0.25">
      <c r="A4" s="13" t="s">
        <v>32</v>
      </c>
      <c r="C4" s="26">
        <v>264</v>
      </c>
    </row>
    <row r="5" spans="1:8" ht="21" x14ac:dyDescent="0.35">
      <c r="A5" s="2" t="s">
        <v>2</v>
      </c>
    </row>
    <row r="7" spans="1:8" ht="18.75" x14ac:dyDescent="0.3">
      <c r="A7" s="5"/>
      <c r="D7" s="4"/>
      <c r="E7" s="25"/>
      <c r="H7" s="4"/>
    </row>
    <row r="8" spans="1:8" ht="18.75" x14ac:dyDescent="0.3">
      <c r="A8" s="5" t="s">
        <v>96</v>
      </c>
      <c r="D8" s="4">
        <v>410136</v>
      </c>
      <c r="E8" s="25" t="s">
        <v>34</v>
      </c>
      <c r="H8" s="4">
        <v>65484</v>
      </c>
    </row>
    <row r="9" spans="1:8" ht="18.75" x14ac:dyDescent="0.3">
      <c r="A9" s="5" t="s">
        <v>98</v>
      </c>
      <c r="C9" s="3"/>
      <c r="D9" s="4">
        <v>190400</v>
      </c>
      <c r="E9" s="25" t="s">
        <v>34</v>
      </c>
      <c r="H9" s="4">
        <v>30400</v>
      </c>
    </row>
    <row r="10" spans="1:8" ht="18.75" x14ac:dyDescent="0.3">
      <c r="A10" s="5"/>
      <c r="D10" s="4"/>
      <c r="E10" s="25"/>
      <c r="H10" s="4">
        <v>0</v>
      </c>
    </row>
    <row r="11" spans="1:8" ht="18.75" x14ac:dyDescent="0.3">
      <c r="A11" s="5"/>
      <c r="D11" s="4"/>
      <c r="H11" s="4"/>
    </row>
    <row r="12" spans="1:8" ht="19.5" thickBot="1" x14ac:dyDescent="0.35">
      <c r="A12" s="5"/>
      <c r="C12" s="3"/>
      <c r="D12" s="22"/>
      <c r="H12" s="22"/>
    </row>
    <row r="13" spans="1:8" ht="18.75" customHeight="1" x14ac:dyDescent="0.3">
      <c r="D13" s="4">
        <f>SUM(D7:D12)</f>
        <v>600536</v>
      </c>
      <c r="H13" s="4">
        <f>SUM(H7:H12)</f>
        <v>95884</v>
      </c>
    </row>
    <row r="14" spans="1:8" ht="18.75" x14ac:dyDescent="0.3">
      <c r="A14" s="5"/>
      <c r="C14" s="3"/>
      <c r="D14" s="4"/>
      <c r="H14" s="4"/>
    </row>
    <row r="16" spans="1:8" ht="18.75" x14ac:dyDescent="0.3">
      <c r="A16" s="5"/>
      <c r="C16" s="3"/>
      <c r="D16" s="4"/>
      <c r="H16" s="4"/>
    </row>
    <row r="17" spans="1:8" ht="15.75" thickBot="1" x14ac:dyDescent="0.3">
      <c r="D17" s="7"/>
      <c r="H17" s="7"/>
    </row>
    <row r="19" spans="1:8" ht="18.75" x14ac:dyDescent="0.3">
      <c r="C19" t="s">
        <v>4</v>
      </c>
      <c r="D19" s="4">
        <f>D3-D13</f>
        <v>129284</v>
      </c>
      <c r="G19" t="s">
        <v>5</v>
      </c>
      <c r="H19" s="4">
        <f>H3-H13</f>
        <v>42782</v>
      </c>
    </row>
    <row r="22" spans="1:8" ht="15.75" x14ac:dyDescent="0.25">
      <c r="A22" t="s">
        <v>6</v>
      </c>
      <c r="C22" s="8">
        <f>D19</f>
        <v>129284</v>
      </c>
      <c r="E22" t="s">
        <v>10</v>
      </c>
      <c r="H22" s="6">
        <f>C31</f>
        <v>54082.720000000001</v>
      </c>
    </row>
    <row r="24" spans="1:8" ht="15.75" x14ac:dyDescent="0.25">
      <c r="A24" t="s">
        <v>5</v>
      </c>
      <c r="B24" s="9" t="s">
        <v>7</v>
      </c>
      <c r="C24" s="8">
        <f>H19</f>
        <v>42782</v>
      </c>
      <c r="E24" s="13" t="s">
        <v>11</v>
      </c>
      <c r="F24" s="9" t="s">
        <v>12</v>
      </c>
      <c r="G24" s="15" t="s">
        <v>17</v>
      </c>
      <c r="H24" s="3">
        <f>-(F25*0.007)</f>
        <v>-4138.0780000000004</v>
      </c>
    </row>
    <row r="25" spans="1:8" x14ac:dyDescent="0.25">
      <c r="F25" s="21">
        <f>D3-H3</f>
        <v>591154</v>
      </c>
    </row>
    <row r="26" spans="1:8" ht="16.5" thickBot="1" x14ac:dyDescent="0.3">
      <c r="A26" t="s">
        <v>8</v>
      </c>
      <c r="B26" s="9" t="s">
        <v>7</v>
      </c>
      <c r="C26" s="8">
        <f>D3*0.004</f>
        <v>2919.28</v>
      </c>
      <c r="F26" s="9" t="s">
        <v>13</v>
      </c>
      <c r="G26" s="16">
        <v>0.35</v>
      </c>
      <c r="H26" s="17">
        <f>-(F27*0.35)</f>
        <v>-18928.951999999997</v>
      </c>
    </row>
    <row r="27" spans="1:8" x14ac:dyDescent="0.25">
      <c r="F27" s="21">
        <f>H22</f>
        <v>54082.720000000001</v>
      </c>
    </row>
    <row r="28" spans="1:8" ht="15.75" x14ac:dyDescent="0.25">
      <c r="A28" t="s">
        <v>9</v>
      </c>
      <c r="B28" s="9" t="s">
        <v>7</v>
      </c>
      <c r="C28" s="10">
        <v>29500</v>
      </c>
      <c r="G28" s="13" t="s">
        <v>14</v>
      </c>
      <c r="H28" s="6">
        <f>H22+H24+H26</f>
        <v>31015.690000000002</v>
      </c>
    </row>
    <row r="29" spans="1:8" ht="15.75" thickBot="1" x14ac:dyDescent="0.3">
      <c r="A29" s="14" t="s">
        <v>99</v>
      </c>
      <c r="C29" s="7"/>
    </row>
    <row r="30" spans="1:8" x14ac:dyDescent="0.25">
      <c r="E30" t="s">
        <v>80</v>
      </c>
      <c r="H30" s="20">
        <f>H28*0.5</f>
        <v>15507.845000000001</v>
      </c>
    </row>
    <row r="31" spans="1:8" ht="15.75" x14ac:dyDescent="0.25">
      <c r="A31" t="s">
        <v>10</v>
      </c>
      <c r="C31" s="10">
        <f>C22-C24-C26-C28</f>
        <v>54082.720000000001</v>
      </c>
      <c r="H31" s="18"/>
    </row>
    <row r="32" spans="1:8" x14ac:dyDescent="0.25">
      <c r="H32" s="3"/>
    </row>
    <row r="33" spans="8:8" x14ac:dyDescent="0.25">
      <c r="H33" s="18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F4D78-66D6-48B3-98DB-C439D3CE7AB8}">
  <dimension ref="A1:H33"/>
  <sheetViews>
    <sheetView topLeftCell="A28"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3.28515625" bestFit="1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100</v>
      </c>
    </row>
    <row r="3" spans="1:8" ht="21" x14ac:dyDescent="0.35">
      <c r="A3" s="2" t="s">
        <v>1</v>
      </c>
      <c r="D3" s="11">
        <v>273700</v>
      </c>
      <c r="F3" s="12" t="s">
        <v>3</v>
      </c>
      <c r="H3" s="11">
        <v>43700</v>
      </c>
    </row>
    <row r="4" spans="1:8" x14ac:dyDescent="0.25">
      <c r="A4" s="13" t="s">
        <v>32</v>
      </c>
      <c r="C4" s="26">
        <v>265</v>
      </c>
    </row>
    <row r="5" spans="1:8" ht="21" x14ac:dyDescent="0.35">
      <c r="A5" s="2" t="s">
        <v>2</v>
      </c>
    </row>
    <row r="7" spans="1:8" ht="18.75" x14ac:dyDescent="0.3">
      <c r="A7" s="5"/>
      <c r="D7" s="4"/>
      <c r="E7" s="25"/>
      <c r="H7" s="4"/>
    </row>
    <row r="8" spans="1:8" ht="18.75" x14ac:dyDescent="0.3">
      <c r="A8" s="5" t="s">
        <v>101</v>
      </c>
      <c r="D8" s="4">
        <v>91944</v>
      </c>
      <c r="E8" s="25" t="s">
        <v>34</v>
      </c>
      <c r="H8" s="4">
        <v>14680</v>
      </c>
    </row>
    <row r="9" spans="1:8" ht="18.75" x14ac:dyDescent="0.3">
      <c r="A9" s="5" t="s">
        <v>102</v>
      </c>
      <c r="C9" s="3"/>
      <c r="D9" s="4">
        <v>9500</v>
      </c>
      <c r="E9" s="25" t="s">
        <v>34</v>
      </c>
      <c r="H9" s="4">
        <v>1517</v>
      </c>
    </row>
    <row r="10" spans="1:8" ht="18.75" x14ac:dyDescent="0.3">
      <c r="A10" s="5" t="s">
        <v>103</v>
      </c>
      <c r="D10" s="4">
        <v>61880</v>
      </c>
      <c r="E10" s="25"/>
      <c r="H10" s="4">
        <v>9880</v>
      </c>
    </row>
    <row r="11" spans="1:8" ht="18.75" x14ac:dyDescent="0.3">
      <c r="A11" s="5"/>
      <c r="D11" s="4"/>
      <c r="H11" s="4"/>
    </row>
    <row r="12" spans="1:8" ht="19.5" thickBot="1" x14ac:dyDescent="0.35">
      <c r="A12" s="5"/>
      <c r="C12" s="3"/>
      <c r="D12" s="22"/>
      <c r="H12" s="22"/>
    </row>
    <row r="13" spans="1:8" ht="18.75" customHeight="1" x14ac:dyDescent="0.3">
      <c r="D13" s="4">
        <f>SUM(D7:D12)</f>
        <v>163324</v>
      </c>
      <c r="H13" s="4">
        <f>SUM(H7:H12)</f>
        <v>26077</v>
      </c>
    </row>
    <row r="14" spans="1:8" ht="18.75" x14ac:dyDescent="0.3">
      <c r="A14" s="5"/>
      <c r="C14" s="3"/>
      <c r="D14" s="4"/>
      <c r="H14" s="4"/>
    </row>
    <row r="16" spans="1:8" ht="18.75" x14ac:dyDescent="0.3">
      <c r="A16" s="5"/>
      <c r="C16" s="3"/>
      <c r="D16" s="4"/>
      <c r="H16" s="4"/>
    </row>
    <row r="17" spans="1:8" ht="15.75" thickBot="1" x14ac:dyDescent="0.3">
      <c r="D17" s="7"/>
      <c r="H17" s="7"/>
    </row>
    <row r="19" spans="1:8" ht="18.75" x14ac:dyDescent="0.3">
      <c r="C19" t="s">
        <v>4</v>
      </c>
      <c r="D19" s="4">
        <f>D3-D13</f>
        <v>110376</v>
      </c>
      <c r="G19" t="s">
        <v>5</v>
      </c>
      <c r="H19" s="4">
        <f>H3-H13</f>
        <v>17623</v>
      </c>
    </row>
    <row r="22" spans="1:8" ht="15.75" x14ac:dyDescent="0.25">
      <c r="A22" t="s">
        <v>6</v>
      </c>
      <c r="C22" s="8">
        <f>D19</f>
        <v>110376</v>
      </c>
      <c r="E22" t="s">
        <v>10</v>
      </c>
      <c r="H22" s="6">
        <f>C31</f>
        <v>91658.2</v>
      </c>
    </row>
    <row r="24" spans="1:8" ht="15.75" x14ac:dyDescent="0.25">
      <c r="A24" t="s">
        <v>5</v>
      </c>
      <c r="B24" s="9" t="s">
        <v>7</v>
      </c>
      <c r="C24" s="8">
        <f>H19</f>
        <v>17623</v>
      </c>
      <c r="E24" s="13" t="s">
        <v>11</v>
      </c>
      <c r="F24" s="9" t="s">
        <v>12</v>
      </c>
      <c r="G24" s="15" t="s">
        <v>17</v>
      </c>
      <c r="H24" s="3">
        <f>-(F25*0.007)</f>
        <v>-1610</v>
      </c>
    </row>
    <row r="25" spans="1:8" x14ac:dyDescent="0.25">
      <c r="F25" s="21">
        <f>D3-H3</f>
        <v>230000</v>
      </c>
    </row>
    <row r="26" spans="1:8" ht="16.5" thickBot="1" x14ac:dyDescent="0.3">
      <c r="A26" t="s">
        <v>8</v>
      </c>
      <c r="B26" s="9" t="s">
        <v>7</v>
      </c>
      <c r="C26" s="8">
        <f>D3*0.004</f>
        <v>1094.8</v>
      </c>
      <c r="F26" s="9" t="s">
        <v>13</v>
      </c>
      <c r="G26" s="16">
        <v>0.35</v>
      </c>
      <c r="H26" s="17">
        <f>-(F27*0.35)</f>
        <v>-32080.369999999995</v>
      </c>
    </row>
    <row r="27" spans="1:8" x14ac:dyDescent="0.25">
      <c r="F27" s="21">
        <f>H22</f>
        <v>91658.2</v>
      </c>
    </row>
    <row r="28" spans="1:8" ht="15.75" x14ac:dyDescent="0.25">
      <c r="A28" t="s">
        <v>9</v>
      </c>
      <c r="B28" s="9" t="s">
        <v>7</v>
      </c>
      <c r="C28" s="10"/>
      <c r="G28" s="13" t="s">
        <v>14</v>
      </c>
      <c r="H28" s="6">
        <f>H22+H24+H26</f>
        <v>57967.83</v>
      </c>
    </row>
    <row r="29" spans="1:8" ht="15.75" thickBot="1" x14ac:dyDescent="0.3">
      <c r="A29" s="14"/>
      <c r="C29" s="7"/>
    </row>
    <row r="30" spans="1:8" x14ac:dyDescent="0.25">
      <c r="E30" t="s">
        <v>80</v>
      </c>
      <c r="H30" s="20">
        <f>H28*0.5</f>
        <v>28983.915000000001</v>
      </c>
    </row>
    <row r="31" spans="1:8" ht="15.75" x14ac:dyDescent="0.25">
      <c r="A31" t="s">
        <v>10</v>
      </c>
      <c r="C31" s="10">
        <f>C22-C24-C26-C28</f>
        <v>91658.2</v>
      </c>
      <c r="H31" s="18"/>
    </row>
    <row r="32" spans="1:8" x14ac:dyDescent="0.25">
      <c r="H32" s="3"/>
    </row>
    <row r="33" spans="8:8" x14ac:dyDescent="0.25">
      <c r="H33" s="18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954D3-B5C3-49D6-A3CA-3477C80E9F92}">
  <dimension ref="A1:H34"/>
  <sheetViews>
    <sheetView topLeftCell="A19"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3.28515625" bestFit="1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104</v>
      </c>
    </row>
    <row r="3" spans="1:8" ht="21" x14ac:dyDescent="0.35">
      <c r="A3" s="2" t="s">
        <v>1</v>
      </c>
      <c r="D3" s="11">
        <v>1213324</v>
      </c>
      <c r="F3" s="12" t="s">
        <v>3</v>
      </c>
      <c r="H3" s="11">
        <v>193724</v>
      </c>
    </row>
    <row r="4" spans="1:8" x14ac:dyDescent="0.25">
      <c r="A4" s="13" t="s">
        <v>32</v>
      </c>
      <c r="C4" s="26">
        <v>266</v>
      </c>
    </row>
    <row r="5" spans="1:8" ht="21" x14ac:dyDescent="0.35">
      <c r="A5" s="2" t="s">
        <v>2</v>
      </c>
    </row>
    <row r="7" spans="1:8" ht="18.75" x14ac:dyDescent="0.3">
      <c r="A7" s="5"/>
      <c r="D7" s="4"/>
      <c r="E7" s="25"/>
      <c r="H7" s="4"/>
    </row>
    <row r="8" spans="1:8" ht="18.75" x14ac:dyDescent="0.3">
      <c r="A8" s="5" t="s">
        <v>105</v>
      </c>
      <c r="D8" s="4">
        <v>54942</v>
      </c>
      <c r="E8" s="25" t="s">
        <v>34</v>
      </c>
      <c r="H8" s="4">
        <v>8772</v>
      </c>
    </row>
    <row r="9" spans="1:8" ht="18.75" x14ac:dyDescent="0.3">
      <c r="A9" s="5" t="s">
        <v>106</v>
      </c>
      <c r="C9" s="3"/>
      <c r="D9" s="4">
        <v>706546</v>
      </c>
      <c r="E9" s="25" t="s">
        <v>34</v>
      </c>
      <c r="H9" s="4">
        <v>112810</v>
      </c>
    </row>
    <row r="10" spans="1:8" ht="18.75" x14ac:dyDescent="0.3">
      <c r="A10" s="5" t="s">
        <v>107</v>
      </c>
      <c r="D10" s="4">
        <v>63606</v>
      </c>
      <c r="E10" s="25" t="s">
        <v>34</v>
      </c>
      <c r="H10" s="4">
        <v>10156</v>
      </c>
    </row>
    <row r="11" spans="1:8" ht="18.75" x14ac:dyDescent="0.3">
      <c r="A11" s="5" t="s">
        <v>108</v>
      </c>
      <c r="D11" s="4">
        <v>27370</v>
      </c>
      <c r="E11" s="25" t="s">
        <v>34</v>
      </c>
      <c r="H11" s="4">
        <v>4370</v>
      </c>
    </row>
    <row r="12" spans="1:8" ht="18.75" x14ac:dyDescent="0.3">
      <c r="A12" s="5" t="s">
        <v>108</v>
      </c>
      <c r="C12" s="3"/>
      <c r="D12" s="27">
        <v>11900</v>
      </c>
      <c r="E12" s="25" t="s">
        <v>34</v>
      </c>
      <c r="H12" s="27">
        <v>1900</v>
      </c>
    </row>
    <row r="13" spans="1:8" ht="19.5" thickBot="1" x14ac:dyDescent="0.35">
      <c r="A13" s="5" t="s">
        <v>109</v>
      </c>
      <c r="C13" s="3"/>
      <c r="D13" s="22">
        <v>8818</v>
      </c>
      <c r="E13" s="25" t="s">
        <v>34</v>
      </c>
      <c r="H13" s="22">
        <v>1408</v>
      </c>
    </row>
    <row r="14" spans="1:8" ht="18.75" customHeight="1" x14ac:dyDescent="0.3">
      <c r="D14" s="4">
        <f>SUM(D7:D13)</f>
        <v>873182</v>
      </c>
      <c r="H14" s="4">
        <f>SUM(H7:H13)</f>
        <v>139416</v>
      </c>
    </row>
    <row r="15" spans="1:8" ht="18.75" x14ac:dyDescent="0.3">
      <c r="A15" s="5"/>
      <c r="C15" s="3"/>
      <c r="D15" s="4"/>
      <c r="H15" s="4"/>
    </row>
    <row r="17" spans="1:8" ht="18.75" x14ac:dyDescent="0.3">
      <c r="A17" s="5"/>
      <c r="C17" s="3"/>
      <c r="D17" s="4"/>
      <c r="H17" s="4"/>
    </row>
    <row r="18" spans="1:8" ht="15.75" thickBot="1" x14ac:dyDescent="0.3">
      <c r="D18" s="7"/>
      <c r="H18" s="7"/>
    </row>
    <row r="20" spans="1:8" ht="18.75" x14ac:dyDescent="0.3">
      <c r="C20" t="s">
        <v>4</v>
      </c>
      <c r="D20" s="4">
        <f>D3-D14</f>
        <v>340142</v>
      </c>
      <c r="G20" t="s">
        <v>5</v>
      </c>
      <c r="H20" s="4">
        <f>H3-H14</f>
        <v>54308</v>
      </c>
    </row>
    <row r="23" spans="1:8" ht="15.75" x14ac:dyDescent="0.25">
      <c r="A23" t="s">
        <v>6</v>
      </c>
      <c r="C23" s="8">
        <f>D20</f>
        <v>340142</v>
      </c>
      <c r="E23" t="s">
        <v>10</v>
      </c>
      <c r="H23" s="6">
        <f>C32</f>
        <v>280980.70400000003</v>
      </c>
    </row>
    <row r="25" spans="1:8" ht="15.75" x14ac:dyDescent="0.25">
      <c r="A25" t="s">
        <v>5</v>
      </c>
      <c r="B25" s="9" t="s">
        <v>7</v>
      </c>
      <c r="C25" s="8">
        <f>H20</f>
        <v>54308</v>
      </c>
      <c r="E25" s="13" t="s">
        <v>11</v>
      </c>
      <c r="F25" s="9" t="s">
        <v>12</v>
      </c>
      <c r="G25" s="15" t="s">
        <v>17</v>
      </c>
      <c r="H25" s="3">
        <f>-(F26*0.007)</f>
        <v>-7137.2</v>
      </c>
    </row>
    <row r="26" spans="1:8" x14ac:dyDescent="0.25">
      <c r="F26" s="21">
        <f>D3-H3</f>
        <v>1019600</v>
      </c>
    </row>
    <row r="27" spans="1:8" ht="16.5" thickBot="1" x14ac:dyDescent="0.3">
      <c r="A27" t="s">
        <v>8</v>
      </c>
      <c r="B27" s="9" t="s">
        <v>7</v>
      </c>
      <c r="C27" s="8">
        <f>D3*0.004</f>
        <v>4853.2960000000003</v>
      </c>
      <c r="F27" s="9" t="s">
        <v>13</v>
      </c>
      <c r="G27" s="16">
        <v>0.35</v>
      </c>
      <c r="H27" s="17">
        <f>-(F28*0.35)</f>
        <v>-98343.246400000004</v>
      </c>
    </row>
    <row r="28" spans="1:8" x14ac:dyDescent="0.25">
      <c r="F28" s="21">
        <f>H23</f>
        <v>280980.70400000003</v>
      </c>
    </row>
    <row r="29" spans="1:8" ht="15.75" x14ac:dyDescent="0.25">
      <c r="A29" t="s">
        <v>9</v>
      </c>
      <c r="B29" s="9" t="s">
        <v>7</v>
      </c>
      <c r="C29" s="10"/>
      <c r="G29" s="13" t="s">
        <v>14</v>
      </c>
      <c r="H29" s="6">
        <f>H23+H25+H27</f>
        <v>175500.25760000001</v>
      </c>
    </row>
    <row r="30" spans="1:8" ht="15.75" thickBot="1" x14ac:dyDescent="0.3">
      <c r="A30" s="14"/>
      <c r="C30" s="7"/>
    </row>
    <row r="31" spans="1:8" x14ac:dyDescent="0.25">
      <c r="E31" t="s">
        <v>80</v>
      </c>
      <c r="H31" s="20">
        <f>H29*0.5</f>
        <v>87750.128800000006</v>
      </c>
    </row>
    <row r="32" spans="1:8" ht="15.75" x14ac:dyDescent="0.25">
      <c r="A32" t="s">
        <v>10</v>
      </c>
      <c r="C32" s="10">
        <f>C23-C25-C27-C29</f>
        <v>280980.70400000003</v>
      </c>
      <c r="H32" s="18"/>
    </row>
    <row r="33" spans="8:8" x14ac:dyDescent="0.25">
      <c r="H33" s="3"/>
    </row>
    <row r="34" spans="8:8" x14ac:dyDescent="0.25">
      <c r="H34" s="18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798AF-86E9-4955-8D51-C3B516E9C4D1}">
  <dimension ref="A1:H34"/>
  <sheetViews>
    <sheetView workbookViewId="0">
      <selection activeCell="C5" sqref="C5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3.28515625" bestFit="1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110</v>
      </c>
    </row>
    <row r="3" spans="1:8" ht="21" x14ac:dyDescent="0.35">
      <c r="A3" s="2" t="s">
        <v>1</v>
      </c>
      <c r="D3" s="11">
        <v>120000</v>
      </c>
      <c r="F3" s="12" t="s">
        <v>3</v>
      </c>
      <c r="H3" s="11">
        <v>19160</v>
      </c>
    </row>
    <row r="4" spans="1:8" x14ac:dyDescent="0.25">
      <c r="A4" s="13" t="s">
        <v>32</v>
      </c>
      <c r="C4" s="26">
        <v>267</v>
      </c>
    </row>
    <row r="5" spans="1:8" ht="21" x14ac:dyDescent="0.35">
      <c r="A5" s="2" t="s">
        <v>2</v>
      </c>
    </row>
    <row r="7" spans="1:8" ht="18.75" x14ac:dyDescent="0.3">
      <c r="A7" s="5"/>
      <c r="D7" s="4"/>
      <c r="E7" s="25"/>
      <c r="H7" s="4"/>
    </row>
    <row r="8" spans="1:8" ht="18.75" x14ac:dyDescent="0.3">
      <c r="A8" s="5" t="s">
        <v>111</v>
      </c>
      <c r="D8" s="4">
        <v>83300</v>
      </c>
      <c r="E8" s="25" t="s">
        <v>34</v>
      </c>
      <c r="H8" s="4">
        <v>0</v>
      </c>
    </row>
    <row r="9" spans="1:8" ht="18.75" x14ac:dyDescent="0.3">
      <c r="A9" s="5"/>
      <c r="C9" s="3"/>
      <c r="D9" s="4"/>
      <c r="E9" s="25"/>
      <c r="H9" s="4"/>
    </row>
    <row r="10" spans="1:8" ht="18.75" x14ac:dyDescent="0.3">
      <c r="A10" s="5"/>
      <c r="D10" s="4"/>
      <c r="E10" s="25"/>
      <c r="H10" s="4"/>
    </row>
    <row r="11" spans="1:8" ht="18.75" x14ac:dyDescent="0.3">
      <c r="A11" s="5"/>
      <c r="D11" s="4"/>
      <c r="E11" s="25"/>
      <c r="H11" s="4"/>
    </row>
    <row r="12" spans="1:8" ht="18.75" x14ac:dyDescent="0.3">
      <c r="A12" s="5"/>
      <c r="C12" s="3"/>
      <c r="D12" s="27"/>
      <c r="E12" s="25"/>
      <c r="H12" s="27"/>
    </row>
    <row r="13" spans="1:8" ht="19.5" thickBot="1" x14ac:dyDescent="0.35">
      <c r="A13" s="5"/>
      <c r="C13" s="3"/>
      <c r="D13" s="22"/>
      <c r="E13" s="25"/>
      <c r="H13" s="22"/>
    </row>
    <row r="14" spans="1:8" ht="18.75" customHeight="1" x14ac:dyDescent="0.3">
      <c r="D14" s="4">
        <f>SUM(D7:D13)</f>
        <v>83300</v>
      </c>
      <c r="H14" s="4">
        <f>SUM(H7:H13)</f>
        <v>0</v>
      </c>
    </row>
    <row r="15" spans="1:8" ht="18.75" x14ac:dyDescent="0.3">
      <c r="A15" s="5"/>
      <c r="C15" s="3"/>
      <c r="D15" s="4"/>
      <c r="H15" s="4"/>
    </row>
    <row r="17" spans="1:8" ht="18.75" x14ac:dyDescent="0.3">
      <c r="A17" s="5"/>
      <c r="C17" s="3"/>
      <c r="D17" s="4"/>
      <c r="H17" s="4"/>
    </row>
    <row r="18" spans="1:8" ht="15.75" thickBot="1" x14ac:dyDescent="0.3">
      <c r="D18" s="7"/>
      <c r="H18" s="7"/>
    </row>
    <row r="20" spans="1:8" ht="18.75" x14ac:dyDescent="0.3">
      <c r="C20" t="s">
        <v>4</v>
      </c>
      <c r="D20" s="4">
        <f>D3-D14</f>
        <v>36700</v>
      </c>
      <c r="G20" t="s">
        <v>5</v>
      </c>
      <c r="H20" s="4">
        <f>H3-H14</f>
        <v>19160</v>
      </c>
    </row>
    <row r="23" spans="1:8" ht="15.75" x14ac:dyDescent="0.25">
      <c r="A23" t="s">
        <v>6</v>
      </c>
      <c r="C23" s="8">
        <f>D20</f>
        <v>36700</v>
      </c>
      <c r="E23" t="s">
        <v>10</v>
      </c>
      <c r="H23" s="6">
        <f>C32</f>
        <v>17060</v>
      </c>
    </row>
    <row r="25" spans="1:8" ht="15.75" x14ac:dyDescent="0.25">
      <c r="A25" t="s">
        <v>5</v>
      </c>
      <c r="B25" s="9" t="s">
        <v>7</v>
      </c>
      <c r="C25" s="8">
        <f>H20</f>
        <v>19160</v>
      </c>
      <c r="E25" s="13" t="s">
        <v>11</v>
      </c>
      <c r="F25" s="9" t="s">
        <v>12</v>
      </c>
      <c r="G25" s="15" t="s">
        <v>17</v>
      </c>
      <c r="H25" s="3">
        <f>-(F26*0.007)</f>
        <v>-705.88</v>
      </c>
    </row>
    <row r="26" spans="1:8" x14ac:dyDescent="0.25">
      <c r="F26" s="21">
        <f>D3-H3</f>
        <v>100840</v>
      </c>
    </row>
    <row r="27" spans="1:8" ht="16.5" thickBot="1" x14ac:dyDescent="0.3">
      <c r="A27" t="s">
        <v>8</v>
      </c>
      <c r="B27" s="9" t="s">
        <v>7</v>
      </c>
      <c r="C27" s="8">
        <f>D3*0.004</f>
        <v>480</v>
      </c>
      <c r="F27" s="9" t="s">
        <v>13</v>
      </c>
      <c r="G27" s="16">
        <v>0.35</v>
      </c>
      <c r="H27" s="17">
        <f>-(F28*0.35)</f>
        <v>-5971</v>
      </c>
    </row>
    <row r="28" spans="1:8" x14ac:dyDescent="0.25">
      <c r="F28" s="21">
        <f>H23</f>
        <v>17060</v>
      </c>
    </row>
    <row r="29" spans="1:8" ht="15.75" x14ac:dyDescent="0.25">
      <c r="A29" t="s">
        <v>9</v>
      </c>
      <c r="B29" s="9" t="s">
        <v>7</v>
      </c>
      <c r="C29" s="10"/>
      <c r="G29" s="13" t="s">
        <v>14</v>
      </c>
      <c r="H29" s="6">
        <f>H23+H25+H27</f>
        <v>10383.120000000001</v>
      </c>
    </row>
    <row r="30" spans="1:8" ht="15.75" thickBot="1" x14ac:dyDescent="0.3">
      <c r="A30" s="14"/>
      <c r="C30" s="7"/>
    </row>
    <row r="31" spans="1:8" x14ac:dyDescent="0.25">
      <c r="E31" t="s">
        <v>80</v>
      </c>
      <c r="H31" s="20">
        <f>H29*0.5</f>
        <v>5191.5600000000004</v>
      </c>
    </row>
    <row r="32" spans="1:8" ht="15.75" x14ac:dyDescent="0.25">
      <c r="A32" t="s">
        <v>10</v>
      </c>
      <c r="C32" s="10">
        <f>C23-C25-C27-C29</f>
        <v>17060</v>
      </c>
      <c r="H32" s="18"/>
    </row>
    <row r="33" spans="8:8" x14ac:dyDescent="0.25">
      <c r="H33" s="3"/>
    </row>
    <row r="34" spans="8:8" x14ac:dyDescent="0.25">
      <c r="H34" s="18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B2911-241F-4F97-A270-45D7A977B3AC}">
  <dimension ref="A1:H34"/>
  <sheetViews>
    <sheetView topLeftCell="A19"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3.28515625" bestFit="1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97</v>
      </c>
    </row>
    <row r="3" spans="1:8" ht="21" x14ac:dyDescent="0.35">
      <c r="A3" s="2" t="s">
        <v>1</v>
      </c>
      <c r="D3" s="11">
        <v>257040</v>
      </c>
      <c r="F3" s="12" t="s">
        <v>3</v>
      </c>
      <c r="H3" s="11">
        <v>41040</v>
      </c>
    </row>
    <row r="4" spans="1:8" x14ac:dyDescent="0.25">
      <c r="A4" s="13" t="s">
        <v>32</v>
      </c>
      <c r="C4" s="26">
        <v>270</v>
      </c>
    </row>
    <row r="5" spans="1:8" ht="21" x14ac:dyDescent="0.35">
      <c r="A5" s="2" t="s">
        <v>2</v>
      </c>
    </row>
    <row r="7" spans="1:8" ht="18.75" x14ac:dyDescent="0.3">
      <c r="A7" s="5"/>
      <c r="D7" s="4"/>
      <c r="E7" s="25"/>
      <c r="H7" s="4"/>
    </row>
    <row r="8" spans="1:8" ht="18.75" x14ac:dyDescent="0.3">
      <c r="A8" s="5" t="s">
        <v>112</v>
      </c>
      <c r="D8" s="4">
        <v>154986</v>
      </c>
      <c r="E8" s="25" t="s">
        <v>34</v>
      </c>
      <c r="H8" s="4">
        <v>24745</v>
      </c>
    </row>
    <row r="9" spans="1:8" ht="18.75" x14ac:dyDescent="0.3">
      <c r="A9" s="5"/>
      <c r="C9" s="3"/>
      <c r="D9" s="4"/>
      <c r="E9" s="25"/>
      <c r="H9" s="4"/>
    </row>
    <row r="10" spans="1:8" ht="18.75" x14ac:dyDescent="0.3">
      <c r="A10" s="5"/>
      <c r="D10" s="4"/>
      <c r="E10" s="25"/>
      <c r="H10" s="4"/>
    </row>
    <row r="11" spans="1:8" ht="18.75" x14ac:dyDescent="0.3">
      <c r="A11" s="5"/>
      <c r="D11" s="4"/>
      <c r="E11" s="25"/>
      <c r="H11" s="4"/>
    </row>
    <row r="12" spans="1:8" ht="18.75" x14ac:dyDescent="0.3">
      <c r="A12" s="5"/>
      <c r="C12" s="3"/>
      <c r="D12" s="27"/>
      <c r="E12" s="25"/>
      <c r="H12" s="27"/>
    </row>
    <row r="13" spans="1:8" ht="19.5" thickBot="1" x14ac:dyDescent="0.35">
      <c r="A13" s="5"/>
      <c r="C13" s="3"/>
      <c r="D13" s="22"/>
      <c r="E13" s="25"/>
      <c r="H13" s="22"/>
    </row>
    <row r="14" spans="1:8" ht="18.75" customHeight="1" x14ac:dyDescent="0.3">
      <c r="D14" s="4">
        <f>SUM(D7:D13)</f>
        <v>154986</v>
      </c>
      <c r="H14" s="4">
        <f>SUM(H7:H13)</f>
        <v>24745</v>
      </c>
    </row>
    <row r="15" spans="1:8" ht="18.75" x14ac:dyDescent="0.3">
      <c r="A15" s="5"/>
      <c r="C15" s="3"/>
      <c r="D15" s="4"/>
      <c r="H15" s="4"/>
    </row>
    <row r="17" spans="1:8" ht="18.75" x14ac:dyDescent="0.3">
      <c r="A17" s="5"/>
      <c r="C17" s="3"/>
      <c r="D17" s="4"/>
      <c r="H17" s="4"/>
    </row>
    <row r="18" spans="1:8" ht="15.75" thickBot="1" x14ac:dyDescent="0.3">
      <c r="D18" s="7"/>
      <c r="H18" s="7"/>
    </row>
    <row r="20" spans="1:8" ht="18.75" x14ac:dyDescent="0.3">
      <c r="C20" t="s">
        <v>4</v>
      </c>
      <c r="D20" s="4">
        <f>D3-D14</f>
        <v>102054</v>
      </c>
      <c r="G20" t="s">
        <v>5</v>
      </c>
      <c r="H20" s="4">
        <f>H3-H14</f>
        <v>16295</v>
      </c>
    </row>
    <row r="23" spans="1:8" ht="15.75" x14ac:dyDescent="0.25">
      <c r="A23" t="s">
        <v>6</v>
      </c>
      <c r="C23" s="8">
        <f>D20</f>
        <v>102054</v>
      </c>
      <c r="E23" t="s">
        <v>10</v>
      </c>
      <c r="H23" s="6">
        <f>C32</f>
        <v>73930.84</v>
      </c>
    </row>
    <row r="25" spans="1:8" ht="15.75" x14ac:dyDescent="0.25">
      <c r="A25" t="s">
        <v>5</v>
      </c>
      <c r="B25" s="9" t="s">
        <v>7</v>
      </c>
      <c r="C25" s="8">
        <f>H20</f>
        <v>16295</v>
      </c>
      <c r="E25" s="13" t="s">
        <v>11</v>
      </c>
      <c r="F25" s="9" t="s">
        <v>12</v>
      </c>
      <c r="G25" s="15" t="s">
        <v>17</v>
      </c>
      <c r="H25" s="3">
        <f>-(F26*0.007)</f>
        <v>-1512</v>
      </c>
    </row>
    <row r="26" spans="1:8" x14ac:dyDescent="0.25">
      <c r="F26" s="21">
        <f>D3-H3</f>
        <v>216000</v>
      </c>
    </row>
    <row r="27" spans="1:8" ht="16.5" thickBot="1" x14ac:dyDescent="0.3">
      <c r="A27" t="s">
        <v>8</v>
      </c>
      <c r="B27" s="9" t="s">
        <v>7</v>
      </c>
      <c r="C27" s="8">
        <f>D3*0.004</f>
        <v>1028.1600000000001</v>
      </c>
      <c r="F27" s="9" t="s">
        <v>13</v>
      </c>
      <c r="G27" s="16">
        <v>0.35</v>
      </c>
      <c r="H27" s="17">
        <f>-(F28*0.35)</f>
        <v>-25875.793999999998</v>
      </c>
    </row>
    <row r="28" spans="1:8" x14ac:dyDescent="0.25">
      <c r="F28" s="21">
        <f>H23</f>
        <v>73930.84</v>
      </c>
    </row>
    <row r="29" spans="1:8" ht="15.75" x14ac:dyDescent="0.25">
      <c r="A29" t="s">
        <v>9</v>
      </c>
      <c r="B29" s="9" t="s">
        <v>7</v>
      </c>
      <c r="C29" s="10">
        <f>F26*0.05</f>
        <v>10800</v>
      </c>
      <c r="G29" s="13" t="s">
        <v>14</v>
      </c>
      <c r="H29" s="6">
        <f>H23+H25+H27</f>
        <v>46543.046000000002</v>
      </c>
    </row>
    <row r="30" spans="1:8" ht="15.75" thickBot="1" x14ac:dyDescent="0.3">
      <c r="A30" s="16">
        <v>0.05</v>
      </c>
      <c r="B30" s="14" t="s">
        <v>18</v>
      </c>
      <c r="C30" s="7"/>
    </row>
    <row r="31" spans="1:8" x14ac:dyDescent="0.25">
      <c r="E31" t="s">
        <v>85</v>
      </c>
      <c r="H31" s="20">
        <f>H29*0.5</f>
        <v>23271.523000000001</v>
      </c>
    </row>
    <row r="32" spans="1:8" ht="15.75" x14ac:dyDescent="0.25">
      <c r="A32" t="s">
        <v>10</v>
      </c>
      <c r="C32" s="10">
        <f>C23-C25-C27-C29</f>
        <v>73930.84</v>
      </c>
      <c r="H32" s="18"/>
    </row>
    <row r="33" spans="8:8" x14ac:dyDescent="0.25">
      <c r="H33" s="3"/>
    </row>
    <row r="34" spans="8:8" x14ac:dyDescent="0.25">
      <c r="H34" s="18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50A83-A86C-479D-82EB-539178C55467}">
  <dimension ref="A1:H34"/>
  <sheetViews>
    <sheetView topLeftCell="A25" workbookViewId="0">
      <selection activeCell="A16"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3.28515625" bestFit="1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113</v>
      </c>
    </row>
    <row r="3" spans="1:8" ht="21" x14ac:dyDescent="0.35">
      <c r="A3" s="2" t="s">
        <v>1</v>
      </c>
      <c r="D3" s="11">
        <v>652120</v>
      </c>
      <c r="F3" s="12" t="s">
        <v>3</v>
      </c>
      <c r="H3" s="11">
        <v>104120</v>
      </c>
    </row>
    <row r="4" spans="1:8" x14ac:dyDescent="0.25">
      <c r="A4" s="13" t="s">
        <v>32</v>
      </c>
      <c r="C4" s="26">
        <v>271</v>
      </c>
    </row>
    <row r="5" spans="1:8" ht="21" x14ac:dyDescent="0.35">
      <c r="A5" s="2" t="s">
        <v>2</v>
      </c>
    </row>
    <row r="7" spans="1:8" ht="18.75" x14ac:dyDescent="0.3">
      <c r="A7" s="5"/>
      <c r="D7" s="4"/>
      <c r="E7" s="25"/>
      <c r="H7" s="4"/>
    </row>
    <row r="8" spans="1:8" ht="18.75" x14ac:dyDescent="0.3">
      <c r="A8" s="5" t="s">
        <v>114</v>
      </c>
      <c r="D8" s="4">
        <v>94962</v>
      </c>
      <c r="E8" s="25" t="s">
        <v>34</v>
      </c>
      <c r="H8" s="4">
        <v>15162</v>
      </c>
    </row>
    <row r="9" spans="1:8" ht="18.75" x14ac:dyDescent="0.3">
      <c r="A9" s="5" t="s">
        <v>115</v>
      </c>
      <c r="C9" s="3"/>
      <c r="D9" s="4">
        <v>160650</v>
      </c>
      <c r="E9" s="25"/>
      <c r="H9" s="4">
        <v>25650</v>
      </c>
    </row>
    <row r="10" spans="1:8" ht="18.75" x14ac:dyDescent="0.3">
      <c r="A10" s="5" t="s">
        <v>116</v>
      </c>
      <c r="D10" s="4">
        <v>208309</v>
      </c>
      <c r="E10" s="25"/>
      <c r="H10" s="4">
        <v>33259</v>
      </c>
    </row>
    <row r="11" spans="1:8" ht="18.75" x14ac:dyDescent="0.3">
      <c r="A11" s="5"/>
      <c r="D11" s="4"/>
      <c r="E11" s="25"/>
      <c r="H11" s="4"/>
    </row>
    <row r="12" spans="1:8" ht="18.75" x14ac:dyDescent="0.3">
      <c r="A12" s="5"/>
      <c r="C12" s="3"/>
      <c r="D12" s="27"/>
      <c r="E12" s="25"/>
      <c r="H12" s="27"/>
    </row>
    <row r="13" spans="1:8" ht="19.5" thickBot="1" x14ac:dyDescent="0.35">
      <c r="A13" s="5"/>
      <c r="C13" s="3"/>
      <c r="D13" s="22"/>
      <c r="E13" s="25"/>
      <c r="H13" s="22"/>
    </row>
    <row r="14" spans="1:8" ht="18.75" customHeight="1" x14ac:dyDescent="0.3">
      <c r="D14" s="4">
        <f>SUM(D7:D13)</f>
        <v>463921</v>
      </c>
      <c r="H14" s="4">
        <f>SUM(H7:H13)</f>
        <v>74071</v>
      </c>
    </row>
    <row r="15" spans="1:8" ht="18.75" x14ac:dyDescent="0.3">
      <c r="A15" s="5"/>
      <c r="C15" s="3"/>
      <c r="D15" s="4"/>
      <c r="H15" s="4"/>
    </row>
    <row r="17" spans="1:8" ht="18.75" x14ac:dyDescent="0.3">
      <c r="A17" s="5"/>
      <c r="C17" s="3"/>
      <c r="D17" s="4"/>
      <c r="H17" s="4"/>
    </row>
    <row r="18" spans="1:8" ht="15.75" thickBot="1" x14ac:dyDescent="0.3">
      <c r="D18" s="7"/>
      <c r="H18" s="7"/>
    </row>
    <row r="20" spans="1:8" ht="18.75" x14ac:dyDescent="0.3">
      <c r="C20" t="s">
        <v>4</v>
      </c>
      <c r="D20" s="4">
        <f>D3-D14</f>
        <v>188199</v>
      </c>
      <c r="G20" t="s">
        <v>5</v>
      </c>
      <c r="H20" s="4">
        <f>H3-H14</f>
        <v>30049</v>
      </c>
    </row>
    <row r="23" spans="1:8" ht="15.75" x14ac:dyDescent="0.25">
      <c r="A23" t="s">
        <v>6</v>
      </c>
      <c r="C23" s="8">
        <f>D20</f>
        <v>188199</v>
      </c>
      <c r="E23" t="s">
        <v>10</v>
      </c>
      <c r="H23" s="6">
        <f>C32</f>
        <v>155541.51999999999</v>
      </c>
    </row>
    <row r="25" spans="1:8" ht="15.75" x14ac:dyDescent="0.25">
      <c r="A25" t="s">
        <v>5</v>
      </c>
      <c r="B25" s="9" t="s">
        <v>7</v>
      </c>
      <c r="C25" s="8">
        <f>H20</f>
        <v>30049</v>
      </c>
      <c r="E25" s="13" t="s">
        <v>11</v>
      </c>
      <c r="F25" s="9" t="s">
        <v>12</v>
      </c>
      <c r="G25" s="15" t="s">
        <v>17</v>
      </c>
      <c r="H25" s="3">
        <f>-(F26*0.007)</f>
        <v>-3836</v>
      </c>
    </row>
    <row r="26" spans="1:8" x14ac:dyDescent="0.25">
      <c r="F26" s="21">
        <f>D3-H3</f>
        <v>548000</v>
      </c>
    </row>
    <row r="27" spans="1:8" ht="16.5" thickBot="1" x14ac:dyDescent="0.3">
      <c r="A27" t="s">
        <v>8</v>
      </c>
      <c r="B27" s="9" t="s">
        <v>7</v>
      </c>
      <c r="C27" s="8">
        <f>D3*0.004</f>
        <v>2608.48</v>
      </c>
      <c r="F27" s="9" t="s">
        <v>13</v>
      </c>
      <c r="G27" s="16">
        <v>0.35</v>
      </c>
      <c r="H27" s="17">
        <f>-(F28*0.35)</f>
        <v>-54439.531999999992</v>
      </c>
    </row>
    <row r="28" spans="1:8" x14ac:dyDescent="0.25">
      <c r="F28" s="21">
        <f>H23</f>
        <v>155541.51999999999</v>
      </c>
    </row>
    <row r="29" spans="1:8" ht="15.75" x14ac:dyDescent="0.25">
      <c r="A29" t="s">
        <v>9</v>
      </c>
      <c r="B29" s="9" t="s">
        <v>7</v>
      </c>
      <c r="C29" s="10"/>
      <c r="G29" s="13" t="s">
        <v>14</v>
      </c>
      <c r="H29" s="6">
        <f>H23+H25+H27</f>
        <v>97265.987999999998</v>
      </c>
    </row>
    <row r="30" spans="1:8" ht="15.75" thickBot="1" x14ac:dyDescent="0.3">
      <c r="A30" s="16"/>
      <c r="B30" s="14"/>
      <c r="C30" s="7"/>
    </row>
    <row r="31" spans="1:8" x14ac:dyDescent="0.25">
      <c r="E31" t="s">
        <v>85</v>
      </c>
      <c r="H31" s="20">
        <f>H29*0.5</f>
        <v>48632.993999999999</v>
      </c>
    </row>
    <row r="32" spans="1:8" ht="15.75" x14ac:dyDescent="0.25">
      <c r="A32" t="s">
        <v>10</v>
      </c>
      <c r="C32" s="10">
        <f>C23-C25-C27-C29</f>
        <v>155541.51999999999</v>
      </c>
      <c r="H32" s="18"/>
    </row>
    <row r="33" spans="8:8" x14ac:dyDescent="0.25">
      <c r="H33" s="3"/>
    </row>
    <row r="34" spans="8:8" x14ac:dyDescent="0.25">
      <c r="H34" s="18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5CA2B-750B-4FF2-A84F-06FAF7E74055}">
  <dimension ref="A1:H34"/>
  <sheetViews>
    <sheetView topLeftCell="A19" workbookViewId="0">
      <selection activeCell="C4" sqref="C4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3.28515625" bestFit="1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118</v>
      </c>
    </row>
    <row r="3" spans="1:8" ht="21" x14ac:dyDescent="0.35">
      <c r="A3" s="2" t="s">
        <v>1</v>
      </c>
      <c r="D3" s="11">
        <v>233240</v>
      </c>
      <c r="F3" s="12" t="s">
        <v>3</v>
      </c>
      <c r="H3" s="11">
        <v>37240</v>
      </c>
    </row>
    <row r="4" spans="1:8" x14ac:dyDescent="0.25">
      <c r="A4" s="13" t="s">
        <v>32</v>
      </c>
      <c r="C4" s="26">
        <v>274</v>
      </c>
    </row>
    <row r="5" spans="1:8" ht="21" x14ac:dyDescent="0.35">
      <c r="A5" s="2" t="s">
        <v>2</v>
      </c>
    </row>
    <row r="7" spans="1:8" ht="18.75" x14ac:dyDescent="0.3">
      <c r="A7" s="5"/>
      <c r="D7" s="4"/>
      <c r="E7" s="25"/>
      <c r="H7" s="4"/>
    </row>
    <row r="8" spans="1:8" ht="18.75" x14ac:dyDescent="0.3">
      <c r="A8" s="5" t="s">
        <v>117</v>
      </c>
      <c r="D8" s="4">
        <v>92963</v>
      </c>
      <c r="E8" s="25" t="s">
        <v>34</v>
      </c>
      <c r="H8" s="4">
        <v>14843</v>
      </c>
    </row>
    <row r="9" spans="1:8" ht="18.75" x14ac:dyDescent="0.3">
      <c r="A9" s="5" t="s">
        <v>119</v>
      </c>
      <c r="C9" s="3"/>
      <c r="D9" s="4">
        <v>75208</v>
      </c>
      <c r="E9" s="25" t="s">
        <v>34</v>
      </c>
      <c r="H9" s="4">
        <v>12008</v>
      </c>
    </row>
    <row r="10" spans="1:8" ht="18.75" x14ac:dyDescent="0.3">
      <c r="A10" s="5"/>
      <c r="D10" s="4"/>
      <c r="E10" s="25"/>
      <c r="H10" s="4"/>
    </row>
    <row r="11" spans="1:8" ht="18.75" x14ac:dyDescent="0.3">
      <c r="A11" s="5"/>
      <c r="D11" s="4"/>
      <c r="E11" s="25"/>
      <c r="H11" s="4"/>
    </row>
    <row r="12" spans="1:8" ht="18.75" x14ac:dyDescent="0.3">
      <c r="A12" s="5"/>
      <c r="C12" s="3"/>
      <c r="D12" s="27"/>
      <c r="E12" s="25"/>
      <c r="H12" s="27"/>
    </row>
    <row r="13" spans="1:8" ht="19.5" thickBot="1" x14ac:dyDescent="0.35">
      <c r="A13" s="5"/>
      <c r="C13" s="3"/>
      <c r="D13" s="22"/>
      <c r="E13" s="25"/>
      <c r="H13" s="22"/>
    </row>
    <row r="14" spans="1:8" ht="18.75" customHeight="1" x14ac:dyDescent="0.3">
      <c r="D14" s="4">
        <f>SUM(D7:D13)</f>
        <v>168171</v>
      </c>
      <c r="H14" s="4">
        <f>SUM(H7:H13)</f>
        <v>26851</v>
      </c>
    </row>
    <row r="15" spans="1:8" ht="18.75" x14ac:dyDescent="0.3">
      <c r="A15" s="5"/>
      <c r="C15" s="3"/>
      <c r="D15" s="4"/>
      <c r="H15" s="4"/>
    </row>
    <row r="17" spans="1:8" ht="18.75" x14ac:dyDescent="0.3">
      <c r="A17" s="5"/>
      <c r="C17" s="3"/>
      <c r="D17" s="4"/>
      <c r="H17" s="4"/>
    </row>
    <row r="18" spans="1:8" ht="15.75" thickBot="1" x14ac:dyDescent="0.3">
      <c r="D18" s="7"/>
      <c r="H18" s="7"/>
    </row>
    <row r="20" spans="1:8" ht="18.75" x14ac:dyDescent="0.3">
      <c r="C20" t="s">
        <v>4</v>
      </c>
      <c r="D20" s="4">
        <f>D3-D14</f>
        <v>65069</v>
      </c>
      <c r="G20" t="s">
        <v>5</v>
      </c>
      <c r="H20" s="4">
        <f>H3-H14</f>
        <v>10389</v>
      </c>
    </row>
    <row r="23" spans="1:8" ht="15.75" x14ac:dyDescent="0.25">
      <c r="A23" t="s">
        <v>6</v>
      </c>
      <c r="C23" s="8">
        <f>D20</f>
        <v>65069</v>
      </c>
      <c r="E23" t="s">
        <v>10</v>
      </c>
      <c r="H23" s="6">
        <f>C32</f>
        <v>53747.040000000001</v>
      </c>
    </row>
    <row r="25" spans="1:8" ht="15.75" x14ac:dyDescent="0.25">
      <c r="A25" t="s">
        <v>5</v>
      </c>
      <c r="B25" s="9" t="s">
        <v>7</v>
      </c>
      <c r="C25" s="8">
        <f>H20</f>
        <v>10389</v>
      </c>
      <c r="E25" s="13" t="s">
        <v>11</v>
      </c>
      <c r="F25" s="9" t="s">
        <v>12</v>
      </c>
      <c r="G25" s="15" t="s">
        <v>17</v>
      </c>
      <c r="H25" s="3">
        <f>-(F26*0.007)</f>
        <v>-1372</v>
      </c>
    </row>
    <row r="26" spans="1:8" x14ac:dyDescent="0.25">
      <c r="F26" s="21">
        <f>D3-H3</f>
        <v>196000</v>
      </c>
    </row>
    <row r="27" spans="1:8" ht="16.5" thickBot="1" x14ac:dyDescent="0.3">
      <c r="A27" t="s">
        <v>8</v>
      </c>
      <c r="B27" s="9" t="s">
        <v>7</v>
      </c>
      <c r="C27" s="8">
        <f>D3*0.004</f>
        <v>932.96</v>
      </c>
      <c r="F27" s="9" t="s">
        <v>13</v>
      </c>
      <c r="G27" s="16">
        <v>0.35</v>
      </c>
      <c r="H27" s="17">
        <f>-(F28*0.35)</f>
        <v>-18811.464</v>
      </c>
    </row>
    <row r="28" spans="1:8" x14ac:dyDescent="0.25">
      <c r="F28" s="21">
        <f>H23</f>
        <v>53747.040000000001</v>
      </c>
    </row>
    <row r="29" spans="1:8" ht="15.75" x14ac:dyDescent="0.25">
      <c r="A29" t="s">
        <v>9</v>
      </c>
      <c r="B29" s="9" t="s">
        <v>7</v>
      </c>
      <c r="C29" s="10"/>
      <c r="G29" s="13" t="s">
        <v>14</v>
      </c>
      <c r="H29" s="6">
        <f>H23+H25+H27</f>
        <v>33563.576000000001</v>
      </c>
    </row>
    <row r="30" spans="1:8" ht="15.75" thickBot="1" x14ac:dyDescent="0.3">
      <c r="A30" s="16"/>
      <c r="B30" s="14"/>
      <c r="C30" s="7"/>
    </row>
    <row r="31" spans="1:8" x14ac:dyDescent="0.25">
      <c r="E31" t="s">
        <v>85</v>
      </c>
      <c r="H31" s="20">
        <f>H29*0.5</f>
        <v>16781.788</v>
      </c>
    </row>
    <row r="32" spans="1:8" ht="15.75" x14ac:dyDescent="0.25">
      <c r="A32" t="s">
        <v>10</v>
      </c>
      <c r="C32" s="10">
        <f>C23-C25-C27-C29</f>
        <v>53747.040000000001</v>
      </c>
      <c r="H32" s="18"/>
    </row>
    <row r="33" spans="8:8" x14ac:dyDescent="0.25">
      <c r="H33" s="3"/>
    </row>
    <row r="34" spans="8:8" x14ac:dyDescent="0.25">
      <c r="H34" s="18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24441-51CF-40B1-8709-251E15BE6E63}">
  <dimension ref="A1:H34"/>
  <sheetViews>
    <sheetView topLeftCell="A19" workbookViewId="0">
      <selection activeCell="C4" sqref="C4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3.28515625" bestFit="1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120</v>
      </c>
    </row>
    <row r="3" spans="1:8" ht="21" x14ac:dyDescent="0.35">
      <c r="A3" s="2" t="s">
        <v>1</v>
      </c>
      <c r="D3" s="11">
        <v>625524</v>
      </c>
      <c r="F3" s="12" t="s">
        <v>3</v>
      </c>
      <c r="H3" s="11">
        <v>99874</v>
      </c>
    </row>
    <row r="4" spans="1:8" x14ac:dyDescent="0.25">
      <c r="A4" s="13" t="s">
        <v>32</v>
      </c>
      <c r="C4" s="26">
        <v>275</v>
      </c>
    </row>
    <row r="5" spans="1:8" ht="21" x14ac:dyDescent="0.35">
      <c r="A5" s="2" t="s">
        <v>2</v>
      </c>
    </row>
    <row r="7" spans="1:8" ht="18.75" x14ac:dyDescent="0.3">
      <c r="A7" s="5"/>
      <c r="D7" s="4"/>
      <c r="E7" s="25"/>
      <c r="H7" s="4"/>
    </row>
    <row r="8" spans="1:8" ht="18.75" x14ac:dyDescent="0.3">
      <c r="A8" s="5" t="s">
        <v>121</v>
      </c>
      <c r="D8" s="4">
        <v>416119</v>
      </c>
      <c r="E8" s="25" t="s">
        <v>34</v>
      </c>
      <c r="H8" s="4">
        <v>66439</v>
      </c>
    </row>
    <row r="9" spans="1:8" ht="18.75" x14ac:dyDescent="0.3">
      <c r="A9" s="5" t="s">
        <v>122</v>
      </c>
      <c r="C9" s="3"/>
      <c r="D9" s="4">
        <v>41341</v>
      </c>
      <c r="E9" s="25" t="s">
        <v>34</v>
      </c>
      <c r="H9" s="4">
        <v>6601</v>
      </c>
    </row>
    <row r="10" spans="1:8" ht="18.75" x14ac:dyDescent="0.3">
      <c r="A10" s="5" t="s">
        <v>39</v>
      </c>
      <c r="D10" s="4">
        <v>25000</v>
      </c>
      <c r="E10" s="25"/>
      <c r="H10" s="4"/>
    </row>
    <row r="11" spans="1:8" ht="18.75" x14ac:dyDescent="0.3">
      <c r="A11" s="5"/>
      <c r="D11" s="4"/>
      <c r="E11" s="25"/>
      <c r="H11" s="4"/>
    </row>
    <row r="12" spans="1:8" ht="18.75" x14ac:dyDescent="0.3">
      <c r="A12" s="5"/>
      <c r="C12" s="3"/>
      <c r="D12" s="27"/>
      <c r="E12" s="25"/>
      <c r="H12" s="27"/>
    </row>
    <row r="13" spans="1:8" ht="19.5" thickBot="1" x14ac:dyDescent="0.35">
      <c r="A13" s="5"/>
      <c r="C13" s="3"/>
      <c r="D13" s="22"/>
      <c r="E13" s="25"/>
      <c r="H13" s="22"/>
    </row>
    <row r="14" spans="1:8" ht="18.75" customHeight="1" x14ac:dyDescent="0.3">
      <c r="D14" s="4">
        <f>SUM(D7:D13)</f>
        <v>482460</v>
      </c>
      <c r="H14" s="4">
        <f>SUM(H7:H13)</f>
        <v>73040</v>
      </c>
    </row>
    <row r="15" spans="1:8" ht="18.75" x14ac:dyDescent="0.3">
      <c r="A15" s="5"/>
      <c r="C15" s="3"/>
      <c r="D15" s="4"/>
      <c r="H15" s="4"/>
    </row>
    <row r="17" spans="1:8" ht="18.75" x14ac:dyDescent="0.3">
      <c r="A17" s="5"/>
      <c r="C17" s="3"/>
      <c r="D17" s="4"/>
      <c r="H17" s="4"/>
    </row>
    <row r="18" spans="1:8" ht="15.75" thickBot="1" x14ac:dyDescent="0.3">
      <c r="D18" s="7"/>
      <c r="H18" s="7"/>
    </row>
    <row r="20" spans="1:8" ht="18.75" x14ac:dyDescent="0.3">
      <c r="C20" t="s">
        <v>4</v>
      </c>
      <c r="D20" s="4">
        <f>D3-D14</f>
        <v>143064</v>
      </c>
      <c r="G20" t="s">
        <v>5</v>
      </c>
      <c r="H20" s="4">
        <f>H3-H14</f>
        <v>26834</v>
      </c>
    </row>
    <row r="23" spans="1:8" ht="15.75" x14ac:dyDescent="0.25">
      <c r="A23" t="s">
        <v>6</v>
      </c>
      <c r="C23" s="8">
        <f>D20</f>
        <v>143064</v>
      </c>
      <c r="E23" t="s">
        <v>10</v>
      </c>
      <c r="H23" s="6">
        <f>C32</f>
        <v>113727.90399999999</v>
      </c>
    </row>
    <row r="25" spans="1:8" ht="15.75" x14ac:dyDescent="0.25">
      <c r="A25" t="s">
        <v>5</v>
      </c>
      <c r="B25" s="9" t="s">
        <v>7</v>
      </c>
      <c r="C25" s="8">
        <f>H20</f>
        <v>26834</v>
      </c>
      <c r="E25" s="13" t="s">
        <v>11</v>
      </c>
      <c r="F25" s="9" t="s">
        <v>12</v>
      </c>
      <c r="G25" s="15" t="s">
        <v>17</v>
      </c>
      <c r="H25" s="3">
        <f>-(F26*0.007)</f>
        <v>-3679.55</v>
      </c>
    </row>
    <row r="26" spans="1:8" x14ac:dyDescent="0.25">
      <c r="F26" s="21">
        <f>D3-H3</f>
        <v>525650</v>
      </c>
    </row>
    <row r="27" spans="1:8" ht="16.5" thickBot="1" x14ac:dyDescent="0.3">
      <c r="A27" t="s">
        <v>8</v>
      </c>
      <c r="B27" s="9" t="s">
        <v>7</v>
      </c>
      <c r="C27" s="8">
        <f>D3*0.004</f>
        <v>2502.096</v>
      </c>
      <c r="F27" s="9" t="s">
        <v>13</v>
      </c>
      <c r="G27" s="16">
        <v>0.35</v>
      </c>
      <c r="H27" s="17">
        <f>-(F28*0.35)</f>
        <v>-39804.766399999993</v>
      </c>
    </row>
    <row r="28" spans="1:8" x14ac:dyDescent="0.25">
      <c r="F28" s="21">
        <f>H23</f>
        <v>113727.90399999999</v>
      </c>
    </row>
    <row r="29" spans="1:8" ht="15.75" x14ac:dyDescent="0.25">
      <c r="A29" t="s">
        <v>9</v>
      </c>
      <c r="B29" s="9" t="s">
        <v>7</v>
      </c>
      <c r="C29" s="10"/>
      <c r="G29" s="13" t="s">
        <v>14</v>
      </c>
      <c r="H29" s="6">
        <f>H23+H25+H27</f>
        <v>70243.587599999999</v>
      </c>
    </row>
    <row r="30" spans="1:8" ht="15.75" thickBot="1" x14ac:dyDescent="0.3">
      <c r="A30" s="16"/>
      <c r="B30" s="14"/>
      <c r="C30" s="7"/>
    </row>
    <row r="31" spans="1:8" x14ac:dyDescent="0.25">
      <c r="E31" t="s">
        <v>85</v>
      </c>
      <c r="H31" s="20">
        <f>H29*0.5</f>
        <v>35121.793799999999</v>
      </c>
    </row>
    <row r="32" spans="1:8" ht="15.75" x14ac:dyDescent="0.25">
      <c r="A32" t="s">
        <v>10</v>
      </c>
      <c r="C32" s="10">
        <f>C23-C25-C27-C29</f>
        <v>113727.90399999999</v>
      </c>
      <c r="H32" s="18"/>
    </row>
    <row r="33" spans="8:8" x14ac:dyDescent="0.25">
      <c r="H33" s="3"/>
    </row>
    <row r="34" spans="8:8" x14ac:dyDescent="0.25">
      <c r="H34" s="18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2C734-2A12-4527-AD20-690D548A641A}">
  <dimension ref="A1:H35"/>
  <sheetViews>
    <sheetView topLeftCell="A22"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3.28515625" bestFit="1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123</v>
      </c>
    </row>
    <row r="3" spans="1:8" ht="21" x14ac:dyDescent="0.35">
      <c r="A3" s="2" t="s">
        <v>1</v>
      </c>
      <c r="D3" s="11">
        <v>1023400</v>
      </c>
      <c r="F3" s="12" t="s">
        <v>3</v>
      </c>
      <c r="H3" s="11">
        <v>163400</v>
      </c>
    </row>
    <row r="4" spans="1:8" x14ac:dyDescent="0.25">
      <c r="A4" s="13" t="s">
        <v>32</v>
      </c>
      <c r="C4" s="26">
        <v>276</v>
      </c>
    </row>
    <row r="5" spans="1:8" ht="21" x14ac:dyDescent="0.35">
      <c r="A5" s="2" t="s">
        <v>2</v>
      </c>
    </row>
    <row r="7" spans="1:8" ht="18.75" x14ac:dyDescent="0.3">
      <c r="A7" s="5"/>
      <c r="D7" s="4"/>
      <c r="E7" s="25"/>
      <c r="H7" s="4"/>
    </row>
    <row r="8" spans="1:8" ht="18.75" x14ac:dyDescent="0.3">
      <c r="A8" s="5" t="s">
        <v>124</v>
      </c>
      <c r="D8" s="4">
        <v>236691</v>
      </c>
      <c r="E8" s="25" t="s">
        <v>34</v>
      </c>
      <c r="H8" s="4">
        <v>37791</v>
      </c>
    </row>
    <row r="9" spans="1:8" ht="18.75" x14ac:dyDescent="0.3">
      <c r="A9" s="5" t="s">
        <v>125</v>
      </c>
      <c r="C9" s="3"/>
      <c r="D9" s="4">
        <v>85309</v>
      </c>
      <c r="E9" s="25" t="s">
        <v>34</v>
      </c>
      <c r="H9" s="4">
        <v>13621</v>
      </c>
    </row>
    <row r="10" spans="1:8" ht="18.75" x14ac:dyDescent="0.3">
      <c r="A10" s="5" t="s">
        <v>126</v>
      </c>
      <c r="D10" s="4">
        <v>60800</v>
      </c>
      <c r="E10" s="25" t="s">
        <v>34</v>
      </c>
      <c r="H10" s="4">
        <v>3193</v>
      </c>
    </row>
    <row r="11" spans="1:8" ht="18.75" x14ac:dyDescent="0.3">
      <c r="A11" s="5" t="s">
        <v>127</v>
      </c>
      <c r="D11" s="4">
        <v>30000</v>
      </c>
      <c r="E11" s="25" t="s">
        <v>34</v>
      </c>
      <c r="H11" s="4">
        <v>0</v>
      </c>
    </row>
    <row r="12" spans="1:8" ht="18.75" x14ac:dyDescent="0.3">
      <c r="A12" s="5" t="s">
        <v>128</v>
      </c>
      <c r="C12" s="3"/>
      <c r="D12" s="27">
        <v>70448</v>
      </c>
      <c r="E12" s="25" t="s">
        <v>34</v>
      </c>
      <c r="H12" s="27">
        <v>11248</v>
      </c>
    </row>
    <row r="13" spans="1:8" ht="18.75" x14ac:dyDescent="0.3">
      <c r="A13" s="5" t="s">
        <v>129</v>
      </c>
      <c r="C13" s="3"/>
      <c r="D13" s="28">
        <v>71400</v>
      </c>
      <c r="E13" s="25" t="s">
        <v>34</v>
      </c>
      <c r="H13" s="28">
        <v>11400</v>
      </c>
    </row>
    <row r="14" spans="1:8" ht="19.5" thickBot="1" x14ac:dyDescent="0.35">
      <c r="A14" s="5" t="s">
        <v>130</v>
      </c>
      <c r="C14" s="3"/>
      <c r="D14" s="22">
        <v>95200</v>
      </c>
      <c r="E14" s="25" t="s">
        <v>34</v>
      </c>
      <c r="H14" s="22">
        <v>15200</v>
      </c>
    </row>
    <row r="15" spans="1:8" ht="18.75" customHeight="1" x14ac:dyDescent="0.3">
      <c r="D15" s="4">
        <f>SUM(D7:D14)</f>
        <v>649848</v>
      </c>
      <c r="H15" s="4">
        <f>SUM(H7:H14)</f>
        <v>92453</v>
      </c>
    </row>
    <row r="16" spans="1:8" ht="18.75" x14ac:dyDescent="0.3">
      <c r="A16" s="5"/>
      <c r="C16" s="3"/>
      <c r="D16" s="4"/>
      <c r="H16" s="4"/>
    </row>
    <row r="18" spans="1:8" ht="18.75" x14ac:dyDescent="0.3">
      <c r="A18" s="5"/>
      <c r="C18" s="3"/>
      <c r="D18" s="4"/>
      <c r="H18" s="4"/>
    </row>
    <row r="19" spans="1:8" ht="15.75" thickBot="1" x14ac:dyDescent="0.3">
      <c r="D19" s="7"/>
      <c r="H19" s="7"/>
    </row>
    <row r="21" spans="1:8" ht="18.75" x14ac:dyDescent="0.3">
      <c r="C21" t="s">
        <v>4</v>
      </c>
      <c r="D21" s="4">
        <f>D3-D15</f>
        <v>373552</v>
      </c>
      <c r="G21" t="s">
        <v>5</v>
      </c>
      <c r="H21" s="4">
        <f>H3-H15</f>
        <v>70947</v>
      </c>
    </row>
    <row r="24" spans="1:8" ht="15.75" x14ac:dyDescent="0.25">
      <c r="A24" t="s">
        <v>6</v>
      </c>
      <c r="C24" s="8">
        <f>D21</f>
        <v>373552</v>
      </c>
      <c r="E24" t="s">
        <v>10</v>
      </c>
      <c r="H24" s="6">
        <f>C33</f>
        <v>298511.40000000002</v>
      </c>
    </row>
    <row r="26" spans="1:8" ht="15.75" x14ac:dyDescent="0.25">
      <c r="A26" t="s">
        <v>5</v>
      </c>
      <c r="B26" s="9" t="s">
        <v>7</v>
      </c>
      <c r="C26" s="8">
        <f>H21</f>
        <v>70947</v>
      </c>
      <c r="E26" s="13" t="s">
        <v>11</v>
      </c>
      <c r="F26" s="9" t="s">
        <v>12</v>
      </c>
      <c r="G26" s="15" t="s">
        <v>17</v>
      </c>
      <c r="H26" s="3">
        <f>-(F27*0.007)</f>
        <v>-6020</v>
      </c>
    </row>
    <row r="27" spans="1:8" x14ac:dyDescent="0.25">
      <c r="F27" s="21">
        <f>D3-H3</f>
        <v>860000</v>
      </c>
    </row>
    <row r="28" spans="1:8" ht="16.5" thickBot="1" x14ac:dyDescent="0.3">
      <c r="A28" t="s">
        <v>8</v>
      </c>
      <c r="B28" s="9" t="s">
        <v>7</v>
      </c>
      <c r="C28" s="8">
        <f>D3*0.004</f>
        <v>4093.6</v>
      </c>
      <c r="F28" s="9" t="s">
        <v>13</v>
      </c>
      <c r="G28" s="16">
        <v>0.35</v>
      </c>
      <c r="H28" s="17">
        <f>-(F29*0.35)</f>
        <v>-104478.99</v>
      </c>
    </row>
    <row r="29" spans="1:8" x14ac:dyDescent="0.25">
      <c r="F29" s="21">
        <f>H24</f>
        <v>298511.40000000002</v>
      </c>
    </row>
    <row r="30" spans="1:8" ht="15.75" x14ac:dyDescent="0.25">
      <c r="A30" t="s">
        <v>9</v>
      </c>
      <c r="B30" s="9" t="s">
        <v>7</v>
      </c>
      <c r="C30" s="10"/>
      <c r="G30" s="13" t="s">
        <v>14</v>
      </c>
      <c r="H30" s="6">
        <f>H24+H26+H28</f>
        <v>188012.41000000003</v>
      </c>
    </row>
    <row r="31" spans="1:8" ht="15.75" thickBot="1" x14ac:dyDescent="0.3">
      <c r="A31" s="16"/>
      <c r="B31" s="14"/>
      <c r="C31" s="7"/>
    </row>
    <row r="32" spans="1:8" x14ac:dyDescent="0.25">
      <c r="E32" t="s">
        <v>85</v>
      </c>
      <c r="H32" s="20">
        <f>H30*0.5</f>
        <v>94006.205000000016</v>
      </c>
    </row>
    <row r="33" spans="1:8" ht="15.75" x14ac:dyDescent="0.25">
      <c r="A33" t="s">
        <v>10</v>
      </c>
      <c r="C33" s="10">
        <f>C24-C26-C28-C30</f>
        <v>298511.40000000002</v>
      </c>
      <c r="H33" s="18"/>
    </row>
    <row r="34" spans="1:8" x14ac:dyDescent="0.25">
      <c r="H34" s="3"/>
    </row>
    <row r="35" spans="1:8" x14ac:dyDescent="0.25">
      <c r="H35" s="18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8A79D-F339-4395-A006-34C28A645454}">
  <dimension ref="A1:H35"/>
  <sheetViews>
    <sheetView topLeftCell="A19"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3.28515625" bestFit="1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132</v>
      </c>
    </row>
    <row r="3" spans="1:8" ht="21" x14ac:dyDescent="0.35">
      <c r="A3" s="2" t="s">
        <v>1</v>
      </c>
      <c r="D3" s="11">
        <v>160000</v>
      </c>
      <c r="F3" s="12" t="s">
        <v>3</v>
      </c>
      <c r="H3" s="11">
        <v>25546</v>
      </c>
    </row>
    <row r="4" spans="1:8" x14ac:dyDescent="0.25">
      <c r="A4" s="13" t="s">
        <v>32</v>
      </c>
      <c r="C4" s="26">
        <v>280</v>
      </c>
    </row>
    <row r="5" spans="1:8" ht="21" x14ac:dyDescent="0.35">
      <c r="A5" s="2" t="s">
        <v>2</v>
      </c>
    </row>
    <row r="7" spans="1:8" ht="18.75" x14ac:dyDescent="0.3">
      <c r="A7" s="5"/>
      <c r="D7" s="4"/>
      <c r="E7" s="25"/>
      <c r="H7" s="4"/>
    </row>
    <row r="8" spans="1:8" ht="18.75" x14ac:dyDescent="0.3">
      <c r="A8" s="5" t="s">
        <v>131</v>
      </c>
      <c r="D8" s="4">
        <v>95200</v>
      </c>
      <c r="E8" s="25" t="s">
        <v>34</v>
      </c>
      <c r="H8" s="4">
        <v>15200</v>
      </c>
    </row>
    <row r="9" spans="1:8" ht="18.75" x14ac:dyDescent="0.3">
      <c r="A9" s="5"/>
      <c r="C9" s="3"/>
      <c r="D9" s="4"/>
      <c r="E9" s="25"/>
      <c r="H9" s="4">
        <v>0</v>
      </c>
    </row>
    <row r="10" spans="1:8" ht="18.75" x14ac:dyDescent="0.3">
      <c r="A10" s="5"/>
      <c r="D10" s="4"/>
      <c r="E10" s="25"/>
      <c r="H10" s="4"/>
    </row>
    <row r="11" spans="1:8" ht="18.75" x14ac:dyDescent="0.3">
      <c r="A11" s="5"/>
      <c r="D11" s="4"/>
      <c r="E11" s="25"/>
      <c r="H11" s="4"/>
    </row>
    <row r="12" spans="1:8" ht="18.75" x14ac:dyDescent="0.3">
      <c r="A12" s="5"/>
      <c r="C12" s="3"/>
      <c r="D12" s="27"/>
      <c r="E12" s="25"/>
      <c r="H12" s="27"/>
    </row>
    <row r="13" spans="1:8" ht="18.75" x14ac:dyDescent="0.3">
      <c r="A13" s="5"/>
      <c r="C13" s="3"/>
      <c r="D13" s="28"/>
      <c r="E13" s="25"/>
      <c r="H13" s="28"/>
    </row>
    <row r="14" spans="1:8" ht="19.5" thickBot="1" x14ac:dyDescent="0.35">
      <c r="A14" s="5"/>
      <c r="C14" s="3"/>
      <c r="D14" s="22"/>
      <c r="E14" s="25"/>
      <c r="H14" s="22"/>
    </row>
    <row r="15" spans="1:8" ht="18.75" customHeight="1" x14ac:dyDescent="0.3">
      <c r="D15" s="4">
        <f>SUM(D7:D14)</f>
        <v>95200</v>
      </c>
      <c r="H15" s="4">
        <f>SUM(H7:H14)</f>
        <v>15200</v>
      </c>
    </row>
    <row r="16" spans="1:8" ht="18.75" x14ac:dyDescent="0.3">
      <c r="A16" s="5"/>
      <c r="C16" s="3"/>
      <c r="D16" s="4"/>
      <c r="H16" s="4"/>
    </row>
    <row r="18" spans="1:8" ht="18.75" x14ac:dyDescent="0.3">
      <c r="A18" s="5"/>
      <c r="C18" s="3"/>
      <c r="D18" s="4"/>
      <c r="H18" s="4"/>
    </row>
    <row r="19" spans="1:8" ht="15.75" thickBot="1" x14ac:dyDescent="0.3">
      <c r="D19" s="7"/>
      <c r="H19" s="7"/>
    </row>
    <row r="21" spans="1:8" ht="18.75" x14ac:dyDescent="0.3">
      <c r="C21" t="s">
        <v>4</v>
      </c>
      <c r="D21" s="4">
        <f>D3-D15</f>
        <v>64800</v>
      </c>
      <c r="G21" t="s">
        <v>5</v>
      </c>
      <c r="H21" s="4">
        <f>H3-H15</f>
        <v>10346</v>
      </c>
    </row>
    <row r="24" spans="1:8" ht="15.75" x14ac:dyDescent="0.25">
      <c r="A24" t="s">
        <v>6</v>
      </c>
      <c r="C24" s="8">
        <f>D21</f>
        <v>64800</v>
      </c>
      <c r="E24" t="s">
        <v>10</v>
      </c>
      <c r="H24" s="6">
        <f>C33</f>
        <v>53814</v>
      </c>
    </row>
    <row r="26" spans="1:8" ht="15.75" x14ac:dyDescent="0.25">
      <c r="A26" t="s">
        <v>5</v>
      </c>
      <c r="B26" s="9" t="s">
        <v>7</v>
      </c>
      <c r="C26" s="8">
        <f>H21</f>
        <v>10346</v>
      </c>
      <c r="E26" s="13" t="s">
        <v>11</v>
      </c>
      <c r="F26" s="9" t="s">
        <v>12</v>
      </c>
      <c r="G26" s="15" t="s">
        <v>17</v>
      </c>
      <c r="H26" s="3">
        <f>-(F27*0.007)</f>
        <v>-941.178</v>
      </c>
    </row>
    <row r="27" spans="1:8" x14ac:dyDescent="0.25">
      <c r="F27" s="21">
        <f>D3-H3</f>
        <v>134454</v>
      </c>
    </row>
    <row r="28" spans="1:8" ht="16.5" thickBot="1" x14ac:dyDescent="0.3">
      <c r="A28" t="s">
        <v>8</v>
      </c>
      <c r="B28" s="9" t="s">
        <v>7</v>
      </c>
      <c r="C28" s="8">
        <f>D3*0.004</f>
        <v>640</v>
      </c>
      <c r="F28" s="9" t="s">
        <v>13</v>
      </c>
      <c r="G28" s="16">
        <v>0.35</v>
      </c>
      <c r="H28" s="17">
        <f>-(F29*0.35)</f>
        <v>-18834.899999999998</v>
      </c>
    </row>
    <row r="29" spans="1:8" x14ac:dyDescent="0.25">
      <c r="F29" s="21">
        <f>H24</f>
        <v>53814</v>
      </c>
    </row>
    <row r="30" spans="1:8" ht="15.75" x14ac:dyDescent="0.25">
      <c r="A30" t="s">
        <v>9</v>
      </c>
      <c r="B30" s="9" t="s">
        <v>7</v>
      </c>
      <c r="C30" s="10"/>
      <c r="G30" s="13" t="s">
        <v>14</v>
      </c>
      <c r="H30" s="6">
        <f>H24+H26+H28</f>
        <v>34037.922000000006</v>
      </c>
    </row>
    <row r="31" spans="1:8" ht="15.75" thickBot="1" x14ac:dyDescent="0.3">
      <c r="A31" s="16"/>
      <c r="B31" s="14"/>
      <c r="C31" s="7"/>
    </row>
    <row r="32" spans="1:8" x14ac:dyDescent="0.25">
      <c r="E32" t="s">
        <v>85</v>
      </c>
      <c r="H32" s="20">
        <f>H30*0.5</f>
        <v>17018.961000000003</v>
      </c>
    </row>
    <row r="33" spans="1:8" ht="15.75" x14ac:dyDescent="0.25">
      <c r="A33" t="s">
        <v>10</v>
      </c>
      <c r="C33" s="10">
        <f>C24-C26-C28-C30</f>
        <v>53814</v>
      </c>
      <c r="H33" s="18"/>
    </row>
    <row r="34" spans="1:8" x14ac:dyDescent="0.25">
      <c r="H34" s="3"/>
    </row>
    <row r="35" spans="1:8" x14ac:dyDescent="0.25">
      <c r="H35" s="18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46FCC-2299-47F5-80F1-F0A0A620A26F}">
  <dimension ref="A1:H35"/>
  <sheetViews>
    <sheetView topLeftCell="A19"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3.28515625" bestFit="1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133</v>
      </c>
    </row>
    <row r="3" spans="1:8" ht="21" x14ac:dyDescent="0.35">
      <c r="A3" s="2" t="s">
        <v>1</v>
      </c>
      <c r="D3" s="11">
        <v>411264</v>
      </c>
      <c r="F3" s="12" t="s">
        <v>3</v>
      </c>
      <c r="H3" s="11">
        <v>65664</v>
      </c>
    </row>
    <row r="4" spans="1:8" x14ac:dyDescent="0.25">
      <c r="A4" s="13" t="s">
        <v>32</v>
      </c>
      <c r="C4" s="26">
        <v>281</v>
      </c>
    </row>
    <row r="5" spans="1:8" ht="21" x14ac:dyDescent="0.35">
      <c r="A5" s="2" t="s">
        <v>2</v>
      </c>
    </row>
    <row r="7" spans="1:8" ht="18.75" x14ac:dyDescent="0.3">
      <c r="A7" s="5"/>
      <c r="D7" s="4"/>
      <c r="E7" s="25"/>
      <c r="H7" s="4"/>
    </row>
    <row r="8" spans="1:8" ht="18.75" x14ac:dyDescent="0.3">
      <c r="A8" s="5" t="s">
        <v>134</v>
      </c>
      <c r="D8" s="4">
        <v>338436</v>
      </c>
      <c r="E8" s="25" t="s">
        <v>34</v>
      </c>
      <c r="H8" s="4">
        <v>54036</v>
      </c>
    </row>
    <row r="9" spans="1:8" ht="18.75" x14ac:dyDescent="0.3">
      <c r="A9" s="5"/>
      <c r="C9" s="3"/>
      <c r="D9" s="4"/>
      <c r="E9" s="25"/>
      <c r="H9" s="4">
        <v>0</v>
      </c>
    </row>
    <row r="10" spans="1:8" ht="18.75" x14ac:dyDescent="0.3">
      <c r="A10" s="5"/>
      <c r="D10" s="4"/>
      <c r="E10" s="25"/>
      <c r="H10" s="4"/>
    </row>
    <row r="11" spans="1:8" ht="18.75" x14ac:dyDescent="0.3">
      <c r="A11" s="5"/>
      <c r="D11" s="4"/>
      <c r="E11" s="25"/>
      <c r="H11" s="4"/>
    </row>
    <row r="12" spans="1:8" ht="18.75" x14ac:dyDescent="0.3">
      <c r="A12" s="5"/>
      <c r="C12" s="3"/>
      <c r="D12" s="27"/>
      <c r="E12" s="25"/>
      <c r="H12" s="27"/>
    </row>
    <row r="13" spans="1:8" ht="18.75" x14ac:dyDescent="0.3">
      <c r="A13" s="5"/>
      <c r="C13" s="3"/>
      <c r="D13" s="28"/>
      <c r="E13" s="25"/>
      <c r="H13" s="28"/>
    </row>
    <row r="14" spans="1:8" ht="19.5" thickBot="1" x14ac:dyDescent="0.35">
      <c r="A14" s="5"/>
      <c r="C14" s="3"/>
      <c r="D14" s="22"/>
      <c r="E14" s="25"/>
      <c r="H14" s="22"/>
    </row>
    <row r="15" spans="1:8" ht="18.75" customHeight="1" x14ac:dyDescent="0.3">
      <c r="D15" s="4">
        <f>SUM(D7:D14)</f>
        <v>338436</v>
      </c>
      <c r="H15" s="4">
        <f>SUM(H7:H14)</f>
        <v>54036</v>
      </c>
    </row>
    <row r="16" spans="1:8" ht="18.75" x14ac:dyDescent="0.3">
      <c r="A16" s="5"/>
      <c r="C16" s="3"/>
      <c r="D16" s="4"/>
      <c r="H16" s="4"/>
    </row>
    <row r="18" spans="1:8" ht="18.75" x14ac:dyDescent="0.3">
      <c r="A18" s="5"/>
      <c r="C18" s="3"/>
      <c r="D18" s="4"/>
      <c r="H18" s="4"/>
    </row>
    <row r="19" spans="1:8" ht="15.75" thickBot="1" x14ac:dyDescent="0.3">
      <c r="D19" s="7"/>
      <c r="H19" s="7"/>
    </row>
    <row r="21" spans="1:8" ht="18.75" x14ac:dyDescent="0.3">
      <c r="C21" t="s">
        <v>4</v>
      </c>
      <c r="D21" s="4">
        <f>D3-D15</f>
        <v>72828</v>
      </c>
      <c r="G21" t="s">
        <v>5</v>
      </c>
      <c r="H21" s="4">
        <f>H3-H15</f>
        <v>11628</v>
      </c>
    </row>
    <row r="24" spans="1:8" ht="15.75" x14ac:dyDescent="0.25">
      <c r="A24" t="s">
        <v>6</v>
      </c>
      <c r="C24" s="8">
        <f>D21</f>
        <v>72828</v>
      </c>
      <c r="E24" t="s">
        <v>10</v>
      </c>
      <c r="H24" s="6">
        <f>C33</f>
        <v>59554.944000000003</v>
      </c>
    </row>
    <row r="26" spans="1:8" ht="15.75" x14ac:dyDescent="0.25">
      <c r="A26" t="s">
        <v>5</v>
      </c>
      <c r="B26" s="9" t="s">
        <v>7</v>
      </c>
      <c r="C26" s="8">
        <f>H21</f>
        <v>11628</v>
      </c>
      <c r="E26" s="13" t="s">
        <v>11</v>
      </c>
      <c r="F26" s="9" t="s">
        <v>12</v>
      </c>
      <c r="G26" s="15" t="s">
        <v>17</v>
      </c>
      <c r="H26" s="3">
        <f>-(F27*0.007)</f>
        <v>-2419.2000000000003</v>
      </c>
    </row>
    <row r="27" spans="1:8" x14ac:dyDescent="0.25">
      <c r="F27" s="21">
        <f>D3-H3</f>
        <v>345600</v>
      </c>
    </row>
    <row r="28" spans="1:8" ht="16.5" thickBot="1" x14ac:dyDescent="0.3">
      <c r="A28" t="s">
        <v>8</v>
      </c>
      <c r="B28" s="9" t="s">
        <v>7</v>
      </c>
      <c r="C28" s="8">
        <f>D3*0.004</f>
        <v>1645.056</v>
      </c>
      <c r="F28" s="9" t="s">
        <v>13</v>
      </c>
      <c r="G28" s="16">
        <v>0.35</v>
      </c>
      <c r="H28" s="17">
        <f>-(F29*0.35)</f>
        <v>-20844.2304</v>
      </c>
    </row>
    <row r="29" spans="1:8" x14ac:dyDescent="0.25">
      <c r="F29" s="21">
        <f>H24</f>
        <v>59554.944000000003</v>
      </c>
    </row>
    <row r="30" spans="1:8" ht="15.75" x14ac:dyDescent="0.25">
      <c r="A30" t="s">
        <v>9</v>
      </c>
      <c r="B30" s="9" t="s">
        <v>7</v>
      </c>
      <c r="C30" s="10"/>
      <c r="G30" s="13" t="s">
        <v>14</v>
      </c>
      <c r="H30" s="6">
        <f>H24+H26+H28</f>
        <v>36291.513600000006</v>
      </c>
    </row>
    <row r="31" spans="1:8" ht="15.75" thickBot="1" x14ac:dyDescent="0.3">
      <c r="A31" s="16"/>
      <c r="B31" s="14"/>
      <c r="C31" s="7"/>
    </row>
    <row r="32" spans="1:8" x14ac:dyDescent="0.25">
      <c r="E32" t="s">
        <v>85</v>
      </c>
      <c r="H32" s="20">
        <f>H30*0.5</f>
        <v>18145.756800000003</v>
      </c>
    </row>
    <row r="33" spans="1:8" ht="15.75" x14ac:dyDescent="0.25">
      <c r="A33" t="s">
        <v>10</v>
      </c>
      <c r="C33" s="10">
        <f>C24-C26-C28-C30</f>
        <v>59554.944000000003</v>
      </c>
      <c r="H33" s="18"/>
    </row>
    <row r="34" spans="1:8" x14ac:dyDescent="0.25">
      <c r="H34" s="3"/>
    </row>
    <row r="35" spans="1:8" x14ac:dyDescent="0.25">
      <c r="H35" s="18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77A58-E376-4B7A-A7E9-932421C448B0}">
  <dimension ref="A1:H35"/>
  <sheetViews>
    <sheetView topLeftCell="A19"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3.28515625" bestFit="1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135</v>
      </c>
    </row>
    <row r="3" spans="1:8" ht="21" x14ac:dyDescent="0.35">
      <c r="A3" s="2" t="s">
        <v>1</v>
      </c>
      <c r="D3" s="11">
        <v>48314</v>
      </c>
      <c r="F3" s="12" t="s">
        <v>3</v>
      </c>
      <c r="H3" s="11">
        <v>7714</v>
      </c>
    </row>
    <row r="4" spans="1:8" x14ac:dyDescent="0.25">
      <c r="A4" s="13" t="s">
        <v>32</v>
      </c>
      <c r="C4" s="26">
        <v>282</v>
      </c>
    </row>
    <row r="5" spans="1:8" ht="21" x14ac:dyDescent="0.35">
      <c r="A5" s="2" t="s">
        <v>2</v>
      </c>
    </row>
    <row r="7" spans="1:8" ht="18.75" x14ac:dyDescent="0.3">
      <c r="A7" s="5"/>
      <c r="D7" s="4"/>
      <c r="E7" s="25"/>
      <c r="H7" s="4"/>
    </row>
    <row r="8" spans="1:8" ht="18.75" x14ac:dyDescent="0.3">
      <c r="A8" s="5" t="s">
        <v>136</v>
      </c>
      <c r="D8" s="4">
        <v>31207</v>
      </c>
      <c r="E8" s="25" t="s">
        <v>34</v>
      </c>
      <c r="H8" s="4">
        <v>4983</v>
      </c>
    </row>
    <row r="9" spans="1:8" ht="18.75" x14ac:dyDescent="0.3">
      <c r="A9" s="5" t="s">
        <v>137</v>
      </c>
      <c r="C9" s="3"/>
      <c r="D9" s="4">
        <v>2125</v>
      </c>
      <c r="E9" s="25" t="s">
        <v>34</v>
      </c>
      <c r="H9" s="4">
        <v>339</v>
      </c>
    </row>
    <row r="10" spans="1:8" ht="18.75" x14ac:dyDescent="0.3">
      <c r="A10" s="5"/>
      <c r="D10" s="4"/>
      <c r="E10" s="25"/>
      <c r="H10" s="4"/>
    </row>
    <row r="11" spans="1:8" ht="18.75" x14ac:dyDescent="0.3">
      <c r="A11" s="5"/>
      <c r="D11" s="4"/>
      <c r="E11" s="25"/>
      <c r="H11" s="4"/>
    </row>
    <row r="12" spans="1:8" ht="18.75" x14ac:dyDescent="0.3">
      <c r="A12" s="5"/>
      <c r="C12" s="3"/>
      <c r="D12" s="27"/>
      <c r="E12" s="25"/>
      <c r="H12" s="27"/>
    </row>
    <row r="13" spans="1:8" ht="18.75" x14ac:dyDescent="0.3">
      <c r="A13" s="5"/>
      <c r="C13" s="3"/>
      <c r="D13" s="28"/>
      <c r="E13" s="25"/>
      <c r="H13" s="28"/>
    </row>
    <row r="14" spans="1:8" ht="19.5" thickBot="1" x14ac:dyDescent="0.35">
      <c r="A14" s="5"/>
      <c r="C14" s="3"/>
      <c r="D14" s="22"/>
      <c r="E14" s="25"/>
      <c r="H14" s="22"/>
    </row>
    <row r="15" spans="1:8" ht="18.75" customHeight="1" x14ac:dyDescent="0.3">
      <c r="D15" s="4">
        <f>SUM(D7:D14)</f>
        <v>33332</v>
      </c>
      <c r="H15" s="4">
        <f>SUM(H7:H14)</f>
        <v>5322</v>
      </c>
    </row>
    <row r="16" spans="1:8" ht="18.75" x14ac:dyDescent="0.3">
      <c r="A16" s="5"/>
      <c r="C16" s="3"/>
      <c r="D16" s="4"/>
      <c r="H16" s="4"/>
    </row>
    <row r="18" spans="1:8" ht="18.75" x14ac:dyDescent="0.3">
      <c r="A18" s="5"/>
      <c r="C18" s="3"/>
      <c r="D18" s="4"/>
      <c r="H18" s="4"/>
    </row>
    <row r="19" spans="1:8" ht="15.75" thickBot="1" x14ac:dyDescent="0.3">
      <c r="D19" s="7"/>
      <c r="H19" s="7"/>
    </row>
    <row r="21" spans="1:8" ht="18.75" x14ac:dyDescent="0.3">
      <c r="C21" t="s">
        <v>4</v>
      </c>
      <c r="D21" s="4">
        <f>D3-D15</f>
        <v>14982</v>
      </c>
      <c r="G21" t="s">
        <v>5</v>
      </c>
      <c r="H21" s="4">
        <f>H3-H15</f>
        <v>2392</v>
      </c>
    </row>
    <row r="24" spans="1:8" ht="15.75" x14ac:dyDescent="0.25">
      <c r="A24" t="s">
        <v>6</v>
      </c>
      <c r="C24" s="8">
        <f>D21</f>
        <v>14982</v>
      </c>
      <c r="E24" t="s">
        <v>10</v>
      </c>
      <c r="H24" s="6">
        <f>C33</f>
        <v>12396.744000000001</v>
      </c>
    </row>
    <row r="26" spans="1:8" ht="15.75" x14ac:dyDescent="0.25">
      <c r="A26" t="s">
        <v>5</v>
      </c>
      <c r="B26" s="9" t="s">
        <v>7</v>
      </c>
      <c r="C26" s="8">
        <f>H21</f>
        <v>2392</v>
      </c>
      <c r="E26" s="13" t="s">
        <v>11</v>
      </c>
      <c r="F26" s="9" t="s">
        <v>12</v>
      </c>
      <c r="G26" s="15" t="s">
        <v>17</v>
      </c>
      <c r="H26" s="3">
        <f>-(F27*0.007)</f>
        <v>-284.2</v>
      </c>
    </row>
    <row r="27" spans="1:8" x14ac:dyDescent="0.25">
      <c r="F27" s="21">
        <f>D3-H3</f>
        <v>40600</v>
      </c>
    </row>
    <row r="28" spans="1:8" ht="16.5" thickBot="1" x14ac:dyDescent="0.3">
      <c r="A28" t="s">
        <v>8</v>
      </c>
      <c r="B28" s="9" t="s">
        <v>7</v>
      </c>
      <c r="C28" s="8">
        <f>D3*0.004</f>
        <v>193.256</v>
      </c>
      <c r="F28" s="9" t="s">
        <v>13</v>
      </c>
      <c r="G28" s="16">
        <v>0.35</v>
      </c>
      <c r="H28" s="17">
        <f>-(F29*0.35)</f>
        <v>-4338.8603999999996</v>
      </c>
    </row>
    <row r="29" spans="1:8" x14ac:dyDescent="0.25">
      <c r="F29" s="21">
        <f>H24</f>
        <v>12396.744000000001</v>
      </c>
    </row>
    <row r="30" spans="1:8" ht="15.75" x14ac:dyDescent="0.25">
      <c r="A30" t="s">
        <v>9</v>
      </c>
      <c r="B30" s="9" t="s">
        <v>7</v>
      </c>
      <c r="C30" s="10"/>
      <c r="G30" s="13" t="s">
        <v>14</v>
      </c>
      <c r="H30" s="6">
        <f>H24+H26+H28</f>
        <v>7773.6836000000003</v>
      </c>
    </row>
    <row r="31" spans="1:8" ht="15.75" thickBot="1" x14ac:dyDescent="0.3">
      <c r="A31" s="16"/>
      <c r="B31" s="14"/>
      <c r="C31" s="7"/>
    </row>
    <row r="32" spans="1:8" x14ac:dyDescent="0.25">
      <c r="E32" t="s">
        <v>85</v>
      </c>
      <c r="H32" s="20">
        <f>H30*0.5</f>
        <v>3886.8418000000001</v>
      </c>
    </row>
    <row r="33" spans="1:8" ht="15.75" x14ac:dyDescent="0.25">
      <c r="A33" t="s">
        <v>10</v>
      </c>
      <c r="C33" s="10">
        <f>C24-C26-C28-C30</f>
        <v>12396.744000000001</v>
      </c>
      <c r="H33" s="18"/>
    </row>
    <row r="34" spans="1:8" x14ac:dyDescent="0.25">
      <c r="H34" s="3"/>
    </row>
    <row r="35" spans="1:8" x14ac:dyDescent="0.25">
      <c r="H35" s="18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74518-90B9-48F5-B316-F8B66453D360}">
  <dimension ref="A1:H35"/>
  <sheetViews>
    <sheetView topLeftCell="A19"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3.28515625" bestFit="1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138</v>
      </c>
    </row>
    <row r="3" spans="1:8" ht="21" x14ac:dyDescent="0.35">
      <c r="A3" s="2" t="s">
        <v>1</v>
      </c>
      <c r="D3" s="11">
        <v>235144</v>
      </c>
      <c r="F3" s="12" t="s">
        <v>3</v>
      </c>
      <c r="H3" s="11">
        <v>37544</v>
      </c>
    </row>
    <row r="4" spans="1:8" x14ac:dyDescent="0.25">
      <c r="A4" s="13" t="s">
        <v>32</v>
      </c>
      <c r="C4" s="26">
        <v>283</v>
      </c>
    </row>
    <row r="5" spans="1:8" ht="21" x14ac:dyDescent="0.35">
      <c r="A5" s="2" t="s">
        <v>2</v>
      </c>
    </row>
    <row r="7" spans="1:8" ht="18.75" x14ac:dyDescent="0.3">
      <c r="A7" s="5"/>
      <c r="D7" s="4"/>
      <c r="E7" s="25"/>
      <c r="H7" s="4"/>
    </row>
    <row r="8" spans="1:8" ht="18.75" x14ac:dyDescent="0.3">
      <c r="A8" s="5" t="s">
        <v>142</v>
      </c>
      <c r="D8" s="4">
        <v>177000</v>
      </c>
      <c r="E8" s="25" t="s">
        <v>34</v>
      </c>
      <c r="H8" s="4">
        <v>28260</v>
      </c>
    </row>
    <row r="9" spans="1:8" ht="18.75" x14ac:dyDescent="0.3">
      <c r="A9" s="5" t="s">
        <v>141</v>
      </c>
      <c r="C9" s="3"/>
      <c r="D9" s="4">
        <v>30000</v>
      </c>
      <c r="E9" s="25"/>
      <c r="H9" s="4"/>
    </row>
    <row r="10" spans="1:8" ht="18.75" x14ac:dyDescent="0.3">
      <c r="A10" s="5"/>
      <c r="D10" s="4"/>
      <c r="E10" s="25"/>
      <c r="H10" s="4"/>
    </row>
    <row r="11" spans="1:8" ht="18.75" x14ac:dyDescent="0.3">
      <c r="A11" s="5"/>
      <c r="D11" s="4"/>
      <c r="E11" s="25"/>
      <c r="H11" s="4"/>
    </row>
    <row r="12" spans="1:8" ht="18.75" x14ac:dyDescent="0.3">
      <c r="A12" s="5"/>
      <c r="C12" s="3"/>
      <c r="D12" s="27"/>
      <c r="E12" s="25"/>
      <c r="H12" s="27"/>
    </row>
    <row r="13" spans="1:8" ht="18.75" x14ac:dyDescent="0.3">
      <c r="A13" s="5"/>
      <c r="C13" s="3"/>
      <c r="D13" s="28"/>
      <c r="E13" s="25"/>
      <c r="H13" s="28"/>
    </row>
    <row r="14" spans="1:8" ht="19.5" thickBot="1" x14ac:dyDescent="0.35">
      <c r="A14" s="5"/>
      <c r="C14" s="3"/>
      <c r="D14" s="22"/>
      <c r="E14" s="25"/>
      <c r="H14" s="22"/>
    </row>
    <row r="15" spans="1:8" ht="18.75" customHeight="1" x14ac:dyDescent="0.3">
      <c r="D15" s="4">
        <f>SUM(D7:D14)</f>
        <v>207000</v>
      </c>
      <c r="H15" s="4">
        <f>SUM(H7:H14)</f>
        <v>28260</v>
      </c>
    </row>
    <row r="16" spans="1:8" ht="18.75" x14ac:dyDescent="0.3">
      <c r="A16" s="5"/>
      <c r="C16" s="3"/>
      <c r="D16" s="4"/>
      <c r="H16" s="4"/>
    </row>
    <row r="18" spans="1:8" ht="18.75" x14ac:dyDescent="0.3">
      <c r="A18" s="5"/>
      <c r="C18" s="3"/>
      <c r="D18" s="4"/>
      <c r="H18" s="4"/>
    </row>
    <row r="19" spans="1:8" ht="15.75" thickBot="1" x14ac:dyDescent="0.3">
      <c r="D19" s="7"/>
      <c r="H19" s="7"/>
    </row>
    <row r="21" spans="1:8" ht="18.75" x14ac:dyDescent="0.3">
      <c r="C21" t="s">
        <v>4</v>
      </c>
      <c r="D21" s="4">
        <f>D3-D15</f>
        <v>28144</v>
      </c>
      <c r="G21" t="s">
        <v>5</v>
      </c>
      <c r="H21" s="4">
        <f>H3-H15</f>
        <v>9284</v>
      </c>
    </row>
    <row r="24" spans="1:8" ht="15.75" x14ac:dyDescent="0.25">
      <c r="A24" t="s">
        <v>6</v>
      </c>
      <c r="C24" s="8">
        <f>D21</f>
        <v>28144</v>
      </c>
      <c r="E24" t="s">
        <v>10</v>
      </c>
      <c r="H24" s="6">
        <f>C33</f>
        <v>17919.423999999999</v>
      </c>
    </row>
    <row r="26" spans="1:8" ht="15.75" x14ac:dyDescent="0.25">
      <c r="A26" t="s">
        <v>5</v>
      </c>
      <c r="B26" s="9" t="s">
        <v>7</v>
      </c>
      <c r="C26" s="8">
        <f>H21</f>
        <v>9284</v>
      </c>
      <c r="E26" s="13" t="s">
        <v>11</v>
      </c>
      <c r="F26" s="9" t="s">
        <v>12</v>
      </c>
      <c r="G26" s="15" t="s">
        <v>17</v>
      </c>
      <c r="H26" s="3">
        <f>-(F27*0.007)</f>
        <v>-1383.2</v>
      </c>
    </row>
    <row r="27" spans="1:8" x14ac:dyDescent="0.25">
      <c r="F27" s="21">
        <f>D3-H3</f>
        <v>197600</v>
      </c>
    </row>
    <row r="28" spans="1:8" ht="16.5" thickBot="1" x14ac:dyDescent="0.3">
      <c r="A28" t="s">
        <v>8</v>
      </c>
      <c r="B28" s="9" t="s">
        <v>7</v>
      </c>
      <c r="C28" s="8">
        <f>D3*0.004</f>
        <v>940.57600000000002</v>
      </c>
      <c r="F28" s="9" t="s">
        <v>13</v>
      </c>
      <c r="G28" s="16">
        <v>0.35</v>
      </c>
      <c r="H28" s="17">
        <f>-(F29*0.35)</f>
        <v>-6271.7983999999997</v>
      </c>
    </row>
    <row r="29" spans="1:8" x14ac:dyDescent="0.25">
      <c r="F29" s="21">
        <f>H24</f>
        <v>17919.423999999999</v>
      </c>
    </row>
    <row r="30" spans="1:8" ht="15.75" x14ac:dyDescent="0.25">
      <c r="A30" t="s">
        <v>9</v>
      </c>
      <c r="B30" s="9" t="s">
        <v>7</v>
      </c>
      <c r="C30" s="10"/>
      <c r="G30" s="13" t="s">
        <v>14</v>
      </c>
      <c r="H30" s="6">
        <f>H24+H26+H28</f>
        <v>10264.425599999999</v>
      </c>
    </row>
    <row r="31" spans="1:8" ht="15.75" thickBot="1" x14ac:dyDescent="0.3">
      <c r="A31" s="16"/>
      <c r="B31" s="14"/>
      <c r="C31" s="7"/>
    </row>
    <row r="32" spans="1:8" x14ac:dyDescent="0.25">
      <c r="E32" t="s">
        <v>75</v>
      </c>
      <c r="H32" s="20">
        <f>H30*0.35</f>
        <v>3592.5489599999992</v>
      </c>
    </row>
    <row r="33" spans="1:8" ht="15.75" x14ac:dyDescent="0.25">
      <c r="A33" t="s">
        <v>10</v>
      </c>
      <c r="C33" s="10">
        <f>C24-C26-C28-C30</f>
        <v>17919.423999999999</v>
      </c>
      <c r="H33" s="18"/>
    </row>
    <row r="34" spans="1:8" x14ac:dyDescent="0.25">
      <c r="H34" s="3"/>
    </row>
    <row r="35" spans="1:8" x14ac:dyDescent="0.25">
      <c r="H35" s="18"/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BA7D7-8F04-4B8F-B02D-36970E1AF41B}">
  <dimension ref="A1:H35"/>
  <sheetViews>
    <sheetView topLeftCell="A16" workbookViewId="0">
      <selection activeCell="A19"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3.28515625" bestFit="1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139</v>
      </c>
    </row>
    <row r="3" spans="1:8" ht="21" x14ac:dyDescent="0.35">
      <c r="A3" s="2" t="s">
        <v>1</v>
      </c>
      <c r="D3" s="11">
        <v>112000</v>
      </c>
      <c r="F3" s="12" t="s">
        <v>3</v>
      </c>
      <c r="H3" s="11">
        <v>17875</v>
      </c>
    </row>
    <row r="4" spans="1:8" x14ac:dyDescent="0.25">
      <c r="A4" s="13" t="s">
        <v>32</v>
      </c>
      <c r="C4" s="26">
        <v>284</v>
      </c>
    </row>
    <row r="5" spans="1:8" ht="21" x14ac:dyDescent="0.35">
      <c r="A5" s="2" t="s">
        <v>2</v>
      </c>
    </row>
    <row r="7" spans="1:8" ht="18.75" x14ac:dyDescent="0.3">
      <c r="A7" s="5"/>
      <c r="D7" s="4"/>
      <c r="E7" s="25"/>
      <c r="H7" s="4"/>
    </row>
    <row r="8" spans="1:8" ht="18.75" x14ac:dyDescent="0.3">
      <c r="A8" s="5" t="s">
        <v>140</v>
      </c>
      <c r="D8" s="4">
        <v>49300</v>
      </c>
      <c r="E8" s="25" t="s">
        <v>34</v>
      </c>
      <c r="H8" s="4">
        <v>0</v>
      </c>
    </row>
    <row r="9" spans="1:8" ht="18.75" x14ac:dyDescent="0.3">
      <c r="A9" s="5"/>
      <c r="C9" s="3"/>
      <c r="D9" s="4"/>
      <c r="E9" s="25"/>
      <c r="H9" s="4"/>
    </row>
    <row r="10" spans="1:8" ht="18.75" x14ac:dyDescent="0.3">
      <c r="A10" s="5"/>
      <c r="D10" s="4"/>
      <c r="E10" s="25"/>
      <c r="H10" s="4"/>
    </row>
    <row r="11" spans="1:8" ht="18.75" x14ac:dyDescent="0.3">
      <c r="A11" s="5"/>
      <c r="D11" s="4"/>
      <c r="E11" s="25"/>
      <c r="H11" s="4"/>
    </row>
    <row r="12" spans="1:8" ht="18.75" x14ac:dyDescent="0.3">
      <c r="A12" s="5"/>
      <c r="C12" s="3"/>
      <c r="D12" s="27"/>
      <c r="E12" s="25"/>
      <c r="H12" s="27"/>
    </row>
    <row r="13" spans="1:8" ht="18.75" x14ac:dyDescent="0.3">
      <c r="A13" s="5"/>
      <c r="C13" s="3"/>
      <c r="D13" s="28"/>
      <c r="E13" s="25"/>
      <c r="H13" s="28"/>
    </row>
    <row r="14" spans="1:8" ht="19.5" thickBot="1" x14ac:dyDescent="0.35">
      <c r="A14" s="5"/>
      <c r="C14" s="3"/>
      <c r="D14" s="22"/>
      <c r="E14" s="25"/>
      <c r="H14" s="22"/>
    </row>
    <row r="15" spans="1:8" ht="18.75" customHeight="1" x14ac:dyDescent="0.3">
      <c r="D15" s="4">
        <f>SUM(D7:D14)</f>
        <v>49300</v>
      </c>
      <c r="H15" s="4">
        <f>SUM(H7:H14)</f>
        <v>0</v>
      </c>
    </row>
    <row r="16" spans="1:8" ht="18.75" x14ac:dyDescent="0.3">
      <c r="A16" s="5"/>
      <c r="C16" s="3"/>
      <c r="D16" s="4"/>
      <c r="H16" s="4"/>
    </row>
    <row r="18" spans="1:8" ht="18.75" x14ac:dyDescent="0.3">
      <c r="A18" s="5"/>
      <c r="C18" s="3"/>
      <c r="D18" s="4"/>
      <c r="H18" s="4"/>
    </row>
    <row r="19" spans="1:8" ht="15.75" thickBot="1" x14ac:dyDescent="0.3">
      <c r="D19" s="7"/>
      <c r="H19" s="7"/>
    </row>
    <row r="21" spans="1:8" ht="18.75" x14ac:dyDescent="0.3">
      <c r="C21" t="s">
        <v>4</v>
      </c>
      <c r="D21" s="4">
        <f>D3-D15</f>
        <v>62700</v>
      </c>
      <c r="G21" t="s">
        <v>5</v>
      </c>
      <c r="H21" s="4">
        <f>H3-H15</f>
        <v>17875</v>
      </c>
    </row>
    <row r="24" spans="1:8" ht="15.75" x14ac:dyDescent="0.25">
      <c r="A24" t="s">
        <v>6</v>
      </c>
      <c r="C24" s="8">
        <f>D21</f>
        <v>62700</v>
      </c>
      <c r="E24" t="s">
        <v>10</v>
      </c>
      <c r="H24" s="6">
        <f>C33</f>
        <v>44377</v>
      </c>
    </row>
    <row r="26" spans="1:8" ht="15.75" x14ac:dyDescent="0.25">
      <c r="A26" t="s">
        <v>5</v>
      </c>
      <c r="B26" s="9" t="s">
        <v>7</v>
      </c>
      <c r="C26" s="8">
        <f>H21</f>
        <v>17875</v>
      </c>
      <c r="E26" s="13" t="s">
        <v>11</v>
      </c>
      <c r="F26" s="9" t="s">
        <v>12</v>
      </c>
      <c r="G26" s="15" t="s">
        <v>17</v>
      </c>
      <c r="H26" s="3">
        <f>-(F27*0.007)</f>
        <v>-658.875</v>
      </c>
    </row>
    <row r="27" spans="1:8" x14ac:dyDescent="0.25">
      <c r="F27" s="21">
        <f>D3-H3</f>
        <v>94125</v>
      </c>
    </row>
    <row r="28" spans="1:8" ht="16.5" thickBot="1" x14ac:dyDescent="0.3">
      <c r="A28" t="s">
        <v>8</v>
      </c>
      <c r="B28" s="9" t="s">
        <v>7</v>
      </c>
      <c r="C28" s="8">
        <f>D3*0.004</f>
        <v>448</v>
      </c>
      <c r="F28" s="9" t="s">
        <v>13</v>
      </c>
      <c r="G28" s="16">
        <v>0.35</v>
      </c>
      <c r="H28" s="17">
        <f>-(F29*0.35)</f>
        <v>-15531.949999999999</v>
      </c>
    </row>
    <row r="29" spans="1:8" x14ac:dyDescent="0.25">
      <c r="F29" s="21">
        <f>H24</f>
        <v>44377</v>
      </c>
    </row>
    <row r="30" spans="1:8" ht="15.75" x14ac:dyDescent="0.25">
      <c r="A30" t="s">
        <v>9</v>
      </c>
      <c r="B30" s="9" t="s">
        <v>7</v>
      </c>
      <c r="C30" s="10"/>
      <c r="G30" s="13" t="s">
        <v>14</v>
      </c>
      <c r="H30" s="6">
        <f>H24+H26+H28</f>
        <v>28186.175000000003</v>
      </c>
    </row>
    <row r="31" spans="1:8" ht="15.75" thickBot="1" x14ac:dyDescent="0.3">
      <c r="A31" s="16"/>
      <c r="B31" s="14"/>
      <c r="C31" s="7"/>
    </row>
    <row r="32" spans="1:8" x14ac:dyDescent="0.25">
      <c r="E32" t="s">
        <v>85</v>
      </c>
      <c r="H32" s="20">
        <f>H30*0.5</f>
        <v>14093.087500000001</v>
      </c>
    </row>
    <row r="33" spans="1:8" ht="15.75" x14ac:dyDescent="0.25">
      <c r="A33" t="s">
        <v>10</v>
      </c>
      <c r="C33" s="10">
        <f>C24-C26-C28-C30</f>
        <v>44377</v>
      </c>
      <c r="H33" s="18"/>
    </row>
    <row r="34" spans="1:8" x14ac:dyDescent="0.25">
      <c r="H34" s="3"/>
    </row>
    <row r="35" spans="1:8" x14ac:dyDescent="0.25">
      <c r="H35" s="18"/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CDECF-7554-4C0D-A93F-683C5D2C1019}">
  <dimension ref="A1:H35"/>
  <sheetViews>
    <sheetView topLeftCell="A22"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3.28515625" bestFit="1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143</v>
      </c>
    </row>
    <row r="3" spans="1:8" ht="21" x14ac:dyDescent="0.35">
      <c r="A3" s="2" t="s">
        <v>1</v>
      </c>
      <c r="D3" s="11">
        <v>496944</v>
      </c>
      <c r="F3" s="12" t="s">
        <v>3</v>
      </c>
      <c r="H3" s="11">
        <v>79344</v>
      </c>
    </row>
    <row r="4" spans="1:8" x14ac:dyDescent="0.25">
      <c r="A4" s="13" t="s">
        <v>32</v>
      </c>
      <c r="C4" s="26">
        <v>286</v>
      </c>
    </row>
    <row r="5" spans="1:8" ht="21" x14ac:dyDescent="0.35">
      <c r="A5" s="2" t="s">
        <v>2</v>
      </c>
    </row>
    <row r="7" spans="1:8" ht="18.75" x14ac:dyDescent="0.3">
      <c r="A7" s="5"/>
      <c r="D7" s="4"/>
      <c r="E7" s="25"/>
      <c r="H7" s="4"/>
    </row>
    <row r="8" spans="1:8" ht="18.75" x14ac:dyDescent="0.3">
      <c r="A8" s="5" t="s">
        <v>144</v>
      </c>
      <c r="D8" s="4">
        <v>349931</v>
      </c>
      <c r="E8" s="25" t="s">
        <v>34</v>
      </c>
      <c r="H8" s="4">
        <v>55871</v>
      </c>
    </row>
    <row r="9" spans="1:8" ht="18.75" x14ac:dyDescent="0.3">
      <c r="A9" s="5" t="s">
        <v>141</v>
      </c>
      <c r="C9" s="3"/>
      <c r="D9" s="4">
        <v>30000</v>
      </c>
      <c r="E9" s="25"/>
      <c r="H9" s="4"/>
    </row>
    <row r="10" spans="1:8" ht="18.75" x14ac:dyDescent="0.3">
      <c r="A10" s="5"/>
      <c r="D10" s="4"/>
      <c r="E10" s="25"/>
      <c r="H10" s="4"/>
    </row>
    <row r="11" spans="1:8" ht="18.75" x14ac:dyDescent="0.3">
      <c r="A11" s="5"/>
      <c r="D11" s="4"/>
      <c r="E11" s="25"/>
      <c r="H11" s="4"/>
    </row>
    <row r="12" spans="1:8" ht="18.75" x14ac:dyDescent="0.3">
      <c r="A12" s="5"/>
      <c r="C12" s="3"/>
      <c r="D12" s="27"/>
      <c r="E12" s="25"/>
      <c r="H12" s="27"/>
    </row>
    <row r="13" spans="1:8" ht="18.75" x14ac:dyDescent="0.3">
      <c r="A13" s="5"/>
      <c r="C13" s="3"/>
      <c r="D13" s="28"/>
      <c r="E13" s="25"/>
      <c r="H13" s="28"/>
    </row>
    <row r="14" spans="1:8" ht="19.5" thickBot="1" x14ac:dyDescent="0.35">
      <c r="A14" s="5"/>
      <c r="C14" s="3"/>
      <c r="D14" s="22"/>
      <c r="E14" s="25"/>
      <c r="H14" s="22"/>
    </row>
    <row r="15" spans="1:8" ht="18.75" customHeight="1" x14ac:dyDescent="0.3">
      <c r="D15" s="4">
        <f>SUM(D7:D14)</f>
        <v>379931</v>
      </c>
      <c r="H15" s="4">
        <f>SUM(H7:H14)</f>
        <v>55871</v>
      </c>
    </row>
    <row r="16" spans="1:8" ht="18.75" x14ac:dyDescent="0.3">
      <c r="A16" s="5"/>
      <c r="C16" s="3"/>
      <c r="D16" s="4"/>
      <c r="H16" s="4"/>
    </row>
    <row r="18" spans="1:8" ht="18.75" x14ac:dyDescent="0.3">
      <c r="A18" s="5"/>
      <c r="C18" s="3"/>
      <c r="D18" s="4"/>
      <c r="H18" s="4"/>
    </row>
    <row r="19" spans="1:8" ht="15.75" thickBot="1" x14ac:dyDescent="0.3">
      <c r="D19" s="7"/>
      <c r="H19" s="7"/>
    </row>
    <row r="21" spans="1:8" ht="18.75" x14ac:dyDescent="0.3">
      <c r="C21" t="s">
        <v>4</v>
      </c>
      <c r="D21" s="4">
        <f>D3-D15</f>
        <v>117013</v>
      </c>
      <c r="G21" t="s">
        <v>5</v>
      </c>
      <c r="H21" s="4">
        <f>H3-H15</f>
        <v>23473</v>
      </c>
    </row>
    <row r="24" spans="1:8" ht="15.75" x14ac:dyDescent="0.25">
      <c r="A24" t="s">
        <v>6</v>
      </c>
      <c r="C24" s="8">
        <f>D21</f>
        <v>117013</v>
      </c>
      <c r="E24" t="s">
        <v>10</v>
      </c>
      <c r="H24" s="6">
        <f>C33</f>
        <v>91552.224000000002</v>
      </c>
    </row>
    <row r="26" spans="1:8" ht="15.75" x14ac:dyDescent="0.25">
      <c r="A26" t="s">
        <v>5</v>
      </c>
      <c r="B26" s="9" t="s">
        <v>7</v>
      </c>
      <c r="C26" s="8">
        <f>H21</f>
        <v>23473</v>
      </c>
      <c r="E26" s="13" t="s">
        <v>11</v>
      </c>
      <c r="F26" s="9" t="s">
        <v>12</v>
      </c>
      <c r="G26" s="15" t="s">
        <v>17</v>
      </c>
      <c r="H26" s="3">
        <f>-(F27*0.007)</f>
        <v>-2923.2000000000003</v>
      </c>
    </row>
    <row r="27" spans="1:8" x14ac:dyDescent="0.25">
      <c r="F27" s="21">
        <f>D3-H3</f>
        <v>417600</v>
      </c>
    </row>
    <row r="28" spans="1:8" ht="16.5" thickBot="1" x14ac:dyDescent="0.3">
      <c r="A28" t="s">
        <v>8</v>
      </c>
      <c r="B28" s="9" t="s">
        <v>7</v>
      </c>
      <c r="C28" s="8">
        <f>D3*0.004</f>
        <v>1987.7760000000001</v>
      </c>
      <c r="F28" s="9" t="s">
        <v>13</v>
      </c>
      <c r="G28" s="16">
        <v>0.35</v>
      </c>
      <c r="H28" s="17">
        <f>-(F29*0.35)</f>
        <v>-32043.278399999999</v>
      </c>
    </row>
    <row r="29" spans="1:8" x14ac:dyDescent="0.25">
      <c r="F29" s="21">
        <f>H24</f>
        <v>91552.224000000002</v>
      </c>
    </row>
    <row r="30" spans="1:8" ht="15.75" x14ac:dyDescent="0.25">
      <c r="A30" t="s">
        <v>9</v>
      </c>
      <c r="B30" s="9" t="s">
        <v>7</v>
      </c>
      <c r="C30" s="10"/>
      <c r="G30" s="13" t="s">
        <v>14</v>
      </c>
      <c r="H30" s="6">
        <f>H24+H26+H28</f>
        <v>56585.745600000009</v>
      </c>
    </row>
    <row r="31" spans="1:8" ht="15.75" thickBot="1" x14ac:dyDescent="0.3">
      <c r="A31" s="16"/>
      <c r="B31" s="14"/>
      <c r="C31" s="7"/>
    </row>
    <row r="32" spans="1:8" x14ac:dyDescent="0.25">
      <c r="E32" t="s">
        <v>85</v>
      </c>
      <c r="H32" s="20">
        <f>H30*0.5</f>
        <v>28292.872800000005</v>
      </c>
    </row>
    <row r="33" spans="1:8" ht="15.75" x14ac:dyDescent="0.25">
      <c r="A33" t="s">
        <v>10</v>
      </c>
      <c r="C33" s="10">
        <f>C24-C26-C28-C30</f>
        <v>91552.224000000002</v>
      </c>
      <c r="H33" s="18"/>
    </row>
    <row r="34" spans="1:8" x14ac:dyDescent="0.25">
      <c r="H34" s="3"/>
    </row>
    <row r="35" spans="1:8" x14ac:dyDescent="0.25">
      <c r="H35" s="18"/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724AC-16B0-4D42-8C5D-873B38B5C5E3}">
  <dimension ref="A1:H35"/>
  <sheetViews>
    <sheetView topLeftCell="A22"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3.28515625" bestFit="1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145</v>
      </c>
    </row>
    <row r="3" spans="1:8" ht="21" x14ac:dyDescent="0.35">
      <c r="A3" s="2" t="s">
        <v>1</v>
      </c>
      <c r="D3" s="11">
        <v>232050</v>
      </c>
      <c r="F3" s="12" t="s">
        <v>3</v>
      </c>
      <c r="H3" s="11">
        <v>37050</v>
      </c>
    </row>
    <row r="4" spans="1:8" x14ac:dyDescent="0.25">
      <c r="A4" s="13" t="s">
        <v>32</v>
      </c>
      <c r="C4" s="26" t="s">
        <v>146</v>
      </c>
      <c r="D4" t="s">
        <v>147</v>
      </c>
    </row>
    <row r="5" spans="1:8" ht="21" x14ac:dyDescent="0.35">
      <c r="A5" s="2" t="s">
        <v>2</v>
      </c>
    </row>
    <row r="7" spans="1:8" ht="18.75" x14ac:dyDescent="0.3">
      <c r="A7" s="5"/>
      <c r="D7" s="4"/>
      <c r="E7" s="25"/>
      <c r="H7" s="4"/>
    </row>
    <row r="8" spans="1:8" ht="18.75" x14ac:dyDescent="0.3">
      <c r="A8" s="5" t="s">
        <v>148</v>
      </c>
      <c r="D8" s="4">
        <v>144853</v>
      </c>
      <c r="E8" s="25" t="s">
        <v>34</v>
      </c>
      <c r="H8" s="4">
        <v>23128</v>
      </c>
    </row>
    <row r="9" spans="1:8" ht="18.75" x14ac:dyDescent="0.3">
      <c r="A9" s="5"/>
      <c r="C9" s="3"/>
      <c r="D9" s="4"/>
      <c r="E9" s="25"/>
      <c r="H9" s="4"/>
    </row>
    <row r="10" spans="1:8" ht="18.75" x14ac:dyDescent="0.3">
      <c r="A10" s="5"/>
      <c r="D10" s="4"/>
      <c r="E10" s="25"/>
      <c r="H10" s="4"/>
    </row>
    <row r="11" spans="1:8" ht="18.75" x14ac:dyDescent="0.3">
      <c r="A11" s="5"/>
      <c r="D11" s="4"/>
      <c r="E11" s="25"/>
      <c r="H11" s="4"/>
    </row>
    <row r="12" spans="1:8" ht="18.75" x14ac:dyDescent="0.3">
      <c r="A12" s="5"/>
      <c r="C12" s="3"/>
      <c r="D12" s="27"/>
      <c r="E12" s="25"/>
      <c r="H12" s="27"/>
    </row>
    <row r="13" spans="1:8" ht="18.75" x14ac:dyDescent="0.3">
      <c r="A13" s="5"/>
      <c r="C13" s="3"/>
      <c r="D13" s="28"/>
      <c r="E13" s="25"/>
      <c r="H13" s="28"/>
    </row>
    <row r="14" spans="1:8" ht="19.5" thickBot="1" x14ac:dyDescent="0.35">
      <c r="A14" s="5"/>
      <c r="C14" s="3"/>
      <c r="D14" s="22"/>
      <c r="E14" s="25"/>
      <c r="H14" s="22"/>
    </row>
    <row r="15" spans="1:8" ht="18.75" customHeight="1" x14ac:dyDescent="0.3">
      <c r="D15" s="4">
        <f>SUM(D7:D14)</f>
        <v>144853</v>
      </c>
      <c r="H15" s="4">
        <f>SUM(H7:H14)</f>
        <v>23128</v>
      </c>
    </row>
    <row r="16" spans="1:8" ht="18.75" x14ac:dyDescent="0.3">
      <c r="A16" s="5"/>
      <c r="C16" s="3"/>
      <c r="D16" s="4"/>
      <c r="H16" s="4"/>
    </row>
    <row r="18" spans="1:8" ht="18.75" x14ac:dyDescent="0.3">
      <c r="A18" s="5"/>
      <c r="C18" s="3"/>
      <c r="D18" s="4"/>
      <c r="H18" s="4"/>
    </row>
    <row r="19" spans="1:8" ht="15.75" thickBot="1" x14ac:dyDescent="0.3">
      <c r="D19" s="7"/>
      <c r="H19" s="7"/>
    </row>
    <row r="21" spans="1:8" ht="18.75" x14ac:dyDescent="0.3">
      <c r="C21" t="s">
        <v>4</v>
      </c>
      <c r="D21" s="4">
        <f>D3-D15</f>
        <v>87197</v>
      </c>
      <c r="G21" t="s">
        <v>5</v>
      </c>
      <c r="H21" s="4">
        <f>H3-H15</f>
        <v>13922</v>
      </c>
    </row>
    <row r="24" spans="1:8" ht="15.75" x14ac:dyDescent="0.25">
      <c r="A24" t="s">
        <v>6</v>
      </c>
      <c r="C24" s="8">
        <f>D21</f>
        <v>87197</v>
      </c>
      <c r="E24" t="s">
        <v>10</v>
      </c>
      <c r="H24" s="6">
        <f>C33</f>
        <v>72346.8</v>
      </c>
    </row>
    <row r="26" spans="1:8" ht="15.75" x14ac:dyDescent="0.25">
      <c r="A26" t="s">
        <v>5</v>
      </c>
      <c r="B26" s="9" t="s">
        <v>7</v>
      </c>
      <c r="C26" s="8">
        <f>H21</f>
        <v>13922</v>
      </c>
      <c r="E26" s="13" t="s">
        <v>11</v>
      </c>
      <c r="F26" s="9" t="s">
        <v>12</v>
      </c>
      <c r="G26" s="15" t="s">
        <v>17</v>
      </c>
      <c r="H26" s="3">
        <f>-(F27*0.007)</f>
        <v>-1365</v>
      </c>
    </row>
    <row r="27" spans="1:8" x14ac:dyDescent="0.25">
      <c r="F27" s="21">
        <f>D3-H3</f>
        <v>195000</v>
      </c>
    </row>
    <row r="28" spans="1:8" ht="16.5" thickBot="1" x14ac:dyDescent="0.3">
      <c r="A28" t="s">
        <v>8</v>
      </c>
      <c r="B28" s="9" t="s">
        <v>7</v>
      </c>
      <c r="C28" s="8">
        <f>D3*0.004</f>
        <v>928.2</v>
      </c>
      <c r="F28" s="9" t="s">
        <v>13</v>
      </c>
      <c r="G28" s="16">
        <v>0.35</v>
      </c>
      <c r="H28" s="17">
        <f>-(F29*0.35)</f>
        <v>-25321.38</v>
      </c>
    </row>
    <row r="29" spans="1:8" x14ac:dyDescent="0.25">
      <c r="F29" s="21">
        <f>H24</f>
        <v>72346.8</v>
      </c>
    </row>
    <row r="30" spans="1:8" ht="15.75" x14ac:dyDescent="0.25">
      <c r="A30" t="s">
        <v>9</v>
      </c>
      <c r="B30" s="9" t="s">
        <v>7</v>
      </c>
      <c r="C30" s="10"/>
      <c r="G30" s="13" t="s">
        <v>14</v>
      </c>
      <c r="H30" s="6">
        <f>H24+H26+H28</f>
        <v>45660.42</v>
      </c>
    </row>
    <row r="31" spans="1:8" ht="15.75" thickBot="1" x14ac:dyDescent="0.3">
      <c r="A31" s="16"/>
      <c r="B31" s="14"/>
      <c r="C31" s="7"/>
    </row>
    <row r="32" spans="1:8" x14ac:dyDescent="0.25">
      <c r="E32" t="s">
        <v>149</v>
      </c>
      <c r="H32" s="20">
        <f>H30*0.35</f>
        <v>15981.146999999999</v>
      </c>
    </row>
    <row r="33" spans="1:8" ht="15.75" x14ac:dyDescent="0.25">
      <c r="A33" t="s">
        <v>10</v>
      </c>
      <c r="C33" s="10">
        <f>C24-C26-C28-C30</f>
        <v>72346.8</v>
      </c>
      <c r="H33" s="18"/>
    </row>
    <row r="34" spans="1:8" x14ac:dyDescent="0.25">
      <c r="H34" s="3"/>
    </row>
    <row r="35" spans="1:8" x14ac:dyDescent="0.25">
      <c r="H35" s="18"/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CE4CB-9E67-4A1D-B04F-575925661AB0}">
  <dimension ref="A1:H35"/>
  <sheetViews>
    <sheetView topLeftCell="A16"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3.28515625" bestFit="1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150</v>
      </c>
    </row>
    <row r="3" spans="1:8" ht="21" x14ac:dyDescent="0.35">
      <c r="A3" s="2" t="s">
        <v>1</v>
      </c>
      <c r="D3" s="11">
        <v>167433</v>
      </c>
      <c r="F3" s="12" t="s">
        <v>3</v>
      </c>
      <c r="H3" s="11">
        <v>26733</v>
      </c>
    </row>
    <row r="4" spans="1:8" x14ac:dyDescent="0.25">
      <c r="A4" s="13" t="s">
        <v>32</v>
      </c>
      <c r="C4" s="26">
        <v>288</v>
      </c>
    </row>
    <row r="5" spans="1:8" ht="21" x14ac:dyDescent="0.35">
      <c r="A5" s="2" t="s">
        <v>2</v>
      </c>
    </row>
    <row r="7" spans="1:8" ht="18.75" x14ac:dyDescent="0.3">
      <c r="A7" s="5"/>
      <c r="D7" s="4"/>
      <c r="E7" s="25"/>
      <c r="H7" s="4"/>
    </row>
    <row r="8" spans="1:8" ht="18.75" x14ac:dyDescent="0.3">
      <c r="A8" s="5" t="s">
        <v>148</v>
      </c>
      <c r="D8" s="4">
        <v>95438</v>
      </c>
      <c r="E8" s="25" t="s">
        <v>34</v>
      </c>
      <c r="H8" s="4">
        <v>15238</v>
      </c>
    </row>
    <row r="9" spans="1:8" ht="18.75" x14ac:dyDescent="0.3">
      <c r="A9" s="5"/>
      <c r="C9" s="3"/>
      <c r="D9" s="4"/>
      <c r="E9" s="25"/>
      <c r="H9" s="4"/>
    </row>
    <row r="10" spans="1:8" ht="18.75" x14ac:dyDescent="0.3">
      <c r="A10" s="5"/>
      <c r="D10" s="4"/>
      <c r="E10" s="25"/>
      <c r="H10" s="4"/>
    </row>
    <row r="11" spans="1:8" ht="18.75" x14ac:dyDescent="0.3">
      <c r="A11" s="5"/>
      <c r="D11" s="4"/>
      <c r="E11" s="25"/>
      <c r="H11" s="4"/>
    </row>
    <row r="12" spans="1:8" ht="18.75" x14ac:dyDescent="0.3">
      <c r="A12" s="5"/>
      <c r="C12" s="3"/>
      <c r="D12" s="27"/>
      <c r="E12" s="25"/>
      <c r="H12" s="27"/>
    </row>
    <row r="13" spans="1:8" ht="18.75" x14ac:dyDescent="0.3">
      <c r="A13" s="5"/>
      <c r="C13" s="3"/>
      <c r="D13" s="28"/>
      <c r="E13" s="25"/>
      <c r="H13" s="28"/>
    </row>
    <row r="14" spans="1:8" ht="19.5" thickBot="1" x14ac:dyDescent="0.35">
      <c r="A14" s="5"/>
      <c r="C14" s="3"/>
      <c r="D14" s="22"/>
      <c r="E14" s="25"/>
      <c r="H14" s="22"/>
    </row>
    <row r="15" spans="1:8" ht="18.75" customHeight="1" x14ac:dyDescent="0.3">
      <c r="D15" s="4">
        <f>SUM(D7:D14)</f>
        <v>95438</v>
      </c>
      <c r="H15" s="4">
        <f>SUM(H7:H14)</f>
        <v>15238</v>
      </c>
    </row>
    <row r="16" spans="1:8" ht="18.75" x14ac:dyDescent="0.3">
      <c r="A16" s="5"/>
      <c r="C16" s="3"/>
      <c r="D16" s="4"/>
      <c r="H16" s="4"/>
    </row>
    <row r="18" spans="1:8" ht="18.75" x14ac:dyDescent="0.3">
      <c r="A18" s="5"/>
      <c r="C18" s="3"/>
      <c r="D18" s="4"/>
      <c r="H18" s="4"/>
    </row>
    <row r="19" spans="1:8" ht="15.75" thickBot="1" x14ac:dyDescent="0.3">
      <c r="D19" s="7"/>
      <c r="H19" s="7"/>
    </row>
    <row r="21" spans="1:8" ht="18.75" x14ac:dyDescent="0.3">
      <c r="C21" t="s">
        <v>4</v>
      </c>
      <c r="D21" s="4">
        <f>D3-D15</f>
        <v>71995</v>
      </c>
      <c r="G21" t="s">
        <v>5</v>
      </c>
      <c r="H21" s="4">
        <f>H3-H15</f>
        <v>11495</v>
      </c>
    </row>
    <row r="24" spans="1:8" ht="15.75" x14ac:dyDescent="0.25">
      <c r="A24" t="s">
        <v>6</v>
      </c>
      <c r="C24" s="8">
        <f>D21</f>
        <v>71995</v>
      </c>
      <c r="E24" t="s">
        <v>10</v>
      </c>
      <c r="H24" s="6">
        <f>C33</f>
        <v>59830.267999999996</v>
      </c>
    </row>
    <row r="26" spans="1:8" ht="15.75" x14ac:dyDescent="0.25">
      <c r="A26" t="s">
        <v>5</v>
      </c>
      <c r="B26" s="9" t="s">
        <v>7</v>
      </c>
      <c r="C26" s="8">
        <f>H21</f>
        <v>11495</v>
      </c>
      <c r="E26" s="13" t="s">
        <v>11</v>
      </c>
      <c r="F26" s="9" t="s">
        <v>12</v>
      </c>
      <c r="G26" s="15" t="s">
        <v>17</v>
      </c>
      <c r="H26" s="3">
        <f>-(F27*0.007)</f>
        <v>-984.9</v>
      </c>
    </row>
    <row r="27" spans="1:8" x14ac:dyDescent="0.25">
      <c r="F27" s="21">
        <f>D3-H3</f>
        <v>140700</v>
      </c>
    </row>
    <row r="28" spans="1:8" ht="16.5" thickBot="1" x14ac:dyDescent="0.3">
      <c r="A28" t="s">
        <v>8</v>
      </c>
      <c r="B28" s="9" t="s">
        <v>7</v>
      </c>
      <c r="C28" s="8">
        <f>D3*0.004</f>
        <v>669.73199999999997</v>
      </c>
      <c r="F28" s="9" t="s">
        <v>13</v>
      </c>
      <c r="G28" s="16">
        <v>0.35</v>
      </c>
      <c r="H28" s="17">
        <f>-(F29*0.35)</f>
        <v>-20940.593799999999</v>
      </c>
    </row>
    <row r="29" spans="1:8" x14ac:dyDescent="0.25">
      <c r="F29" s="21">
        <f>H24</f>
        <v>59830.267999999996</v>
      </c>
    </row>
    <row r="30" spans="1:8" ht="15.75" x14ac:dyDescent="0.25">
      <c r="A30" t="s">
        <v>9</v>
      </c>
      <c r="B30" s="9" t="s">
        <v>7</v>
      </c>
      <c r="C30" s="10"/>
      <c r="G30" s="13" t="s">
        <v>14</v>
      </c>
      <c r="H30" s="6">
        <f>H24+H26+H28</f>
        <v>37904.7742</v>
      </c>
    </row>
    <row r="31" spans="1:8" ht="15.75" thickBot="1" x14ac:dyDescent="0.3">
      <c r="A31" s="16"/>
      <c r="B31" s="14"/>
      <c r="C31" s="7"/>
    </row>
    <row r="32" spans="1:8" x14ac:dyDescent="0.25">
      <c r="E32" t="s">
        <v>151</v>
      </c>
      <c r="H32" s="20">
        <f>H30*0.5</f>
        <v>18952.3871</v>
      </c>
    </row>
    <row r="33" spans="1:8" ht="15.75" x14ac:dyDescent="0.25">
      <c r="A33" t="s">
        <v>10</v>
      </c>
      <c r="C33" s="10">
        <f>C24-C26-C28-C30</f>
        <v>59830.267999999996</v>
      </c>
      <c r="H33" s="18"/>
    </row>
    <row r="34" spans="1:8" x14ac:dyDescent="0.25">
      <c r="H34" s="3"/>
    </row>
    <row r="35" spans="1:8" x14ac:dyDescent="0.25">
      <c r="H35" s="18"/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28EE3-23C2-4E00-A09F-4B914E7E3490}">
  <dimension ref="A1:H35"/>
  <sheetViews>
    <sheetView topLeftCell="A19"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3.28515625" bestFit="1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152</v>
      </c>
    </row>
    <row r="3" spans="1:8" ht="21" x14ac:dyDescent="0.35">
      <c r="A3" s="2" t="s">
        <v>1</v>
      </c>
      <c r="D3" s="11">
        <v>186830</v>
      </c>
      <c r="F3" s="12" t="s">
        <v>3</v>
      </c>
      <c r="H3" s="11">
        <v>29830</v>
      </c>
    </row>
    <row r="4" spans="1:8" x14ac:dyDescent="0.25">
      <c r="A4" s="13" t="s">
        <v>32</v>
      </c>
      <c r="C4" s="26">
        <v>290</v>
      </c>
    </row>
    <row r="5" spans="1:8" ht="21" x14ac:dyDescent="0.35">
      <c r="A5" s="2" t="s">
        <v>2</v>
      </c>
    </row>
    <row r="7" spans="1:8" ht="18.75" x14ac:dyDescent="0.3">
      <c r="A7" s="5"/>
      <c r="D7" s="4"/>
      <c r="E7" s="25"/>
      <c r="H7" s="4"/>
    </row>
    <row r="8" spans="1:8" ht="18.75" x14ac:dyDescent="0.3">
      <c r="A8" s="5" t="s">
        <v>153</v>
      </c>
      <c r="D8" s="4">
        <v>17122</v>
      </c>
      <c r="E8" s="25" t="s">
        <v>34</v>
      </c>
      <c r="H8" s="4">
        <v>2731</v>
      </c>
    </row>
    <row r="9" spans="1:8" ht="18.75" x14ac:dyDescent="0.3">
      <c r="A9" s="5" t="s">
        <v>154</v>
      </c>
      <c r="C9" s="3"/>
      <c r="D9" s="4">
        <v>72293</v>
      </c>
      <c r="E9" s="25"/>
      <c r="H9" s="4">
        <v>11543</v>
      </c>
    </row>
    <row r="10" spans="1:8" ht="18.75" x14ac:dyDescent="0.3">
      <c r="A10" s="5" t="s">
        <v>155</v>
      </c>
      <c r="D10" s="4">
        <v>27332</v>
      </c>
      <c r="E10" s="25"/>
      <c r="H10" s="4">
        <v>4364</v>
      </c>
    </row>
    <row r="11" spans="1:8" ht="18.75" x14ac:dyDescent="0.3">
      <c r="A11" s="5"/>
      <c r="D11" s="4"/>
      <c r="E11" s="25"/>
      <c r="H11" s="4"/>
    </row>
    <row r="12" spans="1:8" ht="18.75" x14ac:dyDescent="0.3">
      <c r="A12" s="5"/>
      <c r="C12" s="3"/>
      <c r="D12" s="27"/>
      <c r="E12" s="25"/>
      <c r="H12" s="27"/>
    </row>
    <row r="13" spans="1:8" ht="18.75" x14ac:dyDescent="0.3">
      <c r="A13" s="5"/>
      <c r="C13" s="3"/>
      <c r="D13" s="28"/>
      <c r="E13" s="25"/>
      <c r="H13" s="28"/>
    </row>
    <row r="14" spans="1:8" ht="19.5" thickBot="1" x14ac:dyDescent="0.35">
      <c r="A14" s="5"/>
      <c r="C14" s="3"/>
      <c r="D14" s="22"/>
      <c r="E14" s="25"/>
      <c r="H14" s="22"/>
    </row>
    <row r="15" spans="1:8" ht="18.75" customHeight="1" x14ac:dyDescent="0.3">
      <c r="D15" s="4">
        <f>SUM(D7:D14)</f>
        <v>116747</v>
      </c>
      <c r="H15" s="4">
        <f>SUM(H7:H14)</f>
        <v>18638</v>
      </c>
    </row>
    <row r="16" spans="1:8" ht="18.75" x14ac:dyDescent="0.3">
      <c r="A16" s="5"/>
      <c r="C16" s="3"/>
      <c r="D16" s="4"/>
      <c r="H16" s="4"/>
    </row>
    <row r="18" spans="1:8" ht="18.75" x14ac:dyDescent="0.3">
      <c r="A18" s="5"/>
      <c r="C18" s="3"/>
      <c r="D18" s="4"/>
      <c r="H18" s="4"/>
    </row>
    <row r="19" spans="1:8" ht="15.75" thickBot="1" x14ac:dyDescent="0.3">
      <c r="D19" s="7"/>
      <c r="H19" s="7"/>
    </row>
    <row r="21" spans="1:8" ht="18.75" x14ac:dyDescent="0.3">
      <c r="C21" t="s">
        <v>4</v>
      </c>
      <c r="D21" s="4">
        <f>D3-D15</f>
        <v>70083</v>
      </c>
      <c r="G21" t="s">
        <v>5</v>
      </c>
      <c r="H21" s="4">
        <f>H3-H15</f>
        <v>11192</v>
      </c>
    </row>
    <row r="24" spans="1:8" ht="15.75" x14ac:dyDescent="0.25">
      <c r="A24" t="s">
        <v>6</v>
      </c>
      <c r="C24" s="8">
        <f>D21</f>
        <v>70083</v>
      </c>
      <c r="E24" t="s">
        <v>10</v>
      </c>
      <c r="H24" s="6">
        <f>C33</f>
        <v>58143.68</v>
      </c>
    </row>
    <row r="26" spans="1:8" ht="15.75" x14ac:dyDescent="0.25">
      <c r="A26" t="s">
        <v>5</v>
      </c>
      <c r="B26" s="9" t="s">
        <v>7</v>
      </c>
      <c r="C26" s="8">
        <f>H21</f>
        <v>11192</v>
      </c>
      <c r="E26" s="13" t="s">
        <v>11</v>
      </c>
      <c r="F26" s="9" t="s">
        <v>12</v>
      </c>
      <c r="G26" s="15" t="s">
        <v>17</v>
      </c>
      <c r="H26" s="3">
        <f>-(F27*0.007)</f>
        <v>-1099</v>
      </c>
    </row>
    <row r="27" spans="1:8" x14ac:dyDescent="0.25">
      <c r="F27" s="21">
        <f>D3-H3</f>
        <v>157000</v>
      </c>
    </row>
    <row r="28" spans="1:8" ht="16.5" thickBot="1" x14ac:dyDescent="0.3">
      <c r="A28" t="s">
        <v>8</v>
      </c>
      <c r="B28" s="9" t="s">
        <v>7</v>
      </c>
      <c r="C28" s="8">
        <f>D3*0.004</f>
        <v>747.32</v>
      </c>
      <c r="F28" s="9" t="s">
        <v>13</v>
      </c>
      <c r="G28" s="16">
        <v>0.35</v>
      </c>
      <c r="H28" s="17">
        <f>-(F29*0.35)</f>
        <v>-20350.288</v>
      </c>
    </row>
    <row r="29" spans="1:8" x14ac:dyDescent="0.25">
      <c r="F29" s="21">
        <f>H24</f>
        <v>58143.68</v>
      </c>
    </row>
    <row r="30" spans="1:8" ht="15.75" x14ac:dyDescent="0.25">
      <c r="A30" t="s">
        <v>9</v>
      </c>
      <c r="B30" s="9" t="s">
        <v>7</v>
      </c>
      <c r="C30" s="10"/>
      <c r="G30" s="13" t="s">
        <v>14</v>
      </c>
      <c r="H30" s="6">
        <f>H24+H26+H28</f>
        <v>36694.392</v>
      </c>
    </row>
    <row r="31" spans="1:8" ht="15.75" thickBot="1" x14ac:dyDescent="0.3">
      <c r="A31" s="16"/>
      <c r="B31" s="14"/>
      <c r="C31" s="7"/>
    </row>
    <row r="32" spans="1:8" x14ac:dyDescent="0.25">
      <c r="E32" t="s">
        <v>151</v>
      </c>
      <c r="H32" s="20">
        <f>H30*0.5</f>
        <v>18347.196</v>
      </c>
    </row>
    <row r="33" spans="1:8" ht="15.75" x14ac:dyDescent="0.25">
      <c r="A33" t="s">
        <v>10</v>
      </c>
      <c r="C33" s="10">
        <f>C24-C26-C28-C30</f>
        <v>58143.68</v>
      </c>
      <c r="H33" s="18"/>
    </row>
    <row r="34" spans="1:8" x14ac:dyDescent="0.25">
      <c r="H34" s="3"/>
    </row>
    <row r="35" spans="1:8" x14ac:dyDescent="0.25">
      <c r="H35" s="18"/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5546C-FC2A-406A-9ECC-7EC8564D19C1}">
  <dimension ref="A1:H35"/>
  <sheetViews>
    <sheetView topLeftCell="A22"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3.28515625" bestFit="1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159</v>
      </c>
    </row>
    <row r="3" spans="1:8" ht="21" x14ac:dyDescent="0.35">
      <c r="A3" s="2" t="s">
        <v>1</v>
      </c>
      <c r="D3" s="11">
        <v>542640</v>
      </c>
      <c r="F3" s="12" t="s">
        <v>3</v>
      </c>
      <c r="H3" s="11">
        <v>86840</v>
      </c>
    </row>
    <row r="4" spans="1:8" x14ac:dyDescent="0.25">
      <c r="A4" s="13" t="s">
        <v>32</v>
      </c>
      <c r="C4" s="26">
        <v>291</v>
      </c>
    </row>
    <row r="5" spans="1:8" ht="21" x14ac:dyDescent="0.35">
      <c r="A5" s="2" t="s">
        <v>2</v>
      </c>
    </row>
    <row r="7" spans="1:8" ht="18.75" x14ac:dyDescent="0.3">
      <c r="A7" s="5"/>
      <c r="D7" s="4"/>
      <c r="E7" s="25"/>
      <c r="H7" s="4"/>
    </row>
    <row r="8" spans="1:8" ht="18.75" x14ac:dyDescent="0.3">
      <c r="A8" s="5" t="s">
        <v>153</v>
      </c>
      <c r="D8" s="4">
        <v>35700</v>
      </c>
      <c r="E8" s="25" t="s">
        <v>34</v>
      </c>
      <c r="H8" s="4">
        <v>5700</v>
      </c>
    </row>
    <row r="9" spans="1:8" ht="18.75" x14ac:dyDescent="0.3">
      <c r="A9" s="5" t="s">
        <v>156</v>
      </c>
      <c r="C9" s="3"/>
      <c r="D9" s="4">
        <v>72828</v>
      </c>
      <c r="E9" s="25"/>
      <c r="H9" s="4">
        <v>11628</v>
      </c>
    </row>
    <row r="10" spans="1:8" ht="18.75" x14ac:dyDescent="0.3">
      <c r="A10" s="5" t="s">
        <v>157</v>
      </c>
      <c r="D10" s="4">
        <v>35000</v>
      </c>
      <c r="E10" s="25"/>
      <c r="H10" s="4">
        <v>0</v>
      </c>
    </row>
    <row r="11" spans="1:8" ht="18.75" x14ac:dyDescent="0.3">
      <c r="A11" s="5" t="s">
        <v>158</v>
      </c>
      <c r="D11" s="4">
        <v>178000</v>
      </c>
      <c r="E11" s="25"/>
      <c r="H11" s="4">
        <v>28420</v>
      </c>
    </row>
    <row r="12" spans="1:8" ht="18.75" x14ac:dyDescent="0.3">
      <c r="A12" s="5"/>
      <c r="C12" s="3"/>
      <c r="D12" s="27"/>
      <c r="E12" s="25"/>
      <c r="H12" s="27"/>
    </row>
    <row r="13" spans="1:8" ht="18.75" x14ac:dyDescent="0.3">
      <c r="A13" s="5"/>
      <c r="C13" s="3"/>
      <c r="D13" s="28"/>
      <c r="E13" s="25"/>
      <c r="H13" s="28"/>
    </row>
    <row r="14" spans="1:8" ht="19.5" thickBot="1" x14ac:dyDescent="0.35">
      <c r="A14" s="5"/>
      <c r="C14" s="3"/>
      <c r="D14" s="22"/>
      <c r="E14" s="25"/>
      <c r="H14" s="22"/>
    </row>
    <row r="15" spans="1:8" ht="18.75" customHeight="1" x14ac:dyDescent="0.3">
      <c r="D15" s="4">
        <f>SUM(D7:D14)</f>
        <v>321528</v>
      </c>
      <c r="H15" s="4">
        <f>SUM(H7:H14)</f>
        <v>45748</v>
      </c>
    </row>
    <row r="16" spans="1:8" ht="18.75" x14ac:dyDescent="0.3">
      <c r="A16" s="5"/>
      <c r="C16" s="3"/>
      <c r="D16" s="4"/>
      <c r="H16" s="4"/>
    </row>
    <row r="18" spans="1:8" ht="18.75" x14ac:dyDescent="0.3">
      <c r="A18" s="5"/>
      <c r="C18" s="3"/>
      <c r="D18" s="4"/>
      <c r="H18" s="4"/>
    </row>
    <row r="19" spans="1:8" ht="15.75" thickBot="1" x14ac:dyDescent="0.3">
      <c r="D19" s="7"/>
      <c r="H19" s="7"/>
    </row>
    <row r="21" spans="1:8" ht="18.75" x14ac:dyDescent="0.3">
      <c r="C21" t="s">
        <v>4</v>
      </c>
      <c r="D21" s="4">
        <f>D3-D15</f>
        <v>221112</v>
      </c>
      <c r="G21" t="s">
        <v>5</v>
      </c>
      <c r="H21" s="4">
        <f>H3-H15</f>
        <v>41092</v>
      </c>
    </row>
    <row r="24" spans="1:8" ht="15.75" x14ac:dyDescent="0.25">
      <c r="A24" t="s">
        <v>6</v>
      </c>
      <c r="C24" s="8">
        <f>D21</f>
        <v>221112</v>
      </c>
      <c r="E24" t="s">
        <v>10</v>
      </c>
      <c r="H24" s="6">
        <f>C33</f>
        <v>177849.44</v>
      </c>
    </row>
    <row r="26" spans="1:8" ht="15.75" x14ac:dyDescent="0.25">
      <c r="A26" t="s">
        <v>5</v>
      </c>
      <c r="B26" s="9" t="s">
        <v>7</v>
      </c>
      <c r="C26" s="8">
        <f>H21</f>
        <v>41092</v>
      </c>
      <c r="E26" s="13" t="s">
        <v>11</v>
      </c>
      <c r="F26" s="9" t="s">
        <v>12</v>
      </c>
      <c r="G26" s="15" t="s">
        <v>17</v>
      </c>
      <c r="H26" s="3">
        <f>-(F27*0.007)</f>
        <v>-3190.6</v>
      </c>
    </row>
    <row r="27" spans="1:8" x14ac:dyDescent="0.25">
      <c r="F27" s="21">
        <f>D3-H3</f>
        <v>455800</v>
      </c>
    </row>
    <row r="28" spans="1:8" ht="16.5" thickBot="1" x14ac:dyDescent="0.3">
      <c r="A28" t="s">
        <v>8</v>
      </c>
      <c r="B28" s="9" t="s">
        <v>7</v>
      </c>
      <c r="C28" s="8">
        <f>D3*0.004</f>
        <v>2170.56</v>
      </c>
      <c r="F28" s="9" t="s">
        <v>13</v>
      </c>
      <c r="G28" s="16">
        <v>0.35</v>
      </c>
      <c r="H28" s="17">
        <f>-(F29*0.35)</f>
        <v>-62247.303999999996</v>
      </c>
    </row>
    <row r="29" spans="1:8" x14ac:dyDescent="0.25">
      <c r="F29" s="21">
        <f>H24</f>
        <v>177849.44</v>
      </c>
    </row>
    <row r="30" spans="1:8" ht="15.75" x14ac:dyDescent="0.25">
      <c r="A30" t="s">
        <v>9</v>
      </c>
      <c r="B30" s="9" t="s">
        <v>7</v>
      </c>
      <c r="C30" s="10"/>
      <c r="G30" s="13" t="s">
        <v>14</v>
      </c>
      <c r="H30" s="6">
        <f>H24+H26+H28</f>
        <v>112411.53599999999</v>
      </c>
    </row>
    <row r="31" spans="1:8" ht="15.75" thickBot="1" x14ac:dyDescent="0.3">
      <c r="A31" s="16"/>
      <c r="B31" s="14"/>
      <c r="C31" s="7"/>
    </row>
    <row r="32" spans="1:8" x14ac:dyDescent="0.25">
      <c r="E32" t="s">
        <v>151</v>
      </c>
      <c r="H32" s="20">
        <f>H30*0.5</f>
        <v>56205.767999999996</v>
      </c>
    </row>
    <row r="33" spans="1:8" ht="15.75" x14ac:dyDescent="0.25">
      <c r="A33" t="s">
        <v>10</v>
      </c>
      <c r="C33" s="10">
        <f>C24-C26-C28-C30</f>
        <v>177849.44</v>
      </c>
      <c r="H33" s="18"/>
    </row>
    <row r="34" spans="1:8" x14ac:dyDescent="0.25">
      <c r="H34" s="3"/>
    </row>
    <row r="35" spans="1:8" x14ac:dyDescent="0.25">
      <c r="H35" s="18"/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F03B6-37A7-402D-8D83-856B28D7F479}">
  <dimension ref="A1:H35"/>
  <sheetViews>
    <sheetView topLeftCell="A16"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3.28515625" bestFit="1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160</v>
      </c>
    </row>
    <row r="3" spans="1:8" ht="21" x14ac:dyDescent="0.35">
      <c r="A3" s="2" t="s">
        <v>1</v>
      </c>
      <c r="D3" s="11">
        <v>314160</v>
      </c>
      <c r="F3" s="12" t="s">
        <v>3</v>
      </c>
      <c r="H3" s="11">
        <v>50160</v>
      </c>
    </row>
    <row r="4" spans="1:8" x14ac:dyDescent="0.25">
      <c r="A4" s="13" t="s">
        <v>32</v>
      </c>
      <c r="C4" s="26">
        <v>292</v>
      </c>
    </row>
    <row r="5" spans="1:8" ht="21" x14ac:dyDescent="0.35">
      <c r="A5" s="2" t="s">
        <v>2</v>
      </c>
    </row>
    <row r="7" spans="1:8" ht="18.75" x14ac:dyDescent="0.3">
      <c r="A7" s="5"/>
      <c r="D7" s="4"/>
      <c r="E7" s="25"/>
      <c r="H7" s="4"/>
    </row>
    <row r="8" spans="1:8" ht="18.75" x14ac:dyDescent="0.3">
      <c r="A8" s="5" t="s">
        <v>161</v>
      </c>
      <c r="D8" s="4">
        <v>161140</v>
      </c>
      <c r="E8" s="25" t="s">
        <v>34</v>
      </c>
      <c r="H8" s="4">
        <v>25728</v>
      </c>
    </row>
    <row r="9" spans="1:8" ht="18.75" x14ac:dyDescent="0.3">
      <c r="A9" s="5"/>
      <c r="C9" s="3"/>
      <c r="D9" s="4"/>
      <c r="E9" s="25"/>
      <c r="H9" s="4"/>
    </row>
    <row r="10" spans="1:8" ht="18.75" x14ac:dyDescent="0.3">
      <c r="A10" s="5"/>
      <c r="D10" s="4"/>
      <c r="E10" s="25"/>
      <c r="H10" s="4"/>
    </row>
    <row r="11" spans="1:8" ht="18.75" x14ac:dyDescent="0.3">
      <c r="A11" s="5"/>
      <c r="D11" s="4"/>
      <c r="E11" s="25"/>
      <c r="H11" s="4"/>
    </row>
    <row r="12" spans="1:8" ht="18.75" x14ac:dyDescent="0.3">
      <c r="A12" s="5"/>
      <c r="C12" s="3"/>
      <c r="D12" s="27"/>
      <c r="E12" s="25"/>
      <c r="H12" s="27"/>
    </row>
    <row r="13" spans="1:8" ht="18.75" x14ac:dyDescent="0.3">
      <c r="A13" s="5"/>
      <c r="C13" s="3"/>
      <c r="D13" s="28"/>
      <c r="E13" s="25"/>
      <c r="H13" s="28"/>
    </row>
    <row r="14" spans="1:8" ht="19.5" thickBot="1" x14ac:dyDescent="0.35">
      <c r="A14" s="5"/>
      <c r="C14" s="3"/>
      <c r="D14" s="22"/>
      <c r="E14" s="25"/>
      <c r="H14" s="22"/>
    </row>
    <row r="15" spans="1:8" ht="18.75" customHeight="1" x14ac:dyDescent="0.3">
      <c r="D15" s="4">
        <f>SUM(D7:D14)</f>
        <v>161140</v>
      </c>
      <c r="H15" s="4">
        <f>SUM(H7:H14)</f>
        <v>25728</v>
      </c>
    </row>
    <row r="16" spans="1:8" ht="18.75" x14ac:dyDescent="0.3">
      <c r="A16" s="5"/>
      <c r="C16" s="3"/>
      <c r="D16" s="4"/>
      <c r="H16" s="4"/>
    </row>
    <row r="18" spans="1:8" ht="18.75" x14ac:dyDescent="0.3">
      <c r="A18" s="5"/>
      <c r="C18" s="3"/>
      <c r="D18" s="4"/>
      <c r="H18" s="4"/>
    </row>
    <row r="19" spans="1:8" ht="15.75" thickBot="1" x14ac:dyDescent="0.3">
      <c r="D19" s="7"/>
      <c r="H19" s="7"/>
    </row>
    <row r="21" spans="1:8" ht="18.75" x14ac:dyDescent="0.3">
      <c r="C21" t="s">
        <v>4</v>
      </c>
      <c r="D21" s="4">
        <f>D3-D15</f>
        <v>153020</v>
      </c>
      <c r="G21" t="s">
        <v>5</v>
      </c>
      <c r="H21" s="4">
        <f>H3-H15</f>
        <v>24432</v>
      </c>
    </row>
    <row r="24" spans="1:8" ht="15.75" x14ac:dyDescent="0.25">
      <c r="A24" t="s">
        <v>6</v>
      </c>
      <c r="C24" s="8">
        <f>D21</f>
        <v>153020</v>
      </c>
      <c r="E24" t="s">
        <v>10</v>
      </c>
      <c r="H24" s="6">
        <f>C33</f>
        <v>127331.36</v>
      </c>
    </row>
    <row r="26" spans="1:8" ht="15.75" x14ac:dyDescent="0.25">
      <c r="A26" t="s">
        <v>5</v>
      </c>
      <c r="B26" s="9" t="s">
        <v>7</v>
      </c>
      <c r="C26" s="8">
        <f>H21</f>
        <v>24432</v>
      </c>
      <c r="E26" s="13" t="s">
        <v>11</v>
      </c>
      <c r="F26" s="9" t="s">
        <v>12</v>
      </c>
      <c r="G26" s="15" t="s">
        <v>17</v>
      </c>
      <c r="H26" s="3">
        <f>-(F27*0.007)</f>
        <v>-1848</v>
      </c>
    </row>
    <row r="27" spans="1:8" x14ac:dyDescent="0.25">
      <c r="F27" s="21">
        <f>D3-H3</f>
        <v>264000</v>
      </c>
    </row>
    <row r="28" spans="1:8" ht="16.5" thickBot="1" x14ac:dyDescent="0.3">
      <c r="A28" t="s">
        <v>8</v>
      </c>
      <c r="B28" s="9" t="s">
        <v>7</v>
      </c>
      <c r="C28" s="8">
        <f>D3*0.004</f>
        <v>1256.6400000000001</v>
      </c>
      <c r="F28" s="9" t="s">
        <v>13</v>
      </c>
      <c r="G28" s="16">
        <v>0.35</v>
      </c>
      <c r="H28" s="17">
        <f>-(F29*0.35)</f>
        <v>-44565.975999999995</v>
      </c>
    </row>
    <row r="29" spans="1:8" x14ac:dyDescent="0.25">
      <c r="F29" s="21">
        <f>H24</f>
        <v>127331.36</v>
      </c>
    </row>
    <row r="30" spans="1:8" ht="15.75" x14ac:dyDescent="0.25">
      <c r="A30" t="s">
        <v>9</v>
      </c>
      <c r="B30" s="9" t="s">
        <v>7</v>
      </c>
      <c r="C30" s="10"/>
      <c r="G30" s="13" t="s">
        <v>14</v>
      </c>
      <c r="H30" s="6">
        <f>H24+H26+H28</f>
        <v>80917.384000000005</v>
      </c>
    </row>
    <row r="31" spans="1:8" ht="15.75" thickBot="1" x14ac:dyDescent="0.3">
      <c r="A31" s="16"/>
      <c r="B31" s="14"/>
      <c r="C31" s="7"/>
    </row>
    <row r="32" spans="1:8" x14ac:dyDescent="0.25">
      <c r="E32" t="s">
        <v>151</v>
      </c>
      <c r="H32" s="20">
        <f>H30*0.5</f>
        <v>40458.692000000003</v>
      </c>
    </row>
    <row r="33" spans="1:8" ht="15.75" x14ac:dyDescent="0.25">
      <c r="A33" t="s">
        <v>10</v>
      </c>
      <c r="C33" s="10">
        <f>C24-C26-C28-C30</f>
        <v>127331.36</v>
      </c>
      <c r="H33" s="18"/>
    </row>
    <row r="34" spans="1:8" x14ac:dyDescent="0.25">
      <c r="H34" s="3"/>
    </row>
    <row r="35" spans="1:8" x14ac:dyDescent="0.25">
      <c r="H35" s="18"/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07149-C6C7-4619-81D4-90A51E093871}">
  <dimension ref="A1:H35"/>
  <sheetViews>
    <sheetView topLeftCell="A19" workbookViewId="0">
      <selection activeCell="B14" sqref="B14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3.28515625" bestFit="1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162</v>
      </c>
    </row>
    <row r="3" spans="1:8" ht="21" x14ac:dyDescent="0.35">
      <c r="A3" s="2" t="s">
        <v>1</v>
      </c>
      <c r="D3" s="11">
        <v>910350</v>
      </c>
      <c r="F3" s="12" t="s">
        <v>3</v>
      </c>
      <c r="H3" s="11">
        <v>145350</v>
      </c>
    </row>
    <row r="4" spans="1:8" x14ac:dyDescent="0.25">
      <c r="A4" s="13" t="s">
        <v>32</v>
      </c>
      <c r="C4" s="26">
        <v>293</v>
      </c>
    </row>
    <row r="5" spans="1:8" ht="21" x14ac:dyDescent="0.35">
      <c r="A5" s="2" t="s">
        <v>2</v>
      </c>
    </row>
    <row r="7" spans="1:8" ht="18.75" x14ac:dyDescent="0.3">
      <c r="A7" s="5"/>
      <c r="D7" s="4"/>
      <c r="E7" s="25"/>
      <c r="H7" s="4"/>
    </row>
    <row r="8" spans="1:8" ht="18.75" x14ac:dyDescent="0.3">
      <c r="A8" s="5" t="s">
        <v>163</v>
      </c>
      <c r="D8" s="4">
        <v>448835</v>
      </c>
      <c r="E8" s="25" t="s">
        <v>34</v>
      </c>
      <c r="H8" s="4">
        <v>71663</v>
      </c>
    </row>
    <row r="9" spans="1:8" ht="18.75" x14ac:dyDescent="0.3">
      <c r="A9" s="5" t="s">
        <v>164</v>
      </c>
      <c r="C9" s="3"/>
      <c r="D9" s="4">
        <v>45000</v>
      </c>
      <c r="E9" s="25"/>
      <c r="H9" s="4"/>
    </row>
    <row r="10" spans="1:8" ht="18.75" x14ac:dyDescent="0.3">
      <c r="A10" s="5" t="s">
        <v>165</v>
      </c>
      <c r="D10" s="4">
        <v>75000</v>
      </c>
      <c r="E10" s="25"/>
      <c r="H10" s="4"/>
    </row>
    <row r="11" spans="1:8" ht="18.75" x14ac:dyDescent="0.3">
      <c r="A11" s="5"/>
      <c r="D11" s="4"/>
      <c r="E11" s="25"/>
      <c r="H11" s="4"/>
    </row>
    <row r="12" spans="1:8" ht="18.75" x14ac:dyDescent="0.3">
      <c r="A12" s="5"/>
      <c r="C12" s="3"/>
      <c r="D12" s="27"/>
      <c r="E12" s="25"/>
      <c r="H12" s="27"/>
    </row>
    <row r="13" spans="1:8" ht="18.75" x14ac:dyDescent="0.3">
      <c r="A13" s="5"/>
      <c r="C13" s="3"/>
      <c r="D13" s="28"/>
      <c r="E13" s="25"/>
      <c r="H13" s="28"/>
    </row>
    <row r="14" spans="1:8" ht="19.5" thickBot="1" x14ac:dyDescent="0.35">
      <c r="A14" s="5"/>
      <c r="C14" s="3"/>
      <c r="D14" s="22"/>
      <c r="E14" s="25"/>
      <c r="H14" s="22"/>
    </row>
    <row r="15" spans="1:8" ht="18.75" customHeight="1" x14ac:dyDescent="0.3">
      <c r="D15" s="4">
        <f>SUM(D7:D14)</f>
        <v>568835</v>
      </c>
      <c r="H15" s="4">
        <f>SUM(H7:H14)</f>
        <v>71663</v>
      </c>
    </row>
    <row r="16" spans="1:8" ht="18.75" x14ac:dyDescent="0.3">
      <c r="A16" s="5"/>
      <c r="C16" s="3"/>
      <c r="D16" s="4"/>
      <c r="H16" s="4"/>
    </row>
    <row r="18" spans="1:8" ht="18.75" x14ac:dyDescent="0.3">
      <c r="A18" s="5"/>
      <c r="C18" s="3"/>
      <c r="D18" s="4"/>
      <c r="H18" s="4"/>
    </row>
    <row r="19" spans="1:8" ht="15.75" thickBot="1" x14ac:dyDescent="0.3">
      <c r="D19" s="7"/>
      <c r="H19" s="7"/>
    </row>
    <row r="21" spans="1:8" ht="18.75" x14ac:dyDescent="0.3">
      <c r="C21" t="s">
        <v>4</v>
      </c>
      <c r="D21" s="4">
        <f>D3-D15</f>
        <v>341515</v>
      </c>
      <c r="G21" t="s">
        <v>5</v>
      </c>
      <c r="H21" s="4">
        <f>H3-H15</f>
        <v>73687</v>
      </c>
    </row>
    <row r="24" spans="1:8" ht="15.75" x14ac:dyDescent="0.25">
      <c r="A24" t="s">
        <v>6</v>
      </c>
      <c r="C24" s="8">
        <f>D21</f>
        <v>341515</v>
      </c>
      <c r="E24" t="s">
        <v>10</v>
      </c>
      <c r="H24" s="6">
        <f>C33</f>
        <v>264186.59999999998</v>
      </c>
    </row>
    <row r="26" spans="1:8" ht="15.75" x14ac:dyDescent="0.25">
      <c r="A26" t="s">
        <v>5</v>
      </c>
      <c r="B26" s="9" t="s">
        <v>7</v>
      </c>
      <c r="C26" s="8">
        <f>H21</f>
        <v>73687</v>
      </c>
      <c r="E26" s="13" t="s">
        <v>11</v>
      </c>
      <c r="F26" s="9" t="s">
        <v>12</v>
      </c>
      <c r="G26" s="15" t="s">
        <v>17</v>
      </c>
      <c r="H26" s="3">
        <f>-(F27*0.007)</f>
        <v>-5355</v>
      </c>
    </row>
    <row r="27" spans="1:8" x14ac:dyDescent="0.25">
      <c r="F27" s="21">
        <f>D3-H3</f>
        <v>765000</v>
      </c>
    </row>
    <row r="28" spans="1:8" ht="16.5" thickBot="1" x14ac:dyDescent="0.3">
      <c r="A28" t="s">
        <v>8</v>
      </c>
      <c r="B28" s="9" t="s">
        <v>7</v>
      </c>
      <c r="C28" s="8">
        <f>D3*0.004</f>
        <v>3641.4</v>
      </c>
      <c r="F28" s="9" t="s">
        <v>13</v>
      </c>
      <c r="G28" s="16">
        <v>0.35</v>
      </c>
      <c r="H28" s="17">
        <f>-(F29*0.35)</f>
        <v>-92465.309999999983</v>
      </c>
    </row>
    <row r="29" spans="1:8" x14ac:dyDescent="0.25">
      <c r="F29" s="21">
        <f>H24</f>
        <v>264186.59999999998</v>
      </c>
    </row>
    <row r="30" spans="1:8" ht="15.75" x14ac:dyDescent="0.25">
      <c r="A30" t="s">
        <v>9</v>
      </c>
      <c r="B30" s="9" t="s">
        <v>7</v>
      </c>
      <c r="C30" s="10"/>
      <c r="G30" s="13" t="s">
        <v>14</v>
      </c>
      <c r="H30" s="6">
        <f>H24+H26+H28</f>
        <v>166366.28999999998</v>
      </c>
    </row>
    <row r="31" spans="1:8" ht="15.75" thickBot="1" x14ac:dyDescent="0.3">
      <c r="A31" s="16"/>
      <c r="B31" s="14"/>
      <c r="C31" s="7"/>
    </row>
    <row r="32" spans="1:8" x14ac:dyDescent="0.25">
      <c r="E32" t="s">
        <v>151</v>
      </c>
      <c r="H32" s="20">
        <f>H30*0.5</f>
        <v>83183.14499999999</v>
      </c>
    </row>
    <row r="33" spans="1:8" ht="15.75" x14ac:dyDescent="0.25">
      <c r="A33" t="s">
        <v>10</v>
      </c>
      <c r="C33" s="10">
        <f>C24-C26-C28-C30</f>
        <v>264186.59999999998</v>
      </c>
      <c r="H33" s="18"/>
    </row>
    <row r="34" spans="1:8" x14ac:dyDescent="0.25">
      <c r="H34" s="3"/>
    </row>
    <row r="35" spans="1:8" x14ac:dyDescent="0.25">
      <c r="H35" s="18"/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86325-3CA6-4110-A13F-207975832DA1}">
  <dimension ref="A1:H35"/>
  <sheetViews>
    <sheetView topLeftCell="A22"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3.28515625" bestFit="1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166</v>
      </c>
    </row>
    <row r="3" spans="1:8" ht="21" x14ac:dyDescent="0.35">
      <c r="A3" s="2" t="s">
        <v>1</v>
      </c>
      <c r="D3" s="11">
        <v>486710</v>
      </c>
      <c r="F3" s="12" t="s">
        <v>3</v>
      </c>
      <c r="H3" s="11">
        <v>77710</v>
      </c>
    </row>
    <row r="4" spans="1:8" x14ac:dyDescent="0.25">
      <c r="A4" s="13" t="s">
        <v>32</v>
      </c>
      <c r="C4" s="26">
        <v>294</v>
      </c>
    </row>
    <row r="5" spans="1:8" ht="21" x14ac:dyDescent="0.35">
      <c r="A5" s="2" t="s">
        <v>2</v>
      </c>
    </row>
    <row r="7" spans="1:8" ht="18.75" x14ac:dyDescent="0.3">
      <c r="A7" s="5"/>
      <c r="D7" s="4"/>
      <c r="E7" s="25"/>
      <c r="H7" s="4"/>
    </row>
    <row r="8" spans="1:8" ht="18.75" x14ac:dyDescent="0.3">
      <c r="A8" s="5" t="s">
        <v>167</v>
      </c>
      <c r="D8" s="4">
        <v>26082</v>
      </c>
      <c r="E8" s="25" t="s">
        <v>34</v>
      </c>
      <c r="H8" s="4">
        <v>4164</v>
      </c>
    </row>
    <row r="9" spans="1:8" ht="18.75" x14ac:dyDescent="0.3">
      <c r="A9" s="5" t="s">
        <v>168</v>
      </c>
      <c r="C9" s="3"/>
      <c r="D9" s="4">
        <v>139069</v>
      </c>
      <c r="E9" s="25"/>
      <c r="H9" s="4">
        <v>22204</v>
      </c>
    </row>
    <row r="10" spans="1:8" ht="18.75" x14ac:dyDescent="0.3">
      <c r="A10" s="5" t="s">
        <v>169</v>
      </c>
      <c r="D10" s="4">
        <v>120000</v>
      </c>
      <c r="E10" s="25"/>
      <c r="H10" s="4"/>
    </row>
    <row r="11" spans="1:8" ht="18.75" x14ac:dyDescent="0.3">
      <c r="A11" s="5" t="s">
        <v>89</v>
      </c>
      <c r="D11" s="4">
        <v>10000</v>
      </c>
      <c r="E11" s="25"/>
      <c r="H11" s="4"/>
    </row>
    <row r="12" spans="1:8" ht="18.75" x14ac:dyDescent="0.3">
      <c r="A12" s="5"/>
      <c r="C12" s="3"/>
      <c r="D12" s="27"/>
      <c r="E12" s="25"/>
      <c r="H12" s="27"/>
    </row>
    <row r="13" spans="1:8" ht="18.75" x14ac:dyDescent="0.3">
      <c r="A13" s="5"/>
      <c r="C13" s="3"/>
      <c r="D13" s="28"/>
      <c r="E13" s="25"/>
      <c r="H13" s="28"/>
    </row>
    <row r="14" spans="1:8" ht="19.5" thickBot="1" x14ac:dyDescent="0.35">
      <c r="A14" s="5"/>
      <c r="C14" s="3"/>
      <c r="D14" s="22"/>
      <c r="E14" s="25"/>
      <c r="H14" s="22"/>
    </row>
    <row r="15" spans="1:8" ht="18.75" customHeight="1" x14ac:dyDescent="0.3">
      <c r="D15" s="4">
        <f>SUM(D7:D14)</f>
        <v>295151</v>
      </c>
      <c r="H15" s="4">
        <f>SUM(H7:H14)</f>
        <v>26368</v>
      </c>
    </row>
    <row r="16" spans="1:8" ht="18.75" x14ac:dyDescent="0.3">
      <c r="A16" s="5"/>
      <c r="C16" s="3"/>
      <c r="D16" s="4"/>
      <c r="H16" s="4"/>
    </row>
    <row r="18" spans="1:8" ht="18.75" x14ac:dyDescent="0.3">
      <c r="A18" s="5"/>
      <c r="C18" s="3"/>
      <c r="D18" s="4"/>
      <c r="H18" s="4"/>
    </row>
    <row r="19" spans="1:8" ht="15.75" thickBot="1" x14ac:dyDescent="0.3">
      <c r="D19" s="7"/>
      <c r="H19" s="7"/>
    </row>
    <row r="21" spans="1:8" ht="18.75" x14ac:dyDescent="0.3">
      <c r="C21" t="s">
        <v>4</v>
      </c>
      <c r="D21" s="4">
        <f>D3-D15</f>
        <v>191559</v>
      </c>
      <c r="G21" t="s">
        <v>5</v>
      </c>
      <c r="H21" s="4">
        <f>H3-H15</f>
        <v>51342</v>
      </c>
    </row>
    <row r="24" spans="1:8" ht="15.75" x14ac:dyDescent="0.25">
      <c r="A24" t="s">
        <v>6</v>
      </c>
      <c r="C24" s="8">
        <f>D21</f>
        <v>191559</v>
      </c>
      <c r="E24" t="s">
        <v>10</v>
      </c>
      <c r="H24" s="6">
        <f>C33</f>
        <v>138270.16</v>
      </c>
    </row>
    <row r="26" spans="1:8" ht="15.75" x14ac:dyDescent="0.25">
      <c r="A26" t="s">
        <v>5</v>
      </c>
      <c r="B26" s="9" t="s">
        <v>7</v>
      </c>
      <c r="C26" s="8">
        <f>H21</f>
        <v>51342</v>
      </c>
      <c r="E26" s="13" t="s">
        <v>11</v>
      </c>
      <c r="F26" s="9" t="s">
        <v>12</v>
      </c>
      <c r="G26" s="15" t="s">
        <v>17</v>
      </c>
      <c r="H26" s="3">
        <f>-(F27*0.007)</f>
        <v>-2863</v>
      </c>
    </row>
    <row r="27" spans="1:8" x14ac:dyDescent="0.25">
      <c r="F27" s="21">
        <f>D3-H3</f>
        <v>409000</v>
      </c>
    </row>
    <row r="28" spans="1:8" ht="16.5" thickBot="1" x14ac:dyDescent="0.3">
      <c r="A28" t="s">
        <v>8</v>
      </c>
      <c r="B28" s="9" t="s">
        <v>7</v>
      </c>
      <c r="C28" s="8">
        <f>D3*0.004</f>
        <v>1946.8400000000001</v>
      </c>
      <c r="F28" s="9" t="s">
        <v>13</v>
      </c>
      <c r="G28" s="16">
        <v>0.35</v>
      </c>
      <c r="H28" s="17">
        <f>-(F29*0.35)</f>
        <v>-48394.555999999997</v>
      </c>
    </row>
    <row r="29" spans="1:8" x14ac:dyDescent="0.25">
      <c r="F29" s="21">
        <f>H24</f>
        <v>138270.16</v>
      </c>
    </row>
    <row r="30" spans="1:8" ht="15.75" x14ac:dyDescent="0.25">
      <c r="A30" t="s">
        <v>9</v>
      </c>
      <c r="B30" s="9" t="s">
        <v>7</v>
      </c>
      <c r="C30" s="10"/>
      <c r="G30" s="13" t="s">
        <v>14</v>
      </c>
      <c r="H30" s="6">
        <f>H24+H26+H28</f>
        <v>87012.604000000007</v>
      </c>
    </row>
    <row r="31" spans="1:8" ht="15.75" thickBot="1" x14ac:dyDescent="0.3">
      <c r="A31" s="16"/>
      <c r="B31" s="14"/>
      <c r="C31" s="7"/>
    </row>
    <row r="32" spans="1:8" x14ac:dyDescent="0.25">
      <c r="E32" t="s">
        <v>151</v>
      </c>
      <c r="H32" s="20">
        <f>H30*0.5</f>
        <v>43506.302000000003</v>
      </c>
    </row>
    <row r="33" spans="1:8" ht="15.75" x14ac:dyDescent="0.25">
      <c r="A33" t="s">
        <v>10</v>
      </c>
      <c r="C33" s="10">
        <f>C24-C26-C28-C30</f>
        <v>138270.16</v>
      </c>
      <c r="H33" s="18"/>
    </row>
    <row r="34" spans="1:8" x14ac:dyDescent="0.25">
      <c r="H34" s="3"/>
    </row>
    <row r="35" spans="1:8" x14ac:dyDescent="0.25">
      <c r="H35" s="18"/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D40EE-D35A-4886-9374-43D082AD4DA5}">
  <dimension ref="A1:H35"/>
  <sheetViews>
    <sheetView topLeftCell="A19"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3.28515625" bestFit="1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166</v>
      </c>
    </row>
    <row r="3" spans="1:8" ht="21" x14ac:dyDescent="0.35">
      <c r="A3" s="2" t="s">
        <v>1</v>
      </c>
      <c r="D3" s="11">
        <v>127330</v>
      </c>
      <c r="F3" s="12" t="s">
        <v>3</v>
      </c>
      <c r="H3" s="11">
        <v>20330</v>
      </c>
    </row>
    <row r="4" spans="1:8" x14ac:dyDescent="0.25">
      <c r="A4" s="13" t="s">
        <v>32</v>
      </c>
      <c r="C4" s="26">
        <v>295</v>
      </c>
    </row>
    <row r="5" spans="1:8" ht="21" x14ac:dyDescent="0.35">
      <c r="A5" s="2" t="s">
        <v>2</v>
      </c>
    </row>
    <row r="7" spans="1:8" ht="18.75" x14ac:dyDescent="0.3">
      <c r="A7" s="5"/>
      <c r="D7" s="4"/>
      <c r="E7" s="25"/>
      <c r="H7" s="4"/>
    </row>
    <row r="8" spans="1:8" ht="18.75" x14ac:dyDescent="0.3">
      <c r="A8" s="5" t="s">
        <v>170</v>
      </c>
      <c r="D8" s="4">
        <v>44125</v>
      </c>
      <c r="E8" s="25" t="s">
        <v>34</v>
      </c>
      <c r="H8" s="4">
        <v>7045</v>
      </c>
    </row>
    <row r="9" spans="1:8" ht="18.75" x14ac:dyDescent="0.3">
      <c r="A9" s="5" t="s">
        <v>169</v>
      </c>
      <c r="D9" s="4">
        <v>15000</v>
      </c>
      <c r="E9" s="25"/>
      <c r="H9" s="4"/>
    </row>
    <row r="10" spans="1:8" ht="18.75" x14ac:dyDescent="0.3">
      <c r="E10" s="25"/>
      <c r="H10" s="4"/>
    </row>
    <row r="11" spans="1:8" ht="18.75" x14ac:dyDescent="0.3">
      <c r="A11" s="5"/>
      <c r="D11" s="4"/>
      <c r="E11" s="25"/>
      <c r="H11" s="4"/>
    </row>
    <row r="12" spans="1:8" ht="18.75" x14ac:dyDescent="0.3">
      <c r="A12" s="5"/>
      <c r="C12" s="3"/>
      <c r="D12" s="27"/>
      <c r="E12" s="25"/>
      <c r="H12" s="27"/>
    </row>
    <row r="13" spans="1:8" ht="18.75" x14ac:dyDescent="0.3">
      <c r="A13" s="5"/>
      <c r="C13" s="3"/>
      <c r="D13" s="28"/>
      <c r="E13" s="25"/>
      <c r="H13" s="28"/>
    </row>
    <row r="14" spans="1:8" ht="19.5" thickBot="1" x14ac:dyDescent="0.35">
      <c r="A14" s="5"/>
      <c r="C14" s="3"/>
      <c r="D14" s="22"/>
      <c r="E14" s="25"/>
      <c r="H14" s="22"/>
    </row>
    <row r="15" spans="1:8" ht="18.75" customHeight="1" x14ac:dyDescent="0.3">
      <c r="D15" s="4">
        <f>SUM(D7:D14)</f>
        <v>59125</v>
      </c>
      <c r="H15" s="4">
        <f>SUM(H7:H14)</f>
        <v>7045</v>
      </c>
    </row>
    <row r="16" spans="1:8" ht="18.75" x14ac:dyDescent="0.3">
      <c r="A16" s="5"/>
      <c r="C16" s="3"/>
      <c r="D16" s="4"/>
      <c r="H16" s="4"/>
    </row>
    <row r="18" spans="1:8" ht="18.75" x14ac:dyDescent="0.3">
      <c r="A18" s="5"/>
      <c r="C18" s="3"/>
      <c r="D18" s="4"/>
      <c r="H18" s="4"/>
    </row>
    <row r="19" spans="1:8" ht="15.75" thickBot="1" x14ac:dyDescent="0.3">
      <c r="D19" s="7"/>
      <c r="H19" s="7"/>
    </row>
    <row r="21" spans="1:8" ht="18.75" x14ac:dyDescent="0.3">
      <c r="C21" t="s">
        <v>4</v>
      </c>
      <c r="D21" s="4">
        <f>D3-D15</f>
        <v>68205</v>
      </c>
      <c r="G21" t="s">
        <v>5</v>
      </c>
      <c r="H21" s="4">
        <f>H3-H15</f>
        <v>13285</v>
      </c>
    </row>
    <row r="24" spans="1:8" ht="15.75" x14ac:dyDescent="0.25">
      <c r="A24" t="s">
        <v>6</v>
      </c>
      <c r="C24" s="8">
        <f>D21</f>
        <v>68205</v>
      </c>
      <c r="E24" t="s">
        <v>10</v>
      </c>
      <c r="H24" s="6">
        <f>C33</f>
        <v>54410.68</v>
      </c>
    </row>
    <row r="26" spans="1:8" ht="15.75" x14ac:dyDescent="0.25">
      <c r="A26" t="s">
        <v>5</v>
      </c>
      <c r="B26" s="9" t="s">
        <v>7</v>
      </c>
      <c r="C26" s="8">
        <f>H21</f>
        <v>13285</v>
      </c>
      <c r="E26" s="13" t="s">
        <v>11</v>
      </c>
      <c r="F26" s="9" t="s">
        <v>12</v>
      </c>
      <c r="G26" s="15" t="s">
        <v>17</v>
      </c>
      <c r="H26" s="3">
        <f>-(F27*0.007)</f>
        <v>-749</v>
      </c>
    </row>
    <row r="27" spans="1:8" x14ac:dyDescent="0.25">
      <c r="F27" s="21">
        <f>D3-H3</f>
        <v>107000</v>
      </c>
    </row>
    <row r="28" spans="1:8" ht="16.5" thickBot="1" x14ac:dyDescent="0.3">
      <c r="A28" t="s">
        <v>8</v>
      </c>
      <c r="B28" s="9" t="s">
        <v>7</v>
      </c>
      <c r="C28" s="8">
        <f>D3*0.004</f>
        <v>509.32</v>
      </c>
      <c r="F28" s="9" t="s">
        <v>13</v>
      </c>
      <c r="G28" s="16">
        <v>0.35</v>
      </c>
      <c r="H28" s="17">
        <f>-(F29*0.35)</f>
        <v>-19043.737999999998</v>
      </c>
    </row>
    <row r="29" spans="1:8" x14ac:dyDescent="0.25">
      <c r="F29" s="21">
        <f>H24</f>
        <v>54410.68</v>
      </c>
    </row>
    <row r="30" spans="1:8" ht="15.75" x14ac:dyDescent="0.25">
      <c r="A30" t="s">
        <v>9</v>
      </c>
      <c r="B30" s="9" t="s">
        <v>7</v>
      </c>
      <c r="C30" s="10"/>
      <c r="G30" s="13" t="s">
        <v>14</v>
      </c>
      <c r="H30" s="6">
        <f>H24+H26+H28</f>
        <v>34617.942000000003</v>
      </c>
    </row>
    <row r="31" spans="1:8" ht="15.75" thickBot="1" x14ac:dyDescent="0.3">
      <c r="A31" s="16"/>
      <c r="B31" s="14"/>
      <c r="C31" s="7"/>
    </row>
    <row r="32" spans="1:8" x14ac:dyDescent="0.25">
      <c r="E32" t="s">
        <v>151</v>
      </c>
      <c r="H32" s="20">
        <f>H30*0.5</f>
        <v>17308.971000000001</v>
      </c>
    </row>
    <row r="33" spans="1:8" ht="15.75" x14ac:dyDescent="0.25">
      <c r="A33" t="s">
        <v>10</v>
      </c>
      <c r="C33" s="10">
        <f>C24-C26-C28-C30</f>
        <v>54410.68</v>
      </c>
      <c r="H33" s="18"/>
    </row>
    <row r="34" spans="1:8" x14ac:dyDescent="0.25">
      <c r="H34" s="3"/>
    </row>
    <row r="35" spans="1:8" x14ac:dyDescent="0.25">
      <c r="H35" s="18"/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84F27-4DF9-40D8-8695-30A6C892827F}">
  <dimension ref="A1:H35"/>
  <sheetViews>
    <sheetView topLeftCell="A19"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3.28515625" bestFit="1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172</v>
      </c>
    </row>
    <row r="3" spans="1:8" ht="21" x14ac:dyDescent="0.35">
      <c r="A3" s="2" t="s">
        <v>1</v>
      </c>
      <c r="D3" s="11">
        <v>714000</v>
      </c>
      <c r="F3" s="12" t="s">
        <v>3</v>
      </c>
      <c r="H3" s="11">
        <v>114000</v>
      </c>
    </row>
    <row r="4" spans="1:8" x14ac:dyDescent="0.25">
      <c r="A4" s="13" t="s">
        <v>32</v>
      </c>
      <c r="C4" s="26">
        <v>297</v>
      </c>
    </row>
    <row r="5" spans="1:8" ht="21" x14ac:dyDescent="0.35">
      <c r="A5" s="2" t="s">
        <v>2</v>
      </c>
    </row>
    <row r="7" spans="1:8" ht="18.75" x14ac:dyDescent="0.3">
      <c r="A7" s="5"/>
      <c r="D7" s="4"/>
      <c r="E7" s="25"/>
      <c r="H7" s="4"/>
    </row>
    <row r="8" spans="1:8" ht="18.75" x14ac:dyDescent="0.3">
      <c r="A8" s="5" t="s">
        <v>171</v>
      </c>
      <c r="D8" s="4">
        <v>280000</v>
      </c>
      <c r="E8" s="25" t="s">
        <v>34</v>
      </c>
      <c r="H8" s="4"/>
    </row>
    <row r="9" spans="1:8" ht="18.75" x14ac:dyDescent="0.3">
      <c r="A9" s="5"/>
      <c r="D9" s="4"/>
      <c r="E9" s="25"/>
      <c r="H9" s="4"/>
    </row>
    <row r="10" spans="1:8" ht="18.75" x14ac:dyDescent="0.3">
      <c r="E10" s="25"/>
      <c r="H10" s="4"/>
    </row>
    <row r="11" spans="1:8" ht="18.75" x14ac:dyDescent="0.3">
      <c r="A11" s="5"/>
      <c r="D11" s="4"/>
      <c r="E11" s="25"/>
      <c r="H11" s="4"/>
    </row>
    <row r="12" spans="1:8" ht="18.75" x14ac:dyDescent="0.3">
      <c r="A12" s="5"/>
      <c r="C12" s="3"/>
      <c r="D12" s="27"/>
      <c r="E12" s="25"/>
      <c r="H12" s="27"/>
    </row>
    <row r="13" spans="1:8" ht="18.75" x14ac:dyDescent="0.3">
      <c r="A13" s="5"/>
      <c r="C13" s="3"/>
      <c r="D13" s="28"/>
      <c r="E13" s="25"/>
      <c r="H13" s="28"/>
    </row>
    <row r="14" spans="1:8" ht="19.5" thickBot="1" x14ac:dyDescent="0.35">
      <c r="A14" s="5"/>
      <c r="C14" s="3"/>
      <c r="D14" s="22"/>
      <c r="E14" s="25"/>
      <c r="H14" s="22"/>
    </row>
    <row r="15" spans="1:8" ht="18.75" customHeight="1" x14ac:dyDescent="0.3">
      <c r="D15" s="4">
        <f>SUM(D7:D14)</f>
        <v>280000</v>
      </c>
      <c r="H15" s="4">
        <f>SUM(H7:H14)</f>
        <v>0</v>
      </c>
    </row>
    <row r="16" spans="1:8" ht="18.75" x14ac:dyDescent="0.3">
      <c r="A16" s="5"/>
      <c r="C16" s="3"/>
      <c r="D16" s="4"/>
      <c r="H16" s="4"/>
    </row>
    <row r="18" spans="1:8" ht="18.75" x14ac:dyDescent="0.3">
      <c r="A18" s="5"/>
      <c r="C18" s="3"/>
      <c r="D18" s="4"/>
      <c r="H18" s="4"/>
    </row>
    <row r="19" spans="1:8" ht="15.75" thickBot="1" x14ac:dyDescent="0.3">
      <c r="D19" s="7"/>
      <c r="H19" s="7"/>
    </row>
    <row r="21" spans="1:8" ht="18.75" x14ac:dyDescent="0.3">
      <c r="C21" t="s">
        <v>4</v>
      </c>
      <c r="D21" s="4">
        <f>D3-D15</f>
        <v>434000</v>
      </c>
      <c r="G21" t="s">
        <v>5</v>
      </c>
      <c r="H21" s="4">
        <f>H3-H15</f>
        <v>114000</v>
      </c>
    </row>
    <row r="24" spans="1:8" ht="15.75" x14ac:dyDescent="0.25">
      <c r="A24" t="s">
        <v>6</v>
      </c>
      <c r="C24" s="8">
        <f>D21</f>
        <v>434000</v>
      </c>
      <c r="E24" t="s">
        <v>10</v>
      </c>
      <c r="H24" s="6">
        <f>C33</f>
        <v>317144</v>
      </c>
    </row>
    <row r="26" spans="1:8" ht="15.75" x14ac:dyDescent="0.25">
      <c r="A26" t="s">
        <v>5</v>
      </c>
      <c r="B26" s="9" t="s">
        <v>7</v>
      </c>
      <c r="C26" s="8">
        <f>H21</f>
        <v>114000</v>
      </c>
      <c r="E26" s="13" t="s">
        <v>11</v>
      </c>
      <c r="F26" s="9" t="s">
        <v>12</v>
      </c>
      <c r="G26" s="15" t="s">
        <v>17</v>
      </c>
      <c r="H26" s="3">
        <f>-(F27*0.007)</f>
        <v>-4200</v>
      </c>
    </row>
    <row r="27" spans="1:8" x14ac:dyDescent="0.25">
      <c r="F27" s="21">
        <f>D3-H3</f>
        <v>600000</v>
      </c>
    </row>
    <row r="28" spans="1:8" ht="16.5" thickBot="1" x14ac:dyDescent="0.3">
      <c r="A28" t="s">
        <v>8</v>
      </c>
      <c r="B28" s="9" t="s">
        <v>7</v>
      </c>
      <c r="C28" s="8">
        <f>D3*0.004</f>
        <v>2856</v>
      </c>
      <c r="F28" s="9" t="s">
        <v>13</v>
      </c>
      <c r="G28" s="16">
        <v>0.35</v>
      </c>
      <c r="H28" s="17">
        <f>-(F29*0.35)</f>
        <v>-111000.4</v>
      </c>
    </row>
    <row r="29" spans="1:8" x14ac:dyDescent="0.25">
      <c r="F29" s="21">
        <f>H24</f>
        <v>317144</v>
      </c>
    </row>
    <row r="30" spans="1:8" ht="15.75" x14ac:dyDescent="0.25">
      <c r="A30" t="s">
        <v>9</v>
      </c>
      <c r="B30" s="9" t="s">
        <v>7</v>
      </c>
      <c r="C30" s="10"/>
      <c r="G30" s="13" t="s">
        <v>14</v>
      </c>
      <c r="H30" s="6">
        <f>H24+H26+H28</f>
        <v>201943.6</v>
      </c>
    </row>
    <row r="31" spans="1:8" ht="15.75" thickBot="1" x14ac:dyDescent="0.3">
      <c r="A31" s="16"/>
      <c r="B31" s="14"/>
      <c r="C31" s="7"/>
    </row>
    <row r="32" spans="1:8" x14ac:dyDescent="0.25">
      <c r="E32" t="s">
        <v>151</v>
      </c>
      <c r="H32" s="20">
        <f>H30*0.5</f>
        <v>100971.8</v>
      </c>
    </row>
    <row r="33" spans="1:8" ht="15.75" x14ac:dyDescent="0.25">
      <c r="A33" t="s">
        <v>10</v>
      </c>
      <c r="C33" s="10">
        <f>C24-C26-C28-C30</f>
        <v>317144</v>
      </c>
      <c r="H33" s="18"/>
    </row>
    <row r="34" spans="1:8" x14ac:dyDescent="0.25">
      <c r="H34" s="3"/>
    </row>
    <row r="35" spans="1:8" x14ac:dyDescent="0.25">
      <c r="H35" s="18"/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E9AB7-81A8-46E1-96C8-78DF4551F12B}">
  <dimension ref="A1:H35"/>
  <sheetViews>
    <sheetView topLeftCell="A19"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3.28515625" bestFit="1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173</v>
      </c>
    </row>
    <row r="3" spans="1:8" ht="21" x14ac:dyDescent="0.35">
      <c r="A3" s="2" t="s">
        <v>1</v>
      </c>
      <c r="D3" s="11">
        <v>133280</v>
      </c>
      <c r="F3" s="12" t="s">
        <v>3</v>
      </c>
      <c r="H3" s="11">
        <v>21280</v>
      </c>
    </row>
    <row r="4" spans="1:8" x14ac:dyDescent="0.25">
      <c r="A4" s="13" t="s">
        <v>32</v>
      </c>
      <c r="C4" s="26">
        <v>301</v>
      </c>
    </row>
    <row r="5" spans="1:8" ht="21" x14ac:dyDescent="0.35">
      <c r="A5" s="2" t="s">
        <v>2</v>
      </c>
    </row>
    <row r="7" spans="1:8" ht="18.75" x14ac:dyDescent="0.3">
      <c r="A7" s="5"/>
      <c r="D7" s="4"/>
      <c r="E7" s="25"/>
      <c r="H7" s="4"/>
    </row>
    <row r="8" spans="1:8" ht="18.75" x14ac:dyDescent="0.3">
      <c r="A8" s="5" t="s">
        <v>174</v>
      </c>
      <c r="D8" s="4">
        <v>101317</v>
      </c>
      <c r="E8" s="25" t="s">
        <v>34</v>
      </c>
      <c r="H8" s="4">
        <v>16177</v>
      </c>
    </row>
    <row r="9" spans="1:8" ht="18.75" x14ac:dyDescent="0.3">
      <c r="A9" s="5"/>
      <c r="D9" s="4"/>
      <c r="E9" s="25"/>
      <c r="H9" s="4"/>
    </row>
    <row r="10" spans="1:8" ht="18.75" x14ac:dyDescent="0.3">
      <c r="E10" s="25"/>
      <c r="H10" s="4"/>
    </row>
    <row r="11" spans="1:8" ht="18.75" x14ac:dyDescent="0.3">
      <c r="A11" s="5"/>
      <c r="D11" s="4"/>
      <c r="E11" s="25"/>
      <c r="H11" s="4"/>
    </row>
    <row r="12" spans="1:8" ht="18.75" x14ac:dyDescent="0.3">
      <c r="A12" s="5"/>
      <c r="C12" s="3"/>
      <c r="D12" s="27"/>
      <c r="E12" s="25"/>
      <c r="H12" s="27"/>
    </row>
    <row r="13" spans="1:8" ht="18.75" x14ac:dyDescent="0.3">
      <c r="A13" s="5"/>
      <c r="C13" s="3"/>
      <c r="D13" s="28"/>
      <c r="E13" s="25"/>
      <c r="H13" s="28"/>
    </row>
    <row r="14" spans="1:8" ht="19.5" thickBot="1" x14ac:dyDescent="0.35">
      <c r="A14" s="5"/>
      <c r="C14" s="3"/>
      <c r="D14" s="22"/>
      <c r="E14" s="25"/>
      <c r="H14" s="22"/>
    </row>
    <row r="15" spans="1:8" ht="18.75" customHeight="1" x14ac:dyDescent="0.3">
      <c r="D15" s="4">
        <f>SUM(D7:D14)</f>
        <v>101317</v>
      </c>
      <c r="H15" s="4">
        <f>SUM(H7:H14)</f>
        <v>16177</v>
      </c>
    </row>
    <row r="16" spans="1:8" ht="18.75" x14ac:dyDescent="0.3">
      <c r="A16" s="5"/>
      <c r="C16" s="3"/>
      <c r="D16" s="4"/>
      <c r="H16" s="4"/>
    </row>
    <row r="18" spans="1:8" ht="18.75" x14ac:dyDescent="0.3">
      <c r="A18" s="5"/>
      <c r="C18" s="3"/>
      <c r="D18" s="4"/>
      <c r="H18" s="4"/>
    </row>
    <row r="19" spans="1:8" ht="15.75" thickBot="1" x14ac:dyDescent="0.3">
      <c r="D19" s="7"/>
      <c r="H19" s="7"/>
    </row>
    <row r="21" spans="1:8" ht="18.75" x14ac:dyDescent="0.3">
      <c r="C21" t="s">
        <v>4</v>
      </c>
      <c r="D21" s="4">
        <f>D3-D15</f>
        <v>31963</v>
      </c>
      <c r="G21" t="s">
        <v>5</v>
      </c>
      <c r="H21" s="4">
        <f>H3-H15</f>
        <v>5103</v>
      </c>
    </row>
    <row r="24" spans="1:8" ht="15.75" x14ac:dyDescent="0.25">
      <c r="A24" t="s">
        <v>6</v>
      </c>
      <c r="C24" s="8">
        <f>D21</f>
        <v>31963</v>
      </c>
      <c r="E24" t="s">
        <v>10</v>
      </c>
      <c r="H24" s="6">
        <f>C33</f>
        <v>26326.880000000001</v>
      </c>
    </row>
    <row r="26" spans="1:8" ht="15.75" x14ac:dyDescent="0.25">
      <c r="A26" t="s">
        <v>5</v>
      </c>
      <c r="B26" s="9" t="s">
        <v>7</v>
      </c>
      <c r="C26" s="8">
        <f>H21</f>
        <v>5103</v>
      </c>
      <c r="E26" s="13" t="s">
        <v>11</v>
      </c>
      <c r="F26" s="9" t="s">
        <v>12</v>
      </c>
      <c r="G26" s="15" t="s">
        <v>17</v>
      </c>
      <c r="H26" s="3">
        <f>-(F27*0.007)</f>
        <v>-784</v>
      </c>
    </row>
    <row r="27" spans="1:8" x14ac:dyDescent="0.25">
      <c r="F27" s="21">
        <f>D3-H3</f>
        <v>112000</v>
      </c>
    </row>
    <row r="28" spans="1:8" ht="16.5" thickBot="1" x14ac:dyDescent="0.3">
      <c r="A28" t="s">
        <v>8</v>
      </c>
      <c r="B28" s="9" t="s">
        <v>7</v>
      </c>
      <c r="C28" s="8">
        <f>D3*0.004</f>
        <v>533.12</v>
      </c>
      <c r="F28" s="9" t="s">
        <v>13</v>
      </c>
      <c r="G28" s="16">
        <v>0.35</v>
      </c>
      <c r="H28" s="17">
        <f>-(F29*0.35)</f>
        <v>-9214.4079999999994</v>
      </c>
    </row>
    <row r="29" spans="1:8" x14ac:dyDescent="0.25">
      <c r="F29" s="21">
        <f>H24</f>
        <v>26326.880000000001</v>
      </c>
    </row>
    <row r="30" spans="1:8" ht="15.75" x14ac:dyDescent="0.25">
      <c r="A30" t="s">
        <v>9</v>
      </c>
      <c r="B30" s="9" t="s">
        <v>7</v>
      </c>
      <c r="C30" s="10"/>
      <c r="G30" s="13" t="s">
        <v>14</v>
      </c>
      <c r="H30" s="6">
        <f>H24+H26+H28</f>
        <v>16328.472000000002</v>
      </c>
    </row>
    <row r="31" spans="1:8" ht="15.75" thickBot="1" x14ac:dyDescent="0.3">
      <c r="A31" s="16"/>
      <c r="B31" s="14"/>
      <c r="C31" s="7"/>
    </row>
    <row r="32" spans="1:8" x14ac:dyDescent="0.25">
      <c r="E32" t="s">
        <v>151</v>
      </c>
      <c r="H32" s="20">
        <f>H30*0.5</f>
        <v>8164.2360000000008</v>
      </c>
    </row>
    <row r="33" spans="1:8" ht="15.75" x14ac:dyDescent="0.25">
      <c r="A33" t="s">
        <v>10</v>
      </c>
      <c r="C33" s="10">
        <f>C24-C26-C28-C30</f>
        <v>26326.880000000001</v>
      </c>
      <c r="H33" s="18"/>
    </row>
    <row r="34" spans="1:8" x14ac:dyDescent="0.25">
      <c r="H34" s="3"/>
    </row>
    <row r="35" spans="1:8" x14ac:dyDescent="0.25">
      <c r="H35" s="18"/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65BEB-4688-4127-82B7-47395387168F}">
  <dimension ref="A1:H35"/>
  <sheetViews>
    <sheetView topLeftCell="A19"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3.28515625" bestFit="1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175</v>
      </c>
    </row>
    <row r="3" spans="1:8" ht="21" x14ac:dyDescent="0.35">
      <c r="A3" s="2" t="s">
        <v>1</v>
      </c>
      <c r="D3" s="11">
        <v>77350</v>
      </c>
      <c r="F3" s="12" t="s">
        <v>3</v>
      </c>
      <c r="H3" s="11">
        <v>12350</v>
      </c>
    </row>
    <row r="4" spans="1:8" x14ac:dyDescent="0.25">
      <c r="A4" s="13" t="s">
        <v>32</v>
      </c>
      <c r="C4" s="26">
        <v>340</v>
      </c>
    </row>
    <row r="5" spans="1:8" ht="21" x14ac:dyDescent="0.35">
      <c r="A5" s="2" t="s">
        <v>2</v>
      </c>
    </row>
    <row r="7" spans="1:8" ht="18.75" x14ac:dyDescent="0.3">
      <c r="A7" s="5"/>
      <c r="D7" s="4"/>
      <c r="E7" s="25"/>
      <c r="H7" s="4"/>
    </row>
    <row r="8" spans="1:8" ht="18.75" x14ac:dyDescent="0.3">
      <c r="A8" s="5" t="s">
        <v>176</v>
      </c>
      <c r="D8" s="4">
        <v>38000</v>
      </c>
      <c r="E8" s="25" t="s">
        <v>34</v>
      </c>
      <c r="H8" s="4">
        <v>0</v>
      </c>
    </row>
    <row r="9" spans="1:8" ht="18.75" x14ac:dyDescent="0.3">
      <c r="A9" s="5"/>
      <c r="D9" s="4"/>
      <c r="E9" s="25"/>
      <c r="H9" s="4"/>
    </row>
    <row r="10" spans="1:8" ht="18.75" x14ac:dyDescent="0.3">
      <c r="E10" s="25"/>
      <c r="H10" s="4"/>
    </row>
    <row r="11" spans="1:8" ht="18.75" x14ac:dyDescent="0.3">
      <c r="A11" s="5"/>
      <c r="D11" s="4"/>
      <c r="E11" s="25"/>
      <c r="H11" s="4"/>
    </row>
    <row r="12" spans="1:8" ht="18.75" x14ac:dyDescent="0.3">
      <c r="A12" s="5"/>
      <c r="C12" s="3"/>
      <c r="D12" s="27"/>
      <c r="E12" s="25"/>
      <c r="H12" s="27"/>
    </row>
    <row r="13" spans="1:8" ht="18.75" x14ac:dyDescent="0.3">
      <c r="A13" s="5"/>
      <c r="C13" s="3"/>
      <c r="D13" s="28"/>
      <c r="E13" s="25"/>
      <c r="H13" s="28"/>
    </row>
    <row r="14" spans="1:8" ht="19.5" thickBot="1" x14ac:dyDescent="0.35">
      <c r="A14" s="5"/>
      <c r="C14" s="3"/>
      <c r="D14" s="22"/>
      <c r="E14" s="25"/>
      <c r="H14" s="22"/>
    </row>
    <row r="15" spans="1:8" ht="18.75" customHeight="1" x14ac:dyDescent="0.3">
      <c r="D15" s="4">
        <f>SUM(D7:D14)</f>
        <v>38000</v>
      </c>
      <c r="H15" s="4">
        <f>SUM(H7:H14)</f>
        <v>0</v>
      </c>
    </row>
    <row r="16" spans="1:8" ht="18.75" x14ac:dyDescent="0.3">
      <c r="A16" s="5"/>
      <c r="C16" s="3"/>
      <c r="D16" s="4"/>
      <c r="H16" s="4"/>
    </row>
    <row r="18" spans="1:8" ht="18.75" x14ac:dyDescent="0.3">
      <c r="A18" s="5"/>
      <c r="C18" s="3"/>
      <c r="D18" s="4"/>
      <c r="H18" s="4"/>
    </row>
    <row r="19" spans="1:8" ht="15.75" thickBot="1" x14ac:dyDescent="0.3">
      <c r="D19" s="7"/>
      <c r="H19" s="7"/>
    </row>
    <row r="21" spans="1:8" ht="18.75" x14ac:dyDescent="0.3">
      <c r="C21" t="s">
        <v>4</v>
      </c>
      <c r="D21" s="4">
        <f>D3-D15</f>
        <v>39350</v>
      </c>
      <c r="G21" t="s">
        <v>5</v>
      </c>
      <c r="H21" s="4">
        <f>H3-H15</f>
        <v>12350</v>
      </c>
    </row>
    <row r="24" spans="1:8" ht="15.75" x14ac:dyDescent="0.25">
      <c r="A24" t="s">
        <v>6</v>
      </c>
      <c r="C24" s="8">
        <f>D21</f>
        <v>39350</v>
      </c>
      <c r="E24" t="s">
        <v>10</v>
      </c>
      <c r="H24" s="6">
        <f>C33</f>
        <v>26690.6</v>
      </c>
    </row>
    <row r="26" spans="1:8" ht="15.75" x14ac:dyDescent="0.25">
      <c r="A26" t="s">
        <v>5</v>
      </c>
      <c r="B26" s="9" t="s">
        <v>7</v>
      </c>
      <c r="C26" s="8">
        <f>H21</f>
        <v>12350</v>
      </c>
      <c r="E26" s="13" t="s">
        <v>11</v>
      </c>
      <c r="F26" s="9" t="s">
        <v>12</v>
      </c>
      <c r="G26" s="15" t="s">
        <v>17</v>
      </c>
      <c r="H26" s="3">
        <f>-(F27*0.007)</f>
        <v>-455</v>
      </c>
    </row>
    <row r="27" spans="1:8" x14ac:dyDescent="0.25">
      <c r="F27" s="21">
        <f>D3-H3</f>
        <v>65000</v>
      </c>
    </row>
    <row r="28" spans="1:8" ht="16.5" thickBot="1" x14ac:dyDescent="0.3">
      <c r="A28" t="s">
        <v>8</v>
      </c>
      <c r="B28" s="9" t="s">
        <v>7</v>
      </c>
      <c r="C28" s="8">
        <f>D3*0.004</f>
        <v>309.40000000000003</v>
      </c>
      <c r="F28" s="9" t="s">
        <v>13</v>
      </c>
      <c r="G28" s="16">
        <v>0.35</v>
      </c>
      <c r="H28" s="17">
        <f>-(F29*0.35)</f>
        <v>-9341.7099999999991</v>
      </c>
    </row>
    <row r="29" spans="1:8" x14ac:dyDescent="0.25">
      <c r="F29" s="21">
        <f>H24</f>
        <v>26690.6</v>
      </c>
    </row>
    <row r="30" spans="1:8" ht="15.75" x14ac:dyDescent="0.25">
      <c r="A30" t="s">
        <v>9</v>
      </c>
      <c r="B30" s="9" t="s">
        <v>7</v>
      </c>
      <c r="C30" s="10"/>
      <c r="G30" s="13" t="s">
        <v>14</v>
      </c>
      <c r="H30" s="6">
        <f>H24+H26+H28</f>
        <v>16893.89</v>
      </c>
    </row>
    <row r="31" spans="1:8" ht="15.75" thickBot="1" x14ac:dyDescent="0.3">
      <c r="A31" s="16"/>
      <c r="B31" s="14"/>
      <c r="C31" s="7"/>
    </row>
    <row r="32" spans="1:8" x14ac:dyDescent="0.25">
      <c r="E32" t="s">
        <v>151</v>
      </c>
      <c r="H32" s="20">
        <f>H30*0.5</f>
        <v>8446.9449999999997</v>
      </c>
    </row>
    <row r="33" spans="1:8" ht="15.75" x14ac:dyDescent="0.25">
      <c r="A33" t="s">
        <v>10</v>
      </c>
      <c r="C33" s="10">
        <f>C24-C26-C28-C30</f>
        <v>26690.6</v>
      </c>
      <c r="H33" s="18"/>
    </row>
    <row r="34" spans="1:8" x14ac:dyDescent="0.25">
      <c r="H34" s="3"/>
    </row>
    <row r="35" spans="1:8" x14ac:dyDescent="0.25">
      <c r="H35" s="18"/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9547A-CC8A-41C6-925A-1EF76DEB0A6B}">
  <dimension ref="A1:H35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3.28515625" bestFit="1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177</v>
      </c>
    </row>
    <row r="3" spans="1:8" ht="21" x14ac:dyDescent="0.35">
      <c r="A3" s="2" t="s">
        <v>1</v>
      </c>
      <c r="D3" s="11">
        <v>78540</v>
      </c>
      <c r="F3" s="12" t="s">
        <v>3</v>
      </c>
      <c r="H3" s="11">
        <v>12540</v>
      </c>
    </row>
    <row r="4" spans="1:8" x14ac:dyDescent="0.25">
      <c r="A4" s="13" t="s">
        <v>32</v>
      </c>
      <c r="C4" s="26">
        <v>306</v>
      </c>
    </row>
    <row r="5" spans="1:8" ht="21" x14ac:dyDescent="0.35">
      <c r="A5" s="2" t="s">
        <v>2</v>
      </c>
    </row>
    <row r="7" spans="1:8" ht="18.75" x14ac:dyDescent="0.3">
      <c r="A7" s="5"/>
      <c r="D7" s="4"/>
      <c r="E7" s="25"/>
      <c r="H7" s="4"/>
    </row>
    <row r="8" spans="1:8" ht="18.75" x14ac:dyDescent="0.3">
      <c r="A8" s="5" t="s">
        <v>178</v>
      </c>
      <c r="D8" s="4">
        <v>40212</v>
      </c>
      <c r="E8" s="25" t="s">
        <v>34</v>
      </c>
      <c r="H8" s="4">
        <v>6420</v>
      </c>
    </row>
    <row r="9" spans="1:8" ht="18.75" x14ac:dyDescent="0.3">
      <c r="A9" s="5"/>
      <c r="D9" s="4"/>
      <c r="E9" s="25"/>
      <c r="H9" s="4"/>
    </row>
    <row r="10" spans="1:8" ht="18.75" x14ac:dyDescent="0.3">
      <c r="A10" s="5"/>
      <c r="D10" s="4"/>
      <c r="E10" s="25"/>
      <c r="H10" s="4"/>
    </row>
    <row r="11" spans="1:8" ht="18.75" x14ac:dyDescent="0.3">
      <c r="A11" s="5"/>
      <c r="D11" s="4"/>
      <c r="E11" s="25"/>
      <c r="H11" s="4"/>
    </row>
    <row r="12" spans="1:8" ht="18.75" x14ac:dyDescent="0.3">
      <c r="A12" s="5"/>
      <c r="C12" s="3"/>
      <c r="D12" s="27"/>
      <c r="E12" s="25"/>
      <c r="H12" s="27"/>
    </row>
    <row r="13" spans="1:8" ht="18.75" x14ac:dyDescent="0.3">
      <c r="A13" s="5"/>
      <c r="C13" s="3"/>
      <c r="D13" s="28"/>
      <c r="E13" s="25"/>
      <c r="H13" s="28"/>
    </row>
    <row r="14" spans="1:8" ht="19.5" thickBot="1" x14ac:dyDescent="0.35">
      <c r="A14" s="5"/>
      <c r="C14" s="3"/>
      <c r="D14" s="22"/>
      <c r="E14" s="25"/>
      <c r="H14" s="22"/>
    </row>
    <row r="15" spans="1:8" ht="18.75" customHeight="1" x14ac:dyDescent="0.3">
      <c r="D15" s="4">
        <f>SUM(D7:D14)</f>
        <v>40212</v>
      </c>
      <c r="H15" s="4">
        <f>SUM(H7:H14)</f>
        <v>6420</v>
      </c>
    </row>
    <row r="16" spans="1:8" ht="18.75" x14ac:dyDescent="0.3">
      <c r="A16" s="5"/>
      <c r="C16" s="3"/>
      <c r="D16" s="4"/>
      <c r="H16" s="4"/>
    </row>
    <row r="18" spans="1:8" ht="18.75" x14ac:dyDescent="0.3">
      <c r="A18" s="5"/>
      <c r="C18" s="3"/>
      <c r="D18" s="4"/>
      <c r="H18" s="4"/>
    </row>
    <row r="19" spans="1:8" ht="15.75" thickBot="1" x14ac:dyDescent="0.3">
      <c r="D19" s="7"/>
      <c r="H19" s="7"/>
    </row>
    <row r="21" spans="1:8" ht="18.75" x14ac:dyDescent="0.3">
      <c r="C21" t="s">
        <v>4</v>
      </c>
      <c r="D21" s="4">
        <f>D3-D15</f>
        <v>38328</v>
      </c>
      <c r="G21" t="s">
        <v>5</v>
      </c>
      <c r="H21" s="4">
        <f>H3-H15</f>
        <v>6120</v>
      </c>
    </row>
    <row r="24" spans="1:8" ht="15.75" x14ac:dyDescent="0.25">
      <c r="A24" t="s">
        <v>6</v>
      </c>
      <c r="C24" s="8">
        <f>D21</f>
        <v>38328</v>
      </c>
      <c r="E24" t="s">
        <v>10</v>
      </c>
      <c r="H24" s="6">
        <f>C33</f>
        <v>31893.84</v>
      </c>
    </row>
    <row r="26" spans="1:8" ht="15.75" x14ac:dyDescent="0.25">
      <c r="A26" t="s">
        <v>5</v>
      </c>
      <c r="B26" s="9" t="s">
        <v>7</v>
      </c>
      <c r="C26" s="8">
        <f>H21</f>
        <v>6120</v>
      </c>
      <c r="E26" s="13" t="s">
        <v>11</v>
      </c>
      <c r="F26" s="9" t="s">
        <v>12</v>
      </c>
      <c r="G26" s="15" t="s">
        <v>17</v>
      </c>
      <c r="H26" s="3">
        <f>-(F27*0.007)</f>
        <v>-462</v>
      </c>
    </row>
    <row r="27" spans="1:8" x14ac:dyDescent="0.25">
      <c r="F27" s="21">
        <f>D3-H3</f>
        <v>66000</v>
      </c>
    </row>
    <row r="28" spans="1:8" ht="16.5" thickBot="1" x14ac:dyDescent="0.3">
      <c r="A28" t="s">
        <v>8</v>
      </c>
      <c r="B28" s="9" t="s">
        <v>7</v>
      </c>
      <c r="C28" s="8">
        <f>D3*0.004</f>
        <v>314.16000000000003</v>
      </c>
      <c r="F28" s="9" t="s">
        <v>13</v>
      </c>
      <c r="G28" s="16">
        <v>0.35</v>
      </c>
      <c r="H28" s="17">
        <f>-(F29*0.35)</f>
        <v>-11162.843999999999</v>
      </c>
    </row>
    <row r="29" spans="1:8" x14ac:dyDescent="0.25">
      <c r="F29" s="21">
        <f>H24</f>
        <v>31893.84</v>
      </c>
    </row>
    <row r="30" spans="1:8" ht="15.75" x14ac:dyDescent="0.25">
      <c r="A30" t="s">
        <v>9</v>
      </c>
      <c r="B30" s="9" t="s">
        <v>7</v>
      </c>
      <c r="C30" s="10"/>
      <c r="G30" s="13" t="s">
        <v>14</v>
      </c>
      <c r="H30" s="6">
        <f>H24+H26+H28</f>
        <v>20268.995999999999</v>
      </c>
    </row>
    <row r="31" spans="1:8" ht="15.75" thickBot="1" x14ac:dyDescent="0.3">
      <c r="A31" s="16"/>
      <c r="B31" s="14"/>
      <c r="C31" s="7"/>
    </row>
    <row r="32" spans="1:8" x14ac:dyDescent="0.25">
      <c r="E32" t="s">
        <v>151</v>
      </c>
      <c r="H32" s="20">
        <f>H30*0.5</f>
        <v>10134.498</v>
      </c>
    </row>
    <row r="33" spans="1:8" ht="15.75" x14ac:dyDescent="0.25">
      <c r="A33" t="s">
        <v>10</v>
      </c>
      <c r="C33" s="10">
        <f>C24-C26-C28-C30</f>
        <v>31893.84</v>
      </c>
      <c r="H33" s="18"/>
    </row>
    <row r="34" spans="1:8" x14ac:dyDescent="0.25">
      <c r="H34" s="3"/>
    </row>
    <row r="35" spans="1:8" x14ac:dyDescent="0.25">
      <c r="H35" s="18"/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CC9AD-8659-4DF0-BFE5-77EEDA0091DD}">
  <dimension ref="A1:H35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3.28515625" bestFit="1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179</v>
      </c>
    </row>
    <row r="3" spans="1:8" ht="21" x14ac:dyDescent="0.35">
      <c r="A3" s="2" t="s">
        <v>1</v>
      </c>
      <c r="D3" s="11">
        <v>337960</v>
      </c>
      <c r="F3" s="12" t="s">
        <v>3</v>
      </c>
      <c r="H3" s="11">
        <v>53960</v>
      </c>
    </row>
    <row r="4" spans="1:8" x14ac:dyDescent="0.25">
      <c r="A4" s="13" t="s">
        <v>32</v>
      </c>
      <c r="C4" s="26">
        <v>311</v>
      </c>
    </row>
    <row r="5" spans="1:8" ht="21" x14ac:dyDescent="0.35">
      <c r="A5" s="2" t="s">
        <v>2</v>
      </c>
    </row>
    <row r="7" spans="1:8" ht="18.75" x14ac:dyDescent="0.3">
      <c r="A7" s="5"/>
      <c r="D7" s="4"/>
      <c r="E7" s="25"/>
      <c r="H7" s="4"/>
    </row>
    <row r="8" spans="1:8" ht="18.75" x14ac:dyDescent="0.3">
      <c r="A8" s="5" t="s">
        <v>180</v>
      </c>
      <c r="D8" s="4">
        <v>276166</v>
      </c>
      <c r="E8" s="25" t="s">
        <v>34</v>
      </c>
      <c r="H8" s="4">
        <v>44094</v>
      </c>
    </row>
    <row r="9" spans="1:8" ht="18.75" x14ac:dyDescent="0.3">
      <c r="A9" s="5">
        <v>313230</v>
      </c>
      <c r="D9" s="4"/>
      <c r="E9" s="25"/>
      <c r="H9" s="4"/>
    </row>
    <row r="10" spans="1:8" ht="18.75" x14ac:dyDescent="0.3">
      <c r="A10" s="5"/>
      <c r="D10" s="4" t="s">
        <v>181</v>
      </c>
      <c r="E10" s="25"/>
      <c r="H10" s="4"/>
    </row>
    <row r="11" spans="1:8" ht="18.75" x14ac:dyDescent="0.3">
      <c r="A11" s="5"/>
      <c r="D11" s="4"/>
      <c r="E11" s="25"/>
      <c r="H11" s="4"/>
    </row>
    <row r="12" spans="1:8" ht="18.75" x14ac:dyDescent="0.3">
      <c r="A12" s="5"/>
      <c r="C12" s="3"/>
      <c r="D12" s="27"/>
      <c r="E12" s="25"/>
      <c r="H12" s="27"/>
    </row>
    <row r="13" spans="1:8" ht="18.75" x14ac:dyDescent="0.3">
      <c r="A13" s="5"/>
      <c r="C13" s="3"/>
      <c r="D13" s="28"/>
      <c r="E13" s="25"/>
      <c r="H13" s="28"/>
    </row>
    <row r="14" spans="1:8" ht="19.5" thickBot="1" x14ac:dyDescent="0.35">
      <c r="A14" s="5"/>
      <c r="C14" s="3"/>
      <c r="D14" s="22"/>
      <c r="E14" s="25"/>
      <c r="H14" s="22"/>
    </row>
    <row r="15" spans="1:8" ht="18.75" customHeight="1" x14ac:dyDescent="0.3">
      <c r="D15" s="4">
        <f>SUM(D7:D14)</f>
        <v>276166</v>
      </c>
      <c r="H15" s="4">
        <f>SUM(H7:H14)</f>
        <v>44094</v>
      </c>
    </row>
    <row r="16" spans="1:8" ht="18.75" x14ac:dyDescent="0.3">
      <c r="A16" s="5"/>
      <c r="C16" s="3"/>
      <c r="D16" s="4"/>
      <c r="H16" s="4"/>
    </row>
    <row r="18" spans="1:8" ht="18.75" x14ac:dyDescent="0.3">
      <c r="A18" s="5"/>
      <c r="C18" s="3"/>
      <c r="D18" s="4"/>
      <c r="H18" s="4"/>
    </row>
    <row r="19" spans="1:8" ht="15.75" thickBot="1" x14ac:dyDescent="0.3">
      <c r="D19" s="7"/>
      <c r="H19" s="7"/>
    </row>
    <row r="21" spans="1:8" ht="18.75" x14ac:dyDescent="0.3">
      <c r="C21" t="s">
        <v>4</v>
      </c>
      <c r="D21" s="4">
        <f>D3-D15</f>
        <v>61794</v>
      </c>
      <c r="G21" t="s">
        <v>5</v>
      </c>
      <c r="H21" s="4">
        <f>H3-H15</f>
        <v>9866</v>
      </c>
    </row>
    <row r="24" spans="1:8" ht="15.75" x14ac:dyDescent="0.25">
      <c r="A24" t="s">
        <v>6</v>
      </c>
      <c r="C24" s="8">
        <f>D21</f>
        <v>61794</v>
      </c>
      <c r="E24" t="s">
        <v>10</v>
      </c>
      <c r="H24" s="6">
        <f>C33</f>
        <v>50576.160000000003</v>
      </c>
    </row>
    <row r="26" spans="1:8" ht="15.75" x14ac:dyDescent="0.25">
      <c r="A26" t="s">
        <v>5</v>
      </c>
      <c r="B26" s="9" t="s">
        <v>7</v>
      </c>
      <c r="C26" s="8">
        <f>H21</f>
        <v>9866</v>
      </c>
      <c r="E26" s="13" t="s">
        <v>11</v>
      </c>
      <c r="F26" s="9" t="s">
        <v>12</v>
      </c>
      <c r="G26" s="15" t="s">
        <v>17</v>
      </c>
      <c r="H26" s="3">
        <f>-(F27*0.007)</f>
        <v>-1988</v>
      </c>
    </row>
    <row r="27" spans="1:8" x14ac:dyDescent="0.25">
      <c r="F27" s="21">
        <f>D3-H3</f>
        <v>284000</v>
      </c>
    </row>
    <row r="28" spans="1:8" ht="16.5" thickBot="1" x14ac:dyDescent="0.3">
      <c r="A28" t="s">
        <v>8</v>
      </c>
      <c r="B28" s="9" t="s">
        <v>7</v>
      </c>
      <c r="C28" s="8">
        <f>D3*0.004</f>
        <v>1351.84</v>
      </c>
      <c r="F28" s="9" t="s">
        <v>13</v>
      </c>
      <c r="G28" s="16">
        <v>0.35</v>
      </c>
      <c r="H28" s="17">
        <f>-(F29*0.35)</f>
        <v>-17701.655999999999</v>
      </c>
    </row>
    <row r="29" spans="1:8" x14ac:dyDescent="0.25">
      <c r="F29" s="21">
        <f>H24</f>
        <v>50576.160000000003</v>
      </c>
    </row>
    <row r="30" spans="1:8" ht="15.75" x14ac:dyDescent="0.25">
      <c r="A30" t="s">
        <v>9</v>
      </c>
      <c r="B30" s="9" t="s">
        <v>7</v>
      </c>
      <c r="C30" s="10"/>
      <c r="G30" s="13" t="s">
        <v>14</v>
      </c>
      <c r="H30" s="6">
        <f>H24+H26+H28</f>
        <v>30886.504000000004</v>
      </c>
    </row>
    <row r="31" spans="1:8" ht="15.75" thickBot="1" x14ac:dyDescent="0.3">
      <c r="A31" s="16"/>
      <c r="B31" s="14"/>
      <c r="C31" s="7"/>
    </row>
    <row r="32" spans="1:8" x14ac:dyDescent="0.25">
      <c r="E32" t="s">
        <v>151</v>
      </c>
      <c r="H32" s="20">
        <f>H30*0.5</f>
        <v>15443.252000000002</v>
      </c>
    </row>
    <row r="33" spans="1:8" ht="15.75" x14ac:dyDescent="0.25">
      <c r="A33" t="s">
        <v>10</v>
      </c>
      <c r="C33" s="10">
        <f>C24-C26-C28-C30</f>
        <v>50576.160000000003</v>
      </c>
      <c r="H33" s="18"/>
    </row>
    <row r="34" spans="1:8" x14ac:dyDescent="0.25">
      <c r="H34" s="3"/>
    </row>
    <row r="35" spans="1:8" x14ac:dyDescent="0.25">
      <c r="H35" s="18"/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BDD5A-B947-43D6-B9A8-B0102B8DC9C1}">
  <dimension ref="A1:H35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3.28515625" bestFit="1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159</v>
      </c>
    </row>
    <row r="3" spans="1:8" ht="21" x14ac:dyDescent="0.35">
      <c r="A3" s="2" t="s">
        <v>1</v>
      </c>
      <c r="D3" s="11">
        <v>297500</v>
      </c>
      <c r="F3" s="12" t="s">
        <v>3</v>
      </c>
      <c r="H3" s="11">
        <v>47500</v>
      </c>
    </row>
    <row r="4" spans="1:8" x14ac:dyDescent="0.25">
      <c r="A4" s="13" t="s">
        <v>32</v>
      </c>
      <c r="C4" s="26">
        <v>316</v>
      </c>
    </row>
    <row r="5" spans="1:8" ht="21" x14ac:dyDescent="0.35">
      <c r="A5" s="2" t="s">
        <v>2</v>
      </c>
    </row>
    <row r="7" spans="1:8" ht="18.75" x14ac:dyDescent="0.3">
      <c r="A7" s="5"/>
      <c r="D7" s="4"/>
      <c r="E7" s="25"/>
      <c r="H7" s="4"/>
    </row>
    <row r="8" spans="1:8" ht="18.75" x14ac:dyDescent="0.3">
      <c r="A8" s="5" t="s">
        <v>182</v>
      </c>
      <c r="D8" s="4">
        <v>160550</v>
      </c>
      <c r="E8" s="25" t="s">
        <v>34</v>
      </c>
      <c r="H8" s="4">
        <v>25650</v>
      </c>
    </row>
    <row r="9" spans="1:8" ht="18.75" x14ac:dyDescent="0.3">
      <c r="A9" s="5"/>
      <c r="D9" s="4"/>
      <c r="E9" s="25"/>
      <c r="H9" s="4"/>
    </row>
    <row r="10" spans="1:8" ht="18.75" x14ac:dyDescent="0.3">
      <c r="A10" s="5"/>
      <c r="D10" s="4" t="s">
        <v>181</v>
      </c>
      <c r="E10" s="25"/>
      <c r="H10" s="4"/>
    </row>
    <row r="11" spans="1:8" ht="18.75" x14ac:dyDescent="0.3">
      <c r="A11" s="5"/>
      <c r="D11" s="4"/>
      <c r="E11" s="25"/>
      <c r="H11" s="4"/>
    </row>
    <row r="12" spans="1:8" ht="18.75" x14ac:dyDescent="0.3">
      <c r="A12" s="5"/>
      <c r="C12" s="3"/>
      <c r="D12" s="27"/>
      <c r="E12" s="25"/>
      <c r="H12" s="27"/>
    </row>
    <row r="13" spans="1:8" ht="18.75" x14ac:dyDescent="0.3">
      <c r="A13" s="5"/>
      <c r="C13" s="3"/>
      <c r="D13" s="28"/>
      <c r="E13" s="25"/>
      <c r="H13" s="28"/>
    </row>
    <row r="14" spans="1:8" ht="19.5" thickBot="1" x14ac:dyDescent="0.35">
      <c r="A14" s="5"/>
      <c r="C14" s="3"/>
      <c r="D14" s="22"/>
      <c r="E14" s="25"/>
      <c r="H14" s="22"/>
    </row>
    <row r="15" spans="1:8" ht="18.75" customHeight="1" x14ac:dyDescent="0.3">
      <c r="D15" s="4">
        <f>SUM(D7:D14)</f>
        <v>160550</v>
      </c>
      <c r="H15" s="4">
        <f>SUM(H7:H14)</f>
        <v>25650</v>
      </c>
    </row>
    <row r="16" spans="1:8" ht="18.75" x14ac:dyDescent="0.3">
      <c r="A16" s="5"/>
      <c r="C16" s="3"/>
      <c r="D16" s="4"/>
      <c r="H16" s="4"/>
    </row>
    <row r="18" spans="1:8" ht="18.75" x14ac:dyDescent="0.3">
      <c r="A18" s="5"/>
      <c r="C18" s="3"/>
      <c r="D18" s="4"/>
      <c r="H18" s="4"/>
    </row>
    <row r="19" spans="1:8" ht="15.75" thickBot="1" x14ac:dyDescent="0.3">
      <c r="D19" s="7"/>
      <c r="H19" s="7"/>
    </row>
    <row r="21" spans="1:8" ht="18.75" x14ac:dyDescent="0.3">
      <c r="C21" t="s">
        <v>4</v>
      </c>
      <c r="D21" s="4">
        <f>D3-D15</f>
        <v>136950</v>
      </c>
      <c r="G21" t="s">
        <v>5</v>
      </c>
      <c r="H21" s="4">
        <f>H3-H15</f>
        <v>21850</v>
      </c>
    </row>
    <row r="24" spans="1:8" ht="15.75" x14ac:dyDescent="0.25">
      <c r="A24" t="s">
        <v>6</v>
      </c>
      <c r="C24" s="8">
        <f>D21</f>
        <v>136950</v>
      </c>
      <c r="E24" t="s">
        <v>10</v>
      </c>
      <c r="H24" s="6">
        <f>C33</f>
        <v>113910</v>
      </c>
    </row>
    <row r="26" spans="1:8" ht="15.75" x14ac:dyDescent="0.25">
      <c r="A26" t="s">
        <v>5</v>
      </c>
      <c r="B26" s="9" t="s">
        <v>7</v>
      </c>
      <c r="C26" s="8">
        <f>H21</f>
        <v>21850</v>
      </c>
      <c r="E26" s="13" t="s">
        <v>11</v>
      </c>
      <c r="F26" s="9" t="s">
        <v>12</v>
      </c>
      <c r="G26" s="15" t="s">
        <v>17</v>
      </c>
      <c r="H26" s="3">
        <f>-(F27*0.007)</f>
        <v>-1750</v>
      </c>
    </row>
    <row r="27" spans="1:8" x14ac:dyDescent="0.25">
      <c r="F27" s="21">
        <f>D3-H3</f>
        <v>250000</v>
      </c>
    </row>
    <row r="28" spans="1:8" ht="16.5" thickBot="1" x14ac:dyDescent="0.3">
      <c r="A28" t="s">
        <v>8</v>
      </c>
      <c r="B28" s="9" t="s">
        <v>7</v>
      </c>
      <c r="C28" s="8">
        <f>D3*0.004</f>
        <v>1190</v>
      </c>
      <c r="F28" s="9" t="s">
        <v>13</v>
      </c>
      <c r="G28" s="16">
        <v>0.35</v>
      </c>
      <c r="H28" s="17">
        <f>-(F29*0.35)</f>
        <v>-39868.5</v>
      </c>
    </row>
    <row r="29" spans="1:8" x14ac:dyDescent="0.25">
      <c r="F29" s="21">
        <f>H24</f>
        <v>113910</v>
      </c>
    </row>
    <row r="30" spans="1:8" ht="15.75" x14ac:dyDescent="0.25">
      <c r="A30" t="s">
        <v>9</v>
      </c>
      <c r="B30" s="9" t="s">
        <v>7</v>
      </c>
      <c r="C30" s="10"/>
      <c r="G30" s="13" t="s">
        <v>14</v>
      </c>
      <c r="H30" s="6">
        <f>H24+H26+H28</f>
        <v>72291.5</v>
      </c>
    </row>
    <row r="31" spans="1:8" ht="15.75" thickBot="1" x14ac:dyDescent="0.3">
      <c r="A31" s="16"/>
      <c r="B31" s="14"/>
      <c r="C31" s="7"/>
    </row>
    <row r="32" spans="1:8" x14ac:dyDescent="0.25">
      <c r="E32" t="s">
        <v>151</v>
      </c>
      <c r="H32" s="20">
        <f>H30*0.5</f>
        <v>36145.75</v>
      </c>
    </row>
    <row r="33" spans="1:8" ht="15.75" x14ac:dyDescent="0.25">
      <c r="A33" t="s">
        <v>10</v>
      </c>
      <c r="C33" s="10">
        <f>C24-C26-C28-C30</f>
        <v>113910</v>
      </c>
      <c r="H33" s="18"/>
    </row>
    <row r="34" spans="1:8" x14ac:dyDescent="0.25">
      <c r="H34" s="3"/>
    </row>
    <row r="35" spans="1:8" x14ac:dyDescent="0.25">
      <c r="H35" s="18"/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41A9B-544C-4DA9-9AE4-61F23B073C78}">
  <dimension ref="A1:H35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3.28515625" bestFit="1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159</v>
      </c>
    </row>
    <row r="3" spans="1:8" ht="21" x14ac:dyDescent="0.35">
      <c r="A3" s="2" t="s">
        <v>1</v>
      </c>
      <c r="D3" s="11">
        <v>297500</v>
      </c>
      <c r="F3" s="12" t="s">
        <v>3</v>
      </c>
      <c r="H3" s="11">
        <v>47500</v>
      </c>
    </row>
    <row r="4" spans="1:8" x14ac:dyDescent="0.25">
      <c r="A4" s="13" t="s">
        <v>32</v>
      </c>
      <c r="C4" s="26">
        <v>316</v>
      </c>
    </row>
    <row r="5" spans="1:8" ht="21" x14ac:dyDescent="0.35">
      <c r="A5" s="2" t="s">
        <v>2</v>
      </c>
    </row>
    <row r="7" spans="1:8" ht="18.75" x14ac:dyDescent="0.3">
      <c r="A7" s="5"/>
      <c r="D7" s="4"/>
      <c r="E7" s="25"/>
      <c r="H7" s="4"/>
    </row>
    <row r="8" spans="1:8" ht="18.75" x14ac:dyDescent="0.3">
      <c r="A8" s="5" t="s">
        <v>182</v>
      </c>
      <c r="D8" s="4">
        <v>160550</v>
      </c>
      <c r="E8" s="25" t="s">
        <v>34</v>
      </c>
      <c r="H8" s="4">
        <v>25650</v>
      </c>
    </row>
    <row r="9" spans="1:8" ht="18.75" x14ac:dyDescent="0.3">
      <c r="A9" s="5"/>
      <c r="D9" s="4"/>
      <c r="E9" s="25"/>
      <c r="H9" s="4"/>
    </row>
    <row r="10" spans="1:8" ht="18.75" x14ac:dyDescent="0.3">
      <c r="A10" s="5"/>
      <c r="D10" s="4" t="s">
        <v>181</v>
      </c>
      <c r="E10" s="25"/>
      <c r="H10" s="4"/>
    </row>
    <row r="11" spans="1:8" ht="18.75" x14ac:dyDescent="0.3">
      <c r="A11" s="5"/>
      <c r="D11" s="4"/>
      <c r="E11" s="25"/>
      <c r="H11" s="4"/>
    </row>
    <row r="12" spans="1:8" ht="18.75" x14ac:dyDescent="0.3">
      <c r="A12" s="5"/>
      <c r="C12" s="3"/>
      <c r="D12" s="27"/>
      <c r="E12" s="25"/>
      <c r="H12" s="27"/>
    </row>
    <row r="13" spans="1:8" ht="18.75" x14ac:dyDescent="0.3">
      <c r="A13" s="5"/>
      <c r="C13" s="3"/>
      <c r="D13" s="28"/>
      <c r="E13" s="25"/>
      <c r="H13" s="28"/>
    </row>
    <row r="14" spans="1:8" ht="19.5" thickBot="1" x14ac:dyDescent="0.35">
      <c r="A14" s="5"/>
      <c r="C14" s="3"/>
      <c r="D14" s="22"/>
      <c r="E14" s="25"/>
      <c r="H14" s="22"/>
    </row>
    <row r="15" spans="1:8" ht="18.75" customHeight="1" x14ac:dyDescent="0.3">
      <c r="D15" s="4">
        <f>SUM(D7:D14)</f>
        <v>160550</v>
      </c>
      <c r="H15" s="4">
        <f>SUM(H7:H14)</f>
        <v>25650</v>
      </c>
    </row>
    <row r="16" spans="1:8" ht="18.75" x14ac:dyDescent="0.3">
      <c r="A16" s="5"/>
      <c r="C16" s="3"/>
      <c r="D16" s="4"/>
      <c r="H16" s="4"/>
    </row>
    <row r="18" spans="1:8" ht="18.75" x14ac:dyDescent="0.3">
      <c r="A18" s="5"/>
      <c r="C18" s="3"/>
      <c r="D18" s="4"/>
      <c r="H18" s="4"/>
    </row>
    <row r="19" spans="1:8" ht="15.75" thickBot="1" x14ac:dyDescent="0.3">
      <c r="D19" s="7"/>
      <c r="H19" s="7"/>
    </row>
    <row r="21" spans="1:8" ht="18.75" x14ac:dyDescent="0.3">
      <c r="C21" t="s">
        <v>4</v>
      </c>
      <c r="D21" s="4">
        <f>D3-D15</f>
        <v>136950</v>
      </c>
      <c r="G21" t="s">
        <v>5</v>
      </c>
      <c r="H21" s="4">
        <f>H3-H15</f>
        <v>21850</v>
      </c>
    </row>
    <row r="24" spans="1:8" ht="15.75" x14ac:dyDescent="0.25">
      <c r="A24" t="s">
        <v>6</v>
      </c>
      <c r="C24" s="8">
        <f>D21</f>
        <v>136950</v>
      </c>
      <c r="E24" t="s">
        <v>10</v>
      </c>
      <c r="H24" s="6">
        <f>C33</f>
        <v>113910</v>
      </c>
    </row>
    <row r="26" spans="1:8" ht="15.75" x14ac:dyDescent="0.25">
      <c r="A26" t="s">
        <v>5</v>
      </c>
      <c r="B26" s="9" t="s">
        <v>7</v>
      </c>
      <c r="C26" s="8">
        <f>H21</f>
        <v>21850</v>
      </c>
      <c r="E26" s="13" t="s">
        <v>11</v>
      </c>
      <c r="F26" s="9" t="s">
        <v>12</v>
      </c>
      <c r="G26" s="15" t="s">
        <v>17</v>
      </c>
      <c r="H26" s="3">
        <f>-(F27*0.007)</f>
        <v>-1750</v>
      </c>
    </row>
    <row r="27" spans="1:8" x14ac:dyDescent="0.25">
      <c r="F27" s="21">
        <f>D3-H3</f>
        <v>250000</v>
      </c>
    </row>
    <row r="28" spans="1:8" ht="16.5" thickBot="1" x14ac:dyDescent="0.3">
      <c r="A28" t="s">
        <v>8</v>
      </c>
      <c r="B28" s="9" t="s">
        <v>7</v>
      </c>
      <c r="C28" s="8">
        <f>D3*0.004</f>
        <v>1190</v>
      </c>
      <c r="F28" s="9" t="s">
        <v>13</v>
      </c>
      <c r="G28" s="16">
        <v>0.35</v>
      </c>
      <c r="H28" s="17">
        <f>-(F29*0.35)</f>
        <v>-39868.5</v>
      </c>
    </row>
    <row r="29" spans="1:8" x14ac:dyDescent="0.25">
      <c r="F29" s="21">
        <f>H24</f>
        <v>113910</v>
      </c>
    </row>
    <row r="30" spans="1:8" ht="15.75" x14ac:dyDescent="0.25">
      <c r="A30" t="s">
        <v>9</v>
      </c>
      <c r="B30" s="9" t="s">
        <v>7</v>
      </c>
      <c r="C30" s="10"/>
      <c r="G30" s="13" t="s">
        <v>14</v>
      </c>
      <c r="H30" s="6">
        <f>H24+H26+H28</f>
        <v>72291.5</v>
      </c>
    </row>
    <row r="31" spans="1:8" ht="15.75" thickBot="1" x14ac:dyDescent="0.3">
      <c r="A31" s="16"/>
      <c r="B31" s="14"/>
      <c r="C31" s="7"/>
    </row>
    <row r="32" spans="1:8" x14ac:dyDescent="0.25">
      <c r="E32" t="s">
        <v>151</v>
      </c>
      <c r="H32" s="20">
        <f>H30*0.5</f>
        <v>36145.75</v>
      </c>
    </row>
    <row r="33" spans="1:8" ht="15.75" x14ac:dyDescent="0.25">
      <c r="A33" t="s">
        <v>10</v>
      </c>
      <c r="C33" s="10">
        <f>C24-C26-C28-C30</f>
        <v>113910</v>
      </c>
      <c r="H33" s="18"/>
    </row>
    <row r="34" spans="1:8" x14ac:dyDescent="0.25">
      <c r="H34" s="3"/>
    </row>
    <row r="35" spans="1:8" x14ac:dyDescent="0.25">
      <c r="H35" s="18"/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F5A31-39CC-4FF0-93C2-95BCAF4760FF}">
  <dimension ref="A1:H35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3.28515625" bestFit="1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183</v>
      </c>
    </row>
    <row r="3" spans="1:8" ht="21" x14ac:dyDescent="0.35">
      <c r="A3" s="2" t="s">
        <v>1</v>
      </c>
      <c r="D3" s="11">
        <v>857514</v>
      </c>
      <c r="F3" s="12" t="s">
        <v>3</v>
      </c>
      <c r="H3" s="11">
        <v>136914</v>
      </c>
    </row>
    <row r="4" spans="1:8" x14ac:dyDescent="0.25">
      <c r="A4" s="13" t="s">
        <v>32</v>
      </c>
      <c r="C4" s="26">
        <v>317</v>
      </c>
    </row>
    <row r="5" spans="1:8" ht="21" x14ac:dyDescent="0.35">
      <c r="A5" s="2" t="s">
        <v>2</v>
      </c>
    </row>
    <row r="7" spans="1:8" ht="18.75" x14ac:dyDescent="0.3">
      <c r="A7" s="5"/>
      <c r="D7" s="4"/>
      <c r="E7" s="25"/>
      <c r="H7" s="4"/>
    </row>
    <row r="8" spans="1:8" ht="18.75" x14ac:dyDescent="0.3">
      <c r="A8" s="5" t="s">
        <v>184</v>
      </c>
      <c r="D8" s="4">
        <v>581593</v>
      </c>
      <c r="E8" s="25" t="s">
        <v>34</v>
      </c>
      <c r="H8" s="4">
        <v>92859</v>
      </c>
    </row>
    <row r="9" spans="1:8" ht="18.75" x14ac:dyDescent="0.3">
      <c r="A9" s="5" t="s">
        <v>185</v>
      </c>
      <c r="D9" s="4">
        <v>40000</v>
      </c>
      <c r="E9" s="25"/>
      <c r="H9" s="4"/>
    </row>
    <row r="10" spans="1:8" ht="18.75" x14ac:dyDescent="0.3">
      <c r="A10" s="5"/>
      <c r="D10" s="4" t="s">
        <v>181</v>
      </c>
      <c r="E10" s="25"/>
      <c r="H10" s="4"/>
    </row>
    <row r="11" spans="1:8" ht="18.75" x14ac:dyDescent="0.3">
      <c r="A11" s="5"/>
      <c r="D11" s="4"/>
      <c r="E11" s="25"/>
      <c r="H11" s="4"/>
    </row>
    <row r="12" spans="1:8" ht="18.75" x14ac:dyDescent="0.3">
      <c r="A12" s="5"/>
      <c r="C12" s="3"/>
      <c r="D12" s="27"/>
      <c r="E12" s="25"/>
      <c r="H12" s="27"/>
    </row>
    <row r="13" spans="1:8" ht="18.75" x14ac:dyDescent="0.3">
      <c r="A13" s="5"/>
      <c r="C13" s="3"/>
      <c r="D13" s="28"/>
      <c r="E13" s="25"/>
      <c r="H13" s="28"/>
    </row>
    <row r="14" spans="1:8" ht="19.5" thickBot="1" x14ac:dyDescent="0.35">
      <c r="A14" s="5"/>
      <c r="C14" s="3"/>
      <c r="D14" s="22"/>
      <c r="E14" s="25"/>
      <c r="H14" s="22"/>
    </row>
    <row r="15" spans="1:8" ht="18.75" customHeight="1" x14ac:dyDescent="0.3">
      <c r="D15" s="4">
        <f>SUM(D7:D14)</f>
        <v>621593</v>
      </c>
      <c r="H15" s="4">
        <f>SUM(H7:H14)</f>
        <v>92859</v>
      </c>
    </row>
    <row r="16" spans="1:8" ht="18.75" x14ac:dyDescent="0.3">
      <c r="A16" s="5"/>
      <c r="C16" s="3"/>
      <c r="D16" s="4"/>
      <c r="H16" s="4"/>
    </row>
    <row r="18" spans="1:8" ht="18.75" x14ac:dyDescent="0.3">
      <c r="A18" s="5"/>
      <c r="C18" s="3"/>
      <c r="D18" s="4"/>
      <c r="H18" s="4"/>
    </row>
    <row r="19" spans="1:8" ht="15.75" thickBot="1" x14ac:dyDescent="0.3">
      <c r="D19" s="7"/>
      <c r="H19" s="7"/>
    </row>
    <row r="21" spans="1:8" ht="18.75" x14ac:dyDescent="0.3">
      <c r="C21" t="s">
        <v>4</v>
      </c>
      <c r="D21" s="4">
        <f>D3-D15</f>
        <v>235921</v>
      </c>
      <c r="G21" t="s">
        <v>5</v>
      </c>
      <c r="H21" s="4">
        <f>H3-H15</f>
        <v>44055</v>
      </c>
    </row>
    <row r="24" spans="1:8" ht="15.75" x14ac:dyDescent="0.25">
      <c r="A24" t="s">
        <v>6</v>
      </c>
      <c r="C24" s="8">
        <f>D21</f>
        <v>235921</v>
      </c>
      <c r="E24" t="s">
        <v>10</v>
      </c>
      <c r="H24" s="6">
        <f>C33</f>
        <v>188435.94399999999</v>
      </c>
    </row>
    <row r="26" spans="1:8" ht="15.75" x14ac:dyDescent="0.25">
      <c r="A26" t="s">
        <v>5</v>
      </c>
      <c r="B26" s="9" t="s">
        <v>7</v>
      </c>
      <c r="C26" s="8">
        <f>H21</f>
        <v>44055</v>
      </c>
      <c r="E26" s="13" t="s">
        <v>11</v>
      </c>
      <c r="F26" s="9" t="s">
        <v>12</v>
      </c>
      <c r="G26" s="15" t="s">
        <v>17</v>
      </c>
      <c r="H26" s="3">
        <f>-(F27*0.007)</f>
        <v>-5044.2</v>
      </c>
    </row>
    <row r="27" spans="1:8" x14ac:dyDescent="0.25">
      <c r="F27" s="21">
        <f>D3-H3</f>
        <v>720600</v>
      </c>
    </row>
    <row r="28" spans="1:8" ht="16.5" thickBot="1" x14ac:dyDescent="0.3">
      <c r="A28" t="s">
        <v>8</v>
      </c>
      <c r="B28" s="9" t="s">
        <v>7</v>
      </c>
      <c r="C28" s="8">
        <f>D3*0.004</f>
        <v>3430.056</v>
      </c>
      <c r="F28" s="9" t="s">
        <v>13</v>
      </c>
      <c r="G28" s="16">
        <v>0.35</v>
      </c>
      <c r="H28" s="17">
        <f>-(F29*0.35)</f>
        <v>-65952.580399999992</v>
      </c>
    </row>
    <row r="29" spans="1:8" x14ac:dyDescent="0.25">
      <c r="F29" s="21">
        <f>H24</f>
        <v>188435.94399999999</v>
      </c>
    </row>
    <row r="30" spans="1:8" ht="15.75" x14ac:dyDescent="0.25">
      <c r="A30" t="s">
        <v>9</v>
      </c>
      <c r="B30" s="9" t="s">
        <v>7</v>
      </c>
      <c r="C30" s="10"/>
      <c r="G30" s="13" t="s">
        <v>14</v>
      </c>
      <c r="H30" s="6">
        <f>H24+H26+H28</f>
        <v>117439.16359999999</v>
      </c>
    </row>
    <row r="31" spans="1:8" ht="15.75" thickBot="1" x14ac:dyDescent="0.3">
      <c r="A31" s="16"/>
      <c r="B31" s="14"/>
      <c r="C31" s="7"/>
    </row>
    <row r="32" spans="1:8" x14ac:dyDescent="0.25">
      <c r="E32" t="s">
        <v>151</v>
      </c>
      <c r="H32" s="20">
        <f>H30*0.5</f>
        <v>58719.581799999993</v>
      </c>
    </row>
    <row r="33" spans="1:8" ht="15.75" x14ac:dyDescent="0.25">
      <c r="A33" t="s">
        <v>10</v>
      </c>
      <c r="C33" s="10">
        <f>C24-C26-C28-C30</f>
        <v>188435.94399999999</v>
      </c>
      <c r="H33" s="18"/>
    </row>
    <row r="34" spans="1:8" x14ac:dyDescent="0.25">
      <c r="H34" s="3"/>
    </row>
    <row r="35" spans="1:8" x14ac:dyDescent="0.25">
      <c r="H35" s="18"/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49E6D-6683-4925-BAFB-2E12A0CBB8F1}">
  <dimension ref="A1:H35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3.28515625" bestFit="1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183</v>
      </c>
    </row>
    <row r="3" spans="1:8" ht="21" x14ac:dyDescent="0.35">
      <c r="A3" s="2" t="s">
        <v>1</v>
      </c>
      <c r="D3" s="11">
        <v>857514</v>
      </c>
      <c r="F3" s="12" t="s">
        <v>3</v>
      </c>
      <c r="H3" s="11">
        <v>136914</v>
      </c>
    </row>
    <row r="4" spans="1:8" x14ac:dyDescent="0.25">
      <c r="A4" s="13" t="s">
        <v>32</v>
      </c>
      <c r="C4" s="26">
        <v>317</v>
      </c>
    </row>
    <row r="5" spans="1:8" ht="21" x14ac:dyDescent="0.35">
      <c r="A5" s="2" t="s">
        <v>2</v>
      </c>
    </row>
    <row r="7" spans="1:8" ht="18.75" x14ac:dyDescent="0.3">
      <c r="A7" s="5"/>
      <c r="D7" s="4"/>
      <c r="E7" s="25"/>
      <c r="H7" s="4"/>
    </row>
    <row r="8" spans="1:8" ht="18.75" x14ac:dyDescent="0.3">
      <c r="A8" s="5" t="s">
        <v>184</v>
      </c>
      <c r="D8" s="4">
        <v>581593</v>
      </c>
      <c r="E8" s="25" t="s">
        <v>34</v>
      </c>
      <c r="H8" s="4">
        <v>92859</v>
      </c>
    </row>
    <row r="9" spans="1:8" ht="18.75" x14ac:dyDescent="0.3">
      <c r="A9" s="5" t="s">
        <v>185</v>
      </c>
      <c r="D9" s="4">
        <v>40000</v>
      </c>
      <c r="E9" s="25"/>
      <c r="H9" s="4"/>
    </row>
    <row r="10" spans="1:8" ht="18.75" x14ac:dyDescent="0.3">
      <c r="A10" s="5"/>
      <c r="D10" s="4" t="s">
        <v>181</v>
      </c>
      <c r="E10" s="25"/>
      <c r="H10" s="4"/>
    </row>
    <row r="11" spans="1:8" ht="18.75" x14ac:dyDescent="0.3">
      <c r="A11" s="5"/>
      <c r="D11" s="4"/>
      <c r="E11" s="25"/>
      <c r="H11" s="4"/>
    </row>
    <row r="12" spans="1:8" ht="18.75" x14ac:dyDescent="0.3">
      <c r="A12" s="5"/>
      <c r="C12" s="3"/>
      <c r="D12" s="27"/>
      <c r="E12" s="25"/>
      <c r="H12" s="27"/>
    </row>
    <row r="13" spans="1:8" ht="18.75" x14ac:dyDescent="0.3">
      <c r="A13" s="5"/>
      <c r="C13" s="3"/>
      <c r="D13" s="28"/>
      <c r="E13" s="25"/>
      <c r="H13" s="28"/>
    </row>
    <row r="14" spans="1:8" ht="19.5" thickBot="1" x14ac:dyDescent="0.35">
      <c r="A14" s="5"/>
      <c r="C14" s="3"/>
      <c r="D14" s="22"/>
      <c r="E14" s="25"/>
      <c r="H14" s="22"/>
    </row>
    <row r="15" spans="1:8" ht="18.75" customHeight="1" x14ac:dyDescent="0.3">
      <c r="D15" s="4">
        <f>SUM(D7:D14)</f>
        <v>621593</v>
      </c>
      <c r="H15" s="4">
        <f>SUM(H7:H14)</f>
        <v>92859</v>
      </c>
    </row>
    <row r="16" spans="1:8" ht="18.75" x14ac:dyDescent="0.3">
      <c r="A16" s="5"/>
      <c r="C16" s="3"/>
      <c r="D16" s="4"/>
      <c r="H16" s="4"/>
    </row>
    <row r="18" spans="1:8" ht="18.75" x14ac:dyDescent="0.3">
      <c r="A18" s="5"/>
      <c r="C18" s="3"/>
      <c r="D18" s="4"/>
      <c r="H18" s="4"/>
    </row>
    <row r="19" spans="1:8" ht="15.75" thickBot="1" x14ac:dyDescent="0.3">
      <c r="D19" s="7"/>
      <c r="H19" s="7"/>
    </row>
    <row r="21" spans="1:8" ht="18.75" x14ac:dyDescent="0.3">
      <c r="C21" t="s">
        <v>4</v>
      </c>
      <c r="D21" s="4">
        <f>D3-D15</f>
        <v>235921</v>
      </c>
      <c r="G21" t="s">
        <v>5</v>
      </c>
      <c r="H21" s="4">
        <f>H3-H15</f>
        <v>44055</v>
      </c>
    </row>
    <row r="24" spans="1:8" ht="15.75" x14ac:dyDescent="0.25">
      <c r="A24" t="s">
        <v>6</v>
      </c>
      <c r="C24" s="8">
        <f>D21</f>
        <v>235921</v>
      </c>
      <c r="E24" t="s">
        <v>10</v>
      </c>
      <c r="H24" s="6">
        <f>C33</f>
        <v>188435.94399999999</v>
      </c>
    </row>
    <row r="26" spans="1:8" ht="15.75" x14ac:dyDescent="0.25">
      <c r="A26" t="s">
        <v>5</v>
      </c>
      <c r="B26" s="9" t="s">
        <v>7</v>
      </c>
      <c r="C26" s="8">
        <f>H21</f>
        <v>44055</v>
      </c>
      <c r="E26" s="13" t="s">
        <v>11</v>
      </c>
      <c r="F26" s="9" t="s">
        <v>12</v>
      </c>
      <c r="G26" s="15" t="s">
        <v>17</v>
      </c>
      <c r="H26" s="3">
        <f>-(F27*0.007)</f>
        <v>-5044.2</v>
      </c>
    </row>
    <row r="27" spans="1:8" x14ac:dyDescent="0.25">
      <c r="F27" s="21">
        <f>D3-H3</f>
        <v>720600</v>
      </c>
    </row>
    <row r="28" spans="1:8" ht="16.5" thickBot="1" x14ac:dyDescent="0.3">
      <c r="A28" t="s">
        <v>8</v>
      </c>
      <c r="B28" s="9" t="s">
        <v>7</v>
      </c>
      <c r="C28" s="8">
        <f>D3*0.004</f>
        <v>3430.056</v>
      </c>
      <c r="F28" s="9" t="s">
        <v>13</v>
      </c>
      <c r="G28" s="16">
        <v>0.35</v>
      </c>
      <c r="H28" s="17">
        <f>-(F29*0.35)</f>
        <v>-65952.580399999992</v>
      </c>
    </row>
    <row r="29" spans="1:8" x14ac:dyDescent="0.25">
      <c r="F29" s="21">
        <f>H24</f>
        <v>188435.94399999999</v>
      </c>
    </row>
    <row r="30" spans="1:8" ht="15.75" x14ac:dyDescent="0.25">
      <c r="A30" t="s">
        <v>9</v>
      </c>
      <c r="B30" s="9" t="s">
        <v>7</v>
      </c>
      <c r="C30" s="10"/>
      <c r="G30" s="13" t="s">
        <v>14</v>
      </c>
      <c r="H30" s="6">
        <f>H24+H26+H28</f>
        <v>117439.16359999999</v>
      </c>
    </row>
    <row r="31" spans="1:8" ht="15.75" thickBot="1" x14ac:dyDescent="0.3">
      <c r="A31" s="16"/>
      <c r="B31" s="14"/>
      <c r="C31" s="7"/>
    </row>
    <row r="32" spans="1:8" x14ac:dyDescent="0.25">
      <c r="E32" t="s">
        <v>151</v>
      </c>
      <c r="H32" s="20">
        <f>H30*0.5</f>
        <v>58719.581799999993</v>
      </c>
    </row>
    <row r="33" spans="1:8" ht="15.75" x14ac:dyDescent="0.25">
      <c r="A33" t="s">
        <v>10</v>
      </c>
      <c r="C33" s="10">
        <f>C24-C26-C28-C30</f>
        <v>188435.94399999999</v>
      </c>
      <c r="H33" s="18"/>
    </row>
    <row r="34" spans="1:8" x14ac:dyDescent="0.25">
      <c r="H34" s="3"/>
    </row>
    <row r="35" spans="1:8" x14ac:dyDescent="0.25">
      <c r="H35" s="18"/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83B8E-F36A-4E95-94E3-31487BD4AC26}">
  <dimension ref="A1:H35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3.28515625" bestFit="1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186</v>
      </c>
    </row>
    <row r="3" spans="1:8" ht="21" x14ac:dyDescent="0.35">
      <c r="A3" s="2" t="s">
        <v>1</v>
      </c>
      <c r="D3" s="11">
        <v>144585</v>
      </c>
      <c r="F3" s="12" t="s">
        <v>3</v>
      </c>
      <c r="H3" s="11">
        <v>23085</v>
      </c>
    </row>
    <row r="4" spans="1:8" x14ac:dyDescent="0.25">
      <c r="A4" s="13" t="s">
        <v>32</v>
      </c>
      <c r="C4" s="26">
        <v>318</v>
      </c>
    </row>
    <row r="5" spans="1:8" ht="21" x14ac:dyDescent="0.35">
      <c r="A5" s="2" t="s">
        <v>2</v>
      </c>
    </row>
    <row r="7" spans="1:8" ht="18.75" x14ac:dyDescent="0.3">
      <c r="A7" s="5"/>
      <c r="D7" s="4"/>
      <c r="E7" s="25"/>
      <c r="H7" s="4"/>
    </row>
    <row r="8" spans="1:8" ht="18.75" x14ac:dyDescent="0.3">
      <c r="A8" s="5" t="s">
        <v>187</v>
      </c>
      <c r="D8" s="4">
        <v>93877</v>
      </c>
      <c r="E8" s="25" t="s">
        <v>34</v>
      </c>
      <c r="H8" s="4">
        <v>14989</v>
      </c>
    </row>
    <row r="9" spans="1:8" ht="18.75" x14ac:dyDescent="0.3">
      <c r="A9" s="5"/>
      <c r="D9" s="4"/>
      <c r="E9" s="25"/>
      <c r="H9" s="4"/>
    </row>
    <row r="10" spans="1:8" ht="18.75" x14ac:dyDescent="0.3">
      <c r="A10" s="5"/>
      <c r="D10" s="4" t="s">
        <v>181</v>
      </c>
      <c r="E10" s="25"/>
      <c r="H10" s="4"/>
    </row>
    <row r="11" spans="1:8" ht="18.75" x14ac:dyDescent="0.3">
      <c r="A11" s="5"/>
      <c r="D11" s="4"/>
      <c r="E11" s="25"/>
      <c r="H11" s="4"/>
    </row>
    <row r="12" spans="1:8" ht="18.75" x14ac:dyDescent="0.3">
      <c r="A12" s="5"/>
      <c r="C12" s="3"/>
      <c r="D12" s="27"/>
      <c r="E12" s="25"/>
      <c r="H12" s="27"/>
    </row>
    <row r="13" spans="1:8" ht="18.75" x14ac:dyDescent="0.3">
      <c r="A13" s="5"/>
      <c r="C13" s="3"/>
      <c r="D13" s="28"/>
      <c r="E13" s="25"/>
      <c r="H13" s="28"/>
    </row>
    <row r="14" spans="1:8" ht="19.5" thickBot="1" x14ac:dyDescent="0.35">
      <c r="A14" s="5"/>
      <c r="C14" s="3"/>
      <c r="D14" s="22"/>
      <c r="E14" s="25"/>
      <c r="H14" s="22"/>
    </row>
    <row r="15" spans="1:8" ht="18.75" customHeight="1" x14ac:dyDescent="0.3">
      <c r="D15" s="4">
        <f>SUM(D7:D14)</f>
        <v>93877</v>
      </c>
      <c r="H15" s="4">
        <f>SUM(H7:H14)</f>
        <v>14989</v>
      </c>
    </row>
    <row r="16" spans="1:8" ht="18.75" x14ac:dyDescent="0.3">
      <c r="A16" s="5"/>
      <c r="C16" s="3"/>
      <c r="D16" s="4"/>
      <c r="H16" s="4"/>
    </row>
    <row r="18" spans="1:8" ht="18.75" x14ac:dyDescent="0.3">
      <c r="A18" s="5"/>
      <c r="C18" s="3"/>
      <c r="D18" s="4"/>
      <c r="H18" s="4"/>
    </row>
    <row r="19" spans="1:8" ht="15.75" thickBot="1" x14ac:dyDescent="0.3">
      <c r="D19" s="7"/>
      <c r="H19" s="7"/>
    </row>
    <row r="21" spans="1:8" ht="18.75" x14ac:dyDescent="0.3">
      <c r="C21" t="s">
        <v>4</v>
      </c>
      <c r="D21" s="4">
        <f>D3-D15</f>
        <v>50708</v>
      </c>
      <c r="G21" t="s">
        <v>5</v>
      </c>
      <c r="H21" s="4">
        <f>H3-H15</f>
        <v>8096</v>
      </c>
    </row>
    <row r="24" spans="1:8" ht="15.75" x14ac:dyDescent="0.25">
      <c r="A24" t="s">
        <v>6</v>
      </c>
      <c r="C24" s="8">
        <f>D21</f>
        <v>50708</v>
      </c>
      <c r="E24" t="s">
        <v>10</v>
      </c>
      <c r="H24" s="6">
        <f>C33</f>
        <v>42033.66</v>
      </c>
    </row>
    <row r="26" spans="1:8" ht="15.75" x14ac:dyDescent="0.25">
      <c r="A26" t="s">
        <v>5</v>
      </c>
      <c r="B26" s="9" t="s">
        <v>7</v>
      </c>
      <c r="C26" s="8">
        <f>H21</f>
        <v>8096</v>
      </c>
      <c r="E26" s="13" t="s">
        <v>11</v>
      </c>
      <c r="F26" s="9" t="s">
        <v>12</v>
      </c>
      <c r="G26" s="15" t="s">
        <v>17</v>
      </c>
      <c r="H26" s="3">
        <f>-(F27*0.007)</f>
        <v>-850.5</v>
      </c>
    </row>
    <row r="27" spans="1:8" x14ac:dyDescent="0.25">
      <c r="F27" s="21">
        <f>D3-H3</f>
        <v>121500</v>
      </c>
    </row>
    <row r="28" spans="1:8" ht="16.5" thickBot="1" x14ac:dyDescent="0.3">
      <c r="A28" t="s">
        <v>8</v>
      </c>
      <c r="B28" s="9" t="s">
        <v>7</v>
      </c>
      <c r="C28" s="8">
        <f>D3*0.004</f>
        <v>578.34</v>
      </c>
      <c r="F28" s="9" t="s">
        <v>13</v>
      </c>
      <c r="G28" s="16">
        <v>0.35</v>
      </c>
      <c r="H28" s="17">
        <f>-(F29*0.35)</f>
        <v>-14711.781000000001</v>
      </c>
    </row>
    <row r="29" spans="1:8" x14ac:dyDescent="0.25">
      <c r="F29" s="21">
        <f>H24</f>
        <v>42033.66</v>
      </c>
    </row>
    <row r="30" spans="1:8" ht="15.75" x14ac:dyDescent="0.25">
      <c r="A30" t="s">
        <v>9</v>
      </c>
      <c r="B30" s="9" t="s">
        <v>7</v>
      </c>
      <c r="C30" s="10"/>
      <c r="G30" s="13" t="s">
        <v>14</v>
      </c>
      <c r="H30" s="6">
        <f>H24+H26+H28</f>
        <v>26471.379000000001</v>
      </c>
    </row>
    <row r="31" spans="1:8" ht="15.75" thickBot="1" x14ac:dyDescent="0.3">
      <c r="A31" s="16"/>
      <c r="B31" s="14"/>
      <c r="C31" s="7"/>
    </row>
    <row r="32" spans="1:8" x14ac:dyDescent="0.25">
      <c r="E32" t="s">
        <v>151</v>
      </c>
      <c r="H32" s="20">
        <f>H30*0.5</f>
        <v>13235.6895</v>
      </c>
    </row>
    <row r="33" spans="1:8" ht="15.75" x14ac:dyDescent="0.25">
      <c r="A33" t="s">
        <v>10</v>
      </c>
      <c r="C33" s="10">
        <f>C24-C26-C28-C30</f>
        <v>42033.66</v>
      </c>
      <c r="H33" s="18"/>
    </row>
    <row r="34" spans="1:8" x14ac:dyDescent="0.25">
      <c r="H34" s="3"/>
    </row>
    <row r="35" spans="1:8" x14ac:dyDescent="0.25">
      <c r="H35" s="18"/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984F1-85B0-445C-8302-C9DE22181389}">
  <dimension ref="A1:H35"/>
  <sheetViews>
    <sheetView topLeftCell="A13" workbookViewId="0">
      <selection activeCell="D10" sqref="D10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3.28515625" bestFit="1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188</v>
      </c>
    </row>
    <row r="3" spans="1:8" ht="21" x14ac:dyDescent="0.35">
      <c r="A3" s="2" t="s">
        <v>1</v>
      </c>
      <c r="D3" s="11">
        <v>321300</v>
      </c>
      <c r="F3" s="12" t="s">
        <v>3</v>
      </c>
      <c r="H3" s="11">
        <v>51300</v>
      </c>
    </row>
    <row r="4" spans="1:8" x14ac:dyDescent="0.25">
      <c r="A4" s="13" t="s">
        <v>32</v>
      </c>
      <c r="C4" s="26">
        <v>319</v>
      </c>
    </row>
    <row r="5" spans="1:8" ht="21" x14ac:dyDescent="0.35">
      <c r="A5" s="2" t="s">
        <v>2</v>
      </c>
    </row>
    <row r="7" spans="1:8" ht="18.75" x14ac:dyDescent="0.3">
      <c r="A7" s="5"/>
      <c r="D7" s="4"/>
      <c r="E7" s="25"/>
      <c r="H7" s="4"/>
    </row>
    <row r="8" spans="1:8" ht="18.75" x14ac:dyDescent="0.3">
      <c r="A8" s="5" t="s">
        <v>189</v>
      </c>
      <c r="D8" s="4">
        <v>240751</v>
      </c>
      <c r="E8" s="25" t="s">
        <v>34</v>
      </c>
      <c r="H8" s="4">
        <v>38439</v>
      </c>
    </row>
    <row r="9" spans="1:8" ht="18.75" x14ac:dyDescent="0.3">
      <c r="A9" s="5"/>
      <c r="D9" s="4"/>
      <c r="E9" s="25"/>
      <c r="H9" s="4"/>
    </row>
    <row r="10" spans="1:8" ht="18.75" x14ac:dyDescent="0.3">
      <c r="A10" s="5"/>
      <c r="D10" s="4" t="s">
        <v>181</v>
      </c>
      <c r="E10" s="25"/>
      <c r="H10" s="4"/>
    </row>
    <row r="11" spans="1:8" ht="18.75" x14ac:dyDescent="0.3">
      <c r="A11" s="5"/>
      <c r="D11" s="4"/>
      <c r="E11" s="25"/>
      <c r="H11" s="4"/>
    </row>
    <row r="12" spans="1:8" ht="18.75" x14ac:dyDescent="0.3">
      <c r="A12" s="5"/>
      <c r="C12" s="3"/>
      <c r="D12" s="27"/>
      <c r="E12" s="25"/>
      <c r="H12" s="27"/>
    </row>
    <row r="13" spans="1:8" ht="18.75" x14ac:dyDescent="0.3">
      <c r="A13" s="5"/>
      <c r="C13" s="3"/>
      <c r="D13" s="28"/>
      <c r="E13" s="25"/>
      <c r="H13" s="28"/>
    </row>
    <row r="14" spans="1:8" ht="19.5" thickBot="1" x14ac:dyDescent="0.35">
      <c r="A14" s="5"/>
      <c r="C14" s="3"/>
      <c r="D14" s="22"/>
      <c r="E14" s="25"/>
      <c r="H14" s="22"/>
    </row>
    <row r="15" spans="1:8" ht="18.75" customHeight="1" x14ac:dyDescent="0.3">
      <c r="D15" s="4">
        <f>SUM(D7:D14)</f>
        <v>240751</v>
      </c>
      <c r="H15" s="4">
        <f>SUM(H7:H14)</f>
        <v>38439</v>
      </c>
    </row>
    <row r="16" spans="1:8" ht="18.75" x14ac:dyDescent="0.3">
      <c r="A16" s="5"/>
      <c r="C16" s="3"/>
      <c r="D16" s="4"/>
      <c r="H16" s="4"/>
    </row>
    <row r="18" spans="1:8" ht="18.75" x14ac:dyDescent="0.3">
      <c r="A18" s="5"/>
      <c r="C18" s="3"/>
      <c r="D18" s="4"/>
      <c r="H18" s="4"/>
    </row>
    <row r="19" spans="1:8" ht="15.75" thickBot="1" x14ac:dyDescent="0.3">
      <c r="D19" s="7"/>
      <c r="H19" s="7"/>
    </row>
    <row r="21" spans="1:8" ht="18.75" x14ac:dyDescent="0.3">
      <c r="C21" t="s">
        <v>4</v>
      </c>
      <c r="D21" s="4">
        <f>D3-D15</f>
        <v>80549</v>
      </c>
      <c r="G21" t="s">
        <v>5</v>
      </c>
      <c r="H21" s="4">
        <f>H3-H15</f>
        <v>12861</v>
      </c>
    </row>
    <row r="24" spans="1:8" ht="15.75" x14ac:dyDescent="0.25">
      <c r="A24" t="s">
        <v>6</v>
      </c>
      <c r="C24" s="8">
        <f>D21</f>
        <v>80549</v>
      </c>
      <c r="E24" t="s">
        <v>10</v>
      </c>
      <c r="H24" s="6">
        <f>C33</f>
        <v>66402.8</v>
      </c>
    </row>
    <row r="26" spans="1:8" ht="15.75" x14ac:dyDescent="0.25">
      <c r="A26" t="s">
        <v>5</v>
      </c>
      <c r="B26" s="9" t="s">
        <v>7</v>
      </c>
      <c r="C26" s="8">
        <f>H21</f>
        <v>12861</v>
      </c>
      <c r="E26" s="13" t="s">
        <v>11</v>
      </c>
      <c r="F26" s="9" t="s">
        <v>12</v>
      </c>
      <c r="G26" s="15" t="s">
        <v>17</v>
      </c>
      <c r="H26" s="3">
        <f>-(F27*0.007)</f>
        <v>-1890</v>
      </c>
    </row>
    <row r="27" spans="1:8" x14ac:dyDescent="0.25">
      <c r="F27" s="21">
        <f>D3-H3</f>
        <v>270000</v>
      </c>
    </row>
    <row r="28" spans="1:8" ht="16.5" thickBot="1" x14ac:dyDescent="0.3">
      <c r="A28" t="s">
        <v>8</v>
      </c>
      <c r="B28" s="9" t="s">
        <v>7</v>
      </c>
      <c r="C28" s="8">
        <f>D3*0.004</f>
        <v>1285.2</v>
      </c>
      <c r="F28" s="9" t="s">
        <v>13</v>
      </c>
      <c r="G28" s="16">
        <v>0.35</v>
      </c>
      <c r="H28" s="17">
        <f>-(F29*0.35)</f>
        <v>-23240.98</v>
      </c>
    </row>
    <row r="29" spans="1:8" x14ac:dyDescent="0.25">
      <c r="F29" s="21">
        <f>H24</f>
        <v>66402.8</v>
      </c>
    </row>
    <row r="30" spans="1:8" ht="15.75" x14ac:dyDescent="0.25">
      <c r="A30" t="s">
        <v>9</v>
      </c>
      <c r="B30" s="9" t="s">
        <v>7</v>
      </c>
      <c r="C30" s="10"/>
      <c r="G30" s="13" t="s">
        <v>14</v>
      </c>
      <c r="H30" s="6">
        <f>H24+H26+H28</f>
        <v>41271.820000000007</v>
      </c>
    </row>
    <row r="31" spans="1:8" ht="15.75" thickBot="1" x14ac:dyDescent="0.3">
      <c r="A31" s="16"/>
      <c r="B31" s="14"/>
      <c r="C31" s="7"/>
    </row>
    <row r="32" spans="1:8" x14ac:dyDescent="0.25">
      <c r="E32" t="s">
        <v>151</v>
      </c>
      <c r="H32" s="20">
        <f>H30*0.5</f>
        <v>20635.910000000003</v>
      </c>
    </row>
    <row r="33" spans="1:8" ht="15.75" x14ac:dyDescent="0.25">
      <c r="A33" t="s">
        <v>10</v>
      </c>
      <c r="C33" s="10">
        <f>C24-C26-C28-C30</f>
        <v>66402.8</v>
      </c>
      <c r="H33" s="18"/>
    </row>
    <row r="34" spans="1:8" x14ac:dyDescent="0.25">
      <c r="H34" s="3"/>
    </row>
    <row r="35" spans="1:8" x14ac:dyDescent="0.25">
      <c r="H35" s="18"/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F0CCC-4FA1-44A4-95F7-73B663476C4F}">
  <dimension ref="A1:H35"/>
  <sheetViews>
    <sheetView topLeftCell="A13"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3.28515625" bestFit="1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190</v>
      </c>
    </row>
    <row r="3" spans="1:8" ht="21" x14ac:dyDescent="0.35">
      <c r="A3" s="2" t="s">
        <v>1</v>
      </c>
      <c r="D3" s="11">
        <v>214200</v>
      </c>
      <c r="F3" s="12" t="s">
        <v>3</v>
      </c>
      <c r="H3" s="11">
        <v>34200</v>
      </c>
    </row>
    <row r="4" spans="1:8" x14ac:dyDescent="0.25">
      <c r="A4" s="13" t="s">
        <v>32</v>
      </c>
      <c r="C4" s="26">
        <v>321</v>
      </c>
    </row>
    <row r="5" spans="1:8" ht="21" x14ac:dyDescent="0.35">
      <c r="A5" s="2" t="s">
        <v>2</v>
      </c>
    </row>
    <row r="7" spans="1:8" ht="18.75" x14ac:dyDescent="0.3">
      <c r="A7" s="5"/>
      <c r="D7" s="4"/>
      <c r="E7" s="25"/>
      <c r="H7" s="4"/>
    </row>
    <row r="8" spans="1:8" ht="18.75" x14ac:dyDescent="0.3">
      <c r="A8" s="5" t="s">
        <v>191</v>
      </c>
      <c r="D8" s="4">
        <v>89250</v>
      </c>
      <c r="E8" s="25" t="s">
        <v>34</v>
      </c>
      <c r="H8" s="4">
        <v>14250</v>
      </c>
    </row>
    <row r="9" spans="1:8" ht="18.75" x14ac:dyDescent="0.3">
      <c r="A9" s="5" t="s">
        <v>192</v>
      </c>
      <c r="D9" s="4">
        <v>42271</v>
      </c>
      <c r="E9" s="25" t="s">
        <v>34</v>
      </c>
      <c r="H9" s="4">
        <v>6750</v>
      </c>
    </row>
    <row r="10" spans="1:8" ht="18.75" x14ac:dyDescent="0.3">
      <c r="A10" s="5"/>
      <c r="D10" s="4" t="s">
        <v>181</v>
      </c>
      <c r="E10" s="25"/>
      <c r="H10" s="4"/>
    </row>
    <row r="11" spans="1:8" ht="18.75" x14ac:dyDescent="0.3">
      <c r="A11" s="5"/>
      <c r="D11" s="4"/>
      <c r="E11" s="25"/>
      <c r="H11" s="4"/>
    </row>
    <row r="12" spans="1:8" ht="18.75" x14ac:dyDescent="0.3">
      <c r="A12" s="5"/>
      <c r="C12" s="3"/>
      <c r="D12" s="27"/>
      <c r="E12" s="25"/>
      <c r="H12" s="27"/>
    </row>
    <row r="13" spans="1:8" ht="18.75" x14ac:dyDescent="0.3">
      <c r="A13" s="5"/>
      <c r="C13" s="3"/>
      <c r="D13" s="28"/>
      <c r="E13" s="25"/>
      <c r="H13" s="28"/>
    </row>
    <row r="14" spans="1:8" ht="19.5" thickBot="1" x14ac:dyDescent="0.35">
      <c r="A14" s="5"/>
      <c r="C14" s="3"/>
      <c r="D14" s="22"/>
      <c r="E14" s="25"/>
      <c r="H14" s="22"/>
    </row>
    <row r="15" spans="1:8" ht="18.75" customHeight="1" x14ac:dyDescent="0.3">
      <c r="D15" s="4">
        <f>SUM(D7:D14)</f>
        <v>131521</v>
      </c>
      <c r="H15" s="4">
        <f>SUM(H7:H14)</f>
        <v>21000</v>
      </c>
    </row>
    <row r="16" spans="1:8" ht="18.75" x14ac:dyDescent="0.3">
      <c r="A16" s="5"/>
      <c r="C16" s="3"/>
      <c r="D16" s="4"/>
      <c r="H16" s="4"/>
    </row>
    <row r="18" spans="1:8" ht="18.75" x14ac:dyDescent="0.3">
      <c r="A18" s="5"/>
      <c r="C18" s="3"/>
      <c r="D18" s="4"/>
      <c r="H18" s="4"/>
    </row>
    <row r="19" spans="1:8" ht="15.75" thickBot="1" x14ac:dyDescent="0.3">
      <c r="D19" s="7"/>
      <c r="H19" s="7"/>
    </row>
    <row r="21" spans="1:8" ht="18.75" x14ac:dyDescent="0.3">
      <c r="C21" t="s">
        <v>4</v>
      </c>
      <c r="D21" s="4">
        <f>D3-D15</f>
        <v>82679</v>
      </c>
      <c r="G21" t="s">
        <v>5</v>
      </c>
      <c r="H21" s="4">
        <f>H3-H15</f>
        <v>13200</v>
      </c>
    </row>
    <row r="24" spans="1:8" ht="15.75" x14ac:dyDescent="0.25">
      <c r="A24" t="s">
        <v>6</v>
      </c>
      <c r="C24" s="8">
        <f>D21</f>
        <v>82679</v>
      </c>
      <c r="E24" t="s">
        <v>10</v>
      </c>
      <c r="H24" s="6">
        <f>C33</f>
        <v>68622.2</v>
      </c>
    </row>
    <row r="26" spans="1:8" ht="15.75" x14ac:dyDescent="0.25">
      <c r="A26" t="s">
        <v>5</v>
      </c>
      <c r="B26" s="9" t="s">
        <v>7</v>
      </c>
      <c r="C26" s="8">
        <f>H21</f>
        <v>13200</v>
      </c>
      <c r="E26" s="13" t="s">
        <v>11</v>
      </c>
      <c r="F26" s="9" t="s">
        <v>12</v>
      </c>
      <c r="G26" s="15" t="s">
        <v>17</v>
      </c>
      <c r="H26" s="3">
        <f>-(F27*0.007)</f>
        <v>-1260</v>
      </c>
    </row>
    <row r="27" spans="1:8" x14ac:dyDescent="0.25">
      <c r="F27" s="21">
        <f>D3-H3</f>
        <v>180000</v>
      </c>
    </row>
    <row r="28" spans="1:8" ht="16.5" thickBot="1" x14ac:dyDescent="0.3">
      <c r="A28" t="s">
        <v>8</v>
      </c>
      <c r="B28" s="9" t="s">
        <v>7</v>
      </c>
      <c r="C28" s="8">
        <f>D3*0.004</f>
        <v>856.80000000000007</v>
      </c>
      <c r="F28" s="9" t="s">
        <v>13</v>
      </c>
      <c r="G28" s="16">
        <v>0.35</v>
      </c>
      <c r="H28" s="17">
        <f>-(F29*0.35)</f>
        <v>-24017.769999999997</v>
      </c>
    </row>
    <row r="29" spans="1:8" x14ac:dyDescent="0.25">
      <c r="F29" s="21">
        <f>H24</f>
        <v>68622.2</v>
      </c>
    </row>
    <row r="30" spans="1:8" ht="15.75" x14ac:dyDescent="0.25">
      <c r="A30" t="s">
        <v>9</v>
      </c>
      <c r="B30" s="9" t="s">
        <v>7</v>
      </c>
      <c r="C30" s="10"/>
      <c r="G30" s="13" t="s">
        <v>14</v>
      </c>
      <c r="H30" s="6">
        <f>H24+H26+H28</f>
        <v>43344.43</v>
      </c>
    </row>
    <row r="31" spans="1:8" ht="15.75" thickBot="1" x14ac:dyDescent="0.3">
      <c r="A31" s="16"/>
      <c r="B31" s="14"/>
      <c r="C31" s="7"/>
    </row>
    <row r="32" spans="1:8" x14ac:dyDescent="0.25">
      <c r="E32" t="s">
        <v>151</v>
      </c>
      <c r="H32" s="20">
        <f>H30*0.5</f>
        <v>21672.215</v>
      </c>
    </row>
    <row r="33" spans="1:8" ht="15.75" x14ac:dyDescent="0.25">
      <c r="A33" t="s">
        <v>10</v>
      </c>
      <c r="C33" s="10">
        <f>C24-C26-C28-C30</f>
        <v>68622.2</v>
      </c>
      <c r="H33" s="18"/>
    </row>
    <row r="34" spans="1:8" x14ac:dyDescent="0.25">
      <c r="H34" s="3"/>
    </row>
    <row r="35" spans="1:8" x14ac:dyDescent="0.25">
      <c r="H35" s="18"/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BB429-AC4C-481F-8317-274C7340723A}">
  <dimension ref="A1:H35"/>
  <sheetViews>
    <sheetView topLeftCell="A16" workbookViewId="0">
      <selection activeCell="C4" sqref="C4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3.28515625" bestFit="1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193</v>
      </c>
    </row>
    <row r="3" spans="1:8" ht="21" x14ac:dyDescent="0.35">
      <c r="A3" s="2" t="s">
        <v>1</v>
      </c>
      <c r="D3" s="11">
        <v>76696</v>
      </c>
      <c r="F3" s="12" t="s">
        <v>3</v>
      </c>
      <c r="H3" s="11">
        <v>12246</v>
      </c>
    </row>
    <row r="4" spans="1:8" x14ac:dyDescent="0.25">
      <c r="A4" s="13" t="s">
        <v>32</v>
      </c>
      <c r="C4" s="26">
        <v>323</v>
      </c>
    </row>
    <row r="5" spans="1:8" ht="21" x14ac:dyDescent="0.35">
      <c r="A5" s="2" t="s">
        <v>2</v>
      </c>
    </row>
    <row r="7" spans="1:8" ht="18.75" x14ac:dyDescent="0.3">
      <c r="A7" s="5"/>
      <c r="D7" s="4"/>
      <c r="E7" s="25"/>
      <c r="H7" s="4"/>
    </row>
    <row r="8" spans="1:8" ht="18.75" x14ac:dyDescent="0.3">
      <c r="A8" s="5" t="s">
        <v>194</v>
      </c>
      <c r="D8" s="4">
        <v>36547</v>
      </c>
      <c r="E8" s="25" t="s">
        <v>34</v>
      </c>
      <c r="H8" s="4">
        <v>5835</v>
      </c>
    </row>
    <row r="9" spans="1:8" ht="18.75" x14ac:dyDescent="0.3">
      <c r="A9" s="5" t="s">
        <v>192</v>
      </c>
      <c r="D9" s="4">
        <v>18713</v>
      </c>
      <c r="E9" s="25" t="s">
        <v>34</v>
      </c>
      <c r="H9" s="4">
        <v>2988</v>
      </c>
    </row>
    <row r="10" spans="1:8" ht="18.75" x14ac:dyDescent="0.3">
      <c r="A10" s="5"/>
      <c r="D10" s="4" t="s">
        <v>181</v>
      </c>
      <c r="E10" s="25"/>
      <c r="H10" s="4"/>
    </row>
    <row r="11" spans="1:8" ht="18.75" x14ac:dyDescent="0.3">
      <c r="A11" s="5"/>
      <c r="D11" s="4"/>
      <c r="E11" s="25"/>
      <c r="H11" s="4"/>
    </row>
    <row r="12" spans="1:8" ht="18.75" x14ac:dyDescent="0.3">
      <c r="A12" s="5"/>
      <c r="C12" s="3"/>
      <c r="D12" s="27"/>
      <c r="E12" s="25"/>
      <c r="H12" s="27"/>
    </row>
    <row r="13" spans="1:8" ht="18.75" x14ac:dyDescent="0.3">
      <c r="A13" s="5"/>
      <c r="C13" s="3"/>
      <c r="D13" s="28"/>
      <c r="E13" s="25"/>
      <c r="H13" s="28"/>
    </row>
    <row r="14" spans="1:8" ht="19.5" thickBot="1" x14ac:dyDescent="0.35">
      <c r="A14" s="5"/>
      <c r="C14" s="3"/>
      <c r="D14" s="22"/>
      <c r="E14" s="25"/>
      <c r="H14" s="22"/>
    </row>
    <row r="15" spans="1:8" ht="18.75" customHeight="1" x14ac:dyDescent="0.3">
      <c r="D15" s="4">
        <f>SUM(D7:D14)</f>
        <v>55260</v>
      </c>
      <c r="H15" s="4">
        <f>SUM(H7:H14)</f>
        <v>8823</v>
      </c>
    </row>
    <row r="16" spans="1:8" ht="18.75" x14ac:dyDescent="0.3">
      <c r="A16" s="5"/>
      <c r="C16" s="3"/>
      <c r="D16" s="4"/>
      <c r="H16" s="4"/>
    </row>
    <row r="18" spans="1:8" ht="18.75" x14ac:dyDescent="0.3">
      <c r="A18" s="5"/>
      <c r="C18" s="3"/>
      <c r="D18" s="4"/>
      <c r="H18" s="4"/>
    </row>
    <row r="19" spans="1:8" ht="15.75" thickBot="1" x14ac:dyDescent="0.3">
      <c r="D19" s="7"/>
      <c r="H19" s="7"/>
    </row>
    <row r="21" spans="1:8" ht="18.75" x14ac:dyDescent="0.3">
      <c r="C21" t="s">
        <v>4</v>
      </c>
      <c r="D21" s="4">
        <f>D3-D15</f>
        <v>21436</v>
      </c>
      <c r="G21" t="s">
        <v>5</v>
      </c>
      <c r="H21" s="4">
        <f>H3-H15</f>
        <v>3423</v>
      </c>
    </row>
    <row r="24" spans="1:8" ht="15.75" x14ac:dyDescent="0.25">
      <c r="A24" t="s">
        <v>6</v>
      </c>
      <c r="C24" s="8">
        <f>D21</f>
        <v>21436</v>
      </c>
      <c r="E24" t="s">
        <v>10</v>
      </c>
      <c r="H24" s="6">
        <f>C33</f>
        <v>17706.216</v>
      </c>
    </row>
    <row r="26" spans="1:8" ht="15.75" x14ac:dyDescent="0.25">
      <c r="A26" t="s">
        <v>5</v>
      </c>
      <c r="B26" s="9" t="s">
        <v>7</v>
      </c>
      <c r="C26" s="8">
        <f>H21</f>
        <v>3423</v>
      </c>
      <c r="E26" s="13" t="s">
        <v>11</v>
      </c>
      <c r="F26" s="9" t="s">
        <v>12</v>
      </c>
      <c r="G26" s="15" t="s">
        <v>17</v>
      </c>
      <c r="H26" s="3">
        <f>-(F27*0.007)</f>
        <v>-451.15000000000003</v>
      </c>
    </row>
    <row r="27" spans="1:8" x14ac:dyDescent="0.25">
      <c r="F27" s="21">
        <f>D3-H3</f>
        <v>64450</v>
      </c>
    </row>
    <row r="28" spans="1:8" ht="16.5" thickBot="1" x14ac:dyDescent="0.3">
      <c r="A28" t="s">
        <v>8</v>
      </c>
      <c r="B28" s="9" t="s">
        <v>7</v>
      </c>
      <c r="C28" s="8">
        <f>D3*0.004</f>
        <v>306.78399999999999</v>
      </c>
      <c r="F28" s="9" t="s">
        <v>13</v>
      </c>
      <c r="G28" s="16">
        <v>0.35</v>
      </c>
      <c r="H28" s="17">
        <f>-(F29*0.35)</f>
        <v>-6197.1755999999996</v>
      </c>
    </row>
    <row r="29" spans="1:8" x14ac:dyDescent="0.25">
      <c r="F29" s="21">
        <f>H24</f>
        <v>17706.216</v>
      </c>
    </row>
    <row r="30" spans="1:8" ht="15.75" x14ac:dyDescent="0.25">
      <c r="A30" t="s">
        <v>9</v>
      </c>
      <c r="B30" s="9" t="s">
        <v>7</v>
      </c>
      <c r="C30" s="10"/>
      <c r="G30" s="13" t="s">
        <v>14</v>
      </c>
      <c r="H30" s="6">
        <f>H24+H26+H28</f>
        <v>11057.8904</v>
      </c>
    </row>
    <row r="31" spans="1:8" ht="15.75" thickBot="1" x14ac:dyDescent="0.3">
      <c r="A31" s="16"/>
      <c r="B31" s="14"/>
      <c r="C31" s="7"/>
    </row>
    <row r="32" spans="1:8" x14ac:dyDescent="0.25">
      <c r="E32" t="s">
        <v>151</v>
      </c>
      <c r="H32" s="20">
        <f>H30*0.5</f>
        <v>5528.9452000000001</v>
      </c>
    </row>
    <row r="33" spans="1:8" ht="15.75" x14ac:dyDescent="0.25">
      <c r="A33" t="s">
        <v>10</v>
      </c>
      <c r="C33" s="10">
        <f>C24-C26-C28-C30</f>
        <v>17706.216</v>
      </c>
      <c r="H33" s="18"/>
    </row>
    <row r="34" spans="1:8" x14ac:dyDescent="0.25">
      <c r="H34" s="3"/>
    </row>
    <row r="35" spans="1:8" x14ac:dyDescent="0.25">
      <c r="H35" s="18"/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47777-6947-4610-8340-2C3DD625E2DA}">
  <dimension ref="A1:H35"/>
  <sheetViews>
    <sheetView topLeftCell="A10"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3.28515625" bestFit="1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195</v>
      </c>
    </row>
    <row r="3" spans="1:8" ht="21" x14ac:dyDescent="0.35">
      <c r="A3" s="2" t="s">
        <v>1</v>
      </c>
      <c r="D3" s="11">
        <v>1910250</v>
      </c>
      <c r="F3" s="12" t="s">
        <v>3</v>
      </c>
      <c r="H3" s="11">
        <v>311543</v>
      </c>
    </row>
    <row r="4" spans="1:8" x14ac:dyDescent="0.25">
      <c r="A4" s="13" t="s">
        <v>32</v>
      </c>
      <c r="C4" s="26">
        <v>325</v>
      </c>
    </row>
    <row r="5" spans="1:8" ht="21" x14ac:dyDescent="0.35">
      <c r="A5" s="2" t="s">
        <v>2</v>
      </c>
    </row>
    <row r="7" spans="1:8" ht="18.75" x14ac:dyDescent="0.3">
      <c r="A7" s="5"/>
      <c r="D7" s="4"/>
      <c r="E7" s="25"/>
      <c r="H7" s="4"/>
    </row>
    <row r="8" spans="1:8" ht="18.75" x14ac:dyDescent="0.3">
      <c r="A8" s="5" t="s">
        <v>196</v>
      </c>
      <c r="D8" s="4">
        <v>63608</v>
      </c>
      <c r="E8" s="25" t="s">
        <v>34</v>
      </c>
      <c r="H8" s="4">
        <v>10156</v>
      </c>
    </row>
    <row r="9" spans="1:8" ht="18.75" x14ac:dyDescent="0.3">
      <c r="A9" s="5" t="s">
        <v>197</v>
      </c>
      <c r="D9" s="4">
        <v>120000</v>
      </c>
      <c r="E9" s="25" t="s">
        <v>34</v>
      </c>
      <c r="H9" s="4">
        <v>0</v>
      </c>
    </row>
    <row r="10" spans="1:8" ht="18.75" x14ac:dyDescent="0.3">
      <c r="A10" s="5" t="s">
        <v>198</v>
      </c>
      <c r="D10" s="4">
        <v>108290</v>
      </c>
      <c r="E10" s="25"/>
      <c r="H10" s="4">
        <v>17290</v>
      </c>
    </row>
    <row r="11" spans="1:8" ht="18.75" x14ac:dyDescent="0.3">
      <c r="A11" s="5" t="s">
        <v>199</v>
      </c>
      <c r="D11" s="4">
        <v>135220</v>
      </c>
      <c r="E11" s="25"/>
      <c r="H11" s="4">
        <v>21590</v>
      </c>
    </row>
    <row r="12" spans="1:8" ht="18.75" x14ac:dyDescent="0.3">
      <c r="A12" s="5" t="s">
        <v>200</v>
      </c>
      <c r="C12" s="3"/>
      <c r="D12" s="27">
        <v>457312</v>
      </c>
      <c r="E12" s="25"/>
      <c r="H12" s="27">
        <v>73016</v>
      </c>
    </row>
    <row r="13" spans="1:8" ht="18.75" x14ac:dyDescent="0.3">
      <c r="A13" s="5" t="s">
        <v>201</v>
      </c>
      <c r="C13" s="3"/>
      <c r="D13" s="28">
        <v>430633</v>
      </c>
      <c r="E13" s="25"/>
      <c r="H13" s="28">
        <v>68757</v>
      </c>
    </row>
    <row r="14" spans="1:8" ht="19.5" thickBot="1" x14ac:dyDescent="0.35">
      <c r="A14" s="5"/>
      <c r="C14" s="3"/>
      <c r="D14" s="22"/>
      <c r="E14" s="25"/>
      <c r="H14" s="22"/>
    </row>
    <row r="15" spans="1:8" ht="18.75" customHeight="1" x14ac:dyDescent="0.3">
      <c r="D15" s="4">
        <f>SUM(D7:D14)</f>
        <v>1315063</v>
      </c>
      <c r="H15" s="4">
        <f>SUM(H7:H14)</f>
        <v>190809</v>
      </c>
    </row>
    <row r="16" spans="1:8" ht="18.75" x14ac:dyDescent="0.3">
      <c r="A16" s="5"/>
      <c r="C16" s="3"/>
      <c r="D16" s="4"/>
      <c r="H16" s="4"/>
    </row>
    <row r="18" spans="1:8" ht="18.75" x14ac:dyDescent="0.3">
      <c r="A18" s="5"/>
      <c r="C18" s="3"/>
      <c r="D18" s="4"/>
      <c r="H18" s="4"/>
    </row>
    <row r="19" spans="1:8" ht="15.75" thickBot="1" x14ac:dyDescent="0.3">
      <c r="D19" s="7"/>
      <c r="H19" s="7"/>
    </row>
    <row r="21" spans="1:8" ht="18.75" x14ac:dyDescent="0.3">
      <c r="C21" t="s">
        <v>4</v>
      </c>
      <c r="D21" s="4">
        <f>D3-D15</f>
        <v>595187</v>
      </c>
      <c r="G21" t="s">
        <v>5</v>
      </c>
      <c r="H21" s="4">
        <f>H3-H15</f>
        <v>120734</v>
      </c>
    </row>
    <row r="24" spans="1:8" ht="15.75" x14ac:dyDescent="0.25">
      <c r="A24" t="s">
        <v>6</v>
      </c>
      <c r="C24" s="8">
        <f>D21</f>
        <v>595187</v>
      </c>
      <c r="E24" t="s">
        <v>10</v>
      </c>
      <c r="H24" s="6">
        <f>C33</f>
        <v>466812</v>
      </c>
    </row>
    <row r="26" spans="1:8" ht="15.75" x14ac:dyDescent="0.25">
      <c r="A26" t="s">
        <v>5</v>
      </c>
      <c r="B26" s="9" t="s">
        <v>7</v>
      </c>
      <c r="C26" s="8">
        <f>H21</f>
        <v>120734</v>
      </c>
      <c r="E26" s="13" t="s">
        <v>11</v>
      </c>
      <c r="F26" s="9" t="s">
        <v>12</v>
      </c>
      <c r="G26" s="15" t="s">
        <v>17</v>
      </c>
      <c r="H26" s="3">
        <f>-(F27*0.007)</f>
        <v>-11190.949000000001</v>
      </c>
    </row>
    <row r="27" spans="1:8" x14ac:dyDescent="0.25">
      <c r="F27" s="21">
        <f>D3-H3</f>
        <v>1598707</v>
      </c>
    </row>
    <row r="28" spans="1:8" ht="16.5" thickBot="1" x14ac:dyDescent="0.3">
      <c r="A28" t="s">
        <v>8</v>
      </c>
      <c r="B28" s="9" t="s">
        <v>7</v>
      </c>
      <c r="C28" s="8">
        <f>D3*0.004</f>
        <v>7641</v>
      </c>
      <c r="F28" s="9" t="s">
        <v>13</v>
      </c>
      <c r="G28" s="16">
        <v>0.35</v>
      </c>
      <c r="H28" s="17">
        <f>-(F29*0.35)</f>
        <v>-163384.19999999998</v>
      </c>
    </row>
    <row r="29" spans="1:8" x14ac:dyDescent="0.25">
      <c r="F29" s="21">
        <f>H24</f>
        <v>466812</v>
      </c>
    </row>
    <row r="30" spans="1:8" ht="15.75" x14ac:dyDescent="0.25">
      <c r="A30" t="s">
        <v>9</v>
      </c>
      <c r="B30" s="9" t="s">
        <v>7</v>
      </c>
      <c r="C30" s="10"/>
      <c r="G30" s="13" t="s">
        <v>14</v>
      </c>
      <c r="H30" s="6">
        <f>H24+H26+H28</f>
        <v>292236.85100000002</v>
      </c>
    </row>
    <row r="31" spans="1:8" ht="15.75" thickBot="1" x14ac:dyDescent="0.3">
      <c r="A31" s="16"/>
      <c r="B31" s="14"/>
      <c r="C31" s="7"/>
    </row>
    <row r="32" spans="1:8" x14ac:dyDescent="0.25">
      <c r="E32" t="s">
        <v>151</v>
      </c>
      <c r="H32" s="20">
        <f>H30*0.5</f>
        <v>146118.42550000001</v>
      </c>
    </row>
    <row r="33" spans="1:8" ht="15.75" x14ac:dyDescent="0.25">
      <c r="A33" t="s">
        <v>10</v>
      </c>
      <c r="C33" s="10">
        <f>C24-C26-C28-C30</f>
        <v>466812</v>
      </c>
      <c r="H33" s="18"/>
    </row>
    <row r="34" spans="1:8" x14ac:dyDescent="0.25">
      <c r="H34" s="3"/>
    </row>
    <row r="35" spans="1:8" x14ac:dyDescent="0.25">
      <c r="H35" s="18"/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28178-72D6-4AB7-B76E-46BD0D5C6554}">
  <dimension ref="A1:H36"/>
  <sheetViews>
    <sheetView topLeftCell="A13"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3.28515625" bestFit="1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202</v>
      </c>
    </row>
    <row r="3" spans="1:8" ht="21" x14ac:dyDescent="0.35">
      <c r="A3" s="2" t="s">
        <v>1</v>
      </c>
      <c r="D3" s="11">
        <v>4054433</v>
      </c>
      <c r="F3" s="12" t="s">
        <v>3</v>
      </c>
      <c r="H3" s="11">
        <v>661238</v>
      </c>
    </row>
    <row r="4" spans="1:8" x14ac:dyDescent="0.25">
      <c r="A4" s="13" t="s">
        <v>32</v>
      </c>
      <c r="C4" s="26">
        <v>326</v>
      </c>
    </row>
    <row r="5" spans="1:8" ht="21" x14ac:dyDescent="0.35">
      <c r="A5" s="2" t="s">
        <v>2</v>
      </c>
    </row>
    <row r="7" spans="1:8" ht="18.75" x14ac:dyDescent="0.3">
      <c r="A7" s="5"/>
      <c r="D7" s="4"/>
      <c r="E7" s="25"/>
      <c r="H7" s="4"/>
    </row>
    <row r="8" spans="1:8" ht="18.75" x14ac:dyDescent="0.3">
      <c r="A8" s="5" t="s">
        <v>203</v>
      </c>
      <c r="D8" s="4">
        <v>1492903</v>
      </c>
      <c r="E8" s="25" t="s">
        <v>34</v>
      </c>
      <c r="H8" s="4">
        <v>238363</v>
      </c>
    </row>
    <row r="9" spans="1:8" ht="18.75" x14ac:dyDescent="0.3">
      <c r="A9" s="5" t="s">
        <v>204</v>
      </c>
      <c r="D9" s="4">
        <v>469194</v>
      </c>
      <c r="E9" s="25" t="s">
        <v>34</v>
      </c>
      <c r="H9" s="4">
        <v>74910</v>
      </c>
    </row>
    <row r="10" spans="1:8" ht="18.75" x14ac:dyDescent="0.3">
      <c r="A10" s="5" t="s">
        <v>205</v>
      </c>
      <c r="D10" s="4">
        <v>17850</v>
      </c>
      <c r="E10" s="25" t="s">
        <v>34</v>
      </c>
      <c r="H10" s="4">
        <v>2850</v>
      </c>
    </row>
    <row r="11" spans="1:8" ht="18.75" x14ac:dyDescent="0.3">
      <c r="A11" s="5" t="s">
        <v>206</v>
      </c>
      <c r="D11" s="4">
        <v>132804</v>
      </c>
      <c r="E11" s="25" t="s">
        <v>34</v>
      </c>
      <c r="H11" s="4">
        <v>21204</v>
      </c>
    </row>
    <row r="12" spans="1:8" ht="18.75" x14ac:dyDescent="0.3">
      <c r="A12" s="5" t="s">
        <v>161</v>
      </c>
      <c r="C12" s="3"/>
      <c r="D12" s="27">
        <v>453504</v>
      </c>
      <c r="E12" s="25" t="s">
        <v>34</v>
      </c>
      <c r="H12" s="27">
        <v>72408</v>
      </c>
    </row>
    <row r="13" spans="1:8" ht="18.75" x14ac:dyDescent="0.3">
      <c r="A13" s="5" t="s">
        <v>207</v>
      </c>
      <c r="C13" s="3"/>
      <c r="D13" s="28">
        <v>299880</v>
      </c>
      <c r="E13" s="25" t="s">
        <v>34</v>
      </c>
      <c r="H13" s="28">
        <v>47880</v>
      </c>
    </row>
    <row r="14" spans="1:8" ht="18.75" x14ac:dyDescent="0.3">
      <c r="A14" s="5" t="s">
        <v>208</v>
      </c>
      <c r="C14" s="3"/>
      <c r="D14" s="27">
        <v>53615</v>
      </c>
      <c r="E14" s="25" t="s">
        <v>34</v>
      </c>
      <c r="H14" s="27">
        <v>8560</v>
      </c>
    </row>
    <row r="15" spans="1:8" ht="19.5" thickBot="1" x14ac:dyDescent="0.35">
      <c r="A15" s="5" t="s">
        <v>209</v>
      </c>
      <c r="C15" s="3"/>
      <c r="D15" s="22">
        <v>40000</v>
      </c>
      <c r="E15" s="25" t="s">
        <v>34</v>
      </c>
      <c r="H15" s="22">
        <v>0</v>
      </c>
    </row>
    <row r="16" spans="1:8" ht="18.75" customHeight="1" x14ac:dyDescent="0.3">
      <c r="D16" s="4">
        <f>SUM(D7:D15)</f>
        <v>2959750</v>
      </c>
      <c r="H16" s="4">
        <f>SUM(H7:H15)</f>
        <v>466175</v>
      </c>
    </row>
    <row r="17" spans="1:8" ht="18.75" x14ac:dyDescent="0.3">
      <c r="A17" s="5"/>
      <c r="C17" s="3"/>
      <c r="D17" s="4"/>
      <c r="H17" s="4"/>
    </row>
    <row r="19" spans="1:8" ht="18.75" x14ac:dyDescent="0.3">
      <c r="A19" s="5"/>
      <c r="C19" s="3"/>
      <c r="D19" s="4"/>
      <c r="H19" s="4"/>
    </row>
    <row r="20" spans="1:8" ht="15.75" thickBot="1" x14ac:dyDescent="0.3">
      <c r="D20" s="7"/>
      <c r="H20" s="7"/>
    </row>
    <row r="22" spans="1:8" ht="18.75" x14ac:dyDescent="0.3">
      <c r="C22" t="s">
        <v>4</v>
      </c>
      <c r="D22" s="4">
        <f>D3-D16</f>
        <v>1094683</v>
      </c>
      <c r="G22" t="s">
        <v>5</v>
      </c>
      <c r="H22" s="4">
        <f>H3-H16</f>
        <v>195063</v>
      </c>
    </row>
    <row r="25" spans="1:8" ht="15.75" x14ac:dyDescent="0.25">
      <c r="A25" t="s">
        <v>6</v>
      </c>
      <c r="C25" s="8">
        <f>D22</f>
        <v>1094683</v>
      </c>
      <c r="E25" t="s">
        <v>10</v>
      </c>
      <c r="H25" s="6">
        <f>C34</f>
        <v>883402.26800000004</v>
      </c>
    </row>
    <row r="27" spans="1:8" ht="15.75" x14ac:dyDescent="0.25">
      <c r="A27" t="s">
        <v>5</v>
      </c>
      <c r="B27" s="9" t="s">
        <v>7</v>
      </c>
      <c r="C27" s="8">
        <f>H22</f>
        <v>195063</v>
      </c>
      <c r="E27" s="13" t="s">
        <v>11</v>
      </c>
      <c r="F27" s="9" t="s">
        <v>12</v>
      </c>
      <c r="G27" s="15" t="s">
        <v>17</v>
      </c>
      <c r="H27" s="3">
        <f>-(F28*0.007)</f>
        <v>-23752.365000000002</v>
      </c>
    </row>
    <row r="28" spans="1:8" x14ac:dyDescent="0.25">
      <c r="F28" s="21">
        <f>D3-H3</f>
        <v>3393195</v>
      </c>
    </row>
    <row r="29" spans="1:8" ht="16.5" thickBot="1" x14ac:dyDescent="0.3">
      <c r="A29" t="s">
        <v>8</v>
      </c>
      <c r="B29" s="9" t="s">
        <v>7</v>
      </c>
      <c r="C29" s="8">
        <f>D3*0.004</f>
        <v>16217.732</v>
      </c>
      <c r="F29" s="9" t="s">
        <v>13</v>
      </c>
      <c r="G29" s="16">
        <v>0.35</v>
      </c>
      <c r="H29" s="17">
        <f>-(F30*0.35)</f>
        <v>-309190.79379999998</v>
      </c>
    </row>
    <row r="30" spans="1:8" x14ac:dyDescent="0.25">
      <c r="F30" s="21">
        <f>H25</f>
        <v>883402.26800000004</v>
      </c>
    </row>
    <row r="31" spans="1:8" ht="15.75" x14ac:dyDescent="0.25">
      <c r="A31" t="s">
        <v>9</v>
      </c>
      <c r="B31" s="9" t="s">
        <v>7</v>
      </c>
      <c r="C31" s="10"/>
      <c r="G31" s="13" t="s">
        <v>14</v>
      </c>
      <c r="H31" s="6">
        <f>H25+H27+H29</f>
        <v>550459.10920000006</v>
      </c>
    </row>
    <row r="32" spans="1:8" ht="15.75" thickBot="1" x14ac:dyDescent="0.3">
      <c r="A32" s="16"/>
      <c r="B32" s="14"/>
      <c r="C32" s="7"/>
    </row>
    <row r="33" spans="1:8" x14ac:dyDescent="0.25">
      <c r="E33" t="s">
        <v>151</v>
      </c>
      <c r="H33" s="20">
        <f>H31*0.5</f>
        <v>275229.55460000003</v>
      </c>
    </row>
    <row r="34" spans="1:8" ht="15.75" x14ac:dyDescent="0.25">
      <c r="A34" t="s">
        <v>10</v>
      </c>
      <c r="C34" s="10">
        <f>C25-C27-C29-C31</f>
        <v>883402.26800000004</v>
      </c>
      <c r="H34" s="18"/>
    </row>
    <row r="35" spans="1:8" x14ac:dyDescent="0.25">
      <c r="H35" s="3"/>
    </row>
    <row r="36" spans="1:8" x14ac:dyDescent="0.25">
      <c r="H36" s="18"/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C9E68-A203-468E-AB78-C15225D0946D}">
  <dimension ref="A1:H36"/>
  <sheetViews>
    <sheetView topLeftCell="A13" workbookViewId="0">
      <selection activeCell="K17" sqref="K17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3.28515625" bestFit="1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210</v>
      </c>
    </row>
    <row r="3" spans="1:8" ht="21" x14ac:dyDescent="0.35">
      <c r="A3" s="2" t="s">
        <v>1</v>
      </c>
      <c r="D3" s="11">
        <v>954904</v>
      </c>
      <c r="F3" s="12" t="s">
        <v>3</v>
      </c>
      <c r="H3" s="11">
        <v>152464</v>
      </c>
    </row>
    <row r="4" spans="1:8" x14ac:dyDescent="0.25">
      <c r="A4" s="13" t="s">
        <v>32</v>
      </c>
      <c r="C4" s="26">
        <v>327</v>
      </c>
    </row>
    <row r="5" spans="1:8" ht="21" x14ac:dyDescent="0.35">
      <c r="A5" s="2" t="s">
        <v>2</v>
      </c>
    </row>
    <row r="7" spans="1:8" ht="18.75" x14ac:dyDescent="0.3">
      <c r="A7" s="5"/>
      <c r="D7" s="4"/>
      <c r="E7" s="25"/>
      <c r="H7" s="4"/>
    </row>
    <row r="8" spans="1:8" ht="18.75" x14ac:dyDescent="0.3">
      <c r="A8" s="5" t="s">
        <v>211</v>
      </c>
      <c r="D8" s="4">
        <v>729678</v>
      </c>
      <c r="E8" s="25" t="s">
        <v>34</v>
      </c>
      <c r="H8" s="4">
        <v>116503</v>
      </c>
    </row>
    <row r="9" spans="1:8" ht="18.75" x14ac:dyDescent="0.3">
      <c r="A9" s="5" t="s">
        <v>39</v>
      </c>
      <c r="D9" s="4">
        <v>30000</v>
      </c>
      <c r="E9" s="25"/>
      <c r="H9" s="4"/>
    </row>
    <row r="10" spans="1:8" ht="18.75" x14ac:dyDescent="0.3">
      <c r="A10" s="5"/>
      <c r="D10" s="4"/>
      <c r="E10" s="25"/>
      <c r="H10" s="4"/>
    </row>
    <row r="11" spans="1:8" ht="18.75" x14ac:dyDescent="0.3">
      <c r="A11" s="5"/>
      <c r="D11" s="4"/>
      <c r="E11" s="25"/>
      <c r="H11" s="4"/>
    </row>
    <row r="12" spans="1:8" ht="18.75" x14ac:dyDescent="0.3">
      <c r="A12" s="5"/>
      <c r="C12" s="3"/>
      <c r="D12" s="27"/>
      <c r="E12" s="25"/>
      <c r="H12" s="27"/>
    </row>
    <row r="13" spans="1:8" ht="18.75" x14ac:dyDescent="0.3">
      <c r="A13" s="5"/>
      <c r="C13" s="3"/>
      <c r="D13" s="28"/>
      <c r="E13" s="25"/>
      <c r="H13" s="28"/>
    </row>
    <row r="14" spans="1:8" ht="18.75" x14ac:dyDescent="0.3">
      <c r="A14" s="5"/>
      <c r="C14" s="3"/>
      <c r="D14" s="27"/>
      <c r="E14" s="25"/>
      <c r="H14" s="27"/>
    </row>
    <row r="15" spans="1:8" ht="19.5" thickBot="1" x14ac:dyDescent="0.35">
      <c r="A15" s="5"/>
      <c r="C15" s="3"/>
      <c r="D15" s="22"/>
      <c r="E15" s="25"/>
      <c r="H15" s="22"/>
    </row>
    <row r="16" spans="1:8" ht="18.75" customHeight="1" x14ac:dyDescent="0.3">
      <c r="D16" s="4">
        <f>SUM(D7:D15)</f>
        <v>759678</v>
      </c>
      <c r="H16" s="4">
        <f>SUM(H7:H15)</f>
        <v>116503</v>
      </c>
    </row>
    <row r="17" spans="1:8" ht="18.75" x14ac:dyDescent="0.3">
      <c r="A17" s="5"/>
      <c r="C17" s="3"/>
      <c r="D17" s="4"/>
      <c r="H17" s="4"/>
    </row>
    <row r="19" spans="1:8" ht="18.75" x14ac:dyDescent="0.3">
      <c r="A19" s="5"/>
      <c r="C19" s="3"/>
      <c r="D19" s="4"/>
      <c r="H19" s="4"/>
    </row>
    <row r="20" spans="1:8" ht="15.75" thickBot="1" x14ac:dyDescent="0.3">
      <c r="D20" s="7"/>
      <c r="H20" s="7"/>
    </row>
    <row r="22" spans="1:8" ht="18.75" x14ac:dyDescent="0.3">
      <c r="C22" t="s">
        <v>4</v>
      </c>
      <c r="D22" s="4">
        <f>D3-D16</f>
        <v>195226</v>
      </c>
      <c r="G22" t="s">
        <v>5</v>
      </c>
      <c r="H22" s="4">
        <f>H3-H16</f>
        <v>35961</v>
      </c>
    </row>
    <row r="25" spans="1:8" ht="15.75" x14ac:dyDescent="0.25">
      <c r="A25" t="s">
        <v>6</v>
      </c>
      <c r="C25" s="8">
        <f>D22</f>
        <v>195226</v>
      </c>
      <c r="E25" t="s">
        <v>10</v>
      </c>
      <c r="H25" s="6">
        <f>C34</f>
        <v>155445.38399999999</v>
      </c>
    </row>
    <row r="27" spans="1:8" ht="15.75" x14ac:dyDescent="0.25">
      <c r="A27" t="s">
        <v>5</v>
      </c>
      <c r="B27" s="9" t="s">
        <v>7</v>
      </c>
      <c r="C27" s="8">
        <f>H22</f>
        <v>35961</v>
      </c>
      <c r="E27" s="13" t="s">
        <v>11</v>
      </c>
      <c r="F27" s="9" t="s">
        <v>12</v>
      </c>
      <c r="G27" s="15" t="s">
        <v>17</v>
      </c>
      <c r="H27" s="3">
        <f>-(F28*0.007)</f>
        <v>-5617.08</v>
      </c>
    </row>
    <row r="28" spans="1:8" x14ac:dyDescent="0.25">
      <c r="F28" s="21">
        <f>D3-H3</f>
        <v>802440</v>
      </c>
    </row>
    <row r="29" spans="1:8" ht="16.5" thickBot="1" x14ac:dyDescent="0.3">
      <c r="A29" t="s">
        <v>8</v>
      </c>
      <c r="B29" s="9" t="s">
        <v>7</v>
      </c>
      <c r="C29" s="8">
        <f>D3*0.004</f>
        <v>3819.616</v>
      </c>
      <c r="F29" s="9" t="s">
        <v>13</v>
      </c>
      <c r="G29" s="16">
        <v>0.35</v>
      </c>
      <c r="H29" s="17">
        <f>-(F30*0.35)</f>
        <v>-54405.884399999995</v>
      </c>
    </row>
    <row r="30" spans="1:8" x14ac:dyDescent="0.25">
      <c r="F30" s="21">
        <f>H25</f>
        <v>155445.38399999999</v>
      </c>
    </row>
    <row r="31" spans="1:8" ht="15.75" x14ac:dyDescent="0.25">
      <c r="A31" t="s">
        <v>9</v>
      </c>
      <c r="B31" s="9" t="s">
        <v>7</v>
      </c>
      <c r="C31" s="10"/>
      <c r="G31" s="13" t="s">
        <v>14</v>
      </c>
      <c r="H31" s="6">
        <f>H25+H27+H29</f>
        <v>95422.419600000008</v>
      </c>
    </row>
    <row r="32" spans="1:8" ht="15.75" thickBot="1" x14ac:dyDescent="0.3">
      <c r="A32" s="16"/>
      <c r="B32" s="14"/>
      <c r="C32" s="7"/>
    </row>
    <row r="33" spans="1:8" x14ac:dyDescent="0.25">
      <c r="E33" t="s">
        <v>151</v>
      </c>
      <c r="H33" s="20">
        <f>H31*0.5</f>
        <v>47711.209800000004</v>
      </c>
    </row>
    <row r="34" spans="1:8" ht="15.75" x14ac:dyDescent="0.25">
      <c r="A34" t="s">
        <v>10</v>
      </c>
      <c r="C34" s="10">
        <f>C25-C27-C29-C31</f>
        <v>155445.38399999999</v>
      </c>
      <c r="H34" s="18"/>
    </row>
    <row r="35" spans="1:8" x14ac:dyDescent="0.25">
      <c r="H35" s="3"/>
    </row>
    <row r="36" spans="1:8" x14ac:dyDescent="0.25">
      <c r="H36" s="18"/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D0B64-1E7A-47FC-9AA1-D730B6B1DC3B}">
  <dimension ref="A1:H36"/>
  <sheetViews>
    <sheetView topLeftCell="A16" workbookViewId="0">
      <selection activeCell="B13" sqref="B13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3.28515625" bestFit="1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212</v>
      </c>
    </row>
    <row r="3" spans="1:8" ht="21" x14ac:dyDescent="0.35">
      <c r="A3" s="2" t="s">
        <v>1</v>
      </c>
      <c r="D3" s="11">
        <v>1253070</v>
      </c>
      <c r="F3" s="12" t="s">
        <v>3</v>
      </c>
      <c r="H3" s="11">
        <v>200070</v>
      </c>
    </row>
    <row r="4" spans="1:8" x14ac:dyDescent="0.25">
      <c r="A4" s="13" t="s">
        <v>32</v>
      </c>
      <c r="C4" s="26">
        <v>328</v>
      </c>
    </row>
    <row r="5" spans="1:8" ht="21" x14ac:dyDescent="0.35">
      <c r="A5" s="2" t="s">
        <v>2</v>
      </c>
    </row>
    <row r="7" spans="1:8" ht="18.75" x14ac:dyDescent="0.3">
      <c r="A7" s="5"/>
      <c r="D7" s="4"/>
      <c r="E7" s="25"/>
      <c r="H7" s="4"/>
    </row>
    <row r="8" spans="1:8" ht="18.75" x14ac:dyDescent="0.3">
      <c r="A8" s="5" t="s">
        <v>235</v>
      </c>
      <c r="D8" s="4">
        <v>954261</v>
      </c>
      <c r="E8" s="25" t="s">
        <v>34</v>
      </c>
      <c r="H8" s="4">
        <v>152361</v>
      </c>
    </row>
    <row r="9" spans="1:8" ht="18.75" x14ac:dyDescent="0.3">
      <c r="A9" s="5"/>
      <c r="D9" s="4"/>
      <c r="E9" s="25"/>
      <c r="H9" s="4"/>
    </row>
    <row r="10" spans="1:8" ht="18.75" x14ac:dyDescent="0.3">
      <c r="A10" s="5"/>
      <c r="D10" s="4"/>
      <c r="E10" s="25"/>
      <c r="H10" s="4"/>
    </row>
    <row r="11" spans="1:8" ht="18.75" x14ac:dyDescent="0.3">
      <c r="A11" s="5"/>
      <c r="D11" s="4"/>
      <c r="E11" s="25"/>
      <c r="H11" s="4"/>
    </row>
    <row r="12" spans="1:8" ht="18.75" x14ac:dyDescent="0.3">
      <c r="A12" s="5"/>
      <c r="C12" s="3"/>
      <c r="D12" s="27"/>
      <c r="E12" s="25"/>
      <c r="H12" s="27"/>
    </row>
    <row r="13" spans="1:8" ht="18.75" x14ac:dyDescent="0.3">
      <c r="A13" s="5"/>
      <c r="C13" s="3"/>
      <c r="D13" s="28"/>
      <c r="E13" s="25"/>
      <c r="H13" s="28"/>
    </row>
    <row r="14" spans="1:8" ht="18.75" x14ac:dyDescent="0.3">
      <c r="A14" s="5"/>
      <c r="C14" s="3"/>
      <c r="D14" s="27"/>
      <c r="E14" s="25"/>
      <c r="H14" s="27"/>
    </row>
    <row r="15" spans="1:8" ht="19.5" thickBot="1" x14ac:dyDescent="0.35">
      <c r="A15" s="5"/>
      <c r="C15" s="3"/>
      <c r="D15" s="22"/>
      <c r="E15" s="25"/>
      <c r="H15" s="22"/>
    </row>
    <row r="16" spans="1:8" ht="18.75" customHeight="1" x14ac:dyDescent="0.3">
      <c r="D16" s="4">
        <f>SUM(D7:D15)</f>
        <v>954261</v>
      </c>
      <c r="H16" s="4">
        <f>SUM(H7:H15)</f>
        <v>152361</v>
      </c>
    </row>
    <row r="17" spans="1:8" ht="18.75" x14ac:dyDescent="0.3">
      <c r="A17" s="5"/>
      <c r="C17" s="3"/>
      <c r="D17" s="4"/>
      <c r="H17" s="4"/>
    </row>
    <row r="19" spans="1:8" ht="18.75" x14ac:dyDescent="0.3">
      <c r="A19" s="5"/>
      <c r="C19" s="3"/>
      <c r="D19" s="4"/>
      <c r="H19" s="4"/>
    </row>
    <row r="20" spans="1:8" ht="15.75" thickBot="1" x14ac:dyDescent="0.3">
      <c r="D20" s="7"/>
      <c r="H20" s="7"/>
    </row>
    <row r="22" spans="1:8" ht="18.75" x14ac:dyDescent="0.3">
      <c r="C22" t="s">
        <v>4</v>
      </c>
      <c r="D22" s="4">
        <f>D3-D16</f>
        <v>298809</v>
      </c>
      <c r="G22" t="s">
        <v>5</v>
      </c>
      <c r="H22" s="4">
        <f>H3-H16</f>
        <v>47709</v>
      </c>
    </row>
    <row r="25" spans="1:8" ht="15.75" x14ac:dyDescent="0.25">
      <c r="A25" t="s">
        <v>6</v>
      </c>
      <c r="C25" s="8">
        <f>D22</f>
        <v>298809</v>
      </c>
      <c r="E25" t="s">
        <v>10</v>
      </c>
      <c r="H25" s="6">
        <f>C34</f>
        <v>246087.72</v>
      </c>
    </row>
    <row r="27" spans="1:8" ht="15.75" x14ac:dyDescent="0.25">
      <c r="A27" t="s">
        <v>5</v>
      </c>
      <c r="B27" s="9" t="s">
        <v>7</v>
      </c>
      <c r="C27" s="8">
        <f>H22</f>
        <v>47709</v>
      </c>
      <c r="E27" s="13" t="s">
        <v>11</v>
      </c>
      <c r="F27" s="9" t="s">
        <v>12</v>
      </c>
      <c r="G27" s="15" t="s">
        <v>17</v>
      </c>
      <c r="H27" s="3">
        <f>-(F28*0.007)</f>
        <v>-7371</v>
      </c>
    </row>
    <row r="28" spans="1:8" x14ac:dyDescent="0.25">
      <c r="F28" s="21">
        <f>D3-H3</f>
        <v>1053000</v>
      </c>
    </row>
    <row r="29" spans="1:8" ht="16.5" thickBot="1" x14ac:dyDescent="0.3">
      <c r="A29" t="s">
        <v>8</v>
      </c>
      <c r="B29" s="9" t="s">
        <v>7</v>
      </c>
      <c r="C29" s="8">
        <f>D3*0.004</f>
        <v>5012.28</v>
      </c>
      <c r="F29" s="9" t="s">
        <v>13</v>
      </c>
      <c r="G29" s="16">
        <v>0.35</v>
      </c>
      <c r="H29" s="17">
        <f>-(F30*0.35)</f>
        <v>-86130.70199999999</v>
      </c>
    </row>
    <row r="30" spans="1:8" x14ac:dyDescent="0.25">
      <c r="F30" s="21">
        <f>H25</f>
        <v>246087.72</v>
      </c>
    </row>
    <row r="31" spans="1:8" ht="15.75" x14ac:dyDescent="0.25">
      <c r="A31" t="s">
        <v>9</v>
      </c>
      <c r="B31" s="9" t="s">
        <v>7</v>
      </c>
      <c r="C31" s="10"/>
      <c r="G31" s="13" t="s">
        <v>14</v>
      </c>
      <c r="H31" s="6">
        <f>H25+H27+H29</f>
        <v>152586.01800000001</v>
      </c>
    </row>
    <row r="32" spans="1:8" ht="15.75" thickBot="1" x14ac:dyDescent="0.3">
      <c r="A32" s="16"/>
      <c r="B32" s="14"/>
      <c r="C32" s="7"/>
    </row>
    <row r="33" spans="1:8" x14ac:dyDescent="0.25">
      <c r="E33" t="s">
        <v>151</v>
      </c>
      <c r="H33" s="20">
        <f>H31*0.5</f>
        <v>76293.009000000005</v>
      </c>
    </row>
    <row r="34" spans="1:8" ht="15.75" x14ac:dyDescent="0.25">
      <c r="A34" t="s">
        <v>10</v>
      </c>
      <c r="C34" s="10">
        <f>C25-C27-C29-C31</f>
        <v>246087.72</v>
      </c>
      <c r="H34" s="18"/>
    </row>
    <row r="35" spans="1:8" x14ac:dyDescent="0.25">
      <c r="H35" s="3"/>
    </row>
    <row r="36" spans="1:8" x14ac:dyDescent="0.25">
      <c r="H36" s="18"/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CDA8F-EE6E-405C-B4AB-4616CEF5C675}">
  <dimension ref="A1:H35"/>
  <sheetViews>
    <sheetView topLeftCell="A13" workbookViewId="0">
      <selection activeCell="A13"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3.28515625" bestFit="1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215</v>
      </c>
    </row>
    <row r="3" spans="1:8" ht="21" x14ac:dyDescent="0.35">
      <c r="A3" s="2" t="s">
        <v>1</v>
      </c>
      <c r="D3" s="11">
        <v>1337560</v>
      </c>
      <c r="F3" s="12" t="s">
        <v>3</v>
      </c>
      <c r="H3" s="11">
        <v>213560</v>
      </c>
    </row>
    <row r="4" spans="1:8" x14ac:dyDescent="0.25">
      <c r="A4" s="13" t="s">
        <v>32</v>
      </c>
      <c r="C4" s="26">
        <v>329</v>
      </c>
    </row>
    <row r="5" spans="1:8" ht="21" x14ac:dyDescent="0.35">
      <c r="A5" s="2" t="s">
        <v>2</v>
      </c>
    </row>
    <row r="7" spans="1:8" ht="18.75" x14ac:dyDescent="0.3">
      <c r="A7" s="5"/>
      <c r="D7" s="4"/>
      <c r="E7" s="25"/>
      <c r="H7" s="4"/>
    </row>
    <row r="8" spans="1:8" ht="18.75" x14ac:dyDescent="0.3">
      <c r="A8" s="5" t="s">
        <v>213</v>
      </c>
      <c r="D8" s="4">
        <v>198130</v>
      </c>
      <c r="E8" s="25" t="s">
        <v>34</v>
      </c>
      <c r="H8" s="4">
        <v>31634</v>
      </c>
    </row>
    <row r="9" spans="1:8" ht="18.75" x14ac:dyDescent="0.3">
      <c r="A9" s="5" t="s">
        <v>214</v>
      </c>
      <c r="D9" s="4">
        <v>476000</v>
      </c>
      <c r="E9" s="25" t="s">
        <v>34</v>
      </c>
      <c r="H9" s="4">
        <v>76000</v>
      </c>
    </row>
    <row r="10" spans="1:8" ht="18.75" x14ac:dyDescent="0.3">
      <c r="A10" s="5" t="s">
        <v>216</v>
      </c>
      <c r="D10" s="4">
        <v>41679</v>
      </c>
      <c r="E10" s="25"/>
      <c r="H10" s="4">
        <v>6655</v>
      </c>
    </row>
    <row r="11" spans="1:8" ht="18.75" x14ac:dyDescent="0.3">
      <c r="A11" s="5" t="s">
        <v>217</v>
      </c>
      <c r="D11" s="4">
        <v>90000</v>
      </c>
      <c r="E11" s="25"/>
      <c r="H11" s="4">
        <v>0</v>
      </c>
    </row>
    <row r="12" spans="1:8" ht="18.75" x14ac:dyDescent="0.3">
      <c r="A12" s="5"/>
      <c r="C12" s="3"/>
      <c r="D12" s="27"/>
      <c r="E12" s="25"/>
      <c r="H12" s="27"/>
    </row>
    <row r="13" spans="1:8" ht="18.75" x14ac:dyDescent="0.3">
      <c r="A13" s="5"/>
      <c r="C13" s="3"/>
      <c r="D13" s="28"/>
      <c r="E13" s="25"/>
      <c r="H13" s="28"/>
    </row>
    <row r="14" spans="1:8" ht="19.5" thickBot="1" x14ac:dyDescent="0.35">
      <c r="A14" s="5"/>
      <c r="C14" s="3"/>
      <c r="D14" s="22"/>
      <c r="E14" s="25"/>
      <c r="H14" s="22"/>
    </row>
    <row r="15" spans="1:8" ht="18.75" customHeight="1" x14ac:dyDescent="0.3">
      <c r="D15" s="4">
        <f>SUM(D7:D14)</f>
        <v>805809</v>
      </c>
      <c r="H15" s="4">
        <f>SUM(H7:H14)</f>
        <v>114289</v>
      </c>
    </row>
    <row r="16" spans="1:8" ht="18.75" x14ac:dyDescent="0.3">
      <c r="A16" s="5"/>
      <c r="C16" s="3"/>
      <c r="D16" s="4"/>
      <c r="H16" s="4"/>
    </row>
    <row r="18" spans="1:8" ht="18.75" x14ac:dyDescent="0.3">
      <c r="A18" s="5"/>
      <c r="C18" s="3"/>
      <c r="D18" s="4"/>
      <c r="H18" s="4"/>
    </row>
    <row r="19" spans="1:8" ht="15.75" thickBot="1" x14ac:dyDescent="0.3">
      <c r="D19" s="7"/>
      <c r="H19" s="7"/>
    </row>
    <row r="21" spans="1:8" ht="18.75" x14ac:dyDescent="0.3">
      <c r="C21" t="s">
        <v>4</v>
      </c>
      <c r="D21" s="4">
        <f>D3-D15</f>
        <v>531751</v>
      </c>
      <c r="G21" t="s">
        <v>5</v>
      </c>
      <c r="H21" s="4">
        <f>H3-H15</f>
        <v>99271</v>
      </c>
    </row>
    <row r="24" spans="1:8" ht="15.75" x14ac:dyDescent="0.25">
      <c r="A24" t="s">
        <v>6</v>
      </c>
      <c r="C24" s="8">
        <f>D21</f>
        <v>531751</v>
      </c>
      <c r="E24" t="s">
        <v>10</v>
      </c>
      <c r="H24" s="6">
        <f>C33</f>
        <v>427129.76</v>
      </c>
    </row>
    <row r="26" spans="1:8" ht="15.75" x14ac:dyDescent="0.25">
      <c r="A26" t="s">
        <v>5</v>
      </c>
      <c r="B26" s="9" t="s">
        <v>7</v>
      </c>
      <c r="C26" s="8">
        <f>H21</f>
        <v>99271</v>
      </c>
      <c r="E26" s="13" t="s">
        <v>11</v>
      </c>
      <c r="F26" s="9" t="s">
        <v>12</v>
      </c>
      <c r="G26" s="15" t="s">
        <v>17</v>
      </c>
      <c r="H26" s="3">
        <f>-(F27*0.007)</f>
        <v>-7868</v>
      </c>
    </row>
    <row r="27" spans="1:8" x14ac:dyDescent="0.25">
      <c r="F27" s="21">
        <f>D3-H3</f>
        <v>1124000</v>
      </c>
    </row>
    <row r="28" spans="1:8" ht="16.5" thickBot="1" x14ac:dyDescent="0.3">
      <c r="A28" t="s">
        <v>8</v>
      </c>
      <c r="B28" s="9" t="s">
        <v>7</v>
      </c>
      <c r="C28" s="8">
        <f>D3*0.004</f>
        <v>5350.24</v>
      </c>
      <c r="F28" s="9" t="s">
        <v>13</v>
      </c>
      <c r="G28" s="16">
        <v>0.35</v>
      </c>
      <c r="H28" s="17">
        <f>-(F29*0.35)</f>
        <v>-149495.416</v>
      </c>
    </row>
    <row r="29" spans="1:8" x14ac:dyDescent="0.25">
      <c r="F29" s="21">
        <f>H24</f>
        <v>427129.76</v>
      </c>
    </row>
    <row r="30" spans="1:8" ht="15.75" x14ac:dyDescent="0.25">
      <c r="A30" t="s">
        <v>9</v>
      </c>
      <c r="B30" s="9" t="s">
        <v>7</v>
      </c>
      <c r="C30" s="10"/>
      <c r="G30" s="13" t="s">
        <v>14</v>
      </c>
      <c r="H30" s="6">
        <f>H24+H26+H28</f>
        <v>269766.34400000004</v>
      </c>
    </row>
    <row r="31" spans="1:8" ht="15.75" thickBot="1" x14ac:dyDescent="0.3">
      <c r="A31" s="16"/>
      <c r="B31" s="14"/>
      <c r="C31" s="7"/>
    </row>
    <row r="32" spans="1:8" x14ac:dyDescent="0.25">
      <c r="E32" t="s">
        <v>151</v>
      </c>
      <c r="H32" s="20">
        <f>H30*0.5</f>
        <v>134883.17200000002</v>
      </c>
    </row>
    <row r="33" spans="1:8" ht="15.75" x14ac:dyDescent="0.25">
      <c r="A33" t="s">
        <v>10</v>
      </c>
      <c r="C33" s="10">
        <f>C24-C26-C28-C30</f>
        <v>427129.76</v>
      </c>
      <c r="H33" s="18"/>
    </row>
    <row r="34" spans="1:8" x14ac:dyDescent="0.25">
      <c r="H34" s="3"/>
    </row>
    <row r="35" spans="1:8" x14ac:dyDescent="0.25">
      <c r="H35" s="18"/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AC821-EE67-41B8-BE33-DCDE445F780C}">
  <dimension ref="A1:H35"/>
  <sheetViews>
    <sheetView topLeftCell="A10" workbookViewId="0">
      <selection activeCell="A10"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3.28515625" bestFit="1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233</v>
      </c>
    </row>
    <row r="3" spans="1:8" ht="21" x14ac:dyDescent="0.35">
      <c r="A3" s="2" t="s">
        <v>1</v>
      </c>
      <c r="D3" s="11">
        <v>579530</v>
      </c>
      <c r="F3" s="12" t="s">
        <v>3</v>
      </c>
      <c r="H3" s="11">
        <v>92530</v>
      </c>
    </row>
    <row r="4" spans="1:8" x14ac:dyDescent="0.25">
      <c r="A4" s="13" t="s">
        <v>32</v>
      </c>
      <c r="C4" s="26">
        <v>329</v>
      </c>
    </row>
    <row r="5" spans="1:8" ht="21" x14ac:dyDescent="0.35">
      <c r="A5" s="2" t="s">
        <v>2</v>
      </c>
    </row>
    <row r="7" spans="1:8" ht="18.75" x14ac:dyDescent="0.3">
      <c r="A7" s="5"/>
      <c r="D7" s="4"/>
      <c r="E7" s="25"/>
      <c r="H7" s="4"/>
    </row>
    <row r="8" spans="1:8" ht="18.75" x14ac:dyDescent="0.3">
      <c r="A8" s="5" t="s">
        <v>234</v>
      </c>
      <c r="D8" s="4">
        <v>435493</v>
      </c>
      <c r="E8" s="25" t="s">
        <v>34</v>
      </c>
      <c r="H8" s="4">
        <v>70986</v>
      </c>
    </row>
    <row r="9" spans="1:8" ht="18.75" x14ac:dyDescent="0.3">
      <c r="A9" s="5"/>
      <c r="D9" s="4"/>
      <c r="E9" s="25"/>
      <c r="H9" s="4"/>
    </row>
    <row r="10" spans="1:8" ht="18.75" x14ac:dyDescent="0.3">
      <c r="A10" s="5"/>
      <c r="D10" s="4"/>
      <c r="E10" s="25"/>
      <c r="H10" s="4"/>
    </row>
    <row r="11" spans="1:8" ht="18.75" x14ac:dyDescent="0.3">
      <c r="A11" s="5"/>
      <c r="D11" s="4"/>
      <c r="E11" s="25"/>
      <c r="H11" s="4"/>
    </row>
    <row r="12" spans="1:8" ht="18.75" x14ac:dyDescent="0.3">
      <c r="A12" s="5"/>
      <c r="C12" s="3"/>
      <c r="D12" s="27"/>
      <c r="E12" s="25"/>
      <c r="H12" s="27"/>
    </row>
    <row r="13" spans="1:8" ht="18.75" x14ac:dyDescent="0.3">
      <c r="A13" s="5"/>
      <c r="C13" s="3"/>
      <c r="D13" s="28"/>
      <c r="E13" s="25"/>
      <c r="H13" s="28"/>
    </row>
    <row r="14" spans="1:8" ht="19.5" thickBot="1" x14ac:dyDescent="0.35">
      <c r="A14" s="5"/>
      <c r="C14" s="3"/>
      <c r="D14" s="22"/>
      <c r="E14" s="25"/>
      <c r="H14" s="22"/>
    </row>
    <row r="15" spans="1:8" ht="18.75" customHeight="1" x14ac:dyDescent="0.3">
      <c r="D15" s="4">
        <f>SUM(D7:D14)</f>
        <v>435493</v>
      </c>
      <c r="H15" s="4">
        <f>SUM(H7:H14)</f>
        <v>70986</v>
      </c>
    </row>
    <row r="16" spans="1:8" ht="18.75" x14ac:dyDescent="0.3">
      <c r="A16" s="5"/>
      <c r="C16" s="3"/>
      <c r="D16" s="4"/>
      <c r="H16" s="4"/>
    </row>
    <row r="18" spans="1:8" ht="18.75" x14ac:dyDescent="0.3">
      <c r="A18" s="5"/>
      <c r="C18" s="3"/>
      <c r="D18" s="4"/>
      <c r="H18" s="4"/>
    </row>
    <row r="19" spans="1:8" ht="15.75" thickBot="1" x14ac:dyDescent="0.3">
      <c r="D19" s="7"/>
      <c r="H19" s="7"/>
    </row>
    <row r="21" spans="1:8" ht="18.75" x14ac:dyDescent="0.3">
      <c r="C21" t="s">
        <v>4</v>
      </c>
      <c r="D21" s="4">
        <f>D3-D15</f>
        <v>144037</v>
      </c>
      <c r="G21" t="s">
        <v>5</v>
      </c>
      <c r="H21" s="4">
        <f>H3-H15</f>
        <v>21544</v>
      </c>
    </row>
    <row r="24" spans="1:8" ht="15.75" x14ac:dyDescent="0.25">
      <c r="A24" t="s">
        <v>6</v>
      </c>
      <c r="C24" s="8">
        <f>D21</f>
        <v>144037</v>
      </c>
      <c r="E24" t="s">
        <v>10</v>
      </c>
      <c r="H24" s="6">
        <f>C33</f>
        <v>120174.88</v>
      </c>
    </row>
    <row r="26" spans="1:8" ht="15.75" x14ac:dyDescent="0.25">
      <c r="A26" t="s">
        <v>5</v>
      </c>
      <c r="B26" s="9" t="s">
        <v>7</v>
      </c>
      <c r="C26" s="8">
        <f>H21</f>
        <v>21544</v>
      </c>
      <c r="E26" s="13" t="s">
        <v>11</v>
      </c>
      <c r="F26" s="9" t="s">
        <v>12</v>
      </c>
      <c r="G26" s="15" t="s">
        <v>17</v>
      </c>
      <c r="H26" s="3">
        <f>-(F27*0.007)</f>
        <v>-3409</v>
      </c>
    </row>
    <row r="27" spans="1:8" x14ac:dyDescent="0.25">
      <c r="F27" s="21">
        <f>D3-H3</f>
        <v>487000</v>
      </c>
    </row>
    <row r="28" spans="1:8" ht="16.5" thickBot="1" x14ac:dyDescent="0.3">
      <c r="A28" t="s">
        <v>8</v>
      </c>
      <c r="B28" s="9" t="s">
        <v>7</v>
      </c>
      <c r="C28" s="8">
        <f>D3*0.004</f>
        <v>2318.12</v>
      </c>
      <c r="F28" s="9" t="s">
        <v>13</v>
      </c>
      <c r="G28" s="16">
        <v>0.35</v>
      </c>
      <c r="H28" s="17">
        <f>-(F29*0.35)</f>
        <v>-42061.207999999999</v>
      </c>
    </row>
    <row r="29" spans="1:8" x14ac:dyDescent="0.25">
      <c r="F29" s="21">
        <f>H24</f>
        <v>120174.88</v>
      </c>
    </row>
    <row r="30" spans="1:8" ht="15.75" x14ac:dyDescent="0.25">
      <c r="A30" t="s">
        <v>9</v>
      </c>
      <c r="B30" s="9" t="s">
        <v>7</v>
      </c>
      <c r="C30" s="10"/>
      <c r="G30" s="13" t="s">
        <v>14</v>
      </c>
      <c r="H30" s="6">
        <f>H24+H26+H28</f>
        <v>74704.672000000006</v>
      </c>
    </row>
    <row r="31" spans="1:8" ht="15.75" thickBot="1" x14ac:dyDescent="0.3">
      <c r="A31" s="16"/>
      <c r="B31" s="14"/>
      <c r="C31" s="7"/>
    </row>
    <row r="32" spans="1:8" x14ac:dyDescent="0.25">
      <c r="E32" t="s">
        <v>151</v>
      </c>
      <c r="H32" s="20">
        <f>H30*0.5</f>
        <v>37352.336000000003</v>
      </c>
    </row>
    <row r="33" spans="1:8" ht="15.75" x14ac:dyDescent="0.25">
      <c r="A33" t="s">
        <v>10</v>
      </c>
      <c r="C33" s="10">
        <f>C24-C26-C28-C30</f>
        <v>120174.88</v>
      </c>
      <c r="H33" s="18"/>
    </row>
    <row r="34" spans="1:8" x14ac:dyDescent="0.25">
      <c r="H34" s="3"/>
    </row>
    <row r="35" spans="1:8" x14ac:dyDescent="0.25">
      <c r="H35" s="18"/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CA40E-3FDC-476F-8482-AB26F586346B}">
  <dimension ref="A1:H35"/>
  <sheetViews>
    <sheetView topLeftCell="A7" workbookViewId="0">
      <selection activeCell="H9" sqref="H9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3.28515625" bestFit="1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246</v>
      </c>
    </row>
    <row r="3" spans="1:8" ht="21" x14ac:dyDescent="0.35">
      <c r="A3" s="2" t="s">
        <v>1</v>
      </c>
      <c r="D3" s="11">
        <v>282030</v>
      </c>
      <c r="F3" s="12" t="s">
        <v>3</v>
      </c>
      <c r="H3" s="11">
        <v>45030</v>
      </c>
    </row>
    <row r="4" spans="1:8" x14ac:dyDescent="0.25">
      <c r="A4" s="13" t="s">
        <v>32</v>
      </c>
      <c r="C4" s="26">
        <v>329</v>
      </c>
    </row>
    <row r="5" spans="1:8" ht="21" x14ac:dyDescent="0.35">
      <c r="A5" s="2" t="s">
        <v>2</v>
      </c>
    </row>
    <row r="7" spans="1:8" ht="18.75" x14ac:dyDescent="0.3">
      <c r="A7" s="5"/>
      <c r="D7" s="4"/>
      <c r="E7" s="25"/>
      <c r="H7" s="4"/>
    </row>
    <row r="8" spans="1:8" ht="18.75" x14ac:dyDescent="0.3">
      <c r="A8" s="5" t="s">
        <v>234</v>
      </c>
      <c r="D8" s="4">
        <v>207662</v>
      </c>
      <c r="E8" s="25" t="s">
        <v>34</v>
      </c>
      <c r="H8" s="4">
        <v>34610</v>
      </c>
    </row>
    <row r="9" spans="1:8" ht="18.75" x14ac:dyDescent="0.3">
      <c r="A9" s="5"/>
      <c r="D9" s="4"/>
      <c r="E9" s="25"/>
      <c r="H9" s="4"/>
    </row>
    <row r="10" spans="1:8" ht="18.75" x14ac:dyDescent="0.3">
      <c r="A10" s="5"/>
      <c r="D10" s="4"/>
      <c r="E10" s="25"/>
      <c r="H10" s="4"/>
    </row>
    <row r="11" spans="1:8" ht="18.75" x14ac:dyDescent="0.3">
      <c r="A11" s="5"/>
      <c r="D11" s="4"/>
      <c r="E11" s="25"/>
      <c r="H11" s="4"/>
    </row>
    <row r="12" spans="1:8" ht="18.75" x14ac:dyDescent="0.3">
      <c r="A12" s="5"/>
      <c r="C12" s="3"/>
      <c r="D12" s="27"/>
      <c r="E12" s="25"/>
      <c r="H12" s="27"/>
    </row>
    <row r="13" spans="1:8" ht="18.75" x14ac:dyDescent="0.3">
      <c r="A13" s="5"/>
      <c r="C13" s="3"/>
      <c r="D13" s="28"/>
      <c r="E13" s="25"/>
      <c r="H13" s="28"/>
    </row>
    <row r="14" spans="1:8" ht="19.5" thickBot="1" x14ac:dyDescent="0.35">
      <c r="A14" s="5"/>
      <c r="C14" s="3"/>
      <c r="D14" s="22"/>
      <c r="E14" s="25"/>
      <c r="H14" s="22"/>
    </row>
    <row r="15" spans="1:8" ht="18.75" customHeight="1" x14ac:dyDescent="0.3">
      <c r="D15" s="4">
        <f>SUM(D7:D14)</f>
        <v>207662</v>
      </c>
      <c r="H15" s="4">
        <f>SUM(H7:H14)</f>
        <v>34610</v>
      </c>
    </row>
    <row r="16" spans="1:8" ht="18.75" x14ac:dyDescent="0.3">
      <c r="A16" s="5"/>
      <c r="C16" s="3"/>
      <c r="D16" s="4"/>
      <c r="H16" s="4"/>
    </row>
    <row r="18" spans="1:8" ht="18.75" x14ac:dyDescent="0.3">
      <c r="A18" s="5"/>
      <c r="C18" s="3"/>
      <c r="D18" s="4"/>
      <c r="H18" s="4"/>
    </row>
    <row r="19" spans="1:8" ht="15.75" thickBot="1" x14ac:dyDescent="0.3">
      <c r="D19" s="7"/>
      <c r="H19" s="7"/>
    </row>
    <row r="21" spans="1:8" ht="18.75" x14ac:dyDescent="0.3">
      <c r="C21" t="s">
        <v>4</v>
      </c>
      <c r="D21" s="4">
        <f>D3-D15</f>
        <v>74368</v>
      </c>
      <c r="G21" t="s">
        <v>5</v>
      </c>
      <c r="H21" s="4">
        <f>H3-H15</f>
        <v>10420</v>
      </c>
    </row>
    <row r="24" spans="1:8" ht="15.75" x14ac:dyDescent="0.25">
      <c r="A24" t="s">
        <v>6</v>
      </c>
      <c r="C24" s="8">
        <f>D21</f>
        <v>74368</v>
      </c>
      <c r="E24" t="s">
        <v>10</v>
      </c>
      <c r="H24" s="6">
        <f>C33</f>
        <v>62819.88</v>
      </c>
    </row>
    <row r="26" spans="1:8" ht="15.75" x14ac:dyDescent="0.25">
      <c r="A26" t="s">
        <v>5</v>
      </c>
      <c r="B26" s="9" t="s">
        <v>7</v>
      </c>
      <c r="C26" s="8">
        <f>H21</f>
        <v>10420</v>
      </c>
      <c r="E26" s="13" t="s">
        <v>11</v>
      </c>
      <c r="F26" s="9" t="s">
        <v>12</v>
      </c>
      <c r="G26" s="15" t="s">
        <v>17</v>
      </c>
      <c r="H26" s="3">
        <f>-(F27*0.007)</f>
        <v>-1659</v>
      </c>
    </row>
    <row r="27" spans="1:8" x14ac:dyDescent="0.25">
      <c r="F27" s="21">
        <f>D3-H3</f>
        <v>237000</v>
      </c>
    </row>
    <row r="28" spans="1:8" ht="16.5" thickBot="1" x14ac:dyDescent="0.3">
      <c r="A28" t="s">
        <v>8</v>
      </c>
      <c r="B28" s="9" t="s">
        <v>7</v>
      </c>
      <c r="C28" s="8">
        <f>D3*0.004</f>
        <v>1128.1200000000001</v>
      </c>
      <c r="F28" s="9" t="s">
        <v>13</v>
      </c>
      <c r="G28" s="16">
        <v>0.35</v>
      </c>
      <c r="H28" s="17">
        <f>-(F29*0.35)</f>
        <v>-21986.957999999999</v>
      </c>
    </row>
    <row r="29" spans="1:8" x14ac:dyDescent="0.25">
      <c r="F29" s="21">
        <f>H24</f>
        <v>62819.88</v>
      </c>
    </row>
    <row r="30" spans="1:8" ht="15.75" x14ac:dyDescent="0.25">
      <c r="A30" t="s">
        <v>9</v>
      </c>
      <c r="B30" s="9" t="s">
        <v>7</v>
      </c>
      <c r="C30" s="10"/>
      <c r="G30" s="13" t="s">
        <v>14</v>
      </c>
      <c r="H30" s="6">
        <f>H24+H26+H28</f>
        <v>39173.921999999999</v>
      </c>
    </row>
    <row r="31" spans="1:8" ht="15.75" thickBot="1" x14ac:dyDescent="0.3">
      <c r="A31" s="16"/>
      <c r="B31" s="14"/>
      <c r="C31" s="7"/>
    </row>
    <row r="32" spans="1:8" x14ac:dyDescent="0.25">
      <c r="E32" t="s">
        <v>151</v>
      </c>
      <c r="H32" s="20">
        <f>H30*0.5</f>
        <v>19586.960999999999</v>
      </c>
    </row>
    <row r="33" spans="1:8" ht="15.75" x14ac:dyDescent="0.25">
      <c r="A33" t="s">
        <v>10</v>
      </c>
      <c r="C33" s="10">
        <f>C24-C26-C28-C30</f>
        <v>62819.88</v>
      </c>
      <c r="H33" s="18"/>
    </row>
    <row r="34" spans="1:8" x14ac:dyDescent="0.25">
      <c r="H34" s="3"/>
    </row>
    <row r="35" spans="1:8" x14ac:dyDescent="0.25">
      <c r="H35" s="18"/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6E368-86E0-48A1-8457-824FA1A04871}">
  <dimension ref="A1:H35"/>
  <sheetViews>
    <sheetView topLeftCell="A10" workbookViewId="0">
      <selection activeCell="K15" sqref="K15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3.28515625" bestFit="1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218</v>
      </c>
    </row>
    <row r="3" spans="1:8" ht="21" x14ac:dyDescent="0.35">
      <c r="A3" s="2" t="s">
        <v>1</v>
      </c>
      <c r="D3" s="11">
        <v>101150</v>
      </c>
      <c r="F3" s="12" t="s">
        <v>3</v>
      </c>
      <c r="H3" s="11">
        <v>16150</v>
      </c>
    </row>
    <row r="4" spans="1:8" x14ac:dyDescent="0.25">
      <c r="A4" s="13" t="s">
        <v>32</v>
      </c>
      <c r="C4" s="26">
        <v>336</v>
      </c>
    </row>
    <row r="5" spans="1:8" ht="21" x14ac:dyDescent="0.35">
      <c r="A5" s="2" t="s">
        <v>2</v>
      </c>
    </row>
    <row r="7" spans="1:8" ht="18.75" x14ac:dyDescent="0.3">
      <c r="A7" s="5"/>
      <c r="D7" s="4"/>
      <c r="E7" s="25"/>
      <c r="H7" s="4"/>
    </row>
    <row r="8" spans="1:8" ht="18.75" x14ac:dyDescent="0.3">
      <c r="A8" s="5" t="s">
        <v>219</v>
      </c>
      <c r="D8" s="4">
        <v>56644</v>
      </c>
      <c r="E8" s="25" t="s">
        <v>34</v>
      </c>
      <c r="H8" s="4">
        <v>9044</v>
      </c>
    </row>
    <row r="9" spans="1:8" ht="18.75" x14ac:dyDescent="0.3">
      <c r="A9" s="5"/>
      <c r="D9" s="4"/>
      <c r="E9" s="25"/>
      <c r="H9" s="4"/>
    </row>
    <row r="10" spans="1:8" ht="18.75" x14ac:dyDescent="0.3">
      <c r="A10" s="5"/>
      <c r="D10" s="4"/>
      <c r="E10" s="25"/>
      <c r="H10" s="4"/>
    </row>
    <row r="11" spans="1:8" ht="18.75" x14ac:dyDescent="0.3">
      <c r="A11" s="5"/>
      <c r="D11" s="4"/>
      <c r="E11" s="25"/>
      <c r="H11" s="4"/>
    </row>
    <row r="12" spans="1:8" ht="18.75" x14ac:dyDescent="0.3">
      <c r="A12" s="5"/>
      <c r="C12" s="3"/>
      <c r="D12" s="27"/>
      <c r="E12" s="25"/>
      <c r="H12" s="27"/>
    </row>
    <row r="13" spans="1:8" ht="18.75" x14ac:dyDescent="0.3">
      <c r="A13" s="5"/>
      <c r="C13" s="3"/>
      <c r="D13" s="28"/>
      <c r="E13" s="25"/>
      <c r="H13" s="28"/>
    </row>
    <row r="14" spans="1:8" ht="19.5" thickBot="1" x14ac:dyDescent="0.35">
      <c r="A14" s="5"/>
      <c r="C14" s="3"/>
      <c r="D14" s="22"/>
      <c r="E14" s="25"/>
      <c r="H14" s="22"/>
    </row>
    <row r="15" spans="1:8" ht="18.75" customHeight="1" x14ac:dyDescent="0.3">
      <c r="D15" s="4">
        <f>SUM(D7:D14)</f>
        <v>56644</v>
      </c>
      <c r="H15" s="4">
        <f>SUM(H7:H14)</f>
        <v>9044</v>
      </c>
    </row>
    <row r="16" spans="1:8" ht="18.75" x14ac:dyDescent="0.3">
      <c r="A16" s="5"/>
      <c r="C16" s="3"/>
      <c r="D16" s="4"/>
      <c r="H16" s="4"/>
    </row>
    <row r="18" spans="1:8" ht="18.75" x14ac:dyDescent="0.3">
      <c r="A18" s="5"/>
      <c r="C18" s="3"/>
      <c r="D18" s="4"/>
      <c r="H18" s="4"/>
    </row>
    <row r="19" spans="1:8" ht="15.75" thickBot="1" x14ac:dyDescent="0.3">
      <c r="D19" s="7"/>
      <c r="H19" s="7"/>
    </row>
    <row r="21" spans="1:8" ht="18.75" x14ac:dyDescent="0.3">
      <c r="C21" t="s">
        <v>4</v>
      </c>
      <c r="D21" s="4">
        <f>D3-D15</f>
        <v>44506</v>
      </c>
      <c r="G21" t="s">
        <v>5</v>
      </c>
      <c r="H21" s="4">
        <f>H3-H15</f>
        <v>7106</v>
      </c>
    </row>
    <row r="24" spans="1:8" ht="15.75" x14ac:dyDescent="0.25">
      <c r="A24" t="s">
        <v>6</v>
      </c>
      <c r="C24" s="8">
        <f>D21</f>
        <v>44506</v>
      </c>
      <c r="E24" t="s">
        <v>10</v>
      </c>
      <c r="H24" s="6">
        <f>C33</f>
        <v>36995.4</v>
      </c>
    </row>
    <row r="26" spans="1:8" ht="15.75" x14ac:dyDescent="0.25">
      <c r="A26" t="s">
        <v>5</v>
      </c>
      <c r="B26" s="9" t="s">
        <v>7</v>
      </c>
      <c r="C26" s="8">
        <f>H21</f>
        <v>7106</v>
      </c>
      <c r="E26" s="13" t="s">
        <v>11</v>
      </c>
      <c r="F26" s="9" t="s">
        <v>12</v>
      </c>
      <c r="G26" s="15" t="s">
        <v>17</v>
      </c>
      <c r="H26" s="3">
        <f>-(F27*0.007)</f>
        <v>-595</v>
      </c>
    </row>
    <row r="27" spans="1:8" x14ac:dyDescent="0.25">
      <c r="F27" s="21">
        <f>D3-H3</f>
        <v>85000</v>
      </c>
    </row>
    <row r="28" spans="1:8" ht="16.5" thickBot="1" x14ac:dyDescent="0.3">
      <c r="A28" t="s">
        <v>8</v>
      </c>
      <c r="B28" s="9" t="s">
        <v>7</v>
      </c>
      <c r="C28" s="8">
        <f>D3*0.004</f>
        <v>404.6</v>
      </c>
      <c r="F28" s="9" t="s">
        <v>13</v>
      </c>
      <c r="G28" s="16">
        <v>0.35</v>
      </c>
      <c r="H28" s="17">
        <f>-(F29*0.35)</f>
        <v>-12948.39</v>
      </c>
    </row>
    <row r="29" spans="1:8" x14ac:dyDescent="0.25">
      <c r="F29" s="21">
        <f>H24</f>
        <v>36995.4</v>
      </c>
    </row>
    <row r="30" spans="1:8" ht="15.75" x14ac:dyDescent="0.25">
      <c r="A30" t="s">
        <v>9</v>
      </c>
      <c r="B30" s="9" t="s">
        <v>7</v>
      </c>
      <c r="C30" s="10"/>
      <c r="G30" s="13" t="s">
        <v>14</v>
      </c>
      <c r="H30" s="6">
        <f>H24+H26+H28</f>
        <v>23452.010000000002</v>
      </c>
    </row>
    <row r="31" spans="1:8" ht="15.75" thickBot="1" x14ac:dyDescent="0.3">
      <c r="A31" s="16"/>
      <c r="B31" s="14"/>
      <c r="C31" s="7"/>
    </row>
    <row r="32" spans="1:8" x14ac:dyDescent="0.25">
      <c r="E32" t="s">
        <v>151</v>
      </c>
      <c r="H32" s="20">
        <f>H30*0.5</f>
        <v>11726.005000000001</v>
      </c>
    </row>
    <row r="33" spans="1:8" ht="15.75" x14ac:dyDescent="0.25">
      <c r="A33" t="s">
        <v>10</v>
      </c>
      <c r="C33" s="10">
        <f>C24-C26-C28-C30</f>
        <v>36995.4</v>
      </c>
      <c r="H33" s="18"/>
    </row>
    <row r="34" spans="1:8" x14ac:dyDescent="0.25">
      <c r="H34" s="3"/>
    </row>
    <row r="35" spans="1:8" x14ac:dyDescent="0.25">
      <c r="H35" s="18"/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A2C15-C4DA-4DD1-B806-39D81C894A38}">
  <dimension ref="A1:H35"/>
  <sheetViews>
    <sheetView topLeftCell="A16"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3.28515625" bestFit="1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220</v>
      </c>
    </row>
    <row r="3" spans="1:8" ht="21" x14ac:dyDescent="0.35">
      <c r="A3" s="2" t="s">
        <v>1</v>
      </c>
      <c r="D3" s="11">
        <v>714000</v>
      </c>
      <c r="F3" s="12" t="s">
        <v>3</v>
      </c>
      <c r="H3" s="11">
        <v>114000</v>
      </c>
    </row>
    <row r="4" spans="1:8" x14ac:dyDescent="0.25">
      <c r="A4" s="13" t="s">
        <v>32</v>
      </c>
      <c r="C4" s="26">
        <v>337</v>
      </c>
    </row>
    <row r="5" spans="1:8" ht="21" x14ac:dyDescent="0.35">
      <c r="A5" s="2" t="s">
        <v>2</v>
      </c>
    </row>
    <row r="7" spans="1:8" ht="18.75" x14ac:dyDescent="0.3">
      <c r="A7" s="5"/>
      <c r="D7" s="4"/>
      <c r="E7" s="25"/>
      <c r="H7" s="4"/>
    </row>
    <row r="8" spans="1:8" ht="18.75" x14ac:dyDescent="0.3">
      <c r="A8" s="5" t="s">
        <v>221</v>
      </c>
      <c r="D8" s="4">
        <v>280000</v>
      </c>
      <c r="E8" s="25" t="s">
        <v>34</v>
      </c>
      <c r="H8" s="4">
        <v>0</v>
      </c>
    </row>
    <row r="9" spans="1:8" ht="18.75" x14ac:dyDescent="0.3">
      <c r="A9" s="5"/>
      <c r="D9" s="4"/>
      <c r="E9" s="25"/>
      <c r="H9" s="4"/>
    </row>
    <row r="10" spans="1:8" ht="18.75" x14ac:dyDescent="0.3">
      <c r="A10" s="5"/>
      <c r="D10" s="4"/>
      <c r="E10" s="25"/>
      <c r="H10" s="4"/>
    </row>
    <row r="11" spans="1:8" ht="18.75" x14ac:dyDescent="0.3">
      <c r="A11" s="5"/>
      <c r="D11" s="4"/>
      <c r="E11" s="25"/>
      <c r="H11" s="4"/>
    </row>
    <row r="12" spans="1:8" ht="18.75" x14ac:dyDescent="0.3">
      <c r="A12" s="5"/>
      <c r="C12" s="3"/>
      <c r="D12" s="27"/>
      <c r="E12" s="25"/>
      <c r="H12" s="27"/>
    </row>
    <row r="13" spans="1:8" ht="18.75" x14ac:dyDescent="0.3">
      <c r="A13" s="5"/>
      <c r="C13" s="3"/>
      <c r="D13" s="28"/>
      <c r="E13" s="25"/>
      <c r="H13" s="28"/>
    </row>
    <row r="14" spans="1:8" ht="19.5" thickBot="1" x14ac:dyDescent="0.35">
      <c r="A14" s="5"/>
      <c r="C14" s="3"/>
      <c r="D14" s="22"/>
      <c r="E14" s="25"/>
      <c r="H14" s="22"/>
    </row>
    <row r="15" spans="1:8" ht="18.75" customHeight="1" x14ac:dyDescent="0.3">
      <c r="D15" s="4">
        <f>SUM(D7:D14)</f>
        <v>280000</v>
      </c>
      <c r="H15" s="4">
        <f>SUM(H7:H14)</f>
        <v>0</v>
      </c>
    </row>
    <row r="16" spans="1:8" ht="18.75" x14ac:dyDescent="0.3">
      <c r="A16" s="5"/>
      <c r="C16" s="3"/>
      <c r="D16" s="4"/>
      <c r="H16" s="4"/>
    </row>
    <row r="18" spans="1:8" ht="18.75" x14ac:dyDescent="0.3">
      <c r="A18" s="5"/>
      <c r="C18" s="3"/>
      <c r="D18" s="4"/>
      <c r="H18" s="4"/>
    </row>
    <row r="19" spans="1:8" ht="15.75" thickBot="1" x14ac:dyDescent="0.3">
      <c r="D19" s="7"/>
      <c r="H19" s="7"/>
    </row>
    <row r="21" spans="1:8" ht="18.75" x14ac:dyDescent="0.3">
      <c r="C21" t="s">
        <v>4</v>
      </c>
      <c r="D21" s="4">
        <f>D3-D15</f>
        <v>434000</v>
      </c>
      <c r="G21" t="s">
        <v>5</v>
      </c>
      <c r="H21" s="4">
        <f>H3-H15</f>
        <v>114000</v>
      </c>
    </row>
    <row r="24" spans="1:8" ht="15.75" x14ac:dyDescent="0.25">
      <c r="A24" t="s">
        <v>6</v>
      </c>
      <c r="C24" s="8">
        <f>D21</f>
        <v>434000</v>
      </c>
      <c r="E24" t="s">
        <v>10</v>
      </c>
      <c r="H24" s="6">
        <f>C33</f>
        <v>317144</v>
      </c>
    </row>
    <row r="26" spans="1:8" ht="15.75" x14ac:dyDescent="0.25">
      <c r="A26" t="s">
        <v>5</v>
      </c>
      <c r="B26" s="9" t="s">
        <v>7</v>
      </c>
      <c r="C26" s="8">
        <f>H21</f>
        <v>114000</v>
      </c>
      <c r="E26" s="13" t="s">
        <v>11</v>
      </c>
      <c r="F26" s="9" t="s">
        <v>12</v>
      </c>
      <c r="G26" s="15" t="s">
        <v>17</v>
      </c>
      <c r="H26" s="3">
        <f>-(F27*0.007)</f>
        <v>-4200</v>
      </c>
    </row>
    <row r="27" spans="1:8" x14ac:dyDescent="0.25">
      <c r="F27" s="21">
        <f>D3-H3</f>
        <v>600000</v>
      </c>
    </row>
    <row r="28" spans="1:8" ht="16.5" thickBot="1" x14ac:dyDescent="0.3">
      <c r="A28" t="s">
        <v>8</v>
      </c>
      <c r="B28" s="9" t="s">
        <v>7</v>
      </c>
      <c r="C28" s="8">
        <f>D3*0.004</f>
        <v>2856</v>
      </c>
      <c r="F28" s="9" t="s">
        <v>13</v>
      </c>
      <c r="G28" s="16">
        <v>0.35</v>
      </c>
      <c r="H28" s="17">
        <f>-(F29*0.35)</f>
        <v>-111000.4</v>
      </c>
    </row>
    <row r="29" spans="1:8" x14ac:dyDescent="0.25">
      <c r="F29" s="21">
        <f>H24</f>
        <v>317144</v>
      </c>
    </row>
    <row r="30" spans="1:8" ht="15.75" x14ac:dyDescent="0.25">
      <c r="A30" t="s">
        <v>9</v>
      </c>
      <c r="B30" s="9" t="s">
        <v>7</v>
      </c>
      <c r="C30" s="10"/>
      <c r="G30" s="13" t="s">
        <v>14</v>
      </c>
      <c r="H30" s="6">
        <f>H24+H26+H28</f>
        <v>201943.6</v>
      </c>
    </row>
    <row r="31" spans="1:8" ht="15.75" thickBot="1" x14ac:dyDescent="0.3">
      <c r="A31" s="16"/>
      <c r="B31" s="14"/>
      <c r="C31" s="7"/>
    </row>
    <row r="32" spans="1:8" x14ac:dyDescent="0.25">
      <c r="E32" t="s">
        <v>151</v>
      </c>
      <c r="H32" s="20">
        <f>H30*0.5</f>
        <v>100971.8</v>
      </c>
    </row>
    <row r="33" spans="1:8" ht="15.75" x14ac:dyDescent="0.25">
      <c r="A33" t="s">
        <v>10</v>
      </c>
      <c r="C33" s="10">
        <f>C24-C26-C28-C30</f>
        <v>317144</v>
      </c>
      <c r="H33" s="18"/>
    </row>
    <row r="34" spans="1:8" x14ac:dyDescent="0.25">
      <c r="H34" s="3"/>
    </row>
    <row r="35" spans="1:8" x14ac:dyDescent="0.25">
      <c r="H35" s="18"/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9572D-CF86-4E03-84DF-B155296D1218}">
  <dimension ref="A1:H35"/>
  <sheetViews>
    <sheetView topLeftCell="A10" workbookViewId="0">
      <selection activeCell="C4" sqref="C4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4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222</v>
      </c>
    </row>
    <row r="3" spans="1:8" ht="21" x14ac:dyDescent="0.35">
      <c r="A3" s="2" t="s">
        <v>1</v>
      </c>
      <c r="D3" s="11">
        <v>716975</v>
      </c>
      <c r="F3" s="12" t="s">
        <v>3</v>
      </c>
      <c r="H3" s="11">
        <v>114475</v>
      </c>
    </row>
    <row r="4" spans="1:8" x14ac:dyDescent="0.25">
      <c r="A4" s="13" t="s">
        <v>32</v>
      </c>
      <c r="C4" s="26">
        <v>339</v>
      </c>
    </row>
    <row r="5" spans="1:8" ht="21" x14ac:dyDescent="0.35">
      <c r="A5" s="2" t="s">
        <v>2</v>
      </c>
    </row>
    <row r="7" spans="1:8" ht="18.75" x14ac:dyDescent="0.3">
      <c r="A7" s="5"/>
      <c r="D7" s="4"/>
      <c r="E7" s="25"/>
      <c r="H7" s="4"/>
    </row>
    <row r="8" spans="1:8" ht="18.75" x14ac:dyDescent="0.3">
      <c r="A8" s="5" t="s">
        <v>223</v>
      </c>
      <c r="D8" s="4">
        <v>69615</v>
      </c>
      <c r="E8" s="25" t="s">
        <v>34</v>
      </c>
      <c r="H8" s="4">
        <v>11115</v>
      </c>
    </row>
    <row r="9" spans="1:8" ht="18.75" x14ac:dyDescent="0.3">
      <c r="A9" s="5" t="s">
        <v>224</v>
      </c>
      <c r="D9" s="4">
        <v>242760</v>
      </c>
      <c r="E9" s="25"/>
      <c r="H9" s="4">
        <v>38760</v>
      </c>
    </row>
    <row r="10" spans="1:8" ht="18.75" x14ac:dyDescent="0.3">
      <c r="A10" s="5" t="s">
        <v>225</v>
      </c>
      <c r="D10" s="4">
        <v>93564</v>
      </c>
      <c r="E10" s="25"/>
      <c r="H10" s="4">
        <v>14939</v>
      </c>
    </row>
    <row r="11" spans="1:8" ht="18.75" x14ac:dyDescent="0.3">
      <c r="A11" s="5" t="s">
        <v>226</v>
      </c>
      <c r="D11" s="4">
        <v>110670</v>
      </c>
      <c r="E11" s="25"/>
      <c r="H11" s="4">
        <v>17670</v>
      </c>
    </row>
    <row r="12" spans="1:8" ht="18.75" x14ac:dyDescent="0.3">
      <c r="A12" s="5"/>
      <c r="C12" s="3"/>
      <c r="D12" s="27"/>
      <c r="E12" s="25"/>
      <c r="H12" s="27"/>
    </row>
    <row r="13" spans="1:8" ht="18.75" x14ac:dyDescent="0.3">
      <c r="A13" s="5"/>
      <c r="C13" s="3"/>
      <c r="D13" s="28"/>
      <c r="E13" s="25"/>
      <c r="H13" s="28"/>
    </row>
    <row r="14" spans="1:8" ht="19.5" thickBot="1" x14ac:dyDescent="0.35">
      <c r="A14" s="5"/>
      <c r="C14" s="3"/>
      <c r="D14" s="22"/>
      <c r="E14" s="25"/>
      <c r="H14" s="22"/>
    </row>
    <row r="15" spans="1:8" ht="18.75" customHeight="1" x14ac:dyDescent="0.3">
      <c r="D15" s="4">
        <f>SUM(D7:D14)</f>
        <v>516609</v>
      </c>
      <c r="H15" s="4">
        <f>SUM(H7:H14)</f>
        <v>82484</v>
      </c>
    </row>
    <row r="16" spans="1:8" ht="18.75" x14ac:dyDescent="0.3">
      <c r="A16" s="5"/>
      <c r="C16" s="3"/>
      <c r="D16" s="4"/>
      <c r="H16" s="4"/>
    </row>
    <row r="18" spans="1:8" ht="18.75" x14ac:dyDescent="0.3">
      <c r="A18" s="5"/>
      <c r="C18" s="3"/>
      <c r="D18" s="4"/>
      <c r="H18" s="4"/>
    </row>
    <row r="19" spans="1:8" ht="15.75" thickBot="1" x14ac:dyDescent="0.3">
      <c r="D19" s="7"/>
      <c r="H19" s="7"/>
    </row>
    <row r="21" spans="1:8" ht="18.75" x14ac:dyDescent="0.3">
      <c r="C21" t="s">
        <v>4</v>
      </c>
      <c r="D21" s="4">
        <f>D3-D15</f>
        <v>200366</v>
      </c>
      <c r="G21" t="s">
        <v>5</v>
      </c>
      <c r="H21" s="4">
        <f>H3-H15</f>
        <v>31991</v>
      </c>
    </row>
    <row r="24" spans="1:8" ht="15.75" x14ac:dyDescent="0.25">
      <c r="A24" t="s">
        <v>6</v>
      </c>
      <c r="C24" s="8">
        <f>D21</f>
        <v>200366</v>
      </c>
      <c r="E24" t="s">
        <v>10</v>
      </c>
      <c r="H24" s="6">
        <f>C33</f>
        <v>135507.1</v>
      </c>
    </row>
    <row r="26" spans="1:8" ht="15.75" x14ac:dyDescent="0.25">
      <c r="A26" t="s">
        <v>5</v>
      </c>
      <c r="B26" s="9" t="s">
        <v>7</v>
      </c>
      <c r="C26" s="8">
        <f>H21</f>
        <v>31991</v>
      </c>
      <c r="E26" s="13" t="s">
        <v>11</v>
      </c>
      <c r="F26" s="9" t="s">
        <v>12</v>
      </c>
      <c r="G26" s="15" t="s">
        <v>17</v>
      </c>
      <c r="H26" s="3">
        <f>-(F27*0.007)</f>
        <v>-4217.5</v>
      </c>
    </row>
    <row r="27" spans="1:8" x14ac:dyDescent="0.25">
      <c r="F27" s="21">
        <f>D3-H3</f>
        <v>602500</v>
      </c>
    </row>
    <row r="28" spans="1:8" ht="16.5" thickBot="1" x14ac:dyDescent="0.3">
      <c r="A28" t="s">
        <v>8</v>
      </c>
      <c r="B28" s="9" t="s">
        <v>7</v>
      </c>
      <c r="C28" s="8">
        <f>D3*0.004</f>
        <v>2867.9</v>
      </c>
      <c r="F28" s="9" t="s">
        <v>13</v>
      </c>
      <c r="G28" s="16">
        <v>0.35</v>
      </c>
      <c r="H28" s="17">
        <f>-(F29*0.35)</f>
        <v>-47427.485000000001</v>
      </c>
    </row>
    <row r="29" spans="1:8" x14ac:dyDescent="0.25">
      <c r="F29" s="21">
        <f>H24</f>
        <v>135507.1</v>
      </c>
    </row>
    <row r="30" spans="1:8" ht="15.75" x14ac:dyDescent="0.25">
      <c r="A30" t="s">
        <v>9</v>
      </c>
      <c r="B30" s="9" t="s">
        <v>7</v>
      </c>
      <c r="C30" s="10">
        <v>30000</v>
      </c>
      <c r="G30" s="13" t="s">
        <v>14</v>
      </c>
      <c r="H30" s="6">
        <f>H24+H26+H28</f>
        <v>83862.115000000005</v>
      </c>
    </row>
    <row r="31" spans="1:8" ht="15.75" thickBot="1" x14ac:dyDescent="0.3">
      <c r="A31" s="16" t="s">
        <v>18</v>
      </c>
      <c r="B31" s="14"/>
      <c r="C31" s="7"/>
    </row>
    <row r="32" spans="1:8" x14ac:dyDescent="0.25">
      <c r="E32" t="s">
        <v>151</v>
      </c>
      <c r="H32" s="20">
        <f>H30*0.5</f>
        <v>41931.057500000003</v>
      </c>
    </row>
    <row r="33" spans="1:8" ht="15.75" x14ac:dyDescent="0.25">
      <c r="A33" t="s">
        <v>10</v>
      </c>
      <c r="C33" s="10">
        <f>C24-C26-C28-C30</f>
        <v>135507.1</v>
      </c>
      <c r="H33" s="18"/>
    </row>
    <row r="34" spans="1:8" x14ac:dyDescent="0.25">
      <c r="H34" s="3"/>
    </row>
    <row r="35" spans="1:8" x14ac:dyDescent="0.25">
      <c r="H35" s="18"/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FE49F-D650-4636-943F-EB51EEAC3E92}">
  <dimension ref="A1:H35"/>
  <sheetViews>
    <sheetView topLeftCell="A10"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4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227</v>
      </c>
    </row>
    <row r="3" spans="1:8" ht="21" x14ac:dyDescent="0.35">
      <c r="A3" s="2" t="s">
        <v>1</v>
      </c>
      <c r="D3" s="11">
        <v>1880000</v>
      </c>
      <c r="F3" s="12" t="s">
        <v>3</v>
      </c>
      <c r="H3" s="11">
        <v>306555</v>
      </c>
    </row>
    <row r="4" spans="1:8" x14ac:dyDescent="0.25">
      <c r="A4" s="13" t="s">
        <v>32</v>
      </c>
      <c r="C4" s="26">
        <v>340</v>
      </c>
    </row>
    <row r="5" spans="1:8" ht="21" x14ac:dyDescent="0.35">
      <c r="A5" s="2" t="s">
        <v>2</v>
      </c>
    </row>
    <row r="7" spans="1:8" ht="18.75" x14ac:dyDescent="0.3">
      <c r="A7" s="5"/>
      <c r="D7" s="4"/>
      <c r="E7" s="25"/>
      <c r="H7" s="4"/>
    </row>
    <row r="8" spans="1:8" ht="18.75" x14ac:dyDescent="0.3">
      <c r="A8" s="5" t="s">
        <v>228</v>
      </c>
      <c r="D8" s="4">
        <v>1056863</v>
      </c>
      <c r="E8" s="25" t="s">
        <v>34</v>
      </c>
      <c r="H8" s="4">
        <v>168743</v>
      </c>
    </row>
    <row r="9" spans="1:8" ht="18.75" x14ac:dyDescent="0.3">
      <c r="A9" s="5"/>
      <c r="D9" s="4"/>
      <c r="E9" s="25"/>
      <c r="H9" s="4"/>
    </row>
    <row r="10" spans="1:8" ht="18.75" x14ac:dyDescent="0.3">
      <c r="A10" s="5"/>
      <c r="D10" s="4"/>
      <c r="E10" s="25"/>
      <c r="H10" s="4"/>
    </row>
    <row r="11" spans="1:8" ht="18.75" x14ac:dyDescent="0.3">
      <c r="A11" s="5"/>
      <c r="D11" s="4"/>
      <c r="E11" s="25"/>
      <c r="H11" s="4"/>
    </row>
    <row r="12" spans="1:8" ht="18.75" x14ac:dyDescent="0.3">
      <c r="A12" s="5"/>
      <c r="C12" s="3"/>
      <c r="D12" s="27"/>
      <c r="E12" s="25"/>
      <c r="H12" s="27"/>
    </row>
    <row r="13" spans="1:8" ht="18.75" x14ac:dyDescent="0.3">
      <c r="A13" s="5"/>
      <c r="C13" s="3"/>
      <c r="D13" s="28"/>
      <c r="E13" s="25"/>
      <c r="H13" s="28"/>
    </row>
    <row r="14" spans="1:8" ht="19.5" thickBot="1" x14ac:dyDescent="0.35">
      <c r="A14" s="5"/>
      <c r="C14" s="3"/>
      <c r="D14" s="22"/>
      <c r="E14" s="25"/>
      <c r="H14" s="22"/>
    </row>
    <row r="15" spans="1:8" ht="18.75" customHeight="1" x14ac:dyDescent="0.3">
      <c r="D15" s="4">
        <f>SUM(D7:D14)</f>
        <v>1056863</v>
      </c>
      <c r="H15" s="4">
        <f>SUM(H7:H14)</f>
        <v>168743</v>
      </c>
    </row>
    <row r="16" spans="1:8" ht="18.75" x14ac:dyDescent="0.3">
      <c r="A16" s="5"/>
      <c r="C16" s="3"/>
      <c r="D16" s="4"/>
      <c r="H16" s="4"/>
    </row>
    <row r="18" spans="1:8" ht="18.75" x14ac:dyDescent="0.3">
      <c r="A18" s="5"/>
      <c r="C18" s="3"/>
      <c r="D18" s="4"/>
      <c r="H18" s="4"/>
    </row>
    <row r="19" spans="1:8" ht="15.75" thickBot="1" x14ac:dyDescent="0.3">
      <c r="D19" s="7"/>
      <c r="H19" s="7"/>
    </row>
    <row r="21" spans="1:8" ht="18.75" x14ac:dyDescent="0.3">
      <c r="C21" t="s">
        <v>4</v>
      </c>
      <c r="D21" s="4">
        <f>D3-D15</f>
        <v>823137</v>
      </c>
      <c r="G21" t="s">
        <v>5</v>
      </c>
      <c r="H21" s="4">
        <f>H3-H15</f>
        <v>137812</v>
      </c>
    </row>
    <row r="24" spans="1:8" ht="15.75" x14ac:dyDescent="0.25">
      <c r="A24" t="s">
        <v>6</v>
      </c>
      <c r="C24" s="8">
        <f>D21</f>
        <v>823137</v>
      </c>
      <c r="E24" t="s">
        <v>10</v>
      </c>
      <c r="H24" s="6">
        <f>C33</f>
        <v>677805</v>
      </c>
    </row>
    <row r="26" spans="1:8" ht="15.75" x14ac:dyDescent="0.25">
      <c r="A26" t="s">
        <v>5</v>
      </c>
      <c r="B26" s="9" t="s">
        <v>7</v>
      </c>
      <c r="C26" s="8">
        <f>H21</f>
        <v>137812</v>
      </c>
      <c r="E26" s="13" t="s">
        <v>11</v>
      </c>
      <c r="F26" s="9" t="s">
        <v>12</v>
      </c>
      <c r="G26" s="15" t="s">
        <v>17</v>
      </c>
      <c r="H26" s="3">
        <f>-(F27*0.007)</f>
        <v>-11014.115</v>
      </c>
    </row>
    <row r="27" spans="1:8" x14ac:dyDescent="0.25">
      <c r="F27" s="21">
        <f>D3-H3</f>
        <v>1573445</v>
      </c>
    </row>
    <row r="28" spans="1:8" ht="16.5" thickBot="1" x14ac:dyDescent="0.3">
      <c r="A28" t="s">
        <v>8</v>
      </c>
      <c r="B28" s="9" t="s">
        <v>7</v>
      </c>
      <c r="C28" s="8">
        <f>D3*0.004</f>
        <v>7520</v>
      </c>
      <c r="F28" s="9" t="s">
        <v>13</v>
      </c>
      <c r="G28" s="16">
        <v>0.35</v>
      </c>
      <c r="H28" s="17">
        <f>-(F29*0.35)</f>
        <v>-237231.74999999997</v>
      </c>
    </row>
    <row r="29" spans="1:8" x14ac:dyDescent="0.25">
      <c r="F29" s="21">
        <f>H24</f>
        <v>677805</v>
      </c>
    </row>
    <row r="30" spans="1:8" ht="15.75" x14ac:dyDescent="0.25">
      <c r="A30" t="s">
        <v>9</v>
      </c>
      <c r="B30" s="9" t="s">
        <v>7</v>
      </c>
      <c r="C30" s="10"/>
      <c r="G30" s="13" t="s">
        <v>14</v>
      </c>
      <c r="H30" s="6">
        <f>H24+H26+H28</f>
        <v>429559.13500000001</v>
      </c>
    </row>
    <row r="31" spans="1:8" ht="15.75" thickBot="1" x14ac:dyDescent="0.3">
      <c r="A31" s="16"/>
      <c r="B31" s="14"/>
      <c r="C31" s="7"/>
    </row>
    <row r="32" spans="1:8" x14ac:dyDescent="0.25">
      <c r="E32" t="s">
        <v>151</v>
      </c>
      <c r="H32" s="20">
        <f>H30*0.5</f>
        <v>214779.5675</v>
      </c>
    </row>
    <row r="33" spans="1:8" ht="15.75" x14ac:dyDescent="0.25">
      <c r="A33" t="s">
        <v>10</v>
      </c>
      <c r="C33" s="10">
        <f>C24-C26-C28-C30</f>
        <v>677805</v>
      </c>
      <c r="H33" s="18"/>
    </row>
    <row r="34" spans="1:8" x14ac:dyDescent="0.25">
      <c r="H34" s="3"/>
    </row>
    <row r="35" spans="1:8" x14ac:dyDescent="0.25">
      <c r="H35" s="18"/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C44D3-DC78-4FEE-8C43-9FB6E7190974}">
  <dimension ref="A1:H35"/>
  <sheetViews>
    <sheetView topLeftCell="A10"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4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229</v>
      </c>
    </row>
    <row r="3" spans="1:8" ht="21" x14ac:dyDescent="0.35">
      <c r="A3" s="2" t="s">
        <v>1</v>
      </c>
      <c r="D3" s="11">
        <v>342720</v>
      </c>
      <c r="F3" s="12" t="s">
        <v>3</v>
      </c>
      <c r="H3" s="11">
        <v>54720</v>
      </c>
    </row>
    <row r="4" spans="1:8" x14ac:dyDescent="0.25">
      <c r="A4" s="13" t="s">
        <v>32</v>
      </c>
      <c r="C4" s="26">
        <v>343</v>
      </c>
    </row>
    <row r="5" spans="1:8" ht="21" x14ac:dyDescent="0.35">
      <c r="A5" s="2" t="s">
        <v>2</v>
      </c>
    </row>
    <row r="7" spans="1:8" ht="18.75" x14ac:dyDescent="0.3">
      <c r="A7" s="5"/>
      <c r="D7" s="4"/>
      <c r="E7" s="25"/>
      <c r="H7" s="4"/>
    </row>
    <row r="8" spans="1:8" ht="18.75" x14ac:dyDescent="0.3">
      <c r="A8" s="5" t="s">
        <v>230</v>
      </c>
      <c r="D8" s="4">
        <v>192137</v>
      </c>
      <c r="E8" s="25" t="s">
        <v>34</v>
      </c>
      <c r="H8" s="4">
        <v>30677</v>
      </c>
    </row>
    <row r="9" spans="1:8" ht="18.75" x14ac:dyDescent="0.3">
      <c r="A9" s="5" t="s">
        <v>231</v>
      </c>
      <c r="D9" s="4">
        <v>24100</v>
      </c>
      <c r="E9" s="25"/>
      <c r="H9" s="4"/>
    </row>
    <row r="10" spans="1:8" ht="18.75" x14ac:dyDescent="0.3">
      <c r="A10" s="5" t="s">
        <v>232</v>
      </c>
      <c r="D10" s="4">
        <v>20000</v>
      </c>
      <c r="E10" s="25"/>
      <c r="H10" s="4"/>
    </row>
    <row r="11" spans="1:8" ht="18.75" x14ac:dyDescent="0.3">
      <c r="A11" s="5"/>
      <c r="D11" s="4"/>
      <c r="E11" s="25"/>
      <c r="H11" s="4"/>
    </row>
    <row r="12" spans="1:8" ht="18.75" x14ac:dyDescent="0.3">
      <c r="A12" s="5"/>
      <c r="C12" s="3"/>
      <c r="D12" s="27"/>
      <c r="E12" s="25"/>
      <c r="H12" s="27"/>
    </row>
    <row r="13" spans="1:8" ht="18.75" x14ac:dyDescent="0.3">
      <c r="A13" s="5"/>
      <c r="C13" s="3"/>
      <c r="D13" s="28"/>
      <c r="E13" s="25"/>
      <c r="H13" s="28"/>
    </row>
    <row r="14" spans="1:8" ht="19.5" thickBot="1" x14ac:dyDescent="0.35">
      <c r="A14" s="5"/>
      <c r="C14" s="3"/>
      <c r="D14" s="22"/>
      <c r="E14" s="25"/>
      <c r="H14" s="22"/>
    </row>
    <row r="15" spans="1:8" ht="18.75" customHeight="1" x14ac:dyDescent="0.3">
      <c r="D15" s="4">
        <f>SUM(D7:D14)</f>
        <v>236237</v>
      </c>
      <c r="H15" s="4">
        <f>SUM(H7:H14)</f>
        <v>30677</v>
      </c>
    </row>
    <row r="16" spans="1:8" ht="18.75" x14ac:dyDescent="0.3">
      <c r="A16" s="5"/>
      <c r="C16" s="3"/>
      <c r="D16" s="4"/>
      <c r="H16" s="4"/>
    </row>
    <row r="18" spans="1:8" ht="18.75" x14ac:dyDescent="0.3">
      <c r="A18" s="5"/>
      <c r="C18" s="3"/>
      <c r="D18" s="4"/>
      <c r="H18" s="4"/>
    </row>
    <row r="19" spans="1:8" ht="15.75" thickBot="1" x14ac:dyDescent="0.3">
      <c r="D19" s="7"/>
      <c r="H19" s="7"/>
    </row>
    <row r="21" spans="1:8" ht="18.75" x14ac:dyDescent="0.3">
      <c r="C21" t="s">
        <v>4</v>
      </c>
      <c r="D21" s="4">
        <f>D3-D15</f>
        <v>106483</v>
      </c>
      <c r="G21" t="s">
        <v>5</v>
      </c>
      <c r="H21" s="4">
        <f>H3-H15</f>
        <v>24043</v>
      </c>
    </row>
    <row r="24" spans="1:8" ht="15.75" x14ac:dyDescent="0.25">
      <c r="A24" t="s">
        <v>6</v>
      </c>
      <c r="C24" s="8">
        <f>D21</f>
        <v>106483</v>
      </c>
      <c r="E24" t="s">
        <v>10</v>
      </c>
      <c r="H24" s="6">
        <f>C33</f>
        <v>81069.119999999995</v>
      </c>
    </row>
    <row r="26" spans="1:8" ht="15.75" x14ac:dyDescent="0.25">
      <c r="A26" t="s">
        <v>5</v>
      </c>
      <c r="B26" s="9" t="s">
        <v>7</v>
      </c>
      <c r="C26" s="8">
        <f>H21</f>
        <v>24043</v>
      </c>
      <c r="E26" s="13" t="s">
        <v>11</v>
      </c>
      <c r="F26" s="9" t="s">
        <v>12</v>
      </c>
      <c r="G26" s="15" t="s">
        <v>17</v>
      </c>
      <c r="H26" s="3">
        <f>-(F27*0.007)</f>
        <v>-2016</v>
      </c>
    </row>
    <row r="27" spans="1:8" x14ac:dyDescent="0.25">
      <c r="F27" s="21">
        <f>D3-H3</f>
        <v>288000</v>
      </c>
    </row>
    <row r="28" spans="1:8" ht="16.5" thickBot="1" x14ac:dyDescent="0.3">
      <c r="A28" t="s">
        <v>8</v>
      </c>
      <c r="B28" s="9" t="s">
        <v>7</v>
      </c>
      <c r="C28" s="8">
        <f>D3*0.004</f>
        <v>1370.88</v>
      </c>
      <c r="F28" s="9" t="s">
        <v>13</v>
      </c>
      <c r="G28" s="16">
        <v>0.35</v>
      </c>
      <c r="H28" s="17">
        <f>-(F29*0.35)</f>
        <v>-28374.191999999995</v>
      </c>
    </row>
    <row r="29" spans="1:8" x14ac:dyDescent="0.25">
      <c r="F29" s="21">
        <f>H24</f>
        <v>81069.119999999995</v>
      </c>
    </row>
    <row r="30" spans="1:8" ht="15.75" x14ac:dyDescent="0.25">
      <c r="A30" t="s">
        <v>9</v>
      </c>
      <c r="B30" s="9" t="s">
        <v>7</v>
      </c>
      <c r="C30" s="10"/>
      <c r="G30" s="13" t="s">
        <v>14</v>
      </c>
      <c r="H30" s="6">
        <f>H24+H26+H28</f>
        <v>50678.928</v>
      </c>
    </row>
    <row r="31" spans="1:8" ht="15.75" thickBot="1" x14ac:dyDescent="0.3">
      <c r="A31" s="16"/>
      <c r="B31" s="14"/>
      <c r="C31" s="7"/>
    </row>
    <row r="32" spans="1:8" x14ac:dyDescent="0.25">
      <c r="E32" t="s">
        <v>151</v>
      </c>
      <c r="H32" s="20">
        <f>H30*0.5</f>
        <v>25339.464</v>
      </c>
    </row>
    <row r="33" spans="1:8" ht="15.75" x14ac:dyDescent="0.25">
      <c r="A33" t="s">
        <v>10</v>
      </c>
      <c r="C33" s="10">
        <f>C24-C26-C28-C30</f>
        <v>81069.119999999995</v>
      </c>
      <c r="H33" s="18"/>
    </row>
    <row r="34" spans="1:8" x14ac:dyDescent="0.25">
      <c r="H34" s="3"/>
    </row>
    <row r="35" spans="1:8" x14ac:dyDescent="0.25">
      <c r="H35" s="18"/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465DF-5DC5-46CC-B3FF-DF0086EC2602}">
  <dimension ref="A1:H35"/>
  <sheetViews>
    <sheetView topLeftCell="A10"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4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233</v>
      </c>
    </row>
    <row r="3" spans="1:8" ht="21" x14ac:dyDescent="0.35">
      <c r="A3" s="2" t="s">
        <v>1</v>
      </c>
      <c r="D3" s="11">
        <v>283220</v>
      </c>
      <c r="F3" s="12" t="s">
        <v>3</v>
      </c>
      <c r="H3" s="11">
        <v>45220</v>
      </c>
    </row>
    <row r="4" spans="1:8" x14ac:dyDescent="0.25">
      <c r="A4" s="13" t="s">
        <v>32</v>
      </c>
      <c r="C4" s="26">
        <v>346</v>
      </c>
    </row>
    <row r="5" spans="1:8" ht="21" x14ac:dyDescent="0.35">
      <c r="A5" s="2" t="s">
        <v>2</v>
      </c>
    </row>
    <row r="7" spans="1:8" ht="18.75" x14ac:dyDescent="0.3">
      <c r="A7" s="5"/>
      <c r="D7" s="4"/>
      <c r="E7" s="25"/>
      <c r="H7" s="4"/>
    </row>
    <row r="8" spans="1:8" ht="18.75" x14ac:dyDescent="0.3">
      <c r="A8" s="5" t="s">
        <v>234</v>
      </c>
      <c r="D8" s="4">
        <v>206660</v>
      </c>
      <c r="E8" s="25" t="s">
        <v>34</v>
      </c>
      <c r="H8" s="4">
        <v>34443</v>
      </c>
    </row>
    <row r="9" spans="1:8" ht="18.75" x14ac:dyDescent="0.3">
      <c r="A9" s="5"/>
      <c r="D9" s="4"/>
      <c r="E9" s="25"/>
      <c r="H9" s="4"/>
    </row>
    <row r="10" spans="1:8" ht="18.75" x14ac:dyDescent="0.3">
      <c r="A10" s="5"/>
      <c r="D10" s="4"/>
      <c r="E10" s="25"/>
      <c r="H10" s="4"/>
    </row>
    <row r="11" spans="1:8" ht="18.75" x14ac:dyDescent="0.3">
      <c r="A11" s="5"/>
      <c r="D11" s="4"/>
      <c r="E11" s="25"/>
      <c r="H11" s="4"/>
    </row>
    <row r="12" spans="1:8" ht="18.75" x14ac:dyDescent="0.3">
      <c r="A12" s="5"/>
      <c r="C12" s="3"/>
      <c r="D12" s="27"/>
      <c r="E12" s="25"/>
      <c r="H12" s="27"/>
    </row>
    <row r="13" spans="1:8" ht="18.75" x14ac:dyDescent="0.3">
      <c r="A13" s="5"/>
      <c r="C13" s="3"/>
      <c r="D13" s="28"/>
      <c r="E13" s="25"/>
      <c r="H13" s="28"/>
    </row>
    <row r="14" spans="1:8" ht="19.5" thickBot="1" x14ac:dyDescent="0.35">
      <c r="A14" s="5"/>
      <c r="C14" s="3"/>
      <c r="D14" s="22"/>
      <c r="E14" s="25"/>
      <c r="H14" s="22"/>
    </row>
    <row r="15" spans="1:8" ht="18.75" customHeight="1" x14ac:dyDescent="0.3">
      <c r="D15" s="4">
        <f>SUM(D7:D14)</f>
        <v>206660</v>
      </c>
      <c r="H15" s="4">
        <f>SUM(H7:H14)</f>
        <v>34443</v>
      </c>
    </row>
    <row r="16" spans="1:8" ht="18.75" x14ac:dyDescent="0.3">
      <c r="A16" s="5"/>
      <c r="C16" s="3"/>
      <c r="D16" s="4"/>
      <c r="H16" s="4"/>
    </row>
    <row r="18" spans="1:8" ht="18.75" x14ac:dyDescent="0.3">
      <c r="A18" s="5"/>
      <c r="C18" s="3"/>
      <c r="D18" s="4"/>
      <c r="H18" s="4"/>
    </row>
    <row r="19" spans="1:8" ht="15.75" thickBot="1" x14ac:dyDescent="0.3">
      <c r="D19" s="7"/>
      <c r="H19" s="7"/>
    </row>
    <row r="21" spans="1:8" ht="18.75" x14ac:dyDescent="0.3">
      <c r="C21" t="s">
        <v>4</v>
      </c>
      <c r="D21" s="4">
        <f>D3-D15</f>
        <v>76560</v>
      </c>
      <c r="G21" t="s">
        <v>5</v>
      </c>
      <c r="H21" s="4">
        <f>H3-H15</f>
        <v>10777</v>
      </c>
    </row>
    <row r="24" spans="1:8" ht="15.75" x14ac:dyDescent="0.25">
      <c r="A24" t="s">
        <v>6</v>
      </c>
      <c r="C24" s="8">
        <f>D21</f>
        <v>76560</v>
      </c>
      <c r="E24" t="s">
        <v>10</v>
      </c>
      <c r="H24" s="6">
        <f>C33</f>
        <v>64650.12</v>
      </c>
    </row>
    <row r="26" spans="1:8" ht="15.75" x14ac:dyDescent="0.25">
      <c r="A26" t="s">
        <v>5</v>
      </c>
      <c r="B26" s="9" t="s">
        <v>7</v>
      </c>
      <c r="C26" s="8">
        <f>H21</f>
        <v>10777</v>
      </c>
      <c r="E26" s="13" t="s">
        <v>11</v>
      </c>
      <c r="F26" s="9" t="s">
        <v>12</v>
      </c>
      <c r="G26" s="15" t="s">
        <v>17</v>
      </c>
      <c r="H26" s="3">
        <f>-(F27*0.007)</f>
        <v>-1666</v>
      </c>
    </row>
    <row r="27" spans="1:8" x14ac:dyDescent="0.25">
      <c r="F27" s="21">
        <f>D3-H3</f>
        <v>238000</v>
      </c>
    </row>
    <row r="28" spans="1:8" ht="16.5" thickBot="1" x14ac:dyDescent="0.3">
      <c r="A28" t="s">
        <v>8</v>
      </c>
      <c r="B28" s="9" t="s">
        <v>7</v>
      </c>
      <c r="C28" s="8">
        <f>D3*0.004</f>
        <v>1132.8800000000001</v>
      </c>
      <c r="F28" s="9" t="s">
        <v>13</v>
      </c>
      <c r="G28" s="16">
        <v>0.35</v>
      </c>
      <c r="H28" s="17">
        <f>-(F29*0.35)</f>
        <v>-22627.542000000001</v>
      </c>
    </row>
    <row r="29" spans="1:8" x14ac:dyDescent="0.25">
      <c r="F29" s="21">
        <f>H24</f>
        <v>64650.12</v>
      </c>
    </row>
    <row r="30" spans="1:8" ht="15.75" x14ac:dyDescent="0.25">
      <c r="A30" t="s">
        <v>9</v>
      </c>
      <c r="B30" s="9" t="s">
        <v>7</v>
      </c>
      <c r="C30" s="10"/>
      <c r="G30" s="13" t="s">
        <v>14</v>
      </c>
      <c r="H30" s="6">
        <f>H24+H26+H28</f>
        <v>40356.578000000001</v>
      </c>
    </row>
    <row r="31" spans="1:8" ht="15.75" thickBot="1" x14ac:dyDescent="0.3">
      <c r="A31" s="16"/>
      <c r="B31" s="14"/>
      <c r="C31" s="7"/>
    </row>
    <row r="32" spans="1:8" x14ac:dyDescent="0.25">
      <c r="E32" t="s">
        <v>151</v>
      </c>
      <c r="H32" s="20">
        <f>H30*0.5</f>
        <v>20178.289000000001</v>
      </c>
    </row>
    <row r="33" spans="1:8" ht="15.75" x14ac:dyDescent="0.25">
      <c r="A33" t="s">
        <v>10</v>
      </c>
      <c r="C33" s="10">
        <f>C24-C26-C28-C30</f>
        <v>64650.12</v>
      </c>
      <c r="H33" s="18"/>
    </row>
    <row r="34" spans="1:8" x14ac:dyDescent="0.25">
      <c r="H34" s="3"/>
    </row>
    <row r="35" spans="1:8" x14ac:dyDescent="0.25">
      <c r="H35" s="18"/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22BFA-F32B-4C91-9B03-1BBEFA06D0A1}">
  <dimension ref="A1:H35"/>
  <sheetViews>
    <sheetView topLeftCell="A10" workbookViewId="0">
      <selection activeCell="C4" sqref="C4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4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236</v>
      </c>
    </row>
    <row r="3" spans="1:8" ht="21" x14ac:dyDescent="0.35">
      <c r="A3" s="2" t="s">
        <v>1</v>
      </c>
      <c r="D3" s="11">
        <v>57120</v>
      </c>
      <c r="F3" s="12" t="s">
        <v>3</v>
      </c>
      <c r="H3" s="11">
        <v>9120</v>
      </c>
    </row>
    <row r="4" spans="1:8" x14ac:dyDescent="0.25">
      <c r="A4" s="13" t="s">
        <v>32</v>
      </c>
      <c r="C4" s="26">
        <v>349</v>
      </c>
    </row>
    <row r="5" spans="1:8" ht="21" x14ac:dyDescent="0.35">
      <c r="A5" s="2" t="s">
        <v>2</v>
      </c>
    </row>
    <row r="7" spans="1:8" ht="18.75" x14ac:dyDescent="0.3">
      <c r="A7" s="5"/>
      <c r="D7" s="4"/>
      <c r="E7" s="25"/>
      <c r="H7" s="4"/>
    </row>
    <row r="8" spans="1:8" ht="18.75" x14ac:dyDescent="0.3">
      <c r="A8" s="5" t="s">
        <v>237</v>
      </c>
      <c r="D8" s="4">
        <v>10000</v>
      </c>
      <c r="E8" s="25" t="s">
        <v>34</v>
      </c>
      <c r="H8" s="4">
        <v>0</v>
      </c>
    </row>
    <row r="9" spans="1:8" ht="18.75" x14ac:dyDescent="0.3">
      <c r="A9" s="5" t="s">
        <v>238</v>
      </c>
      <c r="D9" s="4">
        <v>7525</v>
      </c>
      <c r="E9" s="25"/>
      <c r="H9" s="4">
        <v>1202</v>
      </c>
    </row>
    <row r="10" spans="1:8" ht="18.75" x14ac:dyDescent="0.3">
      <c r="A10" s="5"/>
      <c r="D10" s="4"/>
      <c r="E10" s="25"/>
      <c r="H10" s="4"/>
    </row>
    <row r="11" spans="1:8" ht="18.75" x14ac:dyDescent="0.3">
      <c r="A11" s="5"/>
      <c r="D11" s="4"/>
      <c r="E11" s="25"/>
      <c r="H11" s="4"/>
    </row>
    <row r="12" spans="1:8" ht="18.75" x14ac:dyDescent="0.3">
      <c r="A12" s="5"/>
      <c r="C12" s="3"/>
      <c r="D12" s="27"/>
      <c r="E12" s="25"/>
      <c r="H12" s="27"/>
    </row>
    <row r="13" spans="1:8" ht="18.75" x14ac:dyDescent="0.3">
      <c r="A13" s="5"/>
      <c r="C13" s="3"/>
      <c r="D13" s="28"/>
      <c r="E13" s="25"/>
      <c r="H13" s="28"/>
    </row>
    <row r="14" spans="1:8" ht="19.5" thickBot="1" x14ac:dyDescent="0.35">
      <c r="A14" s="5"/>
      <c r="C14" s="3"/>
      <c r="D14" s="22"/>
      <c r="E14" s="25"/>
      <c r="H14" s="22"/>
    </row>
    <row r="15" spans="1:8" ht="18.75" customHeight="1" x14ac:dyDescent="0.3">
      <c r="D15" s="4">
        <f>SUM(D7:D14)</f>
        <v>17525</v>
      </c>
      <c r="H15" s="4">
        <f>SUM(H7:H14)</f>
        <v>1202</v>
      </c>
    </row>
    <row r="16" spans="1:8" ht="18.75" x14ac:dyDescent="0.3">
      <c r="A16" s="5"/>
      <c r="C16" s="3"/>
      <c r="D16" s="4"/>
      <c r="H16" s="4"/>
    </row>
    <row r="18" spans="1:8" ht="18.75" x14ac:dyDescent="0.3">
      <c r="A18" s="5"/>
      <c r="C18" s="3"/>
      <c r="D18" s="4"/>
      <c r="H18" s="4"/>
    </row>
    <row r="19" spans="1:8" ht="15.75" thickBot="1" x14ac:dyDescent="0.3">
      <c r="D19" s="7"/>
      <c r="H19" s="7"/>
    </row>
    <row r="21" spans="1:8" ht="18.75" x14ac:dyDescent="0.3">
      <c r="C21" t="s">
        <v>4</v>
      </c>
      <c r="D21" s="4">
        <f>D3-D15</f>
        <v>39595</v>
      </c>
      <c r="G21" t="s">
        <v>5</v>
      </c>
      <c r="H21" s="4">
        <f>H3-H15</f>
        <v>7918</v>
      </c>
    </row>
    <row r="24" spans="1:8" ht="15.75" x14ac:dyDescent="0.25">
      <c r="A24" t="s">
        <v>6</v>
      </c>
      <c r="C24" s="8">
        <f>D21</f>
        <v>39595</v>
      </c>
      <c r="E24" t="s">
        <v>10</v>
      </c>
      <c r="H24" s="6">
        <f>C33</f>
        <v>31448.52</v>
      </c>
    </row>
    <row r="26" spans="1:8" ht="15.75" x14ac:dyDescent="0.25">
      <c r="A26" t="s">
        <v>5</v>
      </c>
      <c r="B26" s="9" t="s">
        <v>7</v>
      </c>
      <c r="C26" s="8">
        <f>H21</f>
        <v>7918</v>
      </c>
      <c r="E26" s="13" t="s">
        <v>11</v>
      </c>
      <c r="F26" s="9" t="s">
        <v>12</v>
      </c>
      <c r="G26" s="15" t="s">
        <v>17</v>
      </c>
      <c r="H26" s="3">
        <f>-(F27*0.007)</f>
        <v>-336</v>
      </c>
    </row>
    <row r="27" spans="1:8" x14ac:dyDescent="0.25">
      <c r="F27" s="21">
        <f>D3-H3</f>
        <v>48000</v>
      </c>
    </row>
    <row r="28" spans="1:8" ht="16.5" thickBot="1" x14ac:dyDescent="0.3">
      <c r="A28" t="s">
        <v>8</v>
      </c>
      <c r="B28" s="9" t="s">
        <v>7</v>
      </c>
      <c r="C28" s="8">
        <f>D3*0.004</f>
        <v>228.48000000000002</v>
      </c>
      <c r="F28" s="9" t="s">
        <v>13</v>
      </c>
      <c r="G28" s="16">
        <v>0.35</v>
      </c>
      <c r="H28" s="17">
        <f>-(F29*0.35)</f>
        <v>-11006.982</v>
      </c>
    </row>
    <row r="29" spans="1:8" x14ac:dyDescent="0.25">
      <c r="F29" s="21">
        <f>H24</f>
        <v>31448.52</v>
      </c>
    </row>
    <row r="30" spans="1:8" ht="15.75" x14ac:dyDescent="0.25">
      <c r="A30" t="s">
        <v>9</v>
      </c>
      <c r="B30" s="9" t="s">
        <v>7</v>
      </c>
      <c r="C30" s="10"/>
      <c r="G30" s="13" t="s">
        <v>14</v>
      </c>
      <c r="H30" s="6">
        <f>H24+H26+H28</f>
        <v>20105.538</v>
      </c>
    </row>
    <row r="31" spans="1:8" ht="15.75" thickBot="1" x14ac:dyDescent="0.3">
      <c r="A31" s="16"/>
      <c r="B31" s="14"/>
      <c r="C31" s="7"/>
    </row>
    <row r="32" spans="1:8" x14ac:dyDescent="0.25">
      <c r="E32" t="s">
        <v>151</v>
      </c>
      <c r="H32" s="20">
        <f>H30*0.5</f>
        <v>10052.769</v>
      </c>
    </row>
    <row r="33" spans="1:8" ht="15.75" x14ac:dyDescent="0.25">
      <c r="A33" t="s">
        <v>10</v>
      </c>
      <c r="C33" s="10">
        <f>C24-C26-C28-C30</f>
        <v>31448.52</v>
      </c>
      <c r="H33" s="18"/>
    </row>
    <row r="34" spans="1:8" x14ac:dyDescent="0.25">
      <c r="H34" s="3"/>
    </row>
    <row r="35" spans="1:8" x14ac:dyDescent="0.25">
      <c r="H35" s="18"/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21A6E-F26D-4007-8320-355E1C16F408}">
  <dimension ref="A1:H35"/>
  <sheetViews>
    <sheetView topLeftCell="A13" workbookViewId="0">
      <selection activeCell="J14" sqref="J14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4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239</v>
      </c>
    </row>
    <row r="3" spans="1:8" ht="21" x14ac:dyDescent="0.35">
      <c r="A3" s="2" t="s">
        <v>1</v>
      </c>
      <c r="D3" s="11">
        <v>764742</v>
      </c>
      <c r="F3" s="12" t="s">
        <v>3</v>
      </c>
      <c r="H3" s="11">
        <v>122102</v>
      </c>
    </row>
    <row r="4" spans="1:8" x14ac:dyDescent="0.25">
      <c r="A4" s="13" t="s">
        <v>32</v>
      </c>
      <c r="C4" s="26">
        <v>352</v>
      </c>
    </row>
    <row r="5" spans="1:8" ht="21" x14ac:dyDescent="0.35">
      <c r="A5" s="2" t="s">
        <v>2</v>
      </c>
    </row>
    <row r="7" spans="1:8" ht="18.75" x14ac:dyDescent="0.3">
      <c r="A7" s="5"/>
      <c r="D7" s="4"/>
      <c r="E7" s="25"/>
      <c r="H7" s="4"/>
    </row>
    <row r="8" spans="1:8" ht="18.75" x14ac:dyDescent="0.3">
      <c r="A8" s="5" t="s">
        <v>240</v>
      </c>
      <c r="D8" s="4">
        <v>573349</v>
      </c>
      <c r="E8" s="25" t="s">
        <v>34</v>
      </c>
      <c r="H8" s="4">
        <v>91543</v>
      </c>
    </row>
    <row r="9" spans="1:8" ht="18.75" x14ac:dyDescent="0.3">
      <c r="A9" s="5"/>
      <c r="D9" s="4"/>
      <c r="E9" s="25"/>
      <c r="H9" s="4"/>
    </row>
    <row r="10" spans="1:8" ht="18.75" x14ac:dyDescent="0.3">
      <c r="A10" s="5"/>
      <c r="D10" s="4"/>
      <c r="E10" s="25"/>
      <c r="H10" s="4"/>
    </row>
    <row r="11" spans="1:8" ht="18.75" x14ac:dyDescent="0.3">
      <c r="A11" s="5"/>
      <c r="D11" s="4"/>
      <c r="E11" s="25"/>
      <c r="H11" s="4"/>
    </row>
    <row r="12" spans="1:8" ht="18.75" x14ac:dyDescent="0.3">
      <c r="A12" s="5"/>
      <c r="C12" s="3"/>
      <c r="D12" s="27"/>
      <c r="E12" s="25"/>
      <c r="H12" s="27"/>
    </row>
    <row r="13" spans="1:8" ht="18.75" x14ac:dyDescent="0.3">
      <c r="A13" s="5"/>
      <c r="C13" s="3"/>
      <c r="D13" s="28"/>
      <c r="E13" s="25"/>
      <c r="H13" s="28"/>
    </row>
    <row r="14" spans="1:8" ht="19.5" thickBot="1" x14ac:dyDescent="0.35">
      <c r="A14" s="5"/>
      <c r="C14" s="3"/>
      <c r="D14" s="22"/>
      <c r="E14" s="25"/>
      <c r="H14" s="22"/>
    </row>
    <row r="15" spans="1:8" ht="18.75" customHeight="1" x14ac:dyDescent="0.3">
      <c r="D15" s="4">
        <f>SUM(D7:D14)</f>
        <v>573349</v>
      </c>
      <c r="H15" s="4">
        <f>SUM(H7:H14)</f>
        <v>91543</v>
      </c>
    </row>
    <row r="16" spans="1:8" ht="18.75" x14ac:dyDescent="0.3">
      <c r="A16" s="5"/>
      <c r="C16" s="3"/>
      <c r="D16" s="4"/>
      <c r="H16" s="4"/>
    </row>
    <row r="18" spans="1:8" ht="18.75" x14ac:dyDescent="0.3">
      <c r="A18" s="5"/>
      <c r="C18" s="3"/>
      <c r="D18" s="4"/>
      <c r="H18" s="4"/>
    </row>
    <row r="19" spans="1:8" ht="15.75" thickBot="1" x14ac:dyDescent="0.3">
      <c r="D19" s="7"/>
      <c r="H19" s="7"/>
    </row>
    <row r="21" spans="1:8" ht="18.75" x14ac:dyDescent="0.3">
      <c r="C21" t="s">
        <v>4</v>
      </c>
      <c r="D21" s="4">
        <f>D3-D15</f>
        <v>191393</v>
      </c>
      <c r="G21" t="s">
        <v>5</v>
      </c>
      <c r="H21" s="4">
        <f>H3-H15</f>
        <v>30559</v>
      </c>
    </row>
    <row r="24" spans="1:8" ht="15.75" x14ac:dyDescent="0.25">
      <c r="A24" t="s">
        <v>6</v>
      </c>
      <c r="C24" s="8">
        <f>D21</f>
        <v>191393</v>
      </c>
      <c r="E24" t="s">
        <v>10</v>
      </c>
      <c r="H24" s="6">
        <f>C33</f>
        <v>157775.03200000001</v>
      </c>
    </row>
    <row r="26" spans="1:8" ht="15.75" x14ac:dyDescent="0.25">
      <c r="A26" t="s">
        <v>5</v>
      </c>
      <c r="B26" s="9" t="s">
        <v>7</v>
      </c>
      <c r="C26" s="8">
        <f>H21</f>
        <v>30559</v>
      </c>
      <c r="E26" s="13" t="s">
        <v>11</v>
      </c>
      <c r="F26" s="9" t="s">
        <v>12</v>
      </c>
      <c r="G26" s="15" t="s">
        <v>17</v>
      </c>
      <c r="H26" s="3">
        <f>-(F27*0.007)</f>
        <v>-4498.4800000000005</v>
      </c>
    </row>
    <row r="27" spans="1:8" x14ac:dyDescent="0.25">
      <c r="F27" s="21">
        <f>D3-H3</f>
        <v>642640</v>
      </c>
    </row>
    <row r="28" spans="1:8" ht="16.5" thickBot="1" x14ac:dyDescent="0.3">
      <c r="A28" t="s">
        <v>8</v>
      </c>
      <c r="B28" s="9" t="s">
        <v>7</v>
      </c>
      <c r="C28" s="8">
        <f>D3*0.004</f>
        <v>3058.9679999999998</v>
      </c>
      <c r="F28" s="9" t="s">
        <v>13</v>
      </c>
      <c r="G28" s="16">
        <v>0.35</v>
      </c>
      <c r="H28" s="17">
        <f>-(F29*0.35)</f>
        <v>-55221.261200000001</v>
      </c>
    </row>
    <row r="29" spans="1:8" x14ac:dyDescent="0.25">
      <c r="F29" s="21">
        <f>H24</f>
        <v>157775.03200000001</v>
      </c>
    </row>
    <row r="30" spans="1:8" ht="15.75" x14ac:dyDescent="0.25">
      <c r="A30" t="s">
        <v>9</v>
      </c>
      <c r="B30" s="9" t="s">
        <v>7</v>
      </c>
      <c r="C30" s="10"/>
      <c r="G30" s="13" t="s">
        <v>14</v>
      </c>
      <c r="H30" s="6">
        <f>H24+H26+H28</f>
        <v>98055.290799999988</v>
      </c>
    </row>
    <row r="31" spans="1:8" ht="15.75" thickBot="1" x14ac:dyDescent="0.3">
      <c r="A31" s="16"/>
      <c r="B31" s="14"/>
      <c r="C31" s="7"/>
    </row>
    <row r="32" spans="1:8" x14ac:dyDescent="0.25">
      <c r="E32" t="s">
        <v>151</v>
      </c>
      <c r="H32" s="20">
        <f>H30*0.5</f>
        <v>49027.645399999994</v>
      </c>
    </row>
    <row r="33" spans="1:8" ht="15.75" x14ac:dyDescent="0.25">
      <c r="A33" t="s">
        <v>10</v>
      </c>
      <c r="C33" s="10">
        <f>C24-C26-C28-C30</f>
        <v>157775.03200000001</v>
      </c>
      <c r="H33" s="18"/>
    </row>
    <row r="34" spans="1:8" x14ac:dyDescent="0.25">
      <c r="H34" s="3"/>
    </row>
    <row r="35" spans="1:8" x14ac:dyDescent="0.25">
      <c r="H35" s="18"/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37730-BA25-4CD4-BB97-A2015930140D}">
  <dimension ref="A1:H35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4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241</v>
      </c>
    </row>
    <row r="3" spans="1:8" ht="21" x14ac:dyDescent="0.35">
      <c r="A3" s="2" t="s">
        <v>1</v>
      </c>
      <c r="D3" s="11">
        <v>925344</v>
      </c>
      <c r="F3" s="12" t="s">
        <v>3</v>
      </c>
      <c r="H3" s="11">
        <v>147744</v>
      </c>
    </row>
    <row r="4" spans="1:8" x14ac:dyDescent="0.25">
      <c r="A4" s="13" t="s">
        <v>32</v>
      </c>
      <c r="C4" s="26">
        <v>357</v>
      </c>
    </row>
    <row r="5" spans="1:8" ht="21" x14ac:dyDescent="0.35">
      <c r="A5" s="2" t="s">
        <v>2</v>
      </c>
    </row>
    <row r="7" spans="1:8" ht="18.75" x14ac:dyDescent="0.3">
      <c r="A7" s="5"/>
      <c r="D7" s="4"/>
      <c r="E7" s="25"/>
      <c r="H7" s="4"/>
    </row>
    <row r="8" spans="1:8" ht="18.75" x14ac:dyDescent="0.3">
      <c r="A8" s="5" t="s">
        <v>240</v>
      </c>
      <c r="D8" s="4">
        <v>634818</v>
      </c>
      <c r="E8" s="25" t="s">
        <v>34</v>
      </c>
      <c r="H8" s="4">
        <v>101358</v>
      </c>
    </row>
    <row r="9" spans="1:8" ht="18.75" x14ac:dyDescent="0.3">
      <c r="A9" s="5" t="s">
        <v>141</v>
      </c>
      <c r="D9" s="4">
        <v>40000</v>
      </c>
      <c r="E9" s="25"/>
      <c r="H9" s="4"/>
    </row>
    <row r="10" spans="1:8" ht="18.75" x14ac:dyDescent="0.3">
      <c r="A10" s="5"/>
      <c r="D10" s="4"/>
      <c r="E10" s="25"/>
      <c r="H10" s="4"/>
    </row>
    <row r="11" spans="1:8" ht="18.75" x14ac:dyDescent="0.3">
      <c r="A11" s="5"/>
      <c r="D11" s="4"/>
      <c r="E11" s="25"/>
      <c r="H11" s="4"/>
    </row>
    <row r="12" spans="1:8" ht="18.75" x14ac:dyDescent="0.3">
      <c r="A12" s="5"/>
      <c r="C12" s="3"/>
      <c r="D12" s="27"/>
      <c r="E12" s="25"/>
      <c r="H12" s="27"/>
    </row>
    <row r="13" spans="1:8" ht="18.75" x14ac:dyDescent="0.3">
      <c r="A13" s="5"/>
      <c r="C13" s="3"/>
      <c r="D13" s="28"/>
      <c r="E13" s="25"/>
      <c r="H13" s="28"/>
    </row>
    <row r="14" spans="1:8" ht="19.5" thickBot="1" x14ac:dyDescent="0.35">
      <c r="A14" s="5"/>
      <c r="C14" s="3"/>
      <c r="D14" s="22"/>
      <c r="E14" s="25"/>
      <c r="H14" s="22"/>
    </row>
    <row r="15" spans="1:8" ht="18.75" customHeight="1" x14ac:dyDescent="0.3">
      <c r="D15" s="4">
        <f>SUM(D7:D14)</f>
        <v>674818</v>
      </c>
      <c r="H15" s="4">
        <f>SUM(H7:H14)</f>
        <v>101358</v>
      </c>
    </row>
    <row r="16" spans="1:8" ht="18.75" x14ac:dyDescent="0.3">
      <c r="A16" s="5"/>
      <c r="C16" s="3"/>
      <c r="D16" s="4"/>
      <c r="H16" s="4"/>
    </row>
    <row r="18" spans="1:8" ht="18.75" x14ac:dyDescent="0.3">
      <c r="A18" s="5"/>
      <c r="C18" s="3"/>
      <c r="D18" s="4"/>
      <c r="H18" s="4"/>
    </row>
    <row r="19" spans="1:8" ht="15.75" thickBot="1" x14ac:dyDescent="0.3">
      <c r="D19" s="7"/>
      <c r="H19" s="7"/>
    </row>
    <row r="21" spans="1:8" ht="18.75" x14ac:dyDescent="0.3">
      <c r="C21" t="s">
        <v>4</v>
      </c>
      <c r="D21" s="4">
        <f>D3-D15</f>
        <v>250526</v>
      </c>
      <c r="G21" t="s">
        <v>5</v>
      </c>
      <c r="H21" s="4">
        <f>H3-H15</f>
        <v>46386</v>
      </c>
    </row>
    <row r="24" spans="1:8" ht="15.75" x14ac:dyDescent="0.25">
      <c r="A24" t="s">
        <v>6</v>
      </c>
      <c r="C24" s="8">
        <f>D21</f>
        <v>250526</v>
      </c>
      <c r="E24" t="s">
        <v>10</v>
      </c>
      <c r="H24" s="6">
        <f>C33</f>
        <v>200438.62400000001</v>
      </c>
    </row>
    <row r="26" spans="1:8" ht="15.75" x14ac:dyDescent="0.25">
      <c r="A26" t="s">
        <v>5</v>
      </c>
      <c r="B26" s="9" t="s">
        <v>7</v>
      </c>
      <c r="C26" s="8">
        <f>H21</f>
        <v>46386</v>
      </c>
      <c r="E26" s="13" t="s">
        <v>11</v>
      </c>
      <c r="F26" s="9" t="s">
        <v>12</v>
      </c>
      <c r="G26" s="15" t="s">
        <v>17</v>
      </c>
      <c r="H26" s="3">
        <f>-(F27*0.007)</f>
        <v>-5443.2</v>
      </c>
    </row>
    <row r="27" spans="1:8" x14ac:dyDescent="0.25">
      <c r="F27" s="21">
        <f>D3-H3</f>
        <v>777600</v>
      </c>
    </row>
    <row r="28" spans="1:8" ht="16.5" thickBot="1" x14ac:dyDescent="0.3">
      <c r="A28" t="s">
        <v>8</v>
      </c>
      <c r="B28" s="9" t="s">
        <v>7</v>
      </c>
      <c r="C28" s="8">
        <f>D3*0.004</f>
        <v>3701.3760000000002</v>
      </c>
      <c r="F28" s="9" t="s">
        <v>13</v>
      </c>
      <c r="G28" s="16">
        <v>0.35</v>
      </c>
      <c r="H28" s="17">
        <f>-(F29*0.35)</f>
        <v>-70153.518400000001</v>
      </c>
    </row>
    <row r="29" spans="1:8" x14ac:dyDescent="0.25">
      <c r="F29" s="21">
        <f>H24</f>
        <v>200438.62400000001</v>
      </c>
    </row>
    <row r="30" spans="1:8" ht="15.75" x14ac:dyDescent="0.25">
      <c r="A30" t="s">
        <v>9</v>
      </c>
      <c r="B30" s="9" t="s">
        <v>7</v>
      </c>
      <c r="C30" s="10"/>
      <c r="G30" s="13" t="s">
        <v>14</v>
      </c>
      <c r="H30" s="6">
        <f>H24+H26+H28</f>
        <v>124841.9056</v>
      </c>
    </row>
    <row r="31" spans="1:8" ht="15.75" thickBot="1" x14ac:dyDescent="0.3">
      <c r="A31" s="16"/>
      <c r="B31" s="14"/>
      <c r="C31" s="7"/>
    </row>
    <row r="32" spans="1:8" x14ac:dyDescent="0.25">
      <c r="E32" t="s">
        <v>151</v>
      </c>
      <c r="H32" s="20">
        <f>H30*0.5</f>
        <v>62420.952799999999</v>
      </c>
    </row>
    <row r="33" spans="1:8" ht="15.75" x14ac:dyDescent="0.25">
      <c r="A33" t="s">
        <v>10</v>
      </c>
      <c r="C33" s="10">
        <f>C24-C26-C28-C30</f>
        <v>200438.62400000001</v>
      </c>
      <c r="H33" s="18"/>
    </row>
    <row r="34" spans="1:8" x14ac:dyDescent="0.25">
      <c r="H34" s="3"/>
    </row>
    <row r="35" spans="1:8" x14ac:dyDescent="0.25">
      <c r="H35" s="18"/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9C06F-BD32-4783-BFBD-0DA45577E0BC}">
  <dimension ref="A1:H35"/>
  <sheetViews>
    <sheetView workbookViewId="0">
      <selection activeCell="I8" sqref="I8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4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242</v>
      </c>
    </row>
    <row r="3" spans="1:8" ht="21" x14ac:dyDescent="0.35">
      <c r="A3" s="2" t="s">
        <v>1</v>
      </c>
      <c r="D3" s="11">
        <v>2232140</v>
      </c>
      <c r="F3" s="12" t="s">
        <v>3</v>
      </c>
      <c r="H3" s="11">
        <v>364040</v>
      </c>
    </row>
    <row r="4" spans="1:8" x14ac:dyDescent="0.25">
      <c r="A4" s="13" t="s">
        <v>32</v>
      </c>
      <c r="C4" s="26">
        <v>359</v>
      </c>
    </row>
    <row r="5" spans="1:8" ht="21" x14ac:dyDescent="0.35">
      <c r="A5" s="2" t="s">
        <v>2</v>
      </c>
    </row>
    <row r="7" spans="1:8" ht="18.75" x14ac:dyDescent="0.3">
      <c r="A7" s="5"/>
      <c r="D7" s="4"/>
      <c r="E7" s="25"/>
      <c r="H7" s="4"/>
    </row>
    <row r="8" spans="1:8" ht="18.75" x14ac:dyDescent="0.3">
      <c r="A8" s="5" t="s">
        <v>243</v>
      </c>
      <c r="D8" s="4">
        <v>43823</v>
      </c>
      <c r="E8" s="25" t="s">
        <v>34</v>
      </c>
      <c r="H8" s="4">
        <v>6997</v>
      </c>
    </row>
    <row r="9" spans="1:8" ht="18.75" x14ac:dyDescent="0.3">
      <c r="A9" s="5" t="s">
        <v>244</v>
      </c>
      <c r="D9" s="4">
        <v>230974</v>
      </c>
      <c r="E9" s="25" t="s">
        <v>34</v>
      </c>
      <c r="H9" s="4">
        <v>37118</v>
      </c>
    </row>
    <row r="10" spans="1:8" ht="18.75" x14ac:dyDescent="0.3">
      <c r="A10" s="5" t="s">
        <v>245</v>
      </c>
      <c r="D10" s="4">
        <v>1317223</v>
      </c>
      <c r="E10" s="25" t="s">
        <v>34</v>
      </c>
      <c r="H10" s="4">
        <v>210313</v>
      </c>
    </row>
    <row r="11" spans="1:8" ht="18.75" x14ac:dyDescent="0.3">
      <c r="A11" s="5"/>
      <c r="D11" s="4"/>
      <c r="E11" s="25"/>
      <c r="H11" s="4"/>
    </row>
    <row r="12" spans="1:8" ht="18.75" x14ac:dyDescent="0.3">
      <c r="A12" s="5"/>
      <c r="C12" s="3"/>
      <c r="D12" s="27"/>
      <c r="E12" s="25"/>
      <c r="H12" s="27"/>
    </row>
    <row r="13" spans="1:8" ht="18.75" x14ac:dyDescent="0.3">
      <c r="A13" s="5"/>
      <c r="C13" s="3"/>
      <c r="D13" s="28"/>
      <c r="E13" s="25"/>
      <c r="H13" s="28"/>
    </row>
    <row r="14" spans="1:8" ht="19.5" thickBot="1" x14ac:dyDescent="0.35">
      <c r="A14" s="5"/>
      <c r="C14" s="3"/>
      <c r="D14" s="22"/>
      <c r="E14" s="25"/>
      <c r="H14" s="22"/>
    </row>
    <row r="15" spans="1:8" ht="18.75" customHeight="1" x14ac:dyDescent="0.3">
      <c r="D15" s="4">
        <f>SUM(D7:D14)</f>
        <v>1592020</v>
      </c>
      <c r="H15" s="4">
        <f>SUM(H7:H14)</f>
        <v>254428</v>
      </c>
    </row>
    <row r="16" spans="1:8" ht="18.75" x14ac:dyDescent="0.3">
      <c r="A16" s="5"/>
      <c r="C16" s="3"/>
      <c r="D16" s="4"/>
      <c r="H16" s="4"/>
    </row>
    <row r="18" spans="1:8" ht="18.75" x14ac:dyDescent="0.3">
      <c r="A18" s="5"/>
      <c r="C18" s="3"/>
      <c r="D18" s="4"/>
      <c r="H18" s="4"/>
    </row>
    <row r="19" spans="1:8" ht="15.75" thickBot="1" x14ac:dyDescent="0.3">
      <c r="D19" s="7"/>
      <c r="H19" s="7"/>
    </row>
    <row r="21" spans="1:8" ht="18.75" x14ac:dyDescent="0.3">
      <c r="C21" t="s">
        <v>4</v>
      </c>
      <c r="D21" s="4">
        <f>D3-D15</f>
        <v>640120</v>
      </c>
      <c r="G21" t="s">
        <v>5</v>
      </c>
      <c r="H21" s="4">
        <f>H3-H15</f>
        <v>109612</v>
      </c>
    </row>
    <row r="24" spans="1:8" ht="15.75" x14ac:dyDescent="0.25">
      <c r="A24" t="s">
        <v>6</v>
      </c>
      <c r="C24" s="8">
        <f>D21</f>
        <v>640120</v>
      </c>
      <c r="E24" t="s">
        <v>10</v>
      </c>
      <c r="H24" s="6">
        <f>C33</f>
        <v>425779.44</v>
      </c>
    </row>
    <row r="26" spans="1:8" ht="15.75" x14ac:dyDescent="0.25">
      <c r="A26" t="s">
        <v>5</v>
      </c>
      <c r="B26" s="9" t="s">
        <v>7</v>
      </c>
      <c r="C26" s="8">
        <f>H21</f>
        <v>109612</v>
      </c>
      <c r="E26" s="13" t="s">
        <v>11</v>
      </c>
      <c r="F26" s="9" t="s">
        <v>12</v>
      </c>
      <c r="G26" s="15" t="s">
        <v>17</v>
      </c>
      <c r="H26" s="3">
        <f>-(F27*0.007)</f>
        <v>-13076.7</v>
      </c>
    </row>
    <row r="27" spans="1:8" x14ac:dyDescent="0.25">
      <c r="F27" s="21">
        <f>D3-H3</f>
        <v>1868100</v>
      </c>
    </row>
    <row r="28" spans="1:8" ht="16.5" thickBot="1" x14ac:dyDescent="0.3">
      <c r="A28" t="s">
        <v>8</v>
      </c>
      <c r="B28" s="9" t="s">
        <v>7</v>
      </c>
      <c r="C28" s="8">
        <f>D3*0.004</f>
        <v>8928.56</v>
      </c>
      <c r="F28" s="9" t="s">
        <v>13</v>
      </c>
      <c r="G28" s="16">
        <v>0.35</v>
      </c>
      <c r="H28" s="17">
        <f>-(F29*0.35)</f>
        <v>-149022.804</v>
      </c>
    </row>
    <row r="29" spans="1:8" x14ac:dyDescent="0.25">
      <c r="F29" s="21">
        <f>H24</f>
        <v>425779.44</v>
      </c>
    </row>
    <row r="30" spans="1:8" ht="15.75" x14ac:dyDescent="0.25">
      <c r="A30" t="s">
        <v>9</v>
      </c>
      <c r="B30" s="9" t="s">
        <v>7</v>
      </c>
      <c r="C30" s="10">
        <v>95800</v>
      </c>
      <c r="G30" s="13" t="s">
        <v>14</v>
      </c>
      <c r="H30" s="6">
        <f>H24+H26+H28</f>
        <v>263679.93599999999</v>
      </c>
    </row>
    <row r="31" spans="1:8" ht="15.75" thickBot="1" x14ac:dyDescent="0.3">
      <c r="A31" s="16" t="s">
        <v>18</v>
      </c>
      <c r="B31" s="14"/>
      <c r="C31" s="7"/>
    </row>
    <row r="32" spans="1:8" x14ac:dyDescent="0.25">
      <c r="E32" t="s">
        <v>151</v>
      </c>
      <c r="H32" s="20">
        <f>H30*0.5</f>
        <v>131839.96799999999</v>
      </c>
    </row>
    <row r="33" spans="1:8" ht="15.75" x14ac:dyDescent="0.25">
      <c r="A33" t="s">
        <v>10</v>
      </c>
      <c r="C33" s="10">
        <f>C24-C26-C28-C30</f>
        <v>425779.44</v>
      </c>
      <c r="H33" s="18"/>
    </row>
    <row r="34" spans="1:8" x14ac:dyDescent="0.25">
      <c r="H34" s="3"/>
    </row>
    <row r="35" spans="1:8" x14ac:dyDescent="0.25">
      <c r="H35" s="18"/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697F3-5A48-4C92-B549-447CCDDD2B28}">
  <dimension ref="A1:AP35"/>
  <sheetViews>
    <sheetView topLeftCell="A13" workbookViewId="0">
      <selection activeCell="AP18" sqref="AP18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4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250</v>
      </c>
    </row>
    <row r="3" spans="1:8" ht="21" x14ac:dyDescent="0.35">
      <c r="A3" s="2" t="s">
        <v>1</v>
      </c>
      <c r="D3" s="11">
        <v>1840700</v>
      </c>
      <c r="F3" s="12" t="s">
        <v>3</v>
      </c>
      <c r="H3" s="11">
        <v>300200</v>
      </c>
    </row>
    <row r="4" spans="1:8" x14ac:dyDescent="0.25">
      <c r="A4" s="13" t="s">
        <v>32</v>
      </c>
      <c r="C4" s="26">
        <v>363</v>
      </c>
    </row>
    <row r="5" spans="1:8" ht="21" x14ac:dyDescent="0.35">
      <c r="A5" s="2" t="s">
        <v>2</v>
      </c>
    </row>
    <row r="7" spans="1:8" ht="18.75" x14ac:dyDescent="0.3">
      <c r="A7" s="5"/>
      <c r="D7" s="4"/>
      <c r="E7" s="25"/>
      <c r="H7" s="4"/>
    </row>
    <row r="8" spans="1:8" ht="18.75" x14ac:dyDescent="0.3">
      <c r="A8" s="5" t="s">
        <v>247</v>
      </c>
      <c r="D8" s="4">
        <v>395467</v>
      </c>
      <c r="E8" s="25" t="s">
        <v>34</v>
      </c>
      <c r="H8" s="4">
        <v>63142</v>
      </c>
    </row>
    <row r="9" spans="1:8" ht="18.75" x14ac:dyDescent="0.3">
      <c r="A9" s="5" t="s">
        <v>248</v>
      </c>
      <c r="D9" s="4">
        <v>69588</v>
      </c>
      <c r="E9" s="25" t="s">
        <v>34</v>
      </c>
      <c r="H9" s="4">
        <v>11111</v>
      </c>
    </row>
    <row r="10" spans="1:8" ht="18.75" x14ac:dyDescent="0.3">
      <c r="A10" s="5" t="s">
        <v>251</v>
      </c>
      <c r="D10" s="4">
        <v>30000</v>
      </c>
      <c r="E10" s="25" t="s">
        <v>34</v>
      </c>
      <c r="H10" s="4"/>
    </row>
    <row r="11" spans="1:8" ht="18.75" x14ac:dyDescent="0.3">
      <c r="A11" s="5" t="s">
        <v>252</v>
      </c>
      <c r="D11" s="4">
        <v>35000</v>
      </c>
      <c r="E11" s="25"/>
      <c r="H11" s="4"/>
    </row>
    <row r="12" spans="1:8" ht="18.75" x14ac:dyDescent="0.3">
      <c r="A12" s="5" t="s">
        <v>249</v>
      </c>
      <c r="C12" s="3"/>
      <c r="D12" s="27">
        <v>70000</v>
      </c>
      <c r="E12" s="25"/>
      <c r="H12" s="27"/>
    </row>
    <row r="13" spans="1:8" ht="18.75" x14ac:dyDescent="0.3">
      <c r="A13" s="5"/>
      <c r="C13" s="3"/>
      <c r="D13" s="28"/>
      <c r="E13" s="25"/>
      <c r="H13" s="28"/>
    </row>
    <row r="14" spans="1:8" ht="19.5" thickBot="1" x14ac:dyDescent="0.35">
      <c r="A14" s="5"/>
      <c r="C14" s="3"/>
      <c r="D14" s="22"/>
      <c r="E14" s="25"/>
      <c r="H14" s="22"/>
    </row>
    <row r="15" spans="1:8" ht="18.75" customHeight="1" x14ac:dyDescent="0.3">
      <c r="D15" s="4">
        <f>SUM(D7:D14)</f>
        <v>600055</v>
      </c>
      <c r="H15" s="4">
        <f>SUM(H7:H14)</f>
        <v>74253</v>
      </c>
    </row>
    <row r="16" spans="1:8" ht="18.75" x14ac:dyDescent="0.3">
      <c r="A16" s="5"/>
      <c r="C16" s="3"/>
      <c r="D16" s="4"/>
      <c r="H16" s="4"/>
    </row>
    <row r="18" spans="1:42" ht="18.75" x14ac:dyDescent="0.3">
      <c r="A18" s="5"/>
      <c r="C18" s="3"/>
      <c r="D18" s="4"/>
      <c r="H18" s="4"/>
      <c r="K18" t="s">
        <v>256</v>
      </c>
      <c r="AP18" t="s">
        <v>256</v>
      </c>
    </row>
    <row r="19" spans="1:42" ht="15.75" thickBot="1" x14ac:dyDescent="0.3">
      <c r="D19" s="7"/>
      <c r="H19" s="7"/>
    </row>
    <row r="21" spans="1:42" ht="18.75" x14ac:dyDescent="0.3">
      <c r="C21" t="s">
        <v>4</v>
      </c>
      <c r="D21" s="4">
        <f>D3-D15</f>
        <v>1240645</v>
      </c>
      <c r="G21" t="s">
        <v>5</v>
      </c>
      <c r="H21" s="4">
        <f>H3-H15</f>
        <v>225947</v>
      </c>
    </row>
    <row r="24" spans="1:42" ht="15.75" x14ac:dyDescent="0.25">
      <c r="A24" t="s">
        <v>6</v>
      </c>
      <c r="C24" s="8">
        <f>D21</f>
        <v>1240645</v>
      </c>
      <c r="E24" t="s">
        <v>10</v>
      </c>
      <c r="H24" s="6">
        <f>C33</f>
        <v>1007335.2</v>
      </c>
    </row>
    <row r="26" spans="1:42" ht="15.75" x14ac:dyDescent="0.25">
      <c r="A26" t="s">
        <v>5</v>
      </c>
      <c r="B26" s="9" t="s">
        <v>7</v>
      </c>
      <c r="C26" s="8">
        <f>H21</f>
        <v>225947</v>
      </c>
      <c r="E26" s="13" t="s">
        <v>11</v>
      </c>
      <c r="F26" s="9" t="s">
        <v>12</v>
      </c>
      <c r="G26" s="15" t="s">
        <v>17</v>
      </c>
      <c r="H26" s="3">
        <f>-(F27*0.007)</f>
        <v>-10783.5</v>
      </c>
    </row>
    <row r="27" spans="1:42" x14ac:dyDescent="0.25">
      <c r="F27" s="21">
        <f>D3-H3</f>
        <v>1540500</v>
      </c>
    </row>
    <row r="28" spans="1:42" ht="16.5" thickBot="1" x14ac:dyDescent="0.3">
      <c r="A28" t="s">
        <v>8</v>
      </c>
      <c r="B28" s="9" t="s">
        <v>7</v>
      </c>
      <c r="C28" s="8">
        <f>D3*0.004</f>
        <v>7362.8</v>
      </c>
      <c r="F28" s="9" t="s">
        <v>13</v>
      </c>
      <c r="G28" s="16">
        <v>0.35</v>
      </c>
      <c r="H28" s="17">
        <f>-(F29*0.35)</f>
        <v>-352567.31999999995</v>
      </c>
    </row>
    <row r="29" spans="1:42" x14ac:dyDescent="0.25">
      <c r="F29" s="21">
        <f>H24</f>
        <v>1007335.2</v>
      </c>
    </row>
    <row r="30" spans="1:42" ht="15.75" x14ac:dyDescent="0.25">
      <c r="A30" t="s">
        <v>9</v>
      </c>
      <c r="B30" s="9" t="s">
        <v>7</v>
      </c>
      <c r="C30" s="10"/>
      <c r="G30" s="13" t="s">
        <v>14</v>
      </c>
      <c r="H30" s="6">
        <f>H24+H26+H28</f>
        <v>643984.38</v>
      </c>
    </row>
    <row r="31" spans="1:42" ht="15.75" thickBot="1" x14ac:dyDescent="0.3">
      <c r="A31" s="16"/>
      <c r="B31" s="14"/>
      <c r="C31" s="7"/>
    </row>
    <row r="32" spans="1:42" x14ac:dyDescent="0.25">
      <c r="E32" t="s">
        <v>151</v>
      </c>
      <c r="H32" s="20">
        <f>H30*0.5</f>
        <v>321992.19</v>
      </c>
    </row>
    <row r="33" spans="1:8" ht="15.75" x14ac:dyDescent="0.25">
      <c r="A33" t="s">
        <v>10</v>
      </c>
      <c r="C33" s="10">
        <f>C24-C26-C28-C30</f>
        <v>1007335.2</v>
      </c>
      <c r="H33" s="18"/>
    </row>
    <row r="34" spans="1:8" x14ac:dyDescent="0.25">
      <c r="H34" s="3"/>
    </row>
    <row r="35" spans="1:8" x14ac:dyDescent="0.25">
      <c r="H35" s="18"/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B4BEA-23EC-4B65-8959-90684FD39A2A}">
  <dimension ref="A1:H35"/>
  <sheetViews>
    <sheetView topLeftCell="A10" workbookViewId="0">
      <selection activeCell="A10" sqref="A10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4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253</v>
      </c>
    </row>
    <row r="3" spans="1:8" ht="21" x14ac:dyDescent="0.35">
      <c r="A3" s="2" t="s">
        <v>1</v>
      </c>
      <c r="D3" s="11">
        <v>2076136</v>
      </c>
      <c r="F3" s="12" t="s">
        <v>3</v>
      </c>
      <c r="H3" s="11">
        <v>338597</v>
      </c>
    </row>
    <row r="4" spans="1:8" x14ac:dyDescent="0.25">
      <c r="A4" s="13" t="s">
        <v>32</v>
      </c>
      <c r="C4" s="26">
        <v>364</v>
      </c>
    </row>
    <row r="5" spans="1:8" ht="21" x14ac:dyDescent="0.35">
      <c r="A5" s="2" t="s">
        <v>2</v>
      </c>
    </row>
    <row r="7" spans="1:8" ht="18.75" x14ac:dyDescent="0.3">
      <c r="A7" s="5"/>
      <c r="D7" s="4"/>
      <c r="E7" s="25"/>
      <c r="H7" s="4"/>
    </row>
    <row r="8" spans="1:8" ht="18.75" x14ac:dyDescent="0.3">
      <c r="A8" s="5" t="s">
        <v>267</v>
      </c>
      <c r="D8" s="4">
        <v>1338185</v>
      </c>
      <c r="E8" s="25" t="s">
        <v>34</v>
      </c>
      <c r="H8" s="4">
        <v>213662</v>
      </c>
    </row>
    <row r="9" spans="1:8" ht="18.75" x14ac:dyDescent="0.3">
      <c r="A9" s="5" t="s">
        <v>268</v>
      </c>
      <c r="D9" s="4">
        <v>100626</v>
      </c>
      <c r="E9" s="25" t="s">
        <v>34</v>
      </c>
      <c r="H9" s="4">
        <v>16066</v>
      </c>
    </row>
    <row r="10" spans="1:8" ht="18.75" x14ac:dyDescent="0.3">
      <c r="A10" s="5" t="s">
        <v>269</v>
      </c>
      <c r="D10" s="4">
        <v>69730</v>
      </c>
      <c r="E10" s="25" t="s">
        <v>34</v>
      </c>
      <c r="H10" s="4">
        <v>11133</v>
      </c>
    </row>
    <row r="11" spans="1:8" ht="18.75" x14ac:dyDescent="0.3">
      <c r="A11" s="5" t="s">
        <v>254</v>
      </c>
      <c r="D11" s="4">
        <v>17160</v>
      </c>
      <c r="E11" s="25" t="s">
        <v>34</v>
      </c>
      <c r="H11" s="4">
        <v>2740</v>
      </c>
    </row>
    <row r="12" spans="1:8" ht="18.75" x14ac:dyDescent="0.3">
      <c r="A12" s="5" t="s">
        <v>255</v>
      </c>
      <c r="C12" s="3"/>
      <c r="D12" s="27">
        <v>8000</v>
      </c>
      <c r="E12" s="25"/>
      <c r="H12" s="27"/>
    </row>
    <row r="13" spans="1:8" ht="18.75" x14ac:dyDescent="0.3">
      <c r="A13" s="5" t="s">
        <v>141</v>
      </c>
      <c r="C13" s="3"/>
      <c r="D13" s="28">
        <v>50000</v>
      </c>
      <c r="E13" s="25"/>
      <c r="H13" s="28"/>
    </row>
    <row r="14" spans="1:8" ht="19.5" thickBot="1" x14ac:dyDescent="0.35">
      <c r="A14" s="5"/>
      <c r="C14" s="3"/>
      <c r="D14" s="22"/>
      <c r="E14" s="25"/>
      <c r="H14" s="22"/>
    </row>
    <row r="15" spans="1:8" ht="18.75" customHeight="1" x14ac:dyDescent="0.3">
      <c r="D15" s="4">
        <f>SUM(D7:D14)</f>
        <v>1583701</v>
      </c>
      <c r="H15" s="4">
        <f>SUM(H7:H14)</f>
        <v>243601</v>
      </c>
    </row>
    <row r="16" spans="1:8" ht="18.75" x14ac:dyDescent="0.3">
      <c r="A16" s="5"/>
      <c r="C16" s="3"/>
      <c r="D16" s="4"/>
      <c r="H16" s="4"/>
    </row>
    <row r="18" spans="1:8" ht="18.75" x14ac:dyDescent="0.3">
      <c r="A18" s="5"/>
      <c r="C18" s="3"/>
      <c r="D18" s="4"/>
      <c r="H18" s="4"/>
    </row>
    <row r="19" spans="1:8" ht="15.75" thickBot="1" x14ac:dyDescent="0.3">
      <c r="D19" s="7"/>
      <c r="H19" s="7"/>
    </row>
    <row r="21" spans="1:8" ht="18.75" x14ac:dyDescent="0.3">
      <c r="C21" t="s">
        <v>4</v>
      </c>
      <c r="D21" s="4">
        <f>D3-D15</f>
        <v>492435</v>
      </c>
      <c r="G21" t="s">
        <v>5</v>
      </c>
      <c r="H21" s="4">
        <f>H3-H15</f>
        <v>94996</v>
      </c>
    </row>
    <row r="24" spans="1:8" ht="15.75" x14ac:dyDescent="0.25">
      <c r="A24" t="s">
        <v>6</v>
      </c>
      <c r="C24" s="8">
        <f>D21</f>
        <v>492435</v>
      </c>
      <c r="E24" t="s">
        <v>10</v>
      </c>
      <c r="H24" s="6">
        <f>C33</f>
        <v>389134.45600000001</v>
      </c>
    </row>
    <row r="26" spans="1:8" ht="15.75" x14ac:dyDescent="0.25">
      <c r="A26" t="s">
        <v>5</v>
      </c>
      <c r="B26" s="9" t="s">
        <v>7</v>
      </c>
      <c r="C26" s="8">
        <f>H21</f>
        <v>94996</v>
      </c>
      <c r="E26" s="13" t="s">
        <v>11</v>
      </c>
      <c r="F26" s="9" t="s">
        <v>12</v>
      </c>
      <c r="G26" s="15" t="s">
        <v>17</v>
      </c>
      <c r="H26" s="3">
        <f>-(F27*0.007)</f>
        <v>-12162.773000000001</v>
      </c>
    </row>
    <row r="27" spans="1:8" x14ac:dyDescent="0.25">
      <c r="F27" s="21">
        <f>D3-H3</f>
        <v>1737539</v>
      </c>
    </row>
    <row r="28" spans="1:8" ht="15.75" x14ac:dyDescent="0.25">
      <c r="A28" t="s">
        <v>8</v>
      </c>
      <c r="B28" s="9" t="s">
        <v>7</v>
      </c>
      <c r="C28" s="8">
        <f>D3*0.004</f>
        <v>8304.5439999999999</v>
      </c>
      <c r="F28" s="9" t="s">
        <v>13</v>
      </c>
      <c r="G28" s="16">
        <v>0.35</v>
      </c>
      <c r="H28" s="29">
        <f>-(F29*0.35)</f>
        <v>-136197.05960000001</v>
      </c>
    </row>
    <row r="29" spans="1:8" ht="15.75" thickBot="1" x14ac:dyDescent="0.3">
      <c r="F29" s="21">
        <f>H24</f>
        <v>389134.45600000001</v>
      </c>
      <c r="H29" s="7"/>
    </row>
    <row r="30" spans="1:8" ht="15.75" x14ac:dyDescent="0.25">
      <c r="A30" t="s">
        <v>9</v>
      </c>
      <c r="B30" s="9" t="s">
        <v>7</v>
      </c>
      <c r="C30" s="10"/>
      <c r="G30" s="13" t="s">
        <v>14</v>
      </c>
      <c r="H30" s="6">
        <f>H24+H26+H28</f>
        <v>240774.62340000001</v>
      </c>
    </row>
    <row r="31" spans="1:8" ht="15.75" thickBot="1" x14ac:dyDescent="0.3">
      <c r="A31" s="16"/>
      <c r="B31" s="14"/>
      <c r="C31" s="7"/>
    </row>
    <row r="32" spans="1:8" x14ac:dyDescent="0.25">
      <c r="E32" t="s">
        <v>151</v>
      </c>
      <c r="H32" s="20">
        <f>H30*0.5</f>
        <v>120387.31170000001</v>
      </c>
    </row>
    <row r="33" spans="1:8" ht="15.75" x14ac:dyDescent="0.25">
      <c r="A33" t="s">
        <v>10</v>
      </c>
      <c r="C33" s="10">
        <f>C24-C26-C28-C30</f>
        <v>389134.45600000001</v>
      </c>
      <c r="H33" s="18"/>
    </row>
    <row r="34" spans="1:8" x14ac:dyDescent="0.25">
      <c r="H34" s="3"/>
    </row>
    <row r="35" spans="1:8" x14ac:dyDescent="0.25">
      <c r="H35" s="18"/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56203-112A-405F-AF5F-6F012C4984F9}">
  <dimension ref="A1:H35"/>
  <sheetViews>
    <sheetView topLeftCell="A13" workbookViewId="0">
      <selection activeCell="G37" sqref="G37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4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241</v>
      </c>
    </row>
    <row r="3" spans="1:8" ht="21" x14ac:dyDescent="0.35">
      <c r="A3" s="2" t="s">
        <v>1</v>
      </c>
      <c r="D3" s="11">
        <v>892500</v>
      </c>
      <c r="F3" s="12" t="s">
        <v>3</v>
      </c>
      <c r="H3" s="11">
        <v>142500</v>
      </c>
    </row>
    <row r="4" spans="1:8" x14ac:dyDescent="0.25">
      <c r="A4" s="13" t="s">
        <v>32</v>
      </c>
      <c r="C4" s="26">
        <v>365</v>
      </c>
    </row>
    <row r="5" spans="1:8" ht="21" x14ac:dyDescent="0.35">
      <c r="A5" s="2" t="s">
        <v>2</v>
      </c>
    </row>
    <row r="7" spans="1:8" ht="18.75" x14ac:dyDescent="0.3">
      <c r="A7" s="5"/>
      <c r="D7" s="4"/>
      <c r="E7" s="25"/>
      <c r="H7" s="4"/>
    </row>
    <row r="8" spans="1:8" ht="18.75" x14ac:dyDescent="0.3">
      <c r="A8" s="5" t="s">
        <v>257</v>
      </c>
      <c r="D8" s="4">
        <v>608210</v>
      </c>
      <c r="E8" s="25" t="s">
        <v>34</v>
      </c>
      <c r="H8" s="4">
        <v>97109</v>
      </c>
    </row>
    <row r="9" spans="1:8" ht="18.75" x14ac:dyDescent="0.3">
      <c r="A9" s="5" t="s">
        <v>260</v>
      </c>
      <c r="D9" s="4">
        <v>30000</v>
      </c>
      <c r="E9" s="25"/>
      <c r="H9" s="4"/>
    </row>
    <row r="10" spans="1:8" ht="18.75" x14ac:dyDescent="0.3">
      <c r="A10" s="5"/>
      <c r="D10" s="4"/>
      <c r="E10" s="25"/>
      <c r="H10" s="4"/>
    </row>
    <row r="11" spans="1:8" ht="18.75" x14ac:dyDescent="0.3">
      <c r="A11" s="5"/>
      <c r="D11" s="4"/>
      <c r="E11" s="25"/>
      <c r="H11" s="4"/>
    </row>
    <row r="12" spans="1:8" ht="18.75" x14ac:dyDescent="0.3">
      <c r="A12" s="5"/>
      <c r="C12" s="3"/>
      <c r="D12" s="27"/>
      <c r="E12" s="25"/>
      <c r="H12" s="27"/>
    </row>
    <row r="13" spans="1:8" ht="18.75" x14ac:dyDescent="0.3">
      <c r="A13" s="5"/>
      <c r="C13" s="3"/>
      <c r="D13" s="28"/>
      <c r="E13" s="25"/>
      <c r="H13" s="28"/>
    </row>
    <row r="14" spans="1:8" ht="19.5" thickBot="1" x14ac:dyDescent="0.35">
      <c r="A14" s="5"/>
      <c r="C14" s="3"/>
      <c r="D14" s="22"/>
      <c r="E14" s="25"/>
      <c r="H14" s="22"/>
    </row>
    <row r="15" spans="1:8" ht="18.75" customHeight="1" x14ac:dyDescent="0.3">
      <c r="D15" s="4">
        <f>SUM(D7:D14)</f>
        <v>638210</v>
      </c>
      <c r="H15" s="4">
        <f>SUM(H7:H14)</f>
        <v>97109</v>
      </c>
    </row>
    <row r="16" spans="1:8" ht="18.75" x14ac:dyDescent="0.3">
      <c r="A16" s="5"/>
      <c r="C16" s="3"/>
      <c r="D16" s="4"/>
      <c r="H16" s="4"/>
    </row>
    <row r="18" spans="1:8" ht="18.75" x14ac:dyDescent="0.3">
      <c r="A18" s="5"/>
      <c r="C18" s="3"/>
      <c r="D18" s="4"/>
      <c r="H18" s="4"/>
    </row>
    <row r="19" spans="1:8" ht="15.75" thickBot="1" x14ac:dyDescent="0.3">
      <c r="D19" s="7"/>
      <c r="H19" s="7"/>
    </row>
    <row r="21" spans="1:8" ht="18.75" x14ac:dyDescent="0.3">
      <c r="C21" t="s">
        <v>4</v>
      </c>
      <c r="D21" s="4">
        <f>D3-D15</f>
        <v>254290</v>
      </c>
      <c r="G21" t="s">
        <v>5</v>
      </c>
      <c r="H21" s="4">
        <f>H3-H15</f>
        <v>45391</v>
      </c>
    </row>
    <row r="24" spans="1:8" ht="15.75" x14ac:dyDescent="0.25">
      <c r="A24" t="s">
        <v>6</v>
      </c>
      <c r="C24" s="8">
        <f>D21</f>
        <v>254290</v>
      </c>
      <c r="E24" t="s">
        <v>10</v>
      </c>
      <c r="H24" s="6">
        <f>C33</f>
        <v>205329</v>
      </c>
    </row>
    <row r="26" spans="1:8" ht="15.75" x14ac:dyDescent="0.25">
      <c r="A26" t="s">
        <v>5</v>
      </c>
      <c r="B26" s="9" t="s">
        <v>7</v>
      </c>
      <c r="C26" s="8">
        <f>H21</f>
        <v>45391</v>
      </c>
      <c r="E26" s="13" t="s">
        <v>11</v>
      </c>
      <c r="F26" s="9" t="s">
        <v>12</v>
      </c>
      <c r="G26" s="15" t="s">
        <v>17</v>
      </c>
      <c r="H26" s="3">
        <f>-(F27*0.007)</f>
        <v>-5250</v>
      </c>
    </row>
    <row r="27" spans="1:8" x14ac:dyDescent="0.25">
      <c r="F27" s="21">
        <f>D3-H3</f>
        <v>750000</v>
      </c>
    </row>
    <row r="28" spans="1:8" ht="15.75" x14ac:dyDescent="0.25">
      <c r="A28" t="s">
        <v>8</v>
      </c>
      <c r="B28" s="9" t="s">
        <v>7</v>
      </c>
      <c r="C28" s="8">
        <f>D3*0.004</f>
        <v>3570</v>
      </c>
      <c r="F28" s="9" t="s">
        <v>13</v>
      </c>
      <c r="G28" s="16">
        <v>0.35</v>
      </c>
      <c r="H28" s="29">
        <f>-(F29*0.35)</f>
        <v>-71865.149999999994</v>
      </c>
    </row>
    <row r="29" spans="1:8" ht="15.75" thickBot="1" x14ac:dyDescent="0.3">
      <c r="F29" s="21">
        <f>H24</f>
        <v>205329</v>
      </c>
      <c r="H29" s="7"/>
    </row>
    <row r="30" spans="1:8" ht="15.75" x14ac:dyDescent="0.25">
      <c r="A30" t="s">
        <v>9</v>
      </c>
      <c r="B30" s="9" t="s">
        <v>7</v>
      </c>
      <c r="C30" s="10"/>
      <c r="G30" s="13" t="s">
        <v>14</v>
      </c>
      <c r="H30" s="6">
        <f>H24+H26+H28</f>
        <v>128213.85</v>
      </c>
    </row>
    <row r="31" spans="1:8" ht="15.75" thickBot="1" x14ac:dyDescent="0.3">
      <c r="A31" s="16"/>
      <c r="B31" s="14"/>
      <c r="C31" s="7"/>
    </row>
    <row r="32" spans="1:8" x14ac:dyDescent="0.25">
      <c r="E32" t="s">
        <v>151</v>
      </c>
      <c r="H32" s="20">
        <f>H30*0.5</f>
        <v>64106.925000000003</v>
      </c>
    </row>
    <row r="33" spans="1:8" ht="15.75" x14ac:dyDescent="0.25">
      <c r="A33" t="s">
        <v>10</v>
      </c>
      <c r="C33" s="10">
        <f>C24-C26-C28-C30</f>
        <v>205329</v>
      </c>
      <c r="H33" s="18"/>
    </row>
    <row r="34" spans="1:8" x14ac:dyDescent="0.25">
      <c r="H34" s="3"/>
    </row>
    <row r="35" spans="1:8" x14ac:dyDescent="0.25">
      <c r="H35" s="18"/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EB0F4-3D9B-4C3E-A477-AA28CED5BB2C}">
  <dimension ref="A1:H35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4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258</v>
      </c>
    </row>
    <row r="3" spans="1:8" ht="21" x14ac:dyDescent="0.35">
      <c r="A3" s="2" t="s">
        <v>1</v>
      </c>
      <c r="D3" s="11">
        <v>292026</v>
      </c>
      <c r="F3" s="12" t="s">
        <v>3</v>
      </c>
      <c r="H3" s="11">
        <v>46626</v>
      </c>
    </row>
    <row r="4" spans="1:8" x14ac:dyDescent="0.25">
      <c r="A4" s="13" t="s">
        <v>32</v>
      </c>
      <c r="C4" s="26">
        <v>366</v>
      </c>
    </row>
    <row r="5" spans="1:8" ht="21" x14ac:dyDescent="0.35">
      <c r="A5" s="2" t="s">
        <v>2</v>
      </c>
    </row>
    <row r="7" spans="1:8" ht="18.75" x14ac:dyDescent="0.3">
      <c r="A7" s="5"/>
      <c r="D7" s="4"/>
      <c r="E7" s="25"/>
      <c r="H7" s="4"/>
    </row>
    <row r="8" spans="1:8" ht="18.75" x14ac:dyDescent="0.3">
      <c r="A8" s="5" t="s">
        <v>259</v>
      </c>
      <c r="D8" s="4">
        <v>119945</v>
      </c>
      <c r="E8" s="25" t="s">
        <v>34</v>
      </c>
      <c r="H8" s="4">
        <v>19151</v>
      </c>
    </row>
    <row r="9" spans="1:8" ht="18.75" x14ac:dyDescent="0.3">
      <c r="A9" s="5" t="s">
        <v>171</v>
      </c>
      <c r="D9" s="4">
        <v>43500</v>
      </c>
      <c r="E9" s="25"/>
      <c r="H9" s="4"/>
    </row>
    <row r="10" spans="1:8" ht="18.75" x14ac:dyDescent="0.3">
      <c r="A10" s="5"/>
      <c r="D10" s="4" t="s">
        <v>181</v>
      </c>
      <c r="E10" s="25"/>
      <c r="H10" s="4"/>
    </row>
    <row r="11" spans="1:8" ht="18.75" x14ac:dyDescent="0.3">
      <c r="A11" s="5"/>
      <c r="D11" s="4"/>
      <c r="E11" s="25"/>
      <c r="H11" s="4"/>
    </row>
    <row r="12" spans="1:8" ht="18.75" x14ac:dyDescent="0.3">
      <c r="A12" s="5"/>
      <c r="C12" s="3"/>
      <c r="D12" s="27"/>
      <c r="E12" s="25"/>
      <c r="H12" s="27"/>
    </row>
    <row r="13" spans="1:8" ht="18.75" x14ac:dyDescent="0.3">
      <c r="A13" s="5"/>
      <c r="C13" s="3"/>
      <c r="D13" s="28"/>
      <c r="E13" s="25"/>
      <c r="H13" s="28"/>
    </row>
    <row r="14" spans="1:8" ht="19.5" thickBot="1" x14ac:dyDescent="0.35">
      <c r="A14" s="5"/>
      <c r="C14" s="3"/>
      <c r="D14" s="22"/>
      <c r="E14" s="25"/>
      <c r="H14" s="22"/>
    </row>
    <row r="15" spans="1:8" ht="18.75" customHeight="1" x14ac:dyDescent="0.3">
      <c r="D15" s="4">
        <f>SUM(D7:D14)</f>
        <v>163445</v>
      </c>
      <c r="H15" s="4">
        <f>SUM(H7:H14)</f>
        <v>19151</v>
      </c>
    </row>
    <row r="16" spans="1:8" ht="18.75" x14ac:dyDescent="0.3">
      <c r="A16" s="5"/>
      <c r="C16" s="3"/>
      <c r="D16" s="4"/>
      <c r="H16" s="4"/>
    </row>
    <row r="18" spans="1:8" ht="18.75" x14ac:dyDescent="0.3">
      <c r="A18" s="5"/>
      <c r="C18" s="3"/>
      <c r="D18" s="4"/>
      <c r="H18" s="4"/>
    </row>
    <row r="19" spans="1:8" ht="15.75" thickBot="1" x14ac:dyDescent="0.3">
      <c r="D19" s="7"/>
      <c r="H19" s="7"/>
    </row>
    <row r="21" spans="1:8" ht="18.75" x14ac:dyDescent="0.3">
      <c r="C21" t="s">
        <v>4</v>
      </c>
      <c r="D21" s="4">
        <f>D3-D15</f>
        <v>128581</v>
      </c>
      <c r="G21" t="s">
        <v>5</v>
      </c>
      <c r="H21" s="4">
        <f>H3-H15</f>
        <v>27475</v>
      </c>
    </row>
    <row r="24" spans="1:8" ht="15.75" x14ac:dyDescent="0.25">
      <c r="A24" t="s">
        <v>6</v>
      </c>
      <c r="C24" s="8">
        <f>D21</f>
        <v>128581</v>
      </c>
      <c r="E24" t="s">
        <v>10</v>
      </c>
      <c r="H24" s="6">
        <f>C33</f>
        <v>99937.895999999993</v>
      </c>
    </row>
    <row r="26" spans="1:8" ht="15.75" x14ac:dyDescent="0.25">
      <c r="A26" t="s">
        <v>5</v>
      </c>
      <c r="B26" s="9" t="s">
        <v>7</v>
      </c>
      <c r="C26" s="8">
        <f>H21</f>
        <v>27475</v>
      </c>
      <c r="E26" s="13" t="s">
        <v>11</v>
      </c>
      <c r="F26" s="9" t="s">
        <v>12</v>
      </c>
      <c r="G26" s="15" t="s">
        <v>17</v>
      </c>
      <c r="H26" s="3">
        <f>-(F27*0.007)</f>
        <v>-1717.8</v>
      </c>
    </row>
    <row r="27" spans="1:8" x14ac:dyDescent="0.25">
      <c r="F27" s="21">
        <f>D3-H3</f>
        <v>245400</v>
      </c>
    </row>
    <row r="28" spans="1:8" ht="15.75" x14ac:dyDescent="0.25">
      <c r="A28" t="s">
        <v>8</v>
      </c>
      <c r="B28" s="9" t="s">
        <v>7</v>
      </c>
      <c r="C28" s="8">
        <f>D3*0.004</f>
        <v>1168.104</v>
      </c>
      <c r="F28" s="9" t="s">
        <v>13</v>
      </c>
      <c r="G28" s="16">
        <v>0.35</v>
      </c>
      <c r="H28" s="29">
        <f>-(F29*0.35)</f>
        <v>-34978.263599999998</v>
      </c>
    </row>
    <row r="29" spans="1:8" ht="15.75" thickBot="1" x14ac:dyDescent="0.3">
      <c r="F29" s="21">
        <f>H24</f>
        <v>99937.895999999993</v>
      </c>
      <c r="H29" s="7"/>
    </row>
    <row r="30" spans="1:8" ht="15.75" x14ac:dyDescent="0.25">
      <c r="A30" t="s">
        <v>9</v>
      </c>
      <c r="B30" s="9" t="s">
        <v>7</v>
      </c>
      <c r="C30" s="10"/>
      <c r="G30" s="13" t="s">
        <v>14</v>
      </c>
      <c r="H30" s="6">
        <f>H24+H26+H28</f>
        <v>63241.832399999992</v>
      </c>
    </row>
    <row r="31" spans="1:8" ht="15.75" thickBot="1" x14ac:dyDescent="0.3">
      <c r="A31" s="16"/>
      <c r="B31" s="14"/>
      <c r="C31" s="7"/>
    </row>
    <row r="32" spans="1:8" x14ac:dyDescent="0.25">
      <c r="E32" t="s">
        <v>151</v>
      </c>
      <c r="H32" s="20">
        <f>H30*0.5</f>
        <v>31620.916199999996</v>
      </c>
    </row>
    <row r="33" spans="1:8" ht="15.75" x14ac:dyDescent="0.25">
      <c r="A33" t="s">
        <v>10</v>
      </c>
      <c r="C33" s="10">
        <f>C24-C26-C28-C30</f>
        <v>99937.895999999993</v>
      </c>
      <c r="H33" s="18"/>
    </row>
    <row r="34" spans="1:8" x14ac:dyDescent="0.25">
      <c r="H34" s="3"/>
    </row>
    <row r="35" spans="1:8" x14ac:dyDescent="0.25">
      <c r="H35" s="18"/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12499-1A35-48CB-8CBF-D7DC1FE64DB6}">
  <dimension ref="A1:H35"/>
  <sheetViews>
    <sheetView topLeftCell="A10"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4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261</v>
      </c>
    </row>
    <row r="3" spans="1:8" ht="21" x14ac:dyDescent="0.35">
      <c r="A3" s="2" t="s">
        <v>1</v>
      </c>
      <c r="D3" s="11">
        <v>101150</v>
      </c>
      <c r="F3" s="12" t="s">
        <v>3</v>
      </c>
      <c r="H3" s="11">
        <v>16150</v>
      </c>
    </row>
    <row r="4" spans="1:8" x14ac:dyDescent="0.25">
      <c r="A4" s="13" t="s">
        <v>32</v>
      </c>
      <c r="C4" s="26">
        <v>369</v>
      </c>
    </row>
    <row r="5" spans="1:8" ht="21" x14ac:dyDescent="0.35">
      <c r="A5" s="2" t="s">
        <v>2</v>
      </c>
    </row>
    <row r="7" spans="1:8" ht="18.75" x14ac:dyDescent="0.3">
      <c r="A7" s="5"/>
      <c r="D7" s="4"/>
      <c r="E7" s="25"/>
      <c r="H7" s="4"/>
    </row>
    <row r="8" spans="1:8" ht="18.75" x14ac:dyDescent="0.3">
      <c r="A8" s="5" t="s">
        <v>262</v>
      </c>
      <c r="D8" s="4">
        <v>71105</v>
      </c>
      <c r="E8" s="25" t="s">
        <v>34</v>
      </c>
      <c r="H8" s="4">
        <v>11353</v>
      </c>
    </row>
    <row r="9" spans="1:8" ht="18.75" x14ac:dyDescent="0.3">
      <c r="A9" s="5"/>
      <c r="D9" s="4"/>
      <c r="E9" s="25"/>
      <c r="H9" s="4"/>
    </row>
    <row r="10" spans="1:8" ht="18.75" x14ac:dyDescent="0.3">
      <c r="A10" s="5"/>
      <c r="D10" s="4" t="s">
        <v>181</v>
      </c>
      <c r="E10" s="25"/>
      <c r="H10" s="4"/>
    </row>
    <row r="11" spans="1:8" ht="18.75" x14ac:dyDescent="0.3">
      <c r="A11" s="5"/>
      <c r="D11" s="4"/>
      <c r="E11" s="25"/>
      <c r="H11" s="4"/>
    </row>
    <row r="12" spans="1:8" ht="18.75" x14ac:dyDescent="0.3">
      <c r="A12" s="5"/>
      <c r="C12" s="3"/>
      <c r="D12" s="27"/>
      <c r="E12" s="25"/>
      <c r="H12" s="27"/>
    </row>
    <row r="13" spans="1:8" ht="18.75" x14ac:dyDescent="0.3">
      <c r="A13" s="5"/>
      <c r="C13" s="3"/>
      <c r="D13" s="28"/>
      <c r="E13" s="25"/>
      <c r="H13" s="28"/>
    </row>
    <row r="14" spans="1:8" ht="19.5" thickBot="1" x14ac:dyDescent="0.35">
      <c r="A14" s="5"/>
      <c r="C14" s="3"/>
      <c r="D14" s="22"/>
      <c r="E14" s="25"/>
      <c r="H14" s="22"/>
    </row>
    <row r="15" spans="1:8" ht="18.75" customHeight="1" x14ac:dyDescent="0.3">
      <c r="D15" s="4">
        <f>SUM(D7:D14)</f>
        <v>71105</v>
      </c>
      <c r="H15" s="4">
        <f>SUM(H7:H14)</f>
        <v>11353</v>
      </c>
    </row>
    <row r="16" spans="1:8" ht="18.75" x14ac:dyDescent="0.3">
      <c r="A16" s="5"/>
      <c r="C16" s="3"/>
      <c r="D16" s="4"/>
      <c r="H16" s="4"/>
    </row>
    <row r="18" spans="1:8" ht="18.75" x14ac:dyDescent="0.3">
      <c r="A18" s="5"/>
      <c r="C18" s="3"/>
      <c r="D18" s="4"/>
      <c r="H18" s="4"/>
    </row>
    <row r="19" spans="1:8" ht="15.75" thickBot="1" x14ac:dyDescent="0.3">
      <c r="D19" s="7"/>
      <c r="H19" s="7"/>
    </row>
    <row r="21" spans="1:8" ht="18.75" x14ac:dyDescent="0.3">
      <c r="C21" t="s">
        <v>4</v>
      </c>
      <c r="D21" s="4">
        <f>D3-D15</f>
        <v>30045</v>
      </c>
      <c r="G21" t="s">
        <v>5</v>
      </c>
      <c r="H21" s="4">
        <f>H3-H15</f>
        <v>4797</v>
      </c>
    </row>
    <row r="24" spans="1:8" ht="15.75" x14ac:dyDescent="0.25">
      <c r="A24" t="s">
        <v>6</v>
      </c>
      <c r="C24" s="8">
        <f>D21</f>
        <v>30045</v>
      </c>
      <c r="E24" t="s">
        <v>10</v>
      </c>
      <c r="H24" s="6">
        <f>C33</f>
        <v>24843.4</v>
      </c>
    </row>
    <row r="26" spans="1:8" ht="15.75" x14ac:dyDescent="0.25">
      <c r="A26" t="s">
        <v>5</v>
      </c>
      <c r="B26" s="9" t="s">
        <v>7</v>
      </c>
      <c r="C26" s="8">
        <f>H21</f>
        <v>4797</v>
      </c>
      <c r="E26" s="13" t="s">
        <v>11</v>
      </c>
      <c r="F26" s="9" t="s">
        <v>12</v>
      </c>
      <c r="G26" s="15" t="s">
        <v>17</v>
      </c>
      <c r="H26" s="3">
        <f>-(F27*0.007)</f>
        <v>-595</v>
      </c>
    </row>
    <row r="27" spans="1:8" x14ac:dyDescent="0.25">
      <c r="F27" s="21">
        <f>D3-H3</f>
        <v>85000</v>
      </c>
    </row>
    <row r="28" spans="1:8" ht="15.75" x14ac:dyDescent="0.25">
      <c r="A28" t="s">
        <v>8</v>
      </c>
      <c r="B28" s="9" t="s">
        <v>7</v>
      </c>
      <c r="C28" s="8">
        <f>D3*0.004</f>
        <v>404.6</v>
      </c>
      <c r="F28" s="9" t="s">
        <v>13</v>
      </c>
      <c r="G28" s="16">
        <v>0.35</v>
      </c>
      <c r="H28" s="29">
        <f>-(F29*0.35)</f>
        <v>-8695.19</v>
      </c>
    </row>
    <row r="29" spans="1:8" ht="15.75" thickBot="1" x14ac:dyDescent="0.3">
      <c r="F29" s="21">
        <f>H24</f>
        <v>24843.4</v>
      </c>
      <c r="H29" s="7"/>
    </row>
    <row r="30" spans="1:8" ht="15.75" x14ac:dyDescent="0.25">
      <c r="A30" t="s">
        <v>9</v>
      </c>
      <c r="B30" s="9" t="s">
        <v>7</v>
      </c>
      <c r="C30" s="10"/>
      <c r="G30" s="13" t="s">
        <v>14</v>
      </c>
      <c r="H30" s="6">
        <f>H24+H26+H28</f>
        <v>15553.210000000001</v>
      </c>
    </row>
    <row r="31" spans="1:8" ht="15.75" thickBot="1" x14ac:dyDescent="0.3">
      <c r="A31" s="16"/>
      <c r="B31" s="14"/>
      <c r="C31" s="7"/>
    </row>
    <row r="32" spans="1:8" x14ac:dyDescent="0.25">
      <c r="E32" t="s">
        <v>151</v>
      </c>
      <c r="H32" s="20">
        <f>H30*0.5</f>
        <v>7776.6050000000005</v>
      </c>
    </row>
    <row r="33" spans="1:8" ht="15.75" x14ac:dyDescent="0.25">
      <c r="A33" t="s">
        <v>10</v>
      </c>
      <c r="C33" s="10">
        <f>C24-C26-C28-C30</f>
        <v>24843.4</v>
      </c>
      <c r="H33" s="18"/>
    </row>
    <row r="34" spans="1:8" x14ac:dyDescent="0.25">
      <c r="H34" s="3"/>
    </row>
    <row r="35" spans="1:8" x14ac:dyDescent="0.25">
      <c r="H35" s="18"/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7CCA3-B74A-4575-9A31-B090C542AE74}">
  <dimension ref="A1:H35"/>
  <sheetViews>
    <sheetView workbookViewId="0">
      <selection activeCell="A16"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4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263</v>
      </c>
    </row>
    <row r="3" spans="1:8" ht="21" x14ac:dyDescent="0.35">
      <c r="A3" s="2" t="s">
        <v>1</v>
      </c>
      <c r="D3" s="11">
        <v>165410</v>
      </c>
      <c r="F3" s="12" t="s">
        <v>3</v>
      </c>
      <c r="H3" s="11">
        <v>26410</v>
      </c>
    </row>
    <row r="4" spans="1:8" x14ac:dyDescent="0.25">
      <c r="A4" s="13" t="s">
        <v>32</v>
      </c>
      <c r="C4" s="26">
        <v>370</v>
      </c>
    </row>
    <row r="5" spans="1:8" ht="21" x14ac:dyDescent="0.35">
      <c r="A5" s="2" t="s">
        <v>2</v>
      </c>
    </row>
    <row r="7" spans="1:8" ht="18.75" x14ac:dyDescent="0.3">
      <c r="A7" s="5"/>
      <c r="D7" s="4"/>
      <c r="E7" s="25"/>
      <c r="H7" s="4"/>
    </row>
    <row r="8" spans="1:8" ht="18.75" x14ac:dyDescent="0.3">
      <c r="A8" s="5" t="s">
        <v>264</v>
      </c>
      <c r="D8" s="4">
        <v>52384</v>
      </c>
      <c r="E8" s="25" t="s">
        <v>34</v>
      </c>
      <c r="H8" s="4">
        <v>8364</v>
      </c>
    </row>
    <row r="9" spans="1:8" ht="18.75" x14ac:dyDescent="0.3">
      <c r="A9" s="5"/>
      <c r="D9" s="4"/>
      <c r="E9" s="25"/>
      <c r="H9" s="4"/>
    </row>
    <row r="10" spans="1:8" ht="18.75" x14ac:dyDescent="0.3">
      <c r="A10" s="5"/>
      <c r="D10" s="4" t="s">
        <v>181</v>
      </c>
      <c r="E10" s="25"/>
      <c r="H10" s="4"/>
    </row>
    <row r="11" spans="1:8" ht="18.75" x14ac:dyDescent="0.3">
      <c r="A11" s="5"/>
      <c r="D11" s="4"/>
      <c r="E11" s="25"/>
      <c r="H11" s="4"/>
    </row>
    <row r="12" spans="1:8" ht="18.75" x14ac:dyDescent="0.3">
      <c r="A12" s="5"/>
      <c r="C12" s="3"/>
      <c r="D12" s="27"/>
      <c r="E12" s="25"/>
      <c r="H12" s="27"/>
    </row>
    <row r="13" spans="1:8" ht="18.75" x14ac:dyDescent="0.3">
      <c r="A13" s="5"/>
      <c r="C13" s="3"/>
      <c r="D13" s="28"/>
      <c r="E13" s="25"/>
      <c r="H13" s="28"/>
    </row>
    <row r="14" spans="1:8" ht="19.5" thickBot="1" x14ac:dyDescent="0.35">
      <c r="A14" s="5"/>
      <c r="C14" s="3"/>
      <c r="D14" s="22"/>
      <c r="E14" s="25"/>
      <c r="H14" s="22"/>
    </row>
    <row r="15" spans="1:8" ht="18.75" customHeight="1" x14ac:dyDescent="0.3">
      <c r="D15" s="4">
        <f>SUM(D7:D14)</f>
        <v>52384</v>
      </c>
      <c r="H15" s="4">
        <f>SUM(H7:H14)</f>
        <v>8364</v>
      </c>
    </row>
    <row r="16" spans="1:8" ht="18.75" x14ac:dyDescent="0.3">
      <c r="A16" s="5"/>
      <c r="C16" s="3"/>
      <c r="D16" s="4"/>
      <c r="H16" s="4"/>
    </row>
    <row r="18" spans="1:8" ht="18.75" x14ac:dyDescent="0.3">
      <c r="A18" s="5"/>
      <c r="C18" s="3"/>
      <c r="D18" s="4"/>
      <c r="H18" s="4"/>
    </row>
    <row r="19" spans="1:8" ht="15.75" thickBot="1" x14ac:dyDescent="0.3">
      <c r="D19" s="7"/>
      <c r="H19" s="7"/>
    </row>
    <row r="21" spans="1:8" ht="18.75" x14ac:dyDescent="0.3">
      <c r="C21" t="s">
        <v>4</v>
      </c>
      <c r="D21" s="4">
        <f>D3-D15</f>
        <v>113026</v>
      </c>
      <c r="G21" t="s">
        <v>5</v>
      </c>
      <c r="H21" s="4">
        <f>H3-H15</f>
        <v>18046</v>
      </c>
    </row>
    <row r="24" spans="1:8" ht="15.75" x14ac:dyDescent="0.25">
      <c r="A24" t="s">
        <v>6</v>
      </c>
      <c r="C24" s="8">
        <f>D21</f>
        <v>113026</v>
      </c>
      <c r="E24" t="s">
        <v>10</v>
      </c>
      <c r="H24" s="6">
        <f>C33</f>
        <v>94318.36</v>
      </c>
    </row>
    <row r="26" spans="1:8" ht="15.75" x14ac:dyDescent="0.25">
      <c r="A26" t="s">
        <v>5</v>
      </c>
      <c r="B26" s="9" t="s">
        <v>7</v>
      </c>
      <c r="C26" s="8">
        <f>H21</f>
        <v>18046</v>
      </c>
      <c r="E26" s="13" t="s">
        <v>11</v>
      </c>
      <c r="F26" s="9" t="s">
        <v>12</v>
      </c>
      <c r="G26" s="15" t="s">
        <v>17</v>
      </c>
      <c r="H26" s="3">
        <f>-(F27*0.007)</f>
        <v>-973</v>
      </c>
    </row>
    <row r="27" spans="1:8" x14ac:dyDescent="0.25">
      <c r="F27" s="21">
        <f>D3-H3</f>
        <v>139000</v>
      </c>
    </row>
    <row r="28" spans="1:8" ht="15.75" x14ac:dyDescent="0.25">
      <c r="A28" t="s">
        <v>8</v>
      </c>
      <c r="B28" s="9" t="s">
        <v>7</v>
      </c>
      <c r="C28" s="8">
        <f>D3*0.004</f>
        <v>661.64</v>
      </c>
      <c r="F28" s="9" t="s">
        <v>13</v>
      </c>
      <c r="G28" s="16">
        <v>0.35</v>
      </c>
      <c r="H28" s="29">
        <f>-(F29*0.35)</f>
        <v>-33011.425999999999</v>
      </c>
    </row>
    <row r="29" spans="1:8" ht="15.75" thickBot="1" x14ac:dyDescent="0.3">
      <c r="F29" s="21">
        <f>H24</f>
        <v>94318.36</v>
      </c>
      <c r="H29" s="7"/>
    </row>
    <row r="30" spans="1:8" ht="15.75" x14ac:dyDescent="0.25">
      <c r="A30" t="s">
        <v>9</v>
      </c>
      <c r="B30" s="9" t="s">
        <v>7</v>
      </c>
      <c r="C30" s="10"/>
      <c r="G30" s="13" t="s">
        <v>14</v>
      </c>
      <c r="H30" s="6">
        <f>H24+H26+H28</f>
        <v>60333.934000000001</v>
      </c>
    </row>
    <row r="31" spans="1:8" ht="15.75" thickBot="1" x14ac:dyDescent="0.3">
      <c r="A31" s="16"/>
      <c r="B31" s="14"/>
      <c r="C31" s="7"/>
    </row>
    <row r="32" spans="1:8" x14ac:dyDescent="0.25">
      <c r="E32" t="s">
        <v>151</v>
      </c>
      <c r="H32" s="20">
        <f>H30*0.5</f>
        <v>30166.967000000001</v>
      </c>
    </row>
    <row r="33" spans="1:8" ht="15.75" x14ac:dyDescent="0.25">
      <c r="A33" t="s">
        <v>10</v>
      </c>
      <c r="C33" s="10">
        <f>C24-C26-C28-C30</f>
        <v>94318.36</v>
      </c>
      <c r="H33" s="18"/>
    </row>
    <row r="34" spans="1:8" x14ac:dyDescent="0.25">
      <c r="H34" s="3"/>
    </row>
    <row r="35" spans="1:8" x14ac:dyDescent="0.25">
      <c r="H35" s="18"/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2C2D3-3456-433C-8C60-B7BCE688780A}">
  <dimension ref="A1:H35"/>
  <sheetViews>
    <sheetView workbookViewId="0">
      <selection activeCell="D4" sqref="D4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4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265</v>
      </c>
    </row>
    <row r="3" spans="1:8" ht="21" x14ac:dyDescent="0.35">
      <c r="A3" s="2" t="s">
        <v>1</v>
      </c>
      <c r="D3" s="11">
        <v>95200</v>
      </c>
      <c r="F3" s="12" t="s">
        <v>3</v>
      </c>
      <c r="H3" s="11">
        <v>15200</v>
      </c>
    </row>
    <row r="4" spans="1:8" x14ac:dyDescent="0.25">
      <c r="A4" s="13" t="s">
        <v>32</v>
      </c>
      <c r="C4" s="26">
        <v>371</v>
      </c>
    </row>
    <row r="5" spans="1:8" ht="21" x14ac:dyDescent="0.35">
      <c r="A5" s="2" t="s">
        <v>2</v>
      </c>
    </row>
    <row r="7" spans="1:8" ht="18.75" x14ac:dyDescent="0.3">
      <c r="A7" s="5"/>
      <c r="D7" s="4"/>
      <c r="E7" s="25"/>
      <c r="H7" s="4"/>
    </row>
    <row r="8" spans="1:8" ht="18.75" x14ac:dyDescent="0.3">
      <c r="A8" s="5" t="s">
        <v>266</v>
      </c>
      <c r="D8" s="4">
        <v>47481</v>
      </c>
      <c r="E8" s="25" t="s">
        <v>34</v>
      </c>
      <c r="H8" s="4">
        <v>7581</v>
      </c>
    </row>
    <row r="9" spans="1:8" ht="18.75" x14ac:dyDescent="0.3">
      <c r="A9" s="5"/>
      <c r="D9" s="4"/>
      <c r="E9" s="25"/>
      <c r="H9" s="4"/>
    </row>
    <row r="10" spans="1:8" ht="18.75" x14ac:dyDescent="0.3">
      <c r="A10" s="5"/>
      <c r="D10" s="4" t="s">
        <v>181</v>
      </c>
      <c r="E10" s="25"/>
      <c r="H10" s="4"/>
    </row>
    <row r="11" spans="1:8" ht="18.75" x14ac:dyDescent="0.3">
      <c r="A11" s="5"/>
      <c r="D11" s="4"/>
      <c r="E11" s="25"/>
      <c r="H11" s="4"/>
    </row>
    <row r="12" spans="1:8" ht="18.75" x14ac:dyDescent="0.3">
      <c r="A12" s="5"/>
      <c r="C12" s="3"/>
      <c r="D12" s="27"/>
      <c r="E12" s="25"/>
      <c r="H12" s="27"/>
    </row>
    <row r="13" spans="1:8" ht="18.75" x14ac:dyDescent="0.3">
      <c r="A13" s="5"/>
      <c r="C13" s="3"/>
      <c r="D13" s="28"/>
      <c r="E13" s="25"/>
      <c r="H13" s="28"/>
    </row>
    <row r="14" spans="1:8" ht="19.5" thickBot="1" x14ac:dyDescent="0.35">
      <c r="A14" s="5"/>
      <c r="C14" s="3"/>
      <c r="D14" s="22"/>
      <c r="E14" s="25"/>
      <c r="H14" s="22"/>
    </row>
    <row r="15" spans="1:8" ht="18.75" customHeight="1" x14ac:dyDescent="0.3">
      <c r="D15" s="4">
        <f>SUM(D7:D14)</f>
        <v>47481</v>
      </c>
      <c r="H15" s="4">
        <f>SUM(H7:H14)</f>
        <v>7581</v>
      </c>
    </row>
    <row r="16" spans="1:8" ht="18.75" x14ac:dyDescent="0.3">
      <c r="A16" s="5"/>
      <c r="C16" s="3"/>
      <c r="D16" s="4"/>
      <c r="H16" s="4"/>
    </row>
    <row r="18" spans="1:8" ht="18.75" x14ac:dyDescent="0.3">
      <c r="A18" s="5"/>
      <c r="C18" s="3"/>
      <c r="D18" s="4"/>
      <c r="H18" s="4"/>
    </row>
    <row r="19" spans="1:8" ht="15.75" thickBot="1" x14ac:dyDescent="0.3">
      <c r="D19" s="7"/>
      <c r="H19" s="7"/>
    </row>
    <row r="21" spans="1:8" ht="18.75" x14ac:dyDescent="0.3">
      <c r="C21" t="s">
        <v>4</v>
      </c>
      <c r="D21" s="4">
        <f>D3-D15</f>
        <v>47719</v>
      </c>
      <c r="G21" t="s">
        <v>5</v>
      </c>
      <c r="H21" s="4">
        <f>H3-H15</f>
        <v>7619</v>
      </c>
    </row>
    <row r="24" spans="1:8" ht="15.75" x14ac:dyDescent="0.25">
      <c r="A24" t="s">
        <v>6</v>
      </c>
      <c r="C24" s="8">
        <f>D21</f>
        <v>47719</v>
      </c>
      <c r="E24" t="s">
        <v>10</v>
      </c>
      <c r="H24" s="6">
        <f>C33</f>
        <v>39719.199999999997</v>
      </c>
    </row>
    <row r="26" spans="1:8" ht="15.75" x14ac:dyDescent="0.25">
      <c r="A26" t="s">
        <v>5</v>
      </c>
      <c r="B26" s="9" t="s">
        <v>7</v>
      </c>
      <c r="C26" s="8">
        <f>H21</f>
        <v>7619</v>
      </c>
      <c r="E26" s="13" t="s">
        <v>11</v>
      </c>
      <c r="F26" s="9" t="s">
        <v>12</v>
      </c>
      <c r="G26" s="15" t="s">
        <v>17</v>
      </c>
      <c r="H26" s="3">
        <f>-(F27*0.007)</f>
        <v>-560</v>
      </c>
    </row>
    <row r="27" spans="1:8" x14ac:dyDescent="0.25">
      <c r="F27" s="21">
        <f>D3-H3</f>
        <v>80000</v>
      </c>
    </row>
    <row r="28" spans="1:8" ht="15.75" x14ac:dyDescent="0.25">
      <c r="A28" t="s">
        <v>8</v>
      </c>
      <c r="B28" s="9" t="s">
        <v>7</v>
      </c>
      <c r="C28" s="8">
        <f>D3*0.004</f>
        <v>380.8</v>
      </c>
      <c r="F28" s="9" t="s">
        <v>13</v>
      </c>
      <c r="G28" s="16">
        <v>0.35</v>
      </c>
      <c r="H28" s="29">
        <f>-(F29*0.35)</f>
        <v>-13901.719999999998</v>
      </c>
    </row>
    <row r="29" spans="1:8" ht="15.75" thickBot="1" x14ac:dyDescent="0.3">
      <c r="F29" s="21">
        <f>H24</f>
        <v>39719.199999999997</v>
      </c>
      <c r="H29" s="7"/>
    </row>
    <row r="30" spans="1:8" ht="15.75" x14ac:dyDescent="0.25">
      <c r="A30" t="s">
        <v>9</v>
      </c>
      <c r="B30" s="9" t="s">
        <v>7</v>
      </c>
      <c r="C30" s="10"/>
      <c r="G30" s="13" t="s">
        <v>14</v>
      </c>
      <c r="H30" s="6">
        <f>H24+H26+H28</f>
        <v>25257.48</v>
      </c>
    </row>
    <row r="31" spans="1:8" ht="15.75" thickBot="1" x14ac:dyDescent="0.3">
      <c r="A31" s="16"/>
      <c r="B31" s="14"/>
      <c r="C31" s="7"/>
    </row>
    <row r="32" spans="1:8" x14ac:dyDescent="0.25">
      <c r="E32" t="s">
        <v>151</v>
      </c>
      <c r="H32" s="20">
        <f>H30*0.5</f>
        <v>12628.74</v>
      </c>
    </row>
    <row r="33" spans="1:8" ht="15.75" x14ac:dyDescent="0.25">
      <c r="A33" t="s">
        <v>10</v>
      </c>
      <c r="C33" s="10">
        <f>C24-C26-C28-C30</f>
        <v>39719.199999999997</v>
      </c>
      <c r="H33" s="18"/>
    </row>
    <row r="34" spans="1:8" x14ac:dyDescent="0.25">
      <c r="H34" s="3"/>
    </row>
    <row r="35" spans="1:8" x14ac:dyDescent="0.25">
      <c r="H35" s="18"/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AA6CB-18EE-456E-BFDC-883E5A990267}">
  <dimension ref="A1:H35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4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270</v>
      </c>
    </row>
    <row r="3" spans="1:8" ht="21" x14ac:dyDescent="0.35">
      <c r="A3" s="2" t="s">
        <v>1</v>
      </c>
      <c r="D3" s="11">
        <v>83300</v>
      </c>
      <c r="F3" s="12" t="s">
        <v>3</v>
      </c>
      <c r="H3" s="11">
        <v>13300</v>
      </c>
    </row>
    <row r="4" spans="1:8" x14ac:dyDescent="0.25">
      <c r="A4" s="13" t="s">
        <v>32</v>
      </c>
      <c r="C4" s="26">
        <v>374</v>
      </c>
    </row>
    <row r="5" spans="1:8" ht="21" x14ac:dyDescent="0.35">
      <c r="A5" s="2" t="s">
        <v>2</v>
      </c>
    </row>
    <row r="7" spans="1:8" ht="18.75" x14ac:dyDescent="0.3">
      <c r="A7" s="5"/>
      <c r="D7" s="4"/>
      <c r="E7" s="25"/>
      <c r="H7" s="4"/>
    </row>
    <row r="8" spans="1:8" ht="18.75" x14ac:dyDescent="0.3">
      <c r="A8" s="5" t="s">
        <v>271</v>
      </c>
      <c r="D8" s="4">
        <v>31045</v>
      </c>
      <c r="E8" s="25" t="s">
        <v>34</v>
      </c>
      <c r="H8" s="4">
        <v>4956</v>
      </c>
    </row>
    <row r="9" spans="1:8" ht="18.75" x14ac:dyDescent="0.3">
      <c r="A9" s="5" t="s">
        <v>272</v>
      </c>
      <c r="D9" s="4">
        <v>20000</v>
      </c>
      <c r="E9" s="25"/>
      <c r="H9" s="4"/>
    </row>
    <row r="10" spans="1:8" ht="18.75" x14ac:dyDescent="0.3">
      <c r="A10" s="5"/>
      <c r="D10" s="4" t="s">
        <v>181</v>
      </c>
      <c r="E10" s="25"/>
      <c r="H10" s="4"/>
    </row>
    <row r="11" spans="1:8" ht="18.75" x14ac:dyDescent="0.3">
      <c r="A11" s="5"/>
      <c r="D11" s="4"/>
      <c r="E11" s="25"/>
      <c r="H11" s="4"/>
    </row>
    <row r="12" spans="1:8" ht="18.75" x14ac:dyDescent="0.3">
      <c r="A12" s="5"/>
      <c r="C12" s="3"/>
      <c r="D12" s="27"/>
      <c r="E12" s="25"/>
      <c r="H12" s="27"/>
    </row>
    <row r="13" spans="1:8" ht="18.75" x14ac:dyDescent="0.3">
      <c r="A13" s="5"/>
      <c r="C13" s="3"/>
      <c r="D13" s="28"/>
      <c r="E13" s="25"/>
      <c r="H13" s="28"/>
    </row>
    <row r="14" spans="1:8" ht="19.5" thickBot="1" x14ac:dyDescent="0.35">
      <c r="A14" s="5"/>
      <c r="C14" s="3"/>
      <c r="D14" s="22"/>
      <c r="E14" s="25"/>
      <c r="H14" s="22"/>
    </row>
    <row r="15" spans="1:8" ht="18.75" customHeight="1" x14ac:dyDescent="0.3">
      <c r="D15" s="4">
        <f>SUM(D7:D14)</f>
        <v>51045</v>
      </c>
      <c r="H15" s="4">
        <f>SUM(H7:H14)</f>
        <v>4956</v>
      </c>
    </row>
    <row r="16" spans="1:8" ht="18.75" x14ac:dyDescent="0.3">
      <c r="A16" s="5"/>
      <c r="C16" s="3"/>
      <c r="D16" s="4"/>
      <c r="H16" s="4"/>
    </row>
    <row r="18" spans="1:8" ht="18.75" x14ac:dyDescent="0.3">
      <c r="A18" s="5"/>
      <c r="C18" s="3"/>
      <c r="D18" s="4"/>
      <c r="H18" s="4"/>
    </row>
    <row r="19" spans="1:8" ht="15.75" thickBot="1" x14ac:dyDescent="0.3">
      <c r="D19" s="7"/>
      <c r="H19" s="7"/>
    </row>
    <row r="21" spans="1:8" ht="18.75" x14ac:dyDescent="0.3">
      <c r="C21" t="s">
        <v>4</v>
      </c>
      <c r="D21" s="4">
        <f>D3-D15</f>
        <v>32255</v>
      </c>
      <c r="G21" t="s">
        <v>5</v>
      </c>
      <c r="H21" s="4">
        <f>H3-H15</f>
        <v>8344</v>
      </c>
    </row>
    <row r="24" spans="1:8" ht="15.75" x14ac:dyDescent="0.25">
      <c r="A24" t="s">
        <v>6</v>
      </c>
      <c r="C24" s="8">
        <f>D21</f>
        <v>32255</v>
      </c>
      <c r="E24" t="s">
        <v>10</v>
      </c>
      <c r="H24" s="6">
        <f>C33</f>
        <v>23577.8</v>
      </c>
    </row>
    <row r="26" spans="1:8" ht="15.75" x14ac:dyDescent="0.25">
      <c r="A26" t="s">
        <v>5</v>
      </c>
      <c r="B26" s="9" t="s">
        <v>7</v>
      </c>
      <c r="C26" s="8">
        <f>H21</f>
        <v>8344</v>
      </c>
      <c r="E26" s="13" t="s">
        <v>11</v>
      </c>
      <c r="F26" s="9" t="s">
        <v>12</v>
      </c>
      <c r="G26" s="15" t="s">
        <v>17</v>
      </c>
      <c r="H26" s="3">
        <f>-(F27*0.007)</f>
        <v>-490</v>
      </c>
    </row>
    <row r="27" spans="1:8" x14ac:dyDescent="0.25">
      <c r="F27" s="21">
        <f>D3-H3</f>
        <v>70000</v>
      </c>
    </row>
    <row r="28" spans="1:8" ht="15.75" x14ac:dyDescent="0.25">
      <c r="A28" t="s">
        <v>8</v>
      </c>
      <c r="B28" s="9" t="s">
        <v>7</v>
      </c>
      <c r="C28" s="8">
        <f>D3*0.004</f>
        <v>333.2</v>
      </c>
      <c r="F28" s="9" t="s">
        <v>13</v>
      </c>
      <c r="G28" s="16">
        <v>0.35</v>
      </c>
      <c r="H28" s="29">
        <f>-(F29*0.35)</f>
        <v>-8252.23</v>
      </c>
    </row>
    <row r="29" spans="1:8" ht="15.75" thickBot="1" x14ac:dyDescent="0.3">
      <c r="F29" s="21">
        <f>H24</f>
        <v>23577.8</v>
      </c>
      <c r="H29" s="7"/>
    </row>
    <row r="30" spans="1:8" ht="15.75" x14ac:dyDescent="0.25">
      <c r="A30" t="s">
        <v>9</v>
      </c>
      <c r="B30" s="9" t="s">
        <v>7</v>
      </c>
      <c r="C30" s="10"/>
      <c r="G30" s="13" t="s">
        <v>14</v>
      </c>
      <c r="H30" s="6">
        <f>H24+H26+H28</f>
        <v>14835.57</v>
      </c>
    </row>
    <row r="31" spans="1:8" ht="15.75" thickBot="1" x14ac:dyDescent="0.3">
      <c r="A31" s="16"/>
      <c r="B31" s="14"/>
      <c r="C31" s="7"/>
    </row>
    <row r="32" spans="1:8" x14ac:dyDescent="0.25">
      <c r="E32" t="s">
        <v>151</v>
      </c>
      <c r="H32" s="20">
        <f>H30*0.5</f>
        <v>7417.7849999999999</v>
      </c>
    </row>
    <row r="33" spans="1:8" ht="15.75" x14ac:dyDescent="0.25">
      <c r="A33" t="s">
        <v>10</v>
      </c>
      <c r="C33" s="10">
        <f>C24-C26-C28-C30</f>
        <v>23577.8</v>
      </c>
      <c r="H33" s="18"/>
    </row>
    <row r="34" spans="1:8" x14ac:dyDescent="0.25">
      <c r="H34" s="3"/>
    </row>
    <row r="35" spans="1:8" x14ac:dyDescent="0.25">
      <c r="H35" s="18"/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1A9CF-9B90-4AF7-8865-EFB9C5303EA6}">
  <dimension ref="A1:H35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273</v>
      </c>
    </row>
    <row r="3" spans="1:8" ht="21" x14ac:dyDescent="0.35">
      <c r="A3" s="2" t="s">
        <v>1</v>
      </c>
      <c r="D3" s="11">
        <v>107100</v>
      </c>
      <c r="F3" s="12" t="s">
        <v>3</v>
      </c>
      <c r="H3" s="11">
        <v>17100</v>
      </c>
    </row>
    <row r="4" spans="1:8" x14ac:dyDescent="0.25">
      <c r="A4" s="13" t="s">
        <v>32</v>
      </c>
      <c r="C4" s="26">
        <v>375</v>
      </c>
    </row>
    <row r="5" spans="1:8" ht="21" x14ac:dyDescent="0.35">
      <c r="A5" s="2" t="s">
        <v>2</v>
      </c>
    </row>
    <row r="7" spans="1:8" ht="18.75" x14ac:dyDescent="0.3">
      <c r="A7" s="5"/>
      <c r="D7" s="4"/>
      <c r="E7" s="25"/>
      <c r="H7" s="4"/>
    </row>
    <row r="8" spans="1:8" ht="18.75" x14ac:dyDescent="0.3">
      <c r="A8" s="5" t="s">
        <v>274</v>
      </c>
      <c r="D8" s="4">
        <v>54616</v>
      </c>
      <c r="E8" s="25" t="s">
        <v>34</v>
      </c>
      <c r="H8" s="4">
        <v>8720</v>
      </c>
    </row>
    <row r="9" spans="1:8" ht="18.75" x14ac:dyDescent="0.3">
      <c r="A9" s="5"/>
      <c r="D9" s="4"/>
      <c r="E9" s="25"/>
      <c r="H9" s="4"/>
    </row>
    <row r="10" spans="1:8" ht="18.75" x14ac:dyDescent="0.3">
      <c r="A10" s="5"/>
      <c r="D10" s="4" t="s">
        <v>181</v>
      </c>
      <c r="E10" s="25"/>
      <c r="H10" s="4"/>
    </row>
    <row r="11" spans="1:8" ht="18.75" x14ac:dyDescent="0.3">
      <c r="A11" s="5"/>
      <c r="D11" s="4"/>
      <c r="E11" s="25"/>
      <c r="H11" s="4"/>
    </row>
    <row r="12" spans="1:8" ht="18.75" x14ac:dyDescent="0.3">
      <c r="A12" s="5"/>
      <c r="C12" s="3"/>
      <c r="D12" s="27"/>
      <c r="E12" s="25"/>
      <c r="H12" s="27"/>
    </row>
    <row r="13" spans="1:8" ht="18.75" x14ac:dyDescent="0.3">
      <c r="A13" s="5"/>
      <c r="C13" s="3"/>
      <c r="D13" s="28"/>
      <c r="E13" s="25"/>
      <c r="H13" s="28"/>
    </row>
    <row r="14" spans="1:8" ht="19.5" thickBot="1" x14ac:dyDescent="0.35">
      <c r="A14" s="5"/>
      <c r="C14" s="3"/>
      <c r="D14" s="22"/>
      <c r="E14" s="25"/>
      <c r="H14" s="22"/>
    </row>
    <row r="15" spans="1:8" ht="18.75" customHeight="1" x14ac:dyDescent="0.3">
      <c r="D15" s="4">
        <f>SUM(D7:D14)</f>
        <v>54616</v>
      </c>
      <c r="H15" s="4">
        <f>SUM(H7:H14)</f>
        <v>8720</v>
      </c>
    </row>
    <row r="16" spans="1:8" ht="18.75" x14ac:dyDescent="0.3">
      <c r="A16" s="5"/>
      <c r="C16" s="3"/>
      <c r="D16" s="4"/>
      <c r="H16" s="4"/>
    </row>
    <row r="18" spans="1:8" ht="18.75" x14ac:dyDescent="0.3">
      <c r="A18" s="5"/>
      <c r="C18" s="3"/>
      <c r="D18" s="4"/>
      <c r="H18" s="4"/>
    </row>
    <row r="19" spans="1:8" ht="15.75" thickBot="1" x14ac:dyDescent="0.3">
      <c r="D19" s="7"/>
      <c r="H19" s="7"/>
    </row>
    <row r="21" spans="1:8" ht="18.75" x14ac:dyDescent="0.3">
      <c r="C21" t="s">
        <v>4</v>
      </c>
      <c r="D21" s="4">
        <f>D3-D15</f>
        <v>52484</v>
      </c>
      <c r="G21" t="s">
        <v>5</v>
      </c>
      <c r="H21" s="4">
        <f>H3-H15</f>
        <v>8380</v>
      </c>
    </row>
    <row r="24" spans="1:8" ht="15.75" x14ac:dyDescent="0.25">
      <c r="A24" t="s">
        <v>6</v>
      </c>
      <c r="C24" s="8">
        <f>D21</f>
        <v>52484</v>
      </c>
      <c r="E24" t="s">
        <v>10</v>
      </c>
      <c r="H24" s="6">
        <f>C33</f>
        <v>43675.6</v>
      </c>
    </row>
    <row r="26" spans="1:8" ht="15.75" x14ac:dyDescent="0.25">
      <c r="A26" t="s">
        <v>5</v>
      </c>
      <c r="B26" s="9" t="s">
        <v>7</v>
      </c>
      <c r="C26" s="8">
        <f>H21</f>
        <v>8380</v>
      </c>
      <c r="E26" s="13" t="s">
        <v>11</v>
      </c>
      <c r="F26" s="9" t="s">
        <v>12</v>
      </c>
      <c r="G26" s="15" t="s">
        <v>17</v>
      </c>
      <c r="H26" s="3">
        <f>-(F27*0.007)</f>
        <v>-630</v>
      </c>
    </row>
    <row r="27" spans="1:8" x14ac:dyDescent="0.25">
      <c r="F27" s="21">
        <f>D3-H3</f>
        <v>90000</v>
      </c>
    </row>
    <row r="28" spans="1:8" ht="15.75" x14ac:dyDescent="0.25">
      <c r="A28" t="s">
        <v>8</v>
      </c>
      <c r="B28" s="9" t="s">
        <v>7</v>
      </c>
      <c r="C28" s="8">
        <f>D3*0.004</f>
        <v>428.40000000000003</v>
      </c>
      <c r="F28" s="9" t="s">
        <v>13</v>
      </c>
      <c r="G28" s="16">
        <v>0.35</v>
      </c>
      <c r="H28" s="29">
        <f>-(F29*0.35)</f>
        <v>-15286.46</v>
      </c>
    </row>
    <row r="29" spans="1:8" ht="15.75" thickBot="1" x14ac:dyDescent="0.3">
      <c r="F29" s="21">
        <f>H24</f>
        <v>43675.6</v>
      </c>
      <c r="H29" s="7"/>
    </row>
    <row r="30" spans="1:8" ht="15.75" x14ac:dyDescent="0.25">
      <c r="A30" t="s">
        <v>9</v>
      </c>
      <c r="B30" s="9" t="s">
        <v>7</v>
      </c>
      <c r="C30" s="10"/>
      <c r="G30" s="13" t="s">
        <v>14</v>
      </c>
      <c r="H30" s="6">
        <f>H24+H26+H28</f>
        <v>27759.14</v>
      </c>
    </row>
    <row r="31" spans="1:8" ht="15.75" thickBot="1" x14ac:dyDescent="0.3">
      <c r="A31" s="16"/>
      <c r="B31" s="14"/>
      <c r="C31" s="7"/>
    </row>
    <row r="32" spans="1:8" x14ac:dyDescent="0.25">
      <c r="E32" t="s">
        <v>151</v>
      </c>
      <c r="H32" s="20">
        <f>H30*0.5</f>
        <v>13879.57</v>
      </c>
    </row>
    <row r="33" spans="1:8" ht="15.75" x14ac:dyDescent="0.25">
      <c r="A33" t="s">
        <v>10</v>
      </c>
      <c r="C33" s="10">
        <f>C24-C26-C28-C30</f>
        <v>43675.6</v>
      </c>
      <c r="H33" s="18"/>
    </row>
    <row r="34" spans="1:8" x14ac:dyDescent="0.25">
      <c r="H34" s="3"/>
    </row>
    <row r="35" spans="1:8" x14ac:dyDescent="0.25">
      <c r="H35" s="18"/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CE97B-969A-4D18-8CC5-685CD70C37A0}">
  <dimension ref="A1:H35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275</v>
      </c>
    </row>
    <row r="3" spans="1:8" ht="21" x14ac:dyDescent="0.35">
      <c r="A3" s="2" t="s">
        <v>1</v>
      </c>
      <c r="D3" s="11">
        <v>662592</v>
      </c>
      <c r="F3" s="12" t="s">
        <v>3</v>
      </c>
      <c r="H3" s="11">
        <v>105792</v>
      </c>
    </row>
    <row r="4" spans="1:8" x14ac:dyDescent="0.25">
      <c r="A4" s="13" t="s">
        <v>32</v>
      </c>
      <c r="C4" s="26">
        <v>375</v>
      </c>
    </row>
    <row r="5" spans="1:8" ht="21" x14ac:dyDescent="0.35">
      <c r="A5" s="2" t="s">
        <v>2</v>
      </c>
    </row>
    <row r="7" spans="1:8" ht="18.75" x14ac:dyDescent="0.3">
      <c r="A7" s="5"/>
      <c r="D7" s="4"/>
      <c r="E7" s="25"/>
      <c r="H7" s="4"/>
    </row>
    <row r="8" spans="1:8" ht="18.75" x14ac:dyDescent="0.3">
      <c r="A8" s="5" t="s">
        <v>276</v>
      </c>
      <c r="D8" s="4">
        <v>330000</v>
      </c>
      <c r="E8" s="25" t="s">
        <v>34</v>
      </c>
      <c r="H8" s="4"/>
    </row>
    <row r="9" spans="1:8" ht="18.75" x14ac:dyDescent="0.3">
      <c r="A9" s="5"/>
      <c r="D9" s="4"/>
      <c r="E9" s="25"/>
      <c r="H9" s="4"/>
    </row>
    <row r="10" spans="1:8" ht="18.75" x14ac:dyDescent="0.3">
      <c r="A10" s="5"/>
      <c r="D10" s="4" t="s">
        <v>181</v>
      </c>
      <c r="E10" s="25"/>
      <c r="H10" s="4"/>
    </row>
    <row r="11" spans="1:8" ht="18.75" x14ac:dyDescent="0.3">
      <c r="A11" s="5"/>
      <c r="D11" s="4"/>
      <c r="E11" s="25"/>
      <c r="H11" s="4"/>
    </row>
    <row r="12" spans="1:8" ht="18.75" x14ac:dyDescent="0.3">
      <c r="A12" s="5"/>
      <c r="C12" s="3"/>
      <c r="D12" s="27"/>
      <c r="E12" s="25"/>
      <c r="H12" s="27"/>
    </row>
    <row r="13" spans="1:8" ht="18.75" x14ac:dyDescent="0.3">
      <c r="A13" s="5"/>
      <c r="C13" s="3"/>
      <c r="D13" s="28"/>
      <c r="E13" s="25"/>
      <c r="H13" s="28"/>
    </row>
    <row r="14" spans="1:8" ht="19.5" thickBot="1" x14ac:dyDescent="0.35">
      <c r="A14" s="5"/>
      <c r="C14" s="3"/>
      <c r="D14" s="22"/>
      <c r="E14" s="25"/>
      <c r="H14" s="22"/>
    </row>
    <row r="15" spans="1:8" ht="18.75" customHeight="1" x14ac:dyDescent="0.3">
      <c r="D15" s="4">
        <f>SUM(D7:D14)</f>
        <v>330000</v>
      </c>
      <c r="H15" s="4">
        <f>SUM(H7:H14)</f>
        <v>0</v>
      </c>
    </row>
    <row r="16" spans="1:8" ht="18.75" x14ac:dyDescent="0.3">
      <c r="A16" s="5"/>
      <c r="C16" s="3"/>
      <c r="D16" s="4"/>
      <c r="H16" s="4"/>
    </row>
    <row r="18" spans="1:8" ht="18.75" x14ac:dyDescent="0.3">
      <c r="A18" s="5"/>
      <c r="C18" s="3"/>
      <c r="D18" s="4"/>
      <c r="H18" s="4"/>
    </row>
    <row r="19" spans="1:8" ht="15.75" thickBot="1" x14ac:dyDescent="0.3">
      <c r="D19" s="7"/>
      <c r="H19" s="7"/>
    </row>
    <row r="21" spans="1:8" ht="18.75" x14ac:dyDescent="0.3">
      <c r="C21" t="s">
        <v>4</v>
      </c>
      <c r="D21" s="4">
        <f>D3-D15</f>
        <v>332592</v>
      </c>
      <c r="G21" t="s">
        <v>5</v>
      </c>
      <c r="H21" s="4">
        <f>H3-H15</f>
        <v>105792</v>
      </c>
    </row>
    <row r="24" spans="1:8" ht="15.75" x14ac:dyDescent="0.25">
      <c r="A24" t="s">
        <v>6</v>
      </c>
      <c r="C24" s="8">
        <f>D21</f>
        <v>332592</v>
      </c>
      <c r="E24" t="s">
        <v>10</v>
      </c>
      <c r="H24" s="6">
        <f>C33</f>
        <v>224149.63200000001</v>
      </c>
    </row>
    <row r="26" spans="1:8" ht="15.75" x14ac:dyDescent="0.25">
      <c r="A26" t="s">
        <v>5</v>
      </c>
      <c r="B26" s="9" t="s">
        <v>7</v>
      </c>
      <c r="C26" s="8">
        <f>H21</f>
        <v>105792</v>
      </c>
      <c r="E26" s="13" t="s">
        <v>11</v>
      </c>
      <c r="F26" s="9" t="s">
        <v>12</v>
      </c>
      <c r="G26" s="15" t="s">
        <v>17</v>
      </c>
      <c r="H26" s="3">
        <f>-(F27*0.007)</f>
        <v>-3897.6</v>
      </c>
    </row>
    <row r="27" spans="1:8" x14ac:dyDescent="0.25">
      <c r="F27" s="21">
        <f>D3-H3</f>
        <v>556800</v>
      </c>
    </row>
    <row r="28" spans="1:8" ht="15.75" x14ac:dyDescent="0.25">
      <c r="A28" t="s">
        <v>8</v>
      </c>
      <c r="B28" s="9" t="s">
        <v>7</v>
      </c>
      <c r="C28" s="8">
        <f>D3*0.004</f>
        <v>2650.3679999999999</v>
      </c>
      <c r="F28" s="9" t="s">
        <v>13</v>
      </c>
      <c r="G28" s="16">
        <v>0.35</v>
      </c>
      <c r="H28" s="29">
        <f>-(F29*0.35)</f>
        <v>-78452.371199999994</v>
      </c>
    </row>
    <row r="29" spans="1:8" ht="15.75" thickBot="1" x14ac:dyDescent="0.3">
      <c r="F29" s="21">
        <f>H24</f>
        <v>224149.63200000001</v>
      </c>
      <c r="H29" s="7"/>
    </row>
    <row r="30" spans="1:8" ht="15.75" x14ac:dyDescent="0.25">
      <c r="A30" t="s">
        <v>9</v>
      </c>
      <c r="B30" s="9" t="s">
        <v>7</v>
      </c>
      <c r="C30" s="10"/>
      <c r="G30" s="13" t="s">
        <v>14</v>
      </c>
      <c r="H30" s="6">
        <f>H24+H26+H28</f>
        <v>141799.66080000001</v>
      </c>
    </row>
    <row r="31" spans="1:8" ht="15.75" thickBot="1" x14ac:dyDescent="0.3">
      <c r="A31" s="16"/>
      <c r="B31" s="14"/>
      <c r="C31" s="7"/>
    </row>
    <row r="32" spans="1:8" x14ac:dyDescent="0.25">
      <c r="E32" t="s">
        <v>151</v>
      </c>
      <c r="H32" s="20">
        <f>H30*0.5</f>
        <v>70899.830400000006</v>
      </c>
    </row>
    <row r="33" spans="1:8" ht="15.75" x14ac:dyDescent="0.25">
      <c r="A33" t="s">
        <v>10</v>
      </c>
      <c r="C33" s="10">
        <f>C24-C26-C28-C30</f>
        <v>224149.63200000001</v>
      </c>
      <c r="H33" s="18"/>
    </row>
    <row r="34" spans="1:8" x14ac:dyDescent="0.25">
      <c r="H34" s="3"/>
    </row>
    <row r="35" spans="1:8" x14ac:dyDescent="0.25">
      <c r="H35" s="18"/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1E061-2D03-412C-8C3C-3DC9C21269D9}">
  <dimension ref="A1:H35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277</v>
      </c>
    </row>
    <row r="3" spans="1:8" ht="21" x14ac:dyDescent="0.35">
      <c r="A3" s="2" t="s">
        <v>1</v>
      </c>
      <c r="D3" s="11">
        <v>1318520</v>
      </c>
      <c r="F3" s="12" t="s">
        <v>3</v>
      </c>
      <c r="H3" s="11">
        <v>210520</v>
      </c>
    </row>
    <row r="4" spans="1:8" x14ac:dyDescent="0.25">
      <c r="A4" s="13" t="s">
        <v>32</v>
      </c>
      <c r="C4" s="26">
        <v>375</v>
      </c>
    </row>
    <row r="5" spans="1:8" ht="21" x14ac:dyDescent="0.35">
      <c r="A5" s="2" t="s">
        <v>2</v>
      </c>
    </row>
    <row r="7" spans="1:8" ht="18.75" x14ac:dyDescent="0.3">
      <c r="A7" s="5"/>
      <c r="D7" s="4"/>
      <c r="E7" s="25"/>
      <c r="H7" s="4"/>
    </row>
    <row r="8" spans="1:8" ht="18.75" x14ac:dyDescent="0.3">
      <c r="A8" s="5" t="s">
        <v>276</v>
      </c>
      <c r="D8" s="4">
        <v>284000</v>
      </c>
      <c r="E8" s="25" t="s">
        <v>34</v>
      </c>
      <c r="H8" s="4"/>
    </row>
    <row r="9" spans="1:8" ht="18.75" x14ac:dyDescent="0.3">
      <c r="A9" s="5" t="s">
        <v>278</v>
      </c>
      <c r="D9" s="4">
        <v>306258</v>
      </c>
      <c r="E9" s="25"/>
      <c r="H9" s="4">
        <v>48898</v>
      </c>
    </row>
    <row r="10" spans="1:8" ht="18.75" x14ac:dyDescent="0.3">
      <c r="A10" s="5"/>
      <c r="D10" s="4" t="s">
        <v>181</v>
      </c>
      <c r="E10" s="25"/>
      <c r="H10" s="4"/>
    </row>
    <row r="11" spans="1:8" ht="18.75" x14ac:dyDescent="0.3">
      <c r="A11" s="5"/>
      <c r="D11" s="4"/>
      <c r="E11" s="25"/>
      <c r="H11" s="4"/>
    </row>
    <row r="12" spans="1:8" ht="18.75" x14ac:dyDescent="0.3">
      <c r="A12" s="5"/>
      <c r="C12" s="3"/>
      <c r="D12" s="27"/>
      <c r="E12" s="25"/>
      <c r="H12" s="27"/>
    </row>
    <row r="13" spans="1:8" ht="18.75" x14ac:dyDescent="0.3">
      <c r="A13" s="5"/>
      <c r="C13" s="3"/>
      <c r="D13" s="28"/>
      <c r="E13" s="25"/>
      <c r="H13" s="28"/>
    </row>
    <row r="14" spans="1:8" ht="19.5" thickBot="1" x14ac:dyDescent="0.35">
      <c r="A14" s="5"/>
      <c r="C14" s="3"/>
      <c r="D14" s="22"/>
      <c r="E14" s="25"/>
      <c r="H14" s="22"/>
    </row>
    <row r="15" spans="1:8" ht="18.75" customHeight="1" x14ac:dyDescent="0.3">
      <c r="D15" s="4">
        <f>SUM(D7:D14)</f>
        <v>590258</v>
      </c>
      <c r="H15" s="4">
        <f>SUM(H7:H14)</f>
        <v>48898</v>
      </c>
    </row>
    <row r="16" spans="1:8" ht="18.75" x14ac:dyDescent="0.3">
      <c r="A16" s="5"/>
      <c r="C16" s="3"/>
      <c r="D16" s="4"/>
      <c r="H16" s="4"/>
    </row>
    <row r="18" spans="1:8" ht="18.75" x14ac:dyDescent="0.3">
      <c r="A18" s="5"/>
      <c r="C18" s="3"/>
      <c r="D18" s="4"/>
      <c r="H18" s="4"/>
    </row>
    <row r="19" spans="1:8" ht="15.75" thickBot="1" x14ac:dyDescent="0.3">
      <c r="D19" s="7"/>
      <c r="H19" s="7"/>
    </row>
    <row r="21" spans="1:8" ht="18.75" x14ac:dyDescent="0.3">
      <c r="C21" t="s">
        <v>4</v>
      </c>
      <c r="D21" s="4">
        <f>D3-D15</f>
        <v>728262</v>
      </c>
      <c r="G21" t="s">
        <v>5</v>
      </c>
      <c r="H21" s="4">
        <f>H3-H15</f>
        <v>161622</v>
      </c>
    </row>
    <row r="24" spans="1:8" ht="15.75" x14ac:dyDescent="0.25">
      <c r="A24" t="s">
        <v>6</v>
      </c>
      <c r="C24" s="8">
        <f>D21</f>
        <v>728262</v>
      </c>
      <c r="E24" t="s">
        <v>10</v>
      </c>
      <c r="H24" s="6">
        <f>C33</f>
        <v>561365.92000000004</v>
      </c>
    </row>
    <row r="26" spans="1:8" ht="15.75" x14ac:dyDescent="0.25">
      <c r="A26" t="s">
        <v>5</v>
      </c>
      <c r="B26" s="9" t="s">
        <v>7</v>
      </c>
      <c r="C26" s="8">
        <f>H21</f>
        <v>161622</v>
      </c>
      <c r="E26" s="13" t="s">
        <v>11</v>
      </c>
      <c r="F26" s="9" t="s">
        <v>12</v>
      </c>
      <c r="G26" s="15" t="s">
        <v>17</v>
      </c>
      <c r="H26" s="3">
        <f>-(F27*0.007)</f>
        <v>-7756</v>
      </c>
    </row>
    <row r="27" spans="1:8" x14ac:dyDescent="0.25">
      <c r="F27" s="21">
        <f>D3-H3</f>
        <v>1108000</v>
      </c>
    </row>
    <row r="28" spans="1:8" ht="15.75" x14ac:dyDescent="0.25">
      <c r="A28" t="s">
        <v>8</v>
      </c>
      <c r="B28" s="9" t="s">
        <v>7</v>
      </c>
      <c r="C28" s="8">
        <f>D3*0.004</f>
        <v>5274.08</v>
      </c>
      <c r="F28" s="9" t="s">
        <v>13</v>
      </c>
      <c r="G28" s="16">
        <v>0.35</v>
      </c>
      <c r="H28" s="29">
        <f>-(F29*0.35)</f>
        <v>-196478.07200000001</v>
      </c>
    </row>
    <row r="29" spans="1:8" ht="15.75" thickBot="1" x14ac:dyDescent="0.3">
      <c r="F29" s="21">
        <f>H24</f>
        <v>561365.92000000004</v>
      </c>
      <c r="H29" s="7"/>
    </row>
    <row r="30" spans="1:8" ht="15.75" x14ac:dyDescent="0.25">
      <c r="A30" t="s">
        <v>9</v>
      </c>
      <c r="B30" s="9" t="s">
        <v>7</v>
      </c>
      <c r="C30" s="10"/>
      <c r="G30" s="13" t="s">
        <v>14</v>
      </c>
      <c r="H30" s="6">
        <f>H24+H26+H28</f>
        <v>357131.848</v>
      </c>
    </row>
    <row r="31" spans="1:8" ht="15.75" thickBot="1" x14ac:dyDescent="0.3">
      <c r="A31" s="16"/>
      <c r="B31" s="14"/>
      <c r="C31" s="7"/>
    </row>
    <row r="32" spans="1:8" x14ac:dyDescent="0.25">
      <c r="E32" t="s">
        <v>151</v>
      </c>
      <c r="H32" s="20">
        <f>H30*0.5</f>
        <v>178565.924</v>
      </c>
    </row>
    <row r="33" spans="1:8" ht="15.75" x14ac:dyDescent="0.25">
      <c r="A33" t="s">
        <v>10</v>
      </c>
      <c r="C33" s="10">
        <f>C24-C26-C28-C30</f>
        <v>561365.92000000004</v>
      </c>
      <c r="H33" s="18"/>
    </row>
    <row r="34" spans="1:8" x14ac:dyDescent="0.25">
      <c r="H34" s="3"/>
    </row>
    <row r="35" spans="1:8" x14ac:dyDescent="0.25">
      <c r="H35" s="18"/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5CD55-08E3-4E6D-BD8C-6B5470D69E72}">
  <dimension ref="A1:H35"/>
  <sheetViews>
    <sheetView topLeftCell="A13" workbookViewId="0">
      <selection activeCell="I36" sqref="I3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282</v>
      </c>
    </row>
    <row r="3" spans="1:8" ht="21" x14ac:dyDescent="0.35">
      <c r="A3" s="2" t="s">
        <v>1</v>
      </c>
      <c r="D3" s="11">
        <v>334985</v>
      </c>
      <c r="F3" s="12" t="s">
        <v>3</v>
      </c>
      <c r="H3" s="11">
        <v>53485</v>
      </c>
    </row>
    <row r="4" spans="1:8" x14ac:dyDescent="0.25">
      <c r="A4" s="13" t="s">
        <v>32</v>
      </c>
      <c r="C4" s="26">
        <v>381</v>
      </c>
    </row>
    <row r="5" spans="1:8" ht="21" x14ac:dyDescent="0.35">
      <c r="A5" s="2" t="s">
        <v>2</v>
      </c>
    </row>
    <row r="7" spans="1:8" ht="18.75" x14ac:dyDescent="0.3">
      <c r="A7" s="5"/>
      <c r="D7" s="4"/>
      <c r="E7" s="25"/>
      <c r="H7" s="4"/>
    </row>
    <row r="8" spans="1:8" ht="18.75" x14ac:dyDescent="0.3">
      <c r="A8" s="5" t="s">
        <v>283</v>
      </c>
      <c r="D8" s="4">
        <v>23580</v>
      </c>
      <c r="E8" s="25" t="s">
        <v>34</v>
      </c>
      <c r="H8" s="4">
        <v>3765</v>
      </c>
    </row>
    <row r="9" spans="1:8" ht="18.75" x14ac:dyDescent="0.3">
      <c r="A9" s="5" t="s">
        <v>284</v>
      </c>
      <c r="D9" s="4">
        <v>223891</v>
      </c>
      <c r="E9" s="25"/>
      <c r="H9" s="4">
        <v>35747</v>
      </c>
    </row>
    <row r="10" spans="1:8" ht="18.75" x14ac:dyDescent="0.3">
      <c r="A10" s="5"/>
      <c r="D10" s="4" t="s">
        <v>181</v>
      </c>
      <c r="E10" s="25"/>
      <c r="H10" s="4"/>
    </row>
    <row r="11" spans="1:8" ht="18.75" x14ac:dyDescent="0.3">
      <c r="A11" s="5"/>
      <c r="D11" s="4"/>
      <c r="E11" s="25"/>
      <c r="H11" s="4"/>
    </row>
    <row r="12" spans="1:8" ht="18.75" x14ac:dyDescent="0.3">
      <c r="A12" s="5"/>
      <c r="C12" s="3"/>
      <c r="D12" s="27"/>
      <c r="E12" s="25"/>
      <c r="H12" s="27"/>
    </row>
    <row r="13" spans="1:8" ht="18.75" x14ac:dyDescent="0.3">
      <c r="A13" s="5"/>
      <c r="C13" s="3"/>
      <c r="D13" s="28"/>
      <c r="E13" s="25"/>
      <c r="H13" s="28"/>
    </row>
    <row r="14" spans="1:8" ht="19.5" thickBot="1" x14ac:dyDescent="0.35">
      <c r="A14" s="5"/>
      <c r="C14" s="3"/>
      <c r="D14" s="22"/>
      <c r="E14" s="25"/>
      <c r="H14" s="22"/>
    </row>
    <row r="15" spans="1:8" ht="18.75" customHeight="1" x14ac:dyDescent="0.3">
      <c r="D15" s="4">
        <f>SUM(D7:D14)</f>
        <v>247471</v>
      </c>
      <c r="H15" s="4">
        <f>SUM(H7:H14)</f>
        <v>39512</v>
      </c>
    </row>
    <row r="16" spans="1:8" ht="18.75" x14ac:dyDescent="0.3">
      <c r="A16" s="5"/>
      <c r="C16" s="3"/>
      <c r="D16" s="4"/>
      <c r="H16" s="4"/>
    </row>
    <row r="18" spans="1:8" ht="18.75" x14ac:dyDescent="0.3">
      <c r="A18" s="5"/>
      <c r="C18" s="3"/>
      <c r="D18" s="4"/>
      <c r="H18" s="4"/>
    </row>
    <row r="19" spans="1:8" ht="15.75" thickBot="1" x14ac:dyDescent="0.3">
      <c r="D19" s="7"/>
      <c r="H19" s="7"/>
    </row>
    <row r="21" spans="1:8" ht="18.75" x14ac:dyDescent="0.3">
      <c r="C21" t="s">
        <v>4</v>
      </c>
      <c r="D21" s="4">
        <f>D3-D15</f>
        <v>87514</v>
      </c>
      <c r="G21" t="s">
        <v>5</v>
      </c>
      <c r="H21" s="4">
        <f>H3-H15</f>
        <v>13973</v>
      </c>
    </row>
    <row r="24" spans="1:8" ht="15.75" x14ac:dyDescent="0.25">
      <c r="A24" t="s">
        <v>6</v>
      </c>
      <c r="C24" s="8">
        <f>D21</f>
        <v>87514</v>
      </c>
      <c r="E24" t="s">
        <v>10</v>
      </c>
      <c r="H24" s="6">
        <f>C33</f>
        <v>72201.06</v>
      </c>
    </row>
    <row r="26" spans="1:8" ht="15.75" x14ac:dyDescent="0.25">
      <c r="A26" t="s">
        <v>5</v>
      </c>
      <c r="B26" s="9" t="s">
        <v>7</v>
      </c>
      <c r="C26" s="8">
        <f>H21</f>
        <v>13973</v>
      </c>
      <c r="E26" s="13" t="s">
        <v>11</v>
      </c>
      <c r="F26" s="9" t="s">
        <v>12</v>
      </c>
      <c r="G26" s="15" t="s">
        <v>17</v>
      </c>
      <c r="H26" s="3">
        <f>-(F27*0.007)</f>
        <v>-1970.5</v>
      </c>
    </row>
    <row r="27" spans="1:8" x14ac:dyDescent="0.25">
      <c r="F27" s="21">
        <f>D3-H3</f>
        <v>281500</v>
      </c>
    </row>
    <row r="28" spans="1:8" ht="15.75" x14ac:dyDescent="0.25">
      <c r="A28" t="s">
        <v>8</v>
      </c>
      <c r="B28" s="9" t="s">
        <v>7</v>
      </c>
      <c r="C28" s="8">
        <f>D3*0.004</f>
        <v>1339.94</v>
      </c>
      <c r="F28" s="9" t="s">
        <v>13</v>
      </c>
      <c r="G28" s="16">
        <v>0.35</v>
      </c>
      <c r="H28" s="29">
        <f>-(F29*0.35)</f>
        <v>-25270.370999999999</v>
      </c>
    </row>
    <row r="29" spans="1:8" ht="15.75" thickBot="1" x14ac:dyDescent="0.3">
      <c r="F29" s="21">
        <f>H24</f>
        <v>72201.06</v>
      </c>
      <c r="H29" s="7"/>
    </row>
    <row r="30" spans="1:8" ht="15.75" x14ac:dyDescent="0.25">
      <c r="A30" t="s">
        <v>9</v>
      </c>
      <c r="B30" s="9" t="s">
        <v>7</v>
      </c>
      <c r="C30" s="10"/>
      <c r="G30" s="13" t="s">
        <v>14</v>
      </c>
      <c r="H30" s="6">
        <f>H24+H26+H28</f>
        <v>44960.188999999998</v>
      </c>
    </row>
    <row r="31" spans="1:8" ht="15.75" thickBot="1" x14ac:dyDescent="0.3">
      <c r="A31" s="16"/>
      <c r="B31" s="14"/>
      <c r="C31" s="7"/>
    </row>
    <row r="32" spans="1:8" x14ac:dyDescent="0.25">
      <c r="E32" t="s">
        <v>151</v>
      </c>
      <c r="H32" s="20">
        <f>H30*0.5</f>
        <v>22480.094499999999</v>
      </c>
    </row>
    <row r="33" spans="1:8" ht="15.75" x14ac:dyDescent="0.25">
      <c r="A33" t="s">
        <v>10</v>
      </c>
      <c r="C33" s="10">
        <f>C24-C26-C28-C30</f>
        <v>72201.06</v>
      </c>
      <c r="H33" s="18"/>
    </row>
    <row r="34" spans="1:8" x14ac:dyDescent="0.25">
      <c r="H34" s="3"/>
    </row>
    <row r="35" spans="1:8" x14ac:dyDescent="0.25">
      <c r="H35" s="18"/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F6C0B-AF71-4B33-8A8F-7CFA0397B408}">
  <dimension ref="A1:H35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279</v>
      </c>
    </row>
    <row r="3" spans="1:8" ht="21" x14ac:dyDescent="0.35">
      <c r="A3" s="2" t="s">
        <v>1</v>
      </c>
      <c r="D3" s="11">
        <v>360000</v>
      </c>
      <c r="F3" s="12" t="s">
        <v>3</v>
      </c>
      <c r="H3" s="11">
        <v>57479</v>
      </c>
    </row>
    <row r="4" spans="1:8" x14ac:dyDescent="0.25">
      <c r="A4" s="13" t="s">
        <v>32</v>
      </c>
      <c r="C4" s="26">
        <v>382</v>
      </c>
    </row>
    <row r="5" spans="1:8" ht="21" x14ac:dyDescent="0.35">
      <c r="A5" s="2" t="s">
        <v>2</v>
      </c>
    </row>
    <row r="7" spans="1:8" ht="18.75" x14ac:dyDescent="0.3">
      <c r="A7" s="5"/>
      <c r="D7" s="4"/>
      <c r="E7" s="25"/>
      <c r="H7" s="4"/>
    </row>
    <row r="8" spans="1:8" ht="18.75" x14ac:dyDescent="0.3">
      <c r="A8" s="5" t="s">
        <v>280</v>
      </c>
      <c r="D8" s="4">
        <v>116025</v>
      </c>
      <c r="E8" s="25" t="s">
        <v>34</v>
      </c>
      <c r="H8" s="4">
        <v>18525</v>
      </c>
    </row>
    <row r="9" spans="1:8" ht="18.75" x14ac:dyDescent="0.3">
      <c r="A9" s="5" t="s">
        <v>281</v>
      </c>
      <c r="D9" s="4">
        <v>35700</v>
      </c>
      <c r="E9" s="25"/>
      <c r="H9" s="4">
        <v>5700</v>
      </c>
    </row>
    <row r="10" spans="1:8" ht="18.75" x14ac:dyDescent="0.3">
      <c r="A10" s="5" t="s">
        <v>286</v>
      </c>
      <c r="D10" s="4">
        <v>25000</v>
      </c>
      <c r="E10" s="25"/>
      <c r="H10" s="4"/>
    </row>
    <row r="11" spans="1:8" ht="18.75" x14ac:dyDescent="0.3">
      <c r="A11" s="5"/>
      <c r="D11" s="4"/>
      <c r="E11" s="25"/>
      <c r="H11" s="4"/>
    </row>
    <row r="12" spans="1:8" ht="18.75" x14ac:dyDescent="0.3">
      <c r="A12" s="5"/>
      <c r="C12" s="3"/>
      <c r="D12" s="27"/>
      <c r="E12" s="25"/>
      <c r="H12" s="27"/>
    </row>
    <row r="13" spans="1:8" ht="18.75" x14ac:dyDescent="0.3">
      <c r="A13" s="5"/>
      <c r="C13" s="3"/>
      <c r="D13" s="28"/>
      <c r="E13" s="25"/>
      <c r="H13" s="28"/>
    </row>
    <row r="14" spans="1:8" ht="19.5" thickBot="1" x14ac:dyDescent="0.35">
      <c r="A14" s="5"/>
      <c r="C14" s="3"/>
      <c r="D14" s="22"/>
      <c r="E14" s="25"/>
      <c r="H14" s="22"/>
    </row>
    <row r="15" spans="1:8" ht="18.75" customHeight="1" x14ac:dyDescent="0.3">
      <c r="D15" s="4">
        <f>SUM(D7:D14)</f>
        <v>176725</v>
      </c>
      <c r="H15" s="4">
        <f>SUM(H7:H14)</f>
        <v>24225</v>
      </c>
    </row>
    <row r="16" spans="1:8" ht="18.75" x14ac:dyDescent="0.3">
      <c r="A16" s="5"/>
      <c r="C16" s="3"/>
      <c r="D16" s="4"/>
      <c r="H16" s="4"/>
    </row>
    <row r="18" spans="1:8" ht="18.75" x14ac:dyDescent="0.3">
      <c r="A18" s="5"/>
      <c r="C18" s="3"/>
      <c r="D18" s="4"/>
      <c r="H18" s="4"/>
    </row>
    <row r="19" spans="1:8" ht="15.75" thickBot="1" x14ac:dyDescent="0.3">
      <c r="D19" s="7"/>
      <c r="H19" s="7"/>
    </row>
    <row r="21" spans="1:8" ht="18.75" x14ac:dyDescent="0.3">
      <c r="C21" t="s">
        <v>4</v>
      </c>
      <c r="D21" s="4">
        <f>D3-D15</f>
        <v>183275</v>
      </c>
      <c r="G21" t="s">
        <v>5</v>
      </c>
      <c r="H21" s="4">
        <f>H3-H15</f>
        <v>33254</v>
      </c>
    </row>
    <row r="24" spans="1:8" ht="15.75" x14ac:dyDescent="0.25">
      <c r="A24" t="s">
        <v>6</v>
      </c>
      <c r="C24" s="8">
        <f>D21</f>
        <v>183275</v>
      </c>
      <c r="E24" t="s">
        <v>10</v>
      </c>
      <c r="H24" s="6">
        <f>C33</f>
        <v>148581</v>
      </c>
    </row>
    <row r="26" spans="1:8" ht="15.75" x14ac:dyDescent="0.25">
      <c r="A26" t="s">
        <v>5</v>
      </c>
      <c r="B26" s="9" t="s">
        <v>7</v>
      </c>
      <c r="C26" s="8">
        <f>H21</f>
        <v>33254</v>
      </c>
      <c r="E26" s="13" t="s">
        <v>11</v>
      </c>
      <c r="F26" s="9" t="s">
        <v>12</v>
      </c>
      <c r="G26" s="15" t="s">
        <v>17</v>
      </c>
      <c r="H26" s="3">
        <f>-(F27*0.007)</f>
        <v>-2117.6469999999999</v>
      </c>
    </row>
    <row r="27" spans="1:8" x14ac:dyDescent="0.25">
      <c r="F27" s="21">
        <f>D3-H3</f>
        <v>302521</v>
      </c>
    </row>
    <row r="28" spans="1:8" ht="15.75" x14ac:dyDescent="0.25">
      <c r="A28" t="s">
        <v>8</v>
      </c>
      <c r="B28" s="9" t="s">
        <v>7</v>
      </c>
      <c r="C28" s="8">
        <f>D3*0.004</f>
        <v>1440</v>
      </c>
      <c r="F28" s="9" t="s">
        <v>13</v>
      </c>
      <c r="G28" s="16">
        <v>0.35</v>
      </c>
      <c r="H28" s="29">
        <f>-(F29*0.35)</f>
        <v>-52003.35</v>
      </c>
    </row>
    <row r="29" spans="1:8" ht="15.75" thickBot="1" x14ac:dyDescent="0.3">
      <c r="F29" s="21">
        <f>H24</f>
        <v>148581</v>
      </c>
      <c r="H29" s="7"/>
    </row>
    <row r="30" spans="1:8" ht="15.75" x14ac:dyDescent="0.25">
      <c r="A30" t="s">
        <v>9</v>
      </c>
      <c r="B30" s="9" t="s">
        <v>7</v>
      </c>
      <c r="C30" s="10"/>
      <c r="G30" s="13" t="s">
        <v>14</v>
      </c>
      <c r="H30" s="6">
        <f>H24+H26+H28</f>
        <v>94460.002999999997</v>
      </c>
    </row>
    <row r="31" spans="1:8" ht="15.75" thickBot="1" x14ac:dyDescent="0.3">
      <c r="A31" s="16"/>
      <c r="B31" s="14"/>
      <c r="C31" s="7"/>
    </row>
    <row r="32" spans="1:8" x14ac:dyDescent="0.25">
      <c r="E32" t="s">
        <v>151</v>
      </c>
      <c r="H32" s="20">
        <f>H30*0.5</f>
        <v>47230.001499999998</v>
      </c>
    </row>
    <row r="33" spans="1:8" ht="15.75" x14ac:dyDescent="0.25">
      <c r="A33" t="s">
        <v>10</v>
      </c>
      <c r="C33" s="10">
        <f>C24-C26-C28-C30</f>
        <v>148581</v>
      </c>
      <c r="H33" s="18"/>
    </row>
    <row r="34" spans="1:8" x14ac:dyDescent="0.25">
      <c r="H34" s="3"/>
    </row>
    <row r="35" spans="1:8" x14ac:dyDescent="0.25">
      <c r="H35" s="18"/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2211C-D1B2-4E4F-84C7-0B9E41A03D4E}">
  <dimension ref="A1:H35"/>
  <sheetViews>
    <sheetView workbookViewId="0">
      <selection activeCell="H34" sqref="H34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273</v>
      </c>
    </row>
    <row r="3" spans="1:8" ht="21" x14ac:dyDescent="0.35">
      <c r="A3" s="2" t="s">
        <v>1</v>
      </c>
      <c r="D3" s="11">
        <v>304640</v>
      </c>
      <c r="F3" s="12" t="s">
        <v>3</v>
      </c>
      <c r="H3" s="11">
        <v>48640</v>
      </c>
    </row>
    <row r="4" spans="1:8" x14ac:dyDescent="0.25">
      <c r="A4" s="13" t="s">
        <v>32</v>
      </c>
      <c r="C4" s="26">
        <v>383</v>
      </c>
    </row>
    <row r="5" spans="1:8" ht="21" x14ac:dyDescent="0.35">
      <c r="A5" s="2" t="s">
        <v>2</v>
      </c>
    </row>
    <row r="7" spans="1:8" ht="18.75" x14ac:dyDescent="0.3">
      <c r="A7" s="5"/>
      <c r="D7" s="4"/>
      <c r="E7" s="25"/>
      <c r="H7" s="4"/>
    </row>
    <row r="8" spans="1:8" ht="18.75" x14ac:dyDescent="0.3">
      <c r="A8" s="5" t="s">
        <v>285</v>
      </c>
      <c r="D8" s="4">
        <v>207662</v>
      </c>
      <c r="E8" s="25" t="s">
        <v>34</v>
      </c>
      <c r="H8" s="4">
        <v>34610</v>
      </c>
    </row>
    <row r="9" spans="1:8" ht="18.75" x14ac:dyDescent="0.3">
      <c r="A9" s="5" t="s">
        <v>221</v>
      </c>
      <c r="D9" s="4">
        <v>15000</v>
      </c>
      <c r="E9" s="25"/>
      <c r="H9" s="4"/>
    </row>
    <row r="10" spans="1:8" ht="18.75" x14ac:dyDescent="0.3">
      <c r="A10" s="5"/>
      <c r="D10" s="4"/>
      <c r="E10" s="25"/>
      <c r="H10" s="4"/>
    </row>
    <row r="11" spans="1:8" ht="18.75" x14ac:dyDescent="0.3">
      <c r="A11" s="5"/>
      <c r="D11" s="4"/>
      <c r="E11" s="25"/>
      <c r="H11" s="4"/>
    </row>
    <row r="12" spans="1:8" ht="18.75" x14ac:dyDescent="0.3">
      <c r="A12" s="5"/>
      <c r="C12" s="3"/>
      <c r="D12" s="27"/>
      <c r="E12" s="25"/>
      <c r="H12" s="27"/>
    </row>
    <row r="13" spans="1:8" ht="18.75" x14ac:dyDescent="0.3">
      <c r="A13" s="5"/>
      <c r="C13" s="3"/>
      <c r="D13" s="28"/>
      <c r="E13" s="25"/>
      <c r="H13" s="28"/>
    </row>
    <row r="14" spans="1:8" ht="19.5" thickBot="1" x14ac:dyDescent="0.35">
      <c r="A14" s="5"/>
      <c r="C14" s="3"/>
      <c r="D14" s="22"/>
      <c r="E14" s="25"/>
      <c r="H14" s="22"/>
    </row>
    <row r="15" spans="1:8" ht="18.75" customHeight="1" x14ac:dyDescent="0.3">
      <c r="D15" s="4">
        <f>SUM(D7:D14)</f>
        <v>222662</v>
      </c>
      <c r="H15" s="4">
        <f>SUM(H7:H14)</f>
        <v>34610</v>
      </c>
    </row>
    <row r="16" spans="1:8" ht="18.75" x14ac:dyDescent="0.3">
      <c r="A16" s="5"/>
      <c r="C16" s="3"/>
      <c r="D16" s="4"/>
      <c r="H16" s="4"/>
    </row>
    <row r="18" spans="1:8" ht="18.75" x14ac:dyDescent="0.3">
      <c r="A18" s="5"/>
      <c r="C18" s="3"/>
      <c r="D18" s="4"/>
      <c r="H18" s="4"/>
    </row>
    <row r="19" spans="1:8" ht="15.75" thickBot="1" x14ac:dyDescent="0.3">
      <c r="D19" s="7"/>
      <c r="H19" s="7"/>
    </row>
    <row r="21" spans="1:8" ht="18.75" x14ac:dyDescent="0.3">
      <c r="C21" t="s">
        <v>4</v>
      </c>
      <c r="D21" s="4">
        <f>D3-D15</f>
        <v>81978</v>
      </c>
      <c r="G21" t="s">
        <v>5</v>
      </c>
      <c r="H21" s="4">
        <f>H3-H15</f>
        <v>14030</v>
      </c>
    </row>
    <row r="24" spans="1:8" ht="15.75" x14ac:dyDescent="0.25">
      <c r="A24" t="s">
        <v>6</v>
      </c>
      <c r="C24" s="8">
        <f>D21</f>
        <v>81978</v>
      </c>
      <c r="E24" t="s">
        <v>10</v>
      </c>
      <c r="H24" s="6">
        <f>C33</f>
        <v>66729.440000000002</v>
      </c>
    </row>
    <row r="26" spans="1:8" ht="15.75" x14ac:dyDescent="0.25">
      <c r="A26" t="s">
        <v>5</v>
      </c>
      <c r="B26" s="9" t="s">
        <v>7</v>
      </c>
      <c r="C26" s="8">
        <f>H21</f>
        <v>14030</v>
      </c>
      <c r="E26" s="13" t="s">
        <v>11</v>
      </c>
      <c r="F26" s="9" t="s">
        <v>12</v>
      </c>
      <c r="G26" s="15" t="s">
        <v>17</v>
      </c>
      <c r="H26" s="3">
        <f>-(F27*0.007)</f>
        <v>-1792</v>
      </c>
    </row>
    <row r="27" spans="1:8" x14ac:dyDescent="0.25">
      <c r="F27" s="21">
        <f>D3-H3</f>
        <v>256000</v>
      </c>
    </row>
    <row r="28" spans="1:8" ht="15.75" x14ac:dyDescent="0.25">
      <c r="A28" t="s">
        <v>8</v>
      </c>
      <c r="B28" s="9" t="s">
        <v>7</v>
      </c>
      <c r="C28" s="8">
        <f>D3*0.004</f>
        <v>1218.56</v>
      </c>
      <c r="F28" s="9" t="s">
        <v>13</v>
      </c>
      <c r="G28" s="16">
        <v>0.35</v>
      </c>
      <c r="H28" s="29">
        <f>-(F29*0.35)</f>
        <v>-23355.304</v>
      </c>
    </row>
    <row r="29" spans="1:8" ht="15.75" thickBot="1" x14ac:dyDescent="0.3">
      <c r="F29" s="21">
        <f>H24</f>
        <v>66729.440000000002</v>
      </c>
      <c r="H29" s="7"/>
    </row>
    <row r="30" spans="1:8" ht="15.75" x14ac:dyDescent="0.25">
      <c r="A30" t="s">
        <v>9</v>
      </c>
      <c r="B30" s="9" t="s">
        <v>7</v>
      </c>
      <c r="C30" s="10"/>
      <c r="G30" s="13" t="s">
        <v>14</v>
      </c>
      <c r="H30" s="6">
        <f>H24+H26+H28</f>
        <v>41582.135999999999</v>
      </c>
    </row>
    <row r="31" spans="1:8" ht="15.75" thickBot="1" x14ac:dyDescent="0.3">
      <c r="A31" s="16"/>
      <c r="B31" s="14"/>
      <c r="C31" s="7"/>
    </row>
    <row r="32" spans="1:8" x14ac:dyDescent="0.25">
      <c r="E32" t="s">
        <v>151</v>
      </c>
      <c r="H32" s="20">
        <f>H30*0.5</f>
        <v>20791.067999999999</v>
      </c>
    </row>
    <row r="33" spans="1:8" ht="15.75" x14ac:dyDescent="0.25">
      <c r="A33" t="s">
        <v>10</v>
      </c>
      <c r="C33" s="10">
        <f>C24-C26-C28-C30</f>
        <v>66729.440000000002</v>
      </c>
      <c r="H33" s="18"/>
    </row>
    <row r="34" spans="1:8" x14ac:dyDescent="0.25">
      <c r="H34" s="3"/>
    </row>
    <row r="35" spans="1:8" x14ac:dyDescent="0.25">
      <c r="H35" s="18"/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63943-6D40-4B69-B219-4F1B6C0B147E}">
  <dimension ref="A1:H35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287</v>
      </c>
    </row>
    <row r="3" spans="1:8" ht="21" x14ac:dyDescent="0.35">
      <c r="A3" s="2" t="s">
        <v>1</v>
      </c>
      <c r="D3" s="11">
        <v>582505</v>
      </c>
      <c r="F3" s="12" t="s">
        <v>3</v>
      </c>
      <c r="H3" s="11">
        <v>93005</v>
      </c>
    </row>
    <row r="4" spans="1:8" x14ac:dyDescent="0.25">
      <c r="A4" s="13" t="s">
        <v>32</v>
      </c>
      <c r="C4" s="26">
        <v>384</v>
      </c>
    </row>
    <row r="5" spans="1:8" ht="21" x14ac:dyDescent="0.35">
      <c r="A5" s="2" t="s">
        <v>2</v>
      </c>
    </row>
    <row r="7" spans="1:8" ht="18.75" x14ac:dyDescent="0.3">
      <c r="A7" s="5"/>
      <c r="D7" s="4"/>
      <c r="E7" s="25"/>
      <c r="H7" s="4"/>
    </row>
    <row r="8" spans="1:8" ht="18.75" x14ac:dyDescent="0.3">
      <c r="A8" s="5" t="s">
        <v>288</v>
      </c>
      <c r="D8" s="4">
        <v>251782</v>
      </c>
      <c r="E8" s="25" t="s">
        <v>34</v>
      </c>
      <c r="H8" s="4">
        <v>40200</v>
      </c>
    </row>
    <row r="9" spans="1:8" ht="18.75" x14ac:dyDescent="0.3">
      <c r="A9" s="5" t="s">
        <v>289</v>
      </c>
      <c r="D9" s="4">
        <v>190400</v>
      </c>
      <c r="E9" s="25"/>
      <c r="H9" s="4">
        <v>30400</v>
      </c>
    </row>
    <row r="10" spans="1:8" ht="18.75" x14ac:dyDescent="0.3">
      <c r="A10" s="5"/>
      <c r="D10" s="4"/>
      <c r="E10" s="25"/>
      <c r="H10" s="4"/>
    </row>
    <row r="11" spans="1:8" ht="18.75" x14ac:dyDescent="0.3">
      <c r="A11" s="5"/>
      <c r="D11" s="4"/>
      <c r="E11" s="25"/>
      <c r="H11" s="4"/>
    </row>
    <row r="12" spans="1:8" ht="18.75" x14ac:dyDescent="0.3">
      <c r="A12" s="5"/>
      <c r="C12" s="3"/>
      <c r="D12" s="27"/>
      <c r="E12" s="25"/>
      <c r="H12" s="27"/>
    </row>
    <row r="13" spans="1:8" ht="18.75" x14ac:dyDescent="0.3">
      <c r="A13" s="5"/>
      <c r="C13" s="3"/>
      <c r="D13" s="28"/>
      <c r="E13" s="25"/>
      <c r="H13" s="28"/>
    </row>
    <row r="14" spans="1:8" ht="19.5" thickBot="1" x14ac:dyDescent="0.35">
      <c r="A14" s="5"/>
      <c r="C14" s="3"/>
      <c r="D14" s="22"/>
      <c r="E14" s="25"/>
      <c r="H14" s="22"/>
    </row>
    <row r="15" spans="1:8" ht="18.75" customHeight="1" x14ac:dyDescent="0.3">
      <c r="D15" s="4">
        <f>SUM(D7:D14)</f>
        <v>442182</v>
      </c>
      <c r="H15" s="4">
        <f>SUM(H7:H14)</f>
        <v>70600</v>
      </c>
    </row>
    <row r="16" spans="1:8" ht="18.75" x14ac:dyDescent="0.3">
      <c r="A16" s="5"/>
      <c r="C16" s="3"/>
      <c r="D16" s="4"/>
      <c r="H16" s="4"/>
    </row>
    <row r="18" spans="1:8" ht="18.75" x14ac:dyDescent="0.3">
      <c r="A18" s="5"/>
      <c r="C18" s="3"/>
      <c r="D18" s="4"/>
      <c r="H18" s="4"/>
    </row>
    <row r="19" spans="1:8" ht="15.75" thickBot="1" x14ac:dyDescent="0.3">
      <c r="D19" s="7"/>
      <c r="H19" s="7"/>
    </row>
    <row r="21" spans="1:8" ht="18.75" x14ac:dyDescent="0.3">
      <c r="C21" t="s">
        <v>4</v>
      </c>
      <c r="D21" s="4">
        <f>D3-D15</f>
        <v>140323</v>
      </c>
      <c r="G21" t="s">
        <v>5</v>
      </c>
      <c r="H21" s="4">
        <f>H3-H15</f>
        <v>22405</v>
      </c>
    </row>
    <row r="24" spans="1:8" ht="15.75" x14ac:dyDescent="0.25">
      <c r="A24" t="s">
        <v>6</v>
      </c>
      <c r="C24" s="8">
        <f>D21</f>
        <v>140323</v>
      </c>
      <c r="E24" t="s">
        <v>10</v>
      </c>
      <c r="H24" s="6">
        <f>C33</f>
        <v>115587.98</v>
      </c>
    </row>
    <row r="26" spans="1:8" ht="15.75" x14ac:dyDescent="0.25">
      <c r="A26" t="s">
        <v>5</v>
      </c>
      <c r="B26" s="9" t="s">
        <v>7</v>
      </c>
      <c r="C26" s="8">
        <f>H21</f>
        <v>22405</v>
      </c>
      <c r="E26" s="13" t="s">
        <v>11</v>
      </c>
      <c r="F26" s="9" t="s">
        <v>12</v>
      </c>
      <c r="G26" s="15" t="s">
        <v>17</v>
      </c>
      <c r="H26" s="3">
        <f>-(F27*0.007)</f>
        <v>-3426.5</v>
      </c>
    </row>
    <row r="27" spans="1:8" x14ac:dyDescent="0.25">
      <c r="F27" s="21">
        <f>D3-H3</f>
        <v>489500</v>
      </c>
    </row>
    <row r="28" spans="1:8" ht="15.75" x14ac:dyDescent="0.25">
      <c r="A28" t="s">
        <v>8</v>
      </c>
      <c r="B28" s="9" t="s">
        <v>7</v>
      </c>
      <c r="C28" s="8">
        <f>D3*0.004</f>
        <v>2330.02</v>
      </c>
      <c r="F28" s="9" t="s">
        <v>13</v>
      </c>
      <c r="G28" s="16">
        <v>0.35</v>
      </c>
      <c r="H28" s="29">
        <f>-(F29*0.35)</f>
        <v>-40455.792999999998</v>
      </c>
    </row>
    <row r="29" spans="1:8" ht="15.75" thickBot="1" x14ac:dyDescent="0.3">
      <c r="F29" s="21">
        <f>H24</f>
        <v>115587.98</v>
      </c>
      <c r="H29" s="7"/>
    </row>
    <row r="30" spans="1:8" ht="15.75" x14ac:dyDescent="0.25">
      <c r="A30" t="s">
        <v>9</v>
      </c>
      <c r="B30" s="9" t="s">
        <v>7</v>
      </c>
      <c r="C30" s="10"/>
      <c r="G30" s="13" t="s">
        <v>14</v>
      </c>
      <c r="H30" s="6">
        <f>H24+H26+H28</f>
        <v>71705.687000000005</v>
      </c>
    </row>
    <row r="31" spans="1:8" ht="15.75" thickBot="1" x14ac:dyDescent="0.3">
      <c r="A31" s="16"/>
      <c r="B31" s="14"/>
      <c r="C31" s="7"/>
    </row>
    <row r="32" spans="1:8" x14ac:dyDescent="0.25">
      <c r="E32" t="s">
        <v>151</v>
      </c>
      <c r="H32" s="20">
        <f>H30*0.5</f>
        <v>35852.843500000003</v>
      </c>
    </row>
    <row r="33" spans="1:8" ht="15.75" x14ac:dyDescent="0.25">
      <c r="A33" t="s">
        <v>10</v>
      </c>
      <c r="C33" s="10">
        <f>C24-C26-C28-C30</f>
        <v>115587.98</v>
      </c>
      <c r="H33" s="18"/>
    </row>
    <row r="34" spans="1:8" x14ac:dyDescent="0.25">
      <c r="H34" s="3"/>
    </row>
    <row r="35" spans="1:8" x14ac:dyDescent="0.25">
      <c r="H35" s="18"/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238AA-52E5-4EE8-8B02-3544E0213B13}">
  <dimension ref="A1:H35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290</v>
      </c>
    </row>
    <row r="3" spans="1:8" ht="21" x14ac:dyDescent="0.35">
      <c r="A3" s="2" t="s">
        <v>1</v>
      </c>
      <c r="D3" s="11">
        <v>735718</v>
      </c>
      <c r="F3" s="12" t="s">
        <v>3</v>
      </c>
      <c r="H3" s="11">
        <v>117468</v>
      </c>
    </row>
    <row r="4" spans="1:8" x14ac:dyDescent="0.25">
      <c r="A4" s="13" t="s">
        <v>32</v>
      </c>
      <c r="C4" s="26">
        <v>386</v>
      </c>
    </row>
    <row r="5" spans="1:8" ht="21" x14ac:dyDescent="0.35">
      <c r="A5" s="2" t="s">
        <v>2</v>
      </c>
    </row>
    <row r="7" spans="1:8" ht="18.75" x14ac:dyDescent="0.3">
      <c r="A7" s="5"/>
      <c r="D7" s="4"/>
      <c r="E7" s="25"/>
      <c r="H7" s="4"/>
    </row>
    <row r="8" spans="1:8" ht="18.75" x14ac:dyDescent="0.3">
      <c r="A8" s="5" t="s">
        <v>291</v>
      </c>
      <c r="D8" s="4">
        <v>398003</v>
      </c>
      <c r="E8" s="25" t="s">
        <v>34</v>
      </c>
      <c r="H8" s="4">
        <v>63547</v>
      </c>
    </row>
    <row r="9" spans="1:8" ht="18.75" x14ac:dyDescent="0.3">
      <c r="A9" s="5" t="s">
        <v>221</v>
      </c>
      <c r="D9" s="4">
        <v>130670</v>
      </c>
      <c r="E9" s="25"/>
      <c r="H9" s="4">
        <v>20864</v>
      </c>
    </row>
    <row r="10" spans="1:8" ht="18.75" x14ac:dyDescent="0.3">
      <c r="A10" s="5"/>
      <c r="D10" s="4"/>
      <c r="E10" s="25"/>
      <c r="H10" s="4"/>
    </row>
    <row r="11" spans="1:8" ht="18.75" x14ac:dyDescent="0.3">
      <c r="A11" s="5"/>
      <c r="D11" s="4"/>
      <c r="E11" s="25"/>
      <c r="H11" s="4"/>
    </row>
    <row r="12" spans="1:8" ht="18.75" x14ac:dyDescent="0.3">
      <c r="A12" s="5"/>
      <c r="C12" s="3"/>
      <c r="D12" s="27"/>
      <c r="E12" s="25"/>
      <c r="H12" s="27"/>
    </row>
    <row r="13" spans="1:8" ht="18.75" x14ac:dyDescent="0.3">
      <c r="A13" s="5"/>
      <c r="C13" s="3"/>
      <c r="D13" s="28"/>
      <c r="E13" s="25"/>
      <c r="H13" s="28"/>
    </row>
    <row r="14" spans="1:8" ht="19.5" thickBot="1" x14ac:dyDescent="0.35">
      <c r="A14" s="5"/>
      <c r="C14" s="3"/>
      <c r="D14" s="22"/>
      <c r="E14" s="25"/>
      <c r="H14" s="22"/>
    </row>
    <row r="15" spans="1:8" ht="18.75" customHeight="1" x14ac:dyDescent="0.3">
      <c r="D15" s="4">
        <f>SUM(D7:D14)</f>
        <v>528673</v>
      </c>
      <c r="H15" s="4">
        <f>SUM(H7:H14)</f>
        <v>84411</v>
      </c>
    </row>
    <row r="16" spans="1:8" ht="18.75" x14ac:dyDescent="0.3">
      <c r="A16" s="5"/>
      <c r="C16" s="3"/>
      <c r="D16" s="4"/>
      <c r="H16" s="4"/>
    </row>
    <row r="18" spans="1:8" ht="18.75" x14ac:dyDescent="0.3">
      <c r="A18" s="5"/>
      <c r="C18" s="3"/>
      <c r="D18" s="4"/>
      <c r="H18" s="4"/>
    </row>
    <row r="19" spans="1:8" ht="15.75" thickBot="1" x14ac:dyDescent="0.3">
      <c r="D19" s="7"/>
      <c r="H19" s="7"/>
    </row>
    <row r="21" spans="1:8" ht="18.75" x14ac:dyDescent="0.3">
      <c r="C21" t="s">
        <v>4</v>
      </c>
      <c r="D21" s="4">
        <f>D3-D15</f>
        <v>207045</v>
      </c>
      <c r="G21" t="s">
        <v>5</v>
      </c>
      <c r="H21" s="4">
        <f>H3-H15</f>
        <v>33057</v>
      </c>
    </row>
    <row r="24" spans="1:8" ht="15.75" x14ac:dyDescent="0.25">
      <c r="A24" t="s">
        <v>6</v>
      </c>
      <c r="C24" s="8">
        <f>D21</f>
        <v>207045</v>
      </c>
      <c r="E24" t="s">
        <v>10</v>
      </c>
      <c r="H24" s="6">
        <f>C33</f>
        <v>171045.128</v>
      </c>
    </row>
    <row r="26" spans="1:8" ht="15.75" x14ac:dyDescent="0.25">
      <c r="A26" t="s">
        <v>5</v>
      </c>
      <c r="B26" s="9" t="s">
        <v>7</v>
      </c>
      <c r="C26" s="8">
        <f>H21</f>
        <v>33057</v>
      </c>
      <c r="E26" s="13" t="s">
        <v>11</v>
      </c>
      <c r="F26" s="9" t="s">
        <v>12</v>
      </c>
      <c r="G26" s="15" t="s">
        <v>17</v>
      </c>
      <c r="H26" s="3">
        <f>-(F27*0.007)</f>
        <v>-4327.75</v>
      </c>
    </row>
    <row r="27" spans="1:8" x14ac:dyDescent="0.25">
      <c r="F27" s="21">
        <f>D3-H3</f>
        <v>618250</v>
      </c>
    </row>
    <row r="28" spans="1:8" ht="15.75" x14ac:dyDescent="0.25">
      <c r="A28" t="s">
        <v>8</v>
      </c>
      <c r="B28" s="9" t="s">
        <v>7</v>
      </c>
      <c r="C28" s="8">
        <f>D3*0.004</f>
        <v>2942.8719999999998</v>
      </c>
      <c r="F28" s="9" t="s">
        <v>13</v>
      </c>
      <c r="G28" s="16">
        <v>0.35</v>
      </c>
      <c r="H28" s="29">
        <f>-(F29*0.35)</f>
        <v>-59865.794799999996</v>
      </c>
    </row>
    <row r="29" spans="1:8" ht="15.75" thickBot="1" x14ac:dyDescent="0.3">
      <c r="F29" s="21">
        <f>H24</f>
        <v>171045.128</v>
      </c>
      <c r="H29" s="7"/>
    </row>
    <row r="30" spans="1:8" ht="15.75" x14ac:dyDescent="0.25">
      <c r="A30" t="s">
        <v>9</v>
      </c>
      <c r="B30" s="9" t="s">
        <v>7</v>
      </c>
      <c r="C30" s="10"/>
      <c r="G30" s="13" t="s">
        <v>14</v>
      </c>
      <c r="H30" s="6">
        <f>H24+H26+H28</f>
        <v>106851.58319999999</v>
      </c>
    </row>
    <row r="31" spans="1:8" ht="15.75" thickBot="1" x14ac:dyDescent="0.3">
      <c r="A31" s="16"/>
      <c r="B31" s="14"/>
      <c r="C31" s="7"/>
    </row>
    <row r="32" spans="1:8" x14ac:dyDescent="0.25">
      <c r="E32" t="s">
        <v>151</v>
      </c>
      <c r="H32" s="20">
        <f>H30*0.5</f>
        <v>53425.791599999997</v>
      </c>
    </row>
    <row r="33" spans="1:8" ht="15.75" x14ac:dyDescent="0.25">
      <c r="A33" t="s">
        <v>10</v>
      </c>
      <c r="C33" s="10">
        <f>C24-C26-C28-C30</f>
        <v>171045.128</v>
      </c>
      <c r="H33" s="18"/>
    </row>
    <row r="34" spans="1:8" x14ac:dyDescent="0.25">
      <c r="H34" s="3"/>
    </row>
    <row r="35" spans="1:8" x14ac:dyDescent="0.25">
      <c r="H35" s="18"/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0866D-62A7-4133-A60D-7C55D12DED95}">
  <dimension ref="A1:H35"/>
  <sheetViews>
    <sheetView workbookViewId="0">
      <selection activeCell="C4" sqref="C4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292</v>
      </c>
    </row>
    <row r="3" spans="1:8" ht="21" x14ac:dyDescent="0.35">
      <c r="A3" s="2" t="s">
        <v>1</v>
      </c>
      <c r="D3" s="11">
        <v>329630</v>
      </c>
      <c r="F3" s="12" t="s">
        <v>3</v>
      </c>
      <c r="H3" s="11">
        <v>52630</v>
      </c>
    </row>
    <row r="4" spans="1:8" x14ac:dyDescent="0.25">
      <c r="A4" s="13" t="s">
        <v>32</v>
      </c>
      <c r="C4" s="26">
        <v>387</v>
      </c>
    </row>
    <row r="5" spans="1:8" ht="21" x14ac:dyDescent="0.35">
      <c r="A5" s="2" t="s">
        <v>2</v>
      </c>
    </row>
    <row r="7" spans="1:8" ht="18.75" x14ac:dyDescent="0.3">
      <c r="A7" s="5"/>
      <c r="D7" s="4"/>
      <c r="E7" s="25"/>
      <c r="H7" s="4"/>
    </row>
    <row r="8" spans="1:8" ht="18.75" x14ac:dyDescent="0.3">
      <c r="A8" s="5"/>
      <c r="D8" s="4"/>
      <c r="E8" s="25"/>
      <c r="H8" s="4"/>
    </row>
    <row r="9" spans="1:8" ht="18.75" x14ac:dyDescent="0.3">
      <c r="A9" s="5" t="s">
        <v>293</v>
      </c>
      <c r="D9" s="4">
        <v>190852</v>
      </c>
      <c r="E9" s="25"/>
      <c r="H9" s="4">
        <v>30472</v>
      </c>
    </row>
    <row r="10" spans="1:8" ht="18.75" x14ac:dyDescent="0.3">
      <c r="A10" s="5"/>
      <c r="D10" s="4"/>
      <c r="E10" s="25"/>
      <c r="H10" s="4"/>
    </row>
    <row r="11" spans="1:8" ht="18.75" x14ac:dyDescent="0.3">
      <c r="A11" s="5"/>
      <c r="D11" s="4"/>
      <c r="E11" s="25"/>
      <c r="H11" s="4"/>
    </row>
    <row r="12" spans="1:8" ht="18.75" x14ac:dyDescent="0.3">
      <c r="A12" s="5"/>
      <c r="C12" s="3"/>
      <c r="D12" s="27"/>
      <c r="E12" s="25"/>
      <c r="H12" s="27"/>
    </row>
    <row r="13" spans="1:8" ht="18.75" x14ac:dyDescent="0.3">
      <c r="A13" s="5"/>
      <c r="C13" s="3"/>
      <c r="D13" s="28"/>
      <c r="E13" s="25"/>
      <c r="H13" s="28"/>
    </row>
    <row r="14" spans="1:8" ht="19.5" thickBot="1" x14ac:dyDescent="0.35">
      <c r="A14" s="5"/>
      <c r="C14" s="3"/>
      <c r="D14" s="22"/>
      <c r="E14" s="25"/>
      <c r="H14" s="22"/>
    </row>
    <row r="15" spans="1:8" ht="18.75" customHeight="1" x14ac:dyDescent="0.3">
      <c r="D15" s="4">
        <f>SUM(D7:D14)</f>
        <v>190852</v>
      </c>
      <c r="H15" s="4">
        <f>SUM(H7:H14)</f>
        <v>30472</v>
      </c>
    </row>
    <row r="16" spans="1:8" ht="18.75" x14ac:dyDescent="0.3">
      <c r="A16" s="5"/>
      <c r="C16" s="3"/>
      <c r="D16" s="4"/>
      <c r="H16" s="4"/>
    </row>
    <row r="18" spans="1:8" ht="18.75" x14ac:dyDescent="0.3">
      <c r="A18" s="5"/>
      <c r="C18" s="3"/>
      <c r="D18" s="4"/>
      <c r="H18" s="4"/>
    </row>
    <row r="19" spans="1:8" ht="15.75" thickBot="1" x14ac:dyDescent="0.3">
      <c r="D19" s="7"/>
      <c r="H19" s="7"/>
    </row>
    <row r="21" spans="1:8" ht="18.75" x14ac:dyDescent="0.3">
      <c r="C21" t="s">
        <v>4</v>
      </c>
      <c r="D21" s="4">
        <f>D3-D15</f>
        <v>138778</v>
      </c>
      <c r="G21" t="s">
        <v>5</v>
      </c>
      <c r="H21" s="4">
        <f>H3-H15</f>
        <v>22158</v>
      </c>
    </row>
    <row r="24" spans="1:8" ht="15.75" x14ac:dyDescent="0.25">
      <c r="A24" t="s">
        <v>6</v>
      </c>
      <c r="C24" s="8">
        <f>D21</f>
        <v>138778</v>
      </c>
      <c r="E24" t="s">
        <v>10</v>
      </c>
      <c r="H24" s="6">
        <f>C33</f>
        <v>115301.48</v>
      </c>
    </row>
    <row r="26" spans="1:8" ht="15.75" x14ac:dyDescent="0.25">
      <c r="A26" t="s">
        <v>5</v>
      </c>
      <c r="B26" s="9" t="s">
        <v>7</v>
      </c>
      <c r="C26" s="8">
        <f>H21</f>
        <v>22158</v>
      </c>
      <c r="E26" s="13" t="s">
        <v>11</v>
      </c>
      <c r="F26" s="9" t="s">
        <v>12</v>
      </c>
      <c r="G26" s="15" t="s">
        <v>17</v>
      </c>
      <c r="H26" s="3">
        <f>-(F27*0.007)</f>
        <v>-1939</v>
      </c>
    </row>
    <row r="27" spans="1:8" x14ac:dyDescent="0.25">
      <c r="F27" s="21">
        <f>D3-H3</f>
        <v>277000</v>
      </c>
    </row>
    <row r="28" spans="1:8" ht="15.75" x14ac:dyDescent="0.25">
      <c r="A28" t="s">
        <v>8</v>
      </c>
      <c r="B28" s="9" t="s">
        <v>7</v>
      </c>
      <c r="C28" s="8">
        <f>D3*0.004</f>
        <v>1318.52</v>
      </c>
      <c r="F28" s="9" t="s">
        <v>13</v>
      </c>
      <c r="G28" s="16">
        <v>0.35</v>
      </c>
      <c r="H28" s="29">
        <f>-(F29*0.35)</f>
        <v>-40355.517999999996</v>
      </c>
    </row>
    <row r="29" spans="1:8" ht="15.75" thickBot="1" x14ac:dyDescent="0.3">
      <c r="F29" s="21">
        <f>H24</f>
        <v>115301.48</v>
      </c>
      <c r="H29" s="7"/>
    </row>
    <row r="30" spans="1:8" ht="15.75" x14ac:dyDescent="0.25">
      <c r="A30" t="s">
        <v>9</v>
      </c>
      <c r="B30" s="9" t="s">
        <v>7</v>
      </c>
      <c r="C30" s="10"/>
      <c r="G30" s="13" t="s">
        <v>14</v>
      </c>
      <c r="H30" s="6">
        <f>H24+H26+H28</f>
        <v>73006.962</v>
      </c>
    </row>
    <row r="31" spans="1:8" ht="15.75" thickBot="1" x14ac:dyDescent="0.3">
      <c r="A31" s="16"/>
      <c r="B31" s="14"/>
      <c r="C31" s="7"/>
    </row>
    <row r="32" spans="1:8" x14ac:dyDescent="0.25">
      <c r="E32" t="s">
        <v>151</v>
      </c>
      <c r="H32" s="20">
        <f>H30*0.5</f>
        <v>36503.481</v>
      </c>
    </row>
    <row r="33" spans="1:8" ht="15.75" x14ac:dyDescent="0.25">
      <c r="A33" t="s">
        <v>10</v>
      </c>
      <c r="C33" s="10">
        <f>C24-C26-C28-C30</f>
        <v>115301.48</v>
      </c>
      <c r="H33" s="18"/>
    </row>
    <row r="34" spans="1:8" x14ac:dyDescent="0.25">
      <c r="H34" s="3"/>
    </row>
    <row r="35" spans="1:8" x14ac:dyDescent="0.25">
      <c r="H35" s="18"/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65BD9-BF3A-4ECC-9635-F47CFDA14905}">
  <dimension ref="A1:H35"/>
  <sheetViews>
    <sheetView workbookViewId="0">
      <selection activeCell="H15" sqref="H15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296</v>
      </c>
    </row>
    <row r="3" spans="1:8" ht="21" x14ac:dyDescent="0.35">
      <c r="A3" s="2" t="s">
        <v>1</v>
      </c>
      <c r="D3" s="11">
        <v>89250</v>
      </c>
      <c r="F3" s="12" t="s">
        <v>3</v>
      </c>
      <c r="H3" s="11">
        <v>14250</v>
      </c>
    </row>
    <row r="4" spans="1:8" x14ac:dyDescent="0.25">
      <c r="A4" s="13" t="s">
        <v>32</v>
      </c>
      <c r="C4" s="26">
        <v>388</v>
      </c>
    </row>
    <row r="5" spans="1:8" ht="21" x14ac:dyDescent="0.35">
      <c r="A5" s="2" t="s">
        <v>2</v>
      </c>
    </row>
    <row r="7" spans="1:8" ht="18.75" x14ac:dyDescent="0.3">
      <c r="A7" s="5"/>
      <c r="D7" s="4"/>
      <c r="E7" s="25"/>
      <c r="H7" s="4"/>
    </row>
    <row r="8" spans="1:8" ht="18.75" x14ac:dyDescent="0.3">
      <c r="A8" s="5"/>
      <c r="D8" s="4"/>
      <c r="E8" s="25"/>
      <c r="H8" s="4"/>
    </row>
    <row r="9" spans="1:8" ht="18.75" x14ac:dyDescent="0.3">
      <c r="A9" s="5" t="s">
        <v>297</v>
      </c>
      <c r="D9" s="4">
        <v>65836</v>
      </c>
      <c r="E9" s="25"/>
      <c r="H9" s="4">
        <v>10973</v>
      </c>
    </row>
    <row r="10" spans="1:8" ht="18.75" x14ac:dyDescent="0.3">
      <c r="A10" s="5"/>
      <c r="D10" s="4"/>
      <c r="E10" s="25"/>
      <c r="H10" s="4"/>
    </row>
    <row r="11" spans="1:8" ht="18.75" x14ac:dyDescent="0.3">
      <c r="A11" s="5"/>
      <c r="D11" s="4"/>
      <c r="E11" s="25"/>
      <c r="H11" s="4"/>
    </row>
    <row r="12" spans="1:8" ht="18.75" x14ac:dyDescent="0.3">
      <c r="A12" s="5"/>
      <c r="C12" s="3"/>
      <c r="D12" s="27"/>
      <c r="E12" s="25"/>
      <c r="H12" s="27"/>
    </row>
    <row r="13" spans="1:8" ht="18.75" x14ac:dyDescent="0.3">
      <c r="A13" s="5"/>
      <c r="C13" s="3"/>
      <c r="D13" s="28"/>
      <c r="E13" s="25"/>
      <c r="H13" s="28"/>
    </row>
    <row r="14" spans="1:8" ht="19.5" thickBot="1" x14ac:dyDescent="0.35">
      <c r="A14" s="5"/>
      <c r="C14" s="3"/>
      <c r="D14" s="22"/>
      <c r="E14" s="25"/>
      <c r="H14" s="22"/>
    </row>
    <row r="15" spans="1:8" ht="18.75" customHeight="1" x14ac:dyDescent="0.3">
      <c r="D15" s="4">
        <f>SUM(D7:D14)</f>
        <v>65836</v>
      </c>
      <c r="H15" s="4">
        <f>SUM(H7:H14)</f>
        <v>10973</v>
      </c>
    </row>
    <row r="16" spans="1:8" ht="18.75" x14ac:dyDescent="0.3">
      <c r="A16" s="5"/>
      <c r="C16" s="3"/>
      <c r="D16" s="4"/>
      <c r="H16" s="4"/>
    </row>
    <row r="18" spans="1:8" ht="18.75" x14ac:dyDescent="0.3">
      <c r="A18" s="5"/>
      <c r="C18" s="3"/>
      <c r="D18" s="4"/>
      <c r="H18" s="4"/>
    </row>
    <row r="19" spans="1:8" ht="15.75" thickBot="1" x14ac:dyDescent="0.3">
      <c r="D19" s="7"/>
      <c r="H19" s="7"/>
    </row>
    <row r="21" spans="1:8" ht="18.75" x14ac:dyDescent="0.3">
      <c r="C21" t="s">
        <v>4</v>
      </c>
      <c r="D21" s="4">
        <f>D3-D15</f>
        <v>23414</v>
      </c>
      <c r="G21" t="s">
        <v>5</v>
      </c>
      <c r="H21" s="4">
        <f>H3-H15</f>
        <v>3277</v>
      </c>
    </row>
    <row r="24" spans="1:8" ht="15.75" x14ac:dyDescent="0.25">
      <c r="A24" t="s">
        <v>6</v>
      </c>
      <c r="C24" s="8">
        <f>D21</f>
        <v>23414</v>
      </c>
      <c r="E24" t="s">
        <v>10</v>
      </c>
      <c r="H24" s="6">
        <f>C33</f>
        <v>19780</v>
      </c>
    </row>
    <row r="26" spans="1:8" ht="15.75" x14ac:dyDescent="0.25">
      <c r="A26" t="s">
        <v>5</v>
      </c>
      <c r="B26" s="9" t="s">
        <v>7</v>
      </c>
      <c r="C26" s="8">
        <f>H21</f>
        <v>3277</v>
      </c>
      <c r="E26" s="13" t="s">
        <v>11</v>
      </c>
      <c r="F26" s="9" t="s">
        <v>12</v>
      </c>
      <c r="G26" s="15" t="s">
        <v>17</v>
      </c>
      <c r="H26" s="3">
        <f>-(F27*0.007)</f>
        <v>-525</v>
      </c>
    </row>
    <row r="27" spans="1:8" x14ac:dyDescent="0.25">
      <c r="F27" s="21">
        <f>D3-H3</f>
        <v>75000</v>
      </c>
    </row>
    <row r="28" spans="1:8" ht="15.75" x14ac:dyDescent="0.25">
      <c r="A28" t="s">
        <v>8</v>
      </c>
      <c r="B28" s="9" t="s">
        <v>7</v>
      </c>
      <c r="C28" s="8">
        <f>D3*0.004</f>
        <v>357</v>
      </c>
      <c r="F28" s="9" t="s">
        <v>13</v>
      </c>
      <c r="G28" s="16">
        <v>0.35</v>
      </c>
      <c r="H28" s="29">
        <f>-(F29*0.35)</f>
        <v>-6923</v>
      </c>
    </row>
    <row r="29" spans="1:8" ht="15.75" thickBot="1" x14ac:dyDescent="0.3">
      <c r="F29" s="21">
        <f>H24</f>
        <v>19780</v>
      </c>
      <c r="H29" s="7"/>
    </row>
    <row r="30" spans="1:8" ht="15.75" x14ac:dyDescent="0.25">
      <c r="A30" t="s">
        <v>9</v>
      </c>
      <c r="B30" s="9" t="s">
        <v>7</v>
      </c>
      <c r="C30" s="10"/>
      <c r="G30" s="13" t="s">
        <v>14</v>
      </c>
      <c r="H30" s="6">
        <f>H24+H26+H28</f>
        <v>12332</v>
      </c>
    </row>
    <row r="31" spans="1:8" ht="15.75" thickBot="1" x14ac:dyDescent="0.3">
      <c r="A31" s="16"/>
      <c r="B31" s="14"/>
      <c r="C31" s="7"/>
    </row>
    <row r="32" spans="1:8" x14ac:dyDescent="0.25">
      <c r="E32" t="s">
        <v>151</v>
      </c>
      <c r="H32" s="20">
        <f>H30*0.5</f>
        <v>6166</v>
      </c>
    </row>
    <row r="33" spans="1:8" ht="15.75" x14ac:dyDescent="0.25">
      <c r="A33" t="s">
        <v>10</v>
      </c>
      <c r="C33" s="10">
        <f>C24-C26-C28-C30</f>
        <v>19780</v>
      </c>
      <c r="H33" s="18"/>
    </row>
    <row r="34" spans="1:8" x14ac:dyDescent="0.25">
      <c r="H34" s="3"/>
    </row>
    <row r="35" spans="1:8" x14ac:dyDescent="0.25">
      <c r="H35" s="18"/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4C9E5-FA1A-4DF1-AFC2-A893E58F7F5E}">
  <dimension ref="A1:H35"/>
  <sheetViews>
    <sheetView workbookViewId="0">
      <selection activeCell="C13" sqref="C13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294</v>
      </c>
    </row>
    <row r="3" spans="1:8" ht="21" x14ac:dyDescent="0.35">
      <c r="A3" s="2" t="s">
        <v>1</v>
      </c>
      <c r="D3" s="11">
        <v>1773100</v>
      </c>
      <c r="F3" s="12" t="s">
        <v>3</v>
      </c>
      <c r="H3" s="11">
        <v>283100</v>
      </c>
    </row>
    <row r="4" spans="1:8" x14ac:dyDescent="0.25">
      <c r="A4" s="13" t="s">
        <v>32</v>
      </c>
      <c r="C4" s="26">
        <v>389</v>
      </c>
    </row>
    <row r="5" spans="1:8" ht="21" x14ac:dyDescent="0.35">
      <c r="A5" s="2" t="s">
        <v>2</v>
      </c>
    </row>
    <row r="7" spans="1:8" ht="18.75" x14ac:dyDescent="0.3">
      <c r="A7" s="5"/>
      <c r="D7" s="4"/>
      <c r="E7" s="25"/>
      <c r="H7" s="4"/>
    </row>
    <row r="8" spans="1:8" ht="18.75" x14ac:dyDescent="0.3">
      <c r="A8" s="5"/>
      <c r="D8" s="4"/>
      <c r="E8" s="25"/>
      <c r="H8" s="4"/>
    </row>
    <row r="9" spans="1:8" ht="18.75" x14ac:dyDescent="0.3">
      <c r="A9" s="5" t="s">
        <v>295</v>
      </c>
      <c r="D9" s="4">
        <v>1427534</v>
      </c>
      <c r="E9" s="25"/>
      <c r="H9" s="4">
        <v>227926</v>
      </c>
    </row>
    <row r="10" spans="1:8" ht="18.75" x14ac:dyDescent="0.3">
      <c r="A10" s="5"/>
      <c r="D10" s="4"/>
      <c r="E10" s="25"/>
      <c r="H10" s="4"/>
    </row>
    <row r="11" spans="1:8" ht="18.75" x14ac:dyDescent="0.3">
      <c r="A11" s="5"/>
      <c r="D11" s="4"/>
      <c r="E11" s="25"/>
      <c r="H11" s="4"/>
    </row>
    <row r="12" spans="1:8" ht="18.75" x14ac:dyDescent="0.3">
      <c r="A12" s="5"/>
      <c r="C12" s="3"/>
      <c r="D12" s="27"/>
      <c r="E12" s="25"/>
      <c r="H12" s="27"/>
    </row>
    <row r="13" spans="1:8" ht="18.75" x14ac:dyDescent="0.3">
      <c r="A13" s="5"/>
      <c r="C13" s="3"/>
      <c r="D13" s="28"/>
      <c r="E13" s="25"/>
      <c r="H13" s="28"/>
    </row>
    <row r="14" spans="1:8" ht="19.5" thickBot="1" x14ac:dyDescent="0.35">
      <c r="A14" s="5"/>
      <c r="C14" s="3"/>
      <c r="D14" s="22"/>
      <c r="E14" s="25"/>
      <c r="H14" s="22"/>
    </row>
    <row r="15" spans="1:8" ht="18.75" customHeight="1" x14ac:dyDescent="0.3">
      <c r="D15" s="4">
        <f>SUM(D7:D14)</f>
        <v>1427534</v>
      </c>
      <c r="H15" s="4">
        <f>SUM(H7:H14)</f>
        <v>227926</v>
      </c>
    </row>
    <row r="16" spans="1:8" ht="18.75" x14ac:dyDescent="0.3">
      <c r="A16" s="5"/>
      <c r="C16" s="3"/>
      <c r="D16" s="4"/>
      <c r="H16" s="4"/>
    </row>
    <row r="18" spans="1:8" ht="18.75" x14ac:dyDescent="0.3">
      <c r="A18" s="5"/>
      <c r="C18" s="3"/>
      <c r="D18" s="4"/>
      <c r="H18" s="4"/>
    </row>
    <row r="19" spans="1:8" ht="15.75" thickBot="1" x14ac:dyDescent="0.3">
      <c r="D19" s="7"/>
      <c r="H19" s="7"/>
    </row>
    <row r="21" spans="1:8" ht="18.75" x14ac:dyDescent="0.3">
      <c r="C21" t="s">
        <v>4</v>
      </c>
      <c r="D21" s="4">
        <f>D3-D15</f>
        <v>345566</v>
      </c>
      <c r="G21" t="s">
        <v>5</v>
      </c>
      <c r="H21" s="4">
        <f>H3-H15</f>
        <v>55174</v>
      </c>
    </row>
    <row r="24" spans="1:8" ht="15.75" x14ac:dyDescent="0.25">
      <c r="A24" t="s">
        <v>6</v>
      </c>
      <c r="C24" s="8">
        <f>D21</f>
        <v>345566</v>
      </c>
      <c r="E24" t="s">
        <v>10</v>
      </c>
      <c r="H24" s="6">
        <f>C33</f>
        <v>283299.59999999998</v>
      </c>
    </row>
    <row r="26" spans="1:8" ht="15.75" x14ac:dyDescent="0.25">
      <c r="A26" t="s">
        <v>5</v>
      </c>
      <c r="B26" s="9" t="s">
        <v>7</v>
      </c>
      <c r="C26" s="8">
        <f>H21</f>
        <v>55174</v>
      </c>
      <c r="E26" s="13" t="s">
        <v>11</v>
      </c>
      <c r="F26" s="9" t="s">
        <v>12</v>
      </c>
      <c r="G26" s="15" t="s">
        <v>17</v>
      </c>
      <c r="H26" s="3">
        <f>-(F27*0.007)</f>
        <v>-10430</v>
      </c>
    </row>
    <row r="27" spans="1:8" x14ac:dyDescent="0.25">
      <c r="F27" s="21">
        <f>D3-H3</f>
        <v>1490000</v>
      </c>
    </row>
    <row r="28" spans="1:8" ht="15.75" x14ac:dyDescent="0.25">
      <c r="A28" t="s">
        <v>8</v>
      </c>
      <c r="B28" s="9" t="s">
        <v>7</v>
      </c>
      <c r="C28" s="8">
        <f>D3*0.004</f>
        <v>7092.4000000000005</v>
      </c>
      <c r="F28" s="9" t="s">
        <v>13</v>
      </c>
      <c r="G28" s="16">
        <v>0.35</v>
      </c>
      <c r="H28" s="29">
        <f>-(F29*0.35)</f>
        <v>-99154.859999999986</v>
      </c>
    </row>
    <row r="29" spans="1:8" ht="15.75" thickBot="1" x14ac:dyDescent="0.3">
      <c r="F29" s="21">
        <f>H24</f>
        <v>283299.59999999998</v>
      </c>
      <c r="H29" s="7"/>
    </row>
    <row r="30" spans="1:8" ht="15.75" x14ac:dyDescent="0.25">
      <c r="A30" t="s">
        <v>9</v>
      </c>
      <c r="B30" s="9" t="s">
        <v>7</v>
      </c>
      <c r="C30" s="10"/>
      <c r="G30" s="13" t="s">
        <v>14</v>
      </c>
      <c r="H30" s="6">
        <f>H24+H26+H28</f>
        <v>173714.74</v>
      </c>
    </row>
    <row r="31" spans="1:8" ht="15.75" thickBot="1" x14ac:dyDescent="0.3">
      <c r="A31" s="16"/>
      <c r="B31" s="14"/>
      <c r="C31" s="7"/>
    </row>
    <row r="32" spans="1:8" x14ac:dyDescent="0.25">
      <c r="E32" t="s">
        <v>151</v>
      </c>
      <c r="H32" s="20">
        <f>H30*0.5</f>
        <v>86857.37</v>
      </c>
    </row>
    <row r="33" spans="1:8" ht="15.75" x14ac:dyDescent="0.25">
      <c r="A33" t="s">
        <v>10</v>
      </c>
      <c r="C33" s="10">
        <f>C24-C26-C28-C30</f>
        <v>283299.59999999998</v>
      </c>
      <c r="H33" s="18"/>
    </row>
    <row r="34" spans="1:8" x14ac:dyDescent="0.25">
      <c r="H34" s="3"/>
    </row>
    <row r="35" spans="1:8" x14ac:dyDescent="0.25">
      <c r="H35" s="18"/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D48E7-8DBB-433F-B215-5F280F3CCE48}">
  <dimension ref="A1:H35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261</v>
      </c>
    </row>
    <row r="3" spans="1:8" ht="21" x14ac:dyDescent="0.35">
      <c r="A3" s="2" t="s">
        <v>1</v>
      </c>
      <c r="D3" s="11">
        <v>178500</v>
      </c>
      <c r="F3" s="12" t="s">
        <v>3</v>
      </c>
      <c r="H3" s="11">
        <v>28500</v>
      </c>
    </row>
    <row r="4" spans="1:8" x14ac:dyDescent="0.25">
      <c r="A4" s="13" t="s">
        <v>32</v>
      </c>
      <c r="C4" s="26">
        <v>392</v>
      </c>
    </row>
    <row r="5" spans="1:8" ht="21" x14ac:dyDescent="0.35">
      <c r="A5" s="2" t="s">
        <v>2</v>
      </c>
    </row>
    <row r="7" spans="1:8" ht="18.75" x14ac:dyDescent="0.3">
      <c r="A7" s="5"/>
      <c r="D7" s="4"/>
      <c r="E7" s="25"/>
      <c r="H7" s="4"/>
    </row>
    <row r="8" spans="1:8" ht="18.75" x14ac:dyDescent="0.3">
      <c r="A8" s="5"/>
      <c r="D8" s="4"/>
      <c r="E8" s="25"/>
      <c r="H8" s="4"/>
    </row>
    <row r="9" spans="1:8" ht="18.75" x14ac:dyDescent="0.3">
      <c r="A9" s="5" t="s">
        <v>298</v>
      </c>
      <c r="D9" s="4">
        <v>39428</v>
      </c>
      <c r="E9" s="25"/>
      <c r="H9" s="4">
        <v>6295</v>
      </c>
    </row>
    <row r="10" spans="1:8" ht="18.75" x14ac:dyDescent="0.3">
      <c r="A10" s="5" t="s">
        <v>221</v>
      </c>
      <c r="D10" s="4">
        <v>33620</v>
      </c>
      <c r="E10" s="25"/>
      <c r="H10" s="4"/>
    </row>
    <row r="11" spans="1:8" ht="18.75" x14ac:dyDescent="0.3">
      <c r="A11" s="5"/>
      <c r="D11" s="4"/>
      <c r="E11" s="25"/>
      <c r="H11" s="4"/>
    </row>
    <row r="12" spans="1:8" ht="18.75" x14ac:dyDescent="0.3">
      <c r="A12" s="5"/>
      <c r="C12" s="3"/>
      <c r="D12" s="27"/>
      <c r="E12" s="25"/>
      <c r="H12" s="27"/>
    </row>
    <row r="13" spans="1:8" ht="18.75" x14ac:dyDescent="0.3">
      <c r="A13" s="5"/>
      <c r="C13" s="3"/>
      <c r="D13" s="28"/>
      <c r="E13" s="25"/>
      <c r="H13" s="28"/>
    </row>
    <row r="14" spans="1:8" ht="19.5" thickBot="1" x14ac:dyDescent="0.35">
      <c r="A14" s="5"/>
      <c r="C14" s="3"/>
      <c r="D14" s="22"/>
      <c r="E14" s="25"/>
      <c r="H14" s="22"/>
    </row>
    <row r="15" spans="1:8" ht="18.75" customHeight="1" x14ac:dyDescent="0.3">
      <c r="D15" s="4">
        <f>SUM(D7:D14)</f>
        <v>73048</v>
      </c>
      <c r="H15" s="4">
        <f>SUM(H7:H14)</f>
        <v>6295</v>
      </c>
    </row>
    <row r="16" spans="1:8" ht="18.75" x14ac:dyDescent="0.3">
      <c r="A16" s="5"/>
      <c r="C16" s="3"/>
      <c r="D16" s="4"/>
      <c r="H16" s="4"/>
    </row>
    <row r="18" spans="1:8" ht="18.75" x14ac:dyDescent="0.3">
      <c r="A18" s="5"/>
      <c r="C18" s="3"/>
      <c r="D18" s="4"/>
      <c r="H18" s="4"/>
    </row>
    <row r="19" spans="1:8" ht="15.75" thickBot="1" x14ac:dyDescent="0.3">
      <c r="D19" s="7"/>
      <c r="H19" s="7"/>
    </row>
    <row r="21" spans="1:8" ht="18.75" x14ac:dyDescent="0.3">
      <c r="C21" t="s">
        <v>4</v>
      </c>
      <c r="D21" s="4">
        <f>D3-D15</f>
        <v>105452</v>
      </c>
      <c r="G21" t="s">
        <v>5</v>
      </c>
      <c r="H21" s="4">
        <f>H3-H15</f>
        <v>22205</v>
      </c>
    </row>
    <row r="24" spans="1:8" ht="15.75" x14ac:dyDescent="0.25">
      <c r="A24" t="s">
        <v>6</v>
      </c>
      <c r="C24" s="8">
        <f>D21</f>
        <v>105452</v>
      </c>
      <c r="E24" t="s">
        <v>10</v>
      </c>
      <c r="H24" s="6">
        <f>C33</f>
        <v>82533</v>
      </c>
    </row>
    <row r="26" spans="1:8" ht="15.75" x14ac:dyDescent="0.25">
      <c r="A26" t="s">
        <v>5</v>
      </c>
      <c r="B26" s="9" t="s">
        <v>7</v>
      </c>
      <c r="C26" s="8">
        <f>H21</f>
        <v>22205</v>
      </c>
      <c r="E26" s="13" t="s">
        <v>11</v>
      </c>
      <c r="F26" s="9" t="s">
        <v>12</v>
      </c>
      <c r="G26" s="15" t="s">
        <v>17</v>
      </c>
      <c r="H26" s="3">
        <f>-(F27*0.007)</f>
        <v>-1050</v>
      </c>
    </row>
    <row r="27" spans="1:8" x14ac:dyDescent="0.25">
      <c r="F27" s="21">
        <f>D3-H3</f>
        <v>150000</v>
      </c>
    </row>
    <row r="28" spans="1:8" ht="15.75" x14ac:dyDescent="0.25">
      <c r="A28" t="s">
        <v>8</v>
      </c>
      <c r="B28" s="9" t="s">
        <v>7</v>
      </c>
      <c r="C28" s="8">
        <f>D3*0.004</f>
        <v>714</v>
      </c>
      <c r="F28" s="9" t="s">
        <v>13</v>
      </c>
      <c r="G28" s="16">
        <v>0.35</v>
      </c>
      <c r="H28" s="29">
        <f>-(F29*0.35)</f>
        <v>-28886.55</v>
      </c>
    </row>
    <row r="29" spans="1:8" ht="15.75" thickBot="1" x14ac:dyDescent="0.3">
      <c r="F29" s="21">
        <f>H24</f>
        <v>82533</v>
      </c>
      <c r="H29" s="7"/>
    </row>
    <row r="30" spans="1:8" ht="15.75" x14ac:dyDescent="0.25">
      <c r="A30" t="s">
        <v>9</v>
      </c>
      <c r="B30" s="9" t="s">
        <v>7</v>
      </c>
      <c r="C30" s="10"/>
      <c r="G30" s="13" t="s">
        <v>14</v>
      </c>
      <c r="H30" s="6">
        <f>H24+H26+H28</f>
        <v>52596.45</v>
      </c>
    </row>
    <row r="31" spans="1:8" ht="15.75" thickBot="1" x14ac:dyDescent="0.3">
      <c r="A31" s="16"/>
      <c r="B31" s="14"/>
      <c r="C31" s="7"/>
    </row>
    <row r="32" spans="1:8" x14ac:dyDescent="0.25">
      <c r="E32" t="s">
        <v>151</v>
      </c>
      <c r="H32" s="20">
        <f>H30*0.5</f>
        <v>26298.224999999999</v>
      </c>
    </row>
    <row r="33" spans="1:8" ht="15.75" x14ac:dyDescent="0.25">
      <c r="A33" t="s">
        <v>10</v>
      </c>
      <c r="C33" s="10">
        <f>C24-C26-C28-C30</f>
        <v>82533</v>
      </c>
      <c r="H33" s="18"/>
    </row>
    <row r="34" spans="1:8" x14ac:dyDescent="0.25">
      <c r="H34" s="3"/>
    </row>
    <row r="35" spans="1:8" x14ac:dyDescent="0.25">
      <c r="H35" s="18"/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EB5B2-B5A3-445C-9B0B-A5840E9ADA4D}">
  <dimension ref="A1:H35"/>
  <sheetViews>
    <sheetView workbookViewId="0">
      <selection activeCell="I14" sqref="I14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299</v>
      </c>
    </row>
    <row r="3" spans="1:8" ht="21" x14ac:dyDescent="0.35">
      <c r="A3" s="2" t="s">
        <v>1</v>
      </c>
      <c r="D3" s="11">
        <v>28560</v>
      </c>
      <c r="F3" s="12" t="s">
        <v>3</v>
      </c>
      <c r="H3" s="11">
        <v>4560</v>
      </c>
    </row>
    <row r="4" spans="1:8" x14ac:dyDescent="0.25">
      <c r="A4" s="13" t="s">
        <v>32</v>
      </c>
      <c r="C4" s="26">
        <v>393</v>
      </c>
    </row>
    <row r="5" spans="1:8" ht="21" x14ac:dyDescent="0.35">
      <c r="A5" s="2" t="s">
        <v>2</v>
      </c>
    </row>
    <row r="7" spans="1:8" ht="18.75" x14ac:dyDescent="0.3">
      <c r="A7" s="5"/>
      <c r="D7" s="4"/>
      <c r="E7" s="25"/>
      <c r="H7" s="4"/>
    </row>
    <row r="8" spans="1:8" ht="18.75" x14ac:dyDescent="0.3">
      <c r="A8" s="5"/>
      <c r="D8" s="4"/>
      <c r="E8" s="25"/>
      <c r="H8" s="4"/>
    </row>
    <row r="9" spans="1:8" ht="18.75" x14ac:dyDescent="0.3">
      <c r="A9" s="5" t="s">
        <v>300</v>
      </c>
      <c r="D9" s="4">
        <v>20274</v>
      </c>
      <c r="E9" s="25"/>
      <c r="H9" s="4">
        <v>3237</v>
      </c>
    </row>
    <row r="10" spans="1:8" ht="18.75" x14ac:dyDescent="0.3">
      <c r="A10" s="5"/>
      <c r="D10" s="4"/>
      <c r="E10" s="25"/>
      <c r="H10" s="4"/>
    </row>
    <row r="11" spans="1:8" ht="18.75" x14ac:dyDescent="0.3">
      <c r="A11" s="5"/>
      <c r="D11" s="4"/>
      <c r="E11" s="25"/>
      <c r="H11" s="4"/>
    </row>
    <row r="12" spans="1:8" ht="18.75" x14ac:dyDescent="0.3">
      <c r="A12" s="5"/>
      <c r="C12" s="3"/>
      <c r="D12" s="27"/>
      <c r="E12" s="25"/>
      <c r="H12" s="27"/>
    </row>
    <row r="13" spans="1:8" ht="18.75" x14ac:dyDescent="0.3">
      <c r="A13" s="5"/>
      <c r="C13" s="3"/>
      <c r="D13" s="28"/>
      <c r="E13" s="25"/>
      <c r="H13" s="28"/>
    </row>
    <row r="14" spans="1:8" ht="19.5" thickBot="1" x14ac:dyDescent="0.35">
      <c r="A14" s="5"/>
      <c r="C14" s="3"/>
      <c r="D14" s="22"/>
      <c r="E14" s="25"/>
      <c r="H14" s="22"/>
    </row>
    <row r="15" spans="1:8" ht="18.75" customHeight="1" x14ac:dyDescent="0.3">
      <c r="D15" s="4">
        <f>SUM(D7:D14)</f>
        <v>20274</v>
      </c>
      <c r="H15" s="4">
        <f>SUM(H7:H14)</f>
        <v>3237</v>
      </c>
    </row>
    <row r="16" spans="1:8" ht="18.75" x14ac:dyDescent="0.3">
      <c r="A16" s="5"/>
      <c r="C16" s="3"/>
      <c r="D16" s="4"/>
      <c r="H16" s="4"/>
    </row>
    <row r="18" spans="1:8" ht="18.75" x14ac:dyDescent="0.3">
      <c r="A18" s="5"/>
      <c r="C18" s="3"/>
      <c r="D18" s="4"/>
      <c r="H18" s="4"/>
    </row>
    <row r="19" spans="1:8" ht="15.75" thickBot="1" x14ac:dyDescent="0.3">
      <c r="D19" s="7"/>
      <c r="H19" s="7"/>
    </row>
    <row r="21" spans="1:8" ht="18.75" x14ac:dyDescent="0.3">
      <c r="C21" t="s">
        <v>4</v>
      </c>
      <c r="D21" s="4">
        <f>D3-D15</f>
        <v>8286</v>
      </c>
      <c r="G21" t="s">
        <v>5</v>
      </c>
      <c r="H21" s="4">
        <f>H3-H15</f>
        <v>1323</v>
      </c>
    </row>
    <row r="24" spans="1:8" ht="15.75" x14ac:dyDescent="0.25">
      <c r="A24" t="s">
        <v>6</v>
      </c>
      <c r="C24" s="8">
        <f>D21</f>
        <v>8286</v>
      </c>
      <c r="E24" t="s">
        <v>10</v>
      </c>
      <c r="H24" s="6">
        <f>C33</f>
        <v>6848.76</v>
      </c>
    </row>
    <row r="26" spans="1:8" ht="15.75" x14ac:dyDescent="0.25">
      <c r="A26" t="s">
        <v>5</v>
      </c>
      <c r="B26" s="9" t="s">
        <v>7</v>
      </c>
      <c r="C26" s="8">
        <f>H21</f>
        <v>1323</v>
      </c>
      <c r="E26" s="13" t="s">
        <v>11</v>
      </c>
      <c r="F26" s="9" t="s">
        <v>12</v>
      </c>
      <c r="G26" s="15" t="s">
        <v>17</v>
      </c>
      <c r="H26" s="3">
        <f>-(F27*0.007)</f>
        <v>-168</v>
      </c>
    </row>
    <row r="27" spans="1:8" x14ac:dyDescent="0.25">
      <c r="F27" s="21">
        <f>D3-H3</f>
        <v>24000</v>
      </c>
    </row>
    <row r="28" spans="1:8" ht="15.75" x14ac:dyDescent="0.25">
      <c r="A28" t="s">
        <v>8</v>
      </c>
      <c r="B28" s="9" t="s">
        <v>7</v>
      </c>
      <c r="C28" s="8">
        <f>D3*0.004</f>
        <v>114.24000000000001</v>
      </c>
      <c r="F28" s="9" t="s">
        <v>13</v>
      </c>
      <c r="G28" s="16">
        <v>0.35</v>
      </c>
      <c r="H28" s="29">
        <f>-(F29*0.35)</f>
        <v>-2397.0659999999998</v>
      </c>
    </row>
    <row r="29" spans="1:8" ht="15.75" thickBot="1" x14ac:dyDescent="0.3">
      <c r="F29" s="21">
        <f>H24</f>
        <v>6848.76</v>
      </c>
      <c r="H29" s="7"/>
    </row>
    <row r="30" spans="1:8" ht="15.75" x14ac:dyDescent="0.25">
      <c r="A30" t="s">
        <v>9</v>
      </c>
      <c r="B30" s="9" t="s">
        <v>7</v>
      </c>
      <c r="C30" s="10"/>
      <c r="G30" s="13" t="s">
        <v>14</v>
      </c>
      <c r="H30" s="6">
        <f>H24+H26+H28</f>
        <v>4283.6940000000004</v>
      </c>
    </row>
    <row r="31" spans="1:8" ht="15.75" thickBot="1" x14ac:dyDescent="0.3">
      <c r="A31" s="16"/>
      <c r="B31" s="14"/>
      <c r="C31" s="7"/>
    </row>
    <row r="32" spans="1:8" x14ac:dyDescent="0.25">
      <c r="E32" t="s">
        <v>151</v>
      </c>
      <c r="H32" s="20">
        <f>H30*0.5</f>
        <v>2141.8470000000002</v>
      </c>
    </row>
    <row r="33" spans="1:8" ht="15.75" x14ac:dyDescent="0.25">
      <c r="A33" t="s">
        <v>10</v>
      </c>
      <c r="C33" s="10">
        <f>C24-C26-C28-C30</f>
        <v>6848.76</v>
      </c>
      <c r="H33" s="18"/>
    </row>
    <row r="34" spans="1:8" x14ac:dyDescent="0.25">
      <c r="H34" s="3"/>
    </row>
    <row r="35" spans="1:8" x14ac:dyDescent="0.25">
      <c r="H35" s="18"/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0AAB6-10F6-499F-9D58-1C9633DB60C8}">
  <dimension ref="A1:H35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301</v>
      </c>
    </row>
    <row r="3" spans="1:8" ht="21" x14ac:dyDescent="0.35">
      <c r="A3" s="2" t="s">
        <v>1</v>
      </c>
      <c r="D3" s="11">
        <v>249900</v>
      </c>
      <c r="F3" s="12" t="s">
        <v>3</v>
      </c>
      <c r="H3" s="11">
        <v>39900</v>
      </c>
    </row>
    <row r="4" spans="1:8" x14ac:dyDescent="0.25">
      <c r="A4" s="13" t="s">
        <v>32</v>
      </c>
      <c r="C4" s="26">
        <v>398</v>
      </c>
    </row>
    <row r="5" spans="1:8" ht="21" x14ac:dyDescent="0.35">
      <c r="A5" s="2" t="s">
        <v>2</v>
      </c>
    </row>
    <row r="7" spans="1:8" ht="18.75" x14ac:dyDescent="0.3">
      <c r="A7" s="5"/>
      <c r="D7" s="4"/>
      <c r="E7" s="25"/>
      <c r="H7" s="4"/>
    </row>
    <row r="8" spans="1:8" ht="18.75" x14ac:dyDescent="0.3">
      <c r="A8" s="5"/>
      <c r="D8" s="4"/>
      <c r="E8" s="25"/>
      <c r="H8" s="4"/>
    </row>
    <row r="9" spans="1:8" ht="18.75" x14ac:dyDescent="0.3">
      <c r="A9" s="5" t="s">
        <v>302</v>
      </c>
      <c r="D9" s="4">
        <v>185640</v>
      </c>
      <c r="E9" s="25"/>
      <c r="H9" s="4">
        <v>29640</v>
      </c>
    </row>
    <row r="10" spans="1:8" ht="18.75" x14ac:dyDescent="0.3">
      <c r="A10" s="5"/>
      <c r="D10" s="4"/>
      <c r="E10" s="25"/>
      <c r="H10" s="4"/>
    </row>
    <row r="11" spans="1:8" ht="18.75" x14ac:dyDescent="0.3">
      <c r="A11" s="5"/>
      <c r="D11" s="4"/>
      <c r="E11" s="25"/>
      <c r="H11" s="4"/>
    </row>
    <row r="12" spans="1:8" ht="18.75" x14ac:dyDescent="0.3">
      <c r="A12" s="5"/>
      <c r="C12" s="3"/>
      <c r="D12" s="27"/>
      <c r="E12" s="25"/>
      <c r="H12" s="27"/>
    </row>
    <row r="13" spans="1:8" ht="18.75" x14ac:dyDescent="0.3">
      <c r="A13" s="5"/>
      <c r="C13" s="3"/>
      <c r="D13" s="28"/>
      <c r="E13" s="25"/>
      <c r="H13" s="28"/>
    </row>
    <row r="14" spans="1:8" ht="19.5" thickBot="1" x14ac:dyDescent="0.35">
      <c r="A14" s="5"/>
      <c r="C14" s="3"/>
      <c r="D14" s="22"/>
      <c r="E14" s="25"/>
      <c r="H14" s="22"/>
    </row>
    <row r="15" spans="1:8" ht="18.75" customHeight="1" x14ac:dyDescent="0.3">
      <c r="D15" s="4">
        <f>SUM(D7:D14)</f>
        <v>185640</v>
      </c>
      <c r="H15" s="4">
        <f>SUM(H7:H14)</f>
        <v>29640</v>
      </c>
    </row>
    <row r="16" spans="1:8" ht="18.75" x14ac:dyDescent="0.3">
      <c r="A16" s="5"/>
      <c r="C16" s="3"/>
      <c r="D16" s="4"/>
      <c r="H16" s="4"/>
    </row>
    <row r="18" spans="1:8" ht="18.75" x14ac:dyDescent="0.3">
      <c r="A18" s="5"/>
      <c r="C18" s="3"/>
      <c r="D18" s="4"/>
      <c r="H18" s="4"/>
    </row>
    <row r="19" spans="1:8" ht="15.75" thickBot="1" x14ac:dyDescent="0.3">
      <c r="D19" s="7"/>
      <c r="H19" s="7"/>
    </row>
    <row r="21" spans="1:8" ht="18.75" x14ac:dyDescent="0.3">
      <c r="C21" t="s">
        <v>4</v>
      </c>
      <c r="D21" s="4">
        <f>D3-D15</f>
        <v>64260</v>
      </c>
      <c r="G21" t="s">
        <v>5</v>
      </c>
      <c r="H21" s="4">
        <f>H3-H15</f>
        <v>10260</v>
      </c>
    </row>
    <row r="24" spans="1:8" ht="15.75" x14ac:dyDescent="0.25">
      <c r="A24" t="s">
        <v>6</v>
      </c>
      <c r="C24" s="8">
        <f>D21</f>
        <v>64260</v>
      </c>
      <c r="E24" t="s">
        <v>10</v>
      </c>
      <c r="H24" s="6">
        <f>C33</f>
        <v>53000.4</v>
      </c>
    </row>
    <row r="26" spans="1:8" ht="15.75" x14ac:dyDescent="0.25">
      <c r="A26" t="s">
        <v>5</v>
      </c>
      <c r="B26" s="9" t="s">
        <v>7</v>
      </c>
      <c r="C26" s="8">
        <f>H21</f>
        <v>10260</v>
      </c>
      <c r="E26" s="13" t="s">
        <v>11</v>
      </c>
      <c r="F26" s="9" t="s">
        <v>12</v>
      </c>
      <c r="G26" s="15" t="s">
        <v>17</v>
      </c>
      <c r="H26" s="3">
        <f>-(F27*0.007)</f>
        <v>-1470</v>
      </c>
    </row>
    <row r="27" spans="1:8" x14ac:dyDescent="0.25">
      <c r="F27" s="21">
        <f>D3-H3</f>
        <v>210000</v>
      </c>
    </row>
    <row r="28" spans="1:8" ht="15.75" x14ac:dyDescent="0.25">
      <c r="A28" t="s">
        <v>8</v>
      </c>
      <c r="B28" s="9" t="s">
        <v>7</v>
      </c>
      <c r="C28" s="8">
        <f>D3*0.004</f>
        <v>999.6</v>
      </c>
      <c r="F28" s="9" t="s">
        <v>13</v>
      </c>
      <c r="G28" s="16">
        <v>0.35</v>
      </c>
      <c r="H28" s="29">
        <f>-(F29*0.35)</f>
        <v>-18550.14</v>
      </c>
    </row>
    <row r="29" spans="1:8" ht="15.75" thickBot="1" x14ac:dyDescent="0.3">
      <c r="F29" s="21">
        <f>H24</f>
        <v>53000.4</v>
      </c>
      <c r="H29" s="7"/>
    </row>
    <row r="30" spans="1:8" ht="15.75" x14ac:dyDescent="0.25">
      <c r="A30" t="s">
        <v>9</v>
      </c>
      <c r="B30" s="9" t="s">
        <v>7</v>
      </c>
      <c r="C30" s="10"/>
      <c r="G30" s="13" t="s">
        <v>14</v>
      </c>
      <c r="H30" s="6">
        <f>H24+H26+H28</f>
        <v>32980.26</v>
      </c>
    </row>
    <row r="31" spans="1:8" ht="15.75" thickBot="1" x14ac:dyDescent="0.3">
      <c r="A31" s="16"/>
      <c r="B31" s="14"/>
      <c r="C31" s="7"/>
    </row>
    <row r="32" spans="1:8" x14ac:dyDescent="0.25">
      <c r="E32" t="s">
        <v>151</v>
      </c>
      <c r="H32" s="20">
        <f>H30*0.5</f>
        <v>16490.13</v>
      </c>
    </row>
    <row r="33" spans="1:8" ht="15.75" x14ac:dyDescent="0.25">
      <c r="A33" t="s">
        <v>10</v>
      </c>
      <c r="C33" s="10">
        <f>C24-C26-C28-C30</f>
        <v>53000.4</v>
      </c>
      <c r="H33" s="18"/>
    </row>
    <row r="34" spans="1:8" x14ac:dyDescent="0.25">
      <c r="H34" s="3"/>
    </row>
    <row r="35" spans="1:8" x14ac:dyDescent="0.25">
      <c r="H35" s="18"/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38A13-4CE2-4409-A66F-6A82978B6B1E}">
  <dimension ref="A1:H35"/>
  <sheetViews>
    <sheetView workbookViewId="0">
      <selection activeCell="I11" sqref="I11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303</v>
      </c>
    </row>
    <row r="3" spans="1:8" ht="21" x14ac:dyDescent="0.35">
      <c r="A3" s="2" t="s">
        <v>1</v>
      </c>
      <c r="D3" s="11">
        <v>53550</v>
      </c>
      <c r="F3" s="12" t="s">
        <v>3</v>
      </c>
      <c r="H3" s="11">
        <v>8550</v>
      </c>
    </row>
    <row r="4" spans="1:8" x14ac:dyDescent="0.25">
      <c r="A4" s="13" t="s">
        <v>32</v>
      </c>
      <c r="C4" s="26">
        <v>399</v>
      </c>
    </row>
    <row r="5" spans="1:8" ht="21" x14ac:dyDescent="0.35">
      <c r="A5" s="2" t="s">
        <v>2</v>
      </c>
    </row>
    <row r="7" spans="1:8" ht="18.75" x14ac:dyDescent="0.3">
      <c r="A7" s="5"/>
      <c r="D7" s="4"/>
      <c r="E7" s="25"/>
      <c r="H7" s="4"/>
    </row>
    <row r="8" spans="1:8" ht="18.75" x14ac:dyDescent="0.3">
      <c r="A8" s="5"/>
      <c r="D8" s="4"/>
      <c r="E8" s="25"/>
      <c r="H8" s="4"/>
    </row>
    <row r="9" spans="1:8" ht="18.75" x14ac:dyDescent="0.3">
      <c r="A9" s="5" t="s">
        <v>304</v>
      </c>
      <c r="D9" s="4">
        <v>25000</v>
      </c>
      <c r="E9" s="25"/>
      <c r="H9" s="4"/>
    </row>
    <row r="10" spans="1:8" ht="18.75" x14ac:dyDescent="0.3">
      <c r="A10" s="5"/>
      <c r="D10" s="4"/>
      <c r="E10" s="25"/>
      <c r="H10" s="4"/>
    </row>
    <row r="11" spans="1:8" ht="18.75" x14ac:dyDescent="0.3">
      <c r="A11" s="5"/>
      <c r="D11" s="4"/>
      <c r="E11" s="25"/>
      <c r="H11" s="4"/>
    </row>
    <row r="12" spans="1:8" ht="18.75" x14ac:dyDescent="0.3">
      <c r="A12" s="5"/>
      <c r="C12" s="3"/>
      <c r="D12" s="27"/>
      <c r="E12" s="25"/>
      <c r="H12" s="27"/>
    </row>
    <row r="13" spans="1:8" ht="18.75" x14ac:dyDescent="0.3">
      <c r="A13" s="5"/>
      <c r="C13" s="3"/>
      <c r="D13" s="28"/>
      <c r="E13" s="25"/>
      <c r="H13" s="28"/>
    </row>
    <row r="14" spans="1:8" ht="19.5" thickBot="1" x14ac:dyDescent="0.35">
      <c r="A14" s="5"/>
      <c r="C14" s="3"/>
      <c r="D14" s="22"/>
      <c r="E14" s="25"/>
      <c r="H14" s="22"/>
    </row>
    <row r="15" spans="1:8" ht="18.75" customHeight="1" x14ac:dyDescent="0.3">
      <c r="D15" s="4">
        <f>SUM(D7:D14)</f>
        <v>25000</v>
      </c>
      <c r="H15" s="4">
        <f>SUM(H7:H14)</f>
        <v>0</v>
      </c>
    </row>
    <row r="16" spans="1:8" ht="18.75" x14ac:dyDescent="0.3">
      <c r="A16" s="5"/>
      <c r="C16" s="3"/>
      <c r="D16" s="4"/>
      <c r="H16" s="4"/>
    </row>
    <row r="18" spans="1:8" ht="18.75" x14ac:dyDescent="0.3">
      <c r="A18" s="5"/>
      <c r="C18" s="3"/>
      <c r="D18" s="4"/>
      <c r="H18" s="4"/>
    </row>
    <row r="19" spans="1:8" ht="15.75" thickBot="1" x14ac:dyDescent="0.3">
      <c r="D19" s="7"/>
      <c r="H19" s="7"/>
    </row>
    <row r="21" spans="1:8" ht="18.75" x14ac:dyDescent="0.3">
      <c r="C21" t="s">
        <v>4</v>
      </c>
      <c r="D21" s="4">
        <f>D3-D15</f>
        <v>28550</v>
      </c>
      <c r="G21" t="s">
        <v>5</v>
      </c>
      <c r="H21" s="4">
        <f>H3-H15</f>
        <v>8550</v>
      </c>
    </row>
    <row r="24" spans="1:8" ht="15.75" x14ac:dyDescent="0.25">
      <c r="A24" t="s">
        <v>6</v>
      </c>
      <c r="C24" s="8">
        <f>D21</f>
        <v>28550</v>
      </c>
      <c r="E24" t="s">
        <v>10</v>
      </c>
      <c r="H24" s="6">
        <f>C33</f>
        <v>19785.8</v>
      </c>
    </row>
    <row r="26" spans="1:8" ht="15.75" x14ac:dyDescent="0.25">
      <c r="A26" t="s">
        <v>5</v>
      </c>
      <c r="B26" s="9" t="s">
        <v>7</v>
      </c>
      <c r="C26" s="8">
        <f>H21</f>
        <v>8550</v>
      </c>
      <c r="E26" s="13" t="s">
        <v>11</v>
      </c>
      <c r="F26" s="9" t="s">
        <v>12</v>
      </c>
      <c r="G26" s="15" t="s">
        <v>17</v>
      </c>
      <c r="H26" s="3">
        <f>-(F27*0.007)</f>
        <v>-315</v>
      </c>
    </row>
    <row r="27" spans="1:8" x14ac:dyDescent="0.25">
      <c r="F27" s="21">
        <f>D3-H3</f>
        <v>45000</v>
      </c>
    </row>
    <row r="28" spans="1:8" ht="15.75" x14ac:dyDescent="0.25">
      <c r="A28" t="s">
        <v>8</v>
      </c>
      <c r="B28" s="9" t="s">
        <v>7</v>
      </c>
      <c r="C28" s="8">
        <f>D3*0.004</f>
        <v>214.20000000000002</v>
      </c>
      <c r="F28" s="9" t="s">
        <v>13</v>
      </c>
      <c r="G28" s="16">
        <v>0.35</v>
      </c>
      <c r="H28" s="29">
        <f>-(F29*0.35)</f>
        <v>-6925.03</v>
      </c>
    </row>
    <row r="29" spans="1:8" ht="15.75" thickBot="1" x14ac:dyDescent="0.3">
      <c r="F29" s="21">
        <f>H24</f>
        <v>19785.8</v>
      </c>
      <c r="H29" s="7"/>
    </row>
    <row r="30" spans="1:8" ht="15.75" x14ac:dyDescent="0.25">
      <c r="A30" t="s">
        <v>9</v>
      </c>
      <c r="B30" s="9" t="s">
        <v>7</v>
      </c>
      <c r="C30" s="10"/>
      <c r="G30" s="13" t="s">
        <v>14</v>
      </c>
      <c r="H30" s="6">
        <f>H24+H26+H28</f>
        <v>12545.77</v>
      </c>
    </row>
    <row r="31" spans="1:8" ht="15.75" thickBot="1" x14ac:dyDescent="0.3">
      <c r="A31" s="16"/>
      <c r="B31" s="14"/>
      <c r="C31" s="7"/>
    </row>
    <row r="32" spans="1:8" x14ac:dyDescent="0.25">
      <c r="E32" t="s">
        <v>151</v>
      </c>
      <c r="H32" s="20">
        <f>H30*0.5</f>
        <v>6272.8850000000002</v>
      </c>
    </row>
    <row r="33" spans="1:8" ht="15.75" x14ac:dyDescent="0.25">
      <c r="A33" t="s">
        <v>10</v>
      </c>
      <c r="C33" s="10">
        <f>C24-C26-C28-C30</f>
        <v>19785.8</v>
      </c>
      <c r="H33" s="18"/>
    </row>
    <row r="34" spans="1:8" x14ac:dyDescent="0.25">
      <c r="H34" s="3"/>
    </row>
    <row r="35" spans="1:8" x14ac:dyDescent="0.25">
      <c r="H35" s="18"/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06120-8C87-4254-9A10-A7316F80A0E3}">
  <dimension ref="A1:H35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305</v>
      </c>
    </row>
    <row r="3" spans="1:8" ht="21" x14ac:dyDescent="0.35">
      <c r="A3" s="2" t="s">
        <v>1</v>
      </c>
      <c r="D3" s="11">
        <v>279650</v>
      </c>
      <c r="F3" s="12" t="s">
        <v>3</v>
      </c>
      <c r="H3" s="11">
        <v>44650</v>
      </c>
    </row>
    <row r="4" spans="1:8" x14ac:dyDescent="0.25">
      <c r="A4" s="13" t="s">
        <v>32</v>
      </c>
      <c r="C4" s="26">
        <v>402</v>
      </c>
    </row>
    <row r="5" spans="1:8" ht="21" x14ac:dyDescent="0.35">
      <c r="A5" s="2" t="s">
        <v>2</v>
      </c>
    </row>
    <row r="7" spans="1:8" ht="18.75" x14ac:dyDescent="0.3">
      <c r="A7" s="5"/>
      <c r="D7" s="4"/>
      <c r="E7" s="25"/>
      <c r="H7" s="4"/>
    </row>
    <row r="8" spans="1:8" ht="18.75" x14ac:dyDescent="0.3">
      <c r="A8" s="5"/>
      <c r="D8" s="4"/>
      <c r="E8" s="25"/>
      <c r="H8" s="4"/>
    </row>
    <row r="9" spans="1:8" ht="18.75" x14ac:dyDescent="0.3">
      <c r="A9" s="5" t="s">
        <v>221</v>
      </c>
      <c r="D9" s="4">
        <v>47346</v>
      </c>
      <c r="E9" s="25"/>
      <c r="H9" s="4">
        <v>7560</v>
      </c>
    </row>
    <row r="10" spans="1:8" ht="18.75" x14ac:dyDescent="0.3">
      <c r="A10" s="5" t="s">
        <v>306</v>
      </c>
      <c r="D10" s="4">
        <v>107100</v>
      </c>
      <c r="E10" s="25"/>
      <c r="H10" s="4">
        <v>17100</v>
      </c>
    </row>
    <row r="11" spans="1:8" ht="18.75" x14ac:dyDescent="0.3">
      <c r="A11" s="5"/>
      <c r="D11" s="4"/>
      <c r="E11" s="25"/>
      <c r="H11" s="4"/>
    </row>
    <row r="12" spans="1:8" ht="18.75" x14ac:dyDescent="0.3">
      <c r="A12" s="5"/>
      <c r="C12" s="3"/>
      <c r="D12" s="27"/>
      <c r="E12" s="25"/>
      <c r="H12" s="27"/>
    </row>
    <row r="13" spans="1:8" ht="18.75" x14ac:dyDescent="0.3">
      <c r="A13" s="5"/>
      <c r="C13" s="3"/>
      <c r="D13" s="28"/>
      <c r="E13" s="25"/>
      <c r="H13" s="28"/>
    </row>
    <row r="14" spans="1:8" ht="19.5" thickBot="1" x14ac:dyDescent="0.35">
      <c r="A14" s="5"/>
      <c r="C14" s="3"/>
      <c r="D14" s="22"/>
      <c r="E14" s="25"/>
      <c r="H14" s="22"/>
    </row>
    <row r="15" spans="1:8" ht="18.75" customHeight="1" x14ac:dyDescent="0.3">
      <c r="D15" s="4">
        <f>SUM(D7:D14)</f>
        <v>154446</v>
      </c>
      <c r="H15" s="4">
        <f>SUM(H7:H14)</f>
        <v>24660</v>
      </c>
    </row>
    <row r="16" spans="1:8" ht="18.75" x14ac:dyDescent="0.3">
      <c r="A16" s="5"/>
      <c r="C16" s="3"/>
      <c r="D16" s="4"/>
      <c r="H16" s="4"/>
    </row>
    <row r="18" spans="1:8" ht="18.75" x14ac:dyDescent="0.3">
      <c r="A18" s="5"/>
      <c r="C18" s="3"/>
      <c r="D18" s="4"/>
      <c r="H18" s="4"/>
    </row>
    <row r="19" spans="1:8" ht="15.75" thickBot="1" x14ac:dyDescent="0.3">
      <c r="D19" s="7"/>
      <c r="H19" s="7"/>
    </row>
    <row r="21" spans="1:8" ht="18.75" x14ac:dyDescent="0.3">
      <c r="C21" t="s">
        <v>4</v>
      </c>
      <c r="D21" s="4">
        <f>D3-D15</f>
        <v>125204</v>
      </c>
      <c r="G21" t="s">
        <v>5</v>
      </c>
      <c r="H21" s="4">
        <f>H3-H15</f>
        <v>19990</v>
      </c>
    </row>
    <row r="24" spans="1:8" ht="15.75" x14ac:dyDescent="0.25">
      <c r="A24" t="s">
        <v>6</v>
      </c>
      <c r="C24" s="8">
        <f>D21</f>
        <v>125204</v>
      </c>
      <c r="E24" t="s">
        <v>10</v>
      </c>
      <c r="H24" s="6">
        <f>C33</f>
        <v>104095.4</v>
      </c>
    </row>
    <row r="26" spans="1:8" ht="15.75" x14ac:dyDescent="0.25">
      <c r="A26" t="s">
        <v>5</v>
      </c>
      <c r="B26" s="9" t="s">
        <v>7</v>
      </c>
      <c r="C26" s="8">
        <f>H21</f>
        <v>19990</v>
      </c>
      <c r="E26" s="13" t="s">
        <v>11</v>
      </c>
      <c r="F26" s="9" t="s">
        <v>12</v>
      </c>
      <c r="G26" s="15" t="s">
        <v>17</v>
      </c>
      <c r="H26" s="3">
        <f>-(F27*0.007)</f>
        <v>-1645</v>
      </c>
    </row>
    <row r="27" spans="1:8" x14ac:dyDescent="0.25">
      <c r="F27" s="21">
        <f>D3-H3</f>
        <v>235000</v>
      </c>
    </row>
    <row r="28" spans="1:8" ht="15.75" x14ac:dyDescent="0.25">
      <c r="A28" t="s">
        <v>8</v>
      </c>
      <c r="B28" s="9" t="s">
        <v>7</v>
      </c>
      <c r="C28" s="8">
        <f>D3*0.004</f>
        <v>1118.6000000000001</v>
      </c>
      <c r="F28" s="9" t="s">
        <v>13</v>
      </c>
      <c r="G28" s="16">
        <v>0.35</v>
      </c>
      <c r="H28" s="29">
        <f>-(F29*0.35)</f>
        <v>-36433.389999999992</v>
      </c>
    </row>
    <row r="29" spans="1:8" ht="15.75" thickBot="1" x14ac:dyDescent="0.3">
      <c r="F29" s="21">
        <f>H24</f>
        <v>104095.4</v>
      </c>
      <c r="H29" s="7"/>
    </row>
    <row r="30" spans="1:8" ht="15.75" x14ac:dyDescent="0.25">
      <c r="A30" t="s">
        <v>9</v>
      </c>
      <c r="B30" s="9" t="s">
        <v>7</v>
      </c>
      <c r="C30" s="10"/>
      <c r="G30" s="13" t="s">
        <v>14</v>
      </c>
      <c r="H30" s="6">
        <f>H24+H26+H28</f>
        <v>66017.010000000009</v>
      </c>
    </row>
    <row r="31" spans="1:8" ht="15.75" thickBot="1" x14ac:dyDescent="0.3">
      <c r="A31" s="16"/>
      <c r="B31" s="14"/>
      <c r="C31" s="7"/>
    </row>
    <row r="32" spans="1:8" x14ac:dyDescent="0.25">
      <c r="E32" t="s">
        <v>151</v>
      </c>
      <c r="H32" s="20">
        <f>H30*0.5</f>
        <v>33008.505000000005</v>
      </c>
    </row>
    <row r="33" spans="1:8" ht="15.75" x14ac:dyDescent="0.25">
      <c r="A33" t="s">
        <v>10</v>
      </c>
      <c r="C33" s="10">
        <f>C24-C26-C28-C30</f>
        <v>104095.4</v>
      </c>
      <c r="H33" s="18"/>
    </row>
    <row r="34" spans="1:8" x14ac:dyDescent="0.25">
      <c r="H34" s="3"/>
    </row>
    <row r="35" spans="1:8" x14ac:dyDescent="0.25">
      <c r="H35" s="18"/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39C67-F6C5-418D-861A-8A9CAD8AC7B1}">
  <dimension ref="A1:H35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305</v>
      </c>
    </row>
    <row r="3" spans="1:8" ht="21" x14ac:dyDescent="0.35">
      <c r="A3" s="2" t="s">
        <v>1</v>
      </c>
      <c r="D3" s="11">
        <v>62594</v>
      </c>
      <c r="F3" s="12" t="s">
        <v>3</v>
      </c>
      <c r="H3" s="11">
        <v>9994</v>
      </c>
    </row>
    <row r="4" spans="1:8" x14ac:dyDescent="0.25">
      <c r="A4" s="13" t="s">
        <v>32</v>
      </c>
      <c r="C4" s="26">
        <v>405</v>
      </c>
    </row>
    <row r="5" spans="1:8" ht="21" x14ac:dyDescent="0.35">
      <c r="A5" s="2" t="s">
        <v>2</v>
      </c>
    </row>
    <row r="7" spans="1:8" ht="18.75" x14ac:dyDescent="0.3">
      <c r="A7" s="5"/>
      <c r="D7" s="4"/>
      <c r="E7" s="25"/>
      <c r="H7" s="4"/>
    </row>
    <row r="8" spans="1:8" ht="18.75" x14ac:dyDescent="0.3">
      <c r="A8" s="5"/>
      <c r="D8" s="4"/>
      <c r="E8" s="25"/>
      <c r="H8" s="4"/>
    </row>
    <row r="9" spans="1:8" ht="18.75" x14ac:dyDescent="0.3">
      <c r="A9" s="5" t="s">
        <v>221</v>
      </c>
      <c r="D9" s="4">
        <v>35000</v>
      </c>
      <c r="E9" s="25"/>
      <c r="H9" s="4"/>
    </row>
    <row r="10" spans="1:8" ht="18.75" x14ac:dyDescent="0.3">
      <c r="A10" s="5"/>
      <c r="D10" s="4"/>
      <c r="E10" s="25"/>
      <c r="H10" s="4"/>
    </row>
    <row r="11" spans="1:8" ht="18.75" x14ac:dyDescent="0.3">
      <c r="A11" s="5"/>
      <c r="D11" s="4"/>
      <c r="E11" s="25"/>
      <c r="H11" s="4"/>
    </row>
    <row r="12" spans="1:8" ht="18.75" x14ac:dyDescent="0.3">
      <c r="A12" s="5"/>
      <c r="C12" s="3"/>
      <c r="D12" s="27"/>
      <c r="E12" s="25"/>
      <c r="H12" s="27"/>
    </row>
    <row r="13" spans="1:8" ht="18.75" x14ac:dyDescent="0.3">
      <c r="A13" s="5"/>
      <c r="C13" s="3"/>
      <c r="D13" s="28"/>
      <c r="E13" s="25"/>
      <c r="H13" s="28"/>
    </row>
    <row r="14" spans="1:8" ht="19.5" thickBot="1" x14ac:dyDescent="0.35">
      <c r="A14" s="5"/>
      <c r="C14" s="3"/>
      <c r="D14" s="22"/>
      <c r="E14" s="25"/>
      <c r="H14" s="22"/>
    </row>
    <row r="15" spans="1:8" ht="18.75" customHeight="1" x14ac:dyDescent="0.3">
      <c r="D15" s="4">
        <f>SUM(D7:D14)</f>
        <v>35000</v>
      </c>
      <c r="H15" s="4">
        <f>SUM(H7:H14)</f>
        <v>0</v>
      </c>
    </row>
    <row r="16" spans="1:8" ht="18.75" x14ac:dyDescent="0.3">
      <c r="A16" s="5"/>
      <c r="C16" s="3"/>
      <c r="D16" s="4"/>
      <c r="H16" s="4"/>
    </row>
    <row r="18" spans="1:8" ht="18.75" x14ac:dyDescent="0.3">
      <c r="A18" s="5"/>
      <c r="C18" s="3"/>
      <c r="D18" s="4"/>
      <c r="H18" s="4"/>
    </row>
    <row r="19" spans="1:8" ht="15.75" thickBot="1" x14ac:dyDescent="0.3">
      <c r="D19" s="7"/>
      <c r="H19" s="7"/>
    </row>
    <row r="21" spans="1:8" ht="18.75" x14ac:dyDescent="0.3">
      <c r="C21" t="s">
        <v>4</v>
      </c>
      <c r="D21" s="4">
        <f>D3-D15</f>
        <v>27594</v>
      </c>
      <c r="G21" t="s">
        <v>5</v>
      </c>
      <c r="H21" s="4">
        <f>H3-H15</f>
        <v>9994</v>
      </c>
    </row>
    <row r="24" spans="1:8" ht="15.75" x14ac:dyDescent="0.25">
      <c r="A24" t="s">
        <v>6</v>
      </c>
      <c r="C24" s="8">
        <f>D21</f>
        <v>27594</v>
      </c>
      <c r="E24" t="s">
        <v>10</v>
      </c>
      <c r="H24" s="6">
        <f>C33</f>
        <v>17349.624</v>
      </c>
    </row>
    <row r="26" spans="1:8" ht="15.75" x14ac:dyDescent="0.25">
      <c r="A26" t="s">
        <v>5</v>
      </c>
      <c r="B26" s="9" t="s">
        <v>7</v>
      </c>
      <c r="C26" s="8">
        <f>H21</f>
        <v>9994</v>
      </c>
      <c r="E26" s="13" t="s">
        <v>11</v>
      </c>
      <c r="F26" s="9" t="s">
        <v>12</v>
      </c>
      <c r="G26" s="15" t="s">
        <v>17</v>
      </c>
      <c r="H26" s="3">
        <f>-(F27*0.007)</f>
        <v>-368.2</v>
      </c>
    </row>
    <row r="27" spans="1:8" x14ac:dyDescent="0.25">
      <c r="F27" s="21">
        <f>D3-H3</f>
        <v>52600</v>
      </c>
    </row>
    <row r="28" spans="1:8" ht="15.75" x14ac:dyDescent="0.25">
      <c r="A28" t="s">
        <v>8</v>
      </c>
      <c r="B28" s="9" t="s">
        <v>7</v>
      </c>
      <c r="C28" s="8">
        <f>D3*0.004</f>
        <v>250.376</v>
      </c>
      <c r="F28" s="9" t="s">
        <v>13</v>
      </c>
      <c r="G28" s="16">
        <v>0.35</v>
      </c>
      <c r="H28" s="29">
        <f>-(F29*0.35)</f>
        <v>-6072.3683999999994</v>
      </c>
    </row>
    <row r="29" spans="1:8" ht="15.75" thickBot="1" x14ac:dyDescent="0.3">
      <c r="F29" s="21">
        <f>H24</f>
        <v>17349.624</v>
      </c>
      <c r="H29" s="7"/>
    </row>
    <row r="30" spans="1:8" ht="15.75" x14ac:dyDescent="0.25">
      <c r="A30" t="s">
        <v>9</v>
      </c>
      <c r="B30" s="9" t="s">
        <v>7</v>
      </c>
      <c r="C30" s="10"/>
      <c r="G30" s="13" t="s">
        <v>14</v>
      </c>
      <c r="H30" s="6">
        <f>H24+H26+H28</f>
        <v>10909.0556</v>
      </c>
    </row>
    <row r="31" spans="1:8" ht="15.75" thickBot="1" x14ac:dyDescent="0.3">
      <c r="A31" s="16"/>
      <c r="B31" s="14"/>
      <c r="C31" s="7"/>
    </row>
    <row r="32" spans="1:8" x14ac:dyDescent="0.25">
      <c r="E32" t="s">
        <v>151</v>
      </c>
      <c r="H32" s="20">
        <f>H30*0.5</f>
        <v>5454.5277999999998</v>
      </c>
    </row>
    <row r="33" spans="1:8" ht="15.75" x14ac:dyDescent="0.25">
      <c r="A33" t="s">
        <v>10</v>
      </c>
      <c r="C33" s="10">
        <f>C24-C26-C28-C30</f>
        <v>17349.624</v>
      </c>
      <c r="H33" s="18"/>
    </row>
    <row r="34" spans="1:8" x14ac:dyDescent="0.25">
      <c r="H34" s="3"/>
    </row>
    <row r="35" spans="1:8" x14ac:dyDescent="0.25">
      <c r="H35" s="18"/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AD747-9154-463E-B0A5-7F2423C0FF19}">
  <dimension ref="A1:H35"/>
  <sheetViews>
    <sheetView workbookViewId="0">
      <selection activeCell="A8" sqref="A8:H12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307</v>
      </c>
    </row>
    <row r="3" spans="1:8" ht="21" x14ac:dyDescent="0.35">
      <c r="A3" s="2" t="s">
        <v>1</v>
      </c>
      <c r="D3" s="11">
        <v>3626856</v>
      </c>
      <c r="F3" s="12" t="s">
        <v>3</v>
      </c>
      <c r="H3" s="11">
        <v>595080</v>
      </c>
    </row>
    <row r="4" spans="1:8" x14ac:dyDescent="0.25">
      <c r="A4" s="13" t="s">
        <v>32</v>
      </c>
      <c r="C4" s="26">
        <v>408</v>
      </c>
    </row>
    <row r="5" spans="1:8" ht="21" x14ac:dyDescent="0.35">
      <c r="A5" s="2" t="s">
        <v>2</v>
      </c>
    </row>
    <row r="7" spans="1:8" ht="18.75" x14ac:dyDescent="0.3">
      <c r="A7" s="5" t="s">
        <v>309</v>
      </c>
      <c r="D7" s="4">
        <v>180000</v>
      </c>
      <c r="E7" s="25"/>
      <c r="H7" s="4"/>
    </row>
    <row r="8" spans="1:8" ht="18.75" x14ac:dyDescent="0.3">
      <c r="A8" s="5" t="s">
        <v>201</v>
      </c>
      <c r="D8" s="4">
        <v>95795</v>
      </c>
      <c r="E8" s="25"/>
      <c r="H8" s="4">
        <v>15295</v>
      </c>
    </row>
    <row r="9" spans="1:8" ht="18.75" x14ac:dyDescent="0.3">
      <c r="A9" s="5" t="s">
        <v>308</v>
      </c>
      <c r="D9" s="4">
        <v>2993</v>
      </c>
      <c r="E9" s="25"/>
      <c r="H9" s="4">
        <v>478</v>
      </c>
    </row>
    <row r="10" spans="1:8" ht="18.75" x14ac:dyDescent="0.3">
      <c r="A10" s="5" t="s">
        <v>310</v>
      </c>
      <c r="D10" s="4">
        <v>60500</v>
      </c>
      <c r="E10" s="25"/>
      <c r="H10" s="4">
        <v>9660</v>
      </c>
    </row>
    <row r="11" spans="1:8" ht="18.75" x14ac:dyDescent="0.3">
      <c r="A11" s="5" t="s">
        <v>311</v>
      </c>
      <c r="D11" s="4">
        <v>125000</v>
      </c>
      <c r="E11" s="25"/>
      <c r="H11" s="4"/>
    </row>
    <row r="12" spans="1:8" ht="18.75" x14ac:dyDescent="0.3">
      <c r="A12" s="5" t="s">
        <v>312</v>
      </c>
      <c r="C12" s="3"/>
      <c r="D12" s="27">
        <v>1604358</v>
      </c>
      <c r="E12" s="25"/>
      <c r="H12" s="27">
        <v>256158</v>
      </c>
    </row>
    <row r="13" spans="1:8" ht="18.75" x14ac:dyDescent="0.3">
      <c r="A13" s="5"/>
      <c r="C13" s="3"/>
      <c r="D13" s="28"/>
      <c r="E13" s="25"/>
      <c r="H13" s="28"/>
    </row>
    <row r="14" spans="1:8" ht="19.5" thickBot="1" x14ac:dyDescent="0.35">
      <c r="A14" s="5"/>
      <c r="C14" s="3"/>
      <c r="D14" s="22"/>
      <c r="E14" s="25"/>
      <c r="H14" s="22"/>
    </row>
    <row r="15" spans="1:8" ht="18.75" customHeight="1" x14ac:dyDescent="0.3">
      <c r="D15" s="4">
        <f>SUM(D7:D14)</f>
        <v>2068646</v>
      </c>
      <c r="H15" s="4">
        <f>SUM(H7:H14)</f>
        <v>281591</v>
      </c>
    </row>
    <row r="16" spans="1:8" ht="18.75" x14ac:dyDescent="0.3">
      <c r="A16" s="5"/>
      <c r="C16" s="3"/>
      <c r="D16" s="4"/>
      <c r="H16" s="4"/>
    </row>
    <row r="18" spans="1:8" ht="18.75" x14ac:dyDescent="0.3">
      <c r="A18" s="5"/>
      <c r="C18" s="3"/>
      <c r="D18" s="4"/>
      <c r="H18" s="4"/>
    </row>
    <row r="19" spans="1:8" ht="15.75" thickBot="1" x14ac:dyDescent="0.3">
      <c r="D19" s="7"/>
      <c r="H19" s="7"/>
    </row>
    <row r="21" spans="1:8" ht="18.75" x14ac:dyDescent="0.3">
      <c r="C21" t="s">
        <v>4</v>
      </c>
      <c r="D21" s="4">
        <f>D3-D15</f>
        <v>1558210</v>
      </c>
      <c r="G21" t="s">
        <v>5</v>
      </c>
      <c r="H21" s="4">
        <f>H3-H15</f>
        <v>313489</v>
      </c>
    </row>
    <row r="24" spans="1:8" ht="15.75" x14ac:dyDescent="0.25">
      <c r="A24" t="s">
        <v>6</v>
      </c>
      <c r="C24" s="8">
        <f>D21</f>
        <v>1558210</v>
      </c>
      <c r="E24" t="s">
        <v>10</v>
      </c>
      <c r="H24" s="6">
        <f>C33</f>
        <v>1230213.5759999999</v>
      </c>
    </row>
    <row r="26" spans="1:8" ht="15.75" x14ac:dyDescent="0.25">
      <c r="A26" t="s">
        <v>5</v>
      </c>
      <c r="B26" s="9" t="s">
        <v>7</v>
      </c>
      <c r="C26" s="8">
        <f>H21</f>
        <v>313489</v>
      </c>
      <c r="E26" s="13" t="s">
        <v>11</v>
      </c>
      <c r="F26" s="9" t="s">
        <v>12</v>
      </c>
      <c r="G26" s="15" t="s">
        <v>17</v>
      </c>
      <c r="H26" s="3">
        <f>-(F27*0.007)</f>
        <v>-21222.432000000001</v>
      </c>
    </row>
    <row r="27" spans="1:8" x14ac:dyDescent="0.25">
      <c r="F27" s="21">
        <f>D3-H3</f>
        <v>3031776</v>
      </c>
    </row>
    <row r="28" spans="1:8" ht="15.75" x14ac:dyDescent="0.25">
      <c r="A28" t="s">
        <v>8</v>
      </c>
      <c r="B28" s="9" t="s">
        <v>7</v>
      </c>
      <c r="C28" s="8">
        <f>D3*0.004</f>
        <v>14507.424000000001</v>
      </c>
      <c r="F28" s="9" t="s">
        <v>13</v>
      </c>
      <c r="G28" s="16">
        <v>0.35</v>
      </c>
      <c r="H28" s="29">
        <f>-(F29*0.35)</f>
        <v>-430574.75159999996</v>
      </c>
    </row>
    <row r="29" spans="1:8" ht="15.75" thickBot="1" x14ac:dyDescent="0.3">
      <c r="F29" s="21">
        <f>H24</f>
        <v>1230213.5759999999</v>
      </c>
      <c r="H29" s="7"/>
    </row>
    <row r="30" spans="1:8" ht="15.75" x14ac:dyDescent="0.25">
      <c r="A30" t="s">
        <v>9</v>
      </c>
      <c r="B30" s="9" t="s">
        <v>7</v>
      </c>
      <c r="C30" s="10"/>
      <c r="G30" s="13" t="s">
        <v>14</v>
      </c>
      <c r="H30" s="6">
        <f>H24+H26+H28</f>
        <v>778416.3923999999</v>
      </c>
    </row>
    <row r="31" spans="1:8" ht="15.75" thickBot="1" x14ac:dyDescent="0.3">
      <c r="A31" s="16"/>
      <c r="B31" s="14"/>
      <c r="C31" s="7"/>
    </row>
    <row r="32" spans="1:8" x14ac:dyDescent="0.25">
      <c r="E32" t="s">
        <v>151</v>
      </c>
      <c r="H32" s="20">
        <f>H30*0.5</f>
        <v>389208.19619999995</v>
      </c>
    </row>
    <row r="33" spans="1:8" ht="15.75" x14ac:dyDescent="0.25">
      <c r="A33" t="s">
        <v>10</v>
      </c>
      <c r="C33" s="10">
        <f>C24-C26-C28-C30</f>
        <v>1230213.5759999999</v>
      </c>
      <c r="H33" s="18"/>
    </row>
    <row r="34" spans="1:8" x14ac:dyDescent="0.25">
      <c r="H34" s="3"/>
    </row>
    <row r="35" spans="1:8" x14ac:dyDescent="0.25">
      <c r="H35" s="18"/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C2D36-6379-4A02-B5E0-A8CC8A8C285F}">
  <dimension ref="A1:H35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313</v>
      </c>
    </row>
    <row r="3" spans="1:8" ht="21" x14ac:dyDescent="0.35">
      <c r="A3" s="2" t="s">
        <v>1</v>
      </c>
      <c r="D3" s="11">
        <v>559300</v>
      </c>
      <c r="F3" s="12" t="s">
        <v>3</v>
      </c>
      <c r="H3" s="11">
        <v>89300</v>
      </c>
    </row>
    <row r="4" spans="1:8" x14ac:dyDescent="0.25">
      <c r="A4" s="13" t="s">
        <v>32</v>
      </c>
      <c r="C4" s="26">
        <v>412</v>
      </c>
    </row>
    <row r="5" spans="1:8" ht="21" x14ac:dyDescent="0.35">
      <c r="A5" s="2" t="s">
        <v>2</v>
      </c>
    </row>
    <row r="7" spans="1:8" ht="18.75" x14ac:dyDescent="0.3">
      <c r="A7" s="5" t="s">
        <v>309</v>
      </c>
      <c r="D7" s="4">
        <v>180000</v>
      </c>
      <c r="E7" s="25"/>
      <c r="H7" s="4"/>
    </row>
    <row r="8" spans="1:8" ht="18.75" x14ac:dyDescent="0.3">
      <c r="A8" s="5"/>
      <c r="D8" s="4"/>
      <c r="E8" s="25"/>
      <c r="H8" s="4"/>
    </row>
    <row r="9" spans="1:8" ht="18.75" x14ac:dyDescent="0.3">
      <c r="A9" s="5"/>
      <c r="D9" s="4"/>
      <c r="E9" s="25"/>
      <c r="H9" s="4"/>
    </row>
    <row r="10" spans="1:8" ht="18.75" x14ac:dyDescent="0.3">
      <c r="A10" s="5"/>
      <c r="D10" s="4"/>
      <c r="E10" s="25"/>
      <c r="H10" s="4"/>
    </row>
    <row r="11" spans="1:8" ht="18.75" x14ac:dyDescent="0.3">
      <c r="A11" s="5"/>
      <c r="D11" s="4"/>
      <c r="E11" s="25"/>
      <c r="H11" s="4"/>
    </row>
    <row r="12" spans="1:8" ht="18.75" x14ac:dyDescent="0.3">
      <c r="A12" s="5"/>
      <c r="C12" s="3"/>
      <c r="D12" s="27"/>
      <c r="E12" s="25"/>
      <c r="H12" s="27"/>
    </row>
    <row r="13" spans="1:8" ht="18.75" x14ac:dyDescent="0.3">
      <c r="A13" s="5"/>
      <c r="C13" s="3"/>
      <c r="D13" s="28"/>
      <c r="E13" s="25"/>
      <c r="H13" s="28"/>
    </row>
    <row r="14" spans="1:8" ht="19.5" thickBot="1" x14ac:dyDescent="0.35">
      <c r="A14" s="5"/>
      <c r="C14" s="3"/>
      <c r="D14" s="22"/>
      <c r="E14" s="25"/>
      <c r="H14" s="22"/>
    </row>
    <row r="15" spans="1:8" ht="18.75" customHeight="1" x14ac:dyDescent="0.3">
      <c r="D15" s="4">
        <f>SUM(D7:D14)</f>
        <v>180000</v>
      </c>
      <c r="H15" s="4">
        <f>SUM(H7:H14)</f>
        <v>0</v>
      </c>
    </row>
    <row r="16" spans="1:8" ht="18.75" x14ac:dyDescent="0.3">
      <c r="A16" s="5"/>
      <c r="C16" s="3"/>
      <c r="D16" s="4"/>
      <c r="H16" s="4"/>
    </row>
    <row r="18" spans="1:8" ht="18.75" x14ac:dyDescent="0.3">
      <c r="A18" s="5"/>
      <c r="C18" s="3"/>
      <c r="D18" s="4"/>
      <c r="H18" s="4"/>
    </row>
    <row r="19" spans="1:8" ht="15.75" thickBot="1" x14ac:dyDescent="0.3">
      <c r="D19" s="7"/>
      <c r="H19" s="7"/>
    </row>
    <row r="21" spans="1:8" ht="18.75" x14ac:dyDescent="0.3">
      <c r="C21" t="s">
        <v>4</v>
      </c>
      <c r="D21" s="4">
        <f>D3-D15</f>
        <v>379300</v>
      </c>
      <c r="G21" t="s">
        <v>5</v>
      </c>
      <c r="H21" s="4">
        <f>H3-H15</f>
        <v>89300</v>
      </c>
    </row>
    <row r="24" spans="1:8" ht="15.75" x14ac:dyDescent="0.25">
      <c r="A24" t="s">
        <v>6</v>
      </c>
      <c r="C24" s="8">
        <f>D21</f>
        <v>379300</v>
      </c>
      <c r="E24" t="s">
        <v>10</v>
      </c>
      <c r="H24" s="6">
        <f>C33</f>
        <v>287762.8</v>
      </c>
    </row>
    <row r="26" spans="1:8" ht="15.75" x14ac:dyDescent="0.25">
      <c r="A26" t="s">
        <v>5</v>
      </c>
      <c r="B26" s="9" t="s">
        <v>7</v>
      </c>
      <c r="C26" s="8">
        <f>H21</f>
        <v>89300</v>
      </c>
      <c r="E26" s="13" t="s">
        <v>11</v>
      </c>
      <c r="F26" s="9" t="s">
        <v>12</v>
      </c>
      <c r="G26" s="15" t="s">
        <v>17</v>
      </c>
      <c r="H26" s="3">
        <f>-(F27*0.007)</f>
        <v>-3290</v>
      </c>
    </row>
    <row r="27" spans="1:8" x14ac:dyDescent="0.25">
      <c r="F27" s="21">
        <f>D3-H3</f>
        <v>470000</v>
      </c>
    </row>
    <row r="28" spans="1:8" ht="15.75" x14ac:dyDescent="0.25">
      <c r="A28" t="s">
        <v>8</v>
      </c>
      <c r="B28" s="9" t="s">
        <v>7</v>
      </c>
      <c r="C28" s="8">
        <f>D3*0.004</f>
        <v>2237.2000000000003</v>
      </c>
      <c r="F28" s="9" t="s">
        <v>13</v>
      </c>
      <c r="G28" s="16">
        <v>0.35</v>
      </c>
      <c r="H28" s="29">
        <f>-(F29*0.35)</f>
        <v>-100716.98</v>
      </c>
    </row>
    <row r="29" spans="1:8" ht="15.75" thickBot="1" x14ac:dyDescent="0.3">
      <c r="F29" s="21">
        <f>H24</f>
        <v>287762.8</v>
      </c>
      <c r="H29" s="7"/>
    </row>
    <row r="30" spans="1:8" ht="15.75" x14ac:dyDescent="0.25">
      <c r="A30" t="s">
        <v>9</v>
      </c>
      <c r="B30" s="9" t="s">
        <v>7</v>
      </c>
      <c r="C30" s="10"/>
      <c r="G30" s="13" t="s">
        <v>14</v>
      </c>
      <c r="H30" s="6">
        <f>H24+H26+H28</f>
        <v>183755.82</v>
      </c>
    </row>
    <row r="31" spans="1:8" ht="15.75" thickBot="1" x14ac:dyDescent="0.3">
      <c r="A31" s="16"/>
      <c r="B31" s="14"/>
      <c r="C31" s="7"/>
    </row>
    <row r="32" spans="1:8" x14ac:dyDescent="0.25">
      <c r="E32" t="s">
        <v>151</v>
      </c>
      <c r="H32" s="20">
        <f>H30*0.5</f>
        <v>91877.91</v>
      </c>
    </row>
    <row r="33" spans="1:8" ht="15.75" x14ac:dyDescent="0.25">
      <c r="A33" t="s">
        <v>10</v>
      </c>
      <c r="C33" s="10">
        <f>C24-C26-C28-C30</f>
        <v>287762.8</v>
      </c>
      <c r="H33" s="18"/>
    </row>
    <row r="34" spans="1:8" x14ac:dyDescent="0.25">
      <c r="H34" s="3"/>
    </row>
    <row r="35" spans="1:8" x14ac:dyDescent="0.25">
      <c r="H35" s="18"/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2F910-1C48-443C-A2D4-0381A8A88C8B}">
  <dimension ref="A1:H35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305</v>
      </c>
    </row>
    <row r="3" spans="1:8" ht="21" x14ac:dyDescent="0.35">
      <c r="A3" s="2" t="s">
        <v>1</v>
      </c>
      <c r="D3" s="11">
        <v>84728</v>
      </c>
      <c r="F3" s="12" t="s">
        <v>3</v>
      </c>
      <c r="H3" s="11">
        <v>13528</v>
      </c>
    </row>
    <row r="4" spans="1:8" x14ac:dyDescent="0.25">
      <c r="A4" s="13" t="s">
        <v>32</v>
      </c>
      <c r="C4" s="26">
        <v>413</v>
      </c>
    </row>
    <row r="5" spans="1:8" ht="21" x14ac:dyDescent="0.35">
      <c r="A5" s="2" t="s">
        <v>2</v>
      </c>
    </row>
    <row r="7" spans="1:8" ht="18.75" x14ac:dyDescent="0.3">
      <c r="A7" s="5" t="s">
        <v>221</v>
      </c>
      <c r="D7" s="4">
        <v>43432</v>
      </c>
      <c r="E7" s="25"/>
      <c r="H7" s="4">
        <v>6935</v>
      </c>
    </row>
    <row r="8" spans="1:8" ht="18.75" x14ac:dyDescent="0.3">
      <c r="A8" s="5"/>
      <c r="D8" s="4"/>
      <c r="E8" s="25"/>
      <c r="H8" s="4"/>
    </row>
    <row r="9" spans="1:8" ht="18.75" x14ac:dyDescent="0.3">
      <c r="A9" s="5"/>
      <c r="D9" s="4"/>
      <c r="E9" s="25"/>
      <c r="H9" s="4"/>
    </row>
    <row r="10" spans="1:8" ht="18.75" x14ac:dyDescent="0.3">
      <c r="A10" s="5"/>
      <c r="D10" s="4"/>
      <c r="E10" s="25"/>
      <c r="H10" s="4"/>
    </row>
    <row r="11" spans="1:8" ht="18.75" x14ac:dyDescent="0.3">
      <c r="A11" s="5"/>
      <c r="D11" s="4"/>
      <c r="E11" s="25"/>
      <c r="H11" s="4"/>
    </row>
    <row r="12" spans="1:8" ht="18.75" x14ac:dyDescent="0.3">
      <c r="A12" s="5"/>
      <c r="C12" s="3"/>
      <c r="D12" s="27"/>
      <c r="E12" s="25"/>
      <c r="H12" s="27"/>
    </row>
    <row r="13" spans="1:8" ht="18.75" x14ac:dyDescent="0.3">
      <c r="A13" s="5"/>
      <c r="C13" s="3"/>
      <c r="D13" s="28"/>
      <c r="E13" s="25"/>
      <c r="H13" s="28"/>
    </row>
    <row r="14" spans="1:8" ht="19.5" thickBot="1" x14ac:dyDescent="0.35">
      <c r="A14" s="5"/>
      <c r="C14" s="3"/>
      <c r="D14" s="22"/>
      <c r="E14" s="25"/>
      <c r="H14" s="22"/>
    </row>
    <row r="15" spans="1:8" ht="18.75" customHeight="1" x14ac:dyDescent="0.3">
      <c r="D15" s="4">
        <f>SUM(D7:D14)</f>
        <v>43432</v>
      </c>
      <c r="H15" s="4">
        <f>SUM(H7:H14)</f>
        <v>6935</v>
      </c>
    </row>
    <row r="16" spans="1:8" ht="18.75" x14ac:dyDescent="0.3">
      <c r="A16" s="5"/>
      <c r="C16" s="3"/>
      <c r="D16" s="4"/>
      <c r="H16" s="4"/>
    </row>
    <row r="18" spans="1:8" ht="18.75" x14ac:dyDescent="0.3">
      <c r="A18" s="5"/>
      <c r="C18" s="3"/>
      <c r="D18" s="4"/>
      <c r="H18" s="4"/>
    </row>
    <row r="19" spans="1:8" ht="15.75" thickBot="1" x14ac:dyDescent="0.3">
      <c r="D19" s="7"/>
      <c r="H19" s="7"/>
    </row>
    <row r="21" spans="1:8" ht="18.75" x14ac:dyDescent="0.3">
      <c r="C21" t="s">
        <v>4</v>
      </c>
      <c r="D21" s="4">
        <f>D3-D15</f>
        <v>41296</v>
      </c>
      <c r="G21" t="s">
        <v>5</v>
      </c>
      <c r="H21" s="4">
        <f>H3-H15</f>
        <v>6593</v>
      </c>
    </row>
    <row r="24" spans="1:8" ht="15.75" x14ac:dyDescent="0.25">
      <c r="A24" t="s">
        <v>6</v>
      </c>
      <c r="C24" s="8">
        <f>D21</f>
        <v>41296</v>
      </c>
      <c r="E24" t="s">
        <v>10</v>
      </c>
      <c r="H24" s="6">
        <f>C33</f>
        <v>34364.088000000003</v>
      </c>
    </row>
    <row r="26" spans="1:8" ht="15.75" x14ac:dyDescent="0.25">
      <c r="A26" t="s">
        <v>5</v>
      </c>
      <c r="B26" s="9" t="s">
        <v>7</v>
      </c>
      <c r="C26" s="8">
        <f>H21</f>
        <v>6593</v>
      </c>
      <c r="E26" s="13" t="s">
        <v>11</v>
      </c>
      <c r="F26" s="9" t="s">
        <v>12</v>
      </c>
      <c r="G26" s="15" t="s">
        <v>17</v>
      </c>
      <c r="H26" s="3">
        <f>-(F27*0.007)</f>
        <v>-498.40000000000003</v>
      </c>
    </row>
    <row r="27" spans="1:8" x14ac:dyDescent="0.25">
      <c r="F27" s="21">
        <f>D3-H3</f>
        <v>71200</v>
      </c>
    </row>
    <row r="28" spans="1:8" ht="15.75" x14ac:dyDescent="0.25">
      <c r="A28" t="s">
        <v>8</v>
      </c>
      <c r="B28" s="9" t="s">
        <v>7</v>
      </c>
      <c r="C28" s="8">
        <f>D3*0.004</f>
        <v>338.91200000000003</v>
      </c>
      <c r="F28" s="9" t="s">
        <v>13</v>
      </c>
      <c r="G28" s="16">
        <v>0.35</v>
      </c>
      <c r="H28" s="29">
        <f>-(F29*0.35)</f>
        <v>-12027.4308</v>
      </c>
    </row>
    <row r="29" spans="1:8" ht="15.75" thickBot="1" x14ac:dyDescent="0.3">
      <c r="F29" s="21">
        <f>H24</f>
        <v>34364.088000000003</v>
      </c>
      <c r="H29" s="7"/>
    </row>
    <row r="30" spans="1:8" ht="15.75" x14ac:dyDescent="0.25">
      <c r="A30" t="s">
        <v>9</v>
      </c>
      <c r="B30" s="9" t="s">
        <v>7</v>
      </c>
      <c r="C30" s="10"/>
      <c r="G30" s="13" t="s">
        <v>14</v>
      </c>
      <c r="H30" s="6">
        <f>H24+H26+H28</f>
        <v>21838.2572</v>
      </c>
    </row>
    <row r="31" spans="1:8" ht="15.75" thickBot="1" x14ac:dyDescent="0.3">
      <c r="A31" s="16"/>
      <c r="B31" s="14"/>
      <c r="C31" s="7"/>
    </row>
    <row r="32" spans="1:8" x14ac:dyDescent="0.25">
      <c r="E32" t="s">
        <v>151</v>
      </c>
      <c r="H32" s="20">
        <f>H30*0.5</f>
        <v>10919.1286</v>
      </c>
    </row>
    <row r="33" spans="1:8" ht="15.75" x14ac:dyDescent="0.25">
      <c r="A33" t="s">
        <v>10</v>
      </c>
      <c r="C33" s="10">
        <f>C24-C26-C28-C30</f>
        <v>34364.088000000003</v>
      </c>
      <c r="H33" s="18"/>
    </row>
    <row r="34" spans="1:8" x14ac:dyDescent="0.25">
      <c r="H34" s="3"/>
    </row>
    <row r="35" spans="1:8" x14ac:dyDescent="0.25">
      <c r="H35" s="18"/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FFF52-0FA2-4EDA-834C-776DA6E6C9F8}">
  <dimension ref="A1:H35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314</v>
      </c>
    </row>
    <row r="3" spans="1:8" ht="21" x14ac:dyDescent="0.35">
      <c r="A3" s="2" t="s">
        <v>1</v>
      </c>
      <c r="D3" s="11">
        <v>64260</v>
      </c>
      <c r="F3" s="12" t="s">
        <v>3</v>
      </c>
      <c r="H3" s="11">
        <v>10260</v>
      </c>
    </row>
    <row r="4" spans="1:8" x14ac:dyDescent="0.25">
      <c r="A4" s="13" t="s">
        <v>32</v>
      </c>
      <c r="C4" s="26">
        <v>418</v>
      </c>
    </row>
    <row r="5" spans="1:8" ht="21" x14ac:dyDescent="0.35">
      <c r="A5" s="2" t="s">
        <v>2</v>
      </c>
    </row>
    <row r="7" spans="1:8" ht="18.75" x14ac:dyDescent="0.3">
      <c r="A7" s="5" t="s">
        <v>315</v>
      </c>
      <c r="D7" s="4">
        <v>36807</v>
      </c>
      <c r="E7" s="25"/>
      <c r="H7" s="4">
        <v>5877</v>
      </c>
    </row>
    <row r="8" spans="1:8" ht="18.75" x14ac:dyDescent="0.3">
      <c r="A8" s="5"/>
      <c r="D8" s="4"/>
      <c r="E8" s="25"/>
      <c r="H8" s="4"/>
    </row>
    <row r="9" spans="1:8" ht="18.75" x14ac:dyDescent="0.3">
      <c r="A9" s="5"/>
      <c r="D9" s="4"/>
      <c r="E9" s="25"/>
      <c r="H9" s="4"/>
    </row>
    <row r="10" spans="1:8" ht="18.75" x14ac:dyDescent="0.3">
      <c r="A10" s="5"/>
      <c r="D10" s="4"/>
      <c r="E10" s="25"/>
      <c r="H10" s="4"/>
    </row>
    <row r="11" spans="1:8" ht="18.75" x14ac:dyDescent="0.3">
      <c r="A11" s="5"/>
      <c r="D11" s="4"/>
      <c r="E11" s="25"/>
      <c r="H11" s="4"/>
    </row>
    <row r="12" spans="1:8" ht="18.75" x14ac:dyDescent="0.3">
      <c r="A12" s="5"/>
      <c r="C12" s="3"/>
      <c r="D12" s="27"/>
      <c r="E12" s="25"/>
      <c r="H12" s="27"/>
    </row>
    <row r="13" spans="1:8" ht="18.75" x14ac:dyDescent="0.3">
      <c r="A13" s="5"/>
      <c r="C13" s="3"/>
      <c r="D13" s="28"/>
      <c r="E13" s="25"/>
      <c r="H13" s="28"/>
    </row>
    <row r="14" spans="1:8" ht="19.5" thickBot="1" x14ac:dyDescent="0.35">
      <c r="A14" s="5"/>
      <c r="C14" s="3"/>
      <c r="D14" s="22"/>
      <c r="E14" s="25"/>
      <c r="H14" s="22"/>
    </row>
    <row r="15" spans="1:8" ht="18.75" customHeight="1" x14ac:dyDescent="0.3">
      <c r="D15" s="4">
        <f>SUM(D7:D14)</f>
        <v>36807</v>
      </c>
      <c r="H15" s="4">
        <f>SUM(H7:H14)</f>
        <v>5877</v>
      </c>
    </row>
    <row r="16" spans="1:8" ht="18.75" x14ac:dyDescent="0.3">
      <c r="A16" s="5"/>
      <c r="C16" s="3"/>
      <c r="D16" s="4"/>
      <c r="H16" s="4"/>
    </row>
    <row r="18" spans="1:8" ht="18.75" x14ac:dyDescent="0.3">
      <c r="A18" s="5"/>
      <c r="C18" s="3"/>
      <c r="D18" s="4"/>
      <c r="H18" s="4"/>
    </row>
    <row r="19" spans="1:8" ht="15.75" thickBot="1" x14ac:dyDescent="0.3">
      <c r="D19" s="7"/>
      <c r="H19" s="7"/>
    </row>
    <row r="21" spans="1:8" ht="18.75" x14ac:dyDescent="0.3">
      <c r="C21" t="s">
        <v>4</v>
      </c>
      <c r="D21" s="4">
        <f>D3-D15</f>
        <v>27453</v>
      </c>
      <c r="G21" t="s">
        <v>5</v>
      </c>
      <c r="H21" s="4">
        <f>H3-H15</f>
        <v>4383</v>
      </c>
    </row>
    <row r="24" spans="1:8" ht="15.75" x14ac:dyDescent="0.25">
      <c r="A24" t="s">
        <v>6</v>
      </c>
      <c r="C24" s="8">
        <f>D21</f>
        <v>27453</v>
      </c>
      <c r="E24" t="s">
        <v>10</v>
      </c>
      <c r="H24" s="6">
        <f>C33</f>
        <v>22812.959999999999</v>
      </c>
    </row>
    <row r="26" spans="1:8" ht="15.75" x14ac:dyDescent="0.25">
      <c r="A26" t="s">
        <v>5</v>
      </c>
      <c r="B26" s="9" t="s">
        <v>7</v>
      </c>
      <c r="C26" s="8">
        <f>H21</f>
        <v>4383</v>
      </c>
      <c r="E26" s="13" t="s">
        <v>11</v>
      </c>
      <c r="F26" s="9" t="s">
        <v>12</v>
      </c>
      <c r="G26" s="15" t="s">
        <v>17</v>
      </c>
      <c r="H26" s="3">
        <f>-(F27*0.007)</f>
        <v>-378</v>
      </c>
    </row>
    <row r="27" spans="1:8" x14ac:dyDescent="0.25">
      <c r="F27" s="21">
        <f>D3-H3</f>
        <v>54000</v>
      </c>
    </row>
    <row r="28" spans="1:8" ht="15.75" x14ac:dyDescent="0.25">
      <c r="A28" t="s">
        <v>8</v>
      </c>
      <c r="B28" s="9" t="s">
        <v>7</v>
      </c>
      <c r="C28" s="8">
        <f>D3*0.004</f>
        <v>257.04000000000002</v>
      </c>
      <c r="F28" s="9" t="s">
        <v>13</v>
      </c>
      <c r="G28" s="16">
        <v>0.35</v>
      </c>
      <c r="H28" s="29">
        <f>-(F29*0.35)</f>
        <v>-7984.5359999999991</v>
      </c>
    </row>
    <row r="29" spans="1:8" ht="15.75" thickBot="1" x14ac:dyDescent="0.3">
      <c r="F29" s="21">
        <f>H24</f>
        <v>22812.959999999999</v>
      </c>
      <c r="H29" s="7"/>
    </row>
    <row r="30" spans="1:8" ht="15.75" x14ac:dyDescent="0.25">
      <c r="A30" t="s">
        <v>9</v>
      </c>
      <c r="B30" s="9" t="s">
        <v>7</v>
      </c>
      <c r="C30" s="10"/>
      <c r="G30" s="13" t="s">
        <v>14</v>
      </c>
      <c r="H30" s="6">
        <f>H24+H26+H28</f>
        <v>14450.423999999999</v>
      </c>
    </row>
    <row r="31" spans="1:8" ht="15.75" thickBot="1" x14ac:dyDescent="0.3">
      <c r="A31" s="16"/>
      <c r="B31" s="14"/>
      <c r="C31" s="7"/>
    </row>
    <row r="32" spans="1:8" x14ac:dyDescent="0.25">
      <c r="E32" t="s">
        <v>151</v>
      </c>
      <c r="H32" s="20">
        <f>H30*0.5</f>
        <v>7225.2119999999995</v>
      </c>
    </row>
    <row r="33" spans="1:8" ht="15.75" x14ac:dyDescent="0.25">
      <c r="A33" t="s">
        <v>10</v>
      </c>
      <c r="C33" s="10">
        <f>C24-C26-C28-C30</f>
        <v>22812.959999999999</v>
      </c>
      <c r="H33" s="18"/>
    </row>
    <row r="34" spans="1:8" x14ac:dyDescent="0.25">
      <c r="H34" s="3"/>
    </row>
    <row r="35" spans="1:8" x14ac:dyDescent="0.25">
      <c r="H35" s="18"/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77F9B-669B-435C-A28C-143FB07940F2}">
  <dimension ref="A1:H35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282</v>
      </c>
    </row>
    <row r="3" spans="1:8" ht="21" x14ac:dyDescent="0.35">
      <c r="A3" s="2" t="s">
        <v>1</v>
      </c>
      <c r="D3" s="11">
        <v>17255</v>
      </c>
      <c r="F3" s="12" t="s">
        <v>3</v>
      </c>
      <c r="H3" s="11">
        <v>2755</v>
      </c>
    </row>
    <row r="4" spans="1:8" x14ac:dyDescent="0.25">
      <c r="A4" s="13" t="s">
        <v>32</v>
      </c>
      <c r="C4" s="26">
        <v>419</v>
      </c>
    </row>
    <row r="5" spans="1:8" ht="21" x14ac:dyDescent="0.35">
      <c r="A5" s="2" t="s">
        <v>2</v>
      </c>
    </row>
    <row r="7" spans="1:8" ht="18.75" x14ac:dyDescent="0.3">
      <c r="A7" s="5" t="s">
        <v>315</v>
      </c>
      <c r="D7" s="4">
        <v>10103</v>
      </c>
      <c r="E7" s="25"/>
      <c r="H7" s="4">
        <v>1613</v>
      </c>
    </row>
    <row r="8" spans="1:8" ht="18.75" x14ac:dyDescent="0.3">
      <c r="A8" s="5"/>
      <c r="D8" s="4"/>
      <c r="E8" s="25"/>
      <c r="H8" s="4"/>
    </row>
    <row r="9" spans="1:8" ht="18.75" x14ac:dyDescent="0.3">
      <c r="A9" s="5"/>
      <c r="D9" s="4"/>
      <c r="E9" s="25"/>
      <c r="H9" s="4"/>
    </row>
    <row r="10" spans="1:8" ht="18.75" x14ac:dyDescent="0.3">
      <c r="A10" s="5"/>
      <c r="D10" s="4"/>
      <c r="E10" s="25"/>
      <c r="H10" s="4"/>
    </row>
    <row r="11" spans="1:8" ht="18.75" x14ac:dyDescent="0.3">
      <c r="A11" s="5"/>
      <c r="D11" s="4"/>
      <c r="E11" s="25"/>
      <c r="H11" s="4"/>
    </row>
    <row r="12" spans="1:8" ht="18.75" x14ac:dyDescent="0.3">
      <c r="A12" s="5"/>
      <c r="C12" s="3"/>
      <c r="D12" s="27"/>
      <c r="E12" s="25"/>
      <c r="H12" s="27"/>
    </row>
    <row r="13" spans="1:8" ht="18.75" x14ac:dyDescent="0.3">
      <c r="A13" s="5"/>
      <c r="C13" s="3"/>
      <c r="D13" s="28"/>
      <c r="E13" s="25"/>
      <c r="H13" s="28"/>
    </row>
    <row r="14" spans="1:8" ht="19.5" thickBot="1" x14ac:dyDescent="0.35">
      <c r="A14" s="5"/>
      <c r="C14" s="3"/>
      <c r="D14" s="22"/>
      <c r="E14" s="25"/>
      <c r="H14" s="22"/>
    </row>
    <row r="15" spans="1:8" ht="18.75" customHeight="1" x14ac:dyDescent="0.3">
      <c r="D15" s="4">
        <f>SUM(D7:D14)</f>
        <v>10103</v>
      </c>
      <c r="H15" s="4">
        <f>SUM(H7:H14)</f>
        <v>1613</v>
      </c>
    </row>
    <row r="16" spans="1:8" ht="18.75" x14ac:dyDescent="0.3">
      <c r="A16" s="5"/>
      <c r="C16" s="3"/>
      <c r="D16" s="4"/>
      <c r="H16" s="4"/>
    </row>
    <row r="18" spans="1:8" ht="18.75" x14ac:dyDescent="0.3">
      <c r="A18" s="5"/>
      <c r="C18" s="3"/>
      <c r="D18" s="4"/>
      <c r="H18" s="4"/>
    </row>
    <row r="19" spans="1:8" ht="15.75" thickBot="1" x14ac:dyDescent="0.3">
      <c r="D19" s="7"/>
      <c r="H19" s="7"/>
    </row>
    <row r="21" spans="1:8" ht="18.75" x14ac:dyDescent="0.3">
      <c r="C21" t="s">
        <v>4</v>
      </c>
      <c r="D21" s="4">
        <f>D3-D15</f>
        <v>7152</v>
      </c>
      <c r="G21" t="s">
        <v>5</v>
      </c>
      <c r="H21" s="4">
        <f>H3-H15</f>
        <v>1142</v>
      </c>
    </row>
    <row r="24" spans="1:8" ht="15.75" x14ac:dyDescent="0.25">
      <c r="A24" t="s">
        <v>6</v>
      </c>
      <c r="C24" s="8">
        <f>D21</f>
        <v>7152</v>
      </c>
      <c r="E24" t="s">
        <v>10</v>
      </c>
      <c r="H24" s="6">
        <f>C33</f>
        <v>5940.98</v>
      </c>
    </row>
    <row r="26" spans="1:8" ht="15.75" x14ac:dyDescent="0.25">
      <c r="A26" t="s">
        <v>5</v>
      </c>
      <c r="B26" s="9" t="s">
        <v>7</v>
      </c>
      <c r="C26" s="8">
        <f>H21</f>
        <v>1142</v>
      </c>
      <c r="E26" s="13" t="s">
        <v>11</v>
      </c>
      <c r="F26" s="9" t="s">
        <v>12</v>
      </c>
      <c r="G26" s="15" t="s">
        <v>17</v>
      </c>
      <c r="H26" s="3">
        <f>-(F27*0.007)</f>
        <v>-101.5</v>
      </c>
    </row>
    <row r="27" spans="1:8" x14ac:dyDescent="0.25">
      <c r="F27" s="21">
        <f>D3-H3</f>
        <v>14500</v>
      </c>
    </row>
    <row r="28" spans="1:8" ht="15.75" x14ac:dyDescent="0.25">
      <c r="A28" t="s">
        <v>8</v>
      </c>
      <c r="B28" s="9" t="s">
        <v>7</v>
      </c>
      <c r="C28" s="8">
        <f>D3*0.004</f>
        <v>69.02</v>
      </c>
      <c r="F28" s="9" t="s">
        <v>13</v>
      </c>
      <c r="G28" s="16">
        <v>0.35</v>
      </c>
      <c r="H28" s="29">
        <f>-(F29*0.35)</f>
        <v>-2079.3429999999998</v>
      </c>
    </row>
    <row r="29" spans="1:8" ht="15.75" thickBot="1" x14ac:dyDescent="0.3">
      <c r="F29" s="21">
        <f>H24</f>
        <v>5940.98</v>
      </c>
      <c r="H29" s="7"/>
    </row>
    <row r="30" spans="1:8" ht="15.75" x14ac:dyDescent="0.25">
      <c r="A30" t="s">
        <v>9</v>
      </c>
      <c r="B30" s="9" t="s">
        <v>7</v>
      </c>
      <c r="C30" s="10"/>
      <c r="G30" s="13" t="s">
        <v>14</v>
      </c>
      <c r="H30" s="6">
        <f>H24+H26+H28</f>
        <v>3760.1369999999997</v>
      </c>
    </row>
    <row r="31" spans="1:8" ht="15.75" thickBot="1" x14ac:dyDescent="0.3">
      <c r="A31" s="16"/>
      <c r="B31" s="14"/>
      <c r="C31" s="7"/>
    </row>
    <row r="32" spans="1:8" x14ac:dyDescent="0.25">
      <c r="E32" t="s">
        <v>151</v>
      </c>
      <c r="H32" s="20">
        <f>H30*0.5</f>
        <v>1880.0684999999999</v>
      </c>
    </row>
    <row r="33" spans="1:8" ht="15.75" x14ac:dyDescent="0.25">
      <c r="A33" t="s">
        <v>10</v>
      </c>
      <c r="C33" s="10">
        <f>C24-C26-C28-C30</f>
        <v>5940.98</v>
      </c>
      <c r="H33" s="18"/>
    </row>
    <row r="34" spans="1:8" x14ac:dyDescent="0.25">
      <c r="H34" s="3"/>
    </row>
    <row r="35" spans="1:8" x14ac:dyDescent="0.25">
      <c r="H35" s="18"/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B714F-8F29-4C15-A2F3-1FD28EA0F509}">
  <dimension ref="A1:H35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316</v>
      </c>
    </row>
    <row r="3" spans="1:8" ht="21" x14ac:dyDescent="0.35">
      <c r="A3" s="2" t="s">
        <v>1</v>
      </c>
      <c r="D3" s="11">
        <v>214676</v>
      </c>
      <c r="F3" s="12" t="s">
        <v>3</v>
      </c>
      <c r="H3" s="11">
        <v>34276</v>
      </c>
    </row>
    <row r="4" spans="1:8" x14ac:dyDescent="0.25">
      <c r="A4" s="13" t="s">
        <v>32</v>
      </c>
      <c r="C4" s="26">
        <v>420</v>
      </c>
    </row>
    <row r="5" spans="1:8" ht="21" x14ac:dyDescent="0.35">
      <c r="A5" s="2" t="s">
        <v>2</v>
      </c>
    </row>
    <row r="7" spans="1:8" ht="18.75" x14ac:dyDescent="0.3">
      <c r="A7" s="5" t="s">
        <v>185</v>
      </c>
      <c r="D7" s="4">
        <v>97590</v>
      </c>
      <c r="E7" s="25"/>
      <c r="H7" s="4"/>
    </row>
    <row r="8" spans="1:8" ht="18.75" x14ac:dyDescent="0.3">
      <c r="A8" s="5"/>
      <c r="D8" s="4"/>
      <c r="E8" s="25"/>
      <c r="H8" s="4"/>
    </row>
    <row r="9" spans="1:8" ht="18.75" x14ac:dyDescent="0.3">
      <c r="A9" s="5"/>
      <c r="D9" s="4"/>
      <c r="E9" s="25"/>
      <c r="H9" s="4"/>
    </row>
    <row r="10" spans="1:8" ht="18.75" x14ac:dyDescent="0.3">
      <c r="A10" s="5"/>
      <c r="D10" s="4"/>
      <c r="E10" s="25"/>
      <c r="H10" s="4"/>
    </row>
    <row r="11" spans="1:8" ht="18.75" x14ac:dyDescent="0.3">
      <c r="A11" s="5"/>
      <c r="D11" s="4"/>
      <c r="E11" s="25"/>
      <c r="H11" s="4"/>
    </row>
    <row r="12" spans="1:8" ht="18.75" x14ac:dyDescent="0.3">
      <c r="A12" s="5"/>
      <c r="C12" s="3"/>
      <c r="D12" s="27"/>
      <c r="E12" s="25"/>
      <c r="H12" s="27"/>
    </row>
    <row r="13" spans="1:8" ht="18.75" x14ac:dyDescent="0.3">
      <c r="A13" s="5"/>
      <c r="C13" s="3"/>
      <c r="D13" s="28"/>
      <c r="E13" s="25"/>
      <c r="H13" s="28"/>
    </row>
    <row r="14" spans="1:8" ht="19.5" thickBot="1" x14ac:dyDescent="0.35">
      <c r="A14" s="5"/>
      <c r="C14" s="3"/>
      <c r="D14" s="22"/>
      <c r="E14" s="25"/>
      <c r="H14" s="22"/>
    </row>
    <row r="15" spans="1:8" ht="18.75" customHeight="1" x14ac:dyDescent="0.3">
      <c r="D15" s="4">
        <f>SUM(D7:D14)</f>
        <v>97590</v>
      </c>
      <c r="H15" s="4">
        <f>SUM(H7:H14)</f>
        <v>0</v>
      </c>
    </row>
    <row r="16" spans="1:8" ht="18.75" x14ac:dyDescent="0.3">
      <c r="A16" s="5"/>
      <c r="C16" s="3"/>
      <c r="D16" s="4"/>
      <c r="H16" s="4"/>
    </row>
    <row r="18" spans="1:8" ht="18.75" x14ac:dyDescent="0.3">
      <c r="A18" s="5"/>
      <c r="C18" s="3"/>
      <c r="D18" s="4"/>
      <c r="H18" s="4"/>
    </row>
    <row r="19" spans="1:8" ht="15.75" thickBot="1" x14ac:dyDescent="0.3">
      <c r="D19" s="7"/>
      <c r="H19" s="7"/>
    </row>
    <row r="21" spans="1:8" ht="18.75" x14ac:dyDescent="0.3">
      <c r="C21" t="s">
        <v>4</v>
      </c>
      <c r="D21" s="4">
        <f>D3-D15</f>
        <v>117086</v>
      </c>
      <c r="G21" t="s">
        <v>5</v>
      </c>
      <c r="H21" s="4">
        <f>H3-H15</f>
        <v>34276</v>
      </c>
    </row>
    <row r="24" spans="1:8" ht="15.75" x14ac:dyDescent="0.25">
      <c r="A24" t="s">
        <v>6</v>
      </c>
      <c r="C24" s="8">
        <f>D21</f>
        <v>117086</v>
      </c>
      <c r="E24" t="s">
        <v>10</v>
      </c>
      <c r="H24" s="6">
        <f>C33</f>
        <v>81951.296000000002</v>
      </c>
    </row>
    <row r="26" spans="1:8" ht="15.75" x14ac:dyDescent="0.25">
      <c r="A26" t="s">
        <v>5</v>
      </c>
      <c r="B26" s="9" t="s">
        <v>7</v>
      </c>
      <c r="C26" s="8">
        <f>H21</f>
        <v>34276</v>
      </c>
      <c r="E26" s="13" t="s">
        <v>11</v>
      </c>
      <c r="F26" s="9" t="s">
        <v>12</v>
      </c>
      <c r="G26" s="15" t="s">
        <v>17</v>
      </c>
      <c r="H26" s="3">
        <f>-(F27*0.007)</f>
        <v>-1262.8</v>
      </c>
    </row>
    <row r="27" spans="1:8" x14ac:dyDescent="0.25">
      <c r="F27" s="21">
        <f>D3-H3</f>
        <v>180400</v>
      </c>
    </row>
    <row r="28" spans="1:8" ht="15.75" x14ac:dyDescent="0.25">
      <c r="A28" t="s">
        <v>8</v>
      </c>
      <c r="B28" s="9" t="s">
        <v>7</v>
      </c>
      <c r="C28" s="8">
        <f>D3*0.004</f>
        <v>858.70400000000006</v>
      </c>
      <c r="F28" s="9" t="s">
        <v>13</v>
      </c>
      <c r="G28" s="16">
        <v>0.35</v>
      </c>
      <c r="H28" s="29">
        <f>-(F29*0.35)</f>
        <v>-28682.953600000001</v>
      </c>
    </row>
    <row r="29" spans="1:8" ht="15.75" thickBot="1" x14ac:dyDescent="0.3">
      <c r="F29" s="21">
        <f>H24</f>
        <v>81951.296000000002</v>
      </c>
      <c r="H29" s="7"/>
    </row>
    <row r="30" spans="1:8" ht="15.75" x14ac:dyDescent="0.25">
      <c r="A30" t="s">
        <v>9</v>
      </c>
      <c r="B30" s="9" t="s">
        <v>7</v>
      </c>
      <c r="C30" s="10"/>
      <c r="G30" s="13" t="s">
        <v>14</v>
      </c>
      <c r="H30" s="6">
        <f>H24+H26+H28</f>
        <v>52005.542399999998</v>
      </c>
    </row>
    <row r="31" spans="1:8" ht="15.75" thickBot="1" x14ac:dyDescent="0.3">
      <c r="A31" s="16"/>
      <c r="B31" s="14"/>
      <c r="C31" s="7"/>
    </row>
    <row r="32" spans="1:8" x14ac:dyDescent="0.25">
      <c r="E32" t="s">
        <v>151</v>
      </c>
      <c r="H32" s="20">
        <f>H30*0.5</f>
        <v>26002.771199999999</v>
      </c>
    </row>
    <row r="33" spans="1:8" ht="15.75" x14ac:dyDescent="0.25">
      <c r="A33" t="s">
        <v>10</v>
      </c>
      <c r="C33" s="10">
        <f>C24-C26-C28-C30</f>
        <v>81951.296000000002</v>
      </c>
      <c r="H33" s="18"/>
    </row>
    <row r="34" spans="1:8" x14ac:dyDescent="0.25">
      <c r="H34" s="3"/>
    </row>
    <row r="35" spans="1:8" x14ac:dyDescent="0.25">
      <c r="H35" s="18"/>
    </row>
  </sheetData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7C827-8A21-432E-BF88-CA93D15C1378}">
  <dimension ref="A1:H35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317</v>
      </c>
    </row>
    <row r="3" spans="1:8" ht="21" x14ac:dyDescent="0.35">
      <c r="A3" s="2" t="s">
        <v>1</v>
      </c>
      <c r="D3" s="11">
        <v>628320</v>
      </c>
      <c r="F3" s="12" t="s">
        <v>3</v>
      </c>
      <c r="H3" s="11">
        <v>100320</v>
      </c>
    </row>
    <row r="4" spans="1:8" x14ac:dyDescent="0.25">
      <c r="A4" s="13" t="s">
        <v>32</v>
      </c>
      <c r="C4" s="26">
        <v>423</v>
      </c>
    </row>
    <row r="5" spans="1:8" ht="21" x14ac:dyDescent="0.35">
      <c r="A5" s="2" t="s">
        <v>2</v>
      </c>
    </row>
    <row r="7" spans="1:8" ht="18.75" x14ac:dyDescent="0.3">
      <c r="A7" s="5" t="s">
        <v>318</v>
      </c>
      <c r="D7" s="4">
        <v>441680</v>
      </c>
      <c r="E7" s="25"/>
      <c r="H7" s="4">
        <v>70520</v>
      </c>
    </row>
    <row r="8" spans="1:8" ht="18.75" x14ac:dyDescent="0.3">
      <c r="A8" s="5"/>
      <c r="D8" s="4"/>
      <c r="E8" s="25"/>
      <c r="H8" s="4"/>
    </row>
    <row r="9" spans="1:8" ht="18.75" x14ac:dyDescent="0.3">
      <c r="A9" s="5"/>
      <c r="D9" s="4"/>
      <c r="E9" s="25"/>
      <c r="H9" s="4"/>
    </row>
    <row r="10" spans="1:8" ht="18.75" x14ac:dyDescent="0.3">
      <c r="A10" s="5"/>
      <c r="D10" s="4"/>
      <c r="E10" s="25"/>
      <c r="H10" s="4"/>
    </row>
    <row r="11" spans="1:8" ht="18.75" x14ac:dyDescent="0.3">
      <c r="A11" s="5"/>
      <c r="D11" s="4"/>
      <c r="E11" s="25"/>
      <c r="H11" s="4"/>
    </row>
    <row r="12" spans="1:8" ht="18.75" x14ac:dyDescent="0.3">
      <c r="A12" s="5"/>
      <c r="C12" s="3"/>
      <c r="D12" s="27"/>
      <c r="E12" s="25"/>
      <c r="H12" s="27"/>
    </row>
    <row r="13" spans="1:8" ht="18.75" x14ac:dyDescent="0.3">
      <c r="A13" s="5"/>
      <c r="C13" s="3"/>
      <c r="D13" s="28"/>
      <c r="E13" s="25"/>
      <c r="H13" s="28"/>
    </row>
    <row r="14" spans="1:8" ht="19.5" thickBot="1" x14ac:dyDescent="0.35">
      <c r="A14" s="5"/>
      <c r="C14" s="3"/>
      <c r="D14" s="22"/>
      <c r="E14" s="25"/>
      <c r="H14" s="22"/>
    </row>
    <row r="15" spans="1:8" ht="18.75" customHeight="1" x14ac:dyDescent="0.3">
      <c r="D15" s="4">
        <f>SUM(D7:D14)</f>
        <v>441680</v>
      </c>
      <c r="H15" s="4">
        <f>SUM(H7:H14)</f>
        <v>70520</v>
      </c>
    </row>
    <row r="16" spans="1:8" ht="18.75" x14ac:dyDescent="0.3">
      <c r="A16" s="5"/>
      <c r="C16" s="3"/>
      <c r="D16" s="4"/>
      <c r="H16" s="4"/>
    </row>
    <row r="18" spans="1:8" ht="18.75" x14ac:dyDescent="0.3">
      <c r="A18" s="5"/>
      <c r="C18" s="3"/>
      <c r="D18" s="4"/>
      <c r="H18" s="4"/>
    </row>
    <row r="19" spans="1:8" ht="15.75" thickBot="1" x14ac:dyDescent="0.3">
      <c r="D19" s="7"/>
      <c r="H19" s="7"/>
    </row>
    <row r="21" spans="1:8" ht="18.75" x14ac:dyDescent="0.3">
      <c r="C21" t="s">
        <v>4</v>
      </c>
      <c r="D21" s="4">
        <f>D3-D15</f>
        <v>186640</v>
      </c>
      <c r="G21" t="s">
        <v>5</v>
      </c>
      <c r="H21" s="4">
        <f>H3-H15</f>
        <v>29800</v>
      </c>
    </row>
    <row r="24" spans="1:8" ht="15.75" x14ac:dyDescent="0.25">
      <c r="A24" t="s">
        <v>6</v>
      </c>
      <c r="C24" s="8">
        <f>D21</f>
        <v>186640</v>
      </c>
      <c r="E24" t="s">
        <v>10</v>
      </c>
      <c r="H24" s="6">
        <f>C33</f>
        <v>154326.72</v>
      </c>
    </row>
    <row r="26" spans="1:8" ht="15.75" x14ac:dyDescent="0.25">
      <c r="A26" t="s">
        <v>5</v>
      </c>
      <c r="B26" s="9" t="s">
        <v>7</v>
      </c>
      <c r="C26" s="8">
        <f>H21</f>
        <v>29800</v>
      </c>
      <c r="E26" s="13" t="s">
        <v>11</v>
      </c>
      <c r="F26" s="9" t="s">
        <v>12</v>
      </c>
      <c r="G26" s="15" t="s">
        <v>17</v>
      </c>
      <c r="H26" s="3">
        <f>-(F27*0.007)</f>
        <v>-3696</v>
      </c>
    </row>
    <row r="27" spans="1:8" x14ac:dyDescent="0.25">
      <c r="F27" s="21">
        <f>D3-H3</f>
        <v>528000</v>
      </c>
    </row>
    <row r="28" spans="1:8" ht="15.75" x14ac:dyDescent="0.25">
      <c r="A28" t="s">
        <v>8</v>
      </c>
      <c r="B28" s="9" t="s">
        <v>7</v>
      </c>
      <c r="C28" s="8">
        <f>D3*0.004</f>
        <v>2513.2800000000002</v>
      </c>
      <c r="F28" s="9" t="s">
        <v>13</v>
      </c>
      <c r="G28" s="16">
        <v>0.35</v>
      </c>
      <c r="H28" s="29">
        <f>-(F29*0.35)</f>
        <v>-54014.351999999999</v>
      </c>
    </row>
    <row r="29" spans="1:8" ht="15.75" thickBot="1" x14ac:dyDescent="0.3">
      <c r="F29" s="21">
        <f>H24</f>
        <v>154326.72</v>
      </c>
      <c r="H29" s="7"/>
    </row>
    <row r="30" spans="1:8" ht="15.75" x14ac:dyDescent="0.25">
      <c r="A30" t="s">
        <v>9</v>
      </c>
      <c r="B30" s="9" t="s">
        <v>7</v>
      </c>
      <c r="C30" s="10"/>
      <c r="G30" s="13" t="s">
        <v>14</v>
      </c>
      <c r="H30" s="6">
        <f>H24+H26+H28</f>
        <v>96616.368000000002</v>
      </c>
    </row>
    <row r="31" spans="1:8" ht="15.75" thickBot="1" x14ac:dyDescent="0.3">
      <c r="A31" s="16"/>
      <c r="B31" s="14"/>
      <c r="C31" s="7"/>
    </row>
    <row r="32" spans="1:8" x14ac:dyDescent="0.25">
      <c r="E32" t="s">
        <v>151</v>
      </c>
      <c r="H32" s="20">
        <f>H30*0.5</f>
        <v>48308.184000000001</v>
      </c>
    </row>
    <row r="33" spans="1:8" ht="15.75" x14ac:dyDescent="0.25">
      <c r="A33" t="s">
        <v>10</v>
      </c>
      <c r="C33" s="10">
        <f>C24-C26-C28-C30</f>
        <v>154326.72</v>
      </c>
      <c r="H33" s="18"/>
    </row>
    <row r="34" spans="1:8" x14ac:dyDescent="0.25">
      <c r="H34" s="3"/>
    </row>
    <row r="35" spans="1:8" x14ac:dyDescent="0.25">
      <c r="H35" s="18"/>
    </row>
  </sheetData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4FB43-B1B0-4FD0-9068-993AC7F1BCE4}">
  <dimension ref="A1:H35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319</v>
      </c>
    </row>
    <row r="3" spans="1:8" ht="21" x14ac:dyDescent="0.35">
      <c r="A3" s="2" t="s">
        <v>1</v>
      </c>
      <c r="D3" s="11">
        <v>266560</v>
      </c>
      <c r="F3" s="12" t="s">
        <v>3</v>
      </c>
      <c r="H3" s="11">
        <v>42560</v>
      </c>
    </row>
    <row r="4" spans="1:8" x14ac:dyDescent="0.25">
      <c r="A4" s="13" t="s">
        <v>32</v>
      </c>
      <c r="C4" s="26">
        <v>424</v>
      </c>
    </row>
    <row r="5" spans="1:8" ht="21" x14ac:dyDescent="0.35">
      <c r="A5" s="2" t="s">
        <v>2</v>
      </c>
    </row>
    <row r="7" spans="1:8" ht="18.75" x14ac:dyDescent="0.3">
      <c r="A7" s="5" t="s">
        <v>322</v>
      </c>
      <c r="D7" s="4">
        <v>3696</v>
      </c>
      <c r="E7" s="25"/>
      <c r="H7" s="4">
        <v>590</v>
      </c>
    </row>
    <row r="8" spans="1:8" ht="18.75" x14ac:dyDescent="0.3">
      <c r="A8" s="5" t="s">
        <v>320</v>
      </c>
      <c r="D8" s="4">
        <v>185640</v>
      </c>
      <c r="E8" s="25"/>
      <c r="H8" s="4">
        <v>29640</v>
      </c>
    </row>
    <row r="9" spans="1:8" ht="18.75" x14ac:dyDescent="0.3">
      <c r="A9" s="5" t="s">
        <v>321</v>
      </c>
      <c r="D9" s="4">
        <v>7640</v>
      </c>
      <c r="E9" s="25"/>
      <c r="H9" s="4">
        <v>1220</v>
      </c>
    </row>
    <row r="10" spans="1:8" ht="18.75" x14ac:dyDescent="0.3">
      <c r="A10" s="5"/>
      <c r="D10" s="4"/>
      <c r="E10" s="25"/>
      <c r="H10" s="4"/>
    </row>
    <row r="11" spans="1:8" ht="18.75" x14ac:dyDescent="0.3">
      <c r="A11" s="5"/>
      <c r="D11" s="4"/>
      <c r="E11" s="25"/>
      <c r="H11" s="4"/>
    </row>
    <row r="12" spans="1:8" ht="18.75" x14ac:dyDescent="0.3">
      <c r="A12" s="5"/>
      <c r="C12" s="3"/>
      <c r="D12" s="27"/>
      <c r="E12" s="25"/>
      <c r="H12" s="27"/>
    </row>
    <row r="13" spans="1:8" ht="18.75" x14ac:dyDescent="0.3">
      <c r="A13" s="5"/>
      <c r="C13" s="3"/>
      <c r="D13" s="28"/>
      <c r="E13" s="25"/>
      <c r="H13" s="28"/>
    </row>
    <row r="14" spans="1:8" ht="19.5" thickBot="1" x14ac:dyDescent="0.35">
      <c r="A14" s="5"/>
      <c r="C14" s="3"/>
      <c r="D14" s="22"/>
      <c r="E14" s="25"/>
      <c r="H14" s="22"/>
    </row>
    <row r="15" spans="1:8" ht="18.75" customHeight="1" x14ac:dyDescent="0.3">
      <c r="D15" s="4">
        <f>SUM(D7:D14)</f>
        <v>196976</v>
      </c>
      <c r="H15" s="4">
        <f>SUM(H7:H14)</f>
        <v>31450</v>
      </c>
    </row>
    <row r="16" spans="1:8" ht="18.75" x14ac:dyDescent="0.3">
      <c r="A16" s="5"/>
      <c r="C16" s="3"/>
      <c r="D16" s="4"/>
      <c r="H16" s="4"/>
    </row>
    <row r="18" spans="1:8" ht="18.75" x14ac:dyDescent="0.3">
      <c r="A18" s="5"/>
      <c r="C18" s="3"/>
      <c r="D18" s="4"/>
      <c r="H18" s="4"/>
    </row>
    <row r="19" spans="1:8" ht="15.75" thickBot="1" x14ac:dyDescent="0.3">
      <c r="D19" s="7"/>
      <c r="H19" s="7"/>
    </row>
    <row r="21" spans="1:8" ht="18.75" x14ac:dyDescent="0.3">
      <c r="C21" t="s">
        <v>4</v>
      </c>
      <c r="D21" s="4">
        <f>D3-D15</f>
        <v>69584</v>
      </c>
      <c r="G21" t="s">
        <v>5</v>
      </c>
      <c r="H21" s="4">
        <f>H3-H15</f>
        <v>11110</v>
      </c>
    </row>
    <row r="24" spans="1:8" ht="15.75" x14ac:dyDescent="0.25">
      <c r="A24" t="s">
        <v>6</v>
      </c>
      <c r="C24" s="8">
        <f>D21</f>
        <v>69584</v>
      </c>
      <c r="E24" t="s">
        <v>10</v>
      </c>
      <c r="H24" s="6">
        <f>C33</f>
        <v>57407.76</v>
      </c>
    </row>
    <row r="26" spans="1:8" ht="15.75" x14ac:dyDescent="0.25">
      <c r="A26" t="s">
        <v>5</v>
      </c>
      <c r="B26" s="9" t="s">
        <v>7</v>
      </c>
      <c r="C26" s="8">
        <f>H21</f>
        <v>11110</v>
      </c>
      <c r="E26" s="13" t="s">
        <v>11</v>
      </c>
      <c r="F26" s="9" t="s">
        <v>12</v>
      </c>
      <c r="G26" s="15" t="s">
        <v>17</v>
      </c>
      <c r="H26" s="3">
        <f>-(F27*0.007)</f>
        <v>-1568</v>
      </c>
    </row>
    <row r="27" spans="1:8" x14ac:dyDescent="0.25">
      <c r="F27" s="21">
        <f>D3-H3</f>
        <v>224000</v>
      </c>
    </row>
    <row r="28" spans="1:8" ht="15.75" x14ac:dyDescent="0.25">
      <c r="A28" t="s">
        <v>8</v>
      </c>
      <c r="B28" s="9" t="s">
        <v>7</v>
      </c>
      <c r="C28" s="8">
        <f>D3*0.004</f>
        <v>1066.24</v>
      </c>
      <c r="F28" s="9" t="s">
        <v>13</v>
      </c>
      <c r="G28" s="16">
        <v>0.35</v>
      </c>
      <c r="H28" s="29">
        <f>-(F29*0.35)</f>
        <v>-20092.716</v>
      </c>
    </row>
    <row r="29" spans="1:8" ht="15.75" thickBot="1" x14ac:dyDescent="0.3">
      <c r="F29" s="21">
        <f>H24</f>
        <v>57407.76</v>
      </c>
      <c r="H29" s="7"/>
    </row>
    <row r="30" spans="1:8" ht="15.75" x14ac:dyDescent="0.25">
      <c r="A30" t="s">
        <v>9</v>
      </c>
      <c r="B30" s="9" t="s">
        <v>7</v>
      </c>
      <c r="C30" s="10"/>
      <c r="G30" s="13" t="s">
        <v>14</v>
      </c>
      <c r="H30" s="6">
        <f>H24+H26+H28</f>
        <v>35747.044000000002</v>
      </c>
    </row>
    <row r="31" spans="1:8" ht="15.75" thickBot="1" x14ac:dyDescent="0.3">
      <c r="A31" s="16"/>
      <c r="B31" s="14"/>
      <c r="C31" s="7"/>
    </row>
    <row r="32" spans="1:8" x14ac:dyDescent="0.25">
      <c r="E32" t="s">
        <v>151</v>
      </c>
      <c r="H32" s="20">
        <f>H30*0.5</f>
        <v>17873.522000000001</v>
      </c>
    </row>
    <row r="33" spans="1:8" ht="15.75" x14ac:dyDescent="0.25">
      <c r="A33" t="s">
        <v>10</v>
      </c>
      <c r="C33" s="10">
        <f>C24-C26-C28-C30</f>
        <v>57407.76</v>
      </c>
      <c r="H33" s="18"/>
    </row>
    <row r="34" spans="1:8" x14ac:dyDescent="0.25">
      <c r="H34" s="3"/>
    </row>
    <row r="35" spans="1:8" x14ac:dyDescent="0.25">
      <c r="H35" s="18"/>
    </row>
  </sheetData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F4669-9D06-41EB-97E1-B38C57998035}">
  <dimension ref="A1:H35"/>
  <sheetViews>
    <sheetView topLeftCell="A13" workbookViewId="0">
      <selection activeCell="J30" sqref="J30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323</v>
      </c>
    </row>
    <row r="3" spans="1:8" ht="21" x14ac:dyDescent="0.35">
      <c r="A3" s="2" t="s">
        <v>1</v>
      </c>
      <c r="D3" s="11">
        <v>214200</v>
      </c>
      <c r="F3" s="12" t="s">
        <v>3</v>
      </c>
      <c r="H3" s="11">
        <v>34200</v>
      </c>
    </row>
    <row r="4" spans="1:8" x14ac:dyDescent="0.25">
      <c r="A4" s="13" t="s">
        <v>32</v>
      </c>
      <c r="C4" s="26">
        <v>425</v>
      </c>
    </row>
    <row r="5" spans="1:8" ht="21" x14ac:dyDescent="0.35">
      <c r="A5" s="2" t="s">
        <v>2</v>
      </c>
    </row>
    <row r="7" spans="1:8" ht="18.75" x14ac:dyDescent="0.3">
      <c r="A7" s="5" t="s">
        <v>322</v>
      </c>
      <c r="D7" s="4">
        <v>158527</v>
      </c>
      <c r="E7" s="25"/>
      <c r="H7" s="4">
        <v>25311</v>
      </c>
    </row>
    <row r="8" spans="1:8" ht="18.75" x14ac:dyDescent="0.3">
      <c r="A8" s="5"/>
      <c r="D8" s="4"/>
      <c r="E8" s="25"/>
      <c r="H8" s="4"/>
    </row>
    <row r="9" spans="1:8" ht="18.75" x14ac:dyDescent="0.3">
      <c r="A9" s="5"/>
      <c r="D9" s="4"/>
      <c r="E9" s="25"/>
      <c r="H9" s="4"/>
    </row>
    <row r="10" spans="1:8" ht="18.75" x14ac:dyDescent="0.3">
      <c r="A10" s="5"/>
      <c r="D10" s="4"/>
      <c r="E10" s="25"/>
      <c r="H10" s="4"/>
    </row>
    <row r="11" spans="1:8" ht="18.75" x14ac:dyDescent="0.3">
      <c r="A11" s="5"/>
      <c r="D11" s="4"/>
      <c r="E11" s="25"/>
      <c r="H11" s="4"/>
    </row>
    <row r="12" spans="1:8" ht="18.75" x14ac:dyDescent="0.3">
      <c r="A12" s="5"/>
      <c r="C12" s="3"/>
      <c r="D12" s="27"/>
      <c r="E12" s="25"/>
      <c r="H12" s="27"/>
    </row>
    <row r="13" spans="1:8" ht="18.75" x14ac:dyDescent="0.3">
      <c r="A13" s="5"/>
      <c r="C13" s="3"/>
      <c r="D13" s="28"/>
      <c r="E13" s="25"/>
      <c r="H13" s="28"/>
    </row>
    <row r="14" spans="1:8" ht="19.5" thickBot="1" x14ac:dyDescent="0.35">
      <c r="A14" s="5"/>
      <c r="C14" s="3"/>
      <c r="D14" s="22"/>
      <c r="E14" s="25"/>
      <c r="H14" s="22"/>
    </row>
    <row r="15" spans="1:8" ht="18.75" customHeight="1" x14ac:dyDescent="0.3">
      <c r="D15" s="4">
        <f>SUM(D7:D14)</f>
        <v>158527</v>
      </c>
      <c r="H15" s="4">
        <f>SUM(H7:H14)</f>
        <v>25311</v>
      </c>
    </row>
    <row r="16" spans="1:8" ht="18.75" x14ac:dyDescent="0.3">
      <c r="A16" s="5"/>
      <c r="C16" s="3"/>
      <c r="D16" s="4"/>
      <c r="H16" s="4"/>
    </row>
    <row r="18" spans="1:8" ht="18.75" x14ac:dyDescent="0.3">
      <c r="A18" s="5"/>
      <c r="C18" s="3"/>
      <c r="D18" s="4"/>
      <c r="H18" s="4"/>
    </row>
    <row r="19" spans="1:8" ht="15.75" thickBot="1" x14ac:dyDescent="0.3">
      <c r="D19" s="7"/>
      <c r="H19" s="7"/>
    </row>
    <row r="21" spans="1:8" ht="18.75" x14ac:dyDescent="0.3">
      <c r="C21" t="s">
        <v>4</v>
      </c>
      <c r="D21" s="4">
        <f>D3-D15</f>
        <v>55673</v>
      </c>
      <c r="G21" t="s">
        <v>5</v>
      </c>
      <c r="H21" s="4">
        <f>H3-H15</f>
        <v>8889</v>
      </c>
    </row>
    <row r="24" spans="1:8" ht="15.75" x14ac:dyDescent="0.25">
      <c r="A24" t="s">
        <v>6</v>
      </c>
      <c r="C24" s="8">
        <f>D21</f>
        <v>55673</v>
      </c>
      <c r="E24" t="s">
        <v>10</v>
      </c>
      <c r="H24" s="6">
        <f>C33</f>
        <v>45927.199999999997</v>
      </c>
    </row>
    <row r="26" spans="1:8" ht="15.75" x14ac:dyDescent="0.25">
      <c r="A26" t="s">
        <v>5</v>
      </c>
      <c r="B26" s="9" t="s">
        <v>7</v>
      </c>
      <c r="C26" s="8">
        <f>H21</f>
        <v>8889</v>
      </c>
      <c r="E26" s="13" t="s">
        <v>11</v>
      </c>
      <c r="F26" s="9" t="s">
        <v>12</v>
      </c>
      <c r="G26" s="15" t="s">
        <v>17</v>
      </c>
      <c r="H26" s="3">
        <f>-(F27*0.007)</f>
        <v>-1260</v>
      </c>
    </row>
    <row r="27" spans="1:8" x14ac:dyDescent="0.25">
      <c r="F27" s="21">
        <f>D3-H3</f>
        <v>180000</v>
      </c>
    </row>
    <row r="28" spans="1:8" ht="15.75" x14ac:dyDescent="0.25">
      <c r="A28" t="s">
        <v>8</v>
      </c>
      <c r="B28" s="9" t="s">
        <v>7</v>
      </c>
      <c r="C28" s="8">
        <f>D3*0.004</f>
        <v>856.80000000000007</v>
      </c>
      <c r="F28" s="9" t="s">
        <v>13</v>
      </c>
      <c r="G28" s="16">
        <v>0.35</v>
      </c>
      <c r="H28" s="29">
        <f>-(F29*0.35)</f>
        <v>-16074.519999999999</v>
      </c>
    </row>
    <row r="29" spans="1:8" ht="15.75" thickBot="1" x14ac:dyDescent="0.3">
      <c r="F29" s="21">
        <f>H24</f>
        <v>45927.199999999997</v>
      </c>
      <c r="H29" s="7"/>
    </row>
    <row r="30" spans="1:8" ht="15.75" x14ac:dyDescent="0.25">
      <c r="A30" t="s">
        <v>9</v>
      </c>
      <c r="B30" s="9" t="s">
        <v>7</v>
      </c>
      <c r="C30" s="10"/>
      <c r="G30" s="13" t="s">
        <v>14</v>
      </c>
      <c r="H30" s="6">
        <f>H24+H26+H28</f>
        <v>28592.68</v>
      </c>
    </row>
    <row r="31" spans="1:8" ht="15.75" thickBot="1" x14ac:dyDescent="0.3">
      <c r="A31" s="16"/>
      <c r="B31" s="14"/>
      <c r="C31" s="7"/>
    </row>
    <row r="32" spans="1:8" x14ac:dyDescent="0.25">
      <c r="E32" t="s">
        <v>151</v>
      </c>
      <c r="H32" s="20">
        <f>H30*0.5</f>
        <v>14296.34</v>
      </c>
    </row>
    <row r="33" spans="1:8" ht="15.75" x14ac:dyDescent="0.25">
      <c r="A33" t="s">
        <v>10</v>
      </c>
      <c r="C33" s="10">
        <f>C24-C26-C28-C30</f>
        <v>45927.199999999997</v>
      </c>
      <c r="H33" s="18"/>
    </row>
    <row r="34" spans="1:8" x14ac:dyDescent="0.25">
      <c r="H34" s="3"/>
    </row>
    <row r="35" spans="1:8" x14ac:dyDescent="0.25">
      <c r="H35" s="18"/>
    </row>
  </sheetData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55DF9-61AB-46B2-BE11-DEA758A15357}">
  <dimension ref="A1:H35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324</v>
      </c>
    </row>
    <row r="3" spans="1:8" ht="21" x14ac:dyDescent="0.35">
      <c r="A3" s="2" t="s">
        <v>1</v>
      </c>
      <c r="D3" s="11">
        <v>18873000</v>
      </c>
      <c r="F3" s="12" t="s">
        <v>3</v>
      </c>
      <c r="H3" s="11">
        <v>3078000</v>
      </c>
    </row>
    <row r="4" spans="1:8" x14ac:dyDescent="0.25">
      <c r="A4" s="13" t="s">
        <v>32</v>
      </c>
      <c r="C4" s="26">
        <v>432</v>
      </c>
    </row>
    <row r="5" spans="1:8" ht="21" x14ac:dyDescent="0.35">
      <c r="A5" s="2" t="s">
        <v>2</v>
      </c>
    </row>
    <row r="7" spans="1:8" ht="18.75" x14ac:dyDescent="0.3">
      <c r="A7" s="5" t="s">
        <v>325</v>
      </c>
      <c r="D7" s="4">
        <v>14607726</v>
      </c>
      <c r="E7" s="25"/>
      <c r="H7" s="4">
        <v>2332326</v>
      </c>
    </row>
    <row r="8" spans="1:8" ht="18.75" x14ac:dyDescent="0.3">
      <c r="A8" s="5"/>
      <c r="D8" s="4"/>
      <c r="E8" s="25"/>
      <c r="H8" s="4"/>
    </row>
    <row r="9" spans="1:8" ht="18.75" x14ac:dyDescent="0.3">
      <c r="A9" s="5"/>
      <c r="D9" s="4"/>
      <c r="E9" s="25"/>
      <c r="H9" s="4"/>
    </row>
    <row r="10" spans="1:8" ht="18.75" x14ac:dyDescent="0.3">
      <c r="A10" s="5"/>
      <c r="D10" s="4"/>
      <c r="E10" s="25"/>
      <c r="H10" s="4"/>
    </row>
    <row r="11" spans="1:8" ht="18.75" x14ac:dyDescent="0.3">
      <c r="A11" s="5"/>
      <c r="D11" s="4"/>
      <c r="E11" s="25"/>
      <c r="H11" s="4"/>
    </row>
    <row r="12" spans="1:8" ht="18.75" x14ac:dyDescent="0.3">
      <c r="A12" s="5"/>
      <c r="C12" s="3"/>
      <c r="D12" s="27"/>
      <c r="E12" s="25"/>
      <c r="H12" s="27"/>
    </row>
    <row r="13" spans="1:8" ht="18.75" x14ac:dyDescent="0.3">
      <c r="A13" s="5"/>
      <c r="C13" s="3"/>
      <c r="D13" s="28"/>
      <c r="E13" s="25"/>
      <c r="H13" s="28"/>
    </row>
    <row r="14" spans="1:8" ht="19.5" thickBot="1" x14ac:dyDescent="0.35">
      <c r="A14" s="5"/>
      <c r="C14" s="3"/>
      <c r="D14" s="22"/>
      <c r="E14" s="25"/>
      <c r="H14" s="22"/>
    </row>
    <row r="15" spans="1:8" ht="18.75" customHeight="1" x14ac:dyDescent="0.3">
      <c r="D15" s="4">
        <f>SUM(D7:D14)</f>
        <v>14607726</v>
      </c>
      <c r="H15" s="4">
        <f>SUM(H7:H14)</f>
        <v>2332326</v>
      </c>
    </row>
    <row r="16" spans="1:8" ht="18.75" x14ac:dyDescent="0.3">
      <c r="A16" s="5"/>
      <c r="C16" s="3"/>
      <c r="D16" s="4"/>
      <c r="H16" s="4"/>
    </row>
    <row r="18" spans="1:8" ht="18.75" x14ac:dyDescent="0.3">
      <c r="A18" s="5"/>
      <c r="C18" s="3"/>
      <c r="D18" s="4"/>
      <c r="H18" s="4"/>
    </row>
    <row r="19" spans="1:8" ht="15.75" thickBot="1" x14ac:dyDescent="0.3">
      <c r="D19" s="7"/>
      <c r="H19" s="7"/>
    </row>
    <row r="21" spans="1:8" ht="18.75" x14ac:dyDescent="0.3">
      <c r="C21" t="s">
        <v>4</v>
      </c>
      <c r="D21" s="4">
        <f>D3-D15</f>
        <v>4265274</v>
      </c>
      <c r="G21" t="s">
        <v>5</v>
      </c>
      <c r="H21" s="4">
        <f>H3-H15</f>
        <v>745674</v>
      </c>
    </row>
    <row r="24" spans="1:8" ht="15.75" x14ac:dyDescent="0.25">
      <c r="A24" t="s">
        <v>6</v>
      </c>
      <c r="C24" s="8">
        <f>D21</f>
        <v>4265274</v>
      </c>
      <c r="E24" t="s">
        <v>10</v>
      </c>
      <c r="H24" s="6">
        <f>C33</f>
        <v>3444108</v>
      </c>
    </row>
    <row r="26" spans="1:8" ht="15.75" x14ac:dyDescent="0.25">
      <c r="A26" t="s">
        <v>5</v>
      </c>
      <c r="B26" s="9" t="s">
        <v>7</v>
      </c>
      <c r="C26" s="8">
        <f>H21</f>
        <v>745674</v>
      </c>
      <c r="E26" s="13" t="s">
        <v>11</v>
      </c>
      <c r="F26" s="9" t="s">
        <v>12</v>
      </c>
      <c r="G26" s="15" t="s">
        <v>17</v>
      </c>
      <c r="H26" s="3">
        <f>-(F27*0.007)</f>
        <v>-113400</v>
      </c>
    </row>
    <row r="27" spans="1:8" x14ac:dyDescent="0.25">
      <c r="F27" s="21">
        <v>16200000</v>
      </c>
    </row>
    <row r="28" spans="1:8" ht="15.75" x14ac:dyDescent="0.25">
      <c r="A28" t="s">
        <v>8</v>
      </c>
      <c r="B28" s="9" t="s">
        <v>7</v>
      </c>
      <c r="C28" s="8">
        <f>D3*0.004</f>
        <v>75492</v>
      </c>
      <c r="F28" s="9" t="s">
        <v>13</v>
      </c>
      <c r="G28" s="16">
        <v>0.35</v>
      </c>
      <c r="H28" s="29">
        <f>-(F29*0.35)</f>
        <v>-1205437.7999999998</v>
      </c>
    </row>
    <row r="29" spans="1:8" ht="15.75" thickBot="1" x14ac:dyDescent="0.3">
      <c r="F29" s="21">
        <f>H24</f>
        <v>3444108</v>
      </c>
      <c r="H29" s="7"/>
    </row>
    <row r="30" spans="1:8" ht="15.75" x14ac:dyDescent="0.25">
      <c r="A30" t="s">
        <v>9</v>
      </c>
      <c r="B30" s="9" t="s">
        <v>7</v>
      </c>
      <c r="C30" s="10"/>
      <c r="G30" s="13" t="s">
        <v>14</v>
      </c>
      <c r="H30" s="6">
        <f>H24+H26+H28</f>
        <v>2125270.2000000002</v>
      </c>
    </row>
    <row r="31" spans="1:8" ht="15.75" thickBot="1" x14ac:dyDescent="0.3">
      <c r="A31" s="16"/>
      <c r="B31" s="14"/>
      <c r="C31" s="7"/>
    </row>
    <row r="32" spans="1:8" x14ac:dyDescent="0.25">
      <c r="E32" t="s">
        <v>151</v>
      </c>
      <c r="H32" s="20">
        <f>H30*0.5</f>
        <v>1062635.1000000001</v>
      </c>
    </row>
    <row r="33" spans="1:8" ht="15.75" x14ac:dyDescent="0.25">
      <c r="A33" t="s">
        <v>10</v>
      </c>
      <c r="C33" s="10">
        <f>C24-C26-C28-C30</f>
        <v>3444108</v>
      </c>
      <c r="H33" s="18"/>
    </row>
    <row r="34" spans="1:8" x14ac:dyDescent="0.25">
      <c r="H34" s="3"/>
    </row>
    <row r="35" spans="1:8" x14ac:dyDescent="0.25">
      <c r="H35" s="18"/>
    </row>
  </sheetData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A6F6E-8BA4-46B8-9C4E-E7DD9991BBF2}">
  <dimension ref="A1:H35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326</v>
      </c>
    </row>
    <row r="3" spans="1:8" ht="21" x14ac:dyDescent="0.35">
      <c r="A3" s="2" t="s">
        <v>1</v>
      </c>
      <c r="D3" s="11">
        <v>53550</v>
      </c>
      <c r="F3" s="12" t="s">
        <v>3</v>
      </c>
      <c r="H3" s="11">
        <v>8550</v>
      </c>
    </row>
    <row r="4" spans="1:8" x14ac:dyDescent="0.25">
      <c r="A4" s="13" t="s">
        <v>32</v>
      </c>
      <c r="C4" s="26">
        <v>433</v>
      </c>
    </row>
    <row r="5" spans="1:8" ht="21" x14ac:dyDescent="0.35">
      <c r="A5" s="2" t="s">
        <v>2</v>
      </c>
    </row>
    <row r="7" spans="1:8" ht="18.75" x14ac:dyDescent="0.3">
      <c r="A7" s="5" t="s">
        <v>72</v>
      </c>
      <c r="D7" s="4">
        <v>24000</v>
      </c>
      <c r="E7" s="25"/>
      <c r="H7" s="4">
        <v>0</v>
      </c>
    </row>
    <row r="8" spans="1:8" ht="18.75" x14ac:dyDescent="0.3">
      <c r="A8" s="5"/>
      <c r="D8" s="4"/>
      <c r="E8" s="25"/>
      <c r="H8" s="4"/>
    </row>
    <row r="9" spans="1:8" ht="18.75" x14ac:dyDescent="0.3">
      <c r="A9" s="5"/>
      <c r="D9" s="4"/>
      <c r="E9" s="25"/>
      <c r="H9" s="4"/>
    </row>
    <row r="10" spans="1:8" ht="18.75" x14ac:dyDescent="0.3">
      <c r="A10" s="5"/>
      <c r="D10" s="4"/>
      <c r="E10" s="25"/>
      <c r="H10" s="4"/>
    </row>
    <row r="11" spans="1:8" ht="18.75" x14ac:dyDescent="0.3">
      <c r="A11" s="5"/>
      <c r="D11" s="4"/>
      <c r="E11" s="25"/>
      <c r="H11" s="4"/>
    </row>
    <row r="12" spans="1:8" ht="18.75" x14ac:dyDescent="0.3">
      <c r="A12" s="5"/>
      <c r="C12" s="3"/>
      <c r="D12" s="27"/>
      <c r="E12" s="25"/>
      <c r="H12" s="27"/>
    </row>
    <row r="13" spans="1:8" ht="18.75" x14ac:dyDescent="0.3">
      <c r="A13" s="5"/>
      <c r="C13" s="3"/>
      <c r="D13" s="28"/>
      <c r="E13" s="25"/>
      <c r="H13" s="28"/>
    </row>
    <row r="14" spans="1:8" ht="19.5" thickBot="1" x14ac:dyDescent="0.35">
      <c r="A14" s="5"/>
      <c r="C14" s="3"/>
      <c r="D14" s="22"/>
      <c r="E14" s="25"/>
      <c r="H14" s="22"/>
    </row>
    <row r="15" spans="1:8" ht="18.75" customHeight="1" x14ac:dyDescent="0.3">
      <c r="D15" s="4">
        <f>SUM(D7:D14)</f>
        <v>24000</v>
      </c>
      <c r="H15" s="4">
        <f>SUM(H7:H14)</f>
        <v>0</v>
      </c>
    </row>
    <row r="16" spans="1:8" ht="18.75" x14ac:dyDescent="0.3">
      <c r="A16" s="5"/>
      <c r="C16" s="3"/>
      <c r="D16" s="4"/>
      <c r="H16" s="4"/>
    </row>
    <row r="18" spans="1:8" ht="18.75" x14ac:dyDescent="0.3">
      <c r="A18" s="5"/>
      <c r="C18" s="3"/>
      <c r="D18" s="4"/>
      <c r="H18" s="4"/>
    </row>
    <row r="19" spans="1:8" ht="15.75" thickBot="1" x14ac:dyDescent="0.3">
      <c r="D19" s="7"/>
      <c r="H19" s="7"/>
    </row>
    <row r="21" spans="1:8" ht="18.75" x14ac:dyDescent="0.3">
      <c r="C21" t="s">
        <v>4</v>
      </c>
      <c r="D21" s="4">
        <f>D3-D15</f>
        <v>29550</v>
      </c>
      <c r="G21" t="s">
        <v>5</v>
      </c>
      <c r="H21" s="4">
        <f>H3-H15</f>
        <v>8550</v>
      </c>
    </row>
    <row r="24" spans="1:8" ht="15.75" x14ac:dyDescent="0.25">
      <c r="A24" t="s">
        <v>6</v>
      </c>
      <c r="C24" s="8">
        <f>D21</f>
        <v>29550</v>
      </c>
      <c r="E24" t="s">
        <v>10</v>
      </c>
      <c r="H24" s="6">
        <f>C33</f>
        <v>20785.8</v>
      </c>
    </row>
    <row r="26" spans="1:8" ht="15.75" x14ac:dyDescent="0.25">
      <c r="A26" t="s">
        <v>5</v>
      </c>
      <c r="B26" s="9" t="s">
        <v>7</v>
      </c>
      <c r="C26" s="8">
        <f>H21</f>
        <v>8550</v>
      </c>
      <c r="E26" s="13" t="s">
        <v>11</v>
      </c>
      <c r="F26" s="9" t="s">
        <v>12</v>
      </c>
      <c r="G26" s="15" t="s">
        <v>17</v>
      </c>
      <c r="H26" s="3">
        <f>-(F27*0.007)</f>
        <v>-315</v>
      </c>
    </row>
    <row r="27" spans="1:8" x14ac:dyDescent="0.25">
      <c r="F27" s="21">
        <f>D3-H3</f>
        <v>45000</v>
      </c>
    </row>
    <row r="28" spans="1:8" ht="15.75" x14ac:dyDescent="0.25">
      <c r="A28" t="s">
        <v>8</v>
      </c>
      <c r="B28" s="9" t="s">
        <v>7</v>
      </c>
      <c r="C28" s="8">
        <f>D3*0.004</f>
        <v>214.20000000000002</v>
      </c>
      <c r="F28" s="9" t="s">
        <v>13</v>
      </c>
      <c r="G28" s="16">
        <v>0.35</v>
      </c>
      <c r="H28" s="29">
        <f>-(F29*0.35)</f>
        <v>-7275.0299999999988</v>
      </c>
    </row>
    <row r="29" spans="1:8" ht="15.75" thickBot="1" x14ac:dyDescent="0.3">
      <c r="F29" s="21">
        <f>H24</f>
        <v>20785.8</v>
      </c>
      <c r="H29" s="7"/>
    </row>
    <row r="30" spans="1:8" ht="15.75" x14ac:dyDescent="0.25">
      <c r="A30" t="s">
        <v>9</v>
      </c>
      <c r="B30" s="9" t="s">
        <v>7</v>
      </c>
      <c r="C30" s="10"/>
      <c r="G30" s="13" t="s">
        <v>14</v>
      </c>
      <c r="H30" s="6">
        <f>H24+H26+H28</f>
        <v>13195.77</v>
      </c>
    </row>
    <row r="31" spans="1:8" ht="15.75" thickBot="1" x14ac:dyDescent="0.3">
      <c r="A31" s="16"/>
      <c r="B31" s="14"/>
      <c r="C31" s="7"/>
    </row>
    <row r="32" spans="1:8" x14ac:dyDescent="0.25">
      <c r="E32" t="s">
        <v>151</v>
      </c>
      <c r="H32" s="20">
        <f>H30*0.5</f>
        <v>6597.8850000000002</v>
      </c>
    </row>
    <row r="33" spans="1:8" ht="15.75" x14ac:dyDescent="0.25">
      <c r="A33" t="s">
        <v>10</v>
      </c>
      <c r="C33" s="10">
        <f>C24-C26-C28-C30</f>
        <v>20785.8</v>
      </c>
      <c r="H33" s="18"/>
    </row>
    <row r="34" spans="1:8" x14ac:dyDescent="0.25">
      <c r="H34" s="3"/>
    </row>
    <row r="35" spans="1:8" x14ac:dyDescent="0.25">
      <c r="H35" s="18"/>
    </row>
  </sheetData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AE5E0-B80A-48F0-92FD-C4BD2145FA76}">
  <dimension ref="A1:H35"/>
  <sheetViews>
    <sheetView workbookViewId="0">
      <selection activeCell="D4" sqref="D4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327</v>
      </c>
    </row>
    <row r="3" spans="1:8" ht="21" x14ac:dyDescent="0.35">
      <c r="A3" s="2" t="s">
        <v>1</v>
      </c>
      <c r="D3" s="11">
        <v>928200</v>
      </c>
      <c r="F3" s="12" t="s">
        <v>3</v>
      </c>
      <c r="H3" s="11">
        <v>148200</v>
      </c>
    </row>
    <row r="4" spans="1:8" x14ac:dyDescent="0.25">
      <c r="A4" s="13" t="s">
        <v>32</v>
      </c>
      <c r="C4" s="26">
        <v>435</v>
      </c>
    </row>
    <row r="5" spans="1:8" ht="21" x14ac:dyDescent="0.35">
      <c r="A5" s="2" t="s">
        <v>2</v>
      </c>
    </row>
    <row r="7" spans="1:8" ht="18.75" x14ac:dyDescent="0.3">
      <c r="A7" s="5" t="s">
        <v>328</v>
      </c>
      <c r="D7" s="4">
        <v>711894</v>
      </c>
      <c r="E7" s="25"/>
      <c r="H7" s="4">
        <v>113664</v>
      </c>
    </row>
    <row r="8" spans="1:8" ht="18.75" x14ac:dyDescent="0.3">
      <c r="A8" s="5"/>
      <c r="D8" s="4"/>
      <c r="E8" s="25"/>
      <c r="H8" s="4"/>
    </row>
    <row r="9" spans="1:8" ht="18.75" x14ac:dyDescent="0.3">
      <c r="A9" s="5"/>
      <c r="D9" s="4"/>
      <c r="E9" s="25"/>
      <c r="H9" s="4"/>
    </row>
    <row r="10" spans="1:8" ht="18.75" x14ac:dyDescent="0.3">
      <c r="A10" s="5"/>
      <c r="D10" s="4"/>
      <c r="E10" s="25"/>
      <c r="H10" s="4"/>
    </row>
    <row r="11" spans="1:8" ht="18.75" x14ac:dyDescent="0.3">
      <c r="A11" s="5"/>
      <c r="D11" s="4"/>
      <c r="E11" s="25"/>
      <c r="H11" s="4"/>
    </row>
    <row r="12" spans="1:8" ht="18.75" x14ac:dyDescent="0.3">
      <c r="A12" s="5"/>
      <c r="C12" s="3"/>
      <c r="D12" s="27"/>
      <c r="E12" s="25"/>
      <c r="H12" s="27"/>
    </row>
    <row r="13" spans="1:8" ht="18.75" x14ac:dyDescent="0.3">
      <c r="A13" s="5"/>
      <c r="C13" s="3"/>
      <c r="D13" s="28"/>
      <c r="E13" s="25"/>
      <c r="H13" s="28"/>
    </row>
    <row r="14" spans="1:8" ht="19.5" thickBot="1" x14ac:dyDescent="0.35">
      <c r="A14" s="5"/>
      <c r="C14" s="3"/>
      <c r="D14" s="22"/>
      <c r="E14" s="25"/>
      <c r="H14" s="22"/>
    </row>
    <row r="15" spans="1:8" ht="18.75" customHeight="1" x14ac:dyDescent="0.3">
      <c r="D15" s="4">
        <f>SUM(D7:D14)</f>
        <v>711894</v>
      </c>
      <c r="H15" s="4">
        <f>SUM(H7:H14)</f>
        <v>113664</v>
      </c>
    </row>
    <row r="16" spans="1:8" ht="18.75" x14ac:dyDescent="0.3">
      <c r="A16" s="5"/>
      <c r="C16" s="3"/>
      <c r="D16" s="4"/>
      <c r="H16" s="4"/>
    </row>
    <row r="18" spans="1:8" ht="18.75" x14ac:dyDescent="0.3">
      <c r="A18" s="5"/>
      <c r="C18" s="3"/>
      <c r="D18" s="4"/>
      <c r="H18" s="4"/>
    </row>
    <row r="19" spans="1:8" ht="15.75" thickBot="1" x14ac:dyDescent="0.3">
      <c r="D19" s="7"/>
      <c r="H19" s="7"/>
    </row>
    <row r="21" spans="1:8" ht="18.75" x14ac:dyDescent="0.3">
      <c r="C21" t="s">
        <v>4</v>
      </c>
      <c r="D21" s="4">
        <f>D3-D15</f>
        <v>216306</v>
      </c>
      <c r="G21" t="s">
        <v>5</v>
      </c>
      <c r="H21" s="4">
        <f>H3-H15</f>
        <v>34536</v>
      </c>
    </row>
    <row r="24" spans="1:8" ht="15.75" x14ac:dyDescent="0.25">
      <c r="A24" t="s">
        <v>6</v>
      </c>
      <c r="C24" s="8">
        <f>D21</f>
        <v>216306</v>
      </c>
      <c r="E24" t="s">
        <v>10</v>
      </c>
      <c r="H24" s="6">
        <f>C33</f>
        <v>178057.2</v>
      </c>
    </row>
    <row r="26" spans="1:8" ht="15.75" x14ac:dyDescent="0.25">
      <c r="A26" t="s">
        <v>5</v>
      </c>
      <c r="B26" s="9" t="s">
        <v>7</v>
      </c>
      <c r="C26" s="8">
        <f>H21</f>
        <v>34536</v>
      </c>
      <c r="E26" s="13" t="s">
        <v>11</v>
      </c>
      <c r="F26" s="9" t="s">
        <v>12</v>
      </c>
      <c r="G26" s="15" t="s">
        <v>17</v>
      </c>
      <c r="H26" s="3">
        <f>-(F27*0.007)</f>
        <v>-5460</v>
      </c>
    </row>
    <row r="27" spans="1:8" x14ac:dyDescent="0.25">
      <c r="F27" s="21">
        <f>D3-H3</f>
        <v>780000</v>
      </c>
    </row>
    <row r="28" spans="1:8" ht="15.75" x14ac:dyDescent="0.25">
      <c r="A28" t="s">
        <v>8</v>
      </c>
      <c r="B28" s="9" t="s">
        <v>7</v>
      </c>
      <c r="C28" s="8">
        <f>D3*0.004</f>
        <v>3712.8</v>
      </c>
      <c r="F28" s="9" t="s">
        <v>13</v>
      </c>
      <c r="G28" s="16">
        <v>0.35</v>
      </c>
      <c r="H28" s="29">
        <f>-(F29*0.35)</f>
        <v>-62320.02</v>
      </c>
    </row>
    <row r="29" spans="1:8" ht="15.75" thickBot="1" x14ac:dyDescent="0.3">
      <c r="F29" s="21">
        <f>H24</f>
        <v>178057.2</v>
      </c>
      <c r="H29" s="7"/>
    </row>
    <row r="30" spans="1:8" ht="15.75" x14ac:dyDescent="0.25">
      <c r="A30" t="s">
        <v>9</v>
      </c>
      <c r="B30" s="9" t="s">
        <v>7</v>
      </c>
      <c r="C30" s="10"/>
      <c r="G30" s="13" t="s">
        <v>14</v>
      </c>
      <c r="H30" s="6">
        <f>H24+H26+H28</f>
        <v>110277.18000000002</v>
      </c>
    </row>
    <row r="31" spans="1:8" ht="15.75" thickBot="1" x14ac:dyDescent="0.3">
      <c r="A31" s="16"/>
      <c r="B31" s="14"/>
      <c r="C31" s="7"/>
    </row>
    <row r="32" spans="1:8" x14ac:dyDescent="0.25">
      <c r="E32" t="s">
        <v>151</v>
      </c>
      <c r="H32" s="20">
        <f>H30*0.5</f>
        <v>55138.590000000011</v>
      </c>
    </row>
    <row r="33" spans="1:8" ht="15.75" x14ac:dyDescent="0.25">
      <c r="A33" t="s">
        <v>10</v>
      </c>
      <c r="C33" s="10">
        <f>C24-C26-C28-C30</f>
        <v>178057.2</v>
      </c>
      <c r="H33" s="18"/>
    </row>
    <row r="34" spans="1:8" x14ac:dyDescent="0.25">
      <c r="H34" s="3"/>
    </row>
    <row r="35" spans="1:8" x14ac:dyDescent="0.25">
      <c r="H35" s="18"/>
    </row>
  </sheetData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325C5-4617-4950-B512-6BD1005D9451}">
  <dimension ref="A1:H35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329</v>
      </c>
    </row>
    <row r="3" spans="1:8" ht="21" x14ac:dyDescent="0.35">
      <c r="A3" s="2" t="s">
        <v>1</v>
      </c>
      <c r="D3" s="11">
        <v>138040</v>
      </c>
      <c r="F3" s="12" t="s">
        <v>3</v>
      </c>
      <c r="H3" s="11">
        <v>22040</v>
      </c>
    </row>
    <row r="4" spans="1:8" x14ac:dyDescent="0.25">
      <c r="A4" s="13" t="s">
        <v>32</v>
      </c>
      <c r="C4" s="26">
        <v>436</v>
      </c>
    </row>
    <row r="5" spans="1:8" ht="21" x14ac:dyDescent="0.35">
      <c r="A5" s="2" t="s">
        <v>2</v>
      </c>
    </row>
    <row r="7" spans="1:8" ht="18.75" x14ac:dyDescent="0.3">
      <c r="A7" s="5" t="s">
        <v>330</v>
      </c>
      <c r="D7" s="4">
        <v>90279</v>
      </c>
      <c r="E7" s="25"/>
      <c r="H7" s="4">
        <v>14414</v>
      </c>
    </row>
    <row r="8" spans="1:8" ht="18.75" x14ac:dyDescent="0.3">
      <c r="A8" s="5"/>
      <c r="D8" s="4"/>
      <c r="E8" s="25"/>
      <c r="H8" s="4"/>
    </row>
    <row r="9" spans="1:8" ht="18.75" x14ac:dyDescent="0.3">
      <c r="A9" s="5"/>
      <c r="D9" s="4"/>
      <c r="E9" s="25"/>
      <c r="H9" s="4"/>
    </row>
    <row r="10" spans="1:8" ht="18.75" x14ac:dyDescent="0.3">
      <c r="A10" s="5"/>
      <c r="D10" s="4"/>
      <c r="E10" s="25"/>
      <c r="H10" s="4"/>
    </row>
    <row r="11" spans="1:8" ht="18.75" x14ac:dyDescent="0.3">
      <c r="A11" s="5"/>
      <c r="D11" s="4"/>
      <c r="E11" s="25"/>
      <c r="H11" s="4"/>
    </row>
    <row r="12" spans="1:8" ht="18.75" x14ac:dyDescent="0.3">
      <c r="A12" s="5"/>
      <c r="C12" s="3"/>
      <c r="D12" s="27"/>
      <c r="E12" s="25"/>
      <c r="H12" s="27"/>
    </row>
    <row r="13" spans="1:8" ht="18.75" x14ac:dyDescent="0.3">
      <c r="A13" s="5"/>
      <c r="C13" s="3"/>
      <c r="D13" s="28"/>
      <c r="E13" s="25"/>
      <c r="H13" s="28"/>
    </row>
    <row r="14" spans="1:8" ht="19.5" thickBot="1" x14ac:dyDescent="0.35">
      <c r="A14" s="5"/>
      <c r="C14" s="3"/>
      <c r="D14" s="22"/>
      <c r="E14" s="25"/>
      <c r="H14" s="22"/>
    </row>
    <row r="15" spans="1:8" ht="18.75" customHeight="1" x14ac:dyDescent="0.3">
      <c r="D15" s="4">
        <f>SUM(D7:D14)</f>
        <v>90279</v>
      </c>
      <c r="H15" s="4">
        <f>SUM(H7:H14)</f>
        <v>14414</v>
      </c>
    </row>
    <row r="16" spans="1:8" ht="18.75" x14ac:dyDescent="0.3">
      <c r="A16" s="5"/>
      <c r="C16" s="3"/>
      <c r="D16" s="4"/>
      <c r="H16" s="4"/>
    </row>
    <row r="18" spans="1:8" ht="18.75" x14ac:dyDescent="0.3">
      <c r="A18" s="5"/>
      <c r="C18" s="3"/>
      <c r="D18" s="4"/>
      <c r="H18" s="4"/>
    </row>
    <row r="19" spans="1:8" ht="15.75" thickBot="1" x14ac:dyDescent="0.3">
      <c r="D19" s="7"/>
      <c r="H19" s="7"/>
    </row>
    <row r="21" spans="1:8" ht="18.75" x14ac:dyDescent="0.3">
      <c r="C21" t="s">
        <v>4</v>
      </c>
      <c r="D21" s="4">
        <f>D3-D15</f>
        <v>47761</v>
      </c>
      <c r="G21" t="s">
        <v>5</v>
      </c>
      <c r="H21" s="4">
        <f>H3-H15</f>
        <v>7626</v>
      </c>
    </row>
    <row r="24" spans="1:8" ht="15.75" x14ac:dyDescent="0.25">
      <c r="A24" t="s">
        <v>6</v>
      </c>
      <c r="C24" s="8">
        <f>D21</f>
        <v>47761</v>
      </c>
      <c r="E24" t="s">
        <v>10</v>
      </c>
      <c r="H24" s="6">
        <f>C33</f>
        <v>39582.839999999997</v>
      </c>
    </row>
    <row r="26" spans="1:8" ht="15.75" x14ac:dyDescent="0.25">
      <c r="A26" t="s">
        <v>5</v>
      </c>
      <c r="B26" s="9" t="s">
        <v>7</v>
      </c>
      <c r="C26" s="8">
        <f>H21</f>
        <v>7626</v>
      </c>
      <c r="E26" s="13" t="s">
        <v>11</v>
      </c>
      <c r="F26" s="9" t="s">
        <v>12</v>
      </c>
      <c r="G26" s="15" t="s">
        <v>17</v>
      </c>
      <c r="H26" s="3">
        <f>-(F27*0.007)</f>
        <v>-812</v>
      </c>
    </row>
    <row r="27" spans="1:8" x14ac:dyDescent="0.25">
      <c r="F27" s="21">
        <f>D3-H3</f>
        <v>116000</v>
      </c>
    </row>
    <row r="28" spans="1:8" ht="15.75" x14ac:dyDescent="0.25">
      <c r="A28" t="s">
        <v>8</v>
      </c>
      <c r="B28" s="9" t="s">
        <v>7</v>
      </c>
      <c r="C28" s="8">
        <f>D3*0.004</f>
        <v>552.16</v>
      </c>
      <c r="F28" s="9" t="s">
        <v>13</v>
      </c>
      <c r="G28" s="16">
        <v>0.35</v>
      </c>
      <c r="H28" s="29">
        <f>-(F29*0.35)</f>
        <v>-13853.993999999999</v>
      </c>
    </row>
    <row r="29" spans="1:8" ht="15.75" thickBot="1" x14ac:dyDescent="0.3">
      <c r="F29" s="21">
        <f>H24</f>
        <v>39582.839999999997</v>
      </c>
      <c r="H29" s="7"/>
    </row>
    <row r="30" spans="1:8" ht="15.75" x14ac:dyDescent="0.25">
      <c r="A30" t="s">
        <v>9</v>
      </c>
      <c r="B30" s="9" t="s">
        <v>7</v>
      </c>
      <c r="C30" s="10"/>
      <c r="G30" s="13" t="s">
        <v>14</v>
      </c>
      <c r="H30" s="6">
        <f>H24+H26+H28</f>
        <v>24916.845999999998</v>
      </c>
    </row>
    <row r="31" spans="1:8" ht="15.75" thickBot="1" x14ac:dyDescent="0.3">
      <c r="A31" s="16"/>
      <c r="B31" s="14"/>
      <c r="C31" s="7"/>
    </row>
    <row r="32" spans="1:8" x14ac:dyDescent="0.25">
      <c r="E32" t="s">
        <v>151</v>
      </c>
      <c r="H32" s="20">
        <f>H30*0.5</f>
        <v>12458.422999999999</v>
      </c>
    </row>
    <row r="33" spans="1:8" ht="15.75" x14ac:dyDescent="0.25">
      <c r="A33" t="s">
        <v>10</v>
      </c>
      <c r="C33" s="10">
        <f>C24-C26-C28-C30</f>
        <v>39582.839999999997</v>
      </c>
      <c r="H33" s="18"/>
    </row>
    <row r="34" spans="1:8" x14ac:dyDescent="0.25">
      <c r="H34" s="3"/>
    </row>
    <row r="35" spans="1:8" x14ac:dyDescent="0.25">
      <c r="H35" s="18"/>
    </row>
  </sheetData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0E873-0829-42BF-9A4E-6AE008263C68}">
  <dimension ref="A1:H35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331</v>
      </c>
    </row>
    <row r="3" spans="1:8" ht="21" x14ac:dyDescent="0.35">
      <c r="A3" s="2" t="s">
        <v>1</v>
      </c>
      <c r="D3" s="11">
        <v>124474</v>
      </c>
      <c r="F3" s="12" t="s">
        <v>3</v>
      </c>
      <c r="H3" s="11">
        <v>19874</v>
      </c>
    </row>
    <row r="4" spans="1:8" x14ac:dyDescent="0.25">
      <c r="A4" s="13" t="s">
        <v>32</v>
      </c>
      <c r="C4" s="26">
        <v>437</v>
      </c>
    </row>
    <row r="5" spans="1:8" ht="21" x14ac:dyDescent="0.35">
      <c r="A5" s="2" t="s">
        <v>2</v>
      </c>
    </row>
    <row r="7" spans="1:8" ht="18.75" x14ac:dyDescent="0.3">
      <c r="A7" s="5" t="s">
        <v>332</v>
      </c>
      <c r="D7" s="4">
        <v>43978</v>
      </c>
      <c r="E7" s="25"/>
      <c r="H7" s="4">
        <v>7022</v>
      </c>
    </row>
    <row r="8" spans="1:8" ht="18.75" x14ac:dyDescent="0.3">
      <c r="A8" s="5"/>
      <c r="D8" s="4"/>
      <c r="E8" s="25"/>
      <c r="H8" s="4"/>
    </row>
    <row r="9" spans="1:8" ht="18.75" x14ac:dyDescent="0.3">
      <c r="A9" s="5"/>
      <c r="D9" s="4"/>
      <c r="E9" s="25"/>
      <c r="H9" s="4"/>
    </row>
    <row r="10" spans="1:8" ht="18.75" x14ac:dyDescent="0.3">
      <c r="A10" s="5"/>
      <c r="D10" s="4"/>
      <c r="E10" s="25"/>
      <c r="H10" s="4"/>
    </row>
    <row r="11" spans="1:8" ht="18.75" x14ac:dyDescent="0.3">
      <c r="A11" s="5"/>
      <c r="D11" s="4"/>
      <c r="E11" s="25"/>
      <c r="H11" s="4"/>
    </row>
    <row r="12" spans="1:8" ht="18.75" x14ac:dyDescent="0.3">
      <c r="A12" s="5"/>
      <c r="C12" s="3"/>
      <c r="D12" s="27"/>
      <c r="E12" s="25"/>
      <c r="H12" s="27"/>
    </row>
    <row r="13" spans="1:8" ht="18.75" x14ac:dyDescent="0.3">
      <c r="A13" s="5"/>
      <c r="C13" s="3"/>
      <c r="D13" s="28"/>
      <c r="E13" s="25"/>
      <c r="H13" s="28"/>
    </row>
    <row r="14" spans="1:8" ht="19.5" thickBot="1" x14ac:dyDescent="0.35">
      <c r="A14" s="5"/>
      <c r="C14" s="3"/>
      <c r="D14" s="22"/>
      <c r="E14" s="25"/>
      <c r="H14" s="22"/>
    </row>
    <row r="15" spans="1:8" ht="18.75" customHeight="1" x14ac:dyDescent="0.3">
      <c r="D15" s="4">
        <f>SUM(D7:D14)</f>
        <v>43978</v>
      </c>
      <c r="H15" s="4">
        <f>SUM(H7:H14)</f>
        <v>7022</v>
      </c>
    </row>
    <row r="16" spans="1:8" ht="18.75" x14ac:dyDescent="0.3">
      <c r="A16" s="5"/>
      <c r="C16" s="3"/>
      <c r="D16" s="4"/>
      <c r="H16" s="4"/>
    </row>
    <row r="18" spans="1:8" ht="18.75" x14ac:dyDescent="0.3">
      <c r="A18" s="5"/>
      <c r="C18" s="3"/>
      <c r="D18" s="4"/>
      <c r="H18" s="4"/>
    </row>
    <row r="19" spans="1:8" ht="15.75" thickBot="1" x14ac:dyDescent="0.3">
      <c r="D19" s="7"/>
      <c r="H19" s="7"/>
    </row>
    <row r="21" spans="1:8" ht="18.75" x14ac:dyDescent="0.3">
      <c r="C21" t="s">
        <v>4</v>
      </c>
      <c r="D21" s="4">
        <f>D3-D15</f>
        <v>80496</v>
      </c>
      <c r="G21" t="s">
        <v>5</v>
      </c>
      <c r="H21" s="4">
        <f>H3-H15</f>
        <v>12852</v>
      </c>
    </row>
    <row r="24" spans="1:8" ht="15.75" x14ac:dyDescent="0.25">
      <c r="A24" t="s">
        <v>6</v>
      </c>
      <c r="C24" s="8">
        <f>D21</f>
        <v>80496</v>
      </c>
      <c r="E24" t="s">
        <v>10</v>
      </c>
      <c r="H24" s="6">
        <f>C33</f>
        <v>67146.104000000007</v>
      </c>
    </row>
    <row r="26" spans="1:8" ht="15.75" x14ac:dyDescent="0.25">
      <c r="A26" t="s">
        <v>5</v>
      </c>
      <c r="B26" s="9" t="s">
        <v>7</v>
      </c>
      <c r="C26" s="8">
        <f>H21</f>
        <v>12852</v>
      </c>
      <c r="E26" s="13" t="s">
        <v>11</v>
      </c>
      <c r="F26" s="9" t="s">
        <v>12</v>
      </c>
      <c r="G26" s="15" t="s">
        <v>17</v>
      </c>
      <c r="H26" s="3">
        <f>-(F27*0.007)</f>
        <v>-732.2</v>
      </c>
    </row>
    <row r="27" spans="1:8" x14ac:dyDescent="0.25">
      <c r="F27" s="21">
        <f>D3-H3</f>
        <v>104600</v>
      </c>
    </row>
    <row r="28" spans="1:8" ht="15.75" x14ac:dyDescent="0.25">
      <c r="A28" t="s">
        <v>8</v>
      </c>
      <c r="B28" s="9" t="s">
        <v>7</v>
      </c>
      <c r="C28" s="8">
        <f>D3*0.004</f>
        <v>497.89600000000002</v>
      </c>
      <c r="F28" s="9" t="s">
        <v>13</v>
      </c>
      <c r="G28" s="16">
        <v>0.35</v>
      </c>
      <c r="H28" s="29">
        <f>-(F29*0.35)</f>
        <v>-23501.136399999999</v>
      </c>
    </row>
    <row r="29" spans="1:8" ht="15.75" thickBot="1" x14ac:dyDescent="0.3">
      <c r="F29" s="21">
        <f>H24</f>
        <v>67146.104000000007</v>
      </c>
      <c r="H29" s="7"/>
    </row>
    <row r="30" spans="1:8" ht="15.75" x14ac:dyDescent="0.25">
      <c r="A30" t="s">
        <v>9</v>
      </c>
      <c r="B30" s="9" t="s">
        <v>7</v>
      </c>
      <c r="C30" s="10"/>
      <c r="G30" s="13" t="s">
        <v>14</v>
      </c>
      <c r="H30" s="6">
        <f>H24+H26+H28</f>
        <v>42912.767600000006</v>
      </c>
    </row>
    <row r="31" spans="1:8" ht="15.75" thickBot="1" x14ac:dyDescent="0.3">
      <c r="A31" s="16"/>
      <c r="B31" s="14"/>
      <c r="C31" s="7"/>
    </row>
    <row r="32" spans="1:8" x14ac:dyDescent="0.25">
      <c r="E32" t="s">
        <v>151</v>
      </c>
      <c r="H32" s="20">
        <f>H30*0.5</f>
        <v>21456.383800000003</v>
      </c>
    </row>
    <row r="33" spans="1:8" ht="15.75" x14ac:dyDescent="0.25">
      <c r="A33" t="s">
        <v>10</v>
      </c>
      <c r="C33" s="10">
        <f>C24-C26-C28-C30</f>
        <v>67146.104000000007</v>
      </c>
      <c r="H33" s="18"/>
    </row>
    <row r="34" spans="1:8" x14ac:dyDescent="0.25">
      <c r="H34" s="3"/>
    </row>
    <row r="35" spans="1:8" x14ac:dyDescent="0.25">
      <c r="H35" s="18"/>
    </row>
  </sheetData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25BAA-BCE1-4713-8C84-2C5A43A58B9A}">
  <dimension ref="A1:H35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333</v>
      </c>
    </row>
    <row r="3" spans="1:8" ht="21" x14ac:dyDescent="0.35">
      <c r="A3" s="2" t="s">
        <v>1</v>
      </c>
      <c r="D3" s="11">
        <v>79730</v>
      </c>
      <c r="F3" s="12" t="s">
        <v>3</v>
      </c>
      <c r="H3" s="11">
        <v>12730</v>
      </c>
    </row>
    <row r="4" spans="1:8" x14ac:dyDescent="0.25">
      <c r="A4" s="13" t="s">
        <v>32</v>
      </c>
      <c r="C4" s="26">
        <v>442</v>
      </c>
    </row>
    <row r="5" spans="1:8" ht="21" x14ac:dyDescent="0.35">
      <c r="A5" s="2" t="s">
        <v>2</v>
      </c>
    </row>
    <row r="7" spans="1:8" ht="18.75" x14ac:dyDescent="0.3">
      <c r="A7" s="5" t="s">
        <v>334</v>
      </c>
      <c r="D7" s="4">
        <v>63570</v>
      </c>
      <c r="E7" s="25"/>
      <c r="H7" s="4">
        <v>10150</v>
      </c>
    </row>
    <row r="8" spans="1:8" ht="18.75" x14ac:dyDescent="0.3">
      <c r="A8" s="5"/>
      <c r="D8" s="4"/>
      <c r="E8" s="25"/>
      <c r="H8" s="4"/>
    </row>
    <row r="9" spans="1:8" ht="18.75" x14ac:dyDescent="0.3">
      <c r="A9" s="5"/>
      <c r="D9" s="4"/>
      <c r="E9" s="25"/>
      <c r="H9" s="4"/>
    </row>
    <row r="10" spans="1:8" ht="18.75" x14ac:dyDescent="0.3">
      <c r="A10" s="5"/>
      <c r="D10" s="4"/>
      <c r="E10" s="25"/>
      <c r="H10" s="4"/>
    </row>
    <row r="11" spans="1:8" ht="18.75" x14ac:dyDescent="0.3">
      <c r="A11" s="5"/>
      <c r="D11" s="4"/>
      <c r="E11" s="25"/>
      <c r="H11" s="4"/>
    </row>
    <row r="12" spans="1:8" ht="18.75" x14ac:dyDescent="0.3">
      <c r="A12" s="5"/>
      <c r="C12" s="3"/>
      <c r="D12" s="27"/>
      <c r="E12" s="25"/>
      <c r="H12" s="27"/>
    </row>
    <row r="13" spans="1:8" ht="18.75" x14ac:dyDescent="0.3">
      <c r="A13" s="5"/>
      <c r="C13" s="3"/>
      <c r="D13" s="28"/>
      <c r="E13" s="25"/>
      <c r="H13" s="28"/>
    </row>
    <row r="14" spans="1:8" ht="19.5" thickBot="1" x14ac:dyDescent="0.35">
      <c r="A14" s="5"/>
      <c r="C14" s="3"/>
      <c r="D14" s="22"/>
      <c r="E14" s="25"/>
      <c r="H14" s="22"/>
    </row>
    <row r="15" spans="1:8" ht="18.75" customHeight="1" x14ac:dyDescent="0.3">
      <c r="D15" s="4">
        <f>SUM(D7:D14)</f>
        <v>63570</v>
      </c>
      <c r="H15" s="4">
        <f>SUM(H7:H14)</f>
        <v>10150</v>
      </c>
    </row>
    <row r="16" spans="1:8" ht="18.75" x14ac:dyDescent="0.3">
      <c r="A16" s="5"/>
      <c r="C16" s="3"/>
      <c r="D16" s="4"/>
      <c r="H16" s="4"/>
    </row>
    <row r="18" spans="1:8" ht="18.75" x14ac:dyDescent="0.3">
      <c r="A18" s="5"/>
      <c r="C18" s="3"/>
      <c r="D18" s="4"/>
      <c r="H18" s="4"/>
    </row>
    <row r="19" spans="1:8" ht="15.75" thickBot="1" x14ac:dyDescent="0.3">
      <c r="D19" s="7"/>
      <c r="H19" s="7"/>
    </row>
    <row r="21" spans="1:8" ht="18.75" x14ac:dyDescent="0.3">
      <c r="C21" t="s">
        <v>4</v>
      </c>
      <c r="D21" s="4">
        <f>D3-D15</f>
        <v>16160</v>
      </c>
      <c r="G21" t="s">
        <v>5</v>
      </c>
      <c r="H21" s="4">
        <f>H3-H15</f>
        <v>2580</v>
      </c>
    </row>
    <row r="24" spans="1:8" ht="15.75" x14ac:dyDescent="0.25">
      <c r="A24" t="s">
        <v>6</v>
      </c>
      <c r="C24" s="8">
        <f>D21</f>
        <v>16160</v>
      </c>
      <c r="E24" t="s">
        <v>10</v>
      </c>
      <c r="H24" s="6">
        <f>C33</f>
        <v>13261.08</v>
      </c>
    </row>
    <row r="26" spans="1:8" ht="15.75" x14ac:dyDescent="0.25">
      <c r="A26" t="s">
        <v>5</v>
      </c>
      <c r="B26" s="9" t="s">
        <v>7</v>
      </c>
      <c r="C26" s="8">
        <f>H21</f>
        <v>2580</v>
      </c>
      <c r="E26" s="13" t="s">
        <v>11</v>
      </c>
      <c r="F26" s="9" t="s">
        <v>12</v>
      </c>
      <c r="G26" s="15" t="s">
        <v>17</v>
      </c>
      <c r="H26" s="3">
        <f>-(F27*0.007)</f>
        <v>-469</v>
      </c>
    </row>
    <row r="27" spans="1:8" x14ac:dyDescent="0.25">
      <c r="F27" s="21">
        <f>D3-H3</f>
        <v>67000</v>
      </c>
    </row>
    <row r="28" spans="1:8" ht="15.75" x14ac:dyDescent="0.25">
      <c r="A28" t="s">
        <v>8</v>
      </c>
      <c r="B28" s="9" t="s">
        <v>7</v>
      </c>
      <c r="C28" s="8">
        <f>D3*0.004</f>
        <v>318.92</v>
      </c>
      <c r="F28" s="9" t="s">
        <v>13</v>
      </c>
      <c r="G28" s="16">
        <v>0.35</v>
      </c>
      <c r="H28" s="29">
        <f>-(F29*0.35)</f>
        <v>-4641.3779999999997</v>
      </c>
    </row>
    <row r="29" spans="1:8" ht="15.75" thickBot="1" x14ac:dyDescent="0.3">
      <c r="F29" s="21">
        <f>H24</f>
        <v>13261.08</v>
      </c>
      <c r="H29" s="7"/>
    </row>
    <row r="30" spans="1:8" ht="15.75" x14ac:dyDescent="0.25">
      <c r="A30" t="s">
        <v>9</v>
      </c>
      <c r="B30" s="9" t="s">
        <v>7</v>
      </c>
      <c r="C30" s="10"/>
      <c r="G30" s="13" t="s">
        <v>14</v>
      </c>
      <c r="H30" s="6">
        <f>H24+H26+H28</f>
        <v>8150.7020000000002</v>
      </c>
    </row>
    <row r="31" spans="1:8" ht="15.75" thickBot="1" x14ac:dyDescent="0.3">
      <c r="A31" s="16"/>
      <c r="B31" s="14"/>
      <c r="C31" s="7"/>
    </row>
    <row r="32" spans="1:8" x14ac:dyDescent="0.25">
      <c r="E32" t="s">
        <v>151</v>
      </c>
      <c r="H32" s="20">
        <f>H30*0.5</f>
        <v>4075.3510000000001</v>
      </c>
    </row>
    <row r="33" spans="1:8" ht="15.75" x14ac:dyDescent="0.25">
      <c r="A33" t="s">
        <v>10</v>
      </c>
      <c r="C33" s="10">
        <f>C24-C26-C28-C30</f>
        <v>13261.08</v>
      </c>
      <c r="H33" s="18"/>
    </row>
    <row r="34" spans="1:8" x14ac:dyDescent="0.25">
      <c r="H34" s="3"/>
    </row>
    <row r="35" spans="1:8" x14ac:dyDescent="0.25">
      <c r="H35" s="18"/>
    </row>
  </sheetData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FEA65-86BD-445F-8BD2-B3EADA6017E5}">
  <dimension ref="A1:H35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335</v>
      </c>
    </row>
    <row r="3" spans="1:8" ht="21" x14ac:dyDescent="0.35">
      <c r="A3" s="2" t="s">
        <v>1</v>
      </c>
      <c r="D3" s="11">
        <v>863940</v>
      </c>
      <c r="F3" s="12" t="s">
        <v>3</v>
      </c>
      <c r="H3" s="11">
        <v>137940</v>
      </c>
    </row>
    <row r="4" spans="1:8" x14ac:dyDescent="0.25">
      <c r="A4" s="13" t="s">
        <v>32</v>
      </c>
      <c r="C4" s="26">
        <v>443</v>
      </c>
    </row>
    <row r="5" spans="1:8" ht="21" x14ac:dyDescent="0.35">
      <c r="A5" s="2" t="s">
        <v>2</v>
      </c>
    </row>
    <row r="7" spans="1:8" ht="18.75" x14ac:dyDescent="0.3">
      <c r="A7" s="5" t="s">
        <v>336</v>
      </c>
      <c r="D7" s="4">
        <v>358892</v>
      </c>
      <c r="E7" s="25"/>
      <c r="H7" s="4">
        <v>57302</v>
      </c>
    </row>
    <row r="8" spans="1:8" ht="18.75" x14ac:dyDescent="0.3">
      <c r="A8" s="5" t="s">
        <v>338</v>
      </c>
      <c r="D8" s="4">
        <v>226338</v>
      </c>
      <c r="E8" s="25"/>
      <c r="H8" s="4">
        <v>36138</v>
      </c>
    </row>
    <row r="9" spans="1:8" ht="18.75" x14ac:dyDescent="0.3">
      <c r="A9" s="5" t="s">
        <v>337</v>
      </c>
      <c r="D9" s="4">
        <v>50000</v>
      </c>
      <c r="E9" s="25"/>
      <c r="H9" s="4"/>
    </row>
    <row r="10" spans="1:8" ht="18.75" x14ac:dyDescent="0.3">
      <c r="A10" s="5"/>
      <c r="D10" s="4"/>
      <c r="E10" s="25"/>
      <c r="H10" s="4"/>
    </row>
    <row r="11" spans="1:8" ht="18.75" x14ac:dyDescent="0.3">
      <c r="A11" s="5"/>
      <c r="D11" s="4"/>
      <c r="E11" s="25"/>
      <c r="H11" s="4"/>
    </row>
    <row r="12" spans="1:8" ht="18.75" x14ac:dyDescent="0.3">
      <c r="A12" s="5"/>
      <c r="C12" s="3"/>
      <c r="D12" s="27"/>
      <c r="E12" s="25"/>
      <c r="H12" s="27"/>
    </row>
    <row r="13" spans="1:8" ht="18.75" x14ac:dyDescent="0.3">
      <c r="A13" s="5"/>
      <c r="C13" s="3"/>
      <c r="D13" s="28"/>
      <c r="E13" s="25"/>
      <c r="H13" s="28"/>
    </row>
    <row r="14" spans="1:8" ht="19.5" thickBot="1" x14ac:dyDescent="0.35">
      <c r="A14" s="5"/>
      <c r="C14" s="3"/>
      <c r="D14" s="22"/>
      <c r="E14" s="25"/>
      <c r="H14" s="22"/>
    </row>
    <row r="15" spans="1:8" ht="18.75" customHeight="1" x14ac:dyDescent="0.3">
      <c r="D15" s="4">
        <f>SUM(D7:D14)</f>
        <v>635230</v>
      </c>
      <c r="H15" s="4">
        <f>SUM(H7:H14)</f>
        <v>93440</v>
      </c>
    </row>
    <row r="16" spans="1:8" ht="18.75" x14ac:dyDescent="0.3">
      <c r="A16" s="5"/>
      <c r="C16" s="3"/>
      <c r="D16" s="4"/>
      <c r="H16" s="4"/>
    </row>
    <row r="18" spans="1:8" ht="18.75" x14ac:dyDescent="0.3">
      <c r="A18" s="5"/>
      <c r="C18" s="3"/>
      <c r="D18" s="4"/>
      <c r="H18" s="4"/>
    </row>
    <row r="19" spans="1:8" ht="15.75" thickBot="1" x14ac:dyDescent="0.3">
      <c r="D19" s="7"/>
      <c r="H19" s="7"/>
    </row>
    <row r="21" spans="1:8" ht="18.75" x14ac:dyDescent="0.3">
      <c r="C21" t="s">
        <v>4</v>
      </c>
      <c r="D21" s="4">
        <f>D3-D15</f>
        <v>228710</v>
      </c>
      <c r="G21" t="s">
        <v>5</v>
      </c>
      <c r="H21" s="4">
        <f>H3-H15</f>
        <v>44500</v>
      </c>
    </row>
    <row r="24" spans="1:8" ht="15.75" x14ac:dyDescent="0.25">
      <c r="A24" t="s">
        <v>6</v>
      </c>
      <c r="C24" s="8">
        <f>D21</f>
        <v>228710</v>
      </c>
      <c r="E24" t="s">
        <v>10</v>
      </c>
      <c r="H24" s="6">
        <f>C33</f>
        <v>180754.24</v>
      </c>
    </row>
    <row r="26" spans="1:8" ht="15.75" x14ac:dyDescent="0.25">
      <c r="A26" t="s">
        <v>5</v>
      </c>
      <c r="B26" s="9" t="s">
        <v>7</v>
      </c>
      <c r="C26" s="8">
        <f>H21</f>
        <v>44500</v>
      </c>
      <c r="E26" s="13" t="s">
        <v>11</v>
      </c>
      <c r="F26" s="9" t="s">
        <v>12</v>
      </c>
      <c r="G26" s="15" t="s">
        <v>17</v>
      </c>
      <c r="H26" s="3">
        <f>-(F27*0.007)</f>
        <v>-5082</v>
      </c>
    </row>
    <row r="27" spans="1:8" x14ac:dyDescent="0.25">
      <c r="F27" s="21">
        <f>D3-H3</f>
        <v>726000</v>
      </c>
    </row>
    <row r="28" spans="1:8" ht="15.75" x14ac:dyDescent="0.25">
      <c r="A28" t="s">
        <v>8</v>
      </c>
      <c r="B28" s="9" t="s">
        <v>7</v>
      </c>
      <c r="C28" s="8">
        <f>D3*0.004</f>
        <v>3455.76</v>
      </c>
      <c r="F28" s="9" t="s">
        <v>13</v>
      </c>
      <c r="G28" s="16">
        <v>0.35</v>
      </c>
      <c r="H28" s="29">
        <f>-(F29*0.35)</f>
        <v>-63263.983999999989</v>
      </c>
    </row>
    <row r="29" spans="1:8" ht="15.75" thickBot="1" x14ac:dyDescent="0.3">
      <c r="F29" s="21">
        <f>H24</f>
        <v>180754.24</v>
      </c>
      <c r="H29" s="7"/>
    </row>
    <row r="30" spans="1:8" ht="15.75" x14ac:dyDescent="0.25">
      <c r="A30" t="s">
        <v>9</v>
      </c>
      <c r="B30" s="9" t="s">
        <v>7</v>
      </c>
      <c r="C30" s="10"/>
      <c r="G30" s="13" t="s">
        <v>14</v>
      </c>
      <c r="H30" s="6">
        <f>H24+H26+H28</f>
        <v>112408.25599999999</v>
      </c>
    </row>
    <row r="31" spans="1:8" ht="15.75" thickBot="1" x14ac:dyDescent="0.3">
      <c r="A31" s="16"/>
      <c r="B31" s="14"/>
      <c r="C31" s="7"/>
    </row>
    <row r="32" spans="1:8" x14ac:dyDescent="0.25">
      <c r="E32" t="s">
        <v>151</v>
      </c>
      <c r="H32" s="20">
        <f>H30*0.5</f>
        <v>56204.127999999997</v>
      </c>
    </row>
    <row r="33" spans="1:8" ht="15.75" x14ac:dyDescent="0.25">
      <c r="A33" t="s">
        <v>10</v>
      </c>
      <c r="C33" s="10">
        <f>C24-C26-C28-C30</f>
        <v>180754.24</v>
      </c>
      <c r="H33" s="18"/>
    </row>
    <row r="34" spans="1:8" x14ac:dyDescent="0.25">
      <c r="H34" s="3"/>
    </row>
    <row r="35" spans="1:8" x14ac:dyDescent="0.25">
      <c r="H35" s="18"/>
    </row>
  </sheetData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AEC15-F055-426F-86C2-3CF792286179}">
  <dimension ref="A1:H35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339</v>
      </c>
    </row>
    <row r="3" spans="1:8" ht="21" x14ac:dyDescent="0.35">
      <c r="A3" s="2" t="s">
        <v>1</v>
      </c>
      <c r="D3" s="11">
        <v>1099560</v>
      </c>
      <c r="F3" s="12" t="s">
        <v>3</v>
      </c>
      <c r="H3" s="11">
        <v>175560</v>
      </c>
    </row>
    <row r="4" spans="1:8" x14ac:dyDescent="0.25">
      <c r="A4" s="13" t="s">
        <v>32</v>
      </c>
      <c r="C4" s="26">
        <v>444</v>
      </c>
    </row>
    <row r="5" spans="1:8" ht="21" x14ac:dyDescent="0.35">
      <c r="A5" s="2" t="s">
        <v>2</v>
      </c>
    </row>
    <row r="7" spans="1:8" ht="18.75" x14ac:dyDescent="0.3">
      <c r="A7" s="5" t="s">
        <v>340</v>
      </c>
      <c r="D7" s="4">
        <v>843091</v>
      </c>
      <c r="E7" s="25"/>
      <c r="H7" s="4">
        <v>134611</v>
      </c>
    </row>
    <row r="8" spans="1:8" ht="18.75" x14ac:dyDescent="0.3">
      <c r="A8" s="5"/>
      <c r="D8" s="4"/>
      <c r="E8" s="25"/>
      <c r="H8" s="4"/>
    </row>
    <row r="9" spans="1:8" ht="18.75" x14ac:dyDescent="0.3">
      <c r="A9" s="5"/>
      <c r="D9" s="4"/>
      <c r="E9" s="25"/>
      <c r="H9" s="4"/>
    </row>
    <row r="10" spans="1:8" ht="18.75" x14ac:dyDescent="0.3">
      <c r="A10" s="5"/>
      <c r="D10" s="4"/>
      <c r="E10" s="25"/>
      <c r="H10" s="4"/>
    </row>
    <row r="11" spans="1:8" ht="18.75" x14ac:dyDescent="0.3">
      <c r="A11" s="5"/>
      <c r="D11" s="4"/>
      <c r="E11" s="25"/>
      <c r="H11" s="4"/>
    </row>
    <row r="12" spans="1:8" ht="18.75" x14ac:dyDescent="0.3">
      <c r="A12" s="5"/>
      <c r="C12" s="3"/>
      <c r="D12" s="27"/>
      <c r="E12" s="25"/>
      <c r="H12" s="27"/>
    </row>
    <row r="13" spans="1:8" ht="18.75" x14ac:dyDescent="0.3">
      <c r="A13" s="5"/>
      <c r="C13" s="3"/>
      <c r="D13" s="28"/>
      <c r="E13" s="25"/>
      <c r="H13" s="28"/>
    </row>
    <row r="14" spans="1:8" ht="19.5" thickBot="1" x14ac:dyDescent="0.35">
      <c r="A14" s="5"/>
      <c r="C14" s="3"/>
      <c r="D14" s="22"/>
      <c r="E14" s="25"/>
      <c r="H14" s="22"/>
    </row>
    <row r="15" spans="1:8" ht="18.75" customHeight="1" x14ac:dyDescent="0.3">
      <c r="D15" s="4">
        <f>SUM(D7:D14)</f>
        <v>843091</v>
      </c>
      <c r="H15" s="4">
        <f>SUM(H7:H14)</f>
        <v>134611</v>
      </c>
    </row>
    <row r="16" spans="1:8" ht="18.75" x14ac:dyDescent="0.3">
      <c r="A16" s="5"/>
      <c r="C16" s="3"/>
      <c r="D16" s="4"/>
      <c r="H16" s="4"/>
    </row>
    <row r="18" spans="1:8" ht="18.75" x14ac:dyDescent="0.3">
      <c r="A18" s="5"/>
      <c r="C18" s="3"/>
      <c r="D18" s="4"/>
      <c r="H18" s="4"/>
    </row>
    <row r="19" spans="1:8" ht="15.75" thickBot="1" x14ac:dyDescent="0.3">
      <c r="D19" s="7"/>
      <c r="H19" s="7"/>
    </row>
    <row r="21" spans="1:8" ht="18.75" x14ac:dyDescent="0.3">
      <c r="C21" t="s">
        <v>4</v>
      </c>
      <c r="D21" s="4">
        <f>D3-D15</f>
        <v>256469</v>
      </c>
      <c r="G21" t="s">
        <v>5</v>
      </c>
      <c r="H21" s="4">
        <f>H3-H15</f>
        <v>40949</v>
      </c>
    </row>
    <row r="24" spans="1:8" ht="15.75" x14ac:dyDescent="0.25">
      <c r="A24" t="s">
        <v>6</v>
      </c>
      <c r="C24" s="8">
        <f>D21</f>
        <v>256469</v>
      </c>
      <c r="E24" t="s">
        <v>10</v>
      </c>
      <c r="H24" s="6">
        <f>C33</f>
        <v>211121.76</v>
      </c>
    </row>
    <row r="26" spans="1:8" ht="15.75" x14ac:dyDescent="0.25">
      <c r="A26" t="s">
        <v>5</v>
      </c>
      <c r="B26" s="9" t="s">
        <v>7</v>
      </c>
      <c r="C26" s="8">
        <f>H21</f>
        <v>40949</v>
      </c>
      <c r="E26" s="13" t="s">
        <v>11</v>
      </c>
      <c r="F26" s="9" t="s">
        <v>12</v>
      </c>
      <c r="G26" s="15" t="s">
        <v>17</v>
      </c>
      <c r="H26" s="3">
        <f>-(F27*0.007)</f>
        <v>-6468</v>
      </c>
    </row>
    <row r="27" spans="1:8" x14ac:dyDescent="0.25">
      <c r="F27" s="21">
        <f>D3-H3</f>
        <v>924000</v>
      </c>
    </row>
    <row r="28" spans="1:8" ht="15.75" x14ac:dyDescent="0.25">
      <c r="A28" t="s">
        <v>8</v>
      </c>
      <c r="B28" s="9" t="s">
        <v>7</v>
      </c>
      <c r="C28" s="8">
        <f>D3*0.004</f>
        <v>4398.24</v>
      </c>
      <c r="F28" s="9" t="s">
        <v>13</v>
      </c>
      <c r="G28" s="16">
        <v>0.35</v>
      </c>
      <c r="H28" s="29">
        <f>-(F29*0.35)</f>
        <v>-73892.615999999995</v>
      </c>
    </row>
    <row r="29" spans="1:8" ht="15.75" thickBot="1" x14ac:dyDescent="0.3">
      <c r="F29" s="21">
        <f>H24</f>
        <v>211121.76</v>
      </c>
      <c r="H29" s="7"/>
    </row>
    <row r="30" spans="1:8" ht="15.75" x14ac:dyDescent="0.25">
      <c r="A30" t="s">
        <v>9</v>
      </c>
      <c r="B30" s="9" t="s">
        <v>7</v>
      </c>
      <c r="C30" s="10"/>
      <c r="G30" s="13" t="s">
        <v>14</v>
      </c>
      <c r="H30" s="6">
        <f>H24+H26+H28</f>
        <v>130761.14400000001</v>
      </c>
    </row>
    <row r="31" spans="1:8" ht="15.75" thickBot="1" x14ac:dyDescent="0.3">
      <c r="A31" s="16"/>
      <c r="B31" s="14"/>
      <c r="C31" s="7"/>
    </row>
    <row r="32" spans="1:8" x14ac:dyDescent="0.25">
      <c r="E32" t="s">
        <v>151</v>
      </c>
      <c r="H32" s="20">
        <f>H30*0.5</f>
        <v>65380.572000000007</v>
      </c>
    </row>
    <row r="33" spans="1:8" ht="15.75" x14ac:dyDescent="0.25">
      <c r="A33" t="s">
        <v>10</v>
      </c>
      <c r="C33" s="10">
        <f>C24-C26-C28-C30</f>
        <v>211121.76</v>
      </c>
      <c r="H33" s="18"/>
    </row>
    <row r="34" spans="1:8" x14ac:dyDescent="0.25">
      <c r="H34" s="3"/>
    </row>
    <row r="35" spans="1:8" x14ac:dyDescent="0.25">
      <c r="H35" s="18"/>
    </row>
  </sheetData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282B2-F5DC-46D7-B546-D6AF82B1F785}">
  <dimension ref="A1:H35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341</v>
      </c>
    </row>
    <row r="3" spans="1:8" ht="21" x14ac:dyDescent="0.35">
      <c r="A3" s="2" t="s">
        <v>1</v>
      </c>
      <c r="D3" s="11">
        <v>123760</v>
      </c>
      <c r="F3" s="12" t="s">
        <v>3</v>
      </c>
      <c r="H3" s="11">
        <v>19760</v>
      </c>
    </row>
    <row r="4" spans="1:8" x14ac:dyDescent="0.25">
      <c r="A4" s="13" t="s">
        <v>32</v>
      </c>
      <c r="C4" s="26">
        <v>445</v>
      </c>
    </row>
    <row r="5" spans="1:8" ht="21" x14ac:dyDescent="0.35">
      <c r="A5" s="2" t="s">
        <v>2</v>
      </c>
    </row>
    <row r="7" spans="1:8" ht="18.75" x14ac:dyDescent="0.3">
      <c r="A7" s="5" t="s">
        <v>342</v>
      </c>
      <c r="D7" s="4">
        <v>94438</v>
      </c>
      <c r="E7" s="25"/>
      <c r="H7" s="4">
        <v>15078</v>
      </c>
    </row>
    <row r="8" spans="1:8" ht="18.75" x14ac:dyDescent="0.3">
      <c r="A8" s="5"/>
      <c r="D8" s="4"/>
      <c r="E8" s="25"/>
      <c r="H8" s="4"/>
    </row>
    <row r="9" spans="1:8" ht="18.75" x14ac:dyDescent="0.3">
      <c r="A9" s="5"/>
      <c r="D9" s="4"/>
      <c r="E9" s="25"/>
      <c r="H9" s="4"/>
    </row>
    <row r="10" spans="1:8" ht="18.75" x14ac:dyDescent="0.3">
      <c r="A10" s="5"/>
      <c r="D10" s="4"/>
      <c r="E10" s="25"/>
      <c r="H10" s="4"/>
    </row>
    <row r="11" spans="1:8" ht="18.75" x14ac:dyDescent="0.3">
      <c r="A11" s="5"/>
      <c r="D11" s="4"/>
      <c r="E11" s="25"/>
      <c r="H11" s="4"/>
    </row>
    <row r="12" spans="1:8" ht="18.75" x14ac:dyDescent="0.3">
      <c r="A12" s="5"/>
      <c r="C12" s="3"/>
      <c r="D12" s="27"/>
      <c r="E12" s="25"/>
      <c r="H12" s="27"/>
    </row>
    <row r="13" spans="1:8" ht="18.75" x14ac:dyDescent="0.3">
      <c r="A13" s="5"/>
      <c r="C13" s="3"/>
      <c r="D13" s="28"/>
      <c r="E13" s="25"/>
      <c r="H13" s="28"/>
    </row>
    <row r="14" spans="1:8" ht="19.5" thickBot="1" x14ac:dyDescent="0.35">
      <c r="A14" s="5"/>
      <c r="C14" s="3"/>
      <c r="D14" s="22"/>
      <c r="E14" s="25"/>
      <c r="H14" s="22"/>
    </row>
    <row r="15" spans="1:8" ht="18.75" customHeight="1" x14ac:dyDescent="0.3">
      <c r="D15" s="4">
        <f>SUM(D7:D14)</f>
        <v>94438</v>
      </c>
      <c r="H15" s="4">
        <f>SUM(H7:H14)</f>
        <v>15078</v>
      </c>
    </row>
    <row r="16" spans="1:8" ht="18.75" x14ac:dyDescent="0.3">
      <c r="A16" s="5"/>
      <c r="C16" s="3"/>
      <c r="D16" s="4"/>
      <c r="H16" s="4"/>
    </row>
    <row r="18" spans="1:8" ht="18.75" x14ac:dyDescent="0.3">
      <c r="A18" s="5"/>
      <c r="C18" s="3"/>
      <c r="D18" s="4"/>
      <c r="H18" s="4"/>
    </row>
    <row r="19" spans="1:8" ht="15.75" thickBot="1" x14ac:dyDescent="0.3">
      <c r="D19" s="7"/>
      <c r="H19" s="7"/>
    </row>
    <row r="21" spans="1:8" ht="18.75" x14ac:dyDescent="0.3">
      <c r="C21" t="s">
        <v>4</v>
      </c>
      <c r="D21" s="4">
        <f>D3-D15</f>
        <v>29322</v>
      </c>
      <c r="G21" t="s">
        <v>5</v>
      </c>
      <c r="H21" s="4">
        <f>H3-H15</f>
        <v>4682</v>
      </c>
    </row>
    <row r="24" spans="1:8" ht="15.75" x14ac:dyDescent="0.25">
      <c r="A24" t="s">
        <v>6</v>
      </c>
      <c r="C24" s="8">
        <f>D21</f>
        <v>29322</v>
      </c>
      <c r="E24" t="s">
        <v>10</v>
      </c>
      <c r="H24" s="6">
        <f>C33</f>
        <v>24144.959999999999</v>
      </c>
    </row>
    <row r="26" spans="1:8" ht="15.75" x14ac:dyDescent="0.25">
      <c r="A26" t="s">
        <v>5</v>
      </c>
      <c r="B26" s="9" t="s">
        <v>7</v>
      </c>
      <c r="C26" s="8">
        <f>H21</f>
        <v>4682</v>
      </c>
      <c r="E26" s="13" t="s">
        <v>11</v>
      </c>
      <c r="F26" s="9" t="s">
        <v>12</v>
      </c>
      <c r="G26" s="15" t="s">
        <v>17</v>
      </c>
      <c r="H26" s="3">
        <f>-(F27*0.007)</f>
        <v>-728</v>
      </c>
    </row>
    <row r="27" spans="1:8" x14ac:dyDescent="0.25">
      <c r="F27" s="21">
        <f>D3-H3</f>
        <v>104000</v>
      </c>
    </row>
    <row r="28" spans="1:8" ht="15.75" x14ac:dyDescent="0.25">
      <c r="A28" t="s">
        <v>8</v>
      </c>
      <c r="B28" s="9" t="s">
        <v>7</v>
      </c>
      <c r="C28" s="8">
        <f>D3*0.004</f>
        <v>495.04</v>
      </c>
      <c r="F28" s="9" t="s">
        <v>13</v>
      </c>
      <c r="G28" s="16">
        <v>0.35</v>
      </c>
      <c r="H28" s="29">
        <f>-(F29*0.35)</f>
        <v>-8450.735999999999</v>
      </c>
    </row>
    <row r="29" spans="1:8" ht="15.75" thickBot="1" x14ac:dyDescent="0.3">
      <c r="F29" s="21">
        <f>H24</f>
        <v>24144.959999999999</v>
      </c>
      <c r="H29" s="7"/>
    </row>
    <row r="30" spans="1:8" ht="15.75" x14ac:dyDescent="0.25">
      <c r="A30" t="s">
        <v>9</v>
      </c>
      <c r="B30" s="9" t="s">
        <v>7</v>
      </c>
      <c r="C30" s="10"/>
      <c r="G30" s="13" t="s">
        <v>14</v>
      </c>
      <c r="H30" s="6">
        <f>H24+H26+H28</f>
        <v>14966.224</v>
      </c>
    </row>
    <row r="31" spans="1:8" ht="15.75" thickBot="1" x14ac:dyDescent="0.3">
      <c r="A31" s="16"/>
      <c r="B31" s="14"/>
      <c r="C31" s="7"/>
    </row>
    <row r="32" spans="1:8" x14ac:dyDescent="0.25">
      <c r="E32" t="s">
        <v>151</v>
      </c>
      <c r="H32" s="20">
        <f>H30*0.5</f>
        <v>7483.1120000000001</v>
      </c>
    </row>
    <row r="33" spans="1:8" ht="15.75" x14ac:dyDescent="0.25">
      <c r="A33" t="s">
        <v>10</v>
      </c>
      <c r="C33" s="10">
        <f>C24-C26-C28-C30</f>
        <v>24144.959999999999</v>
      </c>
      <c r="H33" s="18"/>
    </row>
    <row r="34" spans="1:8" x14ac:dyDescent="0.25">
      <c r="H34" s="3"/>
    </row>
    <row r="35" spans="1:8" x14ac:dyDescent="0.25">
      <c r="H35" s="18"/>
    </row>
  </sheetData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98EBE-D7EC-4E6D-AC19-33F35BF939C8}">
  <dimension ref="A1:H35"/>
  <sheetViews>
    <sheetView topLeftCell="A13" workbookViewId="0">
      <selection activeCell="H34" sqref="H34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329</v>
      </c>
    </row>
    <row r="3" spans="1:8" ht="21" x14ac:dyDescent="0.35">
      <c r="A3" s="2" t="s">
        <v>1</v>
      </c>
      <c r="D3" s="11">
        <v>65474</v>
      </c>
      <c r="F3" s="12" t="s">
        <v>3</v>
      </c>
      <c r="H3" s="11">
        <v>10454</v>
      </c>
    </row>
    <row r="4" spans="1:8" x14ac:dyDescent="0.25">
      <c r="A4" s="13" t="s">
        <v>32</v>
      </c>
      <c r="C4" s="26">
        <v>446</v>
      </c>
    </row>
    <row r="5" spans="1:8" ht="21" x14ac:dyDescent="0.35">
      <c r="A5" s="2" t="s">
        <v>2</v>
      </c>
    </row>
    <row r="7" spans="1:8" ht="18.75" x14ac:dyDescent="0.3">
      <c r="A7" s="5" t="s">
        <v>221</v>
      </c>
      <c r="D7" s="4">
        <v>27489</v>
      </c>
      <c r="E7" s="25"/>
      <c r="H7" s="4">
        <v>4389</v>
      </c>
    </row>
    <row r="8" spans="1:8" ht="18.75" x14ac:dyDescent="0.3">
      <c r="A8" s="5" t="s">
        <v>360</v>
      </c>
      <c r="D8" s="4">
        <v>20000</v>
      </c>
      <c r="E8" s="25"/>
      <c r="H8" s="4"/>
    </row>
    <row r="9" spans="1:8" ht="18.75" x14ac:dyDescent="0.3">
      <c r="A9" s="5"/>
      <c r="D9" s="4" t="s">
        <v>361</v>
      </c>
      <c r="E9" s="25"/>
      <c r="H9" s="4"/>
    </row>
    <row r="10" spans="1:8" ht="18.75" x14ac:dyDescent="0.3">
      <c r="A10" s="5"/>
      <c r="D10" s="4"/>
      <c r="E10" s="25"/>
      <c r="H10" s="4"/>
    </row>
    <row r="11" spans="1:8" ht="18.75" x14ac:dyDescent="0.3">
      <c r="A11" s="5"/>
      <c r="D11" s="4"/>
      <c r="E11" s="25"/>
      <c r="H11" s="4"/>
    </row>
    <row r="12" spans="1:8" ht="18.75" x14ac:dyDescent="0.3">
      <c r="A12" s="5"/>
      <c r="C12" s="3"/>
      <c r="D12" s="27"/>
      <c r="E12" s="25"/>
      <c r="H12" s="27"/>
    </row>
    <row r="13" spans="1:8" ht="18.75" x14ac:dyDescent="0.3">
      <c r="A13" s="5"/>
      <c r="C13" s="3"/>
      <c r="D13" s="28"/>
      <c r="E13" s="25"/>
      <c r="H13" s="28"/>
    </row>
    <row r="14" spans="1:8" ht="19.5" thickBot="1" x14ac:dyDescent="0.35">
      <c r="A14" s="5"/>
      <c r="C14" s="3"/>
      <c r="D14" s="22"/>
      <c r="E14" s="25"/>
      <c r="H14" s="22"/>
    </row>
    <row r="15" spans="1:8" ht="18.75" customHeight="1" x14ac:dyDescent="0.3">
      <c r="D15" s="4">
        <f>SUM(D7:D14)</f>
        <v>47489</v>
      </c>
      <c r="H15" s="4">
        <f>SUM(H7:H14)</f>
        <v>4389</v>
      </c>
    </row>
    <row r="16" spans="1:8" ht="18.75" x14ac:dyDescent="0.3">
      <c r="A16" s="5"/>
      <c r="C16" s="3"/>
      <c r="D16" s="4"/>
      <c r="H16" s="4"/>
    </row>
    <row r="18" spans="1:8" ht="18.75" x14ac:dyDescent="0.3">
      <c r="A18" s="5"/>
      <c r="C18" s="3"/>
      <c r="D18" s="4"/>
      <c r="H18" s="4"/>
    </row>
    <row r="19" spans="1:8" ht="15.75" thickBot="1" x14ac:dyDescent="0.3">
      <c r="D19" s="7"/>
      <c r="H19" s="7"/>
    </row>
    <row r="21" spans="1:8" ht="18.75" x14ac:dyDescent="0.3">
      <c r="C21" t="s">
        <v>4</v>
      </c>
      <c r="D21" s="4">
        <f>D3-D15</f>
        <v>17985</v>
      </c>
      <c r="G21" t="s">
        <v>5</v>
      </c>
      <c r="H21" s="4">
        <f>H3-H15</f>
        <v>6065</v>
      </c>
    </row>
    <row r="24" spans="1:8" ht="15.75" x14ac:dyDescent="0.25">
      <c r="A24" t="s">
        <v>6</v>
      </c>
      <c r="C24" s="8">
        <f>D21</f>
        <v>17985</v>
      </c>
      <c r="E24" t="s">
        <v>10</v>
      </c>
      <c r="H24" s="6">
        <f>C33</f>
        <v>11658.103999999999</v>
      </c>
    </row>
    <row r="26" spans="1:8" ht="15.75" x14ac:dyDescent="0.25">
      <c r="A26" t="s">
        <v>5</v>
      </c>
      <c r="B26" s="9" t="s">
        <v>7</v>
      </c>
      <c r="C26" s="8">
        <f>H21</f>
        <v>6065</v>
      </c>
      <c r="E26" s="13" t="s">
        <v>11</v>
      </c>
      <c r="F26" s="9" t="s">
        <v>12</v>
      </c>
      <c r="G26" s="15" t="s">
        <v>17</v>
      </c>
      <c r="H26" s="3">
        <f>-(F27*0.007)</f>
        <v>-385.14</v>
      </c>
    </row>
    <row r="27" spans="1:8" x14ac:dyDescent="0.25">
      <c r="F27" s="21">
        <f>D3-H3</f>
        <v>55020</v>
      </c>
    </row>
    <row r="28" spans="1:8" ht="15.75" x14ac:dyDescent="0.25">
      <c r="A28" t="s">
        <v>8</v>
      </c>
      <c r="B28" s="9" t="s">
        <v>7</v>
      </c>
      <c r="C28" s="8">
        <f>D3*0.004</f>
        <v>261.89600000000002</v>
      </c>
      <c r="F28" s="9" t="s">
        <v>13</v>
      </c>
      <c r="G28" s="16">
        <v>0.35</v>
      </c>
      <c r="H28" s="29">
        <f>-(F29*0.35)</f>
        <v>-4080.3363999999997</v>
      </c>
    </row>
    <row r="29" spans="1:8" ht="15.75" thickBot="1" x14ac:dyDescent="0.3">
      <c r="F29" s="21">
        <f>H24</f>
        <v>11658.103999999999</v>
      </c>
      <c r="H29" s="7"/>
    </row>
    <row r="30" spans="1:8" ht="15.75" x14ac:dyDescent="0.25">
      <c r="A30" t="s">
        <v>9</v>
      </c>
      <c r="B30" s="9" t="s">
        <v>7</v>
      </c>
      <c r="C30" s="10"/>
      <c r="G30" s="13" t="s">
        <v>14</v>
      </c>
      <c r="H30" s="6">
        <f>H24+H26+H28</f>
        <v>7192.6275999999998</v>
      </c>
    </row>
    <row r="31" spans="1:8" ht="15.75" thickBot="1" x14ac:dyDescent="0.3">
      <c r="A31" s="16"/>
      <c r="B31" s="14"/>
      <c r="C31" s="7"/>
    </row>
    <row r="32" spans="1:8" x14ac:dyDescent="0.25">
      <c r="E32" t="s">
        <v>151</v>
      </c>
      <c r="H32" s="20">
        <f>H30*0.5</f>
        <v>3596.3137999999999</v>
      </c>
    </row>
    <row r="33" spans="1:8" ht="15.75" x14ac:dyDescent="0.25">
      <c r="A33" t="s">
        <v>10</v>
      </c>
      <c r="C33" s="10">
        <f>C24-C26-C28-C30</f>
        <v>11658.103999999999</v>
      </c>
      <c r="H33" s="18"/>
    </row>
    <row r="34" spans="1:8" x14ac:dyDescent="0.25">
      <c r="H34" s="3"/>
    </row>
    <row r="35" spans="1:8" x14ac:dyDescent="0.25">
      <c r="H35" s="18"/>
    </row>
  </sheetData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63BA0-6B64-4F64-B719-2B2A29AACB21}">
  <dimension ref="A1:H35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323</v>
      </c>
    </row>
    <row r="3" spans="1:8" ht="21" x14ac:dyDescent="0.35">
      <c r="A3" s="2" t="s">
        <v>1</v>
      </c>
      <c r="D3" s="11">
        <v>655000</v>
      </c>
      <c r="F3" s="12" t="s">
        <v>3</v>
      </c>
      <c r="H3" s="11">
        <v>104580</v>
      </c>
    </row>
    <row r="4" spans="1:8" x14ac:dyDescent="0.25">
      <c r="A4" s="13" t="s">
        <v>32</v>
      </c>
      <c r="C4" s="26">
        <v>447</v>
      </c>
    </row>
    <row r="5" spans="1:8" ht="21" x14ac:dyDescent="0.35">
      <c r="A5" s="2" t="s">
        <v>2</v>
      </c>
    </row>
    <row r="7" spans="1:8" ht="18.75" x14ac:dyDescent="0.3">
      <c r="A7" s="5" t="s">
        <v>343</v>
      </c>
      <c r="D7" s="4">
        <v>494174</v>
      </c>
      <c r="E7" s="25"/>
      <c r="H7" s="4">
        <v>78902</v>
      </c>
    </row>
    <row r="8" spans="1:8" ht="18.75" x14ac:dyDescent="0.3">
      <c r="A8" s="5"/>
      <c r="D8" s="4"/>
      <c r="E8" s="25"/>
      <c r="H8" s="4"/>
    </row>
    <row r="9" spans="1:8" ht="18.75" x14ac:dyDescent="0.3">
      <c r="A9" s="5"/>
      <c r="D9" s="4"/>
      <c r="E9" s="25"/>
      <c r="H9" s="4"/>
    </row>
    <row r="10" spans="1:8" ht="18.75" x14ac:dyDescent="0.3">
      <c r="A10" s="5"/>
      <c r="D10" s="4"/>
      <c r="E10" s="25"/>
      <c r="H10" s="4"/>
    </row>
    <row r="11" spans="1:8" ht="18.75" x14ac:dyDescent="0.3">
      <c r="A11" s="5"/>
      <c r="D11" s="4"/>
      <c r="E11" s="25"/>
      <c r="H11" s="4"/>
    </row>
    <row r="12" spans="1:8" ht="18.75" x14ac:dyDescent="0.3">
      <c r="A12" s="5"/>
      <c r="C12" s="3"/>
      <c r="D12" s="27"/>
      <c r="E12" s="25"/>
      <c r="H12" s="27"/>
    </row>
    <row r="13" spans="1:8" ht="18.75" x14ac:dyDescent="0.3">
      <c r="A13" s="5"/>
      <c r="C13" s="3"/>
      <c r="D13" s="28"/>
      <c r="E13" s="25"/>
      <c r="H13" s="28"/>
    </row>
    <row r="14" spans="1:8" ht="19.5" thickBot="1" x14ac:dyDescent="0.35">
      <c r="A14" s="5"/>
      <c r="C14" s="3"/>
      <c r="D14" s="22"/>
      <c r="E14" s="25"/>
      <c r="H14" s="22"/>
    </row>
    <row r="15" spans="1:8" ht="18.75" customHeight="1" x14ac:dyDescent="0.3">
      <c r="D15" s="4">
        <f>SUM(D7:D14)</f>
        <v>494174</v>
      </c>
      <c r="H15" s="4">
        <f>SUM(H7:H14)</f>
        <v>78902</v>
      </c>
    </row>
    <row r="16" spans="1:8" ht="18.75" x14ac:dyDescent="0.3">
      <c r="A16" s="5"/>
      <c r="C16" s="3"/>
      <c r="D16" s="4"/>
      <c r="H16" s="4"/>
    </row>
    <row r="18" spans="1:8" ht="18.75" x14ac:dyDescent="0.3">
      <c r="A18" s="5"/>
      <c r="C18" s="3"/>
      <c r="D18" s="4"/>
      <c r="H18" s="4"/>
    </row>
    <row r="19" spans="1:8" ht="15.75" thickBot="1" x14ac:dyDescent="0.3">
      <c r="D19" s="7"/>
      <c r="H19" s="7"/>
    </row>
    <row r="21" spans="1:8" ht="18.75" x14ac:dyDescent="0.3">
      <c r="C21" t="s">
        <v>4</v>
      </c>
      <c r="D21" s="4">
        <f>D3-D15</f>
        <v>160826</v>
      </c>
      <c r="G21" t="s">
        <v>5</v>
      </c>
      <c r="H21" s="4">
        <f>H3-H15</f>
        <v>25678</v>
      </c>
    </row>
    <row r="24" spans="1:8" ht="15.75" x14ac:dyDescent="0.25">
      <c r="A24" t="s">
        <v>6</v>
      </c>
      <c r="C24" s="8">
        <f>D21</f>
        <v>160826</v>
      </c>
      <c r="E24" t="s">
        <v>10</v>
      </c>
      <c r="H24" s="6">
        <f>C33</f>
        <v>132528</v>
      </c>
    </row>
    <row r="26" spans="1:8" ht="15.75" x14ac:dyDescent="0.25">
      <c r="A26" t="s">
        <v>5</v>
      </c>
      <c r="B26" s="9" t="s">
        <v>7</v>
      </c>
      <c r="C26" s="8">
        <f>H21</f>
        <v>25678</v>
      </c>
      <c r="E26" s="13" t="s">
        <v>11</v>
      </c>
      <c r="F26" s="9" t="s">
        <v>12</v>
      </c>
      <c r="G26" s="15" t="s">
        <v>17</v>
      </c>
      <c r="H26" s="3">
        <f>-(F27*0.007)</f>
        <v>-3852.94</v>
      </c>
    </row>
    <row r="27" spans="1:8" x14ac:dyDescent="0.25">
      <c r="F27" s="21">
        <f>D3-H3</f>
        <v>550420</v>
      </c>
    </row>
    <row r="28" spans="1:8" ht="15.75" x14ac:dyDescent="0.25">
      <c r="A28" t="s">
        <v>8</v>
      </c>
      <c r="B28" s="9" t="s">
        <v>7</v>
      </c>
      <c r="C28" s="8">
        <f>D3*0.004</f>
        <v>2620</v>
      </c>
      <c r="F28" s="9" t="s">
        <v>13</v>
      </c>
      <c r="G28" s="16">
        <v>0.35</v>
      </c>
      <c r="H28" s="29">
        <f>-(F29*0.35)</f>
        <v>-46384.799999999996</v>
      </c>
    </row>
    <row r="29" spans="1:8" ht="15.75" thickBot="1" x14ac:dyDescent="0.3">
      <c r="F29" s="21">
        <f>H24</f>
        <v>132528</v>
      </c>
      <c r="H29" s="7"/>
    </row>
    <row r="30" spans="1:8" ht="15.75" x14ac:dyDescent="0.25">
      <c r="A30" t="s">
        <v>9</v>
      </c>
      <c r="B30" s="9" t="s">
        <v>7</v>
      </c>
      <c r="C30" s="10"/>
      <c r="G30" s="13" t="s">
        <v>14</v>
      </c>
      <c r="H30" s="6">
        <f>H24+H26+H28</f>
        <v>82290.260000000009</v>
      </c>
    </row>
    <row r="31" spans="1:8" ht="15.75" thickBot="1" x14ac:dyDescent="0.3">
      <c r="A31" s="16"/>
      <c r="B31" s="14"/>
      <c r="C31" s="7"/>
    </row>
    <row r="32" spans="1:8" x14ac:dyDescent="0.25">
      <c r="E32" t="s">
        <v>151</v>
      </c>
      <c r="H32" s="20">
        <f>H30*0.5</f>
        <v>41145.130000000005</v>
      </c>
    </row>
    <row r="33" spans="1:8" ht="15.75" x14ac:dyDescent="0.25">
      <c r="A33" t="s">
        <v>10</v>
      </c>
      <c r="C33" s="10">
        <f>C24-C26-C28-C30</f>
        <v>132528</v>
      </c>
      <c r="H33" s="18"/>
    </row>
    <row r="34" spans="1:8" x14ac:dyDescent="0.25">
      <c r="H34" s="3"/>
    </row>
    <row r="35" spans="1:8" x14ac:dyDescent="0.25">
      <c r="H35" s="18"/>
    </row>
  </sheetData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8F44D-07EA-4249-872D-CFD1ADEBAA7A}">
  <dimension ref="A1:H35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344</v>
      </c>
    </row>
    <row r="3" spans="1:8" ht="21" x14ac:dyDescent="0.35">
      <c r="A3" s="2" t="s">
        <v>1</v>
      </c>
      <c r="D3" s="11">
        <v>599760</v>
      </c>
      <c r="F3" s="12" t="s">
        <v>3</v>
      </c>
      <c r="H3" s="11">
        <v>95760</v>
      </c>
    </row>
    <row r="4" spans="1:8" x14ac:dyDescent="0.25">
      <c r="A4" s="13" t="s">
        <v>32</v>
      </c>
      <c r="C4" s="26">
        <v>453</v>
      </c>
    </row>
    <row r="5" spans="1:8" ht="21" x14ac:dyDescent="0.35">
      <c r="A5" s="2" t="s">
        <v>2</v>
      </c>
    </row>
    <row r="7" spans="1:8" ht="18.75" x14ac:dyDescent="0.3">
      <c r="A7" s="5" t="s">
        <v>345</v>
      </c>
      <c r="D7" s="4">
        <v>49442</v>
      </c>
      <c r="E7" s="25"/>
      <c r="H7" s="4">
        <v>7894</v>
      </c>
    </row>
    <row r="8" spans="1:8" ht="18.75" x14ac:dyDescent="0.3">
      <c r="A8" s="5" t="s">
        <v>224</v>
      </c>
      <c r="D8" s="4">
        <v>57553</v>
      </c>
      <c r="E8" s="25"/>
      <c r="H8" s="4">
        <v>9189</v>
      </c>
    </row>
    <row r="9" spans="1:8" ht="18.75" x14ac:dyDescent="0.3">
      <c r="A9" s="5" t="s">
        <v>221</v>
      </c>
      <c r="D9" s="4">
        <v>232697</v>
      </c>
      <c r="E9" s="25"/>
      <c r="H9" s="4">
        <v>37153</v>
      </c>
    </row>
    <row r="10" spans="1:8" ht="18.75" x14ac:dyDescent="0.3">
      <c r="A10" s="5"/>
      <c r="D10" s="4"/>
      <c r="E10" s="25"/>
      <c r="H10" s="4"/>
    </row>
    <row r="11" spans="1:8" ht="18.75" x14ac:dyDescent="0.3">
      <c r="A11" s="5"/>
      <c r="D11" s="4"/>
      <c r="E11" s="25"/>
      <c r="H11" s="4"/>
    </row>
    <row r="12" spans="1:8" ht="18.75" x14ac:dyDescent="0.3">
      <c r="A12" s="5"/>
      <c r="C12" s="3"/>
      <c r="D12" s="27"/>
      <c r="E12" s="25"/>
      <c r="H12" s="27"/>
    </row>
    <row r="13" spans="1:8" ht="18.75" x14ac:dyDescent="0.3">
      <c r="A13" s="5"/>
      <c r="C13" s="3"/>
      <c r="D13" s="28"/>
      <c r="E13" s="25"/>
      <c r="H13" s="28"/>
    </row>
    <row r="14" spans="1:8" ht="19.5" thickBot="1" x14ac:dyDescent="0.35">
      <c r="A14" s="5"/>
      <c r="C14" s="3"/>
      <c r="D14" s="22"/>
      <c r="E14" s="25"/>
      <c r="H14" s="22"/>
    </row>
    <row r="15" spans="1:8" ht="18.75" customHeight="1" x14ac:dyDescent="0.3">
      <c r="D15" s="4">
        <f>SUM(D7:D14)</f>
        <v>339692</v>
      </c>
      <c r="H15" s="4">
        <f>SUM(H7:H14)</f>
        <v>54236</v>
      </c>
    </row>
    <row r="16" spans="1:8" ht="18.75" x14ac:dyDescent="0.3">
      <c r="A16" s="5"/>
      <c r="C16" s="3"/>
      <c r="D16" s="4"/>
      <c r="H16" s="4"/>
    </row>
    <row r="18" spans="1:8" ht="18.75" x14ac:dyDescent="0.3">
      <c r="A18" s="5"/>
      <c r="C18" s="3"/>
      <c r="D18" s="4"/>
      <c r="H18" s="4"/>
    </row>
    <row r="19" spans="1:8" ht="15.75" thickBot="1" x14ac:dyDescent="0.3">
      <c r="D19" s="7"/>
      <c r="H19" s="7"/>
    </row>
    <row r="21" spans="1:8" ht="18.75" x14ac:dyDescent="0.3">
      <c r="C21" t="s">
        <v>4</v>
      </c>
      <c r="D21" s="4">
        <f>D3-D15</f>
        <v>260068</v>
      </c>
      <c r="G21" t="s">
        <v>5</v>
      </c>
      <c r="H21" s="4">
        <f>H3-H15</f>
        <v>41524</v>
      </c>
    </row>
    <row r="24" spans="1:8" ht="15.75" x14ac:dyDescent="0.25">
      <c r="A24" t="s">
        <v>6</v>
      </c>
      <c r="C24" s="8">
        <f>D21</f>
        <v>260068</v>
      </c>
      <c r="E24" t="s">
        <v>10</v>
      </c>
      <c r="H24" s="6">
        <f>C33</f>
        <v>216144.96</v>
      </c>
    </row>
    <row r="26" spans="1:8" ht="15.75" x14ac:dyDescent="0.25">
      <c r="A26" t="s">
        <v>5</v>
      </c>
      <c r="B26" s="9" t="s">
        <v>7</v>
      </c>
      <c r="C26" s="8">
        <f>H21</f>
        <v>41524</v>
      </c>
      <c r="E26" s="13" t="s">
        <v>11</v>
      </c>
      <c r="F26" s="9" t="s">
        <v>12</v>
      </c>
      <c r="G26" s="15" t="s">
        <v>17</v>
      </c>
      <c r="H26" s="3">
        <f>-(F27*0.007)</f>
        <v>-3528</v>
      </c>
    </row>
    <row r="27" spans="1:8" x14ac:dyDescent="0.25">
      <c r="F27" s="21">
        <f>D3-H3</f>
        <v>504000</v>
      </c>
    </row>
    <row r="28" spans="1:8" ht="15.75" x14ac:dyDescent="0.25">
      <c r="A28" t="s">
        <v>8</v>
      </c>
      <c r="B28" s="9" t="s">
        <v>7</v>
      </c>
      <c r="C28" s="8">
        <f>D3*0.004</f>
        <v>2399.04</v>
      </c>
      <c r="F28" s="9" t="s">
        <v>13</v>
      </c>
      <c r="G28" s="16">
        <v>0.35</v>
      </c>
      <c r="H28" s="29">
        <f>-(F29*0.35)</f>
        <v>-75650.73599999999</v>
      </c>
    </row>
    <row r="29" spans="1:8" ht="15.75" thickBot="1" x14ac:dyDescent="0.3">
      <c r="F29" s="21">
        <f>H24</f>
        <v>216144.96</v>
      </c>
      <c r="H29" s="7"/>
    </row>
    <row r="30" spans="1:8" ht="15.75" x14ac:dyDescent="0.25">
      <c r="A30" t="s">
        <v>9</v>
      </c>
      <c r="B30" s="9" t="s">
        <v>7</v>
      </c>
      <c r="C30" s="10"/>
      <c r="G30" s="13" t="s">
        <v>14</v>
      </c>
      <c r="H30" s="6">
        <f>H24+H26+H28</f>
        <v>136966.22399999999</v>
      </c>
    </row>
    <row r="31" spans="1:8" ht="15.75" thickBot="1" x14ac:dyDescent="0.3">
      <c r="A31" s="16"/>
      <c r="B31" s="14"/>
      <c r="C31" s="7"/>
    </row>
    <row r="32" spans="1:8" x14ac:dyDescent="0.25">
      <c r="E32" t="s">
        <v>151</v>
      </c>
      <c r="H32" s="20">
        <f>H30*0.5</f>
        <v>68483.111999999994</v>
      </c>
    </row>
    <row r="33" spans="1:8" ht="15.75" x14ac:dyDescent="0.25">
      <c r="A33" t="s">
        <v>10</v>
      </c>
      <c r="C33" s="10">
        <f>C24-C26-C28-C30</f>
        <v>216144.96</v>
      </c>
      <c r="H33" s="18"/>
    </row>
    <row r="34" spans="1:8" x14ac:dyDescent="0.25">
      <c r="H34" s="3"/>
    </row>
    <row r="35" spans="1:8" x14ac:dyDescent="0.25">
      <c r="H35" s="18"/>
    </row>
  </sheetData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F39BD-A8A6-44A5-AECD-DCEF5DF8E00F}">
  <dimension ref="A1:H35"/>
  <sheetViews>
    <sheetView topLeftCell="A16" workbookViewId="0">
      <selection activeCell="E34" sqref="E34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346</v>
      </c>
    </row>
    <row r="3" spans="1:8" ht="21" x14ac:dyDescent="0.35">
      <c r="A3" s="2" t="s">
        <v>1</v>
      </c>
      <c r="D3" s="11">
        <v>207060</v>
      </c>
      <c r="F3" s="12" t="s">
        <v>3</v>
      </c>
      <c r="H3" s="11">
        <v>33060</v>
      </c>
    </row>
    <row r="4" spans="1:8" x14ac:dyDescent="0.25">
      <c r="A4" s="13" t="s">
        <v>32</v>
      </c>
      <c r="C4" s="26">
        <v>455</v>
      </c>
    </row>
    <row r="5" spans="1:8" ht="21" x14ac:dyDescent="0.35">
      <c r="A5" s="2" t="s">
        <v>2</v>
      </c>
    </row>
    <row r="7" spans="1:8" ht="18.75" x14ac:dyDescent="0.3">
      <c r="A7" s="5" t="s">
        <v>365</v>
      </c>
      <c r="D7" s="4">
        <v>227910</v>
      </c>
      <c r="E7" s="25"/>
      <c r="H7" s="4">
        <v>36390</v>
      </c>
    </row>
    <row r="8" spans="1:8" ht="18.75" x14ac:dyDescent="0.3">
      <c r="A8" s="5"/>
      <c r="D8" s="4"/>
      <c r="E8" s="25"/>
      <c r="H8" s="4"/>
    </row>
    <row r="9" spans="1:8" ht="18.75" x14ac:dyDescent="0.3">
      <c r="A9" s="5"/>
      <c r="D9" s="4"/>
      <c r="E9" s="25"/>
      <c r="H9" s="4"/>
    </row>
    <row r="10" spans="1:8" ht="18.75" x14ac:dyDescent="0.3">
      <c r="A10" s="5"/>
      <c r="D10" s="4"/>
      <c r="E10" s="25"/>
      <c r="H10" s="4"/>
    </row>
    <row r="11" spans="1:8" ht="18.75" x14ac:dyDescent="0.3">
      <c r="A11" s="5"/>
      <c r="D11" s="4"/>
      <c r="E11" s="25"/>
      <c r="H11" s="4"/>
    </row>
    <row r="12" spans="1:8" ht="18.75" x14ac:dyDescent="0.3">
      <c r="A12" s="5"/>
      <c r="C12" s="3"/>
      <c r="D12" s="27"/>
      <c r="E12" s="25"/>
      <c r="H12" s="27"/>
    </row>
    <row r="13" spans="1:8" ht="18.75" x14ac:dyDescent="0.3">
      <c r="A13" s="5"/>
      <c r="C13" s="3"/>
      <c r="D13" s="28"/>
      <c r="E13" s="25"/>
      <c r="H13" s="28"/>
    </row>
    <row r="14" spans="1:8" ht="19.5" thickBot="1" x14ac:dyDescent="0.35">
      <c r="A14" s="5"/>
      <c r="C14" s="3"/>
      <c r="D14" s="22"/>
      <c r="E14" s="25"/>
      <c r="H14" s="22"/>
    </row>
    <row r="15" spans="1:8" ht="18.75" customHeight="1" x14ac:dyDescent="0.3">
      <c r="D15" s="4">
        <f>SUM(D7:D14)</f>
        <v>227910</v>
      </c>
      <c r="H15" s="4">
        <f>SUM(H7:H14)</f>
        <v>36390</v>
      </c>
    </row>
    <row r="16" spans="1:8" ht="18.75" x14ac:dyDescent="0.3">
      <c r="A16" s="5"/>
      <c r="C16" s="3"/>
      <c r="D16" s="4"/>
      <c r="H16" s="4"/>
    </row>
    <row r="18" spans="1:8" ht="18.75" x14ac:dyDescent="0.3">
      <c r="A18" s="5"/>
      <c r="C18" s="3"/>
      <c r="D18" s="4"/>
      <c r="H18" s="4"/>
    </row>
    <row r="19" spans="1:8" ht="15.75" thickBot="1" x14ac:dyDescent="0.3">
      <c r="D19" s="7"/>
      <c r="H19" s="7"/>
    </row>
    <row r="21" spans="1:8" ht="18.75" x14ac:dyDescent="0.3">
      <c r="C21" t="s">
        <v>4</v>
      </c>
      <c r="D21" s="4">
        <f>D3-D15</f>
        <v>-20850</v>
      </c>
      <c r="G21" t="s">
        <v>5</v>
      </c>
      <c r="H21" s="4">
        <f>H3-H15</f>
        <v>-3330</v>
      </c>
    </row>
    <row r="24" spans="1:8" ht="15.75" x14ac:dyDescent="0.25">
      <c r="A24" t="s">
        <v>6</v>
      </c>
      <c r="C24" s="8">
        <f>D21</f>
        <v>-20850</v>
      </c>
      <c r="E24" t="s">
        <v>10</v>
      </c>
      <c r="H24" s="6">
        <f>C33</f>
        <v>-18348.240000000002</v>
      </c>
    </row>
    <row r="26" spans="1:8" ht="15.75" x14ac:dyDescent="0.25">
      <c r="A26" t="s">
        <v>5</v>
      </c>
      <c r="B26" s="9" t="s">
        <v>7</v>
      </c>
      <c r="C26" s="8">
        <f>H21</f>
        <v>-3330</v>
      </c>
      <c r="E26" s="13" t="s">
        <v>11</v>
      </c>
      <c r="F26" s="9" t="s">
        <v>12</v>
      </c>
      <c r="G26" s="15" t="s">
        <v>17</v>
      </c>
      <c r="H26" s="3">
        <f>-(F27*0.007)</f>
        <v>-1218</v>
      </c>
    </row>
    <row r="27" spans="1:8" x14ac:dyDescent="0.25">
      <c r="F27" s="21">
        <f>D3-H3</f>
        <v>174000</v>
      </c>
    </row>
    <row r="28" spans="1:8" ht="15.75" x14ac:dyDescent="0.25">
      <c r="A28" t="s">
        <v>8</v>
      </c>
      <c r="B28" s="9" t="s">
        <v>7</v>
      </c>
      <c r="C28" s="8">
        <f>D3*0.004</f>
        <v>828.24</v>
      </c>
      <c r="F28" s="9" t="s">
        <v>13</v>
      </c>
      <c r="G28" s="16">
        <v>0.35</v>
      </c>
      <c r="H28" s="29">
        <f>-(F29*0.35)</f>
        <v>6421.884</v>
      </c>
    </row>
    <row r="29" spans="1:8" ht="15.75" thickBot="1" x14ac:dyDescent="0.3">
      <c r="F29" s="21">
        <f>H24</f>
        <v>-18348.240000000002</v>
      </c>
      <c r="H29" s="7"/>
    </row>
    <row r="30" spans="1:8" ht="15.75" x14ac:dyDescent="0.25">
      <c r="A30" t="s">
        <v>9</v>
      </c>
      <c r="B30" s="9" t="s">
        <v>7</v>
      </c>
      <c r="C30" s="10"/>
      <c r="G30" s="13" t="s">
        <v>14</v>
      </c>
      <c r="H30" s="6">
        <f>H24+H26+H28</f>
        <v>-13144.356000000002</v>
      </c>
    </row>
    <row r="31" spans="1:8" ht="15.75" thickBot="1" x14ac:dyDescent="0.3">
      <c r="A31" s="16"/>
      <c r="B31" s="14"/>
      <c r="C31" s="7"/>
    </row>
    <row r="32" spans="1:8" x14ac:dyDescent="0.25">
      <c r="E32" t="s">
        <v>151</v>
      </c>
      <c r="H32" s="20">
        <f>H30*0.5</f>
        <v>-6572.1780000000008</v>
      </c>
    </row>
    <row r="33" spans="1:8" ht="15.75" x14ac:dyDescent="0.25">
      <c r="A33" t="s">
        <v>10</v>
      </c>
      <c r="C33" s="10">
        <f>C24-C26-C28-C30</f>
        <v>-18348.240000000002</v>
      </c>
      <c r="H33" s="18"/>
    </row>
    <row r="34" spans="1:8" x14ac:dyDescent="0.25">
      <c r="H34" s="3"/>
    </row>
    <row r="35" spans="1:8" x14ac:dyDescent="0.25">
      <c r="H35" s="18"/>
    </row>
  </sheetData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81029-64C3-4881-971C-05554C3BFF6A}">
  <dimension ref="A1:H35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347</v>
      </c>
    </row>
    <row r="3" spans="1:8" ht="21" x14ac:dyDescent="0.35">
      <c r="A3" s="2" t="s">
        <v>1</v>
      </c>
      <c r="D3" s="11">
        <v>416500</v>
      </c>
      <c r="F3" s="12" t="s">
        <v>3</v>
      </c>
      <c r="H3" s="11">
        <v>33060</v>
      </c>
    </row>
    <row r="4" spans="1:8" x14ac:dyDescent="0.25">
      <c r="A4" s="13" t="s">
        <v>32</v>
      </c>
      <c r="C4" s="26">
        <v>457</v>
      </c>
    </row>
    <row r="5" spans="1:8" ht="21" x14ac:dyDescent="0.35">
      <c r="A5" s="2" t="s">
        <v>2</v>
      </c>
    </row>
    <row r="7" spans="1:8" ht="18.75" x14ac:dyDescent="0.3">
      <c r="A7" s="5" t="s">
        <v>185</v>
      </c>
      <c r="D7" s="4">
        <v>170000</v>
      </c>
      <c r="E7" s="25"/>
      <c r="H7" s="4"/>
    </row>
    <row r="8" spans="1:8" ht="18.75" x14ac:dyDescent="0.3">
      <c r="A8" s="5" t="s">
        <v>348</v>
      </c>
      <c r="D8" s="4">
        <v>18802</v>
      </c>
      <c r="E8" s="25"/>
      <c r="H8" s="4">
        <v>3002</v>
      </c>
    </row>
    <row r="9" spans="1:8" ht="18.75" x14ac:dyDescent="0.3">
      <c r="A9" s="5"/>
      <c r="D9" s="4"/>
      <c r="E9" s="25"/>
      <c r="H9" s="4"/>
    </row>
    <row r="10" spans="1:8" ht="18.75" x14ac:dyDescent="0.3">
      <c r="A10" s="5"/>
      <c r="D10" s="4"/>
      <c r="E10" s="25"/>
      <c r="H10" s="4"/>
    </row>
    <row r="11" spans="1:8" ht="18.75" x14ac:dyDescent="0.3">
      <c r="A11" s="5"/>
      <c r="D11" s="4"/>
      <c r="E11" s="25"/>
      <c r="H11" s="4"/>
    </row>
    <row r="12" spans="1:8" ht="18.75" x14ac:dyDescent="0.3">
      <c r="A12" s="5"/>
      <c r="C12" s="3"/>
      <c r="D12" s="27"/>
      <c r="E12" s="25"/>
      <c r="H12" s="27"/>
    </row>
    <row r="13" spans="1:8" ht="18.75" x14ac:dyDescent="0.3">
      <c r="A13" s="5"/>
      <c r="C13" s="3"/>
      <c r="D13" s="28"/>
      <c r="E13" s="25"/>
      <c r="H13" s="28"/>
    </row>
    <row r="14" spans="1:8" ht="19.5" thickBot="1" x14ac:dyDescent="0.35">
      <c r="A14" s="5"/>
      <c r="C14" s="3"/>
      <c r="D14" s="22"/>
      <c r="E14" s="25"/>
      <c r="H14" s="22"/>
    </row>
    <row r="15" spans="1:8" ht="18.75" customHeight="1" x14ac:dyDescent="0.3">
      <c r="D15" s="4">
        <f>SUM(D7:D14)</f>
        <v>188802</v>
      </c>
      <c r="H15" s="4">
        <f>SUM(H7:H14)</f>
        <v>3002</v>
      </c>
    </row>
    <row r="16" spans="1:8" ht="18.75" x14ac:dyDescent="0.3">
      <c r="A16" s="5"/>
      <c r="C16" s="3"/>
      <c r="D16" s="4"/>
      <c r="H16" s="4"/>
    </row>
    <row r="18" spans="1:8" ht="18.75" x14ac:dyDescent="0.3">
      <c r="A18" s="5"/>
      <c r="C18" s="3"/>
      <c r="D18" s="4"/>
      <c r="H18" s="4"/>
    </row>
    <row r="19" spans="1:8" ht="15.75" thickBot="1" x14ac:dyDescent="0.3">
      <c r="D19" s="7"/>
      <c r="H19" s="7"/>
    </row>
    <row r="21" spans="1:8" ht="18.75" x14ac:dyDescent="0.3">
      <c r="C21" t="s">
        <v>4</v>
      </c>
      <c r="D21" s="4">
        <f>D3-D15</f>
        <v>227698</v>
      </c>
      <c r="G21" t="s">
        <v>5</v>
      </c>
      <c r="H21" s="4">
        <f>H3-H15</f>
        <v>30058</v>
      </c>
    </row>
    <row r="24" spans="1:8" ht="15.75" x14ac:dyDescent="0.25">
      <c r="A24" t="s">
        <v>6</v>
      </c>
      <c r="C24" s="8">
        <f>D21</f>
        <v>227698</v>
      </c>
      <c r="E24" t="s">
        <v>10</v>
      </c>
      <c r="H24" s="6">
        <f>C33</f>
        <v>195974</v>
      </c>
    </row>
    <row r="26" spans="1:8" ht="15.75" x14ac:dyDescent="0.25">
      <c r="A26" t="s">
        <v>5</v>
      </c>
      <c r="B26" s="9" t="s">
        <v>7</v>
      </c>
      <c r="C26" s="8">
        <f>H21</f>
        <v>30058</v>
      </c>
      <c r="E26" s="13" t="s">
        <v>11</v>
      </c>
      <c r="F26" s="9" t="s">
        <v>12</v>
      </c>
      <c r="G26" s="15" t="s">
        <v>17</v>
      </c>
      <c r="H26" s="3">
        <f>-(F27*0.007)</f>
        <v>-2684.08</v>
      </c>
    </row>
    <row r="27" spans="1:8" x14ac:dyDescent="0.25">
      <c r="F27" s="21">
        <f>D3-H3</f>
        <v>383440</v>
      </c>
    </row>
    <row r="28" spans="1:8" ht="15.75" x14ac:dyDescent="0.25">
      <c r="A28" t="s">
        <v>8</v>
      </c>
      <c r="B28" s="9" t="s">
        <v>7</v>
      </c>
      <c r="C28" s="8">
        <f>D3*0.004</f>
        <v>1666</v>
      </c>
      <c r="F28" s="9" t="s">
        <v>13</v>
      </c>
      <c r="G28" s="16">
        <v>0.35</v>
      </c>
      <c r="H28" s="29">
        <f>-(F29*0.35)</f>
        <v>-68590.899999999994</v>
      </c>
    </row>
    <row r="29" spans="1:8" ht="15.75" thickBot="1" x14ac:dyDescent="0.3">
      <c r="F29" s="21">
        <f>H24</f>
        <v>195974</v>
      </c>
      <c r="H29" s="7"/>
    </row>
    <row r="30" spans="1:8" ht="15.75" x14ac:dyDescent="0.25">
      <c r="A30" t="s">
        <v>9</v>
      </c>
      <c r="B30" s="9" t="s">
        <v>7</v>
      </c>
      <c r="C30" s="10"/>
      <c r="G30" s="13" t="s">
        <v>14</v>
      </c>
      <c r="H30" s="6">
        <f>H24+H26+H28</f>
        <v>124699.02000000002</v>
      </c>
    </row>
    <row r="31" spans="1:8" ht="15.75" thickBot="1" x14ac:dyDescent="0.3">
      <c r="A31" s="16"/>
      <c r="B31" s="14"/>
      <c r="C31" s="7"/>
    </row>
    <row r="32" spans="1:8" x14ac:dyDescent="0.25">
      <c r="E32" t="s">
        <v>151</v>
      </c>
      <c r="H32" s="20">
        <f>H30*0.5</f>
        <v>62349.510000000009</v>
      </c>
    </row>
    <row r="33" spans="1:8" ht="15.75" x14ac:dyDescent="0.25">
      <c r="A33" t="s">
        <v>10</v>
      </c>
      <c r="C33" s="10">
        <f>C24-C26-C28-C30</f>
        <v>195974</v>
      </c>
      <c r="H33" s="18"/>
    </row>
    <row r="34" spans="1:8" x14ac:dyDescent="0.25">
      <c r="H34" s="3"/>
    </row>
    <row r="35" spans="1:8" x14ac:dyDescent="0.25">
      <c r="H35" s="18"/>
    </row>
  </sheetData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657B6-0910-461E-8950-919891D2D64B}">
  <dimension ref="A1:H35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349</v>
      </c>
    </row>
    <row r="3" spans="1:8" ht="21" x14ac:dyDescent="0.35">
      <c r="A3" s="2" t="s">
        <v>1</v>
      </c>
      <c r="D3" s="11">
        <v>301665</v>
      </c>
      <c r="F3" s="12" t="s">
        <v>3</v>
      </c>
      <c r="H3" s="11">
        <v>48165</v>
      </c>
    </row>
    <row r="4" spans="1:8" x14ac:dyDescent="0.25">
      <c r="A4" s="13" t="s">
        <v>32</v>
      </c>
      <c r="C4" s="26">
        <v>457</v>
      </c>
    </row>
    <row r="5" spans="1:8" ht="21" x14ac:dyDescent="0.35">
      <c r="A5" s="2" t="s">
        <v>2</v>
      </c>
    </row>
    <row r="7" spans="1:8" ht="18.75" x14ac:dyDescent="0.3">
      <c r="A7" s="5" t="s">
        <v>350</v>
      </c>
      <c r="D7" s="4">
        <v>218258</v>
      </c>
      <c r="E7" s="25"/>
      <c r="H7" s="4">
        <v>36376</v>
      </c>
    </row>
    <row r="8" spans="1:8" ht="18.75" x14ac:dyDescent="0.3">
      <c r="A8" s="5"/>
      <c r="D8" s="4"/>
      <c r="E8" s="25"/>
      <c r="H8" s="4"/>
    </row>
    <row r="9" spans="1:8" ht="18.75" x14ac:dyDescent="0.3">
      <c r="A9" s="5"/>
      <c r="D9" s="4"/>
      <c r="E9" s="25"/>
      <c r="H9" s="4"/>
    </row>
    <row r="10" spans="1:8" ht="18.75" x14ac:dyDescent="0.3">
      <c r="A10" s="5"/>
      <c r="D10" s="4"/>
      <c r="E10" s="25"/>
      <c r="H10" s="4"/>
    </row>
    <row r="11" spans="1:8" ht="18.75" x14ac:dyDescent="0.3">
      <c r="A11" s="5"/>
      <c r="D11" s="4"/>
      <c r="E11" s="25"/>
      <c r="H11" s="4"/>
    </row>
    <row r="12" spans="1:8" ht="18.75" x14ac:dyDescent="0.3">
      <c r="A12" s="5"/>
      <c r="C12" s="3"/>
      <c r="D12" s="27"/>
      <c r="E12" s="25"/>
      <c r="H12" s="27"/>
    </row>
    <row r="13" spans="1:8" ht="18.75" x14ac:dyDescent="0.3">
      <c r="A13" s="5"/>
      <c r="C13" s="3"/>
      <c r="D13" s="28"/>
      <c r="E13" s="25"/>
      <c r="H13" s="28"/>
    </row>
    <row r="14" spans="1:8" ht="19.5" thickBot="1" x14ac:dyDescent="0.35">
      <c r="A14" s="5"/>
      <c r="C14" s="3"/>
      <c r="D14" s="22"/>
      <c r="E14" s="25"/>
      <c r="H14" s="22"/>
    </row>
    <row r="15" spans="1:8" ht="18.75" customHeight="1" x14ac:dyDescent="0.3">
      <c r="D15" s="4">
        <f>SUM(D7:D14)</f>
        <v>218258</v>
      </c>
      <c r="H15" s="4">
        <f>SUM(H7:H14)</f>
        <v>36376</v>
      </c>
    </row>
    <row r="16" spans="1:8" ht="18.75" x14ac:dyDescent="0.3">
      <c r="A16" s="5"/>
      <c r="C16" s="3"/>
      <c r="D16" s="4"/>
      <c r="H16" s="4"/>
    </row>
    <row r="18" spans="1:8" ht="18.75" x14ac:dyDescent="0.3">
      <c r="A18" s="5"/>
      <c r="C18" s="3"/>
      <c r="D18" s="4"/>
      <c r="H18" s="4"/>
    </row>
    <row r="19" spans="1:8" ht="15.75" thickBot="1" x14ac:dyDescent="0.3">
      <c r="D19" s="7"/>
      <c r="H19" s="7"/>
    </row>
    <row r="21" spans="1:8" ht="18.75" x14ac:dyDescent="0.3">
      <c r="C21" t="s">
        <v>4</v>
      </c>
      <c r="D21" s="4">
        <f>D3-D15</f>
        <v>83407</v>
      </c>
      <c r="G21" t="s">
        <v>5</v>
      </c>
      <c r="H21" s="4">
        <f>H3-H15</f>
        <v>11789</v>
      </c>
    </row>
    <row r="24" spans="1:8" ht="15.75" x14ac:dyDescent="0.25">
      <c r="A24" t="s">
        <v>6</v>
      </c>
      <c r="C24" s="8">
        <f>D21</f>
        <v>83407</v>
      </c>
      <c r="E24" t="s">
        <v>10</v>
      </c>
      <c r="H24" s="6">
        <f>C33</f>
        <v>70411.34</v>
      </c>
    </row>
    <row r="26" spans="1:8" ht="15.75" x14ac:dyDescent="0.25">
      <c r="A26" t="s">
        <v>5</v>
      </c>
      <c r="B26" s="9" t="s">
        <v>7</v>
      </c>
      <c r="C26" s="8">
        <f>H21</f>
        <v>11789</v>
      </c>
      <c r="E26" s="13" t="s">
        <v>11</v>
      </c>
      <c r="F26" s="9" t="s">
        <v>12</v>
      </c>
      <c r="G26" s="15" t="s">
        <v>17</v>
      </c>
      <c r="H26" s="3">
        <f>-(F27*0.007)</f>
        <v>-1774.5</v>
      </c>
    </row>
    <row r="27" spans="1:8" x14ac:dyDescent="0.25">
      <c r="F27" s="21">
        <f>D3-H3</f>
        <v>253500</v>
      </c>
    </row>
    <row r="28" spans="1:8" ht="15.75" x14ac:dyDescent="0.25">
      <c r="A28" t="s">
        <v>8</v>
      </c>
      <c r="B28" s="9" t="s">
        <v>7</v>
      </c>
      <c r="C28" s="8">
        <f>D3*0.004</f>
        <v>1206.6600000000001</v>
      </c>
      <c r="F28" s="9" t="s">
        <v>13</v>
      </c>
      <c r="G28" s="16">
        <v>0.35</v>
      </c>
      <c r="H28" s="29">
        <f>-(F29*0.35)</f>
        <v>-24643.968999999997</v>
      </c>
    </row>
    <row r="29" spans="1:8" ht="15.75" thickBot="1" x14ac:dyDescent="0.3">
      <c r="F29" s="21">
        <f>H24</f>
        <v>70411.34</v>
      </c>
      <c r="H29" s="7"/>
    </row>
    <row r="30" spans="1:8" ht="15.75" x14ac:dyDescent="0.25">
      <c r="A30" t="s">
        <v>9</v>
      </c>
      <c r="B30" s="9" t="s">
        <v>7</v>
      </c>
      <c r="C30" s="10"/>
      <c r="G30" s="13" t="s">
        <v>14</v>
      </c>
      <c r="H30" s="6">
        <f>H24+H26+H28</f>
        <v>43992.870999999999</v>
      </c>
    </row>
    <row r="31" spans="1:8" ht="15.75" thickBot="1" x14ac:dyDescent="0.3">
      <c r="A31" s="16"/>
      <c r="B31" s="14"/>
      <c r="C31" s="7"/>
    </row>
    <row r="32" spans="1:8" x14ac:dyDescent="0.25">
      <c r="E32" t="s">
        <v>151</v>
      </c>
      <c r="H32" s="20">
        <f>H30*0.5</f>
        <v>21996.4355</v>
      </c>
    </row>
    <row r="33" spans="1:8" ht="15.75" x14ac:dyDescent="0.25">
      <c r="A33" t="s">
        <v>10</v>
      </c>
      <c r="C33" s="10">
        <f>C24-C26-C28-C30</f>
        <v>70411.34</v>
      </c>
      <c r="H33" s="18"/>
    </row>
    <row r="34" spans="1:8" x14ac:dyDescent="0.25">
      <c r="H34" s="3"/>
    </row>
    <row r="35" spans="1:8" x14ac:dyDescent="0.25">
      <c r="H35" s="18"/>
    </row>
  </sheetData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C71D5-C461-436F-B1FF-FE2D03CF0D6A}">
  <dimension ref="A1:H35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351</v>
      </c>
    </row>
    <row r="3" spans="1:8" ht="21" x14ac:dyDescent="0.35">
      <c r="A3" s="2" t="s">
        <v>1</v>
      </c>
      <c r="D3" s="11">
        <v>59976</v>
      </c>
      <c r="F3" s="12" t="s">
        <v>3</v>
      </c>
      <c r="H3" s="11">
        <v>9576</v>
      </c>
    </row>
    <row r="4" spans="1:8" x14ac:dyDescent="0.25">
      <c r="A4" s="13" t="s">
        <v>32</v>
      </c>
      <c r="C4" s="26">
        <v>460</v>
      </c>
    </row>
    <row r="5" spans="1:8" ht="21" x14ac:dyDescent="0.35">
      <c r="A5" s="2" t="s">
        <v>2</v>
      </c>
    </row>
    <row r="7" spans="1:8" ht="18.75" x14ac:dyDescent="0.3">
      <c r="A7" s="5" t="s">
        <v>322</v>
      </c>
      <c r="D7" s="4">
        <v>35890</v>
      </c>
      <c r="E7" s="25"/>
      <c r="H7" s="4">
        <v>5731</v>
      </c>
    </row>
    <row r="8" spans="1:8" ht="18.75" x14ac:dyDescent="0.3">
      <c r="A8" s="5"/>
      <c r="D8" s="4"/>
      <c r="E8" s="25"/>
      <c r="H8" s="4"/>
    </row>
    <row r="9" spans="1:8" ht="18.75" x14ac:dyDescent="0.3">
      <c r="A9" s="5"/>
      <c r="D9" s="4"/>
      <c r="E9" s="25"/>
      <c r="H9" s="4"/>
    </row>
    <row r="10" spans="1:8" ht="18.75" x14ac:dyDescent="0.3">
      <c r="A10" s="5"/>
      <c r="D10" s="4"/>
      <c r="E10" s="25"/>
      <c r="H10" s="4"/>
    </row>
    <row r="11" spans="1:8" ht="18.75" x14ac:dyDescent="0.3">
      <c r="A11" s="5"/>
      <c r="D11" s="4"/>
      <c r="E11" s="25"/>
      <c r="H11" s="4"/>
    </row>
    <row r="12" spans="1:8" ht="18.75" x14ac:dyDescent="0.3">
      <c r="A12" s="5"/>
      <c r="C12" s="3"/>
      <c r="D12" s="27"/>
      <c r="E12" s="25"/>
      <c r="H12" s="27"/>
    </row>
    <row r="13" spans="1:8" ht="18.75" x14ac:dyDescent="0.3">
      <c r="A13" s="5"/>
      <c r="C13" s="3"/>
      <c r="D13" s="28"/>
      <c r="E13" s="25"/>
      <c r="H13" s="28"/>
    </row>
    <row r="14" spans="1:8" ht="19.5" thickBot="1" x14ac:dyDescent="0.35">
      <c r="A14" s="5"/>
      <c r="C14" s="3"/>
      <c r="D14" s="22"/>
      <c r="E14" s="25"/>
      <c r="H14" s="22"/>
    </row>
    <row r="15" spans="1:8" ht="18.75" customHeight="1" x14ac:dyDescent="0.3">
      <c r="D15" s="4">
        <f>SUM(D7:D14)</f>
        <v>35890</v>
      </c>
      <c r="H15" s="4">
        <f>SUM(H7:H14)</f>
        <v>5731</v>
      </c>
    </row>
    <row r="16" spans="1:8" ht="18.75" x14ac:dyDescent="0.3">
      <c r="A16" s="5"/>
      <c r="C16" s="3"/>
      <c r="D16" s="4"/>
      <c r="H16" s="4"/>
    </row>
    <row r="18" spans="1:8" ht="18.75" x14ac:dyDescent="0.3">
      <c r="A18" s="5"/>
      <c r="C18" s="3"/>
      <c r="D18" s="4"/>
      <c r="H18" s="4"/>
    </row>
    <row r="19" spans="1:8" ht="15.75" thickBot="1" x14ac:dyDescent="0.3">
      <c r="D19" s="7"/>
      <c r="H19" s="7"/>
    </row>
    <row r="21" spans="1:8" ht="18.75" x14ac:dyDescent="0.3">
      <c r="C21" t="s">
        <v>4</v>
      </c>
      <c r="D21" s="4">
        <f>D3-D15</f>
        <v>24086</v>
      </c>
      <c r="G21" t="s">
        <v>5</v>
      </c>
      <c r="H21" s="4">
        <f>H3-H15</f>
        <v>3845</v>
      </c>
    </row>
    <row r="24" spans="1:8" ht="15.75" x14ac:dyDescent="0.25">
      <c r="A24" t="s">
        <v>6</v>
      </c>
      <c r="C24" s="8">
        <f>D21</f>
        <v>24086</v>
      </c>
      <c r="E24" t="s">
        <v>10</v>
      </c>
      <c r="H24" s="6">
        <f>C33</f>
        <v>20001.096000000001</v>
      </c>
    </row>
    <row r="26" spans="1:8" ht="15.75" x14ac:dyDescent="0.25">
      <c r="A26" t="s">
        <v>5</v>
      </c>
      <c r="B26" s="9" t="s">
        <v>7</v>
      </c>
      <c r="C26" s="8">
        <f>H21</f>
        <v>3845</v>
      </c>
      <c r="E26" s="13" t="s">
        <v>11</v>
      </c>
      <c r="F26" s="9" t="s">
        <v>12</v>
      </c>
      <c r="G26" s="15" t="s">
        <v>17</v>
      </c>
      <c r="H26" s="3">
        <f>-(F27*0.007)</f>
        <v>-352.8</v>
      </c>
    </row>
    <row r="27" spans="1:8" x14ac:dyDescent="0.25">
      <c r="F27" s="21">
        <f>D3-H3</f>
        <v>50400</v>
      </c>
    </row>
    <row r="28" spans="1:8" ht="15.75" x14ac:dyDescent="0.25">
      <c r="A28" t="s">
        <v>8</v>
      </c>
      <c r="B28" s="9" t="s">
        <v>7</v>
      </c>
      <c r="C28" s="8">
        <f>D3*0.004</f>
        <v>239.904</v>
      </c>
      <c r="F28" s="9" t="s">
        <v>13</v>
      </c>
      <c r="G28" s="16">
        <v>0.35</v>
      </c>
      <c r="H28" s="29">
        <f>-(F29*0.35)</f>
        <v>-7000.3836000000001</v>
      </c>
    </row>
    <row r="29" spans="1:8" ht="15.75" thickBot="1" x14ac:dyDescent="0.3">
      <c r="F29" s="21">
        <f>H24</f>
        <v>20001.096000000001</v>
      </c>
      <c r="H29" s="7"/>
    </row>
    <row r="30" spans="1:8" ht="15.75" x14ac:dyDescent="0.25">
      <c r="A30" t="s">
        <v>9</v>
      </c>
      <c r="B30" s="9" t="s">
        <v>7</v>
      </c>
      <c r="C30" s="10"/>
      <c r="G30" s="13" t="s">
        <v>14</v>
      </c>
      <c r="H30" s="6">
        <f>H24+H26+H28</f>
        <v>12647.912400000001</v>
      </c>
    </row>
    <row r="31" spans="1:8" ht="15.75" thickBot="1" x14ac:dyDescent="0.3">
      <c r="A31" s="16"/>
      <c r="B31" s="14"/>
      <c r="C31" s="7"/>
    </row>
    <row r="32" spans="1:8" x14ac:dyDescent="0.25">
      <c r="E32" t="s">
        <v>151</v>
      </c>
      <c r="H32" s="20">
        <f>H30*0.5</f>
        <v>6323.9562000000005</v>
      </c>
    </row>
    <row r="33" spans="1:8" ht="15.75" x14ac:dyDescent="0.25">
      <c r="A33" t="s">
        <v>10</v>
      </c>
      <c r="C33" s="10">
        <f>C24-C26-C28-C30</f>
        <v>20001.096000000001</v>
      </c>
      <c r="H33" s="18"/>
    </row>
    <row r="34" spans="1:8" x14ac:dyDescent="0.25">
      <c r="H34" s="3"/>
    </row>
    <row r="35" spans="1:8" x14ac:dyDescent="0.25">
      <c r="H35" s="18"/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79219-AF0E-446A-8305-A410A968D126}">
  <dimension ref="A1:H35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352</v>
      </c>
    </row>
    <row r="3" spans="1:8" ht="21" x14ac:dyDescent="0.35">
      <c r="A3" s="2" t="s">
        <v>1</v>
      </c>
      <c r="D3" s="11">
        <v>592210</v>
      </c>
      <c r="F3" s="12" t="s">
        <v>3</v>
      </c>
      <c r="H3" s="11">
        <v>94555</v>
      </c>
    </row>
    <row r="4" spans="1:8" x14ac:dyDescent="0.25">
      <c r="A4" s="13" t="s">
        <v>32</v>
      </c>
      <c r="C4" s="26">
        <v>460</v>
      </c>
    </row>
    <row r="5" spans="1:8" ht="21" x14ac:dyDescent="0.35">
      <c r="A5" s="2" t="s">
        <v>2</v>
      </c>
    </row>
    <row r="7" spans="1:8" ht="18.75" x14ac:dyDescent="0.3">
      <c r="A7" s="5" t="s">
        <v>243</v>
      </c>
      <c r="D7" s="4">
        <v>299223</v>
      </c>
      <c r="E7" s="25"/>
      <c r="H7" s="4">
        <v>47775</v>
      </c>
    </row>
    <row r="8" spans="1:8" ht="18.75" x14ac:dyDescent="0.3">
      <c r="A8" s="5" t="s">
        <v>353</v>
      </c>
      <c r="D8" s="4">
        <v>72000</v>
      </c>
      <c r="E8" s="25"/>
      <c r="H8" s="4"/>
    </row>
    <row r="9" spans="1:8" ht="18.75" x14ac:dyDescent="0.3">
      <c r="A9" s="5"/>
      <c r="D9" s="4"/>
      <c r="E9" s="25"/>
      <c r="H9" s="4"/>
    </row>
    <row r="10" spans="1:8" ht="18.75" x14ac:dyDescent="0.3">
      <c r="A10" s="5"/>
      <c r="D10" s="4"/>
      <c r="E10" s="25"/>
      <c r="H10" s="4"/>
    </row>
    <row r="11" spans="1:8" ht="18.75" x14ac:dyDescent="0.3">
      <c r="A11" s="5"/>
      <c r="D11" s="4"/>
      <c r="E11" s="25"/>
      <c r="H11" s="4"/>
    </row>
    <row r="12" spans="1:8" ht="18.75" x14ac:dyDescent="0.3">
      <c r="A12" s="5"/>
      <c r="C12" s="3"/>
      <c r="D12" s="27"/>
      <c r="E12" s="25"/>
      <c r="H12" s="27"/>
    </row>
    <row r="13" spans="1:8" ht="18.75" x14ac:dyDescent="0.3">
      <c r="A13" s="5"/>
      <c r="C13" s="3"/>
      <c r="D13" s="28"/>
      <c r="E13" s="25"/>
      <c r="H13" s="28"/>
    </row>
    <row r="14" spans="1:8" ht="19.5" thickBot="1" x14ac:dyDescent="0.35">
      <c r="A14" s="5"/>
      <c r="C14" s="3"/>
      <c r="D14" s="22"/>
      <c r="E14" s="25"/>
      <c r="H14" s="22"/>
    </row>
    <row r="15" spans="1:8" ht="18.75" customHeight="1" x14ac:dyDescent="0.3">
      <c r="D15" s="4">
        <f>SUM(D7:D14)</f>
        <v>371223</v>
      </c>
      <c r="H15" s="4">
        <f>SUM(H7:H14)</f>
        <v>47775</v>
      </c>
    </row>
    <row r="16" spans="1:8" ht="18.75" x14ac:dyDescent="0.3">
      <c r="A16" s="5"/>
      <c r="C16" s="3"/>
      <c r="D16" s="4"/>
      <c r="H16" s="4"/>
    </row>
    <row r="18" spans="1:8" ht="18.75" x14ac:dyDescent="0.3">
      <c r="A18" s="5"/>
      <c r="C18" s="3"/>
      <c r="D18" s="4"/>
      <c r="H18" s="4"/>
    </row>
    <row r="19" spans="1:8" ht="15.75" thickBot="1" x14ac:dyDescent="0.3">
      <c r="D19" s="7"/>
      <c r="H19" s="7"/>
    </row>
    <row r="21" spans="1:8" ht="18.75" x14ac:dyDescent="0.3">
      <c r="C21" t="s">
        <v>4</v>
      </c>
      <c r="D21" s="4">
        <f>D3-D15</f>
        <v>220987</v>
      </c>
      <c r="G21" t="s">
        <v>5</v>
      </c>
      <c r="H21" s="4">
        <f>H3-H15</f>
        <v>46780</v>
      </c>
    </row>
    <row r="24" spans="1:8" ht="15.75" x14ac:dyDescent="0.25">
      <c r="A24" t="s">
        <v>6</v>
      </c>
      <c r="C24" s="8">
        <f>D21</f>
        <v>220987</v>
      </c>
      <c r="E24" t="s">
        <v>10</v>
      </c>
      <c r="H24" s="6">
        <f>C33</f>
        <v>171838.16</v>
      </c>
    </row>
    <row r="26" spans="1:8" ht="15.75" x14ac:dyDescent="0.25">
      <c r="A26" t="s">
        <v>5</v>
      </c>
      <c r="B26" s="9" t="s">
        <v>7</v>
      </c>
      <c r="C26" s="8">
        <f>H21</f>
        <v>46780</v>
      </c>
      <c r="E26" s="13" t="s">
        <v>11</v>
      </c>
      <c r="F26" s="9" t="s">
        <v>12</v>
      </c>
      <c r="G26" s="15" t="s">
        <v>17</v>
      </c>
      <c r="H26" s="3">
        <f>-(F27*0.007)</f>
        <v>-3483.585</v>
      </c>
    </row>
    <row r="27" spans="1:8" x14ac:dyDescent="0.25">
      <c r="F27" s="21">
        <f>D3-H3</f>
        <v>497655</v>
      </c>
    </row>
    <row r="28" spans="1:8" ht="15.75" x14ac:dyDescent="0.25">
      <c r="A28" t="s">
        <v>8</v>
      </c>
      <c r="B28" s="9" t="s">
        <v>7</v>
      </c>
      <c r="C28" s="8">
        <f>D3*0.004</f>
        <v>2368.84</v>
      </c>
      <c r="F28" s="9" t="s">
        <v>13</v>
      </c>
      <c r="G28" s="16">
        <v>0.35</v>
      </c>
      <c r="H28" s="29">
        <f>-(F29*0.35)</f>
        <v>-60143.356</v>
      </c>
    </row>
    <row r="29" spans="1:8" ht="15.75" thickBot="1" x14ac:dyDescent="0.3">
      <c r="F29" s="21">
        <f>H24</f>
        <v>171838.16</v>
      </c>
      <c r="H29" s="7"/>
    </row>
    <row r="30" spans="1:8" ht="15.75" x14ac:dyDescent="0.25">
      <c r="A30" t="s">
        <v>9</v>
      </c>
      <c r="B30" s="9" t="s">
        <v>7</v>
      </c>
      <c r="C30" s="10"/>
      <c r="G30" s="13" t="s">
        <v>14</v>
      </c>
      <c r="H30" s="6">
        <f>H24+H26+H28</f>
        <v>108211.21900000001</v>
      </c>
    </row>
    <row r="31" spans="1:8" ht="15.75" thickBot="1" x14ac:dyDescent="0.3">
      <c r="A31" s="16"/>
      <c r="B31" s="14"/>
      <c r="C31" s="7"/>
    </row>
    <row r="32" spans="1:8" x14ac:dyDescent="0.25">
      <c r="E32" t="s">
        <v>151</v>
      </c>
      <c r="H32" s="20">
        <f>H30*0.5</f>
        <v>54105.609500000006</v>
      </c>
    </row>
    <row r="33" spans="1:8" ht="15.75" x14ac:dyDescent="0.25">
      <c r="A33" t="s">
        <v>10</v>
      </c>
      <c r="C33" s="10">
        <f>C24-C26-C28-C30</f>
        <v>171838.16</v>
      </c>
      <c r="H33" s="18"/>
    </row>
    <row r="34" spans="1:8" x14ac:dyDescent="0.25">
      <c r="H34" s="3"/>
    </row>
    <row r="35" spans="1:8" x14ac:dyDescent="0.25">
      <c r="H35" s="18"/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06613-5365-493D-B356-E53C91A653BC}">
  <dimension ref="A1:H35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354</v>
      </c>
    </row>
    <row r="3" spans="1:8" ht="21" x14ac:dyDescent="0.35">
      <c r="A3" s="2" t="s">
        <v>1</v>
      </c>
      <c r="D3" s="11">
        <v>8330</v>
      </c>
      <c r="F3" s="12" t="s">
        <v>3</v>
      </c>
      <c r="H3" s="11">
        <v>1330</v>
      </c>
    </row>
    <row r="4" spans="1:8" x14ac:dyDescent="0.25">
      <c r="A4" s="13" t="s">
        <v>32</v>
      </c>
      <c r="C4" s="26">
        <v>463</v>
      </c>
    </row>
    <row r="5" spans="1:8" ht="21" x14ac:dyDescent="0.35">
      <c r="A5" s="2" t="s">
        <v>2</v>
      </c>
    </row>
    <row r="7" spans="1:8" ht="18.75" x14ac:dyDescent="0.3">
      <c r="A7" s="5" t="s">
        <v>355</v>
      </c>
      <c r="D7" s="4">
        <v>4522</v>
      </c>
      <c r="E7" s="25"/>
      <c r="H7" s="4">
        <v>722</v>
      </c>
    </row>
    <row r="8" spans="1:8" ht="18.75" x14ac:dyDescent="0.3">
      <c r="A8" s="5"/>
      <c r="D8" s="4"/>
      <c r="E8" s="25"/>
      <c r="H8" s="4"/>
    </row>
    <row r="9" spans="1:8" ht="18.75" x14ac:dyDescent="0.3">
      <c r="A9" s="5"/>
      <c r="D9" s="4"/>
      <c r="E9" s="25"/>
      <c r="H9" s="4"/>
    </row>
    <row r="10" spans="1:8" ht="18.75" x14ac:dyDescent="0.3">
      <c r="A10" s="5"/>
      <c r="D10" s="4"/>
      <c r="E10" s="25"/>
      <c r="H10" s="4"/>
    </row>
    <row r="11" spans="1:8" ht="18.75" x14ac:dyDescent="0.3">
      <c r="A11" s="5"/>
      <c r="D11" s="4"/>
      <c r="E11" s="25"/>
      <c r="H11" s="4"/>
    </row>
    <row r="12" spans="1:8" ht="18.75" x14ac:dyDescent="0.3">
      <c r="A12" s="5"/>
      <c r="C12" s="3"/>
      <c r="D12" s="27"/>
      <c r="E12" s="25"/>
      <c r="H12" s="27"/>
    </row>
    <row r="13" spans="1:8" ht="18.75" x14ac:dyDescent="0.3">
      <c r="A13" s="5"/>
      <c r="C13" s="3"/>
      <c r="D13" s="28"/>
      <c r="E13" s="25"/>
      <c r="H13" s="28"/>
    </row>
    <row r="14" spans="1:8" ht="19.5" thickBot="1" x14ac:dyDescent="0.35">
      <c r="A14" s="5"/>
      <c r="C14" s="3"/>
      <c r="D14" s="22"/>
      <c r="E14" s="25"/>
      <c r="H14" s="22"/>
    </row>
    <row r="15" spans="1:8" ht="18.75" customHeight="1" x14ac:dyDescent="0.3">
      <c r="D15" s="4">
        <f>SUM(D7:D14)</f>
        <v>4522</v>
      </c>
      <c r="H15" s="4">
        <f>SUM(H7:H14)</f>
        <v>722</v>
      </c>
    </row>
    <row r="16" spans="1:8" ht="18.75" x14ac:dyDescent="0.3">
      <c r="A16" s="5"/>
      <c r="C16" s="3"/>
      <c r="D16" s="4"/>
      <c r="H16" s="4"/>
    </row>
    <row r="18" spans="1:8" ht="18.75" x14ac:dyDescent="0.3">
      <c r="A18" s="5"/>
      <c r="C18" s="3"/>
      <c r="D18" s="4"/>
      <c r="H18" s="4"/>
    </row>
    <row r="19" spans="1:8" ht="15.75" thickBot="1" x14ac:dyDescent="0.3">
      <c r="D19" s="7"/>
      <c r="H19" s="7"/>
    </row>
    <row r="21" spans="1:8" ht="18.75" x14ac:dyDescent="0.3">
      <c r="C21" t="s">
        <v>4</v>
      </c>
      <c r="D21" s="4">
        <f>D3-D15</f>
        <v>3808</v>
      </c>
      <c r="G21" t="s">
        <v>5</v>
      </c>
      <c r="H21" s="4">
        <f>H3-H15</f>
        <v>608</v>
      </c>
    </row>
    <row r="24" spans="1:8" ht="15.75" x14ac:dyDescent="0.25">
      <c r="A24" t="s">
        <v>6</v>
      </c>
      <c r="C24" s="8">
        <f>D21</f>
        <v>3808</v>
      </c>
      <c r="E24" t="s">
        <v>10</v>
      </c>
      <c r="H24" s="6">
        <f>C33</f>
        <v>3166.68</v>
      </c>
    </row>
    <row r="26" spans="1:8" ht="15.75" x14ac:dyDescent="0.25">
      <c r="A26" t="s">
        <v>5</v>
      </c>
      <c r="B26" s="9" t="s">
        <v>7</v>
      </c>
      <c r="C26" s="8">
        <f>H21</f>
        <v>608</v>
      </c>
      <c r="E26" s="13" t="s">
        <v>11</v>
      </c>
      <c r="F26" s="9" t="s">
        <v>12</v>
      </c>
      <c r="G26" s="15" t="s">
        <v>17</v>
      </c>
      <c r="H26" s="3">
        <f>-(F27*0.007)</f>
        <v>-49</v>
      </c>
    </row>
    <row r="27" spans="1:8" x14ac:dyDescent="0.25">
      <c r="F27" s="21">
        <f>D3-H3</f>
        <v>7000</v>
      </c>
    </row>
    <row r="28" spans="1:8" ht="15.75" x14ac:dyDescent="0.25">
      <c r="A28" t="s">
        <v>8</v>
      </c>
      <c r="B28" s="9" t="s">
        <v>7</v>
      </c>
      <c r="C28" s="8">
        <f>D3*0.004</f>
        <v>33.32</v>
      </c>
      <c r="F28" s="9" t="s">
        <v>13</v>
      </c>
      <c r="G28" s="16">
        <v>0.35</v>
      </c>
      <c r="H28" s="29">
        <f>-(F29*0.35)</f>
        <v>-1108.338</v>
      </c>
    </row>
    <row r="29" spans="1:8" ht="15.75" thickBot="1" x14ac:dyDescent="0.3">
      <c r="F29" s="21">
        <f>H24</f>
        <v>3166.68</v>
      </c>
      <c r="H29" s="7"/>
    </row>
    <row r="30" spans="1:8" ht="15.75" x14ac:dyDescent="0.25">
      <c r="A30" t="s">
        <v>9</v>
      </c>
      <c r="B30" s="9" t="s">
        <v>7</v>
      </c>
      <c r="C30" s="10"/>
      <c r="G30" s="13" t="s">
        <v>14</v>
      </c>
      <c r="H30" s="6">
        <f>H24+H26+H28</f>
        <v>2009.3419999999999</v>
      </c>
    </row>
    <row r="31" spans="1:8" ht="15.75" thickBot="1" x14ac:dyDescent="0.3">
      <c r="A31" s="16"/>
      <c r="B31" s="14"/>
      <c r="C31" s="7"/>
    </row>
    <row r="32" spans="1:8" x14ac:dyDescent="0.25">
      <c r="E32" t="s">
        <v>151</v>
      </c>
      <c r="H32" s="20">
        <f>H30*0.5</f>
        <v>1004.6709999999999</v>
      </c>
    </row>
    <row r="33" spans="1:8" ht="15.75" x14ac:dyDescent="0.25">
      <c r="A33" t="s">
        <v>10</v>
      </c>
      <c r="C33" s="10">
        <f>C24-C26-C28-C30</f>
        <v>3166.68</v>
      </c>
      <c r="H33" s="18"/>
    </row>
    <row r="34" spans="1:8" x14ac:dyDescent="0.25">
      <c r="H34" s="3"/>
    </row>
    <row r="35" spans="1:8" x14ac:dyDescent="0.25">
      <c r="H35" s="18"/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8C68D-8410-42EF-8C57-7D7B671DD74E}">
  <dimension ref="A1:H35"/>
  <sheetViews>
    <sheetView workbookViewId="0">
      <selection activeCell="C4" sqref="C4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356</v>
      </c>
    </row>
    <row r="3" spans="1:8" ht="21" x14ac:dyDescent="0.35">
      <c r="A3" s="2" t="s">
        <v>1</v>
      </c>
      <c r="D3" s="11">
        <v>23800</v>
      </c>
      <c r="F3" s="12" t="s">
        <v>3</v>
      </c>
      <c r="H3" s="11">
        <v>3800</v>
      </c>
    </row>
    <row r="4" spans="1:8" x14ac:dyDescent="0.25">
      <c r="A4" s="13" t="s">
        <v>32</v>
      </c>
      <c r="C4" s="26">
        <v>465</v>
      </c>
    </row>
    <row r="5" spans="1:8" ht="21" x14ac:dyDescent="0.35">
      <c r="A5" s="2" t="s">
        <v>2</v>
      </c>
    </row>
    <row r="7" spans="1:8" ht="18.75" x14ac:dyDescent="0.3">
      <c r="A7" s="5" t="s">
        <v>243</v>
      </c>
      <c r="D7" s="4">
        <v>18455</v>
      </c>
      <c r="E7" s="25"/>
      <c r="H7" s="4">
        <v>2947</v>
      </c>
    </row>
    <row r="8" spans="1:8" ht="18.75" x14ac:dyDescent="0.3">
      <c r="A8" s="5"/>
      <c r="D8" s="4"/>
      <c r="E8" s="25"/>
      <c r="H8" s="4"/>
    </row>
    <row r="9" spans="1:8" ht="18.75" x14ac:dyDescent="0.3">
      <c r="A9" s="5"/>
      <c r="D9" s="4"/>
      <c r="E9" s="25"/>
      <c r="H9" s="4"/>
    </row>
    <row r="10" spans="1:8" ht="18.75" x14ac:dyDescent="0.3">
      <c r="A10" s="5"/>
      <c r="D10" s="4"/>
      <c r="E10" s="25"/>
      <c r="H10" s="4"/>
    </row>
    <row r="11" spans="1:8" ht="18.75" x14ac:dyDescent="0.3">
      <c r="A11" s="5"/>
      <c r="D11" s="4"/>
      <c r="E11" s="25"/>
      <c r="H11" s="4"/>
    </row>
    <row r="12" spans="1:8" ht="18.75" x14ac:dyDescent="0.3">
      <c r="A12" s="5"/>
      <c r="C12" s="3"/>
      <c r="D12" s="27"/>
      <c r="E12" s="25"/>
      <c r="H12" s="27"/>
    </row>
    <row r="13" spans="1:8" ht="18.75" x14ac:dyDescent="0.3">
      <c r="A13" s="5"/>
      <c r="C13" s="3"/>
      <c r="D13" s="28"/>
      <c r="E13" s="25"/>
      <c r="H13" s="28"/>
    </row>
    <row r="14" spans="1:8" ht="19.5" thickBot="1" x14ac:dyDescent="0.35">
      <c r="A14" s="5"/>
      <c r="C14" s="3"/>
      <c r="D14" s="22"/>
      <c r="E14" s="25"/>
      <c r="H14" s="22"/>
    </row>
    <row r="15" spans="1:8" ht="18.75" customHeight="1" x14ac:dyDescent="0.3">
      <c r="D15" s="4">
        <f>SUM(D7:D14)</f>
        <v>18455</v>
      </c>
      <c r="H15" s="4">
        <f>SUM(H7:H14)</f>
        <v>2947</v>
      </c>
    </row>
    <row r="16" spans="1:8" ht="18.75" x14ac:dyDescent="0.3">
      <c r="A16" s="5"/>
      <c r="C16" s="3"/>
      <c r="D16" s="4"/>
      <c r="H16" s="4"/>
    </row>
    <row r="18" spans="1:8" ht="18.75" x14ac:dyDescent="0.3">
      <c r="A18" s="5"/>
      <c r="C18" s="3"/>
      <c r="D18" s="4"/>
      <c r="H18" s="4"/>
    </row>
    <row r="19" spans="1:8" ht="15.75" thickBot="1" x14ac:dyDescent="0.3">
      <c r="D19" s="7"/>
      <c r="H19" s="7"/>
    </row>
    <row r="21" spans="1:8" ht="18.75" x14ac:dyDescent="0.3">
      <c r="C21" t="s">
        <v>4</v>
      </c>
      <c r="D21" s="4">
        <f>D3-D15</f>
        <v>5345</v>
      </c>
      <c r="G21" t="s">
        <v>5</v>
      </c>
      <c r="H21" s="4">
        <f>H3-H15</f>
        <v>853</v>
      </c>
    </row>
    <row r="24" spans="1:8" ht="15.75" x14ac:dyDescent="0.25">
      <c r="A24" t="s">
        <v>6</v>
      </c>
      <c r="C24" s="8">
        <f>D21</f>
        <v>5345</v>
      </c>
      <c r="E24" t="s">
        <v>10</v>
      </c>
      <c r="H24" s="6">
        <f>C33</f>
        <v>4396.8</v>
      </c>
    </row>
    <row r="26" spans="1:8" ht="15.75" x14ac:dyDescent="0.25">
      <c r="A26" t="s">
        <v>5</v>
      </c>
      <c r="B26" s="9" t="s">
        <v>7</v>
      </c>
      <c r="C26" s="8">
        <f>H21</f>
        <v>853</v>
      </c>
      <c r="E26" s="13" t="s">
        <v>11</v>
      </c>
      <c r="F26" s="9" t="s">
        <v>12</v>
      </c>
      <c r="G26" s="15" t="s">
        <v>17</v>
      </c>
      <c r="H26" s="3">
        <f>-(F27*0.007)</f>
        <v>-140</v>
      </c>
    </row>
    <row r="27" spans="1:8" x14ac:dyDescent="0.25">
      <c r="F27" s="21">
        <f>D3-H3</f>
        <v>20000</v>
      </c>
    </row>
    <row r="28" spans="1:8" ht="15.75" x14ac:dyDescent="0.25">
      <c r="A28" t="s">
        <v>8</v>
      </c>
      <c r="B28" s="9" t="s">
        <v>7</v>
      </c>
      <c r="C28" s="8">
        <f>D3*0.004</f>
        <v>95.2</v>
      </c>
      <c r="F28" s="9" t="s">
        <v>13</v>
      </c>
      <c r="G28" s="16">
        <v>0.35</v>
      </c>
      <c r="H28" s="29">
        <f>-(F29*0.35)</f>
        <v>-1538.8799999999999</v>
      </c>
    </row>
    <row r="29" spans="1:8" ht="15.75" thickBot="1" x14ac:dyDescent="0.3">
      <c r="F29" s="21">
        <f>H24</f>
        <v>4396.8</v>
      </c>
      <c r="H29" s="7"/>
    </row>
    <row r="30" spans="1:8" ht="15.75" x14ac:dyDescent="0.25">
      <c r="A30" t="s">
        <v>9</v>
      </c>
      <c r="B30" s="9" t="s">
        <v>7</v>
      </c>
      <c r="C30" s="10"/>
      <c r="G30" s="13" t="s">
        <v>14</v>
      </c>
      <c r="H30" s="6">
        <f>H24+H26+H28</f>
        <v>2717.92</v>
      </c>
    </row>
    <row r="31" spans="1:8" ht="15.75" thickBot="1" x14ac:dyDescent="0.3">
      <c r="A31" s="16"/>
      <c r="B31" s="14"/>
      <c r="C31" s="7"/>
    </row>
    <row r="32" spans="1:8" x14ac:dyDescent="0.25">
      <c r="E32" t="s">
        <v>151</v>
      </c>
      <c r="H32" s="20">
        <f>H30*0.5</f>
        <v>1358.96</v>
      </c>
    </row>
    <row r="33" spans="1:8" ht="15.75" x14ac:dyDescent="0.25">
      <c r="A33" t="s">
        <v>10</v>
      </c>
      <c r="C33" s="10">
        <f>C24-C26-C28-C30</f>
        <v>4396.8</v>
      </c>
      <c r="H33" s="18"/>
    </row>
    <row r="34" spans="1:8" x14ac:dyDescent="0.25">
      <c r="H34" s="3"/>
    </row>
    <row r="35" spans="1:8" x14ac:dyDescent="0.25">
      <c r="H35" s="18"/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1DF4F-323A-403C-B9D3-1297B781CE20}">
  <dimension ref="A1:H35"/>
  <sheetViews>
    <sheetView workbookViewId="0">
      <selection activeCell="A2"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357</v>
      </c>
    </row>
    <row r="3" spans="1:8" ht="21" x14ac:dyDescent="0.35">
      <c r="A3" s="2" t="s">
        <v>1</v>
      </c>
      <c r="D3" s="11">
        <v>34510</v>
      </c>
      <c r="F3" s="12" t="s">
        <v>3</v>
      </c>
      <c r="H3" s="11">
        <v>5510</v>
      </c>
    </row>
    <row r="4" spans="1:8" x14ac:dyDescent="0.25">
      <c r="A4" s="13" t="s">
        <v>32</v>
      </c>
      <c r="C4" s="26">
        <v>466</v>
      </c>
    </row>
    <row r="5" spans="1:8" ht="21" x14ac:dyDescent="0.35">
      <c r="A5" s="2" t="s">
        <v>2</v>
      </c>
    </row>
    <row r="7" spans="1:8" ht="18.75" x14ac:dyDescent="0.3">
      <c r="A7" s="5" t="s">
        <v>221</v>
      </c>
      <c r="D7" s="4">
        <v>17629</v>
      </c>
      <c r="E7" s="25"/>
      <c r="H7" s="4">
        <v>2815</v>
      </c>
    </row>
    <row r="8" spans="1:8" ht="18.75" x14ac:dyDescent="0.3">
      <c r="A8" s="5"/>
      <c r="D8" s="4"/>
      <c r="E8" s="25"/>
      <c r="H8" s="4"/>
    </row>
    <row r="9" spans="1:8" ht="18.75" x14ac:dyDescent="0.3">
      <c r="A9" s="5"/>
      <c r="D9" s="4"/>
      <c r="E9" s="25"/>
      <c r="H9" s="4"/>
    </row>
    <row r="10" spans="1:8" ht="18.75" x14ac:dyDescent="0.3">
      <c r="A10" s="5"/>
      <c r="D10" s="4"/>
      <c r="E10" s="25"/>
      <c r="H10" s="4"/>
    </row>
    <row r="11" spans="1:8" ht="18.75" x14ac:dyDescent="0.3">
      <c r="A11" s="5"/>
      <c r="D11" s="4"/>
      <c r="E11" s="25"/>
      <c r="H11" s="4"/>
    </row>
    <row r="12" spans="1:8" ht="18.75" x14ac:dyDescent="0.3">
      <c r="A12" s="5"/>
      <c r="C12" s="3"/>
      <c r="D12" s="27"/>
      <c r="E12" s="25"/>
      <c r="H12" s="27"/>
    </row>
    <row r="13" spans="1:8" ht="18.75" x14ac:dyDescent="0.3">
      <c r="A13" s="5"/>
      <c r="C13" s="3"/>
      <c r="D13" s="28"/>
      <c r="E13" s="25"/>
      <c r="H13" s="28"/>
    </row>
    <row r="14" spans="1:8" ht="19.5" thickBot="1" x14ac:dyDescent="0.35">
      <c r="A14" s="5"/>
      <c r="C14" s="3"/>
      <c r="D14" s="22"/>
      <c r="E14" s="25"/>
      <c r="H14" s="22"/>
    </row>
    <row r="15" spans="1:8" ht="18.75" customHeight="1" x14ac:dyDescent="0.3">
      <c r="D15" s="4">
        <f>SUM(D7:D14)</f>
        <v>17629</v>
      </c>
      <c r="H15" s="4">
        <f>SUM(H7:H14)</f>
        <v>2815</v>
      </c>
    </row>
    <row r="16" spans="1:8" ht="18.75" x14ac:dyDescent="0.3">
      <c r="A16" s="5"/>
      <c r="C16" s="3"/>
      <c r="D16" s="4"/>
      <c r="H16" s="4"/>
    </row>
    <row r="18" spans="1:8" ht="18.75" x14ac:dyDescent="0.3">
      <c r="A18" s="5"/>
      <c r="C18" s="3"/>
      <c r="D18" s="4"/>
      <c r="H18" s="4"/>
    </row>
    <row r="19" spans="1:8" ht="15.75" thickBot="1" x14ac:dyDescent="0.3">
      <c r="D19" s="7"/>
      <c r="H19" s="7"/>
    </row>
    <row r="21" spans="1:8" ht="18.75" x14ac:dyDescent="0.3">
      <c r="C21" t="s">
        <v>4</v>
      </c>
      <c r="D21" s="4">
        <f>D3-D15</f>
        <v>16881</v>
      </c>
      <c r="G21" t="s">
        <v>5</v>
      </c>
      <c r="H21" s="4">
        <f>H3-H15</f>
        <v>2695</v>
      </c>
    </row>
    <row r="24" spans="1:8" ht="15.75" x14ac:dyDescent="0.25">
      <c r="A24" t="s">
        <v>6</v>
      </c>
      <c r="C24" s="8">
        <f>D21</f>
        <v>16881</v>
      </c>
      <c r="E24" t="s">
        <v>10</v>
      </c>
      <c r="H24" s="6">
        <f>C33</f>
        <v>14047.96</v>
      </c>
    </row>
    <row r="26" spans="1:8" ht="15.75" x14ac:dyDescent="0.25">
      <c r="A26" t="s">
        <v>5</v>
      </c>
      <c r="B26" s="9" t="s">
        <v>7</v>
      </c>
      <c r="C26" s="8">
        <f>H21</f>
        <v>2695</v>
      </c>
      <c r="E26" s="13" t="s">
        <v>11</v>
      </c>
      <c r="F26" s="9" t="s">
        <v>12</v>
      </c>
      <c r="G26" s="15" t="s">
        <v>17</v>
      </c>
      <c r="H26" s="3">
        <f>-(F27*0.007)</f>
        <v>-203</v>
      </c>
    </row>
    <row r="27" spans="1:8" x14ac:dyDescent="0.25">
      <c r="F27" s="21">
        <f>D3-H3</f>
        <v>29000</v>
      </c>
    </row>
    <row r="28" spans="1:8" ht="15.75" x14ac:dyDescent="0.25">
      <c r="A28" t="s">
        <v>8</v>
      </c>
      <c r="B28" s="9" t="s">
        <v>7</v>
      </c>
      <c r="C28" s="8">
        <f>D3*0.004</f>
        <v>138.04</v>
      </c>
      <c r="F28" s="9" t="s">
        <v>13</v>
      </c>
      <c r="G28" s="16">
        <v>0.35</v>
      </c>
      <c r="H28" s="29">
        <f>-(F29*0.35)</f>
        <v>-4916.7859999999991</v>
      </c>
    </row>
    <row r="29" spans="1:8" ht="15.75" thickBot="1" x14ac:dyDescent="0.3">
      <c r="F29" s="21">
        <f>H24</f>
        <v>14047.96</v>
      </c>
      <c r="H29" s="7"/>
    </row>
    <row r="30" spans="1:8" ht="15.75" x14ac:dyDescent="0.25">
      <c r="A30" t="s">
        <v>9</v>
      </c>
      <c r="B30" s="9" t="s">
        <v>7</v>
      </c>
      <c r="C30" s="10"/>
      <c r="G30" s="13" t="s">
        <v>14</v>
      </c>
      <c r="H30" s="6">
        <f>H24+H26+H28</f>
        <v>8928.1739999999991</v>
      </c>
    </row>
    <row r="31" spans="1:8" ht="15.75" thickBot="1" x14ac:dyDescent="0.3">
      <c r="A31" s="16"/>
      <c r="B31" s="14"/>
      <c r="C31" s="7"/>
    </row>
    <row r="32" spans="1:8" x14ac:dyDescent="0.25">
      <c r="E32" t="s">
        <v>151</v>
      </c>
      <c r="H32" s="20">
        <f>H30*0.5</f>
        <v>4464.0869999999995</v>
      </c>
    </row>
    <row r="33" spans="1:8" ht="15.75" x14ac:dyDescent="0.25">
      <c r="A33" t="s">
        <v>10</v>
      </c>
      <c r="C33" s="10">
        <f>C24-C26-C28-C30</f>
        <v>14047.96</v>
      </c>
      <c r="H33" s="18"/>
    </row>
    <row r="34" spans="1:8" x14ac:dyDescent="0.25">
      <c r="H34" s="3"/>
    </row>
    <row r="35" spans="1:8" x14ac:dyDescent="0.25">
      <c r="H35" s="18"/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2248B-7B7E-4946-BCB1-60D4B3EFFE22}">
  <dimension ref="A1:H35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359</v>
      </c>
    </row>
    <row r="3" spans="1:8" ht="21" x14ac:dyDescent="0.35">
      <c r="A3" s="2" t="s">
        <v>1</v>
      </c>
      <c r="D3" s="11">
        <v>19040</v>
      </c>
      <c r="F3" s="12" t="s">
        <v>3</v>
      </c>
      <c r="H3" s="11">
        <v>3040</v>
      </c>
    </row>
    <row r="4" spans="1:8" x14ac:dyDescent="0.25">
      <c r="A4" s="13" t="s">
        <v>32</v>
      </c>
      <c r="C4" s="26">
        <v>467</v>
      </c>
    </row>
    <row r="5" spans="1:8" ht="21" x14ac:dyDescent="0.35">
      <c r="A5" s="2" t="s">
        <v>2</v>
      </c>
    </row>
    <row r="7" spans="1:8" ht="18.75" x14ac:dyDescent="0.3">
      <c r="A7" s="5" t="s">
        <v>358</v>
      </c>
      <c r="D7" s="4">
        <v>9510</v>
      </c>
      <c r="E7" s="25"/>
      <c r="H7" s="4"/>
    </row>
    <row r="8" spans="1:8" ht="18.75" x14ac:dyDescent="0.3">
      <c r="A8" s="5"/>
      <c r="D8" s="4"/>
      <c r="E8" s="25"/>
      <c r="H8" s="4"/>
    </row>
    <row r="9" spans="1:8" ht="18.75" x14ac:dyDescent="0.3">
      <c r="A9" s="5"/>
      <c r="D9" s="4"/>
      <c r="E9" s="25"/>
      <c r="H9" s="4"/>
    </row>
    <row r="10" spans="1:8" ht="18.75" x14ac:dyDescent="0.3">
      <c r="A10" s="5"/>
      <c r="D10" s="4"/>
      <c r="E10" s="25"/>
      <c r="H10" s="4"/>
    </row>
    <row r="11" spans="1:8" ht="18.75" x14ac:dyDescent="0.3">
      <c r="A11" s="5"/>
      <c r="D11" s="4"/>
      <c r="E11" s="25"/>
      <c r="H11" s="4"/>
    </row>
    <row r="12" spans="1:8" ht="18.75" x14ac:dyDescent="0.3">
      <c r="A12" s="5"/>
      <c r="C12" s="3"/>
      <c r="D12" s="27"/>
      <c r="E12" s="25"/>
      <c r="H12" s="27"/>
    </row>
    <row r="13" spans="1:8" ht="18.75" x14ac:dyDescent="0.3">
      <c r="A13" s="5"/>
      <c r="C13" s="3"/>
      <c r="D13" s="28"/>
      <c r="E13" s="25"/>
      <c r="H13" s="28"/>
    </row>
    <row r="14" spans="1:8" ht="19.5" thickBot="1" x14ac:dyDescent="0.35">
      <c r="A14" s="5"/>
      <c r="C14" s="3"/>
      <c r="D14" s="22"/>
      <c r="E14" s="25"/>
      <c r="H14" s="22"/>
    </row>
    <row r="15" spans="1:8" ht="18.75" customHeight="1" x14ac:dyDescent="0.3">
      <c r="D15" s="4">
        <f>SUM(D7:D14)</f>
        <v>9510</v>
      </c>
      <c r="H15" s="4">
        <f>SUM(H7:H14)</f>
        <v>0</v>
      </c>
    </row>
    <row r="16" spans="1:8" ht="18.75" x14ac:dyDescent="0.3">
      <c r="A16" s="5"/>
      <c r="C16" s="3"/>
      <c r="D16" s="4"/>
      <c r="H16" s="4"/>
    </row>
    <row r="18" spans="1:8" ht="18.75" x14ac:dyDescent="0.3">
      <c r="A18" s="5"/>
      <c r="C18" s="3"/>
      <c r="D18" s="4"/>
      <c r="H18" s="4"/>
    </row>
    <row r="19" spans="1:8" ht="15.75" thickBot="1" x14ac:dyDescent="0.3">
      <c r="D19" s="7"/>
      <c r="H19" s="7"/>
    </row>
    <row r="21" spans="1:8" ht="18.75" x14ac:dyDescent="0.3">
      <c r="C21" t="s">
        <v>4</v>
      </c>
      <c r="D21" s="4">
        <f>D3-D15</f>
        <v>9530</v>
      </c>
      <c r="G21" t="s">
        <v>5</v>
      </c>
      <c r="H21" s="4">
        <f>H3-H15</f>
        <v>3040</v>
      </c>
    </row>
    <row r="24" spans="1:8" ht="15.75" x14ac:dyDescent="0.25">
      <c r="A24" t="s">
        <v>6</v>
      </c>
      <c r="C24" s="8">
        <f>D21</f>
        <v>9530</v>
      </c>
      <c r="E24" t="s">
        <v>10</v>
      </c>
      <c r="H24" s="6">
        <f>C33</f>
        <v>6413.84</v>
      </c>
    </row>
    <row r="26" spans="1:8" ht="15.75" x14ac:dyDescent="0.25">
      <c r="A26" t="s">
        <v>5</v>
      </c>
      <c r="B26" s="9" t="s">
        <v>7</v>
      </c>
      <c r="C26" s="8">
        <f>H21</f>
        <v>3040</v>
      </c>
      <c r="E26" s="13" t="s">
        <v>11</v>
      </c>
      <c r="F26" s="9" t="s">
        <v>12</v>
      </c>
      <c r="G26" s="15" t="s">
        <v>17</v>
      </c>
      <c r="H26" s="3">
        <f>-(F27*0.007)</f>
        <v>-112</v>
      </c>
    </row>
    <row r="27" spans="1:8" x14ac:dyDescent="0.25">
      <c r="F27" s="21">
        <f>D3-H3</f>
        <v>16000</v>
      </c>
    </row>
    <row r="28" spans="1:8" ht="15.75" x14ac:dyDescent="0.25">
      <c r="A28" t="s">
        <v>8</v>
      </c>
      <c r="B28" s="9" t="s">
        <v>7</v>
      </c>
      <c r="C28" s="8">
        <f>D3*0.004</f>
        <v>76.16</v>
      </c>
      <c r="F28" s="9" t="s">
        <v>13</v>
      </c>
      <c r="G28" s="16">
        <v>0.35</v>
      </c>
      <c r="H28" s="29">
        <f>-(F29*0.35)</f>
        <v>-2244.8440000000001</v>
      </c>
    </row>
    <row r="29" spans="1:8" ht="15.75" thickBot="1" x14ac:dyDescent="0.3">
      <c r="F29" s="21">
        <f>H24</f>
        <v>6413.84</v>
      </c>
      <c r="H29" s="7"/>
    </row>
    <row r="30" spans="1:8" ht="15.75" x14ac:dyDescent="0.25">
      <c r="A30" t="s">
        <v>9</v>
      </c>
      <c r="B30" s="9" t="s">
        <v>7</v>
      </c>
      <c r="C30" s="10"/>
      <c r="G30" s="13" t="s">
        <v>14</v>
      </c>
      <c r="H30" s="6">
        <f>H24+H26+H28</f>
        <v>4056.9960000000001</v>
      </c>
    </row>
    <row r="31" spans="1:8" ht="15.75" thickBot="1" x14ac:dyDescent="0.3">
      <c r="A31" s="16"/>
      <c r="B31" s="14"/>
      <c r="C31" s="7"/>
    </row>
    <row r="32" spans="1:8" x14ac:dyDescent="0.25">
      <c r="E32" t="s">
        <v>151</v>
      </c>
      <c r="H32" s="20">
        <f>H30*0.5</f>
        <v>2028.498</v>
      </c>
    </row>
    <row r="33" spans="1:8" ht="15.75" x14ac:dyDescent="0.25">
      <c r="A33" t="s">
        <v>10</v>
      </c>
      <c r="C33" s="10">
        <f>C24-C26-C28-C30</f>
        <v>6413.84</v>
      </c>
      <c r="H33" s="18"/>
    </row>
    <row r="34" spans="1:8" x14ac:dyDescent="0.25">
      <c r="H34" s="3"/>
    </row>
    <row r="35" spans="1:8" x14ac:dyDescent="0.25">
      <c r="H35" s="18"/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C1C08-0531-49F5-8F38-5D36A1AB80E2}">
  <dimension ref="A1:H35"/>
  <sheetViews>
    <sheetView workbookViewId="0">
      <selection activeCell="C4" sqref="C4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362</v>
      </c>
    </row>
    <row r="3" spans="1:8" ht="21" x14ac:dyDescent="0.35">
      <c r="A3" s="2" t="s">
        <v>1</v>
      </c>
      <c r="D3" s="11">
        <v>11232648</v>
      </c>
      <c r="F3" s="12" t="s">
        <v>3</v>
      </c>
      <c r="H3" s="11">
        <v>1793448</v>
      </c>
    </row>
    <row r="4" spans="1:8" x14ac:dyDescent="0.25">
      <c r="A4" s="13" t="s">
        <v>32</v>
      </c>
      <c r="C4" s="26">
        <v>468</v>
      </c>
    </row>
    <row r="5" spans="1:8" ht="21" x14ac:dyDescent="0.35">
      <c r="A5" s="2" t="s">
        <v>2</v>
      </c>
    </row>
    <row r="7" spans="1:8" ht="18.75" x14ac:dyDescent="0.3">
      <c r="A7" s="5" t="s">
        <v>363</v>
      </c>
      <c r="D7" s="4">
        <v>9067655</v>
      </c>
      <c r="E7" s="25"/>
      <c r="H7" s="4">
        <v>1447777</v>
      </c>
    </row>
    <row r="8" spans="1:8" ht="18.75" x14ac:dyDescent="0.3">
      <c r="A8" s="5"/>
      <c r="D8" s="4"/>
      <c r="E8" s="25"/>
      <c r="H8" s="4"/>
    </row>
    <row r="9" spans="1:8" ht="18.75" x14ac:dyDescent="0.3">
      <c r="A9" s="5"/>
      <c r="D9" s="4"/>
      <c r="E9" s="25"/>
      <c r="H9" s="4"/>
    </row>
    <row r="10" spans="1:8" ht="18.75" x14ac:dyDescent="0.3">
      <c r="A10" s="5"/>
      <c r="D10" s="4"/>
      <c r="E10" s="25"/>
      <c r="H10" s="4"/>
    </row>
    <row r="11" spans="1:8" ht="18.75" x14ac:dyDescent="0.3">
      <c r="A11" s="5"/>
      <c r="D11" s="4"/>
      <c r="E11" s="25"/>
      <c r="H11" s="4"/>
    </row>
    <row r="12" spans="1:8" ht="18.75" x14ac:dyDescent="0.3">
      <c r="A12" s="5"/>
      <c r="C12" s="3"/>
      <c r="D12" s="27"/>
      <c r="E12" s="25"/>
      <c r="H12" s="27"/>
    </row>
    <row r="13" spans="1:8" ht="18.75" x14ac:dyDescent="0.3">
      <c r="A13" s="5"/>
      <c r="C13" s="3"/>
      <c r="D13" s="28"/>
      <c r="E13" s="25"/>
      <c r="H13" s="28"/>
    </row>
    <row r="14" spans="1:8" ht="19.5" thickBot="1" x14ac:dyDescent="0.35">
      <c r="A14" s="5"/>
      <c r="C14" s="3"/>
      <c r="D14" s="22"/>
      <c r="E14" s="25"/>
      <c r="H14" s="22"/>
    </row>
    <row r="15" spans="1:8" ht="18.75" customHeight="1" x14ac:dyDescent="0.3">
      <c r="D15" s="4">
        <f>SUM(D7:D14)</f>
        <v>9067655</v>
      </c>
      <c r="H15" s="4">
        <f>SUM(H7:H14)</f>
        <v>1447777</v>
      </c>
    </row>
    <row r="16" spans="1:8" ht="18.75" x14ac:dyDescent="0.3">
      <c r="A16" s="5"/>
      <c r="C16" s="3"/>
      <c r="D16" s="4"/>
      <c r="H16" s="4"/>
    </row>
    <row r="18" spans="1:8" ht="18.75" x14ac:dyDescent="0.3">
      <c r="A18" s="5"/>
      <c r="C18" s="3"/>
      <c r="D18" s="4"/>
      <c r="H18" s="4"/>
    </row>
    <row r="19" spans="1:8" ht="15.75" thickBot="1" x14ac:dyDescent="0.3">
      <c r="D19" s="7"/>
      <c r="H19" s="7"/>
    </row>
    <row r="21" spans="1:8" ht="18.75" x14ac:dyDescent="0.3">
      <c r="C21" t="s">
        <v>4</v>
      </c>
      <c r="D21" s="4">
        <f>D3-D15</f>
        <v>2164993</v>
      </c>
      <c r="G21" t="s">
        <v>5</v>
      </c>
      <c r="H21" s="4">
        <f>H3-H15</f>
        <v>345671</v>
      </c>
    </row>
    <row r="24" spans="1:8" ht="15.75" x14ac:dyDescent="0.25">
      <c r="A24" t="s">
        <v>6</v>
      </c>
      <c r="C24" s="8">
        <f>D21</f>
        <v>2164993</v>
      </c>
      <c r="E24" t="s">
        <v>10</v>
      </c>
      <c r="H24" s="6">
        <f>C33</f>
        <v>1774391.4080000001</v>
      </c>
    </row>
    <row r="26" spans="1:8" ht="15.75" x14ac:dyDescent="0.25">
      <c r="A26" t="s">
        <v>5</v>
      </c>
      <c r="B26" s="9" t="s">
        <v>7</v>
      </c>
      <c r="C26" s="8">
        <f>H21</f>
        <v>345671</v>
      </c>
      <c r="E26" s="13" t="s">
        <v>11</v>
      </c>
      <c r="F26" s="9" t="s">
        <v>12</v>
      </c>
      <c r="G26" s="15" t="s">
        <v>17</v>
      </c>
      <c r="H26" s="3">
        <f>-(F27*0.007)</f>
        <v>-66074.399999999994</v>
      </c>
    </row>
    <row r="27" spans="1:8" x14ac:dyDescent="0.25">
      <c r="F27" s="21">
        <f>D3-H3</f>
        <v>9439200</v>
      </c>
    </row>
    <row r="28" spans="1:8" ht="15.75" x14ac:dyDescent="0.25">
      <c r="A28" t="s">
        <v>8</v>
      </c>
      <c r="B28" s="9" t="s">
        <v>7</v>
      </c>
      <c r="C28" s="8">
        <f>D3*0.004</f>
        <v>44930.592000000004</v>
      </c>
      <c r="F28" s="9" t="s">
        <v>13</v>
      </c>
      <c r="G28" s="16">
        <v>0.35</v>
      </c>
      <c r="H28" s="29">
        <f>-(F29*0.35)</f>
        <v>-621036.99280000001</v>
      </c>
    </row>
    <row r="29" spans="1:8" ht="15.75" thickBot="1" x14ac:dyDescent="0.3">
      <c r="F29" s="21">
        <f>H24</f>
        <v>1774391.4080000001</v>
      </c>
      <c r="H29" s="7"/>
    </row>
    <row r="30" spans="1:8" ht="15.75" x14ac:dyDescent="0.25">
      <c r="A30" t="s">
        <v>9</v>
      </c>
      <c r="B30" s="9" t="s">
        <v>7</v>
      </c>
      <c r="C30" s="10"/>
      <c r="G30" s="13" t="s">
        <v>14</v>
      </c>
      <c r="H30" s="6">
        <f>H24+H26+H28</f>
        <v>1087280.0152000003</v>
      </c>
    </row>
    <row r="31" spans="1:8" ht="15.75" thickBot="1" x14ac:dyDescent="0.3">
      <c r="A31" s="16"/>
      <c r="B31" s="14"/>
      <c r="C31" s="7"/>
    </row>
    <row r="32" spans="1:8" x14ac:dyDescent="0.25">
      <c r="E32" t="s">
        <v>151</v>
      </c>
      <c r="H32" s="20">
        <f>H30*0.5</f>
        <v>543640.00760000013</v>
      </c>
    </row>
    <row r="33" spans="1:8" ht="15.75" x14ac:dyDescent="0.25">
      <c r="A33" t="s">
        <v>10</v>
      </c>
      <c r="C33" s="10">
        <f>C24-C26-C28-C30</f>
        <v>1774391.4080000001</v>
      </c>
      <c r="H33" s="18"/>
    </row>
    <row r="34" spans="1:8" x14ac:dyDescent="0.25">
      <c r="H34" s="3"/>
    </row>
    <row r="35" spans="1:8" x14ac:dyDescent="0.25">
      <c r="H35" s="18"/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1AF6B-F241-41E8-8119-3F3B13E97DB5}">
  <dimension ref="A1:H35"/>
  <sheetViews>
    <sheetView workbookViewId="0">
      <selection activeCell="C5" sqref="C5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364</v>
      </c>
    </row>
    <row r="3" spans="1:8" ht="21" x14ac:dyDescent="0.35">
      <c r="A3" s="2" t="s">
        <v>1</v>
      </c>
      <c r="D3" s="11">
        <v>514080</v>
      </c>
      <c r="F3" s="12" t="s">
        <v>3</v>
      </c>
      <c r="H3" s="11">
        <v>82080</v>
      </c>
    </row>
    <row r="4" spans="1:8" x14ac:dyDescent="0.25">
      <c r="A4" s="13" t="s">
        <v>32</v>
      </c>
      <c r="C4" s="26">
        <v>469</v>
      </c>
    </row>
    <row r="5" spans="1:8" ht="21" x14ac:dyDescent="0.35">
      <c r="A5" s="2" t="s">
        <v>2</v>
      </c>
    </row>
    <row r="7" spans="1:8" ht="18.75" x14ac:dyDescent="0.3">
      <c r="A7" s="5" t="s">
        <v>366</v>
      </c>
      <c r="D7" s="4">
        <v>227910</v>
      </c>
      <c r="E7" s="25"/>
      <c r="H7" s="4">
        <v>36390</v>
      </c>
    </row>
    <row r="8" spans="1:8" ht="18.75" x14ac:dyDescent="0.3">
      <c r="A8" s="5" t="s">
        <v>367</v>
      </c>
      <c r="D8" s="4">
        <v>20000</v>
      </c>
      <c r="E8" s="25"/>
      <c r="H8" s="4"/>
    </row>
    <row r="9" spans="1:8" ht="18.75" x14ac:dyDescent="0.3">
      <c r="A9" s="5" t="s">
        <v>368</v>
      </c>
      <c r="D9" s="4">
        <v>84000</v>
      </c>
      <c r="E9" s="25"/>
      <c r="H9" s="4"/>
    </row>
    <row r="10" spans="1:8" ht="18.75" x14ac:dyDescent="0.3">
      <c r="A10" s="5"/>
      <c r="D10" s="4"/>
      <c r="E10" s="25"/>
      <c r="H10" s="4"/>
    </row>
    <row r="11" spans="1:8" ht="18.75" x14ac:dyDescent="0.3">
      <c r="A11" s="5"/>
      <c r="D11" s="4"/>
      <c r="E11" s="25"/>
      <c r="H11" s="4"/>
    </row>
    <row r="12" spans="1:8" ht="18.75" x14ac:dyDescent="0.3">
      <c r="A12" s="5"/>
      <c r="C12" s="3"/>
      <c r="D12" s="27"/>
      <c r="E12" s="25"/>
      <c r="H12" s="27"/>
    </row>
    <row r="13" spans="1:8" ht="18.75" x14ac:dyDescent="0.3">
      <c r="A13" s="5"/>
      <c r="C13" s="3"/>
      <c r="D13" s="28"/>
      <c r="E13" s="25"/>
      <c r="H13" s="28"/>
    </row>
    <row r="14" spans="1:8" ht="19.5" thickBot="1" x14ac:dyDescent="0.35">
      <c r="A14" s="5"/>
      <c r="C14" s="3"/>
      <c r="D14" s="22"/>
      <c r="E14" s="25"/>
      <c r="H14" s="22"/>
    </row>
    <row r="15" spans="1:8" ht="18.75" customHeight="1" x14ac:dyDescent="0.3">
      <c r="D15" s="4">
        <f>SUM(D7:D14)</f>
        <v>331910</v>
      </c>
      <c r="H15" s="4">
        <f>SUM(H7:H14)</f>
        <v>36390</v>
      </c>
    </row>
    <row r="16" spans="1:8" ht="18.75" x14ac:dyDescent="0.3">
      <c r="A16" s="5"/>
      <c r="C16" s="3"/>
      <c r="D16" s="4"/>
      <c r="H16" s="4"/>
    </row>
    <row r="18" spans="1:8" ht="18.75" x14ac:dyDescent="0.3">
      <c r="A18" s="5"/>
      <c r="C18" s="3"/>
      <c r="D18" s="4"/>
      <c r="H18" s="4"/>
    </row>
    <row r="19" spans="1:8" ht="15.75" thickBot="1" x14ac:dyDescent="0.3">
      <c r="D19" s="7"/>
      <c r="H19" s="7"/>
    </row>
    <row r="21" spans="1:8" ht="18.75" x14ac:dyDescent="0.3">
      <c r="C21" t="s">
        <v>4</v>
      </c>
      <c r="D21" s="4">
        <f>D3-D15</f>
        <v>182170</v>
      </c>
      <c r="G21" t="s">
        <v>5</v>
      </c>
      <c r="H21" s="4">
        <f>H3-H15</f>
        <v>45690</v>
      </c>
    </row>
    <row r="24" spans="1:8" ht="15.75" x14ac:dyDescent="0.25">
      <c r="A24" t="s">
        <v>6</v>
      </c>
      <c r="C24" s="8">
        <f>D21</f>
        <v>182170</v>
      </c>
      <c r="E24" t="s">
        <v>10</v>
      </c>
      <c r="H24" s="6">
        <f>C33</f>
        <v>134423.67999999999</v>
      </c>
    </row>
    <row r="26" spans="1:8" ht="15.75" x14ac:dyDescent="0.25">
      <c r="A26" t="s">
        <v>5</v>
      </c>
      <c r="B26" s="9" t="s">
        <v>7</v>
      </c>
      <c r="C26" s="8">
        <f>H21</f>
        <v>45690</v>
      </c>
      <c r="E26" s="13" t="s">
        <v>11</v>
      </c>
      <c r="F26" s="9" t="s">
        <v>12</v>
      </c>
      <c r="G26" s="15" t="s">
        <v>17</v>
      </c>
      <c r="H26" s="3">
        <f>-(F27*0.007)</f>
        <v>-3024</v>
      </c>
    </row>
    <row r="27" spans="1:8" x14ac:dyDescent="0.25">
      <c r="F27" s="21">
        <f>D3-H3</f>
        <v>432000</v>
      </c>
    </row>
    <row r="28" spans="1:8" ht="15.75" x14ac:dyDescent="0.25">
      <c r="A28" t="s">
        <v>8</v>
      </c>
      <c r="B28" s="9" t="s">
        <v>7</v>
      </c>
      <c r="C28" s="8">
        <f>D3*0.004</f>
        <v>2056.3200000000002</v>
      </c>
      <c r="F28" s="9" t="s">
        <v>13</v>
      </c>
      <c r="G28" s="16">
        <v>0.35</v>
      </c>
      <c r="H28" s="29">
        <f>-(F29*0.35)</f>
        <v>-47048.287999999993</v>
      </c>
    </row>
    <row r="29" spans="1:8" ht="15.75" thickBot="1" x14ac:dyDescent="0.3">
      <c r="F29" s="21">
        <f>H24</f>
        <v>134423.67999999999</v>
      </c>
      <c r="H29" s="7"/>
    </row>
    <row r="30" spans="1:8" ht="15.75" x14ac:dyDescent="0.25">
      <c r="A30" t="s">
        <v>9</v>
      </c>
      <c r="B30" s="9" t="s">
        <v>7</v>
      </c>
      <c r="C30" s="10"/>
      <c r="G30" s="13" t="s">
        <v>14</v>
      </c>
      <c r="H30" s="6">
        <f>H24+H26+H28</f>
        <v>84351.391999999993</v>
      </c>
    </row>
    <row r="31" spans="1:8" ht="15.75" thickBot="1" x14ac:dyDescent="0.3">
      <c r="A31" s="16"/>
      <c r="B31" s="14"/>
      <c r="C31" s="7"/>
    </row>
    <row r="32" spans="1:8" x14ac:dyDescent="0.25">
      <c r="E32" t="s">
        <v>151</v>
      </c>
      <c r="H32" s="20">
        <f>H30*0.5</f>
        <v>42175.695999999996</v>
      </c>
    </row>
    <row r="33" spans="1:8" ht="15.75" x14ac:dyDescent="0.25">
      <c r="A33" t="s">
        <v>10</v>
      </c>
      <c r="C33" s="10">
        <f>C24-C26-C28-C30</f>
        <v>134423.67999999999</v>
      </c>
      <c r="H33" s="18"/>
    </row>
    <row r="34" spans="1:8" x14ac:dyDescent="0.25">
      <c r="H34" s="3"/>
    </row>
    <row r="35" spans="1:8" x14ac:dyDescent="0.25">
      <c r="H35" s="18"/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7BE6E-4B5F-409E-B930-9F331DCF4A26}">
  <dimension ref="A1:H35"/>
  <sheetViews>
    <sheetView topLeftCell="A16" workbookViewId="0">
      <selection activeCell="A16"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369</v>
      </c>
    </row>
    <row r="3" spans="1:8" ht="21" x14ac:dyDescent="0.35">
      <c r="A3" s="2" t="s">
        <v>1</v>
      </c>
      <c r="D3" s="11">
        <v>59500</v>
      </c>
      <c r="F3" s="12" t="s">
        <v>3</v>
      </c>
      <c r="H3" s="11">
        <v>9500</v>
      </c>
    </row>
    <row r="4" spans="1:8" x14ac:dyDescent="0.25">
      <c r="A4" s="13" t="s">
        <v>32</v>
      </c>
      <c r="C4" s="26">
        <v>473</v>
      </c>
    </row>
    <row r="5" spans="1:8" ht="21" x14ac:dyDescent="0.35">
      <c r="A5" s="2" t="s">
        <v>2</v>
      </c>
    </row>
    <row r="7" spans="1:8" ht="18.75" x14ac:dyDescent="0.3">
      <c r="A7" s="5" t="s">
        <v>370</v>
      </c>
      <c r="D7" s="4">
        <v>40275</v>
      </c>
      <c r="E7" s="25"/>
      <c r="H7" s="4">
        <v>6430</v>
      </c>
    </row>
    <row r="8" spans="1:8" ht="18.75" x14ac:dyDescent="0.3">
      <c r="A8" s="5"/>
      <c r="D8" s="4"/>
      <c r="E8" s="25"/>
      <c r="H8" s="4"/>
    </row>
    <row r="9" spans="1:8" ht="18.75" x14ac:dyDescent="0.3">
      <c r="A9" s="5"/>
      <c r="D9" s="4"/>
      <c r="E9" s="25"/>
      <c r="H9" s="4"/>
    </row>
    <row r="10" spans="1:8" ht="18.75" x14ac:dyDescent="0.3">
      <c r="A10" s="5"/>
      <c r="D10" s="4"/>
      <c r="E10" s="25"/>
      <c r="H10" s="4"/>
    </row>
    <row r="11" spans="1:8" ht="18.75" x14ac:dyDescent="0.3">
      <c r="A11" s="5"/>
      <c r="D11" s="4"/>
      <c r="E11" s="25"/>
      <c r="H11" s="4"/>
    </row>
    <row r="12" spans="1:8" ht="18.75" x14ac:dyDescent="0.3">
      <c r="A12" s="5"/>
      <c r="C12" s="3"/>
      <c r="D12" s="27"/>
      <c r="E12" s="25"/>
      <c r="H12" s="27"/>
    </row>
    <row r="13" spans="1:8" ht="18.75" x14ac:dyDescent="0.3">
      <c r="A13" s="5"/>
      <c r="C13" s="3"/>
      <c r="D13" s="28"/>
      <c r="E13" s="25"/>
      <c r="H13" s="28"/>
    </row>
    <row r="14" spans="1:8" ht="19.5" thickBot="1" x14ac:dyDescent="0.35">
      <c r="A14" s="5"/>
      <c r="C14" s="3"/>
      <c r="D14" s="22"/>
      <c r="E14" s="25"/>
      <c r="H14" s="22"/>
    </row>
    <row r="15" spans="1:8" ht="18.75" customHeight="1" x14ac:dyDescent="0.3">
      <c r="D15" s="4">
        <f>SUM(D7:D14)</f>
        <v>40275</v>
      </c>
      <c r="H15" s="4">
        <f>SUM(H7:H14)</f>
        <v>6430</v>
      </c>
    </row>
    <row r="16" spans="1:8" ht="18.75" x14ac:dyDescent="0.3">
      <c r="A16" s="5"/>
      <c r="C16" s="3"/>
      <c r="D16" s="4"/>
      <c r="H16" s="4"/>
    </row>
    <row r="18" spans="1:8" ht="18.75" x14ac:dyDescent="0.3">
      <c r="A18" s="5"/>
      <c r="C18" s="3"/>
      <c r="D18" s="4"/>
      <c r="H18" s="4"/>
    </row>
    <row r="19" spans="1:8" ht="15.75" thickBot="1" x14ac:dyDescent="0.3">
      <c r="D19" s="7"/>
      <c r="H19" s="7"/>
    </row>
    <row r="21" spans="1:8" ht="18.75" x14ac:dyDescent="0.3">
      <c r="C21" t="s">
        <v>4</v>
      </c>
      <c r="D21" s="4">
        <f>D3-D15</f>
        <v>19225</v>
      </c>
      <c r="G21" t="s">
        <v>5</v>
      </c>
      <c r="H21" s="4">
        <f>H3-H15</f>
        <v>3070</v>
      </c>
    </row>
    <row r="24" spans="1:8" ht="15.75" x14ac:dyDescent="0.25">
      <c r="A24" t="s">
        <v>6</v>
      </c>
      <c r="C24" s="8">
        <f>D21</f>
        <v>19225</v>
      </c>
      <c r="E24" t="s">
        <v>10</v>
      </c>
      <c r="H24" s="6">
        <f>C33</f>
        <v>15917</v>
      </c>
    </row>
    <row r="26" spans="1:8" ht="15.75" x14ac:dyDescent="0.25">
      <c r="A26" t="s">
        <v>5</v>
      </c>
      <c r="B26" s="9" t="s">
        <v>7</v>
      </c>
      <c r="C26" s="8">
        <f>H21</f>
        <v>3070</v>
      </c>
      <c r="E26" s="13" t="s">
        <v>11</v>
      </c>
      <c r="F26" s="9" t="s">
        <v>12</v>
      </c>
      <c r="G26" s="15" t="s">
        <v>17</v>
      </c>
      <c r="H26" s="3">
        <f>-(F27*0.007)</f>
        <v>-350</v>
      </c>
    </row>
    <row r="27" spans="1:8" x14ac:dyDescent="0.25">
      <c r="F27" s="21">
        <f>D3-H3</f>
        <v>50000</v>
      </c>
    </row>
    <row r="28" spans="1:8" ht="15.75" x14ac:dyDescent="0.25">
      <c r="A28" t="s">
        <v>8</v>
      </c>
      <c r="B28" s="9" t="s">
        <v>7</v>
      </c>
      <c r="C28" s="8">
        <f>D3*0.004</f>
        <v>238</v>
      </c>
      <c r="F28" s="9" t="s">
        <v>13</v>
      </c>
      <c r="G28" s="16">
        <v>0.35</v>
      </c>
      <c r="H28" s="29">
        <f>-(F29*0.35)</f>
        <v>-5570.95</v>
      </c>
    </row>
    <row r="29" spans="1:8" ht="15.75" thickBot="1" x14ac:dyDescent="0.3">
      <c r="F29" s="21">
        <f>H24</f>
        <v>15917</v>
      </c>
      <c r="H29" s="7"/>
    </row>
    <row r="30" spans="1:8" ht="15.75" x14ac:dyDescent="0.25">
      <c r="A30" t="s">
        <v>9</v>
      </c>
      <c r="B30" s="9" t="s">
        <v>7</v>
      </c>
      <c r="C30" s="10"/>
      <c r="G30" s="13" t="s">
        <v>14</v>
      </c>
      <c r="H30" s="6">
        <f>H24+H26+H28</f>
        <v>9996.0499999999993</v>
      </c>
    </row>
    <row r="31" spans="1:8" ht="15.75" thickBot="1" x14ac:dyDescent="0.3">
      <c r="A31" s="16"/>
      <c r="B31" s="14"/>
      <c r="C31" s="7"/>
    </row>
    <row r="32" spans="1:8" x14ac:dyDescent="0.25">
      <c r="E32" t="s">
        <v>151</v>
      </c>
      <c r="H32" s="20">
        <f>H30*0.5</f>
        <v>4998.0249999999996</v>
      </c>
    </row>
    <row r="33" spans="1:8" ht="15.75" x14ac:dyDescent="0.25">
      <c r="A33" t="s">
        <v>10</v>
      </c>
      <c r="C33" s="10">
        <f>C24-C26-C28-C30</f>
        <v>15917</v>
      </c>
      <c r="H33" s="18"/>
    </row>
    <row r="34" spans="1:8" x14ac:dyDescent="0.25">
      <c r="H34" s="3"/>
    </row>
    <row r="35" spans="1:8" x14ac:dyDescent="0.25">
      <c r="H35" s="18"/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D02DF-4550-4A14-A0AC-E649A12F1934}">
  <dimension ref="A1:H35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371</v>
      </c>
    </row>
    <row r="3" spans="1:8" ht="21" x14ac:dyDescent="0.35">
      <c r="A3" s="2" t="s">
        <v>1</v>
      </c>
      <c r="D3" s="11">
        <v>15887</v>
      </c>
      <c r="F3" s="12" t="s">
        <v>3</v>
      </c>
      <c r="H3" s="11">
        <v>2537</v>
      </c>
    </row>
    <row r="4" spans="1:8" x14ac:dyDescent="0.25">
      <c r="A4" s="13" t="s">
        <v>32</v>
      </c>
      <c r="C4" s="26">
        <v>474</v>
      </c>
    </row>
    <row r="5" spans="1:8" ht="21" x14ac:dyDescent="0.35">
      <c r="A5" s="2" t="s">
        <v>2</v>
      </c>
    </row>
    <row r="7" spans="1:8" ht="18.75" x14ac:dyDescent="0.3">
      <c r="A7" s="5" t="s">
        <v>243</v>
      </c>
      <c r="D7" s="4">
        <v>6783</v>
      </c>
      <c r="E7" s="25"/>
      <c r="H7" s="4">
        <v>1083</v>
      </c>
    </row>
    <row r="8" spans="1:8" ht="18.75" x14ac:dyDescent="0.3">
      <c r="A8" s="5" t="s">
        <v>322</v>
      </c>
      <c r="D8" s="4">
        <v>3230</v>
      </c>
      <c r="E8" s="25"/>
      <c r="H8" s="4">
        <v>516</v>
      </c>
    </row>
    <row r="9" spans="1:8" ht="18.75" x14ac:dyDescent="0.3">
      <c r="A9" s="5"/>
      <c r="D9" s="4"/>
      <c r="E9" s="25"/>
      <c r="H9" s="4"/>
    </row>
    <row r="10" spans="1:8" ht="18.75" x14ac:dyDescent="0.3">
      <c r="A10" s="5"/>
      <c r="D10" s="4"/>
      <c r="E10" s="25"/>
      <c r="H10" s="4"/>
    </row>
    <row r="11" spans="1:8" ht="18.75" x14ac:dyDescent="0.3">
      <c r="A11" s="5"/>
      <c r="D11" s="4"/>
      <c r="E11" s="25"/>
      <c r="H11" s="4"/>
    </row>
    <row r="12" spans="1:8" ht="18.75" x14ac:dyDescent="0.3">
      <c r="A12" s="5"/>
      <c r="C12" s="3"/>
      <c r="D12" s="27"/>
      <c r="E12" s="25"/>
      <c r="H12" s="27"/>
    </row>
    <row r="13" spans="1:8" ht="18.75" x14ac:dyDescent="0.3">
      <c r="A13" s="5"/>
      <c r="C13" s="3"/>
      <c r="D13" s="28"/>
      <c r="E13" s="25"/>
      <c r="H13" s="28"/>
    </row>
    <row r="14" spans="1:8" ht="19.5" thickBot="1" x14ac:dyDescent="0.35">
      <c r="A14" s="5"/>
      <c r="C14" s="3"/>
      <c r="D14" s="22"/>
      <c r="E14" s="25"/>
      <c r="H14" s="22"/>
    </row>
    <row r="15" spans="1:8" ht="18.75" customHeight="1" x14ac:dyDescent="0.3">
      <c r="D15" s="4">
        <f>SUM(D7:D14)</f>
        <v>10013</v>
      </c>
      <c r="H15" s="4">
        <f>SUM(H7:H14)</f>
        <v>1599</v>
      </c>
    </row>
    <row r="16" spans="1:8" ht="18.75" x14ac:dyDescent="0.3">
      <c r="A16" s="5"/>
      <c r="C16" s="3"/>
      <c r="D16" s="4"/>
      <c r="H16" s="4"/>
    </row>
    <row r="18" spans="1:8" ht="18.75" x14ac:dyDescent="0.3">
      <c r="A18" s="5"/>
      <c r="C18" s="3"/>
      <c r="D18" s="4"/>
      <c r="H18" s="4"/>
    </row>
    <row r="19" spans="1:8" ht="15.75" thickBot="1" x14ac:dyDescent="0.3">
      <c r="D19" s="7"/>
      <c r="H19" s="7"/>
    </row>
    <row r="21" spans="1:8" ht="18.75" x14ac:dyDescent="0.3">
      <c r="C21" t="s">
        <v>4</v>
      </c>
      <c r="D21" s="4">
        <f>D3-D15</f>
        <v>5874</v>
      </c>
      <c r="G21" t="s">
        <v>5</v>
      </c>
      <c r="H21" s="4">
        <f>H3-H15</f>
        <v>938</v>
      </c>
    </row>
    <row r="24" spans="1:8" ht="15.75" x14ac:dyDescent="0.25">
      <c r="A24" t="s">
        <v>6</v>
      </c>
      <c r="C24" s="8">
        <f>D21</f>
        <v>5874</v>
      </c>
      <c r="E24" t="s">
        <v>10</v>
      </c>
      <c r="H24" s="6">
        <f>C33</f>
        <v>4872.4520000000002</v>
      </c>
    </row>
    <row r="26" spans="1:8" ht="15.75" x14ac:dyDescent="0.25">
      <c r="A26" t="s">
        <v>5</v>
      </c>
      <c r="B26" s="9" t="s">
        <v>7</v>
      </c>
      <c r="C26" s="8">
        <f>H21</f>
        <v>938</v>
      </c>
      <c r="E26" s="13" t="s">
        <v>11</v>
      </c>
      <c r="F26" s="9" t="s">
        <v>12</v>
      </c>
      <c r="G26" s="15" t="s">
        <v>17</v>
      </c>
      <c r="H26" s="3">
        <f>-(F27*0.007)</f>
        <v>-93.45</v>
      </c>
    </row>
    <row r="27" spans="1:8" x14ac:dyDescent="0.25">
      <c r="F27" s="21">
        <f>D3-H3</f>
        <v>13350</v>
      </c>
    </row>
    <row r="28" spans="1:8" ht="15.75" x14ac:dyDescent="0.25">
      <c r="A28" t="s">
        <v>8</v>
      </c>
      <c r="B28" s="9" t="s">
        <v>7</v>
      </c>
      <c r="C28" s="8">
        <f>D3*0.004</f>
        <v>63.548000000000002</v>
      </c>
      <c r="F28" s="9" t="s">
        <v>13</v>
      </c>
      <c r="G28" s="16">
        <v>0.35</v>
      </c>
      <c r="H28" s="29">
        <f>-(F29*0.35)</f>
        <v>-1705.3581999999999</v>
      </c>
    </row>
    <row r="29" spans="1:8" ht="15.75" thickBot="1" x14ac:dyDescent="0.3">
      <c r="F29" s="21">
        <f>H24</f>
        <v>4872.4520000000002</v>
      </c>
      <c r="H29" s="7"/>
    </row>
    <row r="30" spans="1:8" ht="15.75" x14ac:dyDescent="0.25">
      <c r="A30" t="s">
        <v>9</v>
      </c>
      <c r="B30" s="9" t="s">
        <v>7</v>
      </c>
      <c r="C30" s="10"/>
      <c r="G30" s="13" t="s">
        <v>14</v>
      </c>
      <c r="H30" s="6">
        <f>H24+H26+H28</f>
        <v>3073.6438000000007</v>
      </c>
    </row>
    <row r="31" spans="1:8" ht="15.75" thickBot="1" x14ac:dyDescent="0.3">
      <c r="A31" s="16"/>
      <c r="B31" s="14"/>
      <c r="C31" s="7"/>
    </row>
    <row r="32" spans="1:8" x14ac:dyDescent="0.25">
      <c r="E32" t="s">
        <v>151</v>
      </c>
      <c r="H32" s="20">
        <f>H30*0.5</f>
        <v>1536.8219000000004</v>
      </c>
    </row>
    <row r="33" spans="1:8" ht="15.75" x14ac:dyDescent="0.25">
      <c r="A33" t="s">
        <v>10</v>
      </c>
      <c r="C33" s="10">
        <f>C24-C26-C28-C30</f>
        <v>4872.4520000000002</v>
      </c>
      <c r="H33" s="18"/>
    </row>
    <row r="34" spans="1:8" x14ac:dyDescent="0.25">
      <c r="H34" s="3"/>
    </row>
    <row r="35" spans="1:8" x14ac:dyDescent="0.25">
      <c r="H35" s="18"/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68F4D-5495-4E8D-A75A-3968A4B1AC94}">
  <dimension ref="A1:H35"/>
  <sheetViews>
    <sheetView workbookViewId="0">
      <selection activeCell="C4" sqref="C4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372</v>
      </c>
    </row>
    <row r="3" spans="1:8" ht="21" x14ac:dyDescent="0.35">
      <c r="A3" s="2" t="s">
        <v>1</v>
      </c>
      <c r="D3" s="11">
        <v>190400</v>
      </c>
      <c r="F3" s="12" t="s">
        <v>3</v>
      </c>
      <c r="H3" s="11">
        <v>30400</v>
      </c>
    </row>
    <row r="4" spans="1:8" x14ac:dyDescent="0.25">
      <c r="A4" s="13" t="s">
        <v>32</v>
      </c>
      <c r="C4" s="26">
        <v>477</v>
      </c>
    </row>
    <row r="5" spans="1:8" ht="21" x14ac:dyDescent="0.35">
      <c r="A5" s="2" t="s">
        <v>2</v>
      </c>
    </row>
    <row r="7" spans="1:8" ht="18.75" x14ac:dyDescent="0.3">
      <c r="A7" s="5" t="s">
        <v>243</v>
      </c>
      <c r="D7" s="4">
        <v>102152</v>
      </c>
      <c r="E7" s="25"/>
      <c r="H7" s="4">
        <v>16310</v>
      </c>
    </row>
    <row r="8" spans="1:8" ht="18.75" x14ac:dyDescent="0.3">
      <c r="A8" s="5" t="s">
        <v>373</v>
      </c>
      <c r="D8" s="4">
        <v>21500</v>
      </c>
      <c r="E8" s="25"/>
      <c r="H8" s="4">
        <v>516</v>
      </c>
    </row>
    <row r="9" spans="1:8" ht="18.75" x14ac:dyDescent="0.3">
      <c r="A9" s="5"/>
      <c r="D9" s="4"/>
      <c r="E9" s="25"/>
      <c r="H9" s="4"/>
    </row>
    <row r="10" spans="1:8" ht="18.75" x14ac:dyDescent="0.3">
      <c r="A10" s="5"/>
      <c r="D10" s="4"/>
      <c r="E10" s="25"/>
      <c r="H10" s="4"/>
    </row>
    <row r="11" spans="1:8" ht="18.75" x14ac:dyDescent="0.3">
      <c r="A11" s="5"/>
      <c r="D11" s="4"/>
      <c r="E11" s="25"/>
      <c r="H11" s="4"/>
    </row>
    <row r="12" spans="1:8" ht="18.75" x14ac:dyDescent="0.3">
      <c r="A12" s="5"/>
      <c r="C12" s="3"/>
      <c r="D12" s="27"/>
      <c r="E12" s="25"/>
      <c r="H12" s="27"/>
    </row>
    <row r="13" spans="1:8" ht="18.75" x14ac:dyDescent="0.3">
      <c r="A13" s="5"/>
      <c r="C13" s="3"/>
      <c r="D13" s="28"/>
      <c r="E13" s="25"/>
      <c r="H13" s="28"/>
    </row>
    <row r="14" spans="1:8" ht="19.5" thickBot="1" x14ac:dyDescent="0.35">
      <c r="A14" s="5"/>
      <c r="C14" s="3"/>
      <c r="D14" s="22"/>
      <c r="E14" s="25"/>
      <c r="H14" s="22"/>
    </row>
    <row r="15" spans="1:8" ht="18.75" customHeight="1" x14ac:dyDescent="0.3">
      <c r="D15" s="4">
        <f>SUM(D7:D14)</f>
        <v>123652</v>
      </c>
      <c r="H15" s="4">
        <f>SUM(H7:H14)</f>
        <v>16826</v>
      </c>
    </row>
    <row r="16" spans="1:8" ht="18.75" x14ac:dyDescent="0.3">
      <c r="A16" s="5"/>
      <c r="C16" s="3"/>
      <c r="D16" s="4"/>
      <c r="H16" s="4"/>
    </row>
    <row r="18" spans="1:8" ht="18.75" x14ac:dyDescent="0.3">
      <c r="A18" s="5"/>
      <c r="C18" s="3"/>
      <c r="D18" s="4"/>
      <c r="H18" s="4"/>
    </row>
    <row r="19" spans="1:8" ht="15.75" thickBot="1" x14ac:dyDescent="0.3">
      <c r="D19" s="7"/>
      <c r="H19" s="7"/>
    </row>
    <row r="21" spans="1:8" ht="18.75" x14ac:dyDescent="0.3">
      <c r="C21" t="s">
        <v>4</v>
      </c>
      <c r="D21" s="4">
        <f>D3-D15</f>
        <v>66748</v>
      </c>
      <c r="G21" t="s">
        <v>5</v>
      </c>
      <c r="H21" s="4">
        <f>H3-H15</f>
        <v>13574</v>
      </c>
    </row>
    <row r="24" spans="1:8" ht="15.75" x14ac:dyDescent="0.25">
      <c r="A24" t="s">
        <v>6</v>
      </c>
      <c r="C24" s="8">
        <f>D21</f>
        <v>66748</v>
      </c>
      <c r="E24" t="s">
        <v>10</v>
      </c>
      <c r="H24" s="6">
        <f>C33</f>
        <v>52412.4</v>
      </c>
    </row>
    <row r="26" spans="1:8" ht="15.75" x14ac:dyDescent="0.25">
      <c r="A26" t="s">
        <v>5</v>
      </c>
      <c r="B26" s="9" t="s">
        <v>7</v>
      </c>
      <c r="C26" s="8">
        <f>H21</f>
        <v>13574</v>
      </c>
      <c r="E26" s="13" t="s">
        <v>11</v>
      </c>
      <c r="F26" s="9" t="s">
        <v>12</v>
      </c>
      <c r="G26" s="15" t="s">
        <v>17</v>
      </c>
      <c r="H26" s="3">
        <f>-(F27*0.007)</f>
        <v>-1120</v>
      </c>
    </row>
    <row r="27" spans="1:8" x14ac:dyDescent="0.25">
      <c r="F27" s="21">
        <f>D3-H3</f>
        <v>160000</v>
      </c>
    </row>
    <row r="28" spans="1:8" ht="15.75" x14ac:dyDescent="0.25">
      <c r="A28" t="s">
        <v>8</v>
      </c>
      <c r="B28" s="9" t="s">
        <v>7</v>
      </c>
      <c r="C28" s="8">
        <f>D3*0.004</f>
        <v>761.6</v>
      </c>
      <c r="F28" s="9" t="s">
        <v>13</v>
      </c>
      <c r="G28" s="16">
        <v>0.35</v>
      </c>
      <c r="H28" s="29">
        <f>-(F29*0.35)</f>
        <v>-18344.34</v>
      </c>
    </row>
    <row r="29" spans="1:8" ht="15.75" thickBot="1" x14ac:dyDescent="0.3">
      <c r="F29" s="21">
        <f>H24</f>
        <v>52412.4</v>
      </c>
      <c r="H29" s="7"/>
    </row>
    <row r="30" spans="1:8" ht="15.75" x14ac:dyDescent="0.25">
      <c r="A30" t="s">
        <v>9</v>
      </c>
      <c r="B30" s="9" t="s">
        <v>7</v>
      </c>
      <c r="C30" s="10"/>
      <c r="G30" s="13" t="s">
        <v>14</v>
      </c>
      <c r="H30" s="6">
        <f>H24+H26+H28</f>
        <v>32948.06</v>
      </c>
    </row>
    <row r="31" spans="1:8" ht="15.75" thickBot="1" x14ac:dyDescent="0.3">
      <c r="A31" s="16"/>
      <c r="B31" s="14"/>
      <c r="C31" s="7"/>
    </row>
    <row r="32" spans="1:8" x14ac:dyDescent="0.25">
      <c r="E32" t="s">
        <v>151</v>
      </c>
      <c r="H32" s="20">
        <f>H30*0.5</f>
        <v>16474.03</v>
      </c>
    </row>
    <row r="33" spans="1:8" ht="15.75" x14ac:dyDescent="0.25">
      <c r="A33" t="s">
        <v>10</v>
      </c>
      <c r="C33" s="10">
        <f>C24-C26-C28-C30</f>
        <v>52412.4</v>
      </c>
      <c r="H33" s="18"/>
    </row>
    <row r="34" spans="1:8" x14ac:dyDescent="0.25">
      <c r="H34" s="3"/>
    </row>
    <row r="35" spans="1:8" x14ac:dyDescent="0.25">
      <c r="H35" s="18"/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F91D1-42C5-48CE-A00B-47D07D1C8A82}">
  <dimension ref="A1:H35"/>
  <sheetViews>
    <sheetView workbookViewId="0">
      <selection activeCell="C4" sqref="C4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374</v>
      </c>
    </row>
    <row r="3" spans="1:8" ht="21" x14ac:dyDescent="0.35">
      <c r="A3" s="2" t="s">
        <v>1</v>
      </c>
      <c r="D3" s="11">
        <v>35700</v>
      </c>
      <c r="F3" s="12" t="s">
        <v>3</v>
      </c>
      <c r="H3" s="11">
        <v>5700</v>
      </c>
    </row>
    <row r="4" spans="1:8" x14ac:dyDescent="0.25">
      <c r="A4" s="13" t="s">
        <v>32</v>
      </c>
      <c r="C4" s="26">
        <v>480</v>
      </c>
    </row>
    <row r="5" spans="1:8" ht="21" x14ac:dyDescent="0.35">
      <c r="A5" s="2" t="s">
        <v>2</v>
      </c>
    </row>
    <row r="7" spans="1:8" ht="18.75" x14ac:dyDescent="0.3">
      <c r="A7" s="5" t="s">
        <v>322</v>
      </c>
      <c r="D7" s="4">
        <v>23776</v>
      </c>
      <c r="E7" s="25"/>
      <c r="H7" s="4">
        <v>3796</v>
      </c>
    </row>
    <row r="8" spans="1:8" ht="18.75" x14ac:dyDescent="0.3">
      <c r="A8" s="5"/>
      <c r="D8" s="4"/>
      <c r="E8" s="25"/>
      <c r="H8" s="4"/>
    </row>
    <row r="9" spans="1:8" ht="18.75" x14ac:dyDescent="0.3">
      <c r="A9" s="5"/>
      <c r="D9" s="4"/>
      <c r="E9" s="25"/>
      <c r="H9" s="4"/>
    </row>
    <row r="10" spans="1:8" ht="18.75" x14ac:dyDescent="0.3">
      <c r="A10" s="5"/>
      <c r="D10" s="4"/>
      <c r="E10" s="25"/>
      <c r="H10" s="4"/>
    </row>
    <row r="11" spans="1:8" ht="18.75" x14ac:dyDescent="0.3">
      <c r="A11" s="5"/>
      <c r="D11" s="4"/>
      <c r="E11" s="25"/>
      <c r="H11" s="4"/>
    </row>
    <row r="12" spans="1:8" ht="18.75" x14ac:dyDescent="0.3">
      <c r="A12" s="5"/>
      <c r="C12" s="3"/>
      <c r="D12" s="27"/>
      <c r="E12" s="25"/>
      <c r="H12" s="27"/>
    </row>
    <row r="13" spans="1:8" ht="18.75" x14ac:dyDescent="0.3">
      <c r="A13" s="5"/>
      <c r="C13" s="3"/>
      <c r="D13" s="28"/>
      <c r="E13" s="25"/>
      <c r="H13" s="28"/>
    </row>
    <row r="14" spans="1:8" ht="19.5" thickBot="1" x14ac:dyDescent="0.35">
      <c r="A14" s="5"/>
      <c r="C14" s="3"/>
      <c r="D14" s="22"/>
      <c r="E14" s="25"/>
      <c r="H14" s="22"/>
    </row>
    <row r="15" spans="1:8" ht="18.75" customHeight="1" x14ac:dyDescent="0.3">
      <c r="D15" s="4">
        <f>SUM(D7:D14)</f>
        <v>23776</v>
      </c>
      <c r="H15" s="4">
        <f>SUM(H7:H14)</f>
        <v>3796</v>
      </c>
    </row>
    <row r="16" spans="1:8" ht="18.75" x14ac:dyDescent="0.3">
      <c r="A16" s="5"/>
      <c r="C16" s="3"/>
      <c r="D16" s="4"/>
      <c r="H16" s="4"/>
    </row>
    <row r="18" spans="1:8" ht="18.75" x14ac:dyDescent="0.3">
      <c r="A18" s="5"/>
      <c r="C18" s="3"/>
      <c r="D18" s="4"/>
      <c r="H18" s="4"/>
    </row>
    <row r="19" spans="1:8" ht="15.75" thickBot="1" x14ac:dyDescent="0.3">
      <c r="D19" s="7"/>
      <c r="H19" s="7"/>
    </row>
    <row r="21" spans="1:8" ht="18.75" x14ac:dyDescent="0.3">
      <c r="C21" t="s">
        <v>4</v>
      </c>
      <c r="D21" s="4">
        <f>D3-D15</f>
        <v>11924</v>
      </c>
      <c r="G21" t="s">
        <v>5</v>
      </c>
      <c r="H21" s="4">
        <f>H3-H15</f>
        <v>1904</v>
      </c>
    </row>
    <row r="24" spans="1:8" ht="15.75" x14ac:dyDescent="0.25">
      <c r="A24" t="s">
        <v>6</v>
      </c>
      <c r="C24" s="8">
        <f>D21</f>
        <v>11924</v>
      </c>
      <c r="E24" t="s">
        <v>10</v>
      </c>
      <c r="H24" s="6">
        <f>C33</f>
        <v>9877.2000000000007</v>
      </c>
    </row>
    <row r="26" spans="1:8" ht="15.75" x14ac:dyDescent="0.25">
      <c r="A26" t="s">
        <v>5</v>
      </c>
      <c r="B26" s="9" t="s">
        <v>7</v>
      </c>
      <c r="C26" s="8">
        <f>H21</f>
        <v>1904</v>
      </c>
      <c r="E26" s="13" t="s">
        <v>11</v>
      </c>
      <c r="F26" s="9" t="s">
        <v>12</v>
      </c>
      <c r="G26" s="15" t="s">
        <v>17</v>
      </c>
      <c r="H26" s="3">
        <f>-(F27*0.007)</f>
        <v>-210</v>
      </c>
    </row>
    <row r="27" spans="1:8" x14ac:dyDescent="0.25">
      <c r="F27" s="21">
        <f>D3-H3</f>
        <v>30000</v>
      </c>
    </row>
    <row r="28" spans="1:8" ht="15.75" x14ac:dyDescent="0.25">
      <c r="A28" t="s">
        <v>8</v>
      </c>
      <c r="B28" s="9" t="s">
        <v>7</v>
      </c>
      <c r="C28" s="8">
        <f>D3*0.004</f>
        <v>142.80000000000001</v>
      </c>
      <c r="F28" s="9" t="s">
        <v>13</v>
      </c>
      <c r="G28" s="16">
        <v>0.35</v>
      </c>
      <c r="H28" s="29">
        <f>-(F29*0.35)</f>
        <v>-3457.02</v>
      </c>
    </row>
    <row r="29" spans="1:8" ht="15.75" thickBot="1" x14ac:dyDescent="0.3">
      <c r="F29" s="21">
        <f>H24</f>
        <v>9877.2000000000007</v>
      </c>
      <c r="H29" s="7"/>
    </row>
    <row r="30" spans="1:8" ht="15.75" x14ac:dyDescent="0.25">
      <c r="A30" t="s">
        <v>9</v>
      </c>
      <c r="B30" s="9" t="s">
        <v>7</v>
      </c>
      <c r="C30" s="10"/>
      <c r="G30" s="13" t="s">
        <v>14</v>
      </c>
      <c r="H30" s="6">
        <f>H24+H26+H28</f>
        <v>6210.18</v>
      </c>
    </row>
    <row r="31" spans="1:8" ht="15.75" thickBot="1" x14ac:dyDescent="0.3">
      <c r="A31" s="16"/>
      <c r="B31" s="14"/>
      <c r="C31" s="7"/>
    </row>
    <row r="32" spans="1:8" x14ac:dyDescent="0.25">
      <c r="E32" t="s">
        <v>151</v>
      </c>
      <c r="H32" s="20">
        <f>H30*0.5</f>
        <v>3105.09</v>
      </c>
    </row>
    <row r="33" spans="1:8" ht="15.75" x14ac:dyDescent="0.25">
      <c r="A33" t="s">
        <v>10</v>
      </c>
      <c r="C33" s="10">
        <f>C24-C26-C28-C30</f>
        <v>9877.2000000000007</v>
      </c>
      <c r="H33" s="18"/>
    </row>
    <row r="34" spans="1:8" x14ac:dyDescent="0.25">
      <c r="H34" s="3"/>
    </row>
    <row r="35" spans="1:8" x14ac:dyDescent="0.25">
      <c r="H35" s="18"/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03371-5935-4A0D-A6F4-117CF48A1DCF}">
  <dimension ref="A1:H35"/>
  <sheetViews>
    <sheetView topLeftCell="A4" workbookViewId="0">
      <selection activeCell="C4" sqref="C4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375</v>
      </c>
    </row>
    <row r="3" spans="1:8" ht="21" x14ac:dyDescent="0.35">
      <c r="A3" s="2" t="s">
        <v>1</v>
      </c>
      <c r="D3" s="11">
        <v>21420</v>
      </c>
      <c r="F3" s="12" t="s">
        <v>3</v>
      </c>
      <c r="H3" s="11">
        <v>3420</v>
      </c>
    </row>
    <row r="4" spans="1:8" x14ac:dyDescent="0.25">
      <c r="A4" s="13" t="s">
        <v>32</v>
      </c>
      <c r="C4" s="26">
        <v>482</v>
      </c>
    </row>
    <row r="5" spans="1:8" ht="21" x14ac:dyDescent="0.35">
      <c r="A5" s="2" t="s">
        <v>2</v>
      </c>
    </row>
    <row r="7" spans="1:8" ht="18.75" x14ac:dyDescent="0.3">
      <c r="A7" s="5" t="s">
        <v>243</v>
      </c>
      <c r="D7" s="4">
        <v>15719</v>
      </c>
      <c r="E7" s="25"/>
      <c r="H7" s="4">
        <v>2510</v>
      </c>
    </row>
    <row r="8" spans="1:8" ht="18.75" x14ac:dyDescent="0.3">
      <c r="A8" s="5"/>
      <c r="D8" s="4"/>
      <c r="E8" s="25"/>
      <c r="H8" s="4"/>
    </row>
    <row r="9" spans="1:8" ht="18.75" x14ac:dyDescent="0.3">
      <c r="A9" s="5"/>
      <c r="D9" s="4"/>
      <c r="E9" s="25"/>
      <c r="H9" s="4"/>
    </row>
    <row r="10" spans="1:8" ht="18.75" x14ac:dyDescent="0.3">
      <c r="A10" s="5"/>
      <c r="D10" s="4"/>
      <c r="E10" s="25"/>
      <c r="H10" s="4"/>
    </row>
    <row r="11" spans="1:8" ht="18.75" x14ac:dyDescent="0.3">
      <c r="A11" s="5"/>
      <c r="D11" s="4"/>
      <c r="E11" s="25"/>
      <c r="H11" s="4"/>
    </row>
    <row r="12" spans="1:8" ht="18.75" x14ac:dyDescent="0.3">
      <c r="A12" s="5"/>
      <c r="C12" s="3"/>
      <c r="D12" s="27"/>
      <c r="E12" s="25"/>
      <c r="H12" s="27"/>
    </row>
    <row r="13" spans="1:8" ht="18.75" x14ac:dyDescent="0.3">
      <c r="A13" s="5"/>
      <c r="C13" s="3"/>
      <c r="D13" s="28"/>
      <c r="E13" s="25"/>
      <c r="H13" s="28"/>
    </row>
    <row r="14" spans="1:8" ht="19.5" thickBot="1" x14ac:dyDescent="0.35">
      <c r="A14" s="5"/>
      <c r="C14" s="3"/>
      <c r="D14" s="22"/>
      <c r="E14" s="25"/>
      <c r="H14" s="22"/>
    </row>
    <row r="15" spans="1:8" ht="18.75" customHeight="1" x14ac:dyDescent="0.3">
      <c r="D15" s="4">
        <f>SUM(D7:D14)</f>
        <v>15719</v>
      </c>
      <c r="H15" s="4">
        <f>SUM(H7:H14)</f>
        <v>2510</v>
      </c>
    </row>
    <row r="16" spans="1:8" ht="18.75" x14ac:dyDescent="0.3">
      <c r="A16" s="5"/>
      <c r="C16" s="3"/>
      <c r="D16" s="4"/>
      <c r="H16" s="4"/>
    </row>
    <row r="18" spans="1:8" ht="18.75" x14ac:dyDescent="0.3">
      <c r="A18" s="5"/>
      <c r="C18" s="3"/>
      <c r="D18" s="4"/>
      <c r="H18" s="4"/>
    </row>
    <row r="19" spans="1:8" ht="15.75" thickBot="1" x14ac:dyDescent="0.3">
      <c r="D19" s="7"/>
      <c r="H19" s="7"/>
    </row>
    <row r="21" spans="1:8" ht="18.75" x14ac:dyDescent="0.3">
      <c r="C21" t="s">
        <v>4</v>
      </c>
      <c r="D21" s="4">
        <f>D3-D15</f>
        <v>5701</v>
      </c>
      <c r="G21" t="s">
        <v>5</v>
      </c>
      <c r="H21" s="4">
        <f>H3-H15</f>
        <v>910</v>
      </c>
    </row>
    <row r="24" spans="1:8" ht="15.75" x14ac:dyDescent="0.25">
      <c r="A24" t="s">
        <v>6</v>
      </c>
      <c r="C24" s="8">
        <f>D21</f>
        <v>5701</v>
      </c>
      <c r="E24" t="s">
        <v>10</v>
      </c>
      <c r="H24" s="6">
        <f>C33</f>
        <v>4705.32</v>
      </c>
    </row>
    <row r="26" spans="1:8" ht="15.75" x14ac:dyDescent="0.25">
      <c r="A26" t="s">
        <v>5</v>
      </c>
      <c r="B26" s="9" t="s">
        <v>7</v>
      </c>
      <c r="C26" s="8">
        <f>H21</f>
        <v>910</v>
      </c>
      <c r="E26" s="13" t="s">
        <v>11</v>
      </c>
      <c r="F26" s="9" t="s">
        <v>12</v>
      </c>
      <c r="G26" s="15" t="s">
        <v>17</v>
      </c>
      <c r="H26" s="3">
        <f>-(F27*0.007)</f>
        <v>-126</v>
      </c>
    </row>
    <row r="27" spans="1:8" x14ac:dyDescent="0.25">
      <c r="F27" s="21">
        <f>D3-H3</f>
        <v>18000</v>
      </c>
    </row>
    <row r="28" spans="1:8" ht="15.75" x14ac:dyDescent="0.25">
      <c r="A28" t="s">
        <v>8</v>
      </c>
      <c r="B28" s="9" t="s">
        <v>7</v>
      </c>
      <c r="C28" s="8">
        <f>D3*0.004</f>
        <v>85.68</v>
      </c>
      <c r="F28" s="9" t="s">
        <v>13</v>
      </c>
      <c r="G28" s="16">
        <v>0.35</v>
      </c>
      <c r="H28" s="29">
        <f>-(F29*0.35)</f>
        <v>-1646.8619999999999</v>
      </c>
    </row>
    <row r="29" spans="1:8" ht="15.75" thickBot="1" x14ac:dyDescent="0.3">
      <c r="F29" s="21">
        <f>H24</f>
        <v>4705.32</v>
      </c>
      <c r="H29" s="7"/>
    </row>
    <row r="30" spans="1:8" ht="15.75" x14ac:dyDescent="0.25">
      <c r="A30" t="s">
        <v>9</v>
      </c>
      <c r="B30" s="9" t="s">
        <v>7</v>
      </c>
      <c r="C30" s="10"/>
      <c r="G30" s="13" t="s">
        <v>14</v>
      </c>
      <c r="H30" s="6">
        <f>H24+H26+H28</f>
        <v>2932.4579999999996</v>
      </c>
    </row>
    <row r="31" spans="1:8" ht="15.75" thickBot="1" x14ac:dyDescent="0.3">
      <c r="A31" s="16"/>
      <c r="B31" s="14"/>
      <c r="C31" s="7"/>
    </row>
    <row r="32" spans="1:8" x14ac:dyDescent="0.25">
      <c r="E32" t="s">
        <v>151</v>
      </c>
      <c r="H32" s="20">
        <f>H30*0.5</f>
        <v>1466.2289999999998</v>
      </c>
    </row>
    <row r="33" spans="1:8" ht="15.75" x14ac:dyDescent="0.25">
      <c r="A33" t="s">
        <v>10</v>
      </c>
      <c r="C33" s="10">
        <f>C24-C26-C28-C30</f>
        <v>4705.32</v>
      </c>
      <c r="H33" s="18"/>
    </row>
    <row r="34" spans="1:8" x14ac:dyDescent="0.25">
      <c r="H34" s="3"/>
    </row>
    <row r="35" spans="1:8" x14ac:dyDescent="0.25">
      <c r="H35" s="18"/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11D00-2C2A-4491-AC58-99FF3AB9C544}">
  <dimension ref="A1:H35"/>
  <sheetViews>
    <sheetView topLeftCell="B1" workbookViewId="0">
      <selection activeCell="B1"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241</v>
      </c>
    </row>
    <row r="3" spans="1:8" ht="21" x14ac:dyDescent="0.35">
      <c r="A3" s="2" t="s">
        <v>1</v>
      </c>
      <c r="D3" s="11">
        <v>1242360</v>
      </c>
      <c r="F3" s="12" t="s">
        <v>3</v>
      </c>
      <c r="H3" s="11">
        <v>198360</v>
      </c>
    </row>
    <row r="4" spans="1:8" x14ac:dyDescent="0.25">
      <c r="A4" s="13" t="s">
        <v>32</v>
      </c>
      <c r="C4" s="26">
        <v>486</v>
      </c>
    </row>
    <row r="5" spans="1:8" ht="21" x14ac:dyDescent="0.35">
      <c r="A5" s="2" t="s">
        <v>2</v>
      </c>
    </row>
    <row r="7" spans="1:8" ht="18.75" x14ac:dyDescent="0.3">
      <c r="A7" s="5" t="s">
        <v>376</v>
      </c>
      <c r="D7" s="4">
        <v>475388</v>
      </c>
      <c r="E7" s="25"/>
      <c r="H7" s="4">
        <v>75902</v>
      </c>
    </row>
    <row r="8" spans="1:8" ht="18.75" x14ac:dyDescent="0.3">
      <c r="A8" s="5" t="s">
        <v>377</v>
      </c>
      <c r="D8" s="4">
        <v>394061</v>
      </c>
      <c r="E8" s="25"/>
      <c r="H8" s="4">
        <v>62917</v>
      </c>
    </row>
    <row r="9" spans="1:8" ht="18.75" x14ac:dyDescent="0.3">
      <c r="A9" s="5" t="s">
        <v>378</v>
      </c>
      <c r="D9" s="4">
        <v>50000</v>
      </c>
      <c r="E9" s="25"/>
      <c r="H9" s="4"/>
    </row>
    <row r="10" spans="1:8" ht="18.75" x14ac:dyDescent="0.3">
      <c r="A10" s="5"/>
      <c r="D10" s="4"/>
      <c r="E10" s="25"/>
      <c r="H10" s="4"/>
    </row>
    <row r="11" spans="1:8" ht="18.75" x14ac:dyDescent="0.3">
      <c r="A11" s="5"/>
      <c r="D11" s="4"/>
      <c r="E11" s="25"/>
      <c r="H11" s="4"/>
    </row>
    <row r="12" spans="1:8" ht="18.75" x14ac:dyDescent="0.3">
      <c r="A12" s="5"/>
      <c r="C12" s="3"/>
      <c r="D12" s="27"/>
      <c r="E12" s="25"/>
      <c r="H12" s="27"/>
    </row>
    <row r="13" spans="1:8" ht="18.75" x14ac:dyDescent="0.3">
      <c r="A13" s="5"/>
      <c r="C13" s="3"/>
      <c r="D13" s="28"/>
      <c r="E13" s="25"/>
      <c r="H13" s="28"/>
    </row>
    <row r="14" spans="1:8" ht="19.5" thickBot="1" x14ac:dyDescent="0.35">
      <c r="A14" s="5"/>
      <c r="C14" s="3"/>
      <c r="D14" s="22"/>
      <c r="E14" s="25"/>
      <c r="H14" s="22"/>
    </row>
    <row r="15" spans="1:8" ht="18.75" customHeight="1" x14ac:dyDescent="0.3">
      <c r="D15" s="4">
        <f>SUM(D7:D14)</f>
        <v>919449</v>
      </c>
      <c r="H15" s="4">
        <f>SUM(H7:H14)</f>
        <v>138819</v>
      </c>
    </row>
    <row r="16" spans="1:8" ht="18.75" x14ac:dyDescent="0.3">
      <c r="A16" s="5"/>
      <c r="C16" s="3"/>
      <c r="D16" s="4"/>
      <c r="H16" s="4"/>
    </row>
    <row r="18" spans="1:8" ht="18.75" x14ac:dyDescent="0.3">
      <c r="A18" s="5"/>
      <c r="C18" s="3"/>
      <c r="D18" s="4"/>
      <c r="H18" s="4"/>
    </row>
    <row r="19" spans="1:8" ht="15.75" thickBot="1" x14ac:dyDescent="0.3">
      <c r="D19" s="7"/>
      <c r="H19" s="7"/>
    </row>
    <row r="21" spans="1:8" ht="18.75" x14ac:dyDescent="0.3">
      <c r="C21" t="s">
        <v>4</v>
      </c>
      <c r="D21" s="4">
        <f>D3-D15</f>
        <v>322911</v>
      </c>
      <c r="G21" t="s">
        <v>5</v>
      </c>
      <c r="H21" s="4">
        <f>H3-H15</f>
        <v>59541</v>
      </c>
    </row>
    <row r="24" spans="1:8" ht="15.75" x14ac:dyDescent="0.25">
      <c r="A24" t="s">
        <v>6</v>
      </c>
      <c r="C24" s="8">
        <f>D21</f>
        <v>322911</v>
      </c>
      <c r="E24" t="s">
        <v>10</v>
      </c>
      <c r="H24" s="6">
        <f>C33</f>
        <v>258400.56</v>
      </c>
    </row>
    <row r="26" spans="1:8" ht="15.75" x14ac:dyDescent="0.25">
      <c r="A26" t="s">
        <v>5</v>
      </c>
      <c r="B26" s="9" t="s">
        <v>7</v>
      </c>
      <c r="C26" s="8">
        <f>H21</f>
        <v>59541</v>
      </c>
      <c r="E26" s="13" t="s">
        <v>11</v>
      </c>
      <c r="F26" s="9" t="s">
        <v>12</v>
      </c>
      <c r="G26" s="15" t="s">
        <v>17</v>
      </c>
      <c r="H26" s="3">
        <f>-(F27*0.007)</f>
        <v>-7308</v>
      </c>
    </row>
    <row r="27" spans="1:8" x14ac:dyDescent="0.25">
      <c r="F27" s="21">
        <f>D3-H3</f>
        <v>1044000</v>
      </c>
    </row>
    <row r="28" spans="1:8" ht="15.75" x14ac:dyDescent="0.25">
      <c r="A28" t="s">
        <v>8</v>
      </c>
      <c r="B28" s="9" t="s">
        <v>7</v>
      </c>
      <c r="C28" s="8">
        <f>D3*0.004</f>
        <v>4969.4400000000005</v>
      </c>
      <c r="F28" s="9" t="s">
        <v>13</v>
      </c>
      <c r="G28" s="16">
        <v>0.35</v>
      </c>
      <c r="H28" s="29">
        <f>-(F29*0.35)</f>
        <v>-90440.195999999996</v>
      </c>
    </row>
    <row r="29" spans="1:8" ht="15.75" thickBot="1" x14ac:dyDescent="0.3">
      <c r="F29" s="21">
        <f>H24</f>
        <v>258400.56</v>
      </c>
      <c r="H29" s="7"/>
    </row>
    <row r="30" spans="1:8" ht="15.75" x14ac:dyDescent="0.25">
      <c r="A30" t="s">
        <v>9</v>
      </c>
      <c r="B30" s="9" t="s">
        <v>7</v>
      </c>
      <c r="C30" s="10"/>
      <c r="G30" s="13" t="s">
        <v>14</v>
      </c>
      <c r="H30" s="6">
        <f>H24+H26+H28</f>
        <v>160652.364</v>
      </c>
    </row>
    <row r="31" spans="1:8" ht="15.75" thickBot="1" x14ac:dyDescent="0.3">
      <c r="A31" s="16"/>
      <c r="B31" s="14"/>
      <c r="C31" s="7"/>
    </row>
    <row r="32" spans="1:8" x14ac:dyDescent="0.25">
      <c r="E32" t="s">
        <v>151</v>
      </c>
      <c r="H32" s="20">
        <f>H30*0.5</f>
        <v>80326.182000000001</v>
      </c>
    </row>
    <row r="33" spans="1:8" ht="15.75" x14ac:dyDescent="0.25">
      <c r="A33" t="s">
        <v>10</v>
      </c>
      <c r="C33" s="10">
        <f>C24-C26-C28-C30</f>
        <v>258400.56</v>
      </c>
      <c r="H33" s="18"/>
    </row>
    <row r="34" spans="1:8" x14ac:dyDescent="0.25">
      <c r="H34" s="3"/>
    </row>
    <row r="35" spans="1:8" x14ac:dyDescent="0.25">
      <c r="H35" s="18"/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A2E50-6F94-4511-963E-31B194A4AA1D}">
  <dimension ref="A1:H35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379</v>
      </c>
    </row>
    <row r="3" spans="1:8" ht="21" x14ac:dyDescent="0.35">
      <c r="A3" s="2" t="s">
        <v>1</v>
      </c>
      <c r="D3" s="11">
        <v>773500</v>
      </c>
      <c r="F3" s="12" t="s">
        <v>3</v>
      </c>
      <c r="H3" s="11">
        <v>123500</v>
      </c>
    </row>
    <row r="4" spans="1:8" x14ac:dyDescent="0.25">
      <c r="A4" s="13" t="s">
        <v>32</v>
      </c>
      <c r="C4" s="26">
        <v>487</v>
      </c>
    </row>
    <row r="5" spans="1:8" ht="21" x14ac:dyDescent="0.35">
      <c r="A5" s="2" t="s">
        <v>2</v>
      </c>
    </row>
    <row r="7" spans="1:8" ht="18.75" x14ac:dyDescent="0.3">
      <c r="A7" s="5" t="s">
        <v>380</v>
      </c>
      <c r="D7" s="4">
        <v>475429</v>
      </c>
      <c r="E7" s="25"/>
      <c r="H7" s="4">
        <v>75909</v>
      </c>
    </row>
    <row r="8" spans="1:8" ht="18.75" x14ac:dyDescent="0.3">
      <c r="A8" s="5"/>
      <c r="D8" s="4"/>
      <c r="E8" s="25"/>
      <c r="H8" s="4"/>
    </row>
    <row r="9" spans="1:8" ht="18.75" x14ac:dyDescent="0.3">
      <c r="A9" s="5"/>
      <c r="D9" s="4"/>
      <c r="E9" s="25"/>
      <c r="H9" s="4"/>
    </row>
    <row r="10" spans="1:8" ht="18.75" x14ac:dyDescent="0.3">
      <c r="A10" s="5"/>
      <c r="D10" s="4"/>
      <c r="E10" s="25"/>
      <c r="H10" s="4"/>
    </row>
    <row r="11" spans="1:8" ht="18.75" x14ac:dyDescent="0.3">
      <c r="A11" s="5"/>
      <c r="D11" s="4"/>
      <c r="E11" s="25"/>
      <c r="H11" s="4"/>
    </row>
    <row r="12" spans="1:8" ht="18.75" x14ac:dyDescent="0.3">
      <c r="A12" s="5"/>
      <c r="C12" s="3"/>
      <c r="D12" s="27"/>
      <c r="E12" s="25"/>
      <c r="H12" s="27"/>
    </row>
    <row r="13" spans="1:8" ht="18.75" x14ac:dyDescent="0.3">
      <c r="A13" s="5"/>
      <c r="C13" s="3"/>
      <c r="D13" s="28"/>
      <c r="E13" s="25"/>
      <c r="H13" s="28"/>
    </row>
    <row r="14" spans="1:8" ht="19.5" thickBot="1" x14ac:dyDescent="0.35">
      <c r="A14" s="5"/>
      <c r="C14" s="3"/>
      <c r="D14" s="22"/>
      <c r="E14" s="25"/>
      <c r="H14" s="22"/>
    </row>
    <row r="15" spans="1:8" ht="18.75" customHeight="1" x14ac:dyDescent="0.3">
      <c r="D15" s="4">
        <f>SUM(D7:D14)</f>
        <v>475429</v>
      </c>
      <c r="H15" s="4">
        <f>SUM(H7:H14)</f>
        <v>75909</v>
      </c>
    </row>
    <row r="16" spans="1:8" ht="18.75" x14ac:dyDescent="0.3">
      <c r="A16" s="5"/>
      <c r="C16" s="3"/>
      <c r="D16" s="4"/>
      <c r="H16" s="4"/>
    </row>
    <row r="18" spans="1:8" ht="18.75" x14ac:dyDescent="0.3">
      <c r="A18" s="5"/>
      <c r="C18" s="3"/>
      <c r="D18" s="4"/>
      <c r="H18" s="4"/>
    </row>
    <row r="19" spans="1:8" ht="15.75" thickBot="1" x14ac:dyDescent="0.3">
      <c r="D19" s="7"/>
      <c r="H19" s="7"/>
    </row>
    <row r="21" spans="1:8" ht="18.75" x14ac:dyDescent="0.3">
      <c r="C21" t="s">
        <v>4</v>
      </c>
      <c r="D21" s="4">
        <f>D3-D15</f>
        <v>298071</v>
      </c>
      <c r="G21" t="s">
        <v>5</v>
      </c>
      <c r="H21" s="4">
        <f>H3-H15</f>
        <v>47591</v>
      </c>
    </row>
    <row r="24" spans="1:8" ht="15.75" x14ac:dyDescent="0.25">
      <c r="A24" t="s">
        <v>6</v>
      </c>
      <c r="C24" s="8">
        <f>D21</f>
        <v>298071</v>
      </c>
      <c r="E24" t="s">
        <v>10</v>
      </c>
      <c r="H24" s="6">
        <f>C33</f>
        <v>247386</v>
      </c>
    </row>
    <row r="26" spans="1:8" ht="15.75" x14ac:dyDescent="0.25">
      <c r="A26" t="s">
        <v>5</v>
      </c>
      <c r="B26" s="9" t="s">
        <v>7</v>
      </c>
      <c r="C26" s="8">
        <f>H21</f>
        <v>47591</v>
      </c>
      <c r="E26" s="13" t="s">
        <v>11</v>
      </c>
      <c r="F26" s="9" t="s">
        <v>12</v>
      </c>
      <c r="G26" s="15" t="s">
        <v>17</v>
      </c>
      <c r="H26" s="3">
        <f>-(F27*0.007)</f>
        <v>-4550</v>
      </c>
    </row>
    <row r="27" spans="1:8" x14ac:dyDescent="0.25">
      <c r="F27" s="21">
        <f>D3-H3</f>
        <v>650000</v>
      </c>
    </row>
    <row r="28" spans="1:8" ht="15.75" x14ac:dyDescent="0.25">
      <c r="A28" t="s">
        <v>8</v>
      </c>
      <c r="B28" s="9" t="s">
        <v>7</v>
      </c>
      <c r="C28" s="8">
        <f>D3*0.004</f>
        <v>3094</v>
      </c>
      <c r="F28" s="9" t="s">
        <v>13</v>
      </c>
      <c r="G28" s="16">
        <v>0.35</v>
      </c>
      <c r="H28" s="29">
        <f>-(F29*0.35)</f>
        <v>-86585.099999999991</v>
      </c>
    </row>
    <row r="29" spans="1:8" ht="15.75" thickBot="1" x14ac:dyDescent="0.3">
      <c r="F29" s="21">
        <f>H24</f>
        <v>247386</v>
      </c>
      <c r="H29" s="7"/>
    </row>
    <row r="30" spans="1:8" ht="15.75" x14ac:dyDescent="0.25">
      <c r="A30" t="s">
        <v>9</v>
      </c>
      <c r="B30" s="9" t="s">
        <v>7</v>
      </c>
      <c r="C30" s="10"/>
      <c r="G30" s="13" t="s">
        <v>14</v>
      </c>
      <c r="H30" s="6">
        <f>H24+H26+H28</f>
        <v>156250.90000000002</v>
      </c>
    </row>
    <row r="31" spans="1:8" ht="15.75" thickBot="1" x14ac:dyDescent="0.3">
      <c r="A31" s="16"/>
      <c r="B31" s="14"/>
      <c r="C31" s="7"/>
    </row>
    <row r="32" spans="1:8" x14ac:dyDescent="0.25">
      <c r="E32" t="s">
        <v>151</v>
      </c>
      <c r="H32" s="20">
        <f>H30*0.5</f>
        <v>78125.450000000012</v>
      </c>
    </row>
    <row r="33" spans="1:8" ht="15.75" x14ac:dyDescent="0.25">
      <c r="A33" t="s">
        <v>10</v>
      </c>
      <c r="C33" s="10">
        <f>C24-C26-C28-C30</f>
        <v>247386</v>
      </c>
      <c r="H33" s="18"/>
    </row>
    <row r="34" spans="1:8" x14ac:dyDescent="0.25">
      <c r="H34" s="3"/>
    </row>
    <row r="35" spans="1:8" x14ac:dyDescent="0.25">
      <c r="H35" s="18"/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B4324-3127-4354-ABD2-F7882FCB830E}">
  <dimension ref="A1:H35"/>
  <sheetViews>
    <sheetView workbookViewId="0">
      <selection activeCell="E15" sqref="E15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316</v>
      </c>
    </row>
    <row r="3" spans="1:8" ht="21" x14ac:dyDescent="0.35">
      <c r="A3" s="2" t="s">
        <v>1</v>
      </c>
      <c r="D3" s="11">
        <v>113645</v>
      </c>
      <c r="F3" s="12" t="s">
        <v>3</v>
      </c>
      <c r="H3" s="11">
        <v>18145</v>
      </c>
    </row>
    <row r="4" spans="1:8" x14ac:dyDescent="0.25">
      <c r="A4" s="13" t="s">
        <v>32</v>
      </c>
      <c r="C4" s="26">
        <v>488</v>
      </c>
    </row>
    <row r="5" spans="1:8" ht="21" x14ac:dyDescent="0.35">
      <c r="A5" s="2" t="s">
        <v>2</v>
      </c>
    </row>
    <row r="7" spans="1:8" ht="18.75" x14ac:dyDescent="0.3">
      <c r="A7" s="5" t="s">
        <v>381</v>
      </c>
      <c r="D7" s="4">
        <v>53619</v>
      </c>
      <c r="E7" s="25"/>
      <c r="H7" s="4">
        <v>8561</v>
      </c>
    </row>
    <row r="8" spans="1:8" ht="18.75" x14ac:dyDescent="0.3">
      <c r="A8" s="5" t="s">
        <v>221</v>
      </c>
      <c r="D8" s="4">
        <v>14100</v>
      </c>
      <c r="E8" s="25"/>
      <c r="H8" s="4">
        <v>2252</v>
      </c>
    </row>
    <row r="9" spans="1:8" ht="18.75" x14ac:dyDescent="0.3">
      <c r="A9" s="5"/>
      <c r="D9" s="4"/>
      <c r="E9" s="25"/>
      <c r="H9" s="4"/>
    </row>
    <row r="10" spans="1:8" ht="18.75" x14ac:dyDescent="0.3">
      <c r="A10" s="5"/>
      <c r="D10" s="4"/>
      <c r="E10" s="25"/>
      <c r="H10" s="4"/>
    </row>
    <row r="11" spans="1:8" ht="18.75" x14ac:dyDescent="0.3">
      <c r="A11" s="5"/>
      <c r="D11" s="4"/>
      <c r="E11" s="25"/>
      <c r="H11" s="4"/>
    </row>
    <row r="12" spans="1:8" ht="18.75" x14ac:dyDescent="0.3">
      <c r="A12" s="5"/>
      <c r="C12" s="3"/>
      <c r="D12" s="27"/>
      <c r="E12" s="25"/>
      <c r="H12" s="27"/>
    </row>
    <row r="13" spans="1:8" ht="18.75" x14ac:dyDescent="0.3">
      <c r="A13" s="5"/>
      <c r="C13" s="3"/>
      <c r="D13" s="28"/>
      <c r="E13" s="25"/>
      <c r="H13" s="28"/>
    </row>
    <row r="14" spans="1:8" ht="19.5" thickBot="1" x14ac:dyDescent="0.35">
      <c r="A14" s="5"/>
      <c r="C14" s="3"/>
      <c r="D14" s="22"/>
      <c r="E14" s="25"/>
      <c r="H14" s="22"/>
    </row>
    <row r="15" spans="1:8" ht="18.75" customHeight="1" x14ac:dyDescent="0.3">
      <c r="D15" s="4">
        <f>SUM(D7:D14)</f>
        <v>67719</v>
      </c>
      <c r="H15" s="4">
        <f>SUM(H7:H14)</f>
        <v>10813</v>
      </c>
    </row>
    <row r="16" spans="1:8" ht="18.75" x14ac:dyDescent="0.3">
      <c r="A16" s="5"/>
      <c r="C16" s="3"/>
      <c r="D16" s="4"/>
      <c r="H16" s="4"/>
    </row>
    <row r="18" spans="1:8" ht="18.75" x14ac:dyDescent="0.3">
      <c r="A18" s="5"/>
      <c r="C18" s="3"/>
      <c r="D18" s="4"/>
      <c r="H18" s="4"/>
    </row>
    <row r="19" spans="1:8" ht="15.75" thickBot="1" x14ac:dyDescent="0.3">
      <c r="D19" s="7"/>
      <c r="H19" s="7"/>
    </row>
    <row r="21" spans="1:8" ht="18.75" x14ac:dyDescent="0.3">
      <c r="C21" t="s">
        <v>4</v>
      </c>
      <c r="D21" s="4">
        <f>D3-D15</f>
        <v>45926</v>
      </c>
      <c r="G21" t="s">
        <v>5</v>
      </c>
      <c r="H21" s="4">
        <f>H3-H15</f>
        <v>7332</v>
      </c>
    </row>
    <row r="24" spans="1:8" ht="15.75" x14ac:dyDescent="0.25">
      <c r="A24" t="s">
        <v>6</v>
      </c>
      <c r="C24" s="8">
        <f>D21</f>
        <v>45926</v>
      </c>
      <c r="E24" t="s">
        <v>10</v>
      </c>
      <c r="H24" s="6">
        <f>C33</f>
        <v>38139.42</v>
      </c>
    </row>
    <row r="26" spans="1:8" ht="15.75" x14ac:dyDescent="0.25">
      <c r="A26" t="s">
        <v>5</v>
      </c>
      <c r="B26" s="9" t="s">
        <v>7</v>
      </c>
      <c r="C26" s="8">
        <f>H21</f>
        <v>7332</v>
      </c>
      <c r="E26" s="13" t="s">
        <v>11</v>
      </c>
      <c r="F26" s="9" t="s">
        <v>12</v>
      </c>
      <c r="G26" s="15" t="s">
        <v>17</v>
      </c>
      <c r="H26" s="3">
        <f>-(F27*0.007)</f>
        <v>-668.5</v>
      </c>
    </row>
    <row r="27" spans="1:8" x14ac:dyDescent="0.25">
      <c r="F27" s="21">
        <f>D3-H3</f>
        <v>95500</v>
      </c>
    </row>
    <row r="28" spans="1:8" ht="15.75" x14ac:dyDescent="0.25">
      <c r="A28" t="s">
        <v>8</v>
      </c>
      <c r="B28" s="9" t="s">
        <v>7</v>
      </c>
      <c r="C28" s="8">
        <f>D3*0.004</f>
        <v>454.58</v>
      </c>
      <c r="F28" s="9" t="s">
        <v>13</v>
      </c>
      <c r="G28" s="16">
        <v>0.35</v>
      </c>
      <c r="H28" s="29">
        <f>-(F29*0.35)</f>
        <v>-13348.796999999999</v>
      </c>
    </row>
    <row r="29" spans="1:8" ht="15.75" thickBot="1" x14ac:dyDescent="0.3">
      <c r="F29" s="21">
        <f>H24</f>
        <v>38139.42</v>
      </c>
      <c r="H29" s="7"/>
    </row>
    <row r="30" spans="1:8" ht="15.75" x14ac:dyDescent="0.25">
      <c r="A30" t="s">
        <v>9</v>
      </c>
      <c r="B30" s="9" t="s">
        <v>7</v>
      </c>
      <c r="C30" s="10"/>
      <c r="G30" s="13" t="s">
        <v>14</v>
      </c>
      <c r="H30" s="6">
        <f>H24+H26+H28</f>
        <v>24122.123</v>
      </c>
    </row>
    <row r="31" spans="1:8" ht="15.75" thickBot="1" x14ac:dyDescent="0.3">
      <c r="A31" s="16"/>
      <c r="B31" s="14"/>
      <c r="C31" s="7"/>
    </row>
    <row r="32" spans="1:8" x14ac:dyDescent="0.25">
      <c r="E32" t="s">
        <v>151</v>
      </c>
      <c r="H32" s="20">
        <f>H30*0.5</f>
        <v>12061.0615</v>
      </c>
    </row>
    <row r="33" spans="1:8" ht="15.75" x14ac:dyDescent="0.25">
      <c r="A33" t="s">
        <v>10</v>
      </c>
      <c r="C33" s="10">
        <f>C24-C26-C28-C30</f>
        <v>38139.42</v>
      </c>
      <c r="H33" s="18"/>
    </row>
    <row r="34" spans="1:8" x14ac:dyDescent="0.25">
      <c r="H34" s="3"/>
    </row>
    <row r="35" spans="1:8" x14ac:dyDescent="0.25">
      <c r="H35" s="18"/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4A97F-ADB5-42CC-A3C3-5106A948DDEA}">
  <dimension ref="A1:H35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382</v>
      </c>
    </row>
    <row r="3" spans="1:8" ht="21" x14ac:dyDescent="0.35">
      <c r="A3" s="2" t="s">
        <v>1</v>
      </c>
      <c r="D3" s="11">
        <v>83300</v>
      </c>
      <c r="F3" s="12" t="s">
        <v>3</v>
      </c>
      <c r="H3" s="11">
        <v>13300</v>
      </c>
    </row>
    <row r="4" spans="1:8" x14ac:dyDescent="0.25">
      <c r="A4" s="13" t="s">
        <v>32</v>
      </c>
      <c r="C4" s="26">
        <v>490</v>
      </c>
    </row>
    <row r="5" spans="1:8" ht="21" x14ac:dyDescent="0.35">
      <c r="A5" s="2" t="s">
        <v>2</v>
      </c>
    </row>
    <row r="7" spans="1:8" ht="18.75" x14ac:dyDescent="0.3">
      <c r="A7" s="5" t="s">
        <v>221</v>
      </c>
      <c r="D7" s="4">
        <v>45750</v>
      </c>
      <c r="E7" s="25"/>
      <c r="H7" s="4"/>
    </row>
    <row r="8" spans="1:8" ht="18.75" x14ac:dyDescent="0.3">
      <c r="A8" s="5"/>
      <c r="D8" s="4"/>
      <c r="E8" s="25"/>
      <c r="H8" s="4"/>
    </row>
    <row r="9" spans="1:8" ht="18.75" x14ac:dyDescent="0.3">
      <c r="A9" s="5"/>
      <c r="D9" s="4"/>
      <c r="E9" s="25"/>
      <c r="H9" s="4"/>
    </row>
    <row r="10" spans="1:8" ht="18.75" x14ac:dyDescent="0.3">
      <c r="A10" s="5"/>
      <c r="D10" s="4"/>
      <c r="E10" s="25"/>
      <c r="H10" s="4"/>
    </row>
    <row r="11" spans="1:8" ht="18.75" x14ac:dyDescent="0.3">
      <c r="A11" s="5"/>
      <c r="D11" s="4"/>
      <c r="E11" s="25"/>
      <c r="H11" s="4"/>
    </row>
    <row r="12" spans="1:8" ht="18.75" x14ac:dyDescent="0.3">
      <c r="A12" s="5"/>
      <c r="C12" s="3"/>
      <c r="D12" s="27"/>
      <c r="E12" s="25"/>
      <c r="H12" s="27"/>
    </row>
    <row r="13" spans="1:8" ht="18.75" x14ac:dyDescent="0.3">
      <c r="A13" s="5"/>
      <c r="C13" s="3"/>
      <c r="D13" s="28"/>
      <c r="E13" s="25"/>
      <c r="H13" s="28"/>
    </row>
    <row r="14" spans="1:8" ht="19.5" thickBot="1" x14ac:dyDescent="0.35">
      <c r="A14" s="5"/>
      <c r="C14" s="3"/>
      <c r="D14" s="22"/>
      <c r="E14" s="25"/>
      <c r="H14" s="22"/>
    </row>
    <row r="15" spans="1:8" ht="18.75" customHeight="1" x14ac:dyDescent="0.3">
      <c r="D15" s="4">
        <f>SUM(D7:D14)</f>
        <v>45750</v>
      </c>
      <c r="H15" s="4">
        <f>SUM(H7:H14)</f>
        <v>0</v>
      </c>
    </row>
    <row r="16" spans="1:8" ht="18.75" x14ac:dyDescent="0.3">
      <c r="A16" s="5"/>
      <c r="C16" s="3"/>
      <c r="D16" s="4"/>
      <c r="H16" s="4"/>
    </row>
    <row r="18" spans="1:8" ht="18.75" x14ac:dyDescent="0.3">
      <c r="A18" s="5"/>
      <c r="C18" s="3"/>
      <c r="D18" s="4"/>
      <c r="H18" s="4"/>
    </row>
    <row r="19" spans="1:8" ht="15.75" thickBot="1" x14ac:dyDescent="0.3">
      <c r="D19" s="7"/>
      <c r="H19" s="7"/>
    </row>
    <row r="21" spans="1:8" ht="18.75" x14ac:dyDescent="0.3">
      <c r="C21" t="s">
        <v>4</v>
      </c>
      <c r="D21" s="4">
        <f>D3-D15</f>
        <v>37550</v>
      </c>
      <c r="G21" t="s">
        <v>5</v>
      </c>
      <c r="H21" s="4">
        <f>H3-H15</f>
        <v>13300</v>
      </c>
    </row>
    <row r="24" spans="1:8" ht="15.75" x14ac:dyDescent="0.25">
      <c r="A24" t="s">
        <v>6</v>
      </c>
      <c r="C24" s="8">
        <f>D21</f>
        <v>37550</v>
      </c>
      <c r="E24" t="s">
        <v>10</v>
      </c>
      <c r="H24" s="6">
        <f>C33</f>
        <v>23916.799999999999</v>
      </c>
    </row>
    <row r="26" spans="1:8" ht="15.75" x14ac:dyDescent="0.25">
      <c r="A26" t="s">
        <v>5</v>
      </c>
      <c r="B26" s="9" t="s">
        <v>7</v>
      </c>
      <c r="C26" s="8">
        <f>H21</f>
        <v>13300</v>
      </c>
      <c r="E26" s="13" t="s">
        <v>11</v>
      </c>
      <c r="F26" s="9" t="s">
        <v>12</v>
      </c>
      <c r="G26" s="15" t="s">
        <v>17</v>
      </c>
      <c r="H26" s="3">
        <f>-(F27*0.007)</f>
        <v>-490</v>
      </c>
    </row>
    <row r="27" spans="1:8" x14ac:dyDescent="0.25">
      <c r="F27" s="21">
        <f>D3-H3</f>
        <v>70000</v>
      </c>
    </row>
    <row r="28" spans="1:8" ht="15.75" x14ac:dyDescent="0.25">
      <c r="A28" t="s">
        <v>8</v>
      </c>
      <c r="B28" s="9" t="s">
        <v>7</v>
      </c>
      <c r="C28" s="8">
        <f>D3*0.004</f>
        <v>333.2</v>
      </c>
      <c r="F28" s="9" t="s">
        <v>13</v>
      </c>
      <c r="G28" s="16">
        <v>0.35</v>
      </c>
      <c r="H28" s="29">
        <f>-(F29*0.35)</f>
        <v>-8370.8799999999992</v>
      </c>
    </row>
    <row r="29" spans="1:8" ht="15.75" thickBot="1" x14ac:dyDescent="0.3">
      <c r="F29" s="21">
        <f>H24</f>
        <v>23916.799999999999</v>
      </c>
      <c r="H29" s="7"/>
    </row>
    <row r="30" spans="1:8" ht="15.75" x14ac:dyDescent="0.25">
      <c r="A30" t="s">
        <v>9</v>
      </c>
      <c r="B30" s="9" t="s">
        <v>7</v>
      </c>
      <c r="C30" s="10"/>
      <c r="G30" s="13" t="s">
        <v>14</v>
      </c>
      <c r="H30" s="6">
        <f>H24+H26+H28</f>
        <v>15055.92</v>
      </c>
    </row>
    <row r="31" spans="1:8" ht="15.75" thickBot="1" x14ac:dyDescent="0.3">
      <c r="A31" s="16"/>
      <c r="B31" s="14"/>
      <c r="C31" s="7"/>
    </row>
    <row r="32" spans="1:8" x14ac:dyDescent="0.25">
      <c r="E32" t="s">
        <v>151</v>
      </c>
      <c r="H32" s="20">
        <f>H30*0.5</f>
        <v>7527.96</v>
      </c>
    </row>
    <row r="33" spans="1:8" ht="15.75" x14ac:dyDescent="0.25">
      <c r="A33" t="s">
        <v>10</v>
      </c>
      <c r="C33" s="10">
        <f>C24-C26-C28-C30</f>
        <v>23916.799999999999</v>
      </c>
      <c r="H33" s="18"/>
    </row>
    <row r="34" spans="1:8" x14ac:dyDescent="0.25">
      <c r="H34" s="3"/>
    </row>
    <row r="35" spans="1:8" x14ac:dyDescent="0.25">
      <c r="H35" s="18"/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CDAAD-7A65-49E0-8AB4-AD61EFDE7384}">
  <dimension ref="A1:H35"/>
  <sheetViews>
    <sheetView workbookViewId="0">
      <selection activeCell="C5" sqref="C5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383</v>
      </c>
    </row>
    <row r="3" spans="1:8" ht="21" x14ac:dyDescent="0.35">
      <c r="A3" s="2" t="s">
        <v>1</v>
      </c>
      <c r="D3" s="11">
        <v>42840</v>
      </c>
      <c r="F3" s="12" t="s">
        <v>3</v>
      </c>
      <c r="H3" s="11">
        <v>6840</v>
      </c>
    </row>
    <row r="4" spans="1:8" x14ac:dyDescent="0.25">
      <c r="A4" s="13" t="s">
        <v>32</v>
      </c>
      <c r="C4" s="26">
        <v>494</v>
      </c>
    </row>
    <row r="5" spans="1:8" ht="21" x14ac:dyDescent="0.35">
      <c r="A5" s="2" t="s">
        <v>2</v>
      </c>
    </row>
    <row r="7" spans="1:8" ht="18.75" x14ac:dyDescent="0.3">
      <c r="A7" s="5" t="s">
        <v>221</v>
      </c>
      <c r="D7" s="4">
        <v>28560</v>
      </c>
      <c r="E7" s="25"/>
      <c r="H7" s="4">
        <v>4560</v>
      </c>
    </row>
    <row r="8" spans="1:8" ht="18.75" x14ac:dyDescent="0.3">
      <c r="A8" s="5"/>
      <c r="D8" s="4"/>
      <c r="E8" s="25"/>
      <c r="H8" s="4"/>
    </row>
    <row r="9" spans="1:8" ht="18.75" x14ac:dyDescent="0.3">
      <c r="A9" s="5"/>
      <c r="D9" s="4"/>
      <c r="E9" s="25"/>
      <c r="H9" s="4"/>
    </row>
    <row r="10" spans="1:8" ht="18.75" x14ac:dyDescent="0.3">
      <c r="A10" s="5"/>
      <c r="D10" s="4"/>
      <c r="E10" s="25"/>
      <c r="H10" s="4"/>
    </row>
    <row r="11" spans="1:8" ht="18.75" x14ac:dyDescent="0.3">
      <c r="A11" s="5"/>
      <c r="D11" s="4"/>
      <c r="E11" s="25"/>
      <c r="H11" s="4"/>
    </row>
    <row r="12" spans="1:8" ht="18.75" x14ac:dyDescent="0.3">
      <c r="A12" s="5"/>
      <c r="C12" s="3"/>
      <c r="D12" s="27"/>
      <c r="E12" s="25"/>
      <c r="H12" s="27"/>
    </row>
    <row r="13" spans="1:8" ht="18.75" x14ac:dyDescent="0.3">
      <c r="A13" s="5"/>
      <c r="C13" s="3"/>
      <c r="D13" s="28"/>
      <c r="E13" s="25"/>
      <c r="H13" s="28"/>
    </row>
    <row r="14" spans="1:8" ht="19.5" thickBot="1" x14ac:dyDescent="0.35">
      <c r="A14" s="5"/>
      <c r="C14" s="3"/>
      <c r="D14" s="22"/>
      <c r="E14" s="25"/>
      <c r="H14" s="22"/>
    </row>
    <row r="15" spans="1:8" ht="18.75" customHeight="1" x14ac:dyDescent="0.3">
      <c r="D15" s="4">
        <f>SUM(D7:D14)</f>
        <v>28560</v>
      </c>
      <c r="H15" s="4">
        <f>SUM(H7:H14)</f>
        <v>4560</v>
      </c>
    </row>
    <row r="16" spans="1:8" ht="18.75" x14ac:dyDescent="0.3">
      <c r="A16" s="5"/>
      <c r="C16" s="3"/>
      <c r="D16" s="4"/>
      <c r="H16" s="4"/>
    </row>
    <row r="18" spans="1:8" ht="18.75" x14ac:dyDescent="0.3">
      <c r="A18" s="5"/>
      <c r="C18" s="3"/>
      <c r="D18" s="4"/>
      <c r="H18" s="4"/>
    </row>
    <row r="19" spans="1:8" ht="15.75" thickBot="1" x14ac:dyDescent="0.3">
      <c r="D19" s="7"/>
      <c r="H19" s="7"/>
    </row>
    <row r="21" spans="1:8" ht="18.75" x14ac:dyDescent="0.3">
      <c r="C21" t="s">
        <v>4</v>
      </c>
      <c r="D21" s="4">
        <f>D3-D15</f>
        <v>14280</v>
      </c>
      <c r="G21" t="s">
        <v>5</v>
      </c>
      <c r="H21" s="4">
        <f>H3-H15</f>
        <v>2280</v>
      </c>
    </row>
    <row r="24" spans="1:8" ht="15.75" x14ac:dyDescent="0.25">
      <c r="A24" t="s">
        <v>6</v>
      </c>
      <c r="C24" s="8">
        <f>D21</f>
        <v>14280</v>
      </c>
      <c r="E24" t="s">
        <v>10</v>
      </c>
      <c r="H24" s="6">
        <f>C33</f>
        <v>11828.64</v>
      </c>
    </row>
    <row r="26" spans="1:8" ht="15.75" x14ac:dyDescent="0.25">
      <c r="A26" t="s">
        <v>5</v>
      </c>
      <c r="B26" s="9" t="s">
        <v>7</v>
      </c>
      <c r="C26" s="8">
        <f>H21</f>
        <v>2280</v>
      </c>
      <c r="E26" s="13" t="s">
        <v>11</v>
      </c>
      <c r="F26" s="9" t="s">
        <v>12</v>
      </c>
      <c r="G26" s="15" t="s">
        <v>17</v>
      </c>
      <c r="H26" s="3">
        <f>-(F27*0.007)</f>
        <v>-252</v>
      </c>
    </row>
    <row r="27" spans="1:8" x14ac:dyDescent="0.25">
      <c r="F27" s="21">
        <f>D3-H3</f>
        <v>36000</v>
      </c>
    </row>
    <row r="28" spans="1:8" ht="15.75" x14ac:dyDescent="0.25">
      <c r="A28" t="s">
        <v>8</v>
      </c>
      <c r="B28" s="9" t="s">
        <v>7</v>
      </c>
      <c r="C28" s="8">
        <f>D3*0.004</f>
        <v>171.36</v>
      </c>
      <c r="F28" s="9" t="s">
        <v>13</v>
      </c>
      <c r="G28" s="16">
        <v>0.35</v>
      </c>
      <c r="H28" s="29">
        <f>-(F29*0.35)</f>
        <v>-4140.0239999999994</v>
      </c>
    </row>
    <row r="29" spans="1:8" ht="15.75" thickBot="1" x14ac:dyDescent="0.3">
      <c r="F29" s="21">
        <f>H24</f>
        <v>11828.64</v>
      </c>
      <c r="H29" s="7"/>
    </row>
    <row r="30" spans="1:8" ht="15.75" x14ac:dyDescent="0.25">
      <c r="A30" t="s">
        <v>9</v>
      </c>
      <c r="B30" s="9" t="s">
        <v>7</v>
      </c>
      <c r="C30" s="10"/>
      <c r="G30" s="13" t="s">
        <v>14</v>
      </c>
      <c r="H30" s="6">
        <f>H24+H26+H28</f>
        <v>7436.616</v>
      </c>
    </row>
    <row r="31" spans="1:8" ht="15.75" thickBot="1" x14ac:dyDescent="0.3">
      <c r="A31" s="16"/>
      <c r="B31" s="14"/>
      <c r="C31" s="7"/>
    </row>
    <row r="32" spans="1:8" x14ac:dyDescent="0.25">
      <c r="E32" t="s">
        <v>151</v>
      </c>
      <c r="H32" s="20">
        <f>H30*0.5</f>
        <v>3718.308</v>
      </c>
    </row>
    <row r="33" spans="1:8" ht="15.75" x14ac:dyDescent="0.25">
      <c r="A33" t="s">
        <v>10</v>
      </c>
      <c r="C33" s="10">
        <f>C24-C26-C28-C30</f>
        <v>11828.64</v>
      </c>
      <c r="H33" s="18"/>
    </row>
    <row r="34" spans="1:8" x14ac:dyDescent="0.25">
      <c r="H34" s="3"/>
    </row>
    <row r="35" spans="1:8" x14ac:dyDescent="0.25">
      <c r="H35" s="18"/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1B66B-E3F1-468C-B349-6E067D0671D1}">
  <dimension ref="A1:H35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384</v>
      </c>
    </row>
    <row r="3" spans="1:8" ht="21" x14ac:dyDescent="0.35">
      <c r="A3" s="2" t="s">
        <v>1</v>
      </c>
      <c r="D3" s="11">
        <v>4368750</v>
      </c>
      <c r="F3" s="12" t="s">
        <v>3</v>
      </c>
      <c r="H3" s="11">
        <v>712500</v>
      </c>
    </row>
    <row r="4" spans="1:8" x14ac:dyDescent="0.25">
      <c r="A4" s="13" t="s">
        <v>32</v>
      </c>
      <c r="C4" s="26">
        <v>495</v>
      </c>
    </row>
    <row r="5" spans="1:8" ht="21" x14ac:dyDescent="0.35">
      <c r="A5" s="2" t="s">
        <v>2</v>
      </c>
    </row>
    <row r="7" spans="1:8" ht="18.75" x14ac:dyDescent="0.3">
      <c r="A7" s="5" t="s">
        <v>385</v>
      </c>
      <c r="D7" s="4">
        <v>3435943</v>
      </c>
      <c r="E7" s="25"/>
      <c r="H7" s="4">
        <v>548596</v>
      </c>
    </row>
    <row r="8" spans="1:8" ht="18.75" x14ac:dyDescent="0.3">
      <c r="A8" s="5"/>
      <c r="D8" s="4"/>
      <c r="E8" s="25"/>
      <c r="H8" s="4"/>
    </row>
    <row r="9" spans="1:8" ht="18.75" x14ac:dyDescent="0.3">
      <c r="A9" s="5"/>
      <c r="D9" s="4"/>
      <c r="E9" s="25"/>
      <c r="H9" s="4"/>
    </row>
    <row r="10" spans="1:8" ht="18.75" x14ac:dyDescent="0.3">
      <c r="A10" s="5"/>
      <c r="D10" s="4"/>
      <c r="E10" s="25"/>
      <c r="H10" s="4"/>
    </row>
    <row r="11" spans="1:8" ht="18.75" x14ac:dyDescent="0.3">
      <c r="A11" s="5"/>
      <c r="D11" s="4"/>
      <c r="E11" s="25"/>
      <c r="H11" s="4"/>
    </row>
    <row r="12" spans="1:8" ht="18.75" x14ac:dyDescent="0.3">
      <c r="A12" s="5"/>
      <c r="C12" s="3"/>
      <c r="D12" s="27"/>
      <c r="E12" s="25"/>
      <c r="H12" s="27"/>
    </row>
    <row r="13" spans="1:8" ht="18.75" x14ac:dyDescent="0.3">
      <c r="A13" s="5"/>
      <c r="C13" s="3"/>
      <c r="D13" s="28"/>
      <c r="E13" s="25"/>
      <c r="H13" s="28"/>
    </row>
    <row r="14" spans="1:8" ht="19.5" thickBot="1" x14ac:dyDescent="0.35">
      <c r="A14" s="5"/>
      <c r="C14" s="3"/>
      <c r="D14" s="22"/>
      <c r="E14" s="25"/>
      <c r="H14" s="22"/>
    </row>
    <row r="15" spans="1:8" ht="18.75" customHeight="1" x14ac:dyDescent="0.3">
      <c r="D15" s="4">
        <f>SUM(D7:D14)</f>
        <v>3435943</v>
      </c>
      <c r="H15" s="4">
        <f>SUM(H7:H14)</f>
        <v>548596</v>
      </c>
    </row>
    <row r="16" spans="1:8" ht="18.75" x14ac:dyDescent="0.3">
      <c r="A16" s="5"/>
      <c r="C16" s="3"/>
      <c r="D16" s="4"/>
      <c r="H16" s="4"/>
    </row>
    <row r="18" spans="1:8" ht="18.75" x14ac:dyDescent="0.3">
      <c r="A18" s="5"/>
      <c r="C18" s="3"/>
      <c r="D18" s="4"/>
      <c r="H18" s="4"/>
    </row>
    <row r="19" spans="1:8" ht="15.75" thickBot="1" x14ac:dyDescent="0.3">
      <c r="D19" s="7"/>
      <c r="H19" s="7"/>
    </row>
    <row r="21" spans="1:8" ht="18.75" x14ac:dyDescent="0.3">
      <c r="C21" t="s">
        <v>4</v>
      </c>
      <c r="D21" s="4">
        <f>D3-D15</f>
        <v>932807</v>
      </c>
      <c r="G21" t="s">
        <v>5</v>
      </c>
      <c r="H21" s="4">
        <f>H3-H15</f>
        <v>163904</v>
      </c>
    </row>
    <row r="24" spans="1:8" ht="15.75" x14ac:dyDescent="0.25">
      <c r="A24" t="s">
        <v>6</v>
      </c>
      <c r="C24" s="8">
        <f>D21</f>
        <v>932807</v>
      </c>
      <c r="E24" t="s">
        <v>10</v>
      </c>
      <c r="H24" s="6">
        <f>C33</f>
        <v>751428</v>
      </c>
    </row>
    <row r="26" spans="1:8" ht="15.75" x14ac:dyDescent="0.25">
      <c r="A26" t="s">
        <v>5</v>
      </c>
      <c r="B26" s="9" t="s">
        <v>7</v>
      </c>
      <c r="C26" s="8">
        <f>H21</f>
        <v>163904</v>
      </c>
      <c r="E26" s="13" t="s">
        <v>11</v>
      </c>
      <c r="F26" s="9" t="s">
        <v>12</v>
      </c>
      <c r="G26" s="15" t="s">
        <v>17</v>
      </c>
      <c r="H26" s="3">
        <f>-(F27*0.007)</f>
        <v>-25593.75</v>
      </c>
    </row>
    <row r="27" spans="1:8" x14ac:dyDescent="0.25">
      <c r="F27" s="21">
        <f>D3-H3</f>
        <v>3656250</v>
      </c>
    </row>
    <row r="28" spans="1:8" ht="15.75" x14ac:dyDescent="0.25">
      <c r="A28" t="s">
        <v>8</v>
      </c>
      <c r="B28" s="9" t="s">
        <v>7</v>
      </c>
      <c r="C28" s="8">
        <f>D3*0.004</f>
        <v>17475</v>
      </c>
      <c r="F28" s="9" t="s">
        <v>13</v>
      </c>
      <c r="G28" s="16">
        <v>0.35</v>
      </c>
      <c r="H28" s="29">
        <f>-(F29*0.35)</f>
        <v>-262999.8</v>
      </c>
    </row>
    <row r="29" spans="1:8" ht="15.75" thickBot="1" x14ac:dyDescent="0.3">
      <c r="F29" s="21">
        <f>H24</f>
        <v>751428</v>
      </c>
      <c r="H29" s="7"/>
    </row>
    <row r="30" spans="1:8" ht="15.75" x14ac:dyDescent="0.25">
      <c r="A30" t="s">
        <v>9</v>
      </c>
      <c r="B30" s="9" t="s">
        <v>7</v>
      </c>
      <c r="C30" s="10"/>
      <c r="G30" s="13" t="s">
        <v>14</v>
      </c>
      <c r="H30" s="6">
        <f>H24+H26+H28</f>
        <v>462834.45</v>
      </c>
    </row>
    <row r="31" spans="1:8" ht="15.75" thickBot="1" x14ac:dyDescent="0.3">
      <c r="A31" s="16"/>
      <c r="B31" s="14"/>
      <c r="C31" s="7"/>
    </row>
    <row r="32" spans="1:8" x14ac:dyDescent="0.25">
      <c r="E32" t="s">
        <v>151</v>
      </c>
      <c r="H32" s="20">
        <f>H30*0.5</f>
        <v>231417.22500000001</v>
      </c>
    </row>
    <row r="33" spans="1:8" ht="15.75" x14ac:dyDescent="0.25">
      <c r="A33" t="s">
        <v>10</v>
      </c>
      <c r="C33" s="10">
        <f>C24-C26-C28-C30</f>
        <v>751428</v>
      </c>
      <c r="H33" s="18"/>
    </row>
    <row r="34" spans="1:8" x14ac:dyDescent="0.25">
      <c r="H34" s="3"/>
    </row>
    <row r="35" spans="1:8" x14ac:dyDescent="0.25">
      <c r="H35" s="18"/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D2580-BE84-41CA-A8DE-B29CBCF48D07}">
  <dimension ref="A1:H35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386</v>
      </c>
    </row>
    <row r="3" spans="1:8" ht="21" x14ac:dyDescent="0.35">
      <c r="A3" s="2" t="s">
        <v>1</v>
      </c>
      <c r="D3" s="11">
        <v>273700</v>
      </c>
      <c r="F3" s="12" t="s">
        <v>3</v>
      </c>
      <c r="H3" s="11">
        <v>43700</v>
      </c>
    </row>
    <row r="4" spans="1:8" x14ac:dyDescent="0.25">
      <c r="A4" s="13" t="s">
        <v>32</v>
      </c>
      <c r="C4" s="26">
        <v>496</v>
      </c>
    </row>
    <row r="5" spans="1:8" ht="21" x14ac:dyDescent="0.35">
      <c r="A5" s="2" t="s">
        <v>2</v>
      </c>
    </row>
    <row r="7" spans="1:8" ht="18.75" x14ac:dyDescent="0.3">
      <c r="A7" s="5" t="s">
        <v>387</v>
      </c>
      <c r="D7" s="4">
        <v>85680</v>
      </c>
      <c r="E7" s="25"/>
      <c r="H7" s="4">
        <v>13680</v>
      </c>
    </row>
    <row r="8" spans="1:8" ht="18.75" x14ac:dyDescent="0.3">
      <c r="A8" s="5" t="s">
        <v>388</v>
      </c>
      <c r="D8" s="4">
        <v>50000</v>
      </c>
      <c r="E8" s="25"/>
      <c r="H8" s="4"/>
    </row>
    <row r="9" spans="1:8" ht="18.75" x14ac:dyDescent="0.3">
      <c r="A9" s="5"/>
      <c r="D9" s="4"/>
      <c r="E9" s="25"/>
      <c r="H9" s="4"/>
    </row>
    <row r="10" spans="1:8" ht="18.75" x14ac:dyDescent="0.3">
      <c r="A10" s="5"/>
      <c r="D10" s="4"/>
      <c r="E10" s="25"/>
      <c r="H10" s="4"/>
    </row>
    <row r="11" spans="1:8" ht="18.75" x14ac:dyDescent="0.3">
      <c r="A11" s="5"/>
      <c r="D11" s="4"/>
      <c r="E11" s="25"/>
      <c r="H11" s="4"/>
    </row>
    <row r="12" spans="1:8" ht="18.75" x14ac:dyDescent="0.3">
      <c r="A12" s="5"/>
      <c r="C12" s="3"/>
      <c r="D12" s="27"/>
      <c r="E12" s="25"/>
      <c r="H12" s="27"/>
    </row>
    <row r="13" spans="1:8" ht="18.75" x14ac:dyDescent="0.3">
      <c r="A13" s="5"/>
      <c r="C13" s="3"/>
      <c r="D13" s="28"/>
      <c r="E13" s="25"/>
      <c r="H13" s="28"/>
    </row>
    <row r="14" spans="1:8" ht="19.5" thickBot="1" x14ac:dyDescent="0.35">
      <c r="A14" s="5"/>
      <c r="C14" s="3"/>
      <c r="D14" s="22"/>
      <c r="E14" s="25"/>
      <c r="H14" s="22"/>
    </row>
    <row r="15" spans="1:8" ht="18.75" customHeight="1" x14ac:dyDescent="0.3">
      <c r="D15" s="4">
        <f>SUM(D7:D14)</f>
        <v>135680</v>
      </c>
      <c r="H15" s="4">
        <f>SUM(H7:H14)</f>
        <v>13680</v>
      </c>
    </row>
    <row r="16" spans="1:8" ht="18.75" x14ac:dyDescent="0.3">
      <c r="A16" s="5"/>
      <c r="C16" s="3"/>
      <c r="D16" s="4"/>
      <c r="H16" s="4"/>
    </row>
    <row r="18" spans="1:8" ht="18.75" x14ac:dyDescent="0.3">
      <c r="A18" s="5"/>
      <c r="C18" s="3"/>
      <c r="D18" s="4"/>
      <c r="H18" s="4"/>
    </row>
    <row r="19" spans="1:8" ht="15.75" thickBot="1" x14ac:dyDescent="0.3">
      <c r="D19" s="7"/>
      <c r="H19" s="7"/>
    </row>
    <row r="21" spans="1:8" ht="18.75" x14ac:dyDescent="0.3">
      <c r="C21" t="s">
        <v>4</v>
      </c>
      <c r="D21" s="4">
        <f>D3-D15</f>
        <v>138020</v>
      </c>
      <c r="G21" t="s">
        <v>5</v>
      </c>
      <c r="H21" s="4">
        <f>H3-H15</f>
        <v>30020</v>
      </c>
    </row>
    <row r="24" spans="1:8" ht="15.75" x14ac:dyDescent="0.25">
      <c r="A24" t="s">
        <v>6</v>
      </c>
      <c r="C24" s="8">
        <f>D21</f>
        <v>138020</v>
      </c>
      <c r="E24" t="s">
        <v>10</v>
      </c>
      <c r="H24" s="6">
        <f>C33</f>
        <v>106905.2</v>
      </c>
    </row>
    <row r="26" spans="1:8" ht="15.75" x14ac:dyDescent="0.25">
      <c r="A26" t="s">
        <v>5</v>
      </c>
      <c r="B26" s="9" t="s">
        <v>7</v>
      </c>
      <c r="C26" s="8">
        <f>H21</f>
        <v>30020</v>
      </c>
      <c r="E26" s="13" t="s">
        <v>11</v>
      </c>
      <c r="F26" s="9" t="s">
        <v>12</v>
      </c>
      <c r="G26" s="15" t="s">
        <v>17</v>
      </c>
      <c r="H26" s="3">
        <f>-(F27*0.007)</f>
        <v>-1610</v>
      </c>
    </row>
    <row r="27" spans="1:8" x14ac:dyDescent="0.25">
      <c r="F27" s="21">
        <f>D3-H3</f>
        <v>230000</v>
      </c>
    </row>
    <row r="28" spans="1:8" ht="15.75" x14ac:dyDescent="0.25">
      <c r="A28" t="s">
        <v>8</v>
      </c>
      <c r="B28" s="9" t="s">
        <v>7</v>
      </c>
      <c r="C28" s="8">
        <f>D3*0.004</f>
        <v>1094.8</v>
      </c>
      <c r="F28" s="9" t="s">
        <v>13</v>
      </c>
      <c r="G28" s="16">
        <v>0.35</v>
      </c>
      <c r="H28" s="29">
        <f>-(F29*0.35)</f>
        <v>-37416.82</v>
      </c>
    </row>
    <row r="29" spans="1:8" ht="15.75" thickBot="1" x14ac:dyDescent="0.3">
      <c r="F29" s="21">
        <f>H24</f>
        <v>106905.2</v>
      </c>
      <c r="H29" s="7"/>
    </row>
    <row r="30" spans="1:8" ht="15.75" x14ac:dyDescent="0.25">
      <c r="A30" t="s">
        <v>9</v>
      </c>
      <c r="B30" s="9" t="s">
        <v>7</v>
      </c>
      <c r="C30" s="10"/>
      <c r="G30" s="13" t="s">
        <v>14</v>
      </c>
      <c r="H30" s="6">
        <f>H24+H26+H28</f>
        <v>67878.38</v>
      </c>
    </row>
    <row r="31" spans="1:8" ht="15.75" thickBot="1" x14ac:dyDescent="0.3">
      <c r="A31" s="16"/>
      <c r="B31" s="14"/>
      <c r="C31" s="7"/>
    </row>
    <row r="32" spans="1:8" x14ac:dyDescent="0.25">
      <c r="E32" t="s">
        <v>151</v>
      </c>
      <c r="H32" s="20">
        <f>H30*0.5</f>
        <v>33939.19</v>
      </c>
    </row>
    <row r="33" spans="1:8" ht="15.75" x14ac:dyDescent="0.25">
      <c r="A33" t="s">
        <v>10</v>
      </c>
      <c r="C33" s="10">
        <f>C24-C26-C28-C30</f>
        <v>106905.2</v>
      </c>
      <c r="H33" s="18"/>
    </row>
    <row r="34" spans="1:8" x14ac:dyDescent="0.25">
      <c r="H34" s="3"/>
    </row>
    <row r="35" spans="1:8" x14ac:dyDescent="0.25">
      <c r="H35" s="18"/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CFE8B-160F-448F-B1AA-9287E9D7C420}">
  <dimension ref="A1:H35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389</v>
      </c>
    </row>
    <row r="3" spans="1:8" ht="21" x14ac:dyDescent="0.35">
      <c r="A3" s="2" t="s">
        <v>1</v>
      </c>
      <c r="D3" s="11">
        <v>5708500</v>
      </c>
      <c r="F3" s="12" t="s">
        <v>3</v>
      </c>
      <c r="H3" s="11">
        <v>931000</v>
      </c>
    </row>
    <row r="4" spans="1:8" x14ac:dyDescent="0.25">
      <c r="A4" s="13" t="s">
        <v>32</v>
      </c>
      <c r="C4" s="26">
        <v>499</v>
      </c>
    </row>
    <row r="5" spans="1:8" ht="21" x14ac:dyDescent="0.35">
      <c r="A5" s="2" t="s">
        <v>2</v>
      </c>
    </row>
    <row r="7" spans="1:8" ht="18.75" x14ac:dyDescent="0.3">
      <c r="A7" s="5" t="s">
        <v>390</v>
      </c>
      <c r="D7" s="4">
        <v>3559945</v>
      </c>
      <c r="E7" s="25"/>
      <c r="H7" s="4">
        <v>568395</v>
      </c>
    </row>
    <row r="8" spans="1:8" ht="18.75" x14ac:dyDescent="0.3">
      <c r="A8" s="5"/>
      <c r="D8" s="4"/>
      <c r="E8" s="25"/>
      <c r="H8" s="4"/>
    </row>
    <row r="9" spans="1:8" ht="18.75" x14ac:dyDescent="0.3">
      <c r="A9" s="5"/>
      <c r="D9" s="4"/>
      <c r="E9" s="25"/>
      <c r="H9" s="4"/>
    </row>
    <row r="10" spans="1:8" ht="18.75" x14ac:dyDescent="0.3">
      <c r="A10" s="5"/>
      <c r="D10" s="4"/>
      <c r="E10" s="25"/>
      <c r="H10" s="4"/>
    </row>
    <row r="11" spans="1:8" ht="18.75" x14ac:dyDescent="0.3">
      <c r="A11" s="5"/>
      <c r="D11" s="4"/>
      <c r="E11" s="25"/>
      <c r="H11" s="4"/>
    </row>
    <row r="12" spans="1:8" ht="18.75" x14ac:dyDescent="0.3">
      <c r="A12" s="5"/>
      <c r="C12" s="3"/>
      <c r="D12" s="27"/>
      <c r="E12" s="25"/>
      <c r="H12" s="27"/>
    </row>
    <row r="13" spans="1:8" ht="18.75" x14ac:dyDescent="0.3">
      <c r="A13" s="5"/>
      <c r="C13" s="3"/>
      <c r="D13" s="28"/>
      <c r="E13" s="25"/>
      <c r="H13" s="28"/>
    </row>
    <row r="14" spans="1:8" ht="19.5" thickBot="1" x14ac:dyDescent="0.35">
      <c r="A14" s="5"/>
      <c r="C14" s="3"/>
      <c r="D14" s="22"/>
      <c r="E14" s="25"/>
      <c r="H14" s="22"/>
    </row>
    <row r="15" spans="1:8" ht="18.75" customHeight="1" x14ac:dyDescent="0.3">
      <c r="D15" s="4">
        <f>SUM(D7:D14)</f>
        <v>3559945</v>
      </c>
      <c r="H15" s="4">
        <f>SUM(H7:H14)</f>
        <v>568395</v>
      </c>
    </row>
    <row r="16" spans="1:8" ht="18.75" x14ac:dyDescent="0.3">
      <c r="A16" s="5"/>
      <c r="C16" s="3"/>
      <c r="D16" s="4"/>
      <c r="H16" s="4"/>
    </row>
    <row r="18" spans="1:8" ht="18.75" x14ac:dyDescent="0.3">
      <c r="A18" s="5"/>
      <c r="C18" s="3"/>
      <c r="D18" s="4"/>
      <c r="H18" s="4"/>
    </row>
    <row r="19" spans="1:8" ht="15.75" thickBot="1" x14ac:dyDescent="0.3">
      <c r="D19" s="7"/>
      <c r="H19" s="7"/>
    </row>
    <row r="21" spans="1:8" ht="18.75" x14ac:dyDescent="0.3">
      <c r="C21" t="s">
        <v>4</v>
      </c>
      <c r="D21" s="4">
        <f>D3-D15</f>
        <v>2148555</v>
      </c>
      <c r="G21" t="s">
        <v>5</v>
      </c>
      <c r="H21" s="4">
        <f>H3-H15</f>
        <v>362605</v>
      </c>
    </row>
    <row r="24" spans="1:8" ht="15.75" x14ac:dyDescent="0.25">
      <c r="A24" t="s">
        <v>6</v>
      </c>
      <c r="C24" s="8">
        <f>D21</f>
        <v>2148555</v>
      </c>
      <c r="E24" t="s">
        <v>10</v>
      </c>
      <c r="H24" s="6">
        <f>C33</f>
        <v>1763116</v>
      </c>
    </row>
    <row r="26" spans="1:8" ht="15.75" x14ac:dyDescent="0.25">
      <c r="A26" t="s">
        <v>5</v>
      </c>
      <c r="B26" s="9" t="s">
        <v>7</v>
      </c>
      <c r="C26" s="8">
        <f>H21</f>
        <v>362605</v>
      </c>
      <c r="E26" s="13" t="s">
        <v>11</v>
      </c>
      <c r="F26" s="9" t="s">
        <v>12</v>
      </c>
      <c r="G26" s="15" t="s">
        <v>17</v>
      </c>
      <c r="H26" s="3">
        <f>-(F27*0.007)</f>
        <v>-34300</v>
      </c>
    </row>
    <row r="27" spans="1:8" x14ac:dyDescent="0.25">
      <c r="F27" s="21">
        <v>4900000</v>
      </c>
    </row>
    <row r="28" spans="1:8" ht="15.75" x14ac:dyDescent="0.25">
      <c r="A28" t="s">
        <v>8</v>
      </c>
      <c r="B28" s="9" t="s">
        <v>7</v>
      </c>
      <c r="C28" s="8">
        <f>D3*0.004</f>
        <v>22834</v>
      </c>
      <c r="F28" s="9" t="s">
        <v>13</v>
      </c>
      <c r="G28" s="16">
        <v>0.35</v>
      </c>
      <c r="H28" s="29">
        <f>-(F29*0.35)</f>
        <v>-617090.6</v>
      </c>
    </row>
    <row r="29" spans="1:8" ht="15.75" thickBot="1" x14ac:dyDescent="0.3">
      <c r="F29" s="21">
        <f>H24</f>
        <v>1763116</v>
      </c>
      <c r="H29" s="7"/>
    </row>
    <row r="30" spans="1:8" ht="15.75" x14ac:dyDescent="0.25">
      <c r="A30" t="s">
        <v>9</v>
      </c>
      <c r="B30" s="9" t="s">
        <v>7</v>
      </c>
      <c r="C30" s="10"/>
      <c r="G30" s="13" t="s">
        <v>14</v>
      </c>
      <c r="H30" s="6">
        <f>H24+H26+H28</f>
        <v>1111725.3999999999</v>
      </c>
    </row>
    <row r="31" spans="1:8" ht="15.75" thickBot="1" x14ac:dyDescent="0.3">
      <c r="A31" s="16"/>
      <c r="B31" s="14"/>
      <c r="C31" s="7"/>
    </row>
    <row r="32" spans="1:8" x14ac:dyDescent="0.25">
      <c r="E32" t="s">
        <v>151</v>
      </c>
      <c r="H32" s="20">
        <f>H30*0.5</f>
        <v>555862.69999999995</v>
      </c>
    </row>
    <row r="33" spans="1:8" ht="15.75" x14ac:dyDescent="0.25">
      <c r="A33" t="s">
        <v>10</v>
      </c>
      <c r="C33" s="10">
        <f>C24-C26-C28-C30</f>
        <v>1763116</v>
      </c>
      <c r="H33" s="18"/>
    </row>
    <row r="34" spans="1:8" x14ac:dyDescent="0.25">
      <c r="H34" s="3"/>
    </row>
    <row r="35" spans="1:8" x14ac:dyDescent="0.25">
      <c r="H35" s="18"/>
    </row>
  </sheetData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6464B-619A-4D02-8F14-26440B5BA32C}">
  <dimension ref="A1:H35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391</v>
      </c>
    </row>
    <row r="3" spans="1:8" ht="21" x14ac:dyDescent="0.35">
      <c r="A3" s="2" t="s">
        <v>1</v>
      </c>
      <c r="D3" s="11">
        <v>1181670</v>
      </c>
      <c r="F3" s="12" t="s">
        <v>3</v>
      </c>
      <c r="H3" s="11">
        <v>188670</v>
      </c>
    </row>
    <row r="4" spans="1:8" x14ac:dyDescent="0.25">
      <c r="A4" s="13" t="s">
        <v>32</v>
      </c>
      <c r="C4" s="26">
        <v>500</v>
      </c>
    </row>
    <row r="5" spans="1:8" ht="21" x14ac:dyDescent="0.35">
      <c r="A5" s="2" t="s">
        <v>2</v>
      </c>
    </row>
    <row r="7" spans="1:8" ht="18.75" x14ac:dyDescent="0.3">
      <c r="A7" s="5" t="s">
        <v>392</v>
      </c>
      <c r="D7" s="4">
        <v>605332</v>
      </c>
      <c r="E7" s="25"/>
      <c r="H7" s="4">
        <v>96650</v>
      </c>
    </row>
    <row r="8" spans="1:8" ht="18.75" x14ac:dyDescent="0.3">
      <c r="A8" s="5" t="s">
        <v>393</v>
      </c>
      <c r="D8" s="4">
        <v>98693</v>
      </c>
      <c r="E8" s="25"/>
      <c r="H8" s="4">
        <v>15758</v>
      </c>
    </row>
    <row r="9" spans="1:8" ht="18.75" x14ac:dyDescent="0.3">
      <c r="A9" s="5" t="s">
        <v>394</v>
      </c>
      <c r="D9" s="4">
        <v>50000</v>
      </c>
      <c r="E9" s="25"/>
      <c r="H9" s="4"/>
    </row>
    <row r="10" spans="1:8" ht="18.75" x14ac:dyDescent="0.3">
      <c r="A10" s="5"/>
      <c r="D10" s="4"/>
      <c r="E10" s="25"/>
      <c r="H10" s="4"/>
    </row>
    <row r="11" spans="1:8" ht="18.75" x14ac:dyDescent="0.3">
      <c r="A11" s="5"/>
      <c r="D11" s="4"/>
      <c r="E11" s="25"/>
      <c r="H11" s="4"/>
    </row>
    <row r="12" spans="1:8" ht="18.75" x14ac:dyDescent="0.3">
      <c r="A12" s="5"/>
      <c r="C12" s="3"/>
      <c r="D12" s="27"/>
      <c r="E12" s="25"/>
      <c r="H12" s="27"/>
    </row>
    <row r="13" spans="1:8" ht="18.75" x14ac:dyDescent="0.3">
      <c r="A13" s="5"/>
      <c r="C13" s="3"/>
      <c r="D13" s="28"/>
      <c r="E13" s="25"/>
      <c r="H13" s="28"/>
    </row>
    <row r="14" spans="1:8" ht="19.5" thickBot="1" x14ac:dyDescent="0.35">
      <c r="A14" s="5"/>
      <c r="C14" s="3"/>
      <c r="D14" s="22"/>
      <c r="E14" s="25"/>
      <c r="H14" s="22"/>
    </row>
    <row r="15" spans="1:8" ht="18.75" customHeight="1" x14ac:dyDescent="0.3">
      <c r="D15" s="4">
        <f>SUM(D7:D14)</f>
        <v>754025</v>
      </c>
      <c r="H15" s="4">
        <f>SUM(H7:H14)</f>
        <v>112408</v>
      </c>
    </row>
    <row r="16" spans="1:8" ht="18.75" x14ac:dyDescent="0.3">
      <c r="A16" s="5"/>
      <c r="C16" s="3"/>
      <c r="D16" s="4"/>
      <c r="H16" s="4"/>
    </row>
    <row r="18" spans="1:8" ht="18.75" x14ac:dyDescent="0.3">
      <c r="A18" s="5"/>
      <c r="C18" s="3"/>
      <c r="D18" s="4"/>
      <c r="H18" s="4"/>
    </row>
    <row r="19" spans="1:8" ht="15.75" thickBot="1" x14ac:dyDescent="0.3">
      <c r="D19" s="7"/>
      <c r="H19" s="7"/>
    </row>
    <row r="21" spans="1:8" ht="18.75" x14ac:dyDescent="0.3">
      <c r="C21" t="s">
        <v>4</v>
      </c>
      <c r="D21" s="4">
        <f>D3-D15</f>
        <v>427645</v>
      </c>
      <c r="G21" t="s">
        <v>5</v>
      </c>
      <c r="H21" s="4">
        <f>H3-H15</f>
        <v>76262</v>
      </c>
    </row>
    <row r="24" spans="1:8" ht="15.75" x14ac:dyDescent="0.25">
      <c r="A24" t="s">
        <v>6</v>
      </c>
      <c r="C24" s="8">
        <f>D21</f>
        <v>427645</v>
      </c>
      <c r="E24" t="s">
        <v>10</v>
      </c>
      <c r="H24" s="6">
        <f>C33</f>
        <v>346656.32</v>
      </c>
    </row>
    <row r="26" spans="1:8" ht="15.75" x14ac:dyDescent="0.25">
      <c r="A26" t="s">
        <v>5</v>
      </c>
      <c r="B26" s="9" t="s">
        <v>7</v>
      </c>
      <c r="C26" s="8">
        <f>H21</f>
        <v>76262</v>
      </c>
      <c r="E26" s="13" t="s">
        <v>11</v>
      </c>
      <c r="F26" s="9" t="s">
        <v>12</v>
      </c>
      <c r="G26" s="15" t="s">
        <v>17</v>
      </c>
      <c r="H26" s="3">
        <f>-(F27*0.007)</f>
        <v>-6951</v>
      </c>
    </row>
    <row r="27" spans="1:8" x14ac:dyDescent="0.25">
      <c r="F27" s="21">
        <f>D3-H3</f>
        <v>993000</v>
      </c>
    </row>
    <row r="28" spans="1:8" ht="15.75" x14ac:dyDescent="0.25">
      <c r="A28" t="s">
        <v>8</v>
      </c>
      <c r="B28" s="9" t="s">
        <v>7</v>
      </c>
      <c r="C28" s="8">
        <f>D3*0.004</f>
        <v>4726.68</v>
      </c>
      <c r="F28" s="9" t="s">
        <v>13</v>
      </c>
      <c r="G28" s="16">
        <v>0.35</v>
      </c>
      <c r="H28" s="29">
        <f>-(F29*0.35)</f>
        <v>-121329.712</v>
      </c>
    </row>
    <row r="29" spans="1:8" ht="15.75" thickBot="1" x14ac:dyDescent="0.3">
      <c r="F29" s="21">
        <f>H24</f>
        <v>346656.32</v>
      </c>
      <c r="H29" s="7"/>
    </row>
    <row r="30" spans="1:8" ht="15.75" x14ac:dyDescent="0.25">
      <c r="A30" t="s">
        <v>9</v>
      </c>
      <c r="B30" s="9" t="s">
        <v>7</v>
      </c>
      <c r="C30" s="10"/>
      <c r="G30" s="13" t="s">
        <v>14</v>
      </c>
      <c r="H30" s="6">
        <f>H24+H26+H28</f>
        <v>218375.60800000001</v>
      </c>
    </row>
    <row r="31" spans="1:8" ht="15.75" thickBot="1" x14ac:dyDescent="0.3">
      <c r="A31" s="16"/>
      <c r="B31" s="14"/>
      <c r="C31" s="7"/>
    </row>
    <row r="32" spans="1:8" x14ac:dyDescent="0.25">
      <c r="E32" t="s">
        <v>151</v>
      </c>
      <c r="H32" s="20">
        <f>H30*0.5</f>
        <v>109187.804</v>
      </c>
    </row>
    <row r="33" spans="1:8" ht="15.75" x14ac:dyDescent="0.25">
      <c r="A33" t="s">
        <v>10</v>
      </c>
      <c r="C33" s="10">
        <f>C24-C26-C28-C30</f>
        <v>346656.32</v>
      </c>
      <c r="H33" s="18"/>
    </row>
    <row r="34" spans="1:8" x14ac:dyDescent="0.25">
      <c r="H34" s="3"/>
    </row>
    <row r="35" spans="1:8" x14ac:dyDescent="0.25">
      <c r="H35" s="18"/>
    </row>
  </sheetData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EDBA3-D65E-470A-8A8F-76FAE9B39E93}">
  <dimension ref="A1:H35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395</v>
      </c>
    </row>
    <row r="3" spans="1:8" ht="21" x14ac:dyDescent="0.35">
      <c r="A3" s="2" t="s">
        <v>1</v>
      </c>
      <c r="D3" s="11">
        <v>216592</v>
      </c>
      <c r="F3" s="12" t="s">
        <v>3</v>
      </c>
      <c r="H3" s="11">
        <v>34582</v>
      </c>
    </row>
    <row r="4" spans="1:8" x14ac:dyDescent="0.25">
      <c r="A4" s="13" t="s">
        <v>32</v>
      </c>
      <c r="C4" s="26">
        <v>501</v>
      </c>
    </row>
    <row r="5" spans="1:8" ht="21" x14ac:dyDescent="0.35">
      <c r="A5" s="2" t="s">
        <v>2</v>
      </c>
    </row>
    <row r="7" spans="1:8" ht="18.75" x14ac:dyDescent="0.3">
      <c r="A7" s="5" t="s">
        <v>396</v>
      </c>
      <c r="D7" s="4">
        <v>152558</v>
      </c>
      <c r="E7" s="25"/>
      <c r="H7" s="4">
        <v>24358</v>
      </c>
    </row>
    <row r="8" spans="1:8" ht="18.75" x14ac:dyDescent="0.3">
      <c r="A8" s="5"/>
      <c r="D8" s="4"/>
      <c r="E8" s="25"/>
      <c r="H8" s="4"/>
    </row>
    <row r="9" spans="1:8" ht="18.75" x14ac:dyDescent="0.3">
      <c r="A9" s="5"/>
      <c r="D9" s="4"/>
      <c r="E9" s="25"/>
      <c r="H9" s="4"/>
    </row>
    <row r="10" spans="1:8" ht="18.75" x14ac:dyDescent="0.3">
      <c r="A10" s="5"/>
      <c r="D10" s="4"/>
      <c r="E10" s="25"/>
      <c r="H10" s="4"/>
    </row>
    <row r="11" spans="1:8" ht="18.75" x14ac:dyDescent="0.3">
      <c r="A11" s="5"/>
      <c r="D11" s="4"/>
      <c r="E11" s="25"/>
      <c r="H11" s="4"/>
    </row>
    <row r="12" spans="1:8" ht="18.75" x14ac:dyDescent="0.3">
      <c r="A12" s="5"/>
      <c r="C12" s="3"/>
      <c r="D12" s="27"/>
      <c r="E12" s="25"/>
      <c r="H12" s="27"/>
    </row>
    <row r="13" spans="1:8" ht="18.75" x14ac:dyDescent="0.3">
      <c r="A13" s="5"/>
      <c r="C13" s="3"/>
      <c r="D13" s="28"/>
      <c r="E13" s="25"/>
      <c r="H13" s="28"/>
    </row>
    <row r="14" spans="1:8" ht="19.5" thickBot="1" x14ac:dyDescent="0.35">
      <c r="A14" s="5"/>
      <c r="C14" s="3"/>
      <c r="D14" s="22"/>
      <c r="E14" s="25"/>
      <c r="H14" s="22"/>
    </row>
    <row r="15" spans="1:8" ht="18.75" customHeight="1" x14ac:dyDescent="0.3">
      <c r="D15" s="4">
        <f>SUM(D7:D14)</f>
        <v>152558</v>
      </c>
      <c r="H15" s="4">
        <f>SUM(H7:H14)</f>
        <v>24358</v>
      </c>
    </row>
    <row r="16" spans="1:8" ht="18.75" x14ac:dyDescent="0.3">
      <c r="A16" s="5"/>
      <c r="C16" s="3"/>
      <c r="D16" s="4"/>
      <c r="H16" s="4"/>
    </row>
    <row r="18" spans="1:8" ht="18.75" x14ac:dyDescent="0.3">
      <c r="A18" s="5"/>
      <c r="C18" s="3"/>
      <c r="D18" s="4"/>
      <c r="H18" s="4"/>
    </row>
    <row r="19" spans="1:8" ht="15.75" thickBot="1" x14ac:dyDescent="0.3">
      <c r="D19" s="7"/>
      <c r="H19" s="7"/>
    </row>
    <row r="21" spans="1:8" ht="18.75" x14ac:dyDescent="0.3">
      <c r="C21" t="s">
        <v>4</v>
      </c>
      <c r="D21" s="4">
        <f>D3-D15</f>
        <v>64034</v>
      </c>
      <c r="G21" t="s">
        <v>5</v>
      </c>
      <c r="H21" s="4">
        <f>H3-H15</f>
        <v>10224</v>
      </c>
    </row>
    <row r="24" spans="1:8" ht="15.75" x14ac:dyDescent="0.25">
      <c r="A24" t="s">
        <v>6</v>
      </c>
      <c r="C24" s="8">
        <f>D21</f>
        <v>64034</v>
      </c>
      <c r="E24" t="s">
        <v>10</v>
      </c>
      <c r="H24" s="6">
        <f>C33</f>
        <v>52943.631999999998</v>
      </c>
    </row>
    <row r="26" spans="1:8" ht="15.75" x14ac:dyDescent="0.25">
      <c r="A26" t="s">
        <v>5</v>
      </c>
      <c r="B26" s="9" t="s">
        <v>7</v>
      </c>
      <c r="C26" s="8">
        <f>H21</f>
        <v>10224</v>
      </c>
      <c r="E26" s="13" t="s">
        <v>11</v>
      </c>
      <c r="F26" s="9" t="s">
        <v>12</v>
      </c>
      <c r="G26" s="15" t="s">
        <v>17</v>
      </c>
      <c r="H26" s="3">
        <f>-(F27*0.007)</f>
        <v>-1274.07</v>
      </c>
    </row>
    <row r="27" spans="1:8" x14ac:dyDescent="0.25">
      <c r="F27" s="21">
        <f>D3-H3</f>
        <v>182010</v>
      </c>
    </row>
    <row r="28" spans="1:8" ht="15.75" x14ac:dyDescent="0.25">
      <c r="A28" t="s">
        <v>8</v>
      </c>
      <c r="B28" s="9" t="s">
        <v>7</v>
      </c>
      <c r="C28" s="8">
        <f>D3*0.004</f>
        <v>866.36800000000005</v>
      </c>
      <c r="F28" s="9" t="s">
        <v>13</v>
      </c>
      <c r="G28" s="16">
        <v>0.35</v>
      </c>
      <c r="H28" s="29">
        <f>-(F29*0.35)</f>
        <v>-18530.271199999999</v>
      </c>
    </row>
    <row r="29" spans="1:8" ht="15.75" thickBot="1" x14ac:dyDescent="0.3">
      <c r="F29" s="21">
        <f>H24</f>
        <v>52943.631999999998</v>
      </c>
      <c r="H29" s="7"/>
    </row>
    <row r="30" spans="1:8" ht="15.75" x14ac:dyDescent="0.25">
      <c r="A30" t="s">
        <v>9</v>
      </c>
      <c r="B30" s="9" t="s">
        <v>7</v>
      </c>
      <c r="C30" s="10"/>
      <c r="G30" s="13" t="s">
        <v>14</v>
      </c>
      <c r="H30" s="6">
        <f>H24+H26+H28</f>
        <v>33139.290800000002</v>
      </c>
    </row>
    <row r="31" spans="1:8" ht="15.75" thickBot="1" x14ac:dyDescent="0.3">
      <c r="A31" s="16"/>
      <c r="B31" s="14"/>
      <c r="C31" s="7"/>
    </row>
    <row r="32" spans="1:8" x14ac:dyDescent="0.25">
      <c r="E32" t="s">
        <v>151</v>
      </c>
      <c r="H32" s="20">
        <f>H30*0.5</f>
        <v>16569.645400000001</v>
      </c>
    </row>
    <row r="33" spans="1:8" ht="15.75" x14ac:dyDescent="0.25">
      <c r="A33" t="s">
        <v>10</v>
      </c>
      <c r="C33" s="10">
        <f>C24-C26-C28-C30</f>
        <v>52943.631999999998</v>
      </c>
      <c r="H33" s="18"/>
    </row>
    <row r="34" spans="1:8" x14ac:dyDescent="0.25">
      <c r="H34" s="3"/>
    </row>
    <row r="35" spans="1:8" x14ac:dyDescent="0.25">
      <c r="H35" s="18"/>
    </row>
  </sheetData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B6DE4-AF3E-4708-BE90-30E597A15467}">
  <dimension ref="A1:H35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397</v>
      </c>
    </row>
    <row r="3" spans="1:8" ht="21" x14ac:dyDescent="0.35">
      <c r="A3" s="2" t="s">
        <v>1</v>
      </c>
      <c r="D3" s="11">
        <v>20230</v>
      </c>
      <c r="F3" s="12" t="s">
        <v>3</v>
      </c>
      <c r="H3" s="11">
        <v>3230</v>
      </c>
    </row>
    <row r="4" spans="1:8" x14ac:dyDescent="0.25">
      <c r="A4" s="13" t="s">
        <v>32</v>
      </c>
      <c r="C4" s="26">
        <v>503</v>
      </c>
    </row>
    <row r="5" spans="1:8" ht="21" x14ac:dyDescent="0.35">
      <c r="A5" s="2" t="s">
        <v>2</v>
      </c>
    </row>
    <row r="7" spans="1:8" ht="18.75" x14ac:dyDescent="0.3">
      <c r="A7" s="5" t="s">
        <v>322</v>
      </c>
      <c r="D7" s="4">
        <v>10269</v>
      </c>
      <c r="E7" s="25"/>
      <c r="H7" s="4">
        <v>1640</v>
      </c>
    </row>
    <row r="8" spans="1:8" ht="18.75" x14ac:dyDescent="0.3">
      <c r="A8" s="5"/>
      <c r="D8" s="4"/>
      <c r="E8" s="25"/>
      <c r="H8" s="4" t="s">
        <v>398</v>
      </c>
    </row>
    <row r="9" spans="1:8" ht="18.75" x14ac:dyDescent="0.3">
      <c r="A9" s="5"/>
      <c r="D9" s="4"/>
      <c r="E9" s="25"/>
      <c r="H9" s="4"/>
    </row>
    <row r="10" spans="1:8" ht="18.75" x14ac:dyDescent="0.3">
      <c r="A10" s="5"/>
      <c r="D10" s="4"/>
      <c r="E10" s="25"/>
      <c r="H10" s="4"/>
    </row>
    <row r="11" spans="1:8" ht="18.75" x14ac:dyDescent="0.3">
      <c r="A11" s="5"/>
      <c r="D11" s="4"/>
      <c r="E11" s="25"/>
      <c r="H11" s="4"/>
    </row>
    <row r="12" spans="1:8" ht="18.75" x14ac:dyDescent="0.3">
      <c r="A12" s="5"/>
      <c r="C12" s="3"/>
      <c r="D12" s="27"/>
      <c r="E12" s="25"/>
      <c r="H12" s="27"/>
    </row>
    <row r="13" spans="1:8" ht="18.75" x14ac:dyDescent="0.3">
      <c r="A13" s="5"/>
      <c r="C13" s="3"/>
      <c r="D13" s="28"/>
      <c r="E13" s="25"/>
      <c r="H13" s="28"/>
    </row>
    <row r="14" spans="1:8" ht="19.5" thickBot="1" x14ac:dyDescent="0.35">
      <c r="A14" s="5"/>
      <c r="C14" s="3"/>
      <c r="D14" s="22"/>
      <c r="E14" s="25"/>
      <c r="H14" s="22"/>
    </row>
    <row r="15" spans="1:8" ht="18.75" customHeight="1" x14ac:dyDescent="0.3">
      <c r="D15" s="4">
        <f>SUM(D7:D14)</f>
        <v>10269</v>
      </c>
      <c r="H15" s="4">
        <f>SUM(H7:H14)</f>
        <v>1640</v>
      </c>
    </row>
    <row r="16" spans="1:8" ht="18.75" x14ac:dyDescent="0.3">
      <c r="A16" s="5"/>
      <c r="C16" s="3"/>
      <c r="D16" s="4"/>
      <c r="H16" s="4"/>
    </row>
    <row r="18" spans="1:8" ht="18.75" x14ac:dyDescent="0.3">
      <c r="A18" s="5"/>
      <c r="C18" s="3"/>
      <c r="D18" s="4"/>
      <c r="H18" s="4"/>
    </row>
    <row r="19" spans="1:8" ht="15.75" thickBot="1" x14ac:dyDescent="0.3">
      <c r="D19" s="7"/>
      <c r="H19" s="7"/>
    </row>
    <row r="21" spans="1:8" ht="18.75" x14ac:dyDescent="0.3">
      <c r="C21" t="s">
        <v>4</v>
      </c>
      <c r="D21" s="4">
        <f>D3-D15</f>
        <v>9961</v>
      </c>
      <c r="G21" t="s">
        <v>5</v>
      </c>
      <c r="H21" s="4">
        <f>H3-H15</f>
        <v>1590</v>
      </c>
    </row>
    <row r="24" spans="1:8" ht="15.75" x14ac:dyDescent="0.25">
      <c r="A24" t="s">
        <v>6</v>
      </c>
      <c r="C24" s="8">
        <f>D21</f>
        <v>9961</v>
      </c>
      <c r="E24" t="s">
        <v>10</v>
      </c>
      <c r="H24" s="6">
        <f>C33</f>
        <v>8290.08</v>
      </c>
    </row>
    <row r="26" spans="1:8" ht="15.75" x14ac:dyDescent="0.25">
      <c r="A26" t="s">
        <v>5</v>
      </c>
      <c r="B26" s="9" t="s">
        <v>7</v>
      </c>
      <c r="C26" s="8">
        <f>H21</f>
        <v>1590</v>
      </c>
      <c r="E26" s="13" t="s">
        <v>11</v>
      </c>
      <c r="F26" s="9" t="s">
        <v>12</v>
      </c>
      <c r="G26" s="15" t="s">
        <v>17</v>
      </c>
      <c r="H26" s="3">
        <f>-(F27*0.007)</f>
        <v>-119</v>
      </c>
    </row>
    <row r="27" spans="1:8" x14ac:dyDescent="0.25">
      <c r="F27" s="21">
        <f>D3-H3</f>
        <v>17000</v>
      </c>
    </row>
    <row r="28" spans="1:8" ht="15.75" x14ac:dyDescent="0.25">
      <c r="A28" t="s">
        <v>8</v>
      </c>
      <c r="B28" s="9" t="s">
        <v>7</v>
      </c>
      <c r="C28" s="8">
        <f>D3*0.004</f>
        <v>80.92</v>
      </c>
      <c r="F28" s="9" t="s">
        <v>13</v>
      </c>
      <c r="G28" s="16">
        <v>0.35</v>
      </c>
      <c r="H28" s="29">
        <f>-(F29*0.35)</f>
        <v>-2901.5279999999998</v>
      </c>
    </row>
    <row r="29" spans="1:8" ht="15.75" thickBot="1" x14ac:dyDescent="0.3">
      <c r="F29" s="21">
        <f>H24</f>
        <v>8290.08</v>
      </c>
      <c r="H29" s="7"/>
    </row>
    <row r="30" spans="1:8" ht="15.75" x14ac:dyDescent="0.25">
      <c r="A30" t="s">
        <v>9</v>
      </c>
      <c r="B30" s="9" t="s">
        <v>7</v>
      </c>
      <c r="C30" s="10"/>
      <c r="G30" s="13" t="s">
        <v>14</v>
      </c>
      <c r="H30" s="6">
        <f>H24+H26+H28</f>
        <v>5269.5519999999997</v>
      </c>
    </row>
    <row r="31" spans="1:8" ht="15.75" thickBot="1" x14ac:dyDescent="0.3">
      <c r="A31" s="16"/>
      <c r="B31" s="14"/>
      <c r="C31" s="7"/>
    </row>
    <row r="32" spans="1:8" x14ac:dyDescent="0.25">
      <c r="E32" t="s">
        <v>151</v>
      </c>
      <c r="H32" s="20">
        <f>H30*0.5</f>
        <v>2634.7759999999998</v>
      </c>
    </row>
    <row r="33" spans="1:8" ht="15.75" x14ac:dyDescent="0.25">
      <c r="A33" t="s">
        <v>10</v>
      </c>
      <c r="C33" s="10">
        <f>C24-C26-C28-C30</f>
        <v>8290.08</v>
      </c>
      <c r="H33" s="18"/>
    </row>
    <row r="34" spans="1:8" x14ac:dyDescent="0.25">
      <c r="H34" s="3"/>
    </row>
    <row r="35" spans="1:8" x14ac:dyDescent="0.25">
      <c r="H35" s="18"/>
    </row>
  </sheetData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6BC98-6DBF-4C10-A86D-0BACBEFE32A0}">
  <dimension ref="A1:H35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400</v>
      </c>
    </row>
    <row r="3" spans="1:8" ht="21" x14ac:dyDescent="0.35">
      <c r="A3" s="2" t="s">
        <v>1</v>
      </c>
      <c r="D3" s="11">
        <v>19635</v>
      </c>
      <c r="F3" s="12" t="s">
        <v>3</v>
      </c>
      <c r="H3" s="11">
        <v>3135</v>
      </c>
    </row>
    <row r="4" spans="1:8" x14ac:dyDescent="0.25">
      <c r="A4" s="13" t="s">
        <v>32</v>
      </c>
      <c r="C4" s="26">
        <v>503</v>
      </c>
    </row>
    <row r="5" spans="1:8" ht="21" x14ac:dyDescent="0.35">
      <c r="A5" s="2" t="s">
        <v>2</v>
      </c>
    </row>
    <row r="7" spans="1:8" ht="18.75" x14ac:dyDescent="0.3">
      <c r="A7" s="5" t="s">
        <v>399</v>
      </c>
      <c r="D7" s="4">
        <v>13855</v>
      </c>
      <c r="E7" s="25"/>
      <c r="H7" s="4">
        <v>2213</v>
      </c>
    </row>
    <row r="8" spans="1:8" ht="18.75" x14ac:dyDescent="0.3">
      <c r="A8" s="5"/>
      <c r="D8" s="4"/>
      <c r="E8" s="25"/>
      <c r="H8" s="4"/>
    </row>
    <row r="9" spans="1:8" ht="18.75" x14ac:dyDescent="0.3">
      <c r="A9" s="5"/>
      <c r="D9" s="4"/>
      <c r="E9" s="25"/>
      <c r="H9" s="4"/>
    </row>
    <row r="10" spans="1:8" ht="18.75" x14ac:dyDescent="0.3">
      <c r="A10" s="5"/>
      <c r="D10" s="4"/>
      <c r="E10" s="25"/>
      <c r="H10" s="4"/>
    </row>
    <row r="11" spans="1:8" ht="18.75" x14ac:dyDescent="0.3">
      <c r="A11" s="5"/>
      <c r="D11" s="4"/>
      <c r="E11" s="25"/>
      <c r="H11" s="4"/>
    </row>
    <row r="12" spans="1:8" ht="18.75" x14ac:dyDescent="0.3">
      <c r="A12" s="5"/>
      <c r="C12" s="3"/>
      <c r="D12" s="27"/>
      <c r="E12" s="25"/>
      <c r="H12" s="27"/>
    </row>
    <row r="13" spans="1:8" ht="18.75" x14ac:dyDescent="0.3">
      <c r="A13" s="5"/>
      <c r="C13" s="3"/>
      <c r="D13" s="28"/>
      <c r="E13" s="25"/>
      <c r="H13" s="28"/>
    </row>
    <row r="14" spans="1:8" ht="19.5" thickBot="1" x14ac:dyDescent="0.35">
      <c r="A14" s="5"/>
      <c r="C14" s="3"/>
      <c r="D14" s="22"/>
      <c r="E14" s="25"/>
      <c r="H14" s="22"/>
    </row>
    <row r="15" spans="1:8" ht="18.75" customHeight="1" x14ac:dyDescent="0.3">
      <c r="D15" s="4">
        <f>SUM(D7:D14)</f>
        <v>13855</v>
      </c>
      <c r="H15" s="4">
        <f>SUM(H7:H14)</f>
        <v>2213</v>
      </c>
    </row>
    <row r="16" spans="1:8" ht="18.75" x14ac:dyDescent="0.3">
      <c r="A16" s="5"/>
      <c r="C16" s="3"/>
      <c r="D16" s="4"/>
      <c r="H16" s="4"/>
    </row>
    <row r="18" spans="1:8" ht="18.75" x14ac:dyDescent="0.3">
      <c r="A18" s="5"/>
      <c r="C18" s="3"/>
      <c r="D18" s="4"/>
      <c r="H18" s="4"/>
    </row>
    <row r="19" spans="1:8" ht="15.75" thickBot="1" x14ac:dyDescent="0.3">
      <c r="D19" s="7"/>
      <c r="H19" s="7"/>
    </row>
    <row r="21" spans="1:8" ht="18.75" x14ac:dyDescent="0.3">
      <c r="C21" t="s">
        <v>4</v>
      </c>
      <c r="D21" s="4">
        <f>D3-D15</f>
        <v>5780</v>
      </c>
      <c r="G21" t="s">
        <v>5</v>
      </c>
      <c r="H21" s="4">
        <f>H3-H15</f>
        <v>922</v>
      </c>
    </row>
    <row r="24" spans="1:8" ht="15.75" x14ac:dyDescent="0.25">
      <c r="A24" t="s">
        <v>6</v>
      </c>
      <c r="C24" s="8">
        <f>D21</f>
        <v>5780</v>
      </c>
      <c r="E24" t="s">
        <v>10</v>
      </c>
      <c r="H24" s="6">
        <f>C33</f>
        <v>4779.46</v>
      </c>
    </row>
    <row r="26" spans="1:8" ht="15.75" x14ac:dyDescent="0.25">
      <c r="A26" t="s">
        <v>5</v>
      </c>
      <c r="B26" s="9" t="s">
        <v>7</v>
      </c>
      <c r="C26" s="8">
        <f>H21</f>
        <v>922</v>
      </c>
      <c r="E26" s="13" t="s">
        <v>11</v>
      </c>
      <c r="F26" s="9" t="s">
        <v>12</v>
      </c>
      <c r="G26" s="15" t="s">
        <v>17</v>
      </c>
      <c r="H26" s="3">
        <f>-(F27*0.007)</f>
        <v>-115.5</v>
      </c>
    </row>
    <row r="27" spans="1:8" x14ac:dyDescent="0.25">
      <c r="F27" s="21">
        <f>D3-H3</f>
        <v>16500</v>
      </c>
    </row>
    <row r="28" spans="1:8" ht="15.75" x14ac:dyDescent="0.25">
      <c r="A28" t="s">
        <v>8</v>
      </c>
      <c r="B28" s="9" t="s">
        <v>7</v>
      </c>
      <c r="C28" s="8">
        <f>D3*0.004</f>
        <v>78.540000000000006</v>
      </c>
      <c r="F28" s="9" t="s">
        <v>13</v>
      </c>
      <c r="G28" s="16">
        <v>0.35</v>
      </c>
      <c r="H28" s="29">
        <f>-(F29*0.35)</f>
        <v>-1672.8109999999999</v>
      </c>
    </row>
    <row r="29" spans="1:8" ht="15.75" thickBot="1" x14ac:dyDescent="0.3">
      <c r="F29" s="21">
        <f>H24</f>
        <v>4779.46</v>
      </c>
      <c r="H29" s="7"/>
    </row>
    <row r="30" spans="1:8" ht="15.75" x14ac:dyDescent="0.25">
      <c r="A30" t="s">
        <v>9</v>
      </c>
      <c r="B30" s="9" t="s">
        <v>7</v>
      </c>
      <c r="C30" s="10"/>
      <c r="G30" s="13" t="s">
        <v>14</v>
      </c>
      <c r="H30" s="6">
        <f>H24+H26+H28</f>
        <v>2991.1490000000003</v>
      </c>
    </row>
    <row r="31" spans="1:8" ht="15.75" thickBot="1" x14ac:dyDescent="0.3">
      <c r="A31" s="16"/>
      <c r="B31" s="14"/>
      <c r="C31" s="7"/>
    </row>
    <row r="32" spans="1:8" x14ac:dyDescent="0.25">
      <c r="E32" t="s">
        <v>151</v>
      </c>
      <c r="H32" s="20">
        <f>H30*0.5</f>
        <v>1495.5745000000002</v>
      </c>
    </row>
    <row r="33" spans="1:8" ht="15.75" x14ac:dyDescent="0.25">
      <c r="A33" t="s">
        <v>10</v>
      </c>
      <c r="C33" s="10">
        <f>C24-C26-C28-C30</f>
        <v>4779.46</v>
      </c>
      <c r="H33" s="18"/>
    </row>
    <row r="34" spans="1:8" x14ac:dyDescent="0.25">
      <c r="H34" s="3"/>
    </row>
    <row r="35" spans="1:8" x14ac:dyDescent="0.25">
      <c r="H35" s="18"/>
    </row>
  </sheetData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4E371-48EE-4236-BE85-38AABE7A3C9B}">
  <dimension ref="A1:H35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344</v>
      </c>
    </row>
    <row r="3" spans="1:8" ht="21" x14ac:dyDescent="0.35">
      <c r="A3" s="2" t="s">
        <v>1</v>
      </c>
      <c r="D3" s="11">
        <v>119000</v>
      </c>
      <c r="F3" s="12" t="s">
        <v>3</v>
      </c>
      <c r="H3" s="11">
        <v>19000</v>
      </c>
    </row>
    <row r="4" spans="1:8" x14ac:dyDescent="0.25">
      <c r="A4" s="13" t="s">
        <v>32</v>
      </c>
      <c r="C4" s="26">
        <v>506</v>
      </c>
    </row>
    <row r="5" spans="1:8" ht="21" x14ac:dyDescent="0.35">
      <c r="A5" s="2" t="s">
        <v>2</v>
      </c>
    </row>
    <row r="7" spans="1:8" ht="18.75" x14ac:dyDescent="0.3">
      <c r="A7" s="5" t="s">
        <v>243</v>
      </c>
      <c r="D7" s="4">
        <v>85704</v>
      </c>
      <c r="E7" s="25"/>
      <c r="H7" s="4">
        <v>13684</v>
      </c>
    </row>
    <row r="8" spans="1:8" ht="18.75" x14ac:dyDescent="0.3">
      <c r="A8" s="5"/>
      <c r="D8" s="4"/>
      <c r="E8" s="25"/>
      <c r="H8" s="4"/>
    </row>
    <row r="9" spans="1:8" ht="18.75" x14ac:dyDescent="0.3">
      <c r="A9" s="5"/>
      <c r="D9" s="4"/>
      <c r="E9" s="25"/>
      <c r="H9" s="4"/>
    </row>
    <row r="10" spans="1:8" ht="18.75" x14ac:dyDescent="0.3">
      <c r="A10" s="5"/>
      <c r="D10" s="4"/>
      <c r="E10" s="25"/>
      <c r="H10" s="4"/>
    </row>
    <row r="11" spans="1:8" ht="18.75" x14ac:dyDescent="0.3">
      <c r="A11" s="5"/>
      <c r="D11" s="4"/>
      <c r="E11" s="25"/>
      <c r="H11" s="4"/>
    </row>
    <row r="12" spans="1:8" ht="18.75" x14ac:dyDescent="0.3">
      <c r="A12" s="5"/>
      <c r="C12" s="3"/>
      <c r="D12" s="27"/>
      <c r="E12" s="25"/>
      <c r="H12" s="27"/>
    </row>
    <row r="13" spans="1:8" ht="18.75" x14ac:dyDescent="0.3">
      <c r="A13" s="5"/>
      <c r="C13" s="3"/>
      <c r="D13" s="28"/>
      <c r="E13" s="25"/>
      <c r="H13" s="28"/>
    </row>
    <row r="14" spans="1:8" ht="19.5" thickBot="1" x14ac:dyDescent="0.35">
      <c r="A14" s="5"/>
      <c r="C14" s="3"/>
      <c r="D14" s="22"/>
      <c r="E14" s="25"/>
      <c r="H14" s="22"/>
    </row>
    <row r="15" spans="1:8" ht="18.75" customHeight="1" x14ac:dyDescent="0.3">
      <c r="D15" s="4">
        <f>SUM(D7:D14)</f>
        <v>85704</v>
      </c>
      <c r="H15" s="4">
        <f>SUM(H7:H14)</f>
        <v>13684</v>
      </c>
    </row>
    <row r="16" spans="1:8" ht="18.75" x14ac:dyDescent="0.3">
      <c r="A16" s="5"/>
      <c r="C16" s="3"/>
      <c r="D16" s="4"/>
      <c r="H16" s="4"/>
    </row>
    <row r="18" spans="1:8" ht="18.75" x14ac:dyDescent="0.3">
      <c r="A18" s="5"/>
      <c r="C18" s="3"/>
      <c r="D18" s="4"/>
      <c r="H18" s="4"/>
    </row>
    <row r="19" spans="1:8" ht="15.75" thickBot="1" x14ac:dyDescent="0.3">
      <c r="D19" s="7"/>
      <c r="H19" s="7"/>
    </row>
    <row r="21" spans="1:8" ht="18.75" x14ac:dyDescent="0.3">
      <c r="C21" t="s">
        <v>4</v>
      </c>
      <c r="D21" s="4">
        <f>D3-D15</f>
        <v>33296</v>
      </c>
      <c r="G21" t="s">
        <v>5</v>
      </c>
      <c r="H21" s="4">
        <f>H3-H15</f>
        <v>5316</v>
      </c>
    </row>
    <row r="24" spans="1:8" ht="15.75" x14ac:dyDescent="0.25">
      <c r="A24" t="s">
        <v>6</v>
      </c>
      <c r="C24" s="8">
        <f>D21</f>
        <v>33296</v>
      </c>
      <c r="E24" t="s">
        <v>10</v>
      </c>
      <c r="H24" s="6">
        <f>C33</f>
        <v>27504</v>
      </c>
    </row>
    <row r="26" spans="1:8" ht="15.75" x14ac:dyDescent="0.25">
      <c r="A26" t="s">
        <v>5</v>
      </c>
      <c r="B26" s="9" t="s">
        <v>7</v>
      </c>
      <c r="C26" s="8">
        <f>H21</f>
        <v>5316</v>
      </c>
      <c r="E26" s="13" t="s">
        <v>11</v>
      </c>
      <c r="F26" s="9" t="s">
        <v>12</v>
      </c>
      <c r="G26" s="15" t="s">
        <v>17</v>
      </c>
      <c r="H26" s="3">
        <f>-(F27*0.007)</f>
        <v>-700</v>
      </c>
    </row>
    <row r="27" spans="1:8" x14ac:dyDescent="0.25">
      <c r="F27" s="21">
        <f>D3-H3</f>
        <v>100000</v>
      </c>
    </row>
    <row r="28" spans="1:8" ht="15.75" x14ac:dyDescent="0.25">
      <c r="A28" t="s">
        <v>8</v>
      </c>
      <c r="B28" s="9" t="s">
        <v>7</v>
      </c>
      <c r="C28" s="8">
        <f>D3*0.004</f>
        <v>476</v>
      </c>
      <c r="F28" s="9" t="s">
        <v>13</v>
      </c>
      <c r="G28" s="16">
        <v>0.35</v>
      </c>
      <c r="H28" s="29">
        <f>-(F29*0.35)</f>
        <v>-9626.4</v>
      </c>
    </row>
    <row r="29" spans="1:8" ht="15.75" thickBot="1" x14ac:dyDescent="0.3">
      <c r="F29" s="21">
        <f>H24</f>
        <v>27504</v>
      </c>
      <c r="H29" s="7"/>
    </row>
    <row r="30" spans="1:8" ht="15.75" x14ac:dyDescent="0.25">
      <c r="A30" t="s">
        <v>9</v>
      </c>
      <c r="B30" s="9" t="s">
        <v>7</v>
      </c>
      <c r="C30" s="10"/>
      <c r="G30" s="13" t="s">
        <v>14</v>
      </c>
      <c r="H30" s="6">
        <f>H24+H26+H28</f>
        <v>17177.599999999999</v>
      </c>
    </row>
    <row r="31" spans="1:8" ht="15.75" thickBot="1" x14ac:dyDescent="0.3">
      <c r="A31" s="16"/>
      <c r="B31" s="14"/>
      <c r="C31" s="7"/>
    </row>
    <row r="32" spans="1:8" x14ac:dyDescent="0.25">
      <c r="E32" t="s">
        <v>151</v>
      </c>
      <c r="H32" s="20">
        <f>H30*0.5</f>
        <v>8588.7999999999993</v>
      </c>
    </row>
    <row r="33" spans="1:8" ht="15.75" x14ac:dyDescent="0.25">
      <c r="A33" t="s">
        <v>10</v>
      </c>
      <c r="C33" s="10">
        <f>C24-C26-C28-C30</f>
        <v>27504</v>
      </c>
      <c r="H33" s="18"/>
    </row>
    <row r="34" spans="1:8" x14ac:dyDescent="0.25">
      <c r="D34">
        <v>7</v>
      </c>
      <c r="H34" s="3"/>
    </row>
    <row r="35" spans="1:8" x14ac:dyDescent="0.25">
      <c r="H35" s="18"/>
    </row>
  </sheetData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B0C61-5237-415A-AF72-A87B0A26688A}">
  <dimension ref="A1:H35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317</v>
      </c>
    </row>
    <row r="3" spans="1:8" ht="21" x14ac:dyDescent="0.35">
      <c r="A3" s="2" t="s">
        <v>1</v>
      </c>
      <c r="D3" s="11">
        <v>785400</v>
      </c>
      <c r="F3" s="12" t="s">
        <v>3</v>
      </c>
      <c r="H3" s="11">
        <v>125400</v>
      </c>
    </row>
    <row r="4" spans="1:8" x14ac:dyDescent="0.25">
      <c r="A4" s="13" t="s">
        <v>32</v>
      </c>
      <c r="C4" s="26">
        <v>507</v>
      </c>
    </row>
    <row r="5" spans="1:8" ht="21" x14ac:dyDescent="0.35">
      <c r="A5" s="2" t="s">
        <v>2</v>
      </c>
    </row>
    <row r="7" spans="1:8" ht="18.75" x14ac:dyDescent="0.3">
      <c r="A7" s="5" t="s">
        <v>322</v>
      </c>
      <c r="D7" s="4">
        <v>552100</v>
      </c>
      <c r="E7" s="25"/>
      <c r="H7" s="4">
        <v>88150</v>
      </c>
    </row>
    <row r="8" spans="1:8" ht="18.75" x14ac:dyDescent="0.3">
      <c r="A8" s="5"/>
      <c r="D8" s="4"/>
      <c r="E8" s="25"/>
      <c r="H8" s="4"/>
    </row>
    <row r="9" spans="1:8" ht="18.75" x14ac:dyDescent="0.3">
      <c r="A9" s="5"/>
      <c r="D9" s="4"/>
      <c r="E9" s="25"/>
      <c r="H9" s="4"/>
    </row>
    <row r="10" spans="1:8" ht="18.75" x14ac:dyDescent="0.3">
      <c r="A10" s="5"/>
      <c r="D10" s="4"/>
      <c r="E10" s="25"/>
      <c r="H10" s="4"/>
    </row>
    <row r="11" spans="1:8" ht="18.75" x14ac:dyDescent="0.3">
      <c r="A11" s="5"/>
      <c r="D11" s="4"/>
      <c r="E11" s="25"/>
      <c r="H11" s="4"/>
    </row>
    <row r="12" spans="1:8" ht="18.75" x14ac:dyDescent="0.3">
      <c r="A12" s="5"/>
      <c r="C12" s="3"/>
      <c r="D12" s="27"/>
      <c r="E12" s="25"/>
      <c r="H12" s="27"/>
    </row>
    <row r="13" spans="1:8" ht="18.75" x14ac:dyDescent="0.3">
      <c r="A13" s="5"/>
      <c r="C13" s="3"/>
      <c r="D13" s="28"/>
      <c r="E13" s="25"/>
      <c r="H13" s="28"/>
    </row>
    <row r="14" spans="1:8" ht="19.5" thickBot="1" x14ac:dyDescent="0.35">
      <c r="A14" s="5"/>
      <c r="C14" s="3"/>
      <c r="D14" s="22"/>
      <c r="E14" s="25"/>
      <c r="H14" s="22"/>
    </row>
    <row r="15" spans="1:8" ht="18.75" customHeight="1" x14ac:dyDescent="0.3">
      <c r="D15" s="4">
        <f>SUM(D7:D14)</f>
        <v>552100</v>
      </c>
      <c r="H15" s="4">
        <f>SUM(H7:H14)</f>
        <v>88150</v>
      </c>
    </row>
    <row r="16" spans="1:8" ht="18.75" x14ac:dyDescent="0.3">
      <c r="A16" s="5"/>
      <c r="C16" s="3"/>
      <c r="D16" s="4"/>
      <c r="H16" s="4"/>
    </row>
    <row r="18" spans="1:8" ht="18.75" x14ac:dyDescent="0.3">
      <c r="A18" s="5"/>
      <c r="C18" s="3"/>
      <c r="D18" s="4"/>
      <c r="H18" s="4"/>
    </row>
    <row r="19" spans="1:8" ht="15.75" thickBot="1" x14ac:dyDescent="0.3">
      <c r="D19" s="7"/>
      <c r="H19" s="7"/>
    </row>
    <row r="21" spans="1:8" ht="18.75" x14ac:dyDescent="0.3">
      <c r="C21" t="s">
        <v>4</v>
      </c>
      <c r="D21" s="4">
        <f>D3-D15</f>
        <v>233300</v>
      </c>
      <c r="G21" t="s">
        <v>5</v>
      </c>
      <c r="H21" s="4">
        <f>H3-H15</f>
        <v>37250</v>
      </c>
    </row>
    <row r="24" spans="1:8" ht="15.75" x14ac:dyDescent="0.25">
      <c r="A24" t="s">
        <v>6</v>
      </c>
      <c r="C24" s="8">
        <f>D21</f>
        <v>233300</v>
      </c>
      <c r="E24" t="s">
        <v>10</v>
      </c>
      <c r="H24" s="6">
        <f>C33</f>
        <v>192908.4</v>
      </c>
    </row>
    <row r="26" spans="1:8" ht="15.75" x14ac:dyDescent="0.25">
      <c r="A26" t="s">
        <v>5</v>
      </c>
      <c r="B26" s="9" t="s">
        <v>7</v>
      </c>
      <c r="C26" s="8">
        <f>H21</f>
        <v>37250</v>
      </c>
      <c r="E26" s="13" t="s">
        <v>11</v>
      </c>
      <c r="F26" s="9" t="s">
        <v>12</v>
      </c>
      <c r="G26" s="15" t="s">
        <v>17</v>
      </c>
      <c r="H26" s="3">
        <f>-(F27*0.007)</f>
        <v>-4620</v>
      </c>
    </row>
    <row r="27" spans="1:8" x14ac:dyDescent="0.25">
      <c r="F27" s="21">
        <f>D3-H3</f>
        <v>660000</v>
      </c>
    </row>
    <row r="28" spans="1:8" ht="15.75" x14ac:dyDescent="0.25">
      <c r="A28" t="s">
        <v>8</v>
      </c>
      <c r="B28" s="9" t="s">
        <v>7</v>
      </c>
      <c r="C28" s="8">
        <f>D3*0.004</f>
        <v>3141.6</v>
      </c>
      <c r="F28" s="9" t="s">
        <v>13</v>
      </c>
      <c r="G28" s="16">
        <v>0.35</v>
      </c>
      <c r="H28" s="29">
        <f>-(F29*0.35)</f>
        <v>-67517.939999999988</v>
      </c>
    </row>
    <row r="29" spans="1:8" ht="15.75" thickBot="1" x14ac:dyDescent="0.3">
      <c r="F29" s="21">
        <f>H24</f>
        <v>192908.4</v>
      </c>
      <c r="H29" s="7"/>
    </row>
    <row r="30" spans="1:8" ht="15.75" x14ac:dyDescent="0.25">
      <c r="A30" t="s">
        <v>9</v>
      </c>
      <c r="B30" s="9" t="s">
        <v>7</v>
      </c>
      <c r="C30" s="10"/>
      <c r="G30" s="13" t="s">
        <v>14</v>
      </c>
      <c r="H30" s="6">
        <f>H24+H26+H28</f>
        <v>120770.46</v>
      </c>
    </row>
    <row r="31" spans="1:8" ht="15.75" thickBot="1" x14ac:dyDescent="0.3">
      <c r="A31" s="16"/>
      <c r="B31" s="14"/>
      <c r="C31" s="7"/>
    </row>
    <row r="32" spans="1:8" x14ac:dyDescent="0.25">
      <c r="E32" t="s">
        <v>151</v>
      </c>
      <c r="H32" s="20">
        <f>H30*0.5</f>
        <v>60385.23</v>
      </c>
    </row>
    <row r="33" spans="1:8" ht="15.75" x14ac:dyDescent="0.25">
      <c r="A33" t="s">
        <v>10</v>
      </c>
      <c r="C33" s="10">
        <f>C24-C26-C28-C30</f>
        <v>192908.4</v>
      </c>
      <c r="H33" s="18"/>
    </row>
    <row r="34" spans="1:8" x14ac:dyDescent="0.25">
      <c r="H34" s="3"/>
    </row>
    <row r="35" spans="1:8" x14ac:dyDescent="0.25">
      <c r="H35" s="18"/>
    </row>
  </sheetData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A6E7D-E775-40FE-B719-2FA78E4A363D}">
  <dimension ref="A1:H35"/>
  <sheetViews>
    <sheetView workbookViewId="0">
      <selection activeCell="C4" sqref="C4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401</v>
      </c>
    </row>
    <row r="3" spans="1:8" ht="21" x14ac:dyDescent="0.35">
      <c r="A3" s="2" t="s">
        <v>1</v>
      </c>
      <c r="D3" s="11">
        <v>235620</v>
      </c>
      <c r="F3" s="12" t="s">
        <v>3</v>
      </c>
      <c r="H3" s="11">
        <v>37620</v>
      </c>
    </row>
    <row r="4" spans="1:8" x14ac:dyDescent="0.25">
      <c r="A4" s="13" t="s">
        <v>32</v>
      </c>
      <c r="C4" s="26">
        <v>511</v>
      </c>
    </row>
    <row r="5" spans="1:8" ht="21" x14ac:dyDescent="0.35">
      <c r="A5" s="2" t="s">
        <v>2</v>
      </c>
    </row>
    <row r="7" spans="1:8" ht="18.75" x14ac:dyDescent="0.3">
      <c r="A7" s="5" t="s">
        <v>322</v>
      </c>
      <c r="D7" s="4">
        <v>172645</v>
      </c>
      <c r="E7" s="25"/>
      <c r="H7" s="4">
        <v>27565</v>
      </c>
    </row>
    <row r="8" spans="1:8" ht="18.75" x14ac:dyDescent="0.3">
      <c r="A8" s="5"/>
      <c r="D8" s="4"/>
      <c r="E8" s="25"/>
      <c r="H8" s="4"/>
    </row>
    <row r="9" spans="1:8" ht="18.75" x14ac:dyDescent="0.3">
      <c r="A9" s="5"/>
      <c r="D9" s="4"/>
      <c r="E9" s="25"/>
      <c r="H9" s="4"/>
    </row>
    <row r="10" spans="1:8" ht="18.75" x14ac:dyDescent="0.3">
      <c r="A10" s="5"/>
      <c r="D10" s="4"/>
      <c r="E10" s="25"/>
      <c r="H10" s="4"/>
    </row>
    <row r="11" spans="1:8" ht="18.75" x14ac:dyDescent="0.3">
      <c r="A11" s="5"/>
      <c r="D11" s="4"/>
      <c r="E11" s="25"/>
      <c r="H11" s="4"/>
    </row>
    <row r="12" spans="1:8" ht="18.75" x14ac:dyDescent="0.3">
      <c r="A12" s="5"/>
      <c r="C12" s="3"/>
      <c r="D12" s="27"/>
      <c r="E12" s="25"/>
      <c r="H12" s="27"/>
    </row>
    <row r="13" spans="1:8" ht="18.75" x14ac:dyDescent="0.3">
      <c r="A13" s="5"/>
      <c r="C13" s="3"/>
      <c r="D13" s="28"/>
      <c r="E13" s="25"/>
      <c r="H13" s="28"/>
    </row>
    <row r="14" spans="1:8" ht="19.5" thickBot="1" x14ac:dyDescent="0.35">
      <c r="A14" s="5"/>
      <c r="C14" s="3"/>
      <c r="D14" s="22"/>
      <c r="E14" s="25"/>
      <c r="H14" s="22"/>
    </row>
    <row r="15" spans="1:8" ht="18.75" customHeight="1" x14ac:dyDescent="0.3">
      <c r="D15" s="4">
        <f>SUM(D7:D14)</f>
        <v>172645</v>
      </c>
      <c r="H15" s="4">
        <f>SUM(H7:H14)</f>
        <v>27565</v>
      </c>
    </row>
    <row r="16" spans="1:8" ht="18.75" x14ac:dyDescent="0.3">
      <c r="A16" s="5"/>
      <c r="C16" s="3"/>
      <c r="D16" s="4"/>
      <c r="H16" s="4"/>
    </row>
    <row r="18" spans="1:8" ht="18.75" x14ac:dyDescent="0.3">
      <c r="A18" s="5"/>
      <c r="C18" s="3"/>
      <c r="D18" s="4"/>
      <c r="H18" s="4"/>
    </row>
    <row r="19" spans="1:8" ht="15.75" thickBot="1" x14ac:dyDescent="0.3">
      <c r="D19" s="7"/>
      <c r="H19" s="7"/>
    </row>
    <row r="21" spans="1:8" ht="18.75" x14ac:dyDescent="0.3">
      <c r="C21" t="s">
        <v>4</v>
      </c>
      <c r="D21" s="4">
        <f>D3-D15</f>
        <v>62975</v>
      </c>
      <c r="G21" t="s">
        <v>5</v>
      </c>
      <c r="H21" s="4">
        <f>H3-H15</f>
        <v>10055</v>
      </c>
    </row>
    <row r="24" spans="1:8" ht="15.75" x14ac:dyDescent="0.25">
      <c r="A24" t="s">
        <v>6</v>
      </c>
      <c r="C24" s="8">
        <f>D21</f>
        <v>62975</v>
      </c>
      <c r="E24" t="s">
        <v>10</v>
      </c>
      <c r="H24" s="6">
        <f>C33</f>
        <v>51977.52</v>
      </c>
    </row>
    <row r="26" spans="1:8" ht="15.75" x14ac:dyDescent="0.25">
      <c r="A26" t="s">
        <v>5</v>
      </c>
      <c r="B26" s="9" t="s">
        <v>7</v>
      </c>
      <c r="C26" s="8">
        <f>H21</f>
        <v>10055</v>
      </c>
      <c r="E26" s="13" t="s">
        <v>11</v>
      </c>
      <c r="F26" s="9" t="s">
        <v>12</v>
      </c>
      <c r="G26" s="15" t="s">
        <v>17</v>
      </c>
      <c r="H26" s="3">
        <f>-(F27*0.007)</f>
        <v>-1386</v>
      </c>
    </row>
    <row r="27" spans="1:8" x14ac:dyDescent="0.25">
      <c r="F27" s="21">
        <f>D3-H3</f>
        <v>198000</v>
      </c>
    </row>
    <row r="28" spans="1:8" ht="15.75" x14ac:dyDescent="0.25">
      <c r="A28" t="s">
        <v>8</v>
      </c>
      <c r="B28" s="9" t="s">
        <v>7</v>
      </c>
      <c r="C28" s="8">
        <f>D3*0.004</f>
        <v>942.48</v>
      </c>
      <c r="F28" s="9" t="s">
        <v>13</v>
      </c>
      <c r="G28" s="16">
        <v>0.35</v>
      </c>
      <c r="H28" s="29">
        <f>-(F29*0.35)</f>
        <v>-18192.131999999998</v>
      </c>
    </row>
    <row r="29" spans="1:8" ht="15.75" thickBot="1" x14ac:dyDescent="0.3">
      <c r="F29" s="21">
        <f>H24</f>
        <v>51977.52</v>
      </c>
      <c r="H29" s="7"/>
    </row>
    <row r="30" spans="1:8" ht="15.75" x14ac:dyDescent="0.25">
      <c r="A30" t="s">
        <v>9</v>
      </c>
      <c r="B30" s="9" t="s">
        <v>7</v>
      </c>
      <c r="C30" s="10"/>
      <c r="G30" s="13" t="s">
        <v>14</v>
      </c>
      <c r="H30" s="6">
        <f>H24+H26+H28</f>
        <v>32399.387999999999</v>
      </c>
    </row>
    <row r="31" spans="1:8" ht="15.75" thickBot="1" x14ac:dyDescent="0.3">
      <c r="A31" s="16"/>
      <c r="B31" s="14"/>
      <c r="C31" s="7"/>
    </row>
    <row r="32" spans="1:8" x14ac:dyDescent="0.25">
      <c r="E32" t="s">
        <v>151</v>
      </c>
      <c r="H32" s="20">
        <f>H30*0.5</f>
        <v>16199.694</v>
      </c>
    </row>
    <row r="33" spans="1:8" ht="15.75" x14ac:dyDescent="0.25">
      <c r="A33" t="s">
        <v>10</v>
      </c>
      <c r="C33" s="10">
        <f>C24-C26-C28-C30</f>
        <v>51977.52</v>
      </c>
      <c r="H33" s="18"/>
    </row>
    <row r="34" spans="1:8" x14ac:dyDescent="0.25">
      <c r="H34" s="3"/>
    </row>
    <row r="35" spans="1:8" x14ac:dyDescent="0.25">
      <c r="H35" s="18"/>
    </row>
  </sheetData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DC5A7-4EE7-4398-80D6-6A2F0B7DFC24}">
  <dimension ref="A1:H35"/>
  <sheetViews>
    <sheetView workbookViewId="0">
      <selection activeCell="C4" sqref="C4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402</v>
      </c>
    </row>
    <row r="3" spans="1:8" ht="21" x14ac:dyDescent="0.35">
      <c r="A3" s="2" t="s">
        <v>1</v>
      </c>
      <c r="D3" s="11">
        <v>21420</v>
      </c>
      <c r="F3" s="12" t="s">
        <v>3</v>
      </c>
      <c r="H3" s="11">
        <v>3420</v>
      </c>
    </row>
    <row r="4" spans="1:8" x14ac:dyDescent="0.25">
      <c r="A4" s="13" t="s">
        <v>32</v>
      </c>
      <c r="C4" s="26">
        <v>512</v>
      </c>
    </row>
    <row r="5" spans="1:8" ht="21" x14ac:dyDescent="0.35">
      <c r="A5" s="2" t="s">
        <v>2</v>
      </c>
    </row>
    <row r="7" spans="1:8" ht="18.75" x14ac:dyDescent="0.3">
      <c r="A7" s="5" t="s">
        <v>221</v>
      </c>
      <c r="D7" s="4">
        <v>7000</v>
      </c>
      <c r="E7" s="25"/>
      <c r="H7" s="4"/>
    </row>
    <row r="8" spans="1:8" ht="18.75" x14ac:dyDescent="0.3">
      <c r="A8" s="5"/>
      <c r="D8" s="4"/>
      <c r="E8" s="25"/>
      <c r="H8" s="4"/>
    </row>
    <row r="9" spans="1:8" ht="18.75" x14ac:dyDescent="0.3">
      <c r="A9" s="5"/>
      <c r="D9" s="4"/>
      <c r="E9" s="25"/>
      <c r="H9" s="4"/>
    </row>
    <row r="10" spans="1:8" ht="18.75" x14ac:dyDescent="0.3">
      <c r="A10" s="5"/>
      <c r="D10" s="4"/>
      <c r="E10" s="25"/>
      <c r="H10" s="4"/>
    </row>
    <row r="11" spans="1:8" ht="18.75" x14ac:dyDescent="0.3">
      <c r="A11" s="5"/>
      <c r="D11" s="4"/>
      <c r="E11" s="25"/>
      <c r="H11" s="4"/>
    </row>
    <row r="12" spans="1:8" ht="18.75" x14ac:dyDescent="0.3">
      <c r="A12" s="5"/>
      <c r="C12" s="3"/>
      <c r="D12" s="27"/>
      <c r="E12" s="25"/>
      <c r="H12" s="27"/>
    </row>
    <row r="13" spans="1:8" ht="18.75" x14ac:dyDescent="0.3">
      <c r="A13" s="5"/>
      <c r="C13" s="3"/>
      <c r="D13" s="28"/>
      <c r="E13" s="25"/>
      <c r="H13" s="28"/>
    </row>
    <row r="14" spans="1:8" ht="19.5" thickBot="1" x14ac:dyDescent="0.35">
      <c r="A14" s="5"/>
      <c r="C14" s="3"/>
      <c r="D14" s="22"/>
      <c r="E14" s="25"/>
      <c r="H14" s="22"/>
    </row>
    <row r="15" spans="1:8" ht="18.75" customHeight="1" x14ac:dyDescent="0.3">
      <c r="D15" s="4">
        <f>SUM(D7:D14)</f>
        <v>7000</v>
      </c>
      <c r="H15" s="4">
        <f>SUM(H7:H14)</f>
        <v>0</v>
      </c>
    </row>
    <row r="16" spans="1:8" ht="18.75" x14ac:dyDescent="0.3">
      <c r="A16" s="5"/>
      <c r="C16" s="3"/>
      <c r="D16" s="4"/>
      <c r="H16" s="4"/>
    </row>
    <row r="18" spans="1:8" ht="18.75" x14ac:dyDescent="0.3">
      <c r="A18" s="5"/>
      <c r="C18" s="3"/>
      <c r="D18" s="4"/>
      <c r="H18" s="4"/>
    </row>
    <row r="19" spans="1:8" ht="15.75" thickBot="1" x14ac:dyDescent="0.3">
      <c r="D19" s="7"/>
      <c r="H19" s="7"/>
    </row>
    <row r="21" spans="1:8" ht="18.75" x14ac:dyDescent="0.3">
      <c r="C21" t="s">
        <v>4</v>
      </c>
      <c r="D21" s="4">
        <f>D3-D15</f>
        <v>14420</v>
      </c>
      <c r="G21" t="s">
        <v>5</v>
      </c>
      <c r="H21" s="4">
        <f>H3-H15</f>
        <v>3420</v>
      </c>
    </row>
    <row r="24" spans="1:8" ht="15.75" x14ac:dyDescent="0.25">
      <c r="A24" t="s">
        <v>6</v>
      </c>
      <c r="C24" s="8">
        <f>D21</f>
        <v>14420</v>
      </c>
      <c r="E24" t="s">
        <v>10</v>
      </c>
      <c r="H24" s="6">
        <f>C33</f>
        <v>10914.32</v>
      </c>
    </row>
    <row r="26" spans="1:8" ht="15.75" x14ac:dyDescent="0.25">
      <c r="A26" t="s">
        <v>5</v>
      </c>
      <c r="B26" s="9" t="s">
        <v>7</v>
      </c>
      <c r="C26" s="8">
        <f>H21</f>
        <v>3420</v>
      </c>
      <c r="E26" s="13" t="s">
        <v>11</v>
      </c>
      <c r="F26" s="9" t="s">
        <v>12</v>
      </c>
      <c r="G26" s="15" t="s">
        <v>17</v>
      </c>
      <c r="H26" s="3">
        <f>-(F27*0.007)</f>
        <v>-126</v>
      </c>
    </row>
    <row r="27" spans="1:8" x14ac:dyDescent="0.25">
      <c r="F27" s="21">
        <f>D3-H3</f>
        <v>18000</v>
      </c>
    </row>
    <row r="28" spans="1:8" ht="15.75" x14ac:dyDescent="0.25">
      <c r="A28" t="s">
        <v>8</v>
      </c>
      <c r="B28" s="9" t="s">
        <v>7</v>
      </c>
      <c r="C28" s="8">
        <f>D3*0.004</f>
        <v>85.68</v>
      </c>
      <c r="F28" s="9" t="s">
        <v>13</v>
      </c>
      <c r="G28" s="16">
        <v>0.35</v>
      </c>
      <c r="H28" s="29">
        <f>-(F29*0.35)</f>
        <v>-3820.0119999999997</v>
      </c>
    </row>
    <row r="29" spans="1:8" ht="15.75" thickBot="1" x14ac:dyDescent="0.3">
      <c r="F29" s="21">
        <f>H24</f>
        <v>10914.32</v>
      </c>
      <c r="H29" s="7"/>
    </row>
    <row r="30" spans="1:8" ht="15.75" x14ac:dyDescent="0.25">
      <c r="A30" t="s">
        <v>9</v>
      </c>
      <c r="B30" s="9" t="s">
        <v>7</v>
      </c>
      <c r="C30" s="10"/>
      <c r="G30" s="13" t="s">
        <v>14</v>
      </c>
      <c r="H30" s="6">
        <f>H24+H26+H28</f>
        <v>6968.308</v>
      </c>
    </row>
    <row r="31" spans="1:8" ht="15.75" thickBot="1" x14ac:dyDescent="0.3">
      <c r="A31" s="16"/>
      <c r="B31" s="14"/>
      <c r="C31" s="7"/>
    </row>
    <row r="32" spans="1:8" x14ac:dyDescent="0.25">
      <c r="E32" t="s">
        <v>151</v>
      </c>
      <c r="H32" s="20">
        <f>H30*0.5</f>
        <v>3484.154</v>
      </c>
    </row>
    <row r="33" spans="1:8" ht="15.75" x14ac:dyDescent="0.25">
      <c r="A33" t="s">
        <v>10</v>
      </c>
      <c r="C33" s="10">
        <f>C24-C26-C28-C30</f>
        <v>10914.32</v>
      </c>
      <c r="H33" s="18"/>
    </row>
    <row r="34" spans="1:8" x14ac:dyDescent="0.25">
      <c r="H34" s="3"/>
    </row>
    <row r="35" spans="1:8" x14ac:dyDescent="0.25">
      <c r="H35" s="18"/>
    </row>
  </sheetData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7AAB0-842D-4206-8C65-513683CB30FF}">
  <dimension ref="A1:H35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403</v>
      </c>
    </row>
    <row r="3" spans="1:8" ht="21" x14ac:dyDescent="0.35">
      <c r="A3" s="2" t="s">
        <v>1</v>
      </c>
      <c r="D3" s="11">
        <v>17850</v>
      </c>
      <c r="F3" s="12" t="s">
        <v>3</v>
      </c>
      <c r="H3" s="11">
        <v>2850</v>
      </c>
    </row>
    <row r="4" spans="1:8" x14ac:dyDescent="0.25">
      <c r="A4" s="13" t="s">
        <v>32</v>
      </c>
      <c r="C4" s="26">
        <v>517</v>
      </c>
    </row>
    <row r="5" spans="1:8" ht="21" x14ac:dyDescent="0.35">
      <c r="A5" s="2" t="s">
        <v>2</v>
      </c>
    </row>
    <row r="7" spans="1:8" ht="18.75" x14ac:dyDescent="0.3">
      <c r="A7" s="5" t="s">
        <v>221</v>
      </c>
      <c r="D7" s="4">
        <v>9800</v>
      </c>
      <c r="E7" s="25"/>
      <c r="H7" s="4"/>
    </row>
    <row r="8" spans="1:8" ht="18.75" x14ac:dyDescent="0.3">
      <c r="A8" s="5"/>
      <c r="D8" s="4"/>
      <c r="E8" s="25"/>
      <c r="H8" s="4"/>
    </row>
    <row r="9" spans="1:8" ht="18.75" x14ac:dyDescent="0.3">
      <c r="A9" s="5"/>
      <c r="D9" s="4"/>
      <c r="E9" s="25"/>
      <c r="H9" s="4"/>
    </row>
    <row r="10" spans="1:8" ht="18.75" x14ac:dyDescent="0.3">
      <c r="A10" s="5"/>
      <c r="D10" s="4"/>
      <c r="E10" s="25"/>
      <c r="H10" s="4"/>
    </row>
    <row r="11" spans="1:8" ht="18.75" x14ac:dyDescent="0.3">
      <c r="A11" s="5"/>
      <c r="D11" s="4"/>
      <c r="E11" s="25"/>
      <c r="H11" s="4"/>
    </row>
    <row r="12" spans="1:8" ht="18.75" x14ac:dyDescent="0.3">
      <c r="A12" s="5"/>
      <c r="C12" s="3"/>
      <c r="D12" s="27"/>
      <c r="E12" s="25"/>
      <c r="H12" s="27"/>
    </row>
    <row r="13" spans="1:8" ht="18.75" x14ac:dyDescent="0.3">
      <c r="A13" s="5"/>
      <c r="C13" s="3"/>
      <c r="D13" s="28"/>
      <c r="E13" s="25"/>
      <c r="H13" s="28"/>
    </row>
    <row r="14" spans="1:8" ht="19.5" thickBot="1" x14ac:dyDescent="0.35">
      <c r="A14" s="5"/>
      <c r="C14" s="3"/>
      <c r="D14" s="22"/>
      <c r="E14" s="25"/>
      <c r="H14" s="22"/>
    </row>
    <row r="15" spans="1:8" ht="18.75" customHeight="1" x14ac:dyDescent="0.3">
      <c r="D15" s="4">
        <f>SUM(D7:D14)</f>
        <v>9800</v>
      </c>
      <c r="H15" s="4">
        <f>SUM(H7:H14)</f>
        <v>0</v>
      </c>
    </row>
    <row r="16" spans="1:8" ht="18.75" x14ac:dyDescent="0.3">
      <c r="A16" s="5"/>
      <c r="C16" s="3"/>
      <c r="D16" s="4"/>
      <c r="H16" s="4"/>
    </row>
    <row r="18" spans="1:8" ht="18.75" x14ac:dyDescent="0.3">
      <c r="A18" s="5"/>
      <c r="C18" s="3"/>
      <c r="D18" s="4"/>
      <c r="H18" s="4"/>
    </row>
    <row r="19" spans="1:8" ht="15.75" thickBot="1" x14ac:dyDescent="0.3">
      <c r="D19" s="7"/>
      <c r="H19" s="7"/>
    </row>
    <row r="21" spans="1:8" ht="18.75" x14ac:dyDescent="0.3">
      <c r="C21" t="s">
        <v>4</v>
      </c>
      <c r="D21" s="4">
        <f>D3-D15</f>
        <v>8050</v>
      </c>
      <c r="G21" t="s">
        <v>5</v>
      </c>
      <c r="H21" s="4">
        <f>H3-H15</f>
        <v>2850</v>
      </c>
    </row>
    <row r="24" spans="1:8" ht="15.75" x14ac:dyDescent="0.25">
      <c r="A24" t="s">
        <v>6</v>
      </c>
      <c r="C24" s="8">
        <f>D21</f>
        <v>8050</v>
      </c>
      <c r="E24" t="s">
        <v>10</v>
      </c>
      <c r="H24" s="6">
        <f>C33</f>
        <v>5128.6000000000004</v>
      </c>
    </row>
    <row r="26" spans="1:8" ht="15.75" x14ac:dyDescent="0.25">
      <c r="A26" t="s">
        <v>5</v>
      </c>
      <c r="B26" s="9" t="s">
        <v>7</v>
      </c>
      <c r="C26" s="8">
        <f>H21</f>
        <v>2850</v>
      </c>
      <c r="E26" s="13" t="s">
        <v>11</v>
      </c>
      <c r="F26" s="9" t="s">
        <v>12</v>
      </c>
      <c r="G26" s="15" t="s">
        <v>17</v>
      </c>
      <c r="H26" s="3">
        <f>-(F27*0.007)</f>
        <v>-105</v>
      </c>
    </row>
    <row r="27" spans="1:8" x14ac:dyDescent="0.25">
      <c r="F27" s="21">
        <f>D3-H3</f>
        <v>15000</v>
      </c>
    </row>
    <row r="28" spans="1:8" ht="15.75" x14ac:dyDescent="0.25">
      <c r="A28" t="s">
        <v>8</v>
      </c>
      <c r="B28" s="9" t="s">
        <v>7</v>
      </c>
      <c r="C28" s="8">
        <f>D3*0.004</f>
        <v>71.400000000000006</v>
      </c>
      <c r="F28" s="9" t="s">
        <v>13</v>
      </c>
      <c r="G28" s="16">
        <v>0.35</v>
      </c>
      <c r="H28" s="29">
        <f>-(F29*0.35)</f>
        <v>-1795.01</v>
      </c>
    </row>
    <row r="29" spans="1:8" ht="15.75" thickBot="1" x14ac:dyDescent="0.3">
      <c r="F29" s="21">
        <f>H24</f>
        <v>5128.6000000000004</v>
      </c>
      <c r="H29" s="7"/>
    </row>
    <row r="30" spans="1:8" ht="15.75" x14ac:dyDescent="0.25">
      <c r="A30" t="s">
        <v>9</v>
      </c>
      <c r="B30" s="9" t="s">
        <v>7</v>
      </c>
      <c r="C30" s="10"/>
      <c r="G30" s="13" t="s">
        <v>14</v>
      </c>
      <c r="H30" s="6">
        <f>H24+H26+H28</f>
        <v>3228.59</v>
      </c>
    </row>
    <row r="31" spans="1:8" ht="15.75" thickBot="1" x14ac:dyDescent="0.3">
      <c r="A31" s="16"/>
      <c r="B31" s="14"/>
      <c r="C31" s="7"/>
    </row>
    <row r="32" spans="1:8" x14ac:dyDescent="0.25">
      <c r="E32" t="s">
        <v>151</v>
      </c>
      <c r="H32" s="20">
        <f>H30*0.5</f>
        <v>1614.2950000000001</v>
      </c>
    </row>
    <row r="33" spans="1:8" ht="15.75" x14ac:dyDescent="0.25">
      <c r="A33" t="s">
        <v>10</v>
      </c>
      <c r="C33" s="10">
        <f>C24-C26-C28-C30</f>
        <v>5128.6000000000004</v>
      </c>
      <c r="H33" s="18"/>
    </row>
    <row r="34" spans="1:8" x14ac:dyDescent="0.25">
      <c r="H34" s="3"/>
    </row>
    <row r="35" spans="1:8" x14ac:dyDescent="0.25">
      <c r="H35" s="18"/>
    </row>
  </sheetData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1BFD0-C2A0-48C7-B99C-82EB83804CD8}">
  <dimension ref="A1:H35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404</v>
      </c>
    </row>
    <row r="3" spans="1:8" ht="21" x14ac:dyDescent="0.35">
      <c r="A3" s="2" t="s">
        <v>1</v>
      </c>
      <c r="D3" s="11">
        <v>942480</v>
      </c>
      <c r="F3" s="12" t="s">
        <v>3</v>
      </c>
      <c r="H3" s="11">
        <v>150480</v>
      </c>
    </row>
    <row r="4" spans="1:8" x14ac:dyDescent="0.25">
      <c r="A4" s="13" t="s">
        <v>32</v>
      </c>
      <c r="C4" s="26">
        <v>518</v>
      </c>
    </row>
    <row r="5" spans="1:8" ht="21" x14ac:dyDescent="0.35">
      <c r="A5" s="2" t="s">
        <v>2</v>
      </c>
    </row>
    <row r="7" spans="1:8" ht="18.75" x14ac:dyDescent="0.3">
      <c r="A7" s="5" t="s">
        <v>322</v>
      </c>
      <c r="D7" s="4">
        <v>662521</v>
      </c>
      <c r="E7" s="25"/>
      <c r="H7" s="4">
        <v>105781</v>
      </c>
    </row>
    <row r="8" spans="1:8" ht="18.75" x14ac:dyDescent="0.3">
      <c r="A8" s="5"/>
      <c r="D8" s="4"/>
      <c r="E8" s="25"/>
      <c r="H8" s="4"/>
    </row>
    <row r="9" spans="1:8" ht="18.75" x14ac:dyDescent="0.3">
      <c r="A9" s="5"/>
      <c r="D9" s="4"/>
      <c r="E9" s="25"/>
      <c r="H9" s="4"/>
    </row>
    <row r="10" spans="1:8" ht="18.75" x14ac:dyDescent="0.3">
      <c r="A10" s="5"/>
      <c r="D10" s="4"/>
      <c r="E10" s="25"/>
      <c r="H10" s="4"/>
    </row>
    <row r="11" spans="1:8" ht="18.75" x14ac:dyDescent="0.3">
      <c r="A11" s="5"/>
      <c r="D11" s="4"/>
      <c r="E11" s="25"/>
      <c r="H11" s="4"/>
    </row>
    <row r="12" spans="1:8" ht="18.75" x14ac:dyDescent="0.3">
      <c r="A12" s="5"/>
      <c r="C12" s="3"/>
      <c r="D12" s="27"/>
      <c r="E12" s="25"/>
      <c r="H12" s="27"/>
    </row>
    <row r="13" spans="1:8" ht="18.75" x14ac:dyDescent="0.3">
      <c r="A13" s="5"/>
      <c r="C13" s="3"/>
      <c r="D13" s="28"/>
      <c r="E13" s="25"/>
      <c r="H13" s="28"/>
    </row>
    <row r="14" spans="1:8" ht="19.5" thickBot="1" x14ac:dyDescent="0.35">
      <c r="A14" s="5"/>
      <c r="C14" s="3"/>
      <c r="D14" s="22"/>
      <c r="E14" s="25"/>
      <c r="H14" s="22"/>
    </row>
    <row r="15" spans="1:8" ht="18.75" customHeight="1" x14ac:dyDescent="0.3">
      <c r="D15" s="4">
        <f>SUM(D7:D14)</f>
        <v>662521</v>
      </c>
      <c r="H15" s="4">
        <f>SUM(H7:H14)</f>
        <v>105781</v>
      </c>
    </row>
    <row r="16" spans="1:8" ht="18.75" x14ac:dyDescent="0.3">
      <c r="A16" s="5"/>
      <c r="C16" s="3"/>
      <c r="D16" s="4"/>
      <c r="H16" s="4"/>
    </row>
    <row r="18" spans="1:8" ht="18.75" x14ac:dyDescent="0.3">
      <c r="A18" s="5"/>
      <c r="C18" s="3"/>
      <c r="D18" s="4"/>
      <c r="H18" s="4"/>
    </row>
    <row r="19" spans="1:8" ht="15.75" thickBot="1" x14ac:dyDescent="0.3">
      <c r="D19" s="7"/>
      <c r="H19" s="7"/>
    </row>
    <row r="21" spans="1:8" ht="18.75" x14ac:dyDescent="0.3">
      <c r="C21" t="s">
        <v>4</v>
      </c>
      <c r="D21" s="4">
        <f>D3-D15</f>
        <v>279959</v>
      </c>
      <c r="G21" t="s">
        <v>5</v>
      </c>
      <c r="H21" s="4">
        <f>H3-H15</f>
        <v>44699</v>
      </c>
    </row>
    <row r="24" spans="1:8" ht="15.75" x14ac:dyDescent="0.25">
      <c r="A24" t="s">
        <v>6</v>
      </c>
      <c r="C24" s="8">
        <f>D21</f>
        <v>279959</v>
      </c>
      <c r="E24" t="s">
        <v>10</v>
      </c>
      <c r="H24" s="6">
        <f>C33</f>
        <v>231490.08</v>
      </c>
    </row>
    <row r="26" spans="1:8" ht="15.75" x14ac:dyDescent="0.25">
      <c r="A26" t="s">
        <v>5</v>
      </c>
      <c r="B26" s="9" t="s">
        <v>7</v>
      </c>
      <c r="C26" s="8">
        <f>H21</f>
        <v>44699</v>
      </c>
      <c r="E26" s="13" t="s">
        <v>11</v>
      </c>
      <c r="F26" s="9" t="s">
        <v>12</v>
      </c>
      <c r="G26" s="15" t="s">
        <v>17</v>
      </c>
      <c r="H26" s="3">
        <f>-(F27*0.007)</f>
        <v>-5544</v>
      </c>
    </row>
    <row r="27" spans="1:8" x14ac:dyDescent="0.25">
      <c r="F27" s="21">
        <f>D3-H3</f>
        <v>792000</v>
      </c>
    </row>
    <row r="28" spans="1:8" ht="15.75" x14ac:dyDescent="0.25">
      <c r="A28" t="s">
        <v>8</v>
      </c>
      <c r="B28" s="9" t="s">
        <v>7</v>
      </c>
      <c r="C28" s="8">
        <f>D3*0.004</f>
        <v>3769.92</v>
      </c>
      <c r="F28" s="9" t="s">
        <v>13</v>
      </c>
      <c r="G28" s="16">
        <v>0.35</v>
      </c>
      <c r="H28" s="29">
        <f>-(F29*0.35)</f>
        <v>-81021.527999999991</v>
      </c>
    </row>
    <row r="29" spans="1:8" ht="15.75" thickBot="1" x14ac:dyDescent="0.3">
      <c r="F29" s="21">
        <f>H24</f>
        <v>231490.08</v>
      </c>
      <c r="H29" s="7"/>
    </row>
    <row r="30" spans="1:8" ht="15.75" x14ac:dyDescent="0.25">
      <c r="A30" t="s">
        <v>9</v>
      </c>
      <c r="B30" s="9" t="s">
        <v>7</v>
      </c>
      <c r="C30" s="10"/>
      <c r="G30" s="13" t="s">
        <v>14</v>
      </c>
      <c r="H30" s="6">
        <f>H24+H26+H28</f>
        <v>144924.552</v>
      </c>
    </row>
    <row r="31" spans="1:8" ht="15.75" thickBot="1" x14ac:dyDescent="0.3">
      <c r="A31" s="16"/>
      <c r="B31" s="14"/>
      <c r="C31" s="7"/>
    </row>
    <row r="32" spans="1:8" x14ac:dyDescent="0.25">
      <c r="E32" t="s">
        <v>151</v>
      </c>
      <c r="H32" s="20">
        <f>H30*0.5</f>
        <v>72462.275999999998</v>
      </c>
    </row>
    <row r="33" spans="1:8" ht="15.75" x14ac:dyDescent="0.25">
      <c r="A33" t="s">
        <v>10</v>
      </c>
      <c r="C33" s="10">
        <f>C24-C26-C28-C30</f>
        <v>231490.08</v>
      </c>
      <c r="H33" s="18"/>
    </row>
    <row r="34" spans="1:8" x14ac:dyDescent="0.25">
      <c r="H34" s="3"/>
    </row>
    <row r="35" spans="1:8" x14ac:dyDescent="0.25">
      <c r="H35" s="18"/>
    </row>
  </sheetData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03C27-F936-4B51-AA93-D7BFC289FF4A}">
  <dimension ref="A1:H35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405</v>
      </c>
    </row>
    <row r="3" spans="1:8" ht="21" x14ac:dyDescent="0.35">
      <c r="A3" s="2" t="s">
        <v>1</v>
      </c>
      <c r="D3" s="11">
        <v>4279977</v>
      </c>
      <c r="F3" s="12" t="s">
        <v>3</v>
      </c>
      <c r="H3" s="11">
        <v>698022</v>
      </c>
    </row>
    <row r="4" spans="1:8" x14ac:dyDescent="0.25">
      <c r="A4" s="13" t="s">
        <v>32</v>
      </c>
      <c r="C4" s="26">
        <v>519</v>
      </c>
    </row>
    <row r="5" spans="1:8" ht="21" x14ac:dyDescent="0.35">
      <c r="A5" s="2" t="s">
        <v>2</v>
      </c>
    </row>
    <row r="7" spans="1:8" ht="18.75" x14ac:dyDescent="0.3">
      <c r="A7" s="5" t="s">
        <v>221</v>
      </c>
      <c r="D7" s="4">
        <v>226736</v>
      </c>
      <c r="E7" s="25"/>
      <c r="H7" s="4">
        <v>17266</v>
      </c>
    </row>
    <row r="8" spans="1:8" ht="18.75" x14ac:dyDescent="0.3">
      <c r="A8" s="5" t="s">
        <v>406</v>
      </c>
      <c r="D8" s="4">
        <v>2402759</v>
      </c>
      <c r="E8" s="25"/>
      <c r="H8" s="4">
        <v>383633</v>
      </c>
    </row>
    <row r="9" spans="1:8" ht="18.75" x14ac:dyDescent="0.3">
      <c r="A9" s="5" t="s">
        <v>407</v>
      </c>
      <c r="D9" s="4">
        <v>283030</v>
      </c>
      <c r="E9" s="25"/>
      <c r="H9" s="4">
        <v>45190</v>
      </c>
    </row>
    <row r="10" spans="1:8" ht="18.75" x14ac:dyDescent="0.3">
      <c r="A10" s="5" t="s">
        <v>408</v>
      </c>
      <c r="D10" s="4">
        <v>142511</v>
      </c>
      <c r="E10" s="25"/>
      <c r="H10" s="4">
        <v>22755</v>
      </c>
    </row>
    <row r="11" spans="1:8" ht="18.75" x14ac:dyDescent="0.3">
      <c r="A11" s="5" t="s">
        <v>141</v>
      </c>
      <c r="D11" s="4">
        <v>100000</v>
      </c>
      <c r="E11" s="25"/>
      <c r="H11" s="4"/>
    </row>
    <row r="12" spans="1:8" ht="18.75" x14ac:dyDescent="0.3">
      <c r="A12" s="5"/>
      <c r="C12" s="3"/>
      <c r="D12" s="27"/>
      <c r="E12" s="25"/>
      <c r="H12" s="27"/>
    </row>
    <row r="13" spans="1:8" ht="18.75" x14ac:dyDescent="0.3">
      <c r="A13" s="5"/>
      <c r="C13" s="3"/>
      <c r="D13" s="28"/>
      <c r="E13" s="25"/>
      <c r="H13" s="28"/>
    </row>
    <row r="14" spans="1:8" ht="19.5" thickBot="1" x14ac:dyDescent="0.35">
      <c r="A14" s="5"/>
      <c r="C14" s="3"/>
      <c r="D14" s="22"/>
      <c r="E14" s="25"/>
      <c r="H14" s="22"/>
    </row>
    <row r="15" spans="1:8" ht="18.75" customHeight="1" x14ac:dyDescent="0.3">
      <c r="D15" s="4">
        <f>SUM(D7:D14)</f>
        <v>3155036</v>
      </c>
      <c r="H15" s="4">
        <f>SUM(H7:H14)</f>
        <v>468844</v>
      </c>
    </row>
    <row r="16" spans="1:8" ht="18.75" x14ac:dyDescent="0.3">
      <c r="A16" s="5"/>
      <c r="C16" s="3"/>
      <c r="D16" s="4"/>
      <c r="H16" s="4"/>
    </row>
    <row r="18" spans="1:8" ht="18.75" x14ac:dyDescent="0.3">
      <c r="A18" s="5"/>
      <c r="C18" s="3"/>
      <c r="D18" s="4"/>
      <c r="H18" s="4"/>
    </row>
    <row r="19" spans="1:8" ht="15.75" thickBot="1" x14ac:dyDescent="0.3">
      <c r="D19" s="7"/>
      <c r="H19" s="7"/>
    </row>
    <row r="21" spans="1:8" ht="18.75" x14ac:dyDescent="0.3">
      <c r="C21" t="s">
        <v>4</v>
      </c>
      <c r="D21" s="4">
        <f>D3-D15</f>
        <v>1124941</v>
      </c>
      <c r="G21" t="s">
        <v>5</v>
      </c>
      <c r="H21" s="4">
        <f>H3-H15</f>
        <v>229178</v>
      </c>
    </row>
    <row r="24" spans="1:8" ht="15.75" x14ac:dyDescent="0.25">
      <c r="A24" t="s">
        <v>6</v>
      </c>
      <c r="C24" s="8">
        <f>D21</f>
        <v>1124941</v>
      </c>
      <c r="E24" t="s">
        <v>10</v>
      </c>
      <c r="H24" s="6">
        <f>C33</f>
        <v>878643.09199999995</v>
      </c>
    </row>
    <row r="26" spans="1:8" ht="15.75" x14ac:dyDescent="0.25">
      <c r="A26" t="s">
        <v>5</v>
      </c>
      <c r="B26" s="9" t="s">
        <v>7</v>
      </c>
      <c r="C26" s="8">
        <f>H21</f>
        <v>229178</v>
      </c>
      <c r="E26" s="13" t="s">
        <v>11</v>
      </c>
      <c r="F26" s="9" t="s">
        <v>12</v>
      </c>
      <c r="G26" s="15" t="s">
        <v>17</v>
      </c>
      <c r="H26" s="3">
        <f>-(F27*0.007)</f>
        <v>-25716.600000000002</v>
      </c>
    </row>
    <row r="27" spans="1:8" x14ac:dyDescent="0.25">
      <c r="F27" s="21">
        <v>3673800</v>
      </c>
    </row>
    <row r="28" spans="1:8" ht="15.75" x14ac:dyDescent="0.25">
      <c r="A28" t="s">
        <v>8</v>
      </c>
      <c r="B28" s="9" t="s">
        <v>7</v>
      </c>
      <c r="C28" s="8">
        <f>D3*0.004</f>
        <v>17119.907999999999</v>
      </c>
      <c r="F28" s="9" t="s">
        <v>13</v>
      </c>
      <c r="G28" s="16">
        <v>0.35</v>
      </c>
      <c r="H28" s="29">
        <f>-(F29*0.35)</f>
        <v>-307525.08219999995</v>
      </c>
    </row>
    <row r="29" spans="1:8" ht="15.75" thickBot="1" x14ac:dyDescent="0.3">
      <c r="F29" s="21">
        <f>H24</f>
        <v>878643.09199999995</v>
      </c>
      <c r="H29" s="7"/>
    </row>
    <row r="30" spans="1:8" ht="15.75" x14ac:dyDescent="0.25">
      <c r="A30" t="s">
        <v>9</v>
      </c>
      <c r="B30" s="9" t="s">
        <v>7</v>
      </c>
      <c r="C30" s="10"/>
      <c r="G30" s="13" t="s">
        <v>14</v>
      </c>
      <c r="H30" s="6">
        <f>H24+H26+H28</f>
        <v>545401.40980000002</v>
      </c>
    </row>
    <row r="31" spans="1:8" ht="15.75" thickBot="1" x14ac:dyDescent="0.3">
      <c r="A31" s="16"/>
      <c r="B31" s="14"/>
      <c r="C31" s="7"/>
    </row>
    <row r="32" spans="1:8" x14ac:dyDescent="0.25">
      <c r="E32" t="s">
        <v>151</v>
      </c>
      <c r="H32" s="20">
        <f>H30*0.5</f>
        <v>272700.70490000001</v>
      </c>
    </row>
    <row r="33" spans="1:8" ht="15.75" x14ac:dyDescent="0.25">
      <c r="A33" t="s">
        <v>10</v>
      </c>
      <c r="C33" s="10">
        <f>C24-C26-C28-C30</f>
        <v>878643.09199999995</v>
      </c>
      <c r="H33" s="18"/>
    </row>
    <row r="34" spans="1:8" x14ac:dyDescent="0.25">
      <c r="H34" s="3"/>
    </row>
    <row r="35" spans="1:8" x14ac:dyDescent="0.25">
      <c r="H35" s="18"/>
    </row>
  </sheetData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B3539-8D8A-4758-B6EA-020D0D726403}">
  <dimension ref="A1:H35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409</v>
      </c>
    </row>
    <row r="3" spans="1:8" ht="21" x14ac:dyDescent="0.35">
      <c r="A3" s="2" t="s">
        <v>1</v>
      </c>
      <c r="D3" s="11">
        <v>414120</v>
      </c>
      <c r="F3" s="12" t="s">
        <v>3</v>
      </c>
      <c r="H3" s="11">
        <v>94050</v>
      </c>
    </row>
    <row r="4" spans="1:8" x14ac:dyDescent="0.25">
      <c r="A4" s="13" t="s">
        <v>32</v>
      </c>
      <c r="C4" s="26">
        <v>523</v>
      </c>
    </row>
    <row r="5" spans="1:8" ht="21" x14ac:dyDescent="0.35">
      <c r="A5" s="2" t="s">
        <v>2</v>
      </c>
    </row>
    <row r="7" spans="1:8" ht="18.75" x14ac:dyDescent="0.3">
      <c r="A7" s="5" t="s">
        <v>410</v>
      </c>
      <c r="D7" s="4">
        <v>347004</v>
      </c>
      <c r="E7" s="25"/>
      <c r="H7" s="4">
        <v>55404</v>
      </c>
    </row>
    <row r="8" spans="1:8" ht="18.75" x14ac:dyDescent="0.3">
      <c r="D8" s="4"/>
      <c r="E8" s="25"/>
      <c r="H8" s="4"/>
    </row>
    <row r="9" spans="1:8" ht="18.75" x14ac:dyDescent="0.3">
      <c r="A9" s="5"/>
      <c r="D9" s="4"/>
      <c r="E9" s="25"/>
      <c r="H9" s="4"/>
    </row>
    <row r="10" spans="1:8" ht="18.75" x14ac:dyDescent="0.3">
      <c r="A10" s="5"/>
      <c r="D10" s="4"/>
      <c r="E10" s="25"/>
      <c r="H10" s="4"/>
    </row>
    <row r="11" spans="1:8" ht="18.75" x14ac:dyDescent="0.3">
      <c r="A11" s="5"/>
      <c r="D11" s="4"/>
      <c r="E11" s="25"/>
      <c r="H11" s="4"/>
    </row>
    <row r="12" spans="1:8" ht="18.75" x14ac:dyDescent="0.3">
      <c r="A12" s="5"/>
      <c r="C12" s="3"/>
      <c r="D12" s="27"/>
      <c r="E12" s="25"/>
      <c r="H12" s="27"/>
    </row>
    <row r="13" spans="1:8" ht="18.75" x14ac:dyDescent="0.3">
      <c r="A13" s="5"/>
      <c r="C13" s="3"/>
      <c r="D13" s="28"/>
      <c r="E13" s="25"/>
      <c r="H13" s="28"/>
    </row>
    <row r="14" spans="1:8" ht="19.5" thickBot="1" x14ac:dyDescent="0.35">
      <c r="A14" s="5"/>
      <c r="C14" s="3"/>
      <c r="D14" s="22"/>
      <c r="E14" s="25"/>
      <c r="H14" s="22"/>
    </row>
    <row r="15" spans="1:8" ht="18.75" customHeight="1" x14ac:dyDescent="0.3">
      <c r="D15" s="4">
        <f>SUM(D7:D14)</f>
        <v>347004</v>
      </c>
      <c r="H15" s="4">
        <f>SUM(H7:H14)</f>
        <v>55404</v>
      </c>
    </row>
    <row r="16" spans="1:8" ht="18.75" x14ac:dyDescent="0.3">
      <c r="A16" s="5"/>
      <c r="C16" s="3"/>
      <c r="D16" s="4"/>
      <c r="H16" s="4"/>
    </row>
    <row r="18" spans="1:8" ht="18.75" x14ac:dyDescent="0.3">
      <c r="A18" s="5"/>
      <c r="C18" s="3"/>
      <c r="D18" s="4"/>
      <c r="H18" s="4"/>
    </row>
    <row r="19" spans="1:8" ht="15.75" thickBot="1" x14ac:dyDescent="0.3">
      <c r="D19" s="7"/>
      <c r="H19" s="7"/>
    </row>
    <row r="21" spans="1:8" ht="18.75" x14ac:dyDescent="0.3">
      <c r="C21" t="s">
        <v>4</v>
      </c>
      <c r="D21" s="4">
        <f>D3-D15</f>
        <v>67116</v>
      </c>
      <c r="G21" t="s">
        <v>5</v>
      </c>
      <c r="H21" s="4">
        <f>H3-H15</f>
        <v>38646</v>
      </c>
    </row>
    <row r="24" spans="1:8" ht="15.75" x14ac:dyDescent="0.25">
      <c r="A24" t="s">
        <v>6</v>
      </c>
      <c r="C24" s="8">
        <f>D21</f>
        <v>67116</v>
      </c>
      <c r="E24" t="s">
        <v>10</v>
      </c>
      <c r="H24" s="6">
        <f>C33</f>
        <v>26813.52</v>
      </c>
    </row>
    <row r="26" spans="1:8" ht="15.75" x14ac:dyDescent="0.25">
      <c r="A26" t="s">
        <v>5</v>
      </c>
      <c r="B26" s="9" t="s">
        <v>7</v>
      </c>
      <c r="C26" s="8">
        <f>H21</f>
        <v>38646</v>
      </c>
      <c r="E26" s="13" t="s">
        <v>11</v>
      </c>
      <c r="F26" s="9" t="s">
        <v>12</v>
      </c>
      <c r="G26" s="15" t="s">
        <v>17</v>
      </c>
      <c r="H26" s="3">
        <f>-(F27*0.007)</f>
        <v>-2240.4900000000002</v>
      </c>
    </row>
    <row r="27" spans="1:8" x14ac:dyDescent="0.25">
      <c r="F27" s="21">
        <f>D3-H3</f>
        <v>320070</v>
      </c>
    </row>
    <row r="28" spans="1:8" ht="15.75" x14ac:dyDescent="0.25">
      <c r="A28" t="s">
        <v>8</v>
      </c>
      <c r="B28" s="9" t="s">
        <v>7</v>
      </c>
      <c r="C28" s="8">
        <f>D3*0.004</f>
        <v>1656.48</v>
      </c>
      <c r="F28" s="9" t="s">
        <v>13</v>
      </c>
      <c r="G28" s="16">
        <v>0.35</v>
      </c>
      <c r="H28" s="29">
        <f>-(F29*0.35)</f>
        <v>-9384.732</v>
      </c>
    </row>
    <row r="29" spans="1:8" ht="15.75" thickBot="1" x14ac:dyDescent="0.3">
      <c r="F29" s="21">
        <f>H24</f>
        <v>26813.52</v>
      </c>
      <c r="H29" s="7"/>
    </row>
    <row r="30" spans="1:8" ht="15.75" x14ac:dyDescent="0.25">
      <c r="A30" t="s">
        <v>9</v>
      </c>
      <c r="B30" s="9" t="s">
        <v>7</v>
      </c>
      <c r="C30" s="10"/>
      <c r="G30" s="13" t="s">
        <v>14</v>
      </c>
      <c r="H30" s="6">
        <f>H24+H26+H28</f>
        <v>15188.297999999999</v>
      </c>
    </row>
    <row r="31" spans="1:8" ht="15.75" thickBot="1" x14ac:dyDescent="0.3">
      <c r="A31" s="16"/>
      <c r="B31" s="14"/>
      <c r="C31" s="7"/>
    </row>
    <row r="32" spans="1:8" x14ac:dyDescent="0.25">
      <c r="E32" t="s">
        <v>151</v>
      </c>
      <c r="H32" s="20">
        <f>H30*0.5</f>
        <v>7594.1489999999994</v>
      </c>
    </row>
    <row r="33" spans="1:8" ht="15.75" x14ac:dyDescent="0.25">
      <c r="A33" t="s">
        <v>10</v>
      </c>
      <c r="C33" s="10">
        <f>C24-C26-C28-C30</f>
        <v>26813.52</v>
      </c>
      <c r="H33" s="18"/>
    </row>
    <row r="34" spans="1:8" x14ac:dyDescent="0.25">
      <c r="H34" s="3"/>
    </row>
    <row r="35" spans="1:8" x14ac:dyDescent="0.25">
      <c r="H35" s="18"/>
    </row>
  </sheetData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7EDFB-F36D-4C86-88F5-3393030953FA}">
  <dimension ref="A1:H35"/>
  <sheetViews>
    <sheetView workbookViewId="0">
      <selection activeCell="C4" sqref="C4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261</v>
      </c>
    </row>
    <row r="3" spans="1:8" ht="21" x14ac:dyDescent="0.35">
      <c r="A3" s="2" t="s">
        <v>1</v>
      </c>
      <c r="D3" s="11">
        <v>154105</v>
      </c>
      <c r="F3" s="12" t="s">
        <v>3</v>
      </c>
      <c r="H3" s="11">
        <v>24605</v>
      </c>
    </row>
    <row r="4" spans="1:8" x14ac:dyDescent="0.25">
      <c r="A4" s="13" t="s">
        <v>32</v>
      </c>
      <c r="C4" s="26">
        <v>528</v>
      </c>
    </row>
    <row r="5" spans="1:8" ht="21" x14ac:dyDescent="0.35">
      <c r="A5" s="2" t="s">
        <v>2</v>
      </c>
    </row>
    <row r="7" spans="1:8" ht="18.75" x14ac:dyDescent="0.3">
      <c r="A7" s="5" t="s">
        <v>411</v>
      </c>
      <c r="D7" s="4">
        <v>96081</v>
      </c>
      <c r="E7" s="25"/>
      <c r="H7" s="4">
        <v>15341</v>
      </c>
    </row>
    <row r="8" spans="1:8" ht="18.75" x14ac:dyDescent="0.3">
      <c r="A8" s="5" t="s">
        <v>412</v>
      </c>
      <c r="D8" s="4">
        <v>11900</v>
      </c>
      <c r="E8" s="25"/>
      <c r="H8" s="4">
        <v>1900</v>
      </c>
    </row>
    <row r="9" spans="1:8" ht="18.75" x14ac:dyDescent="0.3">
      <c r="A9" s="5"/>
      <c r="D9" s="4"/>
      <c r="E9" s="25"/>
      <c r="H9" s="4"/>
    </row>
    <row r="10" spans="1:8" ht="18.75" x14ac:dyDescent="0.3">
      <c r="A10" s="5"/>
      <c r="D10" s="4"/>
      <c r="E10" s="25"/>
      <c r="H10" s="4"/>
    </row>
    <row r="11" spans="1:8" ht="18.75" x14ac:dyDescent="0.3">
      <c r="A11" s="5"/>
      <c r="D11" s="4"/>
      <c r="E11" s="25"/>
      <c r="H11" s="4"/>
    </row>
    <row r="12" spans="1:8" ht="18.75" x14ac:dyDescent="0.3">
      <c r="A12" s="5"/>
      <c r="C12" s="3"/>
      <c r="D12" s="27"/>
      <c r="E12" s="25"/>
      <c r="H12" s="27"/>
    </row>
    <row r="13" spans="1:8" ht="18.75" x14ac:dyDescent="0.3">
      <c r="A13" s="5"/>
      <c r="C13" s="3"/>
      <c r="D13" s="28"/>
      <c r="E13" s="25"/>
      <c r="H13" s="28"/>
    </row>
    <row r="14" spans="1:8" ht="19.5" thickBot="1" x14ac:dyDescent="0.35">
      <c r="A14" s="5"/>
      <c r="C14" s="3"/>
      <c r="D14" s="22"/>
      <c r="E14" s="25"/>
      <c r="H14" s="22"/>
    </row>
    <row r="15" spans="1:8" ht="18.75" customHeight="1" x14ac:dyDescent="0.3">
      <c r="D15" s="4">
        <f>SUM(D7:D14)</f>
        <v>107981</v>
      </c>
      <c r="H15" s="4">
        <f>SUM(H7:H14)</f>
        <v>17241</v>
      </c>
    </row>
    <row r="16" spans="1:8" ht="18.75" x14ac:dyDescent="0.3">
      <c r="A16" s="5"/>
      <c r="C16" s="3"/>
      <c r="D16" s="4"/>
      <c r="H16" s="4"/>
    </row>
    <row r="18" spans="1:8" ht="18.75" x14ac:dyDescent="0.3">
      <c r="A18" s="5"/>
      <c r="C18" s="3"/>
      <c r="D18" s="4"/>
      <c r="H18" s="4"/>
    </row>
    <row r="19" spans="1:8" ht="15.75" thickBot="1" x14ac:dyDescent="0.3">
      <c r="D19" s="7"/>
      <c r="H19" s="7"/>
    </row>
    <row r="21" spans="1:8" ht="18.75" x14ac:dyDescent="0.3">
      <c r="C21" t="s">
        <v>4</v>
      </c>
      <c r="D21" s="4">
        <f>D3-D15</f>
        <v>46124</v>
      </c>
      <c r="G21" t="s">
        <v>5</v>
      </c>
      <c r="H21" s="4">
        <f>H3-H15</f>
        <v>7364</v>
      </c>
    </row>
    <row r="24" spans="1:8" ht="15.75" x14ac:dyDescent="0.25">
      <c r="A24" t="s">
        <v>6</v>
      </c>
      <c r="C24" s="8">
        <f>D21</f>
        <v>46124</v>
      </c>
      <c r="E24" t="s">
        <v>10</v>
      </c>
      <c r="H24" s="6">
        <f>C33</f>
        <v>38143.58</v>
      </c>
    </row>
    <row r="26" spans="1:8" ht="15.75" x14ac:dyDescent="0.25">
      <c r="A26" t="s">
        <v>5</v>
      </c>
      <c r="B26" s="9" t="s">
        <v>7</v>
      </c>
      <c r="C26" s="8">
        <f>H21</f>
        <v>7364</v>
      </c>
      <c r="E26" s="13" t="s">
        <v>11</v>
      </c>
      <c r="F26" s="9" t="s">
        <v>12</v>
      </c>
      <c r="G26" s="15" t="s">
        <v>17</v>
      </c>
      <c r="H26" s="3">
        <f>-(F27*0.007)</f>
        <v>-906.5</v>
      </c>
    </row>
    <row r="27" spans="1:8" x14ac:dyDescent="0.25">
      <c r="F27" s="21">
        <f>D3-H3</f>
        <v>129500</v>
      </c>
    </row>
    <row r="28" spans="1:8" ht="15.75" x14ac:dyDescent="0.25">
      <c r="A28" t="s">
        <v>8</v>
      </c>
      <c r="B28" s="9" t="s">
        <v>7</v>
      </c>
      <c r="C28" s="8">
        <f>D3*0.004</f>
        <v>616.41999999999996</v>
      </c>
      <c r="F28" s="9" t="s">
        <v>13</v>
      </c>
      <c r="G28" s="16">
        <v>0.35</v>
      </c>
      <c r="H28" s="29">
        <f>-(F29*0.35)</f>
        <v>-13350.253000000001</v>
      </c>
    </row>
    <row r="29" spans="1:8" ht="15.75" thickBot="1" x14ac:dyDescent="0.3">
      <c r="F29" s="21">
        <f>H24</f>
        <v>38143.58</v>
      </c>
      <c r="H29" s="7"/>
    </row>
    <row r="30" spans="1:8" ht="15.75" x14ac:dyDescent="0.25">
      <c r="A30" t="s">
        <v>9</v>
      </c>
      <c r="B30" s="9" t="s">
        <v>7</v>
      </c>
      <c r="C30" s="10"/>
      <c r="G30" s="13" t="s">
        <v>14</v>
      </c>
      <c r="H30" s="6">
        <f>H24+H26+H28</f>
        <v>23886.827000000001</v>
      </c>
    </row>
    <row r="31" spans="1:8" ht="15.75" thickBot="1" x14ac:dyDescent="0.3">
      <c r="A31" s="16"/>
      <c r="B31" s="14"/>
      <c r="C31" s="7"/>
    </row>
    <row r="32" spans="1:8" x14ac:dyDescent="0.25">
      <c r="E32" t="s">
        <v>151</v>
      </c>
      <c r="H32" s="20">
        <f>H30*0.5</f>
        <v>11943.413500000001</v>
      </c>
    </row>
    <row r="33" spans="1:8" ht="15.75" x14ac:dyDescent="0.25">
      <c r="A33" t="s">
        <v>10</v>
      </c>
      <c r="C33" s="10">
        <f>C24-C26-C28-C30</f>
        <v>38143.58</v>
      </c>
      <c r="H33" s="18"/>
    </row>
    <row r="34" spans="1:8" x14ac:dyDescent="0.25">
      <c r="H34" s="3"/>
    </row>
    <row r="35" spans="1:8" x14ac:dyDescent="0.25">
      <c r="H35" s="18"/>
    </row>
  </sheetData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F29FF-9BC5-4706-A342-12A6ED7D95FE}">
  <dimension ref="A1:H35"/>
  <sheetViews>
    <sheetView workbookViewId="0">
      <selection activeCell="C4" sqref="C4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413</v>
      </c>
    </row>
    <row r="3" spans="1:8" ht="21" x14ac:dyDescent="0.35">
      <c r="A3" s="2" t="s">
        <v>1</v>
      </c>
      <c r="D3" s="11">
        <v>404600</v>
      </c>
      <c r="F3" s="12" t="s">
        <v>3</v>
      </c>
      <c r="H3" s="11">
        <v>64600</v>
      </c>
    </row>
    <row r="4" spans="1:8" x14ac:dyDescent="0.25">
      <c r="A4" s="13" t="s">
        <v>32</v>
      </c>
      <c r="C4" s="26">
        <v>531</v>
      </c>
    </row>
    <row r="5" spans="1:8" ht="21" x14ac:dyDescent="0.35">
      <c r="A5" s="2" t="s">
        <v>2</v>
      </c>
    </row>
    <row r="7" spans="1:8" ht="18.75" x14ac:dyDescent="0.3">
      <c r="A7" s="5" t="s">
        <v>89</v>
      </c>
      <c r="D7" s="4">
        <v>90000</v>
      </c>
      <c r="E7" s="25"/>
      <c r="H7" s="4">
        <v>0</v>
      </c>
    </row>
    <row r="8" spans="1:8" ht="18.75" x14ac:dyDescent="0.3">
      <c r="A8" s="5" t="s">
        <v>414</v>
      </c>
      <c r="D8" s="4">
        <v>100000</v>
      </c>
      <c r="E8" s="25"/>
      <c r="H8" s="4">
        <v>0</v>
      </c>
    </row>
    <row r="9" spans="1:8" ht="18.75" x14ac:dyDescent="0.3">
      <c r="A9" s="5"/>
      <c r="D9" s="4"/>
      <c r="E9" s="25"/>
      <c r="H9" s="4"/>
    </row>
    <row r="10" spans="1:8" ht="18.75" x14ac:dyDescent="0.3">
      <c r="A10" s="5"/>
      <c r="D10" s="4"/>
      <c r="E10" s="25"/>
      <c r="H10" s="4"/>
    </row>
    <row r="11" spans="1:8" ht="18.75" x14ac:dyDescent="0.3">
      <c r="A11" s="5"/>
      <c r="D11" s="4"/>
      <c r="E11" s="25"/>
      <c r="H11" s="4"/>
    </row>
    <row r="12" spans="1:8" ht="18.75" x14ac:dyDescent="0.3">
      <c r="A12" s="5"/>
      <c r="C12" s="3"/>
      <c r="D12" s="27"/>
      <c r="E12" s="25"/>
      <c r="H12" s="27"/>
    </row>
    <row r="13" spans="1:8" ht="18.75" x14ac:dyDescent="0.3">
      <c r="A13" s="5"/>
      <c r="C13" s="3"/>
      <c r="D13" s="28"/>
      <c r="E13" s="25"/>
      <c r="H13" s="28"/>
    </row>
    <row r="14" spans="1:8" ht="19.5" thickBot="1" x14ac:dyDescent="0.35">
      <c r="A14" s="5"/>
      <c r="C14" s="3"/>
      <c r="D14" s="22"/>
      <c r="E14" s="25"/>
      <c r="H14" s="22"/>
    </row>
    <row r="15" spans="1:8" ht="18.75" customHeight="1" x14ac:dyDescent="0.3">
      <c r="D15" s="4">
        <f>SUM(D7:D14)</f>
        <v>190000</v>
      </c>
      <c r="H15" s="4">
        <f>SUM(H7:H14)</f>
        <v>0</v>
      </c>
    </row>
    <row r="16" spans="1:8" ht="18.75" x14ac:dyDescent="0.3">
      <c r="A16" s="5"/>
      <c r="C16" s="3"/>
      <c r="D16" s="4"/>
      <c r="H16" s="4"/>
    </row>
    <row r="18" spans="1:8" ht="18.75" x14ac:dyDescent="0.3">
      <c r="A18" s="5"/>
      <c r="C18" s="3"/>
      <c r="D18" s="4"/>
      <c r="H18" s="4"/>
    </row>
    <row r="19" spans="1:8" ht="15.75" thickBot="1" x14ac:dyDescent="0.3">
      <c r="D19" s="7"/>
      <c r="H19" s="7"/>
    </row>
    <row r="21" spans="1:8" ht="18.75" x14ac:dyDescent="0.3">
      <c r="C21" t="s">
        <v>4</v>
      </c>
      <c r="D21" s="4">
        <f>D3-D15</f>
        <v>214600</v>
      </c>
      <c r="G21" t="s">
        <v>5</v>
      </c>
      <c r="H21" s="4">
        <f>H3-H15</f>
        <v>64600</v>
      </c>
    </row>
    <row r="24" spans="1:8" ht="15.75" x14ac:dyDescent="0.25">
      <c r="A24" t="s">
        <v>6</v>
      </c>
      <c r="C24" s="8">
        <f>D21</f>
        <v>214600</v>
      </c>
      <c r="E24" t="s">
        <v>10</v>
      </c>
      <c r="H24" s="6">
        <f>C33</f>
        <v>148381.6</v>
      </c>
    </row>
    <row r="26" spans="1:8" ht="15.75" x14ac:dyDescent="0.25">
      <c r="A26" t="s">
        <v>5</v>
      </c>
      <c r="B26" s="9" t="s">
        <v>7</v>
      </c>
      <c r="C26" s="8">
        <f>H21</f>
        <v>64600</v>
      </c>
      <c r="E26" s="13" t="s">
        <v>11</v>
      </c>
      <c r="F26" s="9" t="s">
        <v>12</v>
      </c>
      <c r="G26" s="15" t="s">
        <v>17</v>
      </c>
      <c r="H26" s="3">
        <f>-(F27*0.007)</f>
        <v>-2380</v>
      </c>
    </row>
    <row r="27" spans="1:8" x14ac:dyDescent="0.25">
      <c r="F27" s="21">
        <f>D3-H3</f>
        <v>340000</v>
      </c>
    </row>
    <row r="28" spans="1:8" ht="15.75" x14ac:dyDescent="0.25">
      <c r="A28" t="s">
        <v>8</v>
      </c>
      <c r="B28" s="9" t="s">
        <v>7</v>
      </c>
      <c r="C28" s="8">
        <f>D3*0.004</f>
        <v>1618.4</v>
      </c>
      <c r="F28" s="9" t="s">
        <v>13</v>
      </c>
      <c r="G28" s="16">
        <v>0.35</v>
      </c>
      <c r="H28" s="29">
        <f>-(F29*0.35)</f>
        <v>-51933.56</v>
      </c>
    </row>
    <row r="29" spans="1:8" ht="15.75" thickBot="1" x14ac:dyDescent="0.3">
      <c r="F29" s="21">
        <f>H24</f>
        <v>148381.6</v>
      </c>
      <c r="H29" s="7"/>
    </row>
    <row r="30" spans="1:8" ht="15.75" x14ac:dyDescent="0.25">
      <c r="A30" t="s">
        <v>9</v>
      </c>
      <c r="B30" s="9" t="s">
        <v>7</v>
      </c>
      <c r="C30" s="10"/>
      <c r="G30" s="13" t="s">
        <v>14</v>
      </c>
      <c r="H30" s="6">
        <f>H24+H26+H28</f>
        <v>94068.040000000008</v>
      </c>
    </row>
    <row r="31" spans="1:8" ht="15.75" thickBot="1" x14ac:dyDescent="0.3">
      <c r="A31" s="16"/>
      <c r="B31" s="14"/>
      <c r="C31" s="7"/>
    </row>
    <row r="32" spans="1:8" x14ac:dyDescent="0.25">
      <c r="E32" t="s">
        <v>151</v>
      </c>
      <c r="H32" s="20">
        <f>H30*0.5</f>
        <v>47034.020000000004</v>
      </c>
    </row>
    <row r="33" spans="1:8" ht="15.75" x14ac:dyDescent="0.25">
      <c r="A33" t="s">
        <v>10</v>
      </c>
      <c r="C33" s="10">
        <f>C24-C26-C28-C30</f>
        <v>148381.6</v>
      </c>
      <c r="H33" s="18"/>
    </row>
    <row r="34" spans="1:8" x14ac:dyDescent="0.25">
      <c r="H34" s="3"/>
    </row>
    <row r="35" spans="1:8" x14ac:dyDescent="0.25">
      <c r="H35" s="18"/>
    </row>
  </sheetData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56DD3-FA88-4C45-8028-B89872F6D8E1}">
  <dimension ref="A1:H35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415</v>
      </c>
    </row>
    <row r="3" spans="1:8" ht="21" x14ac:dyDescent="0.35">
      <c r="A3" s="2" t="s">
        <v>1</v>
      </c>
      <c r="D3" s="11">
        <v>1142162</v>
      </c>
      <c r="F3" s="12" t="s">
        <v>3</v>
      </c>
      <c r="H3" s="11">
        <v>182362</v>
      </c>
    </row>
    <row r="4" spans="1:8" x14ac:dyDescent="0.25">
      <c r="A4" s="13" t="s">
        <v>32</v>
      </c>
      <c r="C4" s="26">
        <v>535</v>
      </c>
    </row>
    <row r="5" spans="1:8" ht="21" x14ac:dyDescent="0.35">
      <c r="A5" s="2" t="s">
        <v>2</v>
      </c>
    </row>
    <row r="7" spans="1:8" ht="18.75" x14ac:dyDescent="0.3">
      <c r="A7" s="5" t="s">
        <v>416</v>
      </c>
      <c r="D7" s="4">
        <v>433929</v>
      </c>
      <c r="E7" s="25"/>
      <c r="H7" s="4">
        <v>69283</v>
      </c>
    </row>
    <row r="8" spans="1:8" ht="18.75" x14ac:dyDescent="0.3">
      <c r="A8" s="5" t="s">
        <v>417</v>
      </c>
      <c r="D8" s="4">
        <v>35650</v>
      </c>
      <c r="E8" s="25"/>
      <c r="H8" s="4">
        <v>5692</v>
      </c>
    </row>
    <row r="9" spans="1:8" ht="18.75" x14ac:dyDescent="0.3">
      <c r="A9" s="5" t="s">
        <v>418</v>
      </c>
      <c r="D9" s="4">
        <v>57120</v>
      </c>
      <c r="E9" s="25"/>
      <c r="H9" s="4">
        <v>9120</v>
      </c>
    </row>
    <row r="10" spans="1:8" ht="18.75" x14ac:dyDescent="0.3">
      <c r="A10" s="5" t="s">
        <v>419</v>
      </c>
      <c r="D10" s="4">
        <v>118541</v>
      </c>
      <c r="E10" s="25"/>
      <c r="H10" s="4">
        <v>16194</v>
      </c>
    </row>
    <row r="11" spans="1:8" ht="18.75" x14ac:dyDescent="0.3">
      <c r="A11" s="5"/>
      <c r="D11" s="4"/>
      <c r="E11" s="25"/>
      <c r="H11" s="4"/>
    </row>
    <row r="12" spans="1:8" ht="18.75" x14ac:dyDescent="0.3">
      <c r="A12" s="5"/>
      <c r="C12" s="3"/>
      <c r="D12" s="27"/>
      <c r="E12" s="25"/>
      <c r="H12" s="27"/>
    </row>
    <row r="13" spans="1:8" ht="18.75" x14ac:dyDescent="0.3">
      <c r="A13" s="5"/>
      <c r="C13" s="3"/>
      <c r="D13" s="28"/>
      <c r="E13" s="25"/>
      <c r="H13" s="28"/>
    </row>
    <row r="14" spans="1:8" ht="19.5" thickBot="1" x14ac:dyDescent="0.35">
      <c r="A14" s="5"/>
      <c r="C14" s="3"/>
      <c r="D14" s="22"/>
      <c r="E14" s="25"/>
      <c r="H14" s="22"/>
    </row>
    <row r="15" spans="1:8" ht="18.75" customHeight="1" x14ac:dyDescent="0.3">
      <c r="D15" s="4">
        <f>SUM(D7:D14)</f>
        <v>645240</v>
      </c>
      <c r="H15" s="4">
        <f>SUM(H7:H14)</f>
        <v>100289</v>
      </c>
    </row>
    <row r="16" spans="1:8" ht="18.75" x14ac:dyDescent="0.3">
      <c r="A16" s="5"/>
      <c r="C16" s="3"/>
      <c r="D16" s="4"/>
      <c r="H16" s="4"/>
    </row>
    <row r="18" spans="1:8" ht="18.75" x14ac:dyDescent="0.3">
      <c r="A18" s="5"/>
      <c r="C18" s="3"/>
      <c r="D18" s="4"/>
      <c r="H18" s="4"/>
    </row>
    <row r="19" spans="1:8" ht="15.75" thickBot="1" x14ac:dyDescent="0.3">
      <c r="D19" s="7"/>
      <c r="H19" s="7"/>
    </row>
    <row r="21" spans="1:8" ht="18.75" x14ac:dyDescent="0.3">
      <c r="C21" t="s">
        <v>4</v>
      </c>
      <c r="D21" s="4">
        <f>D3-D15</f>
        <v>496922</v>
      </c>
      <c r="G21" t="s">
        <v>5</v>
      </c>
      <c r="H21" s="4">
        <f>H3-H15</f>
        <v>82073</v>
      </c>
    </row>
    <row r="24" spans="1:8" ht="15.75" x14ac:dyDescent="0.25">
      <c r="A24" t="s">
        <v>6</v>
      </c>
      <c r="C24" s="8">
        <f>D21</f>
        <v>496922</v>
      </c>
      <c r="E24" t="s">
        <v>10</v>
      </c>
      <c r="H24" s="6">
        <f>C33</f>
        <v>410280.35200000001</v>
      </c>
    </row>
    <row r="26" spans="1:8" ht="15.75" x14ac:dyDescent="0.25">
      <c r="A26" t="s">
        <v>5</v>
      </c>
      <c r="B26" s="9" t="s">
        <v>7</v>
      </c>
      <c r="C26" s="8">
        <f>H21</f>
        <v>82073</v>
      </c>
      <c r="E26" s="13" t="s">
        <v>11</v>
      </c>
      <c r="F26" s="9" t="s">
        <v>12</v>
      </c>
      <c r="G26" s="15" t="s">
        <v>17</v>
      </c>
      <c r="H26" s="3">
        <f>-(F27*0.007)</f>
        <v>-6718.6</v>
      </c>
    </row>
    <row r="27" spans="1:8" x14ac:dyDescent="0.25">
      <c r="F27" s="21">
        <f>D3-H3</f>
        <v>959800</v>
      </c>
    </row>
    <row r="28" spans="1:8" ht="15.75" x14ac:dyDescent="0.25">
      <c r="A28" t="s">
        <v>8</v>
      </c>
      <c r="B28" s="9" t="s">
        <v>7</v>
      </c>
      <c r="C28" s="8">
        <f>D3*0.004</f>
        <v>4568.6480000000001</v>
      </c>
      <c r="F28" s="9" t="s">
        <v>13</v>
      </c>
      <c r="G28" s="16">
        <v>0.35</v>
      </c>
      <c r="H28" s="29">
        <f>-(F29*0.35)</f>
        <v>-143598.1232</v>
      </c>
    </row>
    <row r="29" spans="1:8" ht="15.75" thickBot="1" x14ac:dyDescent="0.3">
      <c r="F29" s="21">
        <f>H24</f>
        <v>410280.35200000001</v>
      </c>
      <c r="H29" s="7"/>
    </row>
    <row r="30" spans="1:8" ht="15.75" x14ac:dyDescent="0.25">
      <c r="A30" t="s">
        <v>9</v>
      </c>
      <c r="B30" s="9" t="s">
        <v>7</v>
      </c>
      <c r="C30" s="10"/>
      <c r="G30" s="13" t="s">
        <v>14</v>
      </c>
      <c r="H30" s="6">
        <f>H24+H26+H28</f>
        <v>259963.62880000003</v>
      </c>
    </row>
    <row r="31" spans="1:8" ht="15.75" thickBot="1" x14ac:dyDescent="0.3">
      <c r="A31" s="16"/>
      <c r="B31" s="14"/>
      <c r="C31" s="7"/>
    </row>
    <row r="32" spans="1:8" x14ac:dyDescent="0.25">
      <c r="E32" t="s">
        <v>151</v>
      </c>
      <c r="H32" s="20">
        <f>H30*0.5</f>
        <v>129981.81440000002</v>
      </c>
    </row>
    <row r="33" spans="1:8" ht="15.75" x14ac:dyDescent="0.25">
      <c r="A33" t="s">
        <v>10</v>
      </c>
      <c r="C33" s="10">
        <f>C24-C26-C28-C30</f>
        <v>410280.35200000001</v>
      </c>
      <c r="H33" s="18"/>
    </row>
    <row r="34" spans="1:8" x14ac:dyDescent="0.25">
      <c r="H34" s="3"/>
    </row>
    <row r="35" spans="1:8" x14ac:dyDescent="0.25">
      <c r="H35" s="18"/>
    </row>
  </sheetData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2E50B-BFCB-4F7C-9671-B0BCC7AF6CAF}">
  <dimension ref="A1:H35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329</v>
      </c>
    </row>
    <row r="3" spans="1:8" ht="21" x14ac:dyDescent="0.35">
      <c r="A3" s="2" t="s">
        <v>1</v>
      </c>
      <c r="D3" s="11">
        <v>20468</v>
      </c>
      <c r="F3" s="12" t="s">
        <v>3</v>
      </c>
      <c r="H3" s="11">
        <v>3268</v>
      </c>
    </row>
    <row r="4" spans="1:8" x14ac:dyDescent="0.25">
      <c r="A4" s="13" t="s">
        <v>32</v>
      </c>
      <c r="C4" s="26">
        <v>537</v>
      </c>
    </row>
    <row r="5" spans="1:8" ht="21" x14ac:dyDescent="0.35">
      <c r="A5" s="2" t="s">
        <v>2</v>
      </c>
    </row>
    <row r="7" spans="1:8" ht="18.75" x14ac:dyDescent="0.3">
      <c r="A7" s="5" t="s">
        <v>243</v>
      </c>
      <c r="D7" s="4">
        <v>6462</v>
      </c>
      <c r="E7" s="25"/>
      <c r="H7" s="4">
        <v>1032</v>
      </c>
    </row>
    <row r="8" spans="1:8" ht="18.75" x14ac:dyDescent="0.3">
      <c r="A8" s="5" t="s">
        <v>420</v>
      </c>
      <c r="D8" s="4">
        <v>8283</v>
      </c>
      <c r="E8" s="25"/>
      <c r="H8" s="4">
        <v>1163</v>
      </c>
    </row>
    <row r="9" spans="1:8" ht="18.75" x14ac:dyDescent="0.3">
      <c r="A9" s="5"/>
      <c r="D9" s="4"/>
      <c r="E9" s="25"/>
      <c r="H9" s="4"/>
    </row>
    <row r="10" spans="1:8" ht="18.75" x14ac:dyDescent="0.3">
      <c r="A10" s="5"/>
      <c r="D10" s="4"/>
      <c r="E10" s="25"/>
      <c r="H10" s="4"/>
    </row>
    <row r="11" spans="1:8" ht="18.75" x14ac:dyDescent="0.3">
      <c r="A11" s="5"/>
      <c r="D11" s="4"/>
      <c r="E11" s="25"/>
      <c r="H11" s="4"/>
    </row>
    <row r="12" spans="1:8" ht="18.75" x14ac:dyDescent="0.3">
      <c r="A12" s="5"/>
      <c r="C12" s="3"/>
      <c r="D12" s="27"/>
      <c r="E12" s="25"/>
      <c r="H12" s="27"/>
    </row>
    <row r="13" spans="1:8" ht="18.75" x14ac:dyDescent="0.3">
      <c r="A13" s="5"/>
      <c r="C13" s="3"/>
      <c r="D13" s="28"/>
      <c r="E13" s="25"/>
      <c r="H13" s="28"/>
    </row>
    <row r="14" spans="1:8" ht="19.5" thickBot="1" x14ac:dyDescent="0.35">
      <c r="A14" s="5"/>
      <c r="C14" s="3"/>
      <c r="D14" s="22"/>
      <c r="E14" s="25"/>
      <c r="H14" s="22"/>
    </row>
    <row r="15" spans="1:8" ht="18.75" customHeight="1" x14ac:dyDescent="0.3">
      <c r="D15" s="4">
        <f>SUM(D7:D14)</f>
        <v>14745</v>
      </c>
      <c r="H15" s="4">
        <f>SUM(H7:H14)</f>
        <v>2195</v>
      </c>
    </row>
    <row r="16" spans="1:8" ht="18.75" x14ac:dyDescent="0.3">
      <c r="A16" s="5"/>
      <c r="C16" s="3"/>
      <c r="D16" s="4"/>
      <c r="H16" s="4"/>
    </row>
    <row r="18" spans="1:8" ht="18.75" x14ac:dyDescent="0.3">
      <c r="A18" s="5"/>
      <c r="C18" s="3"/>
      <c r="D18" s="4"/>
      <c r="H18" s="4"/>
    </row>
    <row r="19" spans="1:8" ht="15.75" thickBot="1" x14ac:dyDescent="0.3">
      <c r="D19" s="7"/>
      <c r="H19" s="7"/>
    </row>
    <row r="21" spans="1:8" ht="18.75" x14ac:dyDescent="0.3">
      <c r="C21" t="s">
        <v>4</v>
      </c>
      <c r="D21" s="4">
        <f>D3-D15</f>
        <v>5723</v>
      </c>
      <c r="G21" t="s">
        <v>5</v>
      </c>
      <c r="H21" s="4">
        <f>H3-H15</f>
        <v>1073</v>
      </c>
    </row>
    <row r="24" spans="1:8" ht="15.75" x14ac:dyDescent="0.25">
      <c r="A24" t="s">
        <v>6</v>
      </c>
      <c r="C24" s="8">
        <f>D21</f>
        <v>5723</v>
      </c>
      <c r="E24" t="s">
        <v>10</v>
      </c>
      <c r="H24" s="6">
        <f>C33</f>
        <v>4568.1279999999997</v>
      </c>
    </row>
    <row r="26" spans="1:8" ht="15.75" x14ac:dyDescent="0.25">
      <c r="A26" t="s">
        <v>5</v>
      </c>
      <c r="B26" s="9" t="s">
        <v>7</v>
      </c>
      <c r="C26" s="8">
        <f>H21</f>
        <v>1073</v>
      </c>
      <c r="E26" s="13" t="s">
        <v>11</v>
      </c>
      <c r="F26" s="9" t="s">
        <v>12</v>
      </c>
      <c r="G26" s="15" t="s">
        <v>17</v>
      </c>
      <c r="H26" s="3">
        <f>-(F27*0.007)</f>
        <v>-120.4</v>
      </c>
    </row>
    <row r="27" spans="1:8" x14ac:dyDescent="0.25">
      <c r="F27" s="21">
        <f>D3-H3</f>
        <v>17200</v>
      </c>
    </row>
    <row r="28" spans="1:8" ht="15.75" x14ac:dyDescent="0.25">
      <c r="A28" t="s">
        <v>8</v>
      </c>
      <c r="B28" s="9" t="s">
        <v>7</v>
      </c>
      <c r="C28" s="8">
        <f>D3*0.004</f>
        <v>81.872</v>
      </c>
      <c r="F28" s="9" t="s">
        <v>13</v>
      </c>
      <c r="G28" s="16">
        <v>0.35</v>
      </c>
      <c r="H28" s="29">
        <f>-(F29*0.35)</f>
        <v>-1598.8447999999999</v>
      </c>
    </row>
    <row r="29" spans="1:8" ht="15.75" thickBot="1" x14ac:dyDescent="0.3">
      <c r="F29" s="21">
        <f>H24</f>
        <v>4568.1279999999997</v>
      </c>
      <c r="H29" s="7"/>
    </row>
    <row r="30" spans="1:8" ht="15.75" x14ac:dyDescent="0.25">
      <c r="A30" t="s">
        <v>9</v>
      </c>
      <c r="B30" s="9" t="s">
        <v>7</v>
      </c>
      <c r="C30" s="10"/>
      <c r="G30" s="13" t="s">
        <v>14</v>
      </c>
      <c r="H30" s="6">
        <f>H24+H26+H28</f>
        <v>2848.8832000000002</v>
      </c>
    </row>
    <row r="31" spans="1:8" ht="15.75" thickBot="1" x14ac:dyDescent="0.3">
      <c r="A31" s="16"/>
      <c r="B31" s="14"/>
      <c r="C31" s="7"/>
    </row>
    <row r="32" spans="1:8" x14ac:dyDescent="0.25">
      <c r="E32" t="s">
        <v>151</v>
      </c>
      <c r="H32" s="20">
        <f>H30*0.5</f>
        <v>1424.4416000000001</v>
      </c>
    </row>
    <row r="33" spans="1:8" ht="15.75" x14ac:dyDescent="0.25">
      <c r="A33" t="s">
        <v>10</v>
      </c>
      <c r="C33" s="10">
        <f>C24-C26-C28-C30</f>
        <v>4568.1279999999997</v>
      </c>
      <c r="H33" s="18"/>
    </row>
    <row r="34" spans="1:8" x14ac:dyDescent="0.25">
      <c r="H34" s="3"/>
    </row>
    <row r="35" spans="1:8" x14ac:dyDescent="0.25">
      <c r="H35" s="18"/>
    </row>
  </sheetData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DB1B1-4E9D-41F1-9DC1-72A347600ECA}">
  <dimension ref="A1:H35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333</v>
      </c>
    </row>
    <row r="3" spans="1:8" ht="21" x14ac:dyDescent="0.35">
      <c r="A3" s="2" t="s">
        <v>1</v>
      </c>
      <c r="D3" s="11">
        <v>307615</v>
      </c>
      <c r="F3" s="12" t="s">
        <v>3</v>
      </c>
      <c r="H3" s="11">
        <v>49115</v>
      </c>
    </row>
    <row r="4" spans="1:8" x14ac:dyDescent="0.25">
      <c r="A4" s="13" t="s">
        <v>32</v>
      </c>
      <c r="C4" s="26">
        <v>539</v>
      </c>
    </row>
    <row r="5" spans="1:8" ht="21" x14ac:dyDescent="0.35">
      <c r="A5" s="2" t="s">
        <v>2</v>
      </c>
    </row>
    <row r="7" spans="1:8" ht="18.75" x14ac:dyDescent="0.3">
      <c r="A7" s="5" t="s">
        <v>358</v>
      </c>
      <c r="D7" s="4">
        <v>27221</v>
      </c>
      <c r="E7" s="25"/>
      <c r="H7" s="4">
        <v>4346</v>
      </c>
    </row>
    <row r="8" spans="1:8" ht="18.75" x14ac:dyDescent="0.3">
      <c r="A8" s="5" t="s">
        <v>243</v>
      </c>
      <c r="D8" s="4">
        <v>5373</v>
      </c>
      <c r="E8" s="25"/>
      <c r="H8" s="4">
        <v>858</v>
      </c>
    </row>
    <row r="9" spans="1:8" ht="18.75" x14ac:dyDescent="0.3">
      <c r="A9" s="5" t="s">
        <v>408</v>
      </c>
      <c r="D9" s="4">
        <v>68492</v>
      </c>
      <c r="E9" s="25"/>
      <c r="H9" s="4">
        <v>10936</v>
      </c>
    </row>
    <row r="10" spans="1:8" ht="18.75" x14ac:dyDescent="0.3">
      <c r="A10" s="5" t="s">
        <v>421</v>
      </c>
      <c r="D10" s="4">
        <v>60000</v>
      </c>
      <c r="E10" s="25"/>
      <c r="H10" s="4"/>
    </row>
    <row r="11" spans="1:8" ht="18.75" x14ac:dyDescent="0.3">
      <c r="A11" s="5"/>
      <c r="D11" s="4"/>
      <c r="E11" s="25"/>
      <c r="H11" s="4"/>
    </row>
    <row r="12" spans="1:8" ht="18.75" x14ac:dyDescent="0.3">
      <c r="A12" s="5"/>
      <c r="C12" s="3"/>
      <c r="D12" s="27"/>
      <c r="E12" s="25"/>
      <c r="H12" s="27"/>
    </row>
    <row r="13" spans="1:8" ht="18.75" x14ac:dyDescent="0.3">
      <c r="A13" s="5"/>
      <c r="C13" s="3"/>
      <c r="D13" s="28"/>
      <c r="E13" s="25"/>
      <c r="H13" s="28"/>
    </row>
    <row r="14" spans="1:8" ht="19.5" thickBot="1" x14ac:dyDescent="0.35">
      <c r="A14" s="5"/>
      <c r="C14" s="3"/>
      <c r="D14" s="22"/>
      <c r="E14" s="25"/>
      <c r="H14" s="22"/>
    </row>
    <row r="15" spans="1:8" ht="18.75" customHeight="1" x14ac:dyDescent="0.3">
      <c r="D15" s="4">
        <f>SUM(D7:D14)</f>
        <v>161086</v>
      </c>
      <c r="H15" s="4">
        <f>SUM(H7:H14)</f>
        <v>16140</v>
      </c>
    </row>
    <row r="16" spans="1:8" ht="18.75" x14ac:dyDescent="0.3">
      <c r="A16" s="5"/>
      <c r="C16" s="3"/>
      <c r="D16" s="4"/>
      <c r="H16" s="4"/>
    </row>
    <row r="18" spans="1:8" ht="18.75" x14ac:dyDescent="0.3">
      <c r="A18" s="5"/>
      <c r="C18" s="3"/>
      <c r="D18" s="4"/>
      <c r="H18" s="4"/>
    </row>
    <row r="19" spans="1:8" ht="15.75" thickBot="1" x14ac:dyDescent="0.3">
      <c r="D19" s="7"/>
      <c r="H19" s="7"/>
    </row>
    <row r="21" spans="1:8" ht="18.75" x14ac:dyDescent="0.3">
      <c r="C21" t="s">
        <v>4</v>
      </c>
      <c r="D21" s="4">
        <f>D3-D15</f>
        <v>146529</v>
      </c>
      <c r="G21" t="s">
        <v>5</v>
      </c>
      <c r="H21" s="4">
        <f>H3-H15</f>
        <v>32975</v>
      </c>
    </row>
    <row r="24" spans="1:8" ht="15.75" x14ac:dyDescent="0.25">
      <c r="A24" t="s">
        <v>6</v>
      </c>
      <c r="C24" s="8">
        <f>D21</f>
        <v>146529</v>
      </c>
      <c r="E24" t="s">
        <v>10</v>
      </c>
      <c r="H24" s="6">
        <f>C33</f>
        <v>112323.54</v>
      </c>
    </row>
    <row r="26" spans="1:8" ht="15.75" x14ac:dyDescent="0.25">
      <c r="A26" t="s">
        <v>5</v>
      </c>
      <c r="B26" s="9" t="s">
        <v>7</v>
      </c>
      <c r="C26" s="8">
        <f>H21</f>
        <v>32975</v>
      </c>
      <c r="E26" s="13" t="s">
        <v>11</v>
      </c>
      <c r="F26" s="9" t="s">
        <v>12</v>
      </c>
      <c r="G26" s="15" t="s">
        <v>17</v>
      </c>
      <c r="H26" s="3">
        <f>-(F27*0.007)</f>
        <v>-1809.5</v>
      </c>
    </row>
    <row r="27" spans="1:8" x14ac:dyDescent="0.25">
      <c r="F27" s="21">
        <f>D3-H3</f>
        <v>258500</v>
      </c>
    </row>
    <row r="28" spans="1:8" ht="15.75" x14ac:dyDescent="0.25">
      <c r="A28" t="s">
        <v>8</v>
      </c>
      <c r="B28" s="9" t="s">
        <v>7</v>
      </c>
      <c r="C28" s="8">
        <f>D3*0.004</f>
        <v>1230.46</v>
      </c>
      <c r="F28" s="9" t="s">
        <v>13</v>
      </c>
      <c r="G28" s="16">
        <v>0.35</v>
      </c>
      <c r="H28" s="29">
        <f>-(F29*0.35)</f>
        <v>-39313.238999999994</v>
      </c>
    </row>
    <row r="29" spans="1:8" ht="15.75" thickBot="1" x14ac:dyDescent="0.3">
      <c r="F29" s="21">
        <f>H24</f>
        <v>112323.54</v>
      </c>
      <c r="H29" s="7"/>
    </row>
    <row r="30" spans="1:8" ht="15.75" x14ac:dyDescent="0.25">
      <c r="A30" t="s">
        <v>9</v>
      </c>
      <c r="B30" s="9" t="s">
        <v>7</v>
      </c>
      <c r="C30" s="10"/>
      <c r="G30" s="13" t="s">
        <v>14</v>
      </c>
      <c r="H30" s="6">
        <f>H24+H26+H28</f>
        <v>71200.801000000007</v>
      </c>
    </row>
    <row r="31" spans="1:8" ht="15.75" thickBot="1" x14ac:dyDescent="0.3">
      <c r="A31" s="16"/>
      <c r="B31" s="14"/>
      <c r="C31" s="7"/>
    </row>
    <row r="32" spans="1:8" x14ac:dyDescent="0.25">
      <c r="E32" t="s">
        <v>151</v>
      </c>
      <c r="H32" s="20">
        <f>H30*0.5</f>
        <v>35600.400500000003</v>
      </c>
    </row>
    <row r="33" spans="1:8" ht="15.75" x14ac:dyDescent="0.25">
      <c r="A33" t="s">
        <v>10</v>
      </c>
      <c r="C33" s="10">
        <f>C24-C26-C28-C30</f>
        <v>112323.54</v>
      </c>
      <c r="H33" s="18"/>
    </row>
    <row r="34" spans="1:8" x14ac:dyDescent="0.25">
      <c r="H34" s="3"/>
    </row>
    <row r="35" spans="1:8" x14ac:dyDescent="0.25">
      <c r="H35" s="18"/>
    </row>
  </sheetData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85E01-B0D3-4B2A-ACAC-6317CE15D075}">
  <dimension ref="A1:H35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316</v>
      </c>
    </row>
    <row r="3" spans="1:8" ht="21" x14ac:dyDescent="0.35">
      <c r="A3" s="2" t="s">
        <v>1</v>
      </c>
      <c r="D3" s="11">
        <v>124950</v>
      </c>
      <c r="F3" s="12" t="s">
        <v>3</v>
      </c>
      <c r="H3" s="11">
        <v>19950</v>
      </c>
    </row>
    <row r="4" spans="1:8" x14ac:dyDescent="0.25">
      <c r="A4" s="13" t="s">
        <v>32</v>
      </c>
      <c r="C4" s="26">
        <v>543</v>
      </c>
    </row>
    <row r="5" spans="1:8" ht="21" x14ac:dyDescent="0.35">
      <c r="A5" s="2" t="s">
        <v>2</v>
      </c>
    </row>
    <row r="7" spans="1:8" ht="18.75" x14ac:dyDescent="0.3">
      <c r="A7" s="5" t="s">
        <v>422</v>
      </c>
      <c r="D7" s="4">
        <v>79968</v>
      </c>
      <c r="E7" s="25"/>
      <c r="H7" s="4">
        <v>12768</v>
      </c>
    </row>
    <row r="8" spans="1:8" ht="18.75" x14ac:dyDescent="0.3">
      <c r="A8" s="5"/>
      <c r="D8" s="4"/>
      <c r="E8" s="25"/>
      <c r="H8" s="4"/>
    </row>
    <row r="9" spans="1:8" ht="18.75" x14ac:dyDescent="0.3">
      <c r="A9" s="5"/>
      <c r="D9" s="4"/>
      <c r="E9" s="25"/>
      <c r="H9" s="4"/>
    </row>
    <row r="10" spans="1:8" ht="18.75" x14ac:dyDescent="0.3">
      <c r="A10" s="5"/>
      <c r="D10" s="4"/>
      <c r="E10" s="25"/>
      <c r="H10" s="4"/>
    </row>
    <row r="11" spans="1:8" ht="18.75" x14ac:dyDescent="0.3">
      <c r="A11" s="5"/>
      <c r="D11" s="4"/>
      <c r="E11" s="25"/>
      <c r="H11" s="4"/>
    </row>
    <row r="12" spans="1:8" ht="18.75" x14ac:dyDescent="0.3">
      <c r="A12" s="5"/>
      <c r="C12" s="3"/>
      <c r="D12" s="27"/>
      <c r="E12" s="25"/>
      <c r="H12" s="27"/>
    </row>
    <row r="13" spans="1:8" ht="18.75" x14ac:dyDescent="0.3">
      <c r="A13" s="5"/>
      <c r="C13" s="3"/>
      <c r="D13" s="28"/>
      <c r="E13" s="25"/>
      <c r="H13" s="28"/>
    </row>
    <row r="14" spans="1:8" ht="19.5" thickBot="1" x14ac:dyDescent="0.35">
      <c r="A14" s="5"/>
      <c r="C14" s="3"/>
      <c r="D14" s="22"/>
      <c r="E14" s="25"/>
      <c r="H14" s="22"/>
    </row>
    <row r="15" spans="1:8" ht="18.75" customHeight="1" x14ac:dyDescent="0.3">
      <c r="D15" s="4">
        <f>SUM(D7:D14)</f>
        <v>79968</v>
      </c>
      <c r="H15" s="4">
        <f>SUM(H7:H14)</f>
        <v>12768</v>
      </c>
    </row>
    <row r="16" spans="1:8" ht="18.75" x14ac:dyDescent="0.3">
      <c r="A16" s="5"/>
      <c r="C16" s="3"/>
      <c r="D16" s="4"/>
      <c r="H16" s="4"/>
    </row>
    <row r="18" spans="1:8" ht="18.75" x14ac:dyDescent="0.3">
      <c r="A18" s="5"/>
      <c r="C18" s="3"/>
      <c r="D18" s="4"/>
      <c r="H18" s="4"/>
    </row>
    <row r="19" spans="1:8" ht="15.75" thickBot="1" x14ac:dyDescent="0.3">
      <c r="D19" s="7"/>
      <c r="H19" s="7"/>
    </row>
    <row r="21" spans="1:8" ht="18.75" x14ac:dyDescent="0.3">
      <c r="C21" t="s">
        <v>4</v>
      </c>
      <c r="D21" s="4">
        <f>D3-D15</f>
        <v>44982</v>
      </c>
      <c r="G21" t="s">
        <v>5</v>
      </c>
      <c r="H21" s="4">
        <f>H3-H15</f>
        <v>7182</v>
      </c>
    </row>
    <row r="24" spans="1:8" ht="15.75" x14ac:dyDescent="0.25">
      <c r="A24" t="s">
        <v>6</v>
      </c>
      <c r="C24" s="8">
        <f>D21</f>
        <v>44982</v>
      </c>
      <c r="E24" t="s">
        <v>10</v>
      </c>
      <c r="H24" s="6">
        <f>C33</f>
        <v>37300.199999999997</v>
      </c>
    </row>
    <row r="26" spans="1:8" ht="15.75" x14ac:dyDescent="0.25">
      <c r="A26" t="s">
        <v>5</v>
      </c>
      <c r="B26" s="9" t="s">
        <v>7</v>
      </c>
      <c r="C26" s="8">
        <f>H21</f>
        <v>7182</v>
      </c>
      <c r="E26" s="13" t="s">
        <v>11</v>
      </c>
      <c r="F26" s="9" t="s">
        <v>12</v>
      </c>
      <c r="G26" s="15" t="s">
        <v>17</v>
      </c>
      <c r="H26" s="3">
        <f>-(F27*0.007)</f>
        <v>-735</v>
      </c>
    </row>
    <row r="27" spans="1:8" x14ac:dyDescent="0.25">
      <c r="F27" s="21">
        <f>D3-H3</f>
        <v>105000</v>
      </c>
    </row>
    <row r="28" spans="1:8" ht="15.75" x14ac:dyDescent="0.25">
      <c r="A28" t="s">
        <v>8</v>
      </c>
      <c r="B28" s="9" t="s">
        <v>7</v>
      </c>
      <c r="C28" s="8">
        <f>D3*0.004</f>
        <v>499.8</v>
      </c>
      <c r="F28" s="9" t="s">
        <v>13</v>
      </c>
      <c r="G28" s="16">
        <v>0.35</v>
      </c>
      <c r="H28" s="29">
        <f>-(F29*0.35)</f>
        <v>-13055.069999999998</v>
      </c>
    </row>
    <row r="29" spans="1:8" ht="15.75" thickBot="1" x14ac:dyDescent="0.3">
      <c r="F29" s="21">
        <f>H24</f>
        <v>37300.199999999997</v>
      </c>
      <c r="H29" s="7"/>
    </row>
    <row r="30" spans="1:8" ht="15.75" x14ac:dyDescent="0.25">
      <c r="A30" t="s">
        <v>9</v>
      </c>
      <c r="B30" s="9" t="s">
        <v>7</v>
      </c>
      <c r="C30" s="10"/>
      <c r="G30" s="13" t="s">
        <v>14</v>
      </c>
      <c r="H30" s="6">
        <f>H24+H26+H28</f>
        <v>23510.129999999997</v>
      </c>
    </row>
    <row r="31" spans="1:8" ht="15.75" thickBot="1" x14ac:dyDescent="0.3">
      <c r="A31" s="16"/>
      <c r="B31" s="14"/>
      <c r="C31" s="7"/>
    </row>
    <row r="32" spans="1:8" x14ac:dyDescent="0.25">
      <c r="E32" t="s">
        <v>151</v>
      </c>
      <c r="H32" s="20">
        <f>H30*0.5</f>
        <v>11755.064999999999</v>
      </c>
    </row>
    <row r="33" spans="1:8" ht="15.75" x14ac:dyDescent="0.25">
      <c r="A33" t="s">
        <v>10</v>
      </c>
      <c r="C33" s="10">
        <f>C24-C26-C28-C30</f>
        <v>37300.199999999997</v>
      </c>
      <c r="H33" s="18"/>
    </row>
    <row r="34" spans="1:8" x14ac:dyDescent="0.25">
      <c r="H34" s="3"/>
    </row>
    <row r="35" spans="1:8" x14ac:dyDescent="0.25">
      <c r="H35" s="18"/>
    </row>
  </sheetData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4C29C-BC8D-4257-96CC-7B013E186F26}">
  <dimension ref="A1:H35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316</v>
      </c>
    </row>
    <row r="3" spans="1:8" ht="21" x14ac:dyDescent="0.35">
      <c r="A3" s="2" t="s">
        <v>1</v>
      </c>
      <c r="D3" s="11">
        <v>124950</v>
      </c>
      <c r="F3" s="12" t="s">
        <v>3</v>
      </c>
      <c r="H3" s="11">
        <v>19950</v>
      </c>
    </row>
    <row r="4" spans="1:8" x14ac:dyDescent="0.25">
      <c r="A4" s="13" t="s">
        <v>32</v>
      </c>
      <c r="C4" s="26">
        <v>546</v>
      </c>
    </row>
    <row r="5" spans="1:8" ht="21" x14ac:dyDescent="0.35">
      <c r="A5" s="2" t="s">
        <v>2</v>
      </c>
    </row>
    <row r="7" spans="1:8" ht="18.75" x14ac:dyDescent="0.3">
      <c r="A7" s="5" t="s">
        <v>423</v>
      </c>
      <c r="D7" s="4">
        <v>79968</v>
      </c>
      <c r="E7" s="25"/>
      <c r="H7" s="4">
        <v>12768</v>
      </c>
    </row>
    <row r="8" spans="1:8" ht="18.75" x14ac:dyDescent="0.3">
      <c r="A8" s="5"/>
      <c r="D8" s="4"/>
      <c r="E8" s="25"/>
      <c r="H8" s="4"/>
    </row>
    <row r="9" spans="1:8" ht="18.75" x14ac:dyDescent="0.3">
      <c r="A9" s="5"/>
      <c r="D9" s="4"/>
      <c r="E9" s="25"/>
      <c r="H9" s="4"/>
    </row>
    <row r="10" spans="1:8" ht="18.75" x14ac:dyDescent="0.3">
      <c r="A10" s="5"/>
      <c r="D10" s="4"/>
      <c r="E10" s="25"/>
      <c r="H10" s="4"/>
    </row>
    <row r="11" spans="1:8" ht="18.75" x14ac:dyDescent="0.3">
      <c r="A11" s="5"/>
      <c r="D11" s="4"/>
      <c r="E11" s="25"/>
      <c r="H11" s="4"/>
    </row>
    <row r="12" spans="1:8" ht="18.75" x14ac:dyDescent="0.3">
      <c r="A12" s="5"/>
      <c r="C12" s="3"/>
      <c r="D12" s="27"/>
      <c r="E12" s="25"/>
      <c r="H12" s="27"/>
    </row>
    <row r="13" spans="1:8" ht="18.75" x14ac:dyDescent="0.3">
      <c r="A13" s="5"/>
      <c r="C13" s="3"/>
      <c r="D13" s="28"/>
      <c r="E13" s="25"/>
      <c r="H13" s="28"/>
    </row>
    <row r="14" spans="1:8" ht="19.5" thickBot="1" x14ac:dyDescent="0.35">
      <c r="A14" s="5"/>
      <c r="C14" s="3"/>
      <c r="D14" s="22"/>
      <c r="E14" s="25"/>
      <c r="H14" s="22"/>
    </row>
    <row r="15" spans="1:8" ht="18.75" customHeight="1" x14ac:dyDescent="0.3">
      <c r="D15" s="4">
        <f>SUM(D7:D14)</f>
        <v>79968</v>
      </c>
      <c r="H15" s="4">
        <f>SUM(H7:H14)</f>
        <v>12768</v>
      </c>
    </row>
    <row r="16" spans="1:8" ht="18.75" x14ac:dyDescent="0.3">
      <c r="A16" s="5"/>
      <c r="C16" s="3"/>
      <c r="D16" s="4"/>
      <c r="H16" s="4"/>
    </row>
    <row r="18" spans="1:8" ht="18.75" x14ac:dyDescent="0.3">
      <c r="A18" s="5"/>
      <c r="C18" s="3"/>
      <c r="D18" s="4"/>
      <c r="H18" s="4"/>
    </row>
    <row r="19" spans="1:8" ht="15.75" thickBot="1" x14ac:dyDescent="0.3">
      <c r="D19" s="7"/>
      <c r="H19" s="7"/>
    </row>
    <row r="21" spans="1:8" ht="18.75" x14ac:dyDescent="0.3">
      <c r="C21" t="s">
        <v>4</v>
      </c>
      <c r="D21" s="4">
        <f>D3-D15</f>
        <v>44982</v>
      </c>
      <c r="G21" t="s">
        <v>5</v>
      </c>
      <c r="H21" s="4">
        <f>H3-H15</f>
        <v>7182</v>
      </c>
    </row>
    <row r="24" spans="1:8" ht="15.75" x14ac:dyDescent="0.25">
      <c r="A24" t="s">
        <v>6</v>
      </c>
      <c r="C24" s="8">
        <f>D21</f>
        <v>44982</v>
      </c>
      <c r="E24" t="s">
        <v>10</v>
      </c>
      <c r="H24" s="6">
        <f>C33</f>
        <v>37300.199999999997</v>
      </c>
    </row>
    <row r="26" spans="1:8" ht="15.75" x14ac:dyDescent="0.25">
      <c r="A26" t="s">
        <v>5</v>
      </c>
      <c r="B26" s="9" t="s">
        <v>7</v>
      </c>
      <c r="C26" s="8">
        <f>H21</f>
        <v>7182</v>
      </c>
      <c r="E26" s="13" t="s">
        <v>11</v>
      </c>
      <c r="F26" s="9" t="s">
        <v>12</v>
      </c>
      <c r="G26" s="15" t="s">
        <v>17</v>
      </c>
      <c r="H26" s="3">
        <f>-(F27*0.007)</f>
        <v>-735</v>
      </c>
    </row>
    <row r="27" spans="1:8" x14ac:dyDescent="0.25">
      <c r="F27" s="21">
        <f>D3-H3</f>
        <v>105000</v>
      </c>
    </row>
    <row r="28" spans="1:8" ht="15.75" x14ac:dyDescent="0.25">
      <c r="A28" t="s">
        <v>8</v>
      </c>
      <c r="B28" s="9" t="s">
        <v>7</v>
      </c>
      <c r="C28" s="8">
        <f>D3*0.004</f>
        <v>499.8</v>
      </c>
      <c r="F28" s="9" t="s">
        <v>13</v>
      </c>
      <c r="G28" s="16">
        <v>0.35</v>
      </c>
      <c r="H28" s="29">
        <f>-(F29*0.35)</f>
        <v>-13055.069999999998</v>
      </c>
    </row>
    <row r="29" spans="1:8" ht="15.75" thickBot="1" x14ac:dyDescent="0.3">
      <c r="F29" s="21">
        <f>H24</f>
        <v>37300.199999999997</v>
      </c>
      <c r="H29" s="7"/>
    </row>
    <row r="30" spans="1:8" ht="15.75" x14ac:dyDescent="0.25">
      <c r="A30" t="s">
        <v>9</v>
      </c>
      <c r="B30" s="9" t="s">
        <v>7</v>
      </c>
      <c r="C30" s="10"/>
      <c r="G30" s="13" t="s">
        <v>14</v>
      </c>
      <c r="H30" s="6">
        <f>H24+H26+H28</f>
        <v>23510.129999999997</v>
      </c>
    </row>
    <row r="31" spans="1:8" ht="15.75" thickBot="1" x14ac:dyDescent="0.3">
      <c r="A31" s="16"/>
      <c r="B31" s="14"/>
      <c r="C31" s="7"/>
    </row>
    <row r="32" spans="1:8" x14ac:dyDescent="0.25">
      <c r="E32" t="s">
        <v>151</v>
      </c>
      <c r="H32" s="20">
        <f>H30*0.5</f>
        <v>11755.064999999999</v>
      </c>
    </row>
    <row r="33" spans="1:8" ht="15.75" x14ac:dyDescent="0.25">
      <c r="A33" t="s">
        <v>10</v>
      </c>
      <c r="C33" s="10">
        <f>C24-C26-C28-C30</f>
        <v>37300.199999999997</v>
      </c>
      <c r="H33" s="18"/>
    </row>
    <row r="34" spans="1:8" x14ac:dyDescent="0.25">
      <c r="H34" s="3"/>
    </row>
    <row r="35" spans="1:8" x14ac:dyDescent="0.25">
      <c r="H35" s="18"/>
    </row>
  </sheetData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9D795-42B9-4CC6-A08B-2F3E7D1992EB}">
  <dimension ref="A1:H35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424</v>
      </c>
    </row>
    <row r="3" spans="1:8" ht="21" x14ac:dyDescent="0.35">
      <c r="A3" s="2" t="s">
        <v>1</v>
      </c>
      <c r="D3" s="11">
        <v>10710</v>
      </c>
      <c r="F3" s="12" t="s">
        <v>3</v>
      </c>
      <c r="H3" s="11">
        <v>1710</v>
      </c>
    </row>
    <row r="4" spans="1:8" x14ac:dyDescent="0.25">
      <c r="A4" s="13" t="s">
        <v>32</v>
      </c>
      <c r="C4" s="26">
        <v>548</v>
      </c>
    </row>
    <row r="5" spans="1:8" ht="21" x14ac:dyDescent="0.35">
      <c r="A5" s="2" t="s">
        <v>2</v>
      </c>
    </row>
    <row r="7" spans="1:8" ht="18.75" x14ac:dyDescent="0.3">
      <c r="A7" s="5" t="s">
        <v>243</v>
      </c>
      <c r="D7" s="4">
        <v>6088</v>
      </c>
      <c r="E7" s="25"/>
      <c r="H7" s="4">
        <v>972</v>
      </c>
    </row>
    <row r="8" spans="1:8" ht="18.75" x14ac:dyDescent="0.3">
      <c r="A8" s="5"/>
      <c r="D8" s="4"/>
      <c r="E8" s="25"/>
      <c r="H8" s="4"/>
    </row>
    <row r="9" spans="1:8" ht="18.75" x14ac:dyDescent="0.3">
      <c r="A9" s="5"/>
      <c r="D9" s="4"/>
      <c r="E9" s="25"/>
      <c r="H9" s="4"/>
    </row>
    <row r="10" spans="1:8" ht="18.75" x14ac:dyDescent="0.3">
      <c r="A10" s="5"/>
      <c r="D10" s="4"/>
      <c r="E10" s="25"/>
      <c r="H10" s="4"/>
    </row>
    <row r="11" spans="1:8" ht="18.75" x14ac:dyDescent="0.3">
      <c r="A11" s="5"/>
      <c r="D11" s="4"/>
      <c r="E11" s="25"/>
      <c r="H11" s="4"/>
    </row>
    <row r="12" spans="1:8" ht="18.75" x14ac:dyDescent="0.3">
      <c r="A12" s="5"/>
      <c r="C12" s="3"/>
      <c r="D12" s="27"/>
      <c r="E12" s="25"/>
      <c r="H12" s="27"/>
    </row>
    <row r="13" spans="1:8" ht="18.75" x14ac:dyDescent="0.3">
      <c r="A13" s="5"/>
      <c r="C13" s="3"/>
      <c r="D13" s="28"/>
      <c r="E13" s="25"/>
      <c r="H13" s="28"/>
    </row>
    <row r="14" spans="1:8" ht="19.5" thickBot="1" x14ac:dyDescent="0.35">
      <c r="A14" s="5"/>
      <c r="C14" s="3"/>
      <c r="D14" s="22"/>
      <c r="E14" s="25"/>
      <c r="H14" s="22"/>
    </row>
    <row r="15" spans="1:8" ht="18.75" customHeight="1" x14ac:dyDescent="0.3">
      <c r="D15" s="4">
        <f>SUM(D7:D14)</f>
        <v>6088</v>
      </c>
      <c r="H15" s="4">
        <f>SUM(H7:H14)</f>
        <v>972</v>
      </c>
    </row>
    <row r="16" spans="1:8" ht="18.75" x14ac:dyDescent="0.3">
      <c r="A16" s="5"/>
      <c r="C16" s="3"/>
      <c r="D16" s="4"/>
      <c r="H16" s="4"/>
    </row>
    <row r="18" spans="1:8" ht="18.75" x14ac:dyDescent="0.3">
      <c r="A18" s="5"/>
      <c r="C18" s="3"/>
      <c r="D18" s="4"/>
      <c r="H18" s="4"/>
    </row>
    <row r="19" spans="1:8" ht="15.75" thickBot="1" x14ac:dyDescent="0.3">
      <c r="D19" s="7"/>
      <c r="H19" s="7"/>
    </row>
    <row r="21" spans="1:8" ht="18.75" x14ac:dyDescent="0.3">
      <c r="C21" t="s">
        <v>4</v>
      </c>
      <c r="D21" s="4">
        <f>D3-D15</f>
        <v>4622</v>
      </c>
      <c r="G21" t="s">
        <v>5</v>
      </c>
      <c r="H21" s="4">
        <f>H3-H15</f>
        <v>738</v>
      </c>
    </row>
    <row r="24" spans="1:8" ht="15.75" x14ac:dyDescent="0.25">
      <c r="A24" t="s">
        <v>6</v>
      </c>
      <c r="C24" s="8">
        <f>D21</f>
        <v>4622</v>
      </c>
      <c r="E24" t="s">
        <v>10</v>
      </c>
      <c r="H24" s="6">
        <f>C33</f>
        <v>3841.16</v>
      </c>
    </row>
    <row r="26" spans="1:8" ht="15.75" x14ac:dyDescent="0.25">
      <c r="A26" t="s">
        <v>5</v>
      </c>
      <c r="B26" s="9" t="s">
        <v>7</v>
      </c>
      <c r="C26" s="8">
        <f>H21</f>
        <v>738</v>
      </c>
      <c r="E26" s="13" t="s">
        <v>11</v>
      </c>
      <c r="F26" s="9" t="s">
        <v>12</v>
      </c>
      <c r="G26" s="15" t="s">
        <v>17</v>
      </c>
      <c r="H26" s="3">
        <f>-(F27*0.007)</f>
        <v>-63</v>
      </c>
    </row>
    <row r="27" spans="1:8" x14ac:dyDescent="0.25">
      <c r="F27" s="21">
        <f>D3-H3</f>
        <v>9000</v>
      </c>
    </row>
    <row r="28" spans="1:8" ht="15.75" x14ac:dyDescent="0.25">
      <c r="A28" t="s">
        <v>8</v>
      </c>
      <c r="B28" s="9" t="s">
        <v>7</v>
      </c>
      <c r="C28" s="8">
        <f>D3*0.004</f>
        <v>42.84</v>
      </c>
      <c r="F28" s="9" t="s">
        <v>13</v>
      </c>
      <c r="G28" s="16">
        <v>0.35</v>
      </c>
      <c r="H28" s="29">
        <f>-(F29*0.35)</f>
        <v>-1344.4059999999999</v>
      </c>
    </row>
    <row r="29" spans="1:8" ht="15.75" thickBot="1" x14ac:dyDescent="0.3">
      <c r="F29" s="21">
        <f>H24</f>
        <v>3841.16</v>
      </c>
      <c r="H29" s="7"/>
    </row>
    <row r="30" spans="1:8" ht="15.75" x14ac:dyDescent="0.25">
      <c r="A30" t="s">
        <v>9</v>
      </c>
      <c r="B30" s="9" t="s">
        <v>7</v>
      </c>
      <c r="C30" s="10"/>
      <c r="G30" s="13" t="s">
        <v>14</v>
      </c>
      <c r="H30" s="6">
        <f>H24+H26+H28</f>
        <v>2433.7539999999999</v>
      </c>
    </row>
    <row r="31" spans="1:8" ht="15.75" thickBot="1" x14ac:dyDescent="0.3">
      <c r="A31" s="16"/>
      <c r="B31" s="14"/>
      <c r="C31" s="7"/>
    </row>
    <row r="32" spans="1:8" x14ac:dyDescent="0.25">
      <c r="E32" t="s">
        <v>151</v>
      </c>
      <c r="H32" s="20">
        <f>H30*0.5</f>
        <v>1216.877</v>
      </c>
    </row>
    <row r="33" spans="1:8" ht="15.75" x14ac:dyDescent="0.25">
      <c r="A33" t="s">
        <v>10</v>
      </c>
      <c r="C33" s="10">
        <f>C24-C26-C28-C30</f>
        <v>3841.16</v>
      </c>
      <c r="H33" s="18"/>
    </row>
    <row r="34" spans="1:8" x14ac:dyDescent="0.25">
      <c r="H34" s="3"/>
    </row>
    <row r="35" spans="1:8" x14ac:dyDescent="0.25">
      <c r="H35" s="18"/>
    </row>
  </sheetData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BA674-C97F-41AB-AD2F-775AB6BDEDDC}">
  <dimension ref="A1:H35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425</v>
      </c>
    </row>
    <row r="3" spans="1:8" ht="21" x14ac:dyDescent="0.35">
      <c r="A3" s="2" t="s">
        <v>1</v>
      </c>
      <c r="D3" s="11">
        <v>2871480</v>
      </c>
      <c r="F3" s="12" t="s">
        <v>3</v>
      </c>
      <c r="H3" s="11">
        <v>471200</v>
      </c>
    </row>
    <row r="4" spans="1:8" x14ac:dyDescent="0.25">
      <c r="A4" s="13" t="s">
        <v>32</v>
      </c>
      <c r="C4" s="26">
        <v>550</v>
      </c>
    </row>
    <row r="5" spans="1:8" ht="21" x14ac:dyDescent="0.35">
      <c r="A5" s="2" t="s">
        <v>2</v>
      </c>
    </row>
    <row r="7" spans="1:8" ht="18.75" x14ac:dyDescent="0.3">
      <c r="A7" s="5" t="s">
        <v>426</v>
      </c>
      <c r="D7" s="4">
        <v>1837042</v>
      </c>
      <c r="E7" s="25"/>
      <c r="H7" s="4">
        <v>293309</v>
      </c>
    </row>
    <row r="8" spans="1:8" ht="18.75" x14ac:dyDescent="0.3">
      <c r="A8" s="5" t="s">
        <v>427</v>
      </c>
      <c r="D8" s="4">
        <v>162421</v>
      </c>
      <c r="E8" s="25"/>
      <c r="H8" s="4">
        <v>25933</v>
      </c>
    </row>
    <row r="9" spans="1:8" ht="18.75" x14ac:dyDescent="0.3">
      <c r="A9" s="5"/>
      <c r="D9" s="4"/>
      <c r="E9" s="25"/>
      <c r="H9" s="4"/>
    </row>
    <row r="10" spans="1:8" ht="18.75" x14ac:dyDescent="0.3">
      <c r="A10" s="5"/>
      <c r="D10" s="4"/>
      <c r="E10" s="25"/>
      <c r="H10" s="4"/>
    </row>
    <row r="11" spans="1:8" ht="18.75" x14ac:dyDescent="0.3">
      <c r="A11" s="5"/>
      <c r="D11" s="4"/>
      <c r="E11" s="25"/>
      <c r="H11" s="4"/>
    </row>
    <row r="12" spans="1:8" ht="18.75" x14ac:dyDescent="0.3">
      <c r="A12" s="5"/>
      <c r="C12" s="3"/>
      <c r="D12" s="27"/>
      <c r="E12" s="25"/>
      <c r="H12" s="27"/>
    </row>
    <row r="13" spans="1:8" ht="18.75" x14ac:dyDescent="0.3">
      <c r="A13" s="5"/>
      <c r="C13" s="3"/>
      <c r="D13" s="28"/>
      <c r="E13" s="25"/>
      <c r="H13" s="28"/>
    </row>
    <row r="14" spans="1:8" ht="19.5" thickBot="1" x14ac:dyDescent="0.35">
      <c r="A14" s="5"/>
      <c r="C14" s="3"/>
      <c r="D14" s="22"/>
      <c r="E14" s="25"/>
      <c r="H14" s="22"/>
    </row>
    <row r="15" spans="1:8" ht="18.75" customHeight="1" x14ac:dyDescent="0.3">
      <c r="D15" s="4">
        <f>SUM(D7:D14)</f>
        <v>1999463</v>
      </c>
      <c r="H15" s="4">
        <f>SUM(H7:H14)</f>
        <v>319242</v>
      </c>
    </row>
    <row r="16" spans="1:8" ht="18.75" x14ac:dyDescent="0.3">
      <c r="A16" s="5"/>
      <c r="C16" s="3"/>
      <c r="D16" s="4"/>
      <c r="H16" s="4"/>
    </row>
    <row r="18" spans="1:8" ht="18.75" x14ac:dyDescent="0.3">
      <c r="A18" s="5"/>
      <c r="C18" s="3"/>
      <c r="D18" s="4"/>
      <c r="H18" s="4"/>
    </row>
    <row r="19" spans="1:8" ht="15.75" thickBot="1" x14ac:dyDescent="0.3">
      <c r="D19" s="7"/>
      <c r="H19" s="7"/>
    </row>
    <row r="21" spans="1:8" ht="18.75" x14ac:dyDescent="0.3">
      <c r="C21" t="s">
        <v>4</v>
      </c>
      <c r="D21" s="4">
        <f>D3-D15</f>
        <v>872017</v>
      </c>
      <c r="G21" t="s">
        <v>5</v>
      </c>
      <c r="H21" s="4">
        <f>H3-H15</f>
        <v>151958</v>
      </c>
    </row>
    <row r="24" spans="1:8" ht="15.75" x14ac:dyDescent="0.25">
      <c r="A24" t="s">
        <v>6</v>
      </c>
      <c r="C24" s="8">
        <f>D21</f>
        <v>872017</v>
      </c>
      <c r="E24" t="s">
        <v>10</v>
      </c>
      <c r="H24" s="6">
        <f>C33</f>
        <v>708573.08</v>
      </c>
    </row>
    <row r="26" spans="1:8" ht="15.75" x14ac:dyDescent="0.25">
      <c r="A26" t="s">
        <v>5</v>
      </c>
      <c r="B26" s="9" t="s">
        <v>7</v>
      </c>
      <c r="C26" s="8">
        <f>H21</f>
        <v>151958</v>
      </c>
      <c r="E26" s="13" t="s">
        <v>11</v>
      </c>
      <c r="F26" s="9" t="s">
        <v>12</v>
      </c>
      <c r="G26" s="15" t="s">
        <v>17</v>
      </c>
      <c r="H26" s="3">
        <f>-(F27*0.007)</f>
        <v>-17360</v>
      </c>
    </row>
    <row r="27" spans="1:8" x14ac:dyDescent="0.25">
      <c r="F27" s="21">
        <v>2480000</v>
      </c>
    </row>
    <row r="28" spans="1:8" ht="15.75" x14ac:dyDescent="0.25">
      <c r="A28" t="s">
        <v>8</v>
      </c>
      <c r="B28" s="9" t="s">
        <v>7</v>
      </c>
      <c r="C28" s="8">
        <f>D3*0.004</f>
        <v>11485.92</v>
      </c>
      <c r="F28" s="9" t="s">
        <v>13</v>
      </c>
      <c r="G28" s="16">
        <v>0.35</v>
      </c>
      <c r="H28" s="29">
        <f>-(F29*0.35)</f>
        <v>-248000.57799999998</v>
      </c>
    </row>
    <row r="29" spans="1:8" ht="15.75" thickBot="1" x14ac:dyDescent="0.3">
      <c r="F29" s="21">
        <f>H24</f>
        <v>708573.08</v>
      </c>
      <c r="H29" s="7"/>
    </row>
    <row r="30" spans="1:8" ht="15.75" x14ac:dyDescent="0.25">
      <c r="A30" t="s">
        <v>9</v>
      </c>
      <c r="B30" s="9" t="s">
        <v>7</v>
      </c>
      <c r="C30" s="10"/>
      <c r="G30" s="13" t="s">
        <v>14</v>
      </c>
      <c r="H30" s="6">
        <f>H24+H26+H28</f>
        <v>443212.50199999998</v>
      </c>
    </row>
    <row r="31" spans="1:8" ht="15.75" thickBot="1" x14ac:dyDescent="0.3">
      <c r="A31" s="16"/>
      <c r="B31" s="14"/>
      <c r="C31" s="7"/>
    </row>
    <row r="32" spans="1:8" x14ac:dyDescent="0.25">
      <c r="E32" t="s">
        <v>151</v>
      </c>
      <c r="H32" s="20">
        <f>H30*0.5</f>
        <v>221606.25099999999</v>
      </c>
    </row>
    <row r="33" spans="1:8" ht="15.75" x14ac:dyDescent="0.25">
      <c r="A33" t="s">
        <v>10</v>
      </c>
      <c r="C33" s="10">
        <f>C24-C26-C28-C30</f>
        <v>708573.08</v>
      </c>
      <c r="H33" s="18"/>
    </row>
    <row r="34" spans="1:8" x14ac:dyDescent="0.25">
      <c r="H34" s="3"/>
    </row>
    <row r="35" spans="1:8" x14ac:dyDescent="0.25">
      <c r="H35" s="18"/>
    </row>
  </sheetData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52187-3E98-45A5-96CB-9DD55EBEE3A1}">
  <dimension ref="A1:H35"/>
  <sheetViews>
    <sheetView topLeftCell="A19" workbookViewId="0">
      <selection activeCell="A19"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428</v>
      </c>
    </row>
    <row r="3" spans="1:8" ht="21" x14ac:dyDescent="0.35">
      <c r="A3" s="2" t="s">
        <v>1</v>
      </c>
      <c r="D3" s="11">
        <v>270130</v>
      </c>
      <c r="F3" s="12" t="s">
        <v>3</v>
      </c>
      <c r="H3" s="11">
        <v>43130</v>
      </c>
    </row>
    <row r="4" spans="1:8" x14ac:dyDescent="0.25">
      <c r="A4" s="13" t="s">
        <v>32</v>
      </c>
      <c r="C4" s="26">
        <v>552</v>
      </c>
    </row>
    <row r="5" spans="1:8" ht="21" x14ac:dyDescent="0.35">
      <c r="A5" s="2" t="s">
        <v>2</v>
      </c>
    </row>
    <row r="7" spans="1:8" ht="18.75" x14ac:dyDescent="0.3">
      <c r="A7" s="5" t="s">
        <v>429</v>
      </c>
      <c r="D7" s="4">
        <v>177012</v>
      </c>
      <c r="E7" s="25"/>
      <c r="H7" s="4">
        <v>28262</v>
      </c>
    </row>
    <row r="8" spans="1:8" ht="18.75" x14ac:dyDescent="0.3">
      <c r="A8" s="5"/>
      <c r="D8" s="4"/>
      <c r="E8" s="25"/>
      <c r="H8" s="4"/>
    </row>
    <row r="9" spans="1:8" ht="18.75" x14ac:dyDescent="0.3">
      <c r="A9" s="5"/>
      <c r="D9" s="4"/>
      <c r="E9" s="25"/>
      <c r="H9" s="4"/>
    </row>
    <row r="10" spans="1:8" ht="18.75" x14ac:dyDescent="0.3">
      <c r="A10" s="5"/>
      <c r="D10" s="4"/>
      <c r="E10" s="25"/>
      <c r="H10" s="4"/>
    </row>
    <row r="11" spans="1:8" ht="18.75" x14ac:dyDescent="0.3">
      <c r="A11" s="5"/>
      <c r="D11" s="4"/>
      <c r="E11" s="25"/>
      <c r="H11" s="4"/>
    </row>
    <row r="12" spans="1:8" ht="18.75" x14ac:dyDescent="0.3">
      <c r="A12" s="5"/>
      <c r="C12" s="3"/>
      <c r="D12" s="27"/>
      <c r="E12" s="25"/>
      <c r="H12" s="27"/>
    </row>
    <row r="13" spans="1:8" ht="18.75" x14ac:dyDescent="0.3">
      <c r="A13" s="5"/>
      <c r="C13" s="3"/>
      <c r="D13" s="28"/>
      <c r="E13" s="25"/>
      <c r="H13" s="28"/>
    </row>
    <row r="14" spans="1:8" ht="19.5" thickBot="1" x14ac:dyDescent="0.35">
      <c r="A14" s="5"/>
      <c r="C14" s="3"/>
      <c r="D14" s="22"/>
      <c r="E14" s="25"/>
      <c r="H14" s="22"/>
    </row>
    <row r="15" spans="1:8" ht="18.75" customHeight="1" x14ac:dyDescent="0.3">
      <c r="D15" s="4">
        <f>SUM(D7:D14)</f>
        <v>177012</v>
      </c>
      <c r="H15" s="4">
        <f>SUM(H7:H14)</f>
        <v>28262</v>
      </c>
    </row>
    <row r="16" spans="1:8" ht="18.75" x14ac:dyDescent="0.3">
      <c r="A16" s="5"/>
      <c r="C16" s="3"/>
      <c r="D16" s="4"/>
      <c r="H16" s="4"/>
    </row>
    <row r="18" spans="1:8" ht="18.75" x14ac:dyDescent="0.3">
      <c r="A18" s="5"/>
      <c r="C18" s="3"/>
      <c r="D18" s="4"/>
      <c r="H18" s="4"/>
    </row>
    <row r="19" spans="1:8" ht="15.75" thickBot="1" x14ac:dyDescent="0.3">
      <c r="D19" s="7"/>
      <c r="H19" s="7"/>
    </row>
    <row r="21" spans="1:8" ht="18.75" x14ac:dyDescent="0.3">
      <c r="C21" t="s">
        <v>4</v>
      </c>
      <c r="D21" s="4">
        <f>D3-D15</f>
        <v>93118</v>
      </c>
      <c r="G21" t="s">
        <v>5</v>
      </c>
      <c r="H21" s="4">
        <f>H3-H15</f>
        <v>14868</v>
      </c>
    </row>
    <row r="24" spans="1:8" ht="15.75" x14ac:dyDescent="0.25">
      <c r="A24" t="s">
        <v>6</v>
      </c>
      <c r="C24" s="8">
        <f>D21</f>
        <v>93118</v>
      </c>
      <c r="E24" t="s">
        <v>10</v>
      </c>
      <c r="H24" s="6">
        <f>C33</f>
        <v>77169.48</v>
      </c>
    </row>
    <row r="26" spans="1:8" ht="15.75" x14ac:dyDescent="0.25">
      <c r="A26" t="s">
        <v>5</v>
      </c>
      <c r="B26" s="9" t="s">
        <v>7</v>
      </c>
      <c r="C26" s="8">
        <f>H21</f>
        <v>14868</v>
      </c>
      <c r="E26" s="13" t="s">
        <v>11</v>
      </c>
      <c r="F26" s="9" t="s">
        <v>12</v>
      </c>
      <c r="G26" s="15" t="s">
        <v>17</v>
      </c>
      <c r="H26" s="3">
        <f>-(F27*0.007)</f>
        <v>-1589</v>
      </c>
    </row>
    <row r="27" spans="1:8" x14ac:dyDescent="0.25">
      <c r="F27" s="21">
        <f>D3-H3</f>
        <v>227000</v>
      </c>
    </row>
    <row r="28" spans="1:8" ht="15.75" x14ac:dyDescent="0.25">
      <c r="A28" t="s">
        <v>8</v>
      </c>
      <c r="B28" s="9" t="s">
        <v>7</v>
      </c>
      <c r="C28" s="8">
        <f>D3*0.004</f>
        <v>1080.52</v>
      </c>
      <c r="F28" s="9" t="s">
        <v>13</v>
      </c>
      <c r="G28" s="16">
        <v>0.35</v>
      </c>
      <c r="H28" s="29">
        <f>-(F29*0.35)</f>
        <v>-27009.317999999996</v>
      </c>
    </row>
    <row r="29" spans="1:8" ht="15.75" thickBot="1" x14ac:dyDescent="0.3">
      <c r="F29" s="21">
        <f>H24</f>
        <v>77169.48</v>
      </c>
      <c r="H29" s="7"/>
    </row>
    <row r="30" spans="1:8" ht="15.75" x14ac:dyDescent="0.25">
      <c r="A30" t="s">
        <v>9</v>
      </c>
      <c r="B30" s="9" t="s">
        <v>7</v>
      </c>
      <c r="C30" s="10"/>
      <c r="G30" s="13" t="s">
        <v>14</v>
      </c>
      <c r="H30" s="6">
        <f>H24+H26+H28</f>
        <v>48571.161999999997</v>
      </c>
    </row>
    <row r="31" spans="1:8" ht="15.75" thickBot="1" x14ac:dyDescent="0.3">
      <c r="A31" s="16"/>
      <c r="B31" s="14"/>
      <c r="C31" s="7"/>
    </row>
    <row r="32" spans="1:8" x14ac:dyDescent="0.25">
      <c r="E32" t="s">
        <v>151</v>
      </c>
      <c r="H32" s="20">
        <f>H30*0.5</f>
        <v>24285.580999999998</v>
      </c>
    </row>
    <row r="33" spans="1:8" ht="15.75" x14ac:dyDescent="0.25">
      <c r="A33" t="s">
        <v>10</v>
      </c>
      <c r="C33" s="10">
        <f>C24-C26-C28-C30</f>
        <v>77169.48</v>
      </c>
      <c r="H33" s="18"/>
    </row>
    <row r="34" spans="1:8" x14ac:dyDescent="0.25">
      <c r="H34" s="3"/>
    </row>
    <row r="35" spans="1:8" x14ac:dyDescent="0.25">
      <c r="H35" s="18"/>
    </row>
  </sheetData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E15D7-9C5D-4E51-94B7-55E78C29367B}">
  <dimension ref="A1:H35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316</v>
      </c>
    </row>
    <row r="3" spans="1:8" ht="21" x14ac:dyDescent="0.35">
      <c r="A3" s="2" t="s">
        <v>1</v>
      </c>
      <c r="D3" s="11">
        <v>999600</v>
      </c>
      <c r="F3" s="12" t="s">
        <v>3</v>
      </c>
      <c r="H3" s="11">
        <v>159600</v>
      </c>
    </row>
    <row r="4" spans="1:8" x14ac:dyDescent="0.25">
      <c r="A4" s="13" t="s">
        <v>32</v>
      </c>
      <c r="C4" s="26">
        <v>553</v>
      </c>
    </row>
    <row r="5" spans="1:8" ht="21" x14ac:dyDescent="0.35">
      <c r="A5" s="2" t="s">
        <v>2</v>
      </c>
    </row>
    <row r="7" spans="1:8" ht="18.75" x14ac:dyDescent="0.3">
      <c r="A7" s="5" t="s">
        <v>430</v>
      </c>
      <c r="D7" s="4">
        <v>533614</v>
      </c>
      <c r="E7" s="25"/>
      <c r="H7" s="4">
        <v>85199</v>
      </c>
    </row>
    <row r="8" spans="1:8" ht="18.75" x14ac:dyDescent="0.3">
      <c r="A8" s="5"/>
      <c r="D8" s="4"/>
      <c r="E8" s="25"/>
      <c r="H8" s="4"/>
    </row>
    <row r="9" spans="1:8" ht="18.75" x14ac:dyDescent="0.3">
      <c r="A9" s="5"/>
      <c r="D9" s="4"/>
      <c r="E9" s="25"/>
      <c r="H9" s="4"/>
    </row>
    <row r="10" spans="1:8" ht="18.75" x14ac:dyDescent="0.3">
      <c r="A10" s="5"/>
      <c r="D10" s="4"/>
      <c r="E10" s="25"/>
      <c r="H10" s="4"/>
    </row>
    <row r="11" spans="1:8" ht="18.75" x14ac:dyDescent="0.3">
      <c r="A11" s="5"/>
      <c r="D11" s="4"/>
      <c r="E11" s="25"/>
      <c r="H11" s="4"/>
    </row>
    <row r="12" spans="1:8" ht="18.75" x14ac:dyDescent="0.3">
      <c r="A12" s="5"/>
      <c r="C12" s="3"/>
      <c r="D12" s="27"/>
      <c r="E12" s="25"/>
      <c r="H12" s="27"/>
    </row>
    <row r="13" spans="1:8" ht="18.75" x14ac:dyDescent="0.3">
      <c r="A13" s="5"/>
      <c r="C13" s="3"/>
      <c r="D13" s="28"/>
      <c r="E13" s="25"/>
      <c r="H13" s="28"/>
    </row>
    <row r="14" spans="1:8" ht="19.5" thickBot="1" x14ac:dyDescent="0.35">
      <c r="A14" s="5"/>
      <c r="C14" s="3"/>
      <c r="D14" s="22"/>
      <c r="E14" s="25"/>
      <c r="H14" s="22"/>
    </row>
    <row r="15" spans="1:8" ht="18.75" customHeight="1" x14ac:dyDescent="0.3">
      <c r="D15" s="4">
        <f>SUM(D7:D14)</f>
        <v>533614</v>
      </c>
      <c r="H15" s="4">
        <f>SUM(H7:H14)</f>
        <v>85199</v>
      </c>
    </row>
    <row r="16" spans="1:8" ht="18.75" x14ac:dyDescent="0.3">
      <c r="A16" s="5"/>
      <c r="C16" s="3"/>
      <c r="D16" s="4"/>
      <c r="H16" s="4"/>
    </row>
    <row r="18" spans="1:8" ht="18.75" x14ac:dyDescent="0.3">
      <c r="A18" s="5"/>
      <c r="C18" s="3"/>
      <c r="D18" s="4"/>
      <c r="H18" s="4"/>
    </row>
    <row r="19" spans="1:8" ht="15.75" thickBot="1" x14ac:dyDescent="0.3">
      <c r="D19" s="7"/>
      <c r="H19" s="7"/>
    </row>
    <row r="21" spans="1:8" ht="18.75" x14ac:dyDescent="0.3">
      <c r="C21" t="s">
        <v>4</v>
      </c>
      <c r="D21" s="4">
        <f>D3-D15</f>
        <v>465986</v>
      </c>
      <c r="G21" t="s">
        <v>5</v>
      </c>
      <c r="H21" s="4">
        <f>H3-H15</f>
        <v>74401</v>
      </c>
    </row>
    <row r="24" spans="1:8" ht="15.75" x14ac:dyDescent="0.25">
      <c r="A24" t="s">
        <v>6</v>
      </c>
      <c r="C24" s="8">
        <f>D21</f>
        <v>465986</v>
      </c>
      <c r="E24" t="s">
        <v>10</v>
      </c>
      <c r="H24" s="6">
        <f>C33</f>
        <v>387586.6</v>
      </c>
    </row>
    <row r="26" spans="1:8" ht="15.75" x14ac:dyDescent="0.25">
      <c r="A26" t="s">
        <v>5</v>
      </c>
      <c r="B26" s="9" t="s">
        <v>7</v>
      </c>
      <c r="C26" s="8">
        <f>H21</f>
        <v>74401</v>
      </c>
      <c r="E26" s="13" t="s">
        <v>11</v>
      </c>
      <c r="F26" s="9" t="s">
        <v>12</v>
      </c>
      <c r="G26" s="15" t="s">
        <v>17</v>
      </c>
      <c r="H26" s="3">
        <f>-(F27*0.007)</f>
        <v>-5880</v>
      </c>
    </row>
    <row r="27" spans="1:8" x14ac:dyDescent="0.25">
      <c r="F27" s="21">
        <f>D3-H3</f>
        <v>840000</v>
      </c>
    </row>
    <row r="28" spans="1:8" ht="15.75" x14ac:dyDescent="0.25">
      <c r="A28" t="s">
        <v>8</v>
      </c>
      <c r="B28" s="9" t="s">
        <v>7</v>
      </c>
      <c r="C28" s="8">
        <f>D3*0.004</f>
        <v>3998.4</v>
      </c>
      <c r="F28" s="9" t="s">
        <v>13</v>
      </c>
      <c r="G28" s="16">
        <v>0.35</v>
      </c>
      <c r="H28" s="29">
        <f>-(F29*0.35)</f>
        <v>-135655.31</v>
      </c>
    </row>
    <row r="29" spans="1:8" ht="15.75" thickBot="1" x14ac:dyDescent="0.3">
      <c r="F29" s="21">
        <f>H24</f>
        <v>387586.6</v>
      </c>
      <c r="H29" s="7"/>
    </row>
    <row r="30" spans="1:8" ht="15.75" x14ac:dyDescent="0.25">
      <c r="A30" t="s">
        <v>9</v>
      </c>
      <c r="B30" s="9" t="s">
        <v>7</v>
      </c>
      <c r="C30" s="10"/>
      <c r="G30" s="13" t="s">
        <v>14</v>
      </c>
      <c r="H30" s="6">
        <f>H24+H26+H28</f>
        <v>246051.28999999998</v>
      </c>
    </row>
    <row r="31" spans="1:8" ht="15.75" thickBot="1" x14ac:dyDescent="0.3">
      <c r="A31" s="16"/>
      <c r="B31" s="14"/>
      <c r="C31" s="7"/>
    </row>
    <row r="32" spans="1:8" x14ac:dyDescent="0.25">
      <c r="E32" t="s">
        <v>151</v>
      </c>
      <c r="H32" s="20">
        <f>H30*0.5</f>
        <v>123025.64499999999</v>
      </c>
    </row>
    <row r="33" spans="1:8" ht="15.75" x14ac:dyDescent="0.25">
      <c r="A33" t="s">
        <v>10</v>
      </c>
      <c r="C33" s="10">
        <f>C24-C26-C28-C30</f>
        <v>387586.6</v>
      </c>
      <c r="H33" s="18"/>
    </row>
    <row r="34" spans="1:8" x14ac:dyDescent="0.25">
      <c r="H34" s="3"/>
    </row>
    <row r="35" spans="1:8" x14ac:dyDescent="0.25">
      <c r="H35" s="18"/>
    </row>
  </sheetData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35E1E-D6D2-4598-A1E7-CA6CD00BDC78}">
  <dimension ref="A1:H35"/>
  <sheetViews>
    <sheetView topLeftCell="A10"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362</v>
      </c>
    </row>
    <row r="3" spans="1:8" ht="21" x14ac:dyDescent="0.35">
      <c r="A3" s="2" t="s">
        <v>1</v>
      </c>
      <c r="D3" s="11">
        <v>14460052</v>
      </c>
      <c r="F3" s="12" t="s">
        <v>3</v>
      </c>
      <c r="H3" s="11">
        <v>2308748</v>
      </c>
    </row>
    <row r="4" spans="1:8" x14ac:dyDescent="0.25">
      <c r="A4" s="13" t="s">
        <v>32</v>
      </c>
      <c r="C4" s="26">
        <v>555</v>
      </c>
    </row>
    <row r="5" spans="1:8" ht="21" x14ac:dyDescent="0.35">
      <c r="A5" s="2" t="s">
        <v>2</v>
      </c>
    </row>
    <row r="7" spans="1:8" ht="18.75" x14ac:dyDescent="0.3">
      <c r="A7" s="5" t="s">
        <v>106</v>
      </c>
      <c r="D7" s="4">
        <v>10885602</v>
      </c>
      <c r="E7" s="25"/>
      <c r="H7" s="4">
        <v>1738037</v>
      </c>
    </row>
    <row r="8" spans="1:8" ht="18.75" x14ac:dyDescent="0.3">
      <c r="A8" s="5"/>
      <c r="D8" s="4"/>
      <c r="E8" s="25"/>
      <c r="H8" s="4"/>
    </row>
    <row r="9" spans="1:8" ht="18.75" x14ac:dyDescent="0.3">
      <c r="A9" s="5"/>
      <c r="D9" s="4"/>
      <c r="E9" s="25"/>
      <c r="H9" s="4"/>
    </row>
    <row r="10" spans="1:8" ht="18.75" x14ac:dyDescent="0.3">
      <c r="A10" s="5"/>
      <c r="D10" s="4"/>
      <c r="E10" s="25"/>
      <c r="H10" s="4"/>
    </row>
    <row r="11" spans="1:8" ht="18.75" x14ac:dyDescent="0.3">
      <c r="A11" s="5"/>
      <c r="D11" s="4"/>
      <c r="E11" s="25"/>
      <c r="H11" s="4"/>
    </row>
    <row r="12" spans="1:8" ht="18.75" x14ac:dyDescent="0.3">
      <c r="A12" s="5"/>
      <c r="C12" s="3"/>
      <c r="D12" s="27"/>
      <c r="E12" s="25"/>
      <c r="H12" s="27"/>
    </row>
    <row r="13" spans="1:8" ht="18.75" x14ac:dyDescent="0.3">
      <c r="A13" s="5"/>
      <c r="C13" s="3"/>
      <c r="D13" s="28"/>
      <c r="E13" s="25"/>
      <c r="H13" s="28"/>
    </row>
    <row r="14" spans="1:8" ht="19.5" thickBot="1" x14ac:dyDescent="0.35">
      <c r="A14" s="5"/>
      <c r="C14" s="3"/>
      <c r="D14" s="22"/>
      <c r="E14" s="25"/>
      <c r="H14" s="22"/>
    </row>
    <row r="15" spans="1:8" ht="18.75" customHeight="1" x14ac:dyDescent="0.3">
      <c r="D15" s="4">
        <f>SUM(D7:D14)</f>
        <v>10885602</v>
      </c>
      <c r="H15" s="4">
        <f>SUM(H7:H14)</f>
        <v>1738037</v>
      </c>
    </row>
    <row r="16" spans="1:8" ht="18.75" x14ac:dyDescent="0.3">
      <c r="A16" s="5"/>
      <c r="C16" s="3"/>
      <c r="D16" s="4"/>
      <c r="H16" s="4"/>
    </row>
    <row r="18" spans="1:8" ht="18.75" x14ac:dyDescent="0.3">
      <c r="A18" s="5"/>
      <c r="C18" s="3"/>
      <c r="D18" s="4"/>
      <c r="H18" s="4"/>
    </row>
    <row r="19" spans="1:8" ht="15.75" thickBot="1" x14ac:dyDescent="0.3">
      <c r="D19" s="7"/>
      <c r="H19" s="7"/>
    </row>
    <row r="21" spans="1:8" ht="18.75" x14ac:dyDescent="0.3">
      <c r="C21" t="s">
        <v>4</v>
      </c>
      <c r="D21" s="4">
        <f>D3-D15</f>
        <v>3574450</v>
      </c>
      <c r="G21" t="s">
        <v>5</v>
      </c>
      <c r="H21" s="4">
        <f>H3-H15</f>
        <v>570711</v>
      </c>
    </row>
    <row r="24" spans="1:8" ht="15.75" x14ac:dyDescent="0.25">
      <c r="A24" t="s">
        <v>6</v>
      </c>
      <c r="C24" s="8">
        <f>D21</f>
        <v>3574450</v>
      </c>
      <c r="E24" t="s">
        <v>10</v>
      </c>
      <c r="H24" s="6">
        <f>C33</f>
        <v>2945898.7919999999</v>
      </c>
    </row>
    <row r="26" spans="1:8" ht="15.75" x14ac:dyDescent="0.25">
      <c r="A26" t="s">
        <v>5</v>
      </c>
      <c r="B26" s="9" t="s">
        <v>7</v>
      </c>
      <c r="C26" s="8">
        <f>H21</f>
        <v>570711</v>
      </c>
      <c r="E26" s="13" t="s">
        <v>11</v>
      </c>
      <c r="F26" s="9" t="s">
        <v>12</v>
      </c>
      <c r="G26" s="15" t="s">
        <v>17</v>
      </c>
      <c r="H26" s="3">
        <f>-(F27*0.007)</f>
        <v>-85059.127999999997</v>
      </c>
    </row>
    <row r="27" spans="1:8" x14ac:dyDescent="0.25">
      <c r="F27" s="21">
        <f>D3-H3</f>
        <v>12151304</v>
      </c>
    </row>
    <row r="28" spans="1:8" ht="15.75" x14ac:dyDescent="0.25">
      <c r="A28" t="s">
        <v>8</v>
      </c>
      <c r="B28" s="9" t="s">
        <v>7</v>
      </c>
      <c r="C28" s="8">
        <f>D3*0.004</f>
        <v>57840.207999999999</v>
      </c>
      <c r="F28" s="9" t="s">
        <v>13</v>
      </c>
      <c r="G28" s="16">
        <v>0.35</v>
      </c>
      <c r="H28" s="29">
        <f>-(F29*0.35)</f>
        <v>-1031064.5771999999</v>
      </c>
    </row>
    <row r="29" spans="1:8" ht="15.75" thickBot="1" x14ac:dyDescent="0.3">
      <c r="F29" s="21">
        <f>H24</f>
        <v>2945898.7919999999</v>
      </c>
      <c r="H29" s="7"/>
    </row>
    <row r="30" spans="1:8" ht="15.75" x14ac:dyDescent="0.25">
      <c r="A30" t="s">
        <v>9</v>
      </c>
      <c r="B30" s="9" t="s">
        <v>7</v>
      </c>
      <c r="C30" s="10"/>
      <c r="G30" s="13" t="s">
        <v>14</v>
      </c>
      <c r="H30" s="6">
        <f>H24+H26+H28</f>
        <v>1829775.0867999999</v>
      </c>
    </row>
    <row r="31" spans="1:8" ht="15.75" thickBot="1" x14ac:dyDescent="0.3">
      <c r="A31" s="16"/>
      <c r="B31" s="14"/>
      <c r="C31" s="7"/>
    </row>
    <row r="32" spans="1:8" x14ac:dyDescent="0.25">
      <c r="E32" t="s">
        <v>151</v>
      </c>
      <c r="H32" s="20">
        <f>H30*0.5</f>
        <v>914887.54339999997</v>
      </c>
    </row>
    <row r="33" spans="1:8" ht="15.75" x14ac:dyDescent="0.25">
      <c r="A33" t="s">
        <v>10</v>
      </c>
      <c r="C33" s="10">
        <f>C24-C26-C28-C30</f>
        <v>2945898.7919999999</v>
      </c>
      <c r="H33" s="18"/>
    </row>
    <row r="34" spans="1:8" x14ac:dyDescent="0.25">
      <c r="H34" s="3"/>
    </row>
    <row r="35" spans="1:8" x14ac:dyDescent="0.25">
      <c r="H35" s="18"/>
    </row>
  </sheetData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FC725-7421-4F03-A577-8BD0B814E504}">
  <dimension ref="A1:H35"/>
  <sheetViews>
    <sheetView workbookViewId="0">
      <selection activeCell="F12" sqref="F12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362</v>
      </c>
    </row>
    <row r="3" spans="1:8" ht="21" x14ac:dyDescent="0.35">
      <c r="A3" s="2" t="s">
        <v>1</v>
      </c>
      <c r="D3" s="11">
        <v>1347080</v>
      </c>
      <c r="F3" s="12" t="s">
        <v>3</v>
      </c>
      <c r="H3" s="11">
        <v>215080</v>
      </c>
    </row>
    <row r="4" spans="1:8" x14ac:dyDescent="0.25">
      <c r="A4" s="13" t="s">
        <v>32</v>
      </c>
      <c r="C4" s="26">
        <v>556</v>
      </c>
    </row>
    <row r="5" spans="1:8" ht="21" x14ac:dyDescent="0.35">
      <c r="A5" s="2" t="s">
        <v>2</v>
      </c>
    </row>
    <row r="7" spans="1:8" ht="18.75" x14ac:dyDescent="0.3">
      <c r="A7" s="5" t="s">
        <v>431</v>
      </c>
      <c r="D7" s="4">
        <v>1036133</v>
      </c>
      <c r="E7" s="25"/>
      <c r="H7" s="4">
        <v>165433</v>
      </c>
    </row>
    <row r="8" spans="1:8" ht="18.75" x14ac:dyDescent="0.3">
      <c r="A8" s="5"/>
      <c r="D8" s="4"/>
      <c r="E8" s="25"/>
      <c r="H8" s="4"/>
    </row>
    <row r="9" spans="1:8" ht="18.75" x14ac:dyDescent="0.3">
      <c r="A9" s="5"/>
      <c r="D9" s="4"/>
      <c r="E9" s="25"/>
      <c r="H9" s="4"/>
    </row>
    <row r="10" spans="1:8" ht="18.75" x14ac:dyDescent="0.3">
      <c r="A10" s="5"/>
      <c r="D10" s="4"/>
      <c r="E10" s="25"/>
      <c r="H10" s="4"/>
    </row>
    <row r="11" spans="1:8" ht="18.75" x14ac:dyDescent="0.3">
      <c r="A11" s="5"/>
      <c r="D11" s="4"/>
      <c r="E11" s="25"/>
      <c r="H11" s="4"/>
    </row>
    <row r="12" spans="1:8" ht="18.75" x14ac:dyDescent="0.3">
      <c r="A12" s="5"/>
      <c r="C12" s="3"/>
      <c r="D12" s="27"/>
      <c r="E12" s="25"/>
      <c r="H12" s="27"/>
    </row>
    <row r="13" spans="1:8" ht="18.75" x14ac:dyDescent="0.3">
      <c r="A13" s="5"/>
      <c r="C13" s="3"/>
      <c r="D13" s="28"/>
      <c r="E13" s="25"/>
      <c r="H13" s="28"/>
    </row>
    <row r="14" spans="1:8" ht="19.5" thickBot="1" x14ac:dyDescent="0.35">
      <c r="A14" s="5"/>
      <c r="C14" s="3"/>
      <c r="D14" s="22"/>
      <c r="E14" s="25"/>
      <c r="H14" s="22"/>
    </row>
    <row r="15" spans="1:8" ht="18.75" customHeight="1" x14ac:dyDescent="0.3">
      <c r="D15" s="4">
        <f>SUM(D7:D14)</f>
        <v>1036133</v>
      </c>
      <c r="H15" s="4">
        <f>SUM(H7:H14)</f>
        <v>165433</v>
      </c>
    </row>
    <row r="16" spans="1:8" ht="18.75" x14ac:dyDescent="0.3">
      <c r="A16" s="5"/>
      <c r="C16" s="3"/>
      <c r="D16" s="4"/>
      <c r="H16" s="4"/>
    </row>
    <row r="18" spans="1:8" ht="18.75" x14ac:dyDescent="0.3">
      <c r="A18" s="5"/>
      <c r="C18" s="3"/>
      <c r="D18" s="4"/>
      <c r="H18" s="4"/>
    </row>
    <row r="19" spans="1:8" ht="15.75" thickBot="1" x14ac:dyDescent="0.3">
      <c r="D19" s="7"/>
      <c r="H19" s="7"/>
    </row>
    <row r="21" spans="1:8" ht="18.75" x14ac:dyDescent="0.3">
      <c r="C21" t="s">
        <v>4</v>
      </c>
      <c r="D21" s="4">
        <f>D3-D15</f>
        <v>310947</v>
      </c>
      <c r="G21" t="s">
        <v>5</v>
      </c>
      <c r="H21" s="4">
        <f>H3-H15</f>
        <v>49647</v>
      </c>
    </row>
    <row r="24" spans="1:8" ht="15.75" x14ac:dyDescent="0.25">
      <c r="A24" t="s">
        <v>6</v>
      </c>
      <c r="C24" s="8">
        <f>D21</f>
        <v>310947</v>
      </c>
      <c r="E24" t="s">
        <v>10</v>
      </c>
      <c r="H24" s="6">
        <f>C33</f>
        <v>255911.67999999999</v>
      </c>
    </row>
    <row r="26" spans="1:8" ht="15.75" x14ac:dyDescent="0.25">
      <c r="A26" t="s">
        <v>5</v>
      </c>
      <c r="B26" s="9" t="s">
        <v>7</v>
      </c>
      <c r="C26" s="8">
        <f>H21</f>
        <v>49647</v>
      </c>
      <c r="E26" s="13" t="s">
        <v>11</v>
      </c>
      <c r="F26" s="9" t="s">
        <v>12</v>
      </c>
      <c r="G26" s="15" t="s">
        <v>17</v>
      </c>
      <c r="H26" s="3">
        <f>-(F27*0.007)</f>
        <v>-7924</v>
      </c>
    </row>
    <row r="27" spans="1:8" x14ac:dyDescent="0.25">
      <c r="F27" s="21">
        <f>D3-H3</f>
        <v>1132000</v>
      </c>
    </row>
    <row r="28" spans="1:8" ht="15.75" x14ac:dyDescent="0.25">
      <c r="A28" t="s">
        <v>8</v>
      </c>
      <c r="B28" s="9" t="s">
        <v>7</v>
      </c>
      <c r="C28" s="8">
        <f>D3*0.004</f>
        <v>5388.32</v>
      </c>
      <c r="F28" s="9" t="s">
        <v>13</v>
      </c>
      <c r="G28" s="16">
        <v>0.35</v>
      </c>
      <c r="H28" s="29">
        <f>-(F29*0.35)</f>
        <v>-89569.087999999989</v>
      </c>
    </row>
    <row r="29" spans="1:8" ht="15.75" thickBot="1" x14ac:dyDescent="0.3">
      <c r="F29" s="21">
        <f>H24</f>
        <v>255911.67999999999</v>
      </c>
      <c r="H29" s="7"/>
    </row>
    <row r="30" spans="1:8" ht="15.75" x14ac:dyDescent="0.25">
      <c r="A30" t="s">
        <v>9</v>
      </c>
      <c r="B30" s="9" t="s">
        <v>7</v>
      </c>
      <c r="C30" s="10"/>
      <c r="G30" s="13" t="s">
        <v>14</v>
      </c>
      <c r="H30" s="6">
        <f>H24+H26+H28</f>
        <v>158418.592</v>
      </c>
    </row>
    <row r="31" spans="1:8" ht="15.75" thickBot="1" x14ac:dyDescent="0.3">
      <c r="A31" s="16"/>
      <c r="B31" s="14"/>
      <c r="C31" s="7"/>
    </row>
    <row r="32" spans="1:8" x14ac:dyDescent="0.25">
      <c r="E32" t="s">
        <v>151</v>
      </c>
      <c r="H32" s="20">
        <f>H30*0.5</f>
        <v>79209.296000000002</v>
      </c>
    </row>
    <row r="33" spans="1:8" ht="15.75" x14ac:dyDescent="0.25">
      <c r="A33" t="s">
        <v>10</v>
      </c>
      <c r="C33" s="10">
        <f>C24-C26-C28-C30</f>
        <v>255911.67999999999</v>
      </c>
      <c r="H33" s="18"/>
    </row>
    <row r="34" spans="1:8" x14ac:dyDescent="0.25">
      <c r="H34" s="3"/>
    </row>
    <row r="35" spans="1:8" x14ac:dyDescent="0.25">
      <c r="H35" s="18"/>
    </row>
  </sheetData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9E381-808F-4AC0-8658-ECF9424CBD8C}">
  <dimension ref="A1:H35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432</v>
      </c>
    </row>
    <row r="3" spans="1:8" ht="21" x14ac:dyDescent="0.35">
      <c r="A3" s="2" t="s">
        <v>1</v>
      </c>
      <c r="D3" s="11">
        <v>661640</v>
      </c>
      <c r="F3" s="12" t="s">
        <v>3</v>
      </c>
      <c r="H3" s="11">
        <v>105640</v>
      </c>
    </row>
    <row r="4" spans="1:8" x14ac:dyDescent="0.25">
      <c r="A4" s="13" t="s">
        <v>32</v>
      </c>
      <c r="C4" s="26">
        <v>557</v>
      </c>
    </row>
    <row r="5" spans="1:8" ht="21" x14ac:dyDescent="0.35">
      <c r="A5" s="2" t="s">
        <v>2</v>
      </c>
    </row>
    <row r="7" spans="1:8" ht="18.75" x14ac:dyDescent="0.3">
      <c r="A7" s="5" t="s">
        <v>433</v>
      </c>
      <c r="D7" s="4">
        <v>94200</v>
      </c>
      <c r="E7" s="25"/>
      <c r="H7" s="4">
        <v>15000</v>
      </c>
    </row>
    <row r="8" spans="1:8" ht="18.75" x14ac:dyDescent="0.3">
      <c r="A8" s="5" t="s">
        <v>434</v>
      </c>
      <c r="D8" s="4">
        <v>302970</v>
      </c>
      <c r="E8" s="25"/>
      <c r="H8" s="4">
        <v>48373</v>
      </c>
    </row>
    <row r="9" spans="1:8" ht="18.75" x14ac:dyDescent="0.3">
      <c r="A9" s="5"/>
      <c r="D9" s="4"/>
      <c r="E9" s="25"/>
      <c r="H9" s="4"/>
    </row>
    <row r="10" spans="1:8" ht="18.75" x14ac:dyDescent="0.3">
      <c r="A10" s="5"/>
      <c r="D10" s="4"/>
      <c r="E10" s="25"/>
      <c r="H10" s="4"/>
    </row>
    <row r="11" spans="1:8" ht="18.75" x14ac:dyDescent="0.3">
      <c r="A11" s="5"/>
      <c r="D11" s="4"/>
      <c r="E11" s="25"/>
      <c r="H11" s="4"/>
    </row>
    <row r="12" spans="1:8" ht="18.75" x14ac:dyDescent="0.3">
      <c r="A12" s="5"/>
      <c r="C12" s="3"/>
      <c r="D12" s="27"/>
      <c r="E12" s="25"/>
      <c r="H12" s="27"/>
    </row>
    <row r="13" spans="1:8" ht="18.75" x14ac:dyDescent="0.3">
      <c r="A13" s="5"/>
      <c r="C13" s="3"/>
      <c r="D13" s="28"/>
      <c r="E13" s="25"/>
      <c r="H13" s="28"/>
    </row>
    <row r="14" spans="1:8" ht="19.5" thickBot="1" x14ac:dyDescent="0.35">
      <c r="A14" s="5"/>
      <c r="C14" s="3"/>
      <c r="D14" s="22"/>
      <c r="E14" s="25"/>
      <c r="H14" s="22"/>
    </row>
    <row r="15" spans="1:8" ht="18.75" customHeight="1" x14ac:dyDescent="0.3">
      <c r="D15" s="4">
        <f>SUM(D7:D14)</f>
        <v>397170</v>
      </c>
      <c r="H15" s="4">
        <f>SUM(H7:H14)</f>
        <v>63373</v>
      </c>
    </row>
    <row r="16" spans="1:8" ht="18.75" x14ac:dyDescent="0.3">
      <c r="A16" s="5"/>
      <c r="C16" s="3"/>
      <c r="D16" s="4"/>
      <c r="H16" s="4"/>
    </row>
    <row r="18" spans="1:8" ht="18.75" x14ac:dyDescent="0.3">
      <c r="A18" s="5"/>
      <c r="C18" s="3"/>
      <c r="D18" s="4"/>
      <c r="H18" s="4"/>
    </row>
    <row r="19" spans="1:8" ht="15.75" thickBot="1" x14ac:dyDescent="0.3">
      <c r="D19" s="7"/>
      <c r="H19" s="7"/>
    </row>
    <row r="21" spans="1:8" ht="18.75" x14ac:dyDescent="0.3">
      <c r="C21" t="s">
        <v>4</v>
      </c>
      <c r="D21" s="4">
        <f>D3-D15</f>
        <v>264470</v>
      </c>
      <c r="G21" t="s">
        <v>5</v>
      </c>
      <c r="H21" s="4">
        <f>H3-H15</f>
        <v>42267</v>
      </c>
    </row>
    <row r="24" spans="1:8" ht="15.75" x14ac:dyDescent="0.25">
      <c r="A24" t="s">
        <v>6</v>
      </c>
      <c r="C24" s="8">
        <f>D21</f>
        <v>264470</v>
      </c>
      <c r="E24" t="s">
        <v>10</v>
      </c>
      <c r="H24" s="6">
        <f>C33</f>
        <v>219556.44</v>
      </c>
    </row>
    <row r="26" spans="1:8" ht="15.75" x14ac:dyDescent="0.25">
      <c r="A26" t="s">
        <v>5</v>
      </c>
      <c r="B26" s="9" t="s">
        <v>7</v>
      </c>
      <c r="C26" s="8">
        <f>H21</f>
        <v>42267</v>
      </c>
      <c r="E26" s="13" t="s">
        <v>11</v>
      </c>
      <c r="F26" s="9" t="s">
        <v>12</v>
      </c>
      <c r="G26" s="15" t="s">
        <v>17</v>
      </c>
      <c r="H26" s="3">
        <f>-(F27*0.007)</f>
        <v>-3892</v>
      </c>
    </row>
    <row r="27" spans="1:8" x14ac:dyDescent="0.25">
      <c r="F27" s="21">
        <f>D3-H3</f>
        <v>556000</v>
      </c>
    </row>
    <row r="28" spans="1:8" ht="15.75" x14ac:dyDescent="0.25">
      <c r="A28" t="s">
        <v>8</v>
      </c>
      <c r="B28" s="9" t="s">
        <v>7</v>
      </c>
      <c r="C28" s="8">
        <f>D3*0.004</f>
        <v>2646.56</v>
      </c>
      <c r="F28" s="9" t="s">
        <v>13</v>
      </c>
      <c r="G28" s="16">
        <v>0.35</v>
      </c>
      <c r="H28" s="29">
        <f>-(F29*0.35)</f>
        <v>-76844.754000000001</v>
      </c>
    </row>
    <row r="29" spans="1:8" ht="15.75" thickBot="1" x14ac:dyDescent="0.3">
      <c r="F29" s="21">
        <f>H24</f>
        <v>219556.44</v>
      </c>
      <c r="H29" s="7"/>
    </row>
    <row r="30" spans="1:8" ht="15.75" x14ac:dyDescent="0.25">
      <c r="A30" t="s">
        <v>9</v>
      </c>
      <c r="B30" s="9" t="s">
        <v>7</v>
      </c>
      <c r="C30" s="10"/>
      <c r="G30" s="13" t="s">
        <v>14</v>
      </c>
      <c r="H30" s="6">
        <f>H24+H26+H28</f>
        <v>138819.68599999999</v>
      </c>
    </row>
    <row r="31" spans="1:8" ht="15.75" thickBot="1" x14ac:dyDescent="0.3">
      <c r="A31" s="16"/>
      <c r="B31" s="14"/>
      <c r="C31" s="7"/>
    </row>
    <row r="32" spans="1:8" x14ac:dyDescent="0.25">
      <c r="E32" t="s">
        <v>151</v>
      </c>
      <c r="H32" s="20">
        <f>H30*0.5</f>
        <v>69409.842999999993</v>
      </c>
    </row>
    <row r="33" spans="1:8" ht="15.75" x14ac:dyDescent="0.25">
      <c r="A33" t="s">
        <v>10</v>
      </c>
      <c r="C33" s="10">
        <f>C24-C26-C28-C30</f>
        <v>219556.44</v>
      </c>
      <c r="H33" s="18"/>
    </row>
    <row r="34" spans="1:8" x14ac:dyDescent="0.25">
      <c r="H34" s="3"/>
    </row>
    <row r="35" spans="1:8" x14ac:dyDescent="0.25">
      <c r="H35" s="18"/>
    </row>
  </sheetData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F9759-9EBE-42E0-89DD-3A74DEE483A5}">
  <dimension ref="A1:H35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435</v>
      </c>
    </row>
    <row r="3" spans="1:8" ht="21" x14ac:dyDescent="0.35">
      <c r="A3" s="2" t="s">
        <v>1</v>
      </c>
      <c r="D3" s="11">
        <v>208845</v>
      </c>
      <c r="F3" s="12" t="s">
        <v>3</v>
      </c>
      <c r="H3" s="11">
        <v>33345</v>
      </c>
    </row>
    <row r="4" spans="1:8" x14ac:dyDescent="0.25">
      <c r="A4" s="13" t="s">
        <v>32</v>
      </c>
      <c r="C4" s="26">
        <v>560</v>
      </c>
    </row>
    <row r="5" spans="1:8" ht="21" x14ac:dyDescent="0.35">
      <c r="A5" s="2" t="s">
        <v>2</v>
      </c>
    </row>
    <row r="7" spans="1:8" ht="18.75" x14ac:dyDescent="0.3">
      <c r="A7" s="5" t="s">
        <v>436</v>
      </c>
      <c r="D7" s="4">
        <v>36033</v>
      </c>
      <c r="E7" s="25"/>
      <c r="H7" s="4">
        <v>5753</v>
      </c>
    </row>
    <row r="8" spans="1:8" ht="18.75" x14ac:dyDescent="0.3">
      <c r="A8" s="5" t="s">
        <v>221</v>
      </c>
      <c r="D8" s="4">
        <v>105303</v>
      </c>
      <c r="E8" s="25"/>
      <c r="H8" s="4">
        <v>16813</v>
      </c>
    </row>
    <row r="9" spans="1:8" ht="18.75" x14ac:dyDescent="0.3">
      <c r="A9" s="5"/>
      <c r="D9" s="4"/>
      <c r="E9" s="25"/>
      <c r="H9" s="4"/>
    </row>
    <row r="10" spans="1:8" ht="18.75" x14ac:dyDescent="0.3">
      <c r="A10" s="5"/>
      <c r="D10" s="4"/>
      <c r="E10" s="25"/>
      <c r="H10" s="4"/>
    </row>
    <row r="11" spans="1:8" ht="18.75" x14ac:dyDescent="0.3">
      <c r="A11" s="5"/>
      <c r="D11" s="4"/>
      <c r="E11" s="25"/>
      <c r="H11" s="4"/>
    </row>
    <row r="12" spans="1:8" ht="18.75" x14ac:dyDescent="0.3">
      <c r="A12" s="5"/>
      <c r="C12" s="3"/>
      <c r="D12" s="27"/>
      <c r="E12" s="25"/>
      <c r="H12" s="27"/>
    </row>
    <row r="13" spans="1:8" ht="18.75" x14ac:dyDescent="0.3">
      <c r="A13" s="5"/>
      <c r="C13" s="3"/>
      <c r="D13" s="28"/>
      <c r="E13" s="25"/>
      <c r="H13" s="28"/>
    </row>
    <row r="14" spans="1:8" ht="19.5" thickBot="1" x14ac:dyDescent="0.35">
      <c r="A14" s="5"/>
      <c r="C14" s="3"/>
      <c r="D14" s="22"/>
      <c r="E14" s="25"/>
      <c r="H14" s="22"/>
    </row>
    <row r="15" spans="1:8" ht="18.75" customHeight="1" x14ac:dyDescent="0.3">
      <c r="D15" s="4">
        <f>SUM(D7:D14)</f>
        <v>141336</v>
      </c>
      <c r="H15" s="4">
        <f>SUM(H7:H14)</f>
        <v>22566</v>
      </c>
    </row>
    <row r="16" spans="1:8" ht="18.75" x14ac:dyDescent="0.3">
      <c r="A16" s="5"/>
      <c r="C16" s="3"/>
      <c r="D16" s="4"/>
      <c r="H16" s="4"/>
    </row>
    <row r="18" spans="1:8" ht="18.75" x14ac:dyDescent="0.3">
      <c r="A18" s="5"/>
      <c r="C18" s="3"/>
      <c r="D18" s="4"/>
      <c r="H18" s="4"/>
    </row>
    <row r="19" spans="1:8" ht="15.75" thickBot="1" x14ac:dyDescent="0.3">
      <c r="D19" s="7"/>
      <c r="H19" s="7"/>
    </row>
    <row r="21" spans="1:8" ht="18.75" x14ac:dyDescent="0.3">
      <c r="C21" t="s">
        <v>4</v>
      </c>
      <c r="D21" s="4">
        <f>D3-D15</f>
        <v>67509</v>
      </c>
      <c r="G21" t="s">
        <v>5</v>
      </c>
      <c r="H21" s="4">
        <f>H3-H15</f>
        <v>10779</v>
      </c>
    </row>
    <row r="24" spans="1:8" ht="15.75" x14ac:dyDescent="0.25">
      <c r="A24" t="s">
        <v>6</v>
      </c>
      <c r="C24" s="8">
        <f>D21</f>
        <v>67509</v>
      </c>
      <c r="E24" t="s">
        <v>10</v>
      </c>
      <c r="H24" s="6">
        <f>C33</f>
        <v>55894.62</v>
      </c>
    </row>
    <row r="26" spans="1:8" ht="15.75" x14ac:dyDescent="0.25">
      <c r="A26" t="s">
        <v>5</v>
      </c>
      <c r="B26" s="9" t="s">
        <v>7</v>
      </c>
      <c r="C26" s="8">
        <f>H21</f>
        <v>10779</v>
      </c>
      <c r="E26" s="13" t="s">
        <v>11</v>
      </c>
      <c r="F26" s="9" t="s">
        <v>12</v>
      </c>
      <c r="G26" s="15" t="s">
        <v>17</v>
      </c>
      <c r="H26" s="3">
        <f>-(F27*0.007)</f>
        <v>-1228.5</v>
      </c>
    </row>
    <row r="27" spans="1:8" x14ac:dyDescent="0.25">
      <c r="F27" s="21">
        <f>D3-H3</f>
        <v>175500</v>
      </c>
    </row>
    <row r="28" spans="1:8" ht="15.75" x14ac:dyDescent="0.25">
      <c r="A28" t="s">
        <v>8</v>
      </c>
      <c r="B28" s="9" t="s">
        <v>7</v>
      </c>
      <c r="C28" s="8">
        <f>D3*0.004</f>
        <v>835.38</v>
      </c>
      <c r="F28" s="9" t="s">
        <v>13</v>
      </c>
      <c r="G28" s="16">
        <v>0.35</v>
      </c>
      <c r="H28" s="29">
        <f>-(F29*0.35)</f>
        <v>-19563.116999999998</v>
      </c>
    </row>
    <row r="29" spans="1:8" ht="15.75" thickBot="1" x14ac:dyDescent="0.3">
      <c r="F29" s="21">
        <f>H24</f>
        <v>55894.62</v>
      </c>
      <c r="H29" s="7"/>
    </row>
    <row r="30" spans="1:8" ht="15.75" x14ac:dyDescent="0.25">
      <c r="A30" t="s">
        <v>9</v>
      </c>
      <c r="B30" s="9" t="s">
        <v>7</v>
      </c>
      <c r="C30" s="10"/>
      <c r="G30" s="13" t="s">
        <v>14</v>
      </c>
      <c r="H30" s="6">
        <f>H24+H26+H28</f>
        <v>35103.003000000004</v>
      </c>
    </row>
    <row r="31" spans="1:8" ht="15.75" thickBot="1" x14ac:dyDescent="0.3">
      <c r="A31" s="16"/>
      <c r="B31" s="14"/>
      <c r="C31" s="7"/>
    </row>
    <row r="32" spans="1:8" x14ac:dyDescent="0.25">
      <c r="E32" t="s">
        <v>151</v>
      </c>
      <c r="H32" s="20">
        <f>H30*0.5</f>
        <v>17551.501500000002</v>
      </c>
    </row>
    <row r="33" spans="1:8" ht="15.75" x14ac:dyDescent="0.25">
      <c r="A33" t="s">
        <v>10</v>
      </c>
      <c r="C33" s="10">
        <f>C24-C26-C28-C30</f>
        <v>55894.62</v>
      </c>
      <c r="H33" s="18"/>
    </row>
    <row r="34" spans="1:8" x14ac:dyDescent="0.25">
      <c r="H34" s="3"/>
    </row>
    <row r="35" spans="1:8" x14ac:dyDescent="0.25">
      <c r="H35" s="18"/>
    </row>
  </sheetData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B9D3C-AC16-4672-B9D1-3749B856A81F}">
  <dimension ref="A1:H35"/>
  <sheetViews>
    <sheetView workbookViewId="0">
      <selection activeCell="E14" sqref="E14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435</v>
      </c>
    </row>
    <row r="3" spans="1:8" ht="21" x14ac:dyDescent="0.35">
      <c r="A3" s="2" t="s">
        <v>1</v>
      </c>
      <c r="D3" s="11">
        <v>69020</v>
      </c>
      <c r="F3" s="12" t="s">
        <v>3</v>
      </c>
      <c r="H3" s="11">
        <v>11020</v>
      </c>
    </row>
    <row r="4" spans="1:8" x14ac:dyDescent="0.25">
      <c r="A4" s="13" t="s">
        <v>32</v>
      </c>
      <c r="C4" s="26">
        <v>562</v>
      </c>
    </row>
    <row r="5" spans="1:8" ht="21" x14ac:dyDescent="0.35">
      <c r="A5" s="2" t="s">
        <v>2</v>
      </c>
    </row>
    <row r="7" spans="1:8" ht="18.75" x14ac:dyDescent="0.3">
      <c r="A7" s="5" t="s">
        <v>437</v>
      </c>
      <c r="D7" s="4">
        <v>33130</v>
      </c>
      <c r="E7" s="25"/>
      <c r="H7" s="4">
        <v>5290</v>
      </c>
    </row>
    <row r="8" spans="1:8" ht="18.75" x14ac:dyDescent="0.3">
      <c r="A8" s="5"/>
      <c r="D8" s="4"/>
      <c r="E8" s="25"/>
      <c r="H8" s="4"/>
    </row>
    <row r="9" spans="1:8" ht="18.75" x14ac:dyDescent="0.3">
      <c r="A9" s="5"/>
      <c r="D9" s="4"/>
      <c r="E9" s="25"/>
      <c r="H9" s="4"/>
    </row>
    <row r="10" spans="1:8" ht="18.75" x14ac:dyDescent="0.3">
      <c r="A10" s="5"/>
      <c r="D10" s="4"/>
      <c r="E10" s="25"/>
      <c r="H10" s="4"/>
    </row>
    <row r="11" spans="1:8" ht="18.75" x14ac:dyDescent="0.3">
      <c r="A11" s="5"/>
      <c r="D11" s="4"/>
      <c r="E11" s="25"/>
      <c r="H11" s="4"/>
    </row>
    <row r="12" spans="1:8" ht="18.75" x14ac:dyDescent="0.3">
      <c r="A12" s="5"/>
      <c r="C12" s="3"/>
      <c r="D12" s="27"/>
      <c r="E12" s="25"/>
      <c r="H12" s="27"/>
    </row>
    <row r="13" spans="1:8" ht="18.75" x14ac:dyDescent="0.3">
      <c r="A13" s="5"/>
      <c r="C13" s="3"/>
      <c r="D13" s="28"/>
      <c r="E13" s="25"/>
      <c r="H13" s="28"/>
    </row>
    <row r="14" spans="1:8" ht="19.5" thickBot="1" x14ac:dyDescent="0.35">
      <c r="A14" s="5"/>
      <c r="C14" s="3"/>
      <c r="D14" s="22"/>
      <c r="E14" s="25"/>
      <c r="H14" s="22"/>
    </row>
    <row r="15" spans="1:8" ht="18.75" customHeight="1" x14ac:dyDescent="0.3">
      <c r="D15" s="4">
        <f>SUM(D7:D14)</f>
        <v>33130</v>
      </c>
      <c r="H15" s="4">
        <f>SUM(H7:H14)</f>
        <v>5290</v>
      </c>
    </row>
    <row r="16" spans="1:8" ht="18.75" x14ac:dyDescent="0.3">
      <c r="A16" s="5"/>
      <c r="C16" s="3"/>
      <c r="D16" s="4"/>
      <c r="H16" s="4"/>
    </row>
    <row r="18" spans="1:8" ht="18.75" x14ac:dyDescent="0.3">
      <c r="A18" s="5"/>
      <c r="C18" s="3"/>
      <c r="D18" s="4"/>
      <c r="H18" s="4"/>
    </row>
    <row r="19" spans="1:8" ht="15.75" thickBot="1" x14ac:dyDescent="0.3">
      <c r="D19" s="7"/>
      <c r="H19" s="7"/>
    </row>
    <row r="21" spans="1:8" ht="18.75" x14ac:dyDescent="0.3">
      <c r="C21" t="s">
        <v>4</v>
      </c>
      <c r="D21" s="4">
        <f>D3-D15</f>
        <v>35890</v>
      </c>
      <c r="G21" t="s">
        <v>5</v>
      </c>
      <c r="H21" s="4">
        <f>H3-H15</f>
        <v>5730</v>
      </c>
    </row>
    <row r="24" spans="1:8" ht="15.75" x14ac:dyDescent="0.25">
      <c r="A24" t="s">
        <v>6</v>
      </c>
      <c r="C24" s="8">
        <f>D21</f>
        <v>35890</v>
      </c>
      <c r="E24" t="s">
        <v>10</v>
      </c>
      <c r="H24" s="6">
        <f>C33</f>
        <v>29883.919999999998</v>
      </c>
    </row>
    <row r="26" spans="1:8" ht="15.75" x14ac:dyDescent="0.25">
      <c r="A26" t="s">
        <v>5</v>
      </c>
      <c r="B26" s="9" t="s">
        <v>7</v>
      </c>
      <c r="C26" s="8">
        <f>H21</f>
        <v>5730</v>
      </c>
      <c r="E26" s="13" t="s">
        <v>11</v>
      </c>
      <c r="F26" s="9" t="s">
        <v>12</v>
      </c>
      <c r="G26" s="15" t="s">
        <v>17</v>
      </c>
      <c r="H26" s="3">
        <f>-(F27*0.007)</f>
        <v>-406</v>
      </c>
    </row>
    <row r="27" spans="1:8" x14ac:dyDescent="0.25">
      <c r="F27" s="21">
        <f>D3-H3</f>
        <v>58000</v>
      </c>
    </row>
    <row r="28" spans="1:8" ht="15.75" x14ac:dyDescent="0.25">
      <c r="A28" t="s">
        <v>8</v>
      </c>
      <c r="B28" s="9" t="s">
        <v>7</v>
      </c>
      <c r="C28" s="8">
        <f>D3*0.004</f>
        <v>276.08</v>
      </c>
      <c r="F28" s="9" t="s">
        <v>13</v>
      </c>
      <c r="G28" s="16">
        <v>0.35</v>
      </c>
      <c r="H28" s="29">
        <f>-(F29*0.35)</f>
        <v>-10459.371999999999</v>
      </c>
    </row>
    <row r="29" spans="1:8" ht="15.75" thickBot="1" x14ac:dyDescent="0.3">
      <c r="F29" s="21">
        <f>H24</f>
        <v>29883.919999999998</v>
      </c>
      <c r="H29" s="7"/>
    </row>
    <row r="30" spans="1:8" ht="15.75" x14ac:dyDescent="0.25">
      <c r="A30" t="s">
        <v>9</v>
      </c>
      <c r="B30" s="9" t="s">
        <v>7</v>
      </c>
      <c r="C30" s="10"/>
      <c r="G30" s="13" t="s">
        <v>14</v>
      </c>
      <c r="H30" s="6">
        <f>H24+H26+H28</f>
        <v>19018.547999999999</v>
      </c>
    </row>
    <row r="31" spans="1:8" ht="15.75" thickBot="1" x14ac:dyDescent="0.3">
      <c r="A31" s="16"/>
      <c r="B31" s="14"/>
      <c r="C31" s="7"/>
    </row>
    <row r="32" spans="1:8" x14ac:dyDescent="0.25">
      <c r="E32" t="s">
        <v>151</v>
      </c>
      <c r="H32" s="20">
        <f>H30*0.5</f>
        <v>9509.2739999999994</v>
      </c>
    </row>
    <row r="33" spans="1:8" ht="15.75" x14ac:dyDescent="0.25">
      <c r="A33" t="s">
        <v>10</v>
      </c>
      <c r="C33" s="10">
        <f>C24-C26-C28-C30</f>
        <v>29883.919999999998</v>
      </c>
      <c r="H33" s="18"/>
    </row>
    <row r="34" spans="1:8" x14ac:dyDescent="0.25">
      <c r="H34" s="3"/>
    </row>
    <row r="35" spans="1:8" x14ac:dyDescent="0.25">
      <c r="H35" s="18"/>
    </row>
  </sheetData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B3AFA-007B-42FD-A4D4-1EB7C37FDE0B}">
  <dimension ref="A1:H35"/>
  <sheetViews>
    <sheetView workbookViewId="0">
      <selection activeCell="C5" sqref="C5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438</v>
      </c>
    </row>
    <row r="3" spans="1:8" ht="21" x14ac:dyDescent="0.35">
      <c r="A3" s="2" t="s">
        <v>1</v>
      </c>
      <c r="D3" s="11">
        <v>16802443</v>
      </c>
      <c r="F3" s="12" t="s">
        <v>3</v>
      </c>
      <c r="H3" s="11">
        <v>2682743</v>
      </c>
    </row>
    <row r="4" spans="1:8" x14ac:dyDescent="0.25">
      <c r="A4" s="13" t="s">
        <v>32</v>
      </c>
      <c r="C4" s="26">
        <v>563</v>
      </c>
    </row>
    <row r="5" spans="1:8" ht="21" x14ac:dyDescent="0.35">
      <c r="A5" s="2" t="s">
        <v>2</v>
      </c>
    </row>
    <row r="7" spans="1:8" ht="18.75" x14ac:dyDescent="0.3">
      <c r="A7" s="5" t="s">
        <v>439</v>
      </c>
      <c r="D7" s="4">
        <v>2662119</v>
      </c>
      <c r="E7" s="25"/>
      <c r="H7" s="4">
        <v>425045</v>
      </c>
    </row>
    <row r="8" spans="1:8" ht="18.75" x14ac:dyDescent="0.3">
      <c r="A8" s="5" t="s">
        <v>440</v>
      </c>
      <c r="D8" s="4">
        <v>10085250</v>
      </c>
      <c r="E8" s="25"/>
      <c r="H8" s="4">
        <v>1610250</v>
      </c>
    </row>
    <row r="9" spans="1:8" ht="18.75" x14ac:dyDescent="0.3">
      <c r="A9" s="5"/>
      <c r="D9" s="4"/>
      <c r="E9" s="25"/>
      <c r="H9" s="4"/>
    </row>
    <row r="10" spans="1:8" ht="18.75" x14ac:dyDescent="0.3">
      <c r="A10" s="5"/>
      <c r="D10" s="4"/>
      <c r="E10" s="25"/>
      <c r="H10" s="4"/>
    </row>
    <row r="11" spans="1:8" ht="18.75" x14ac:dyDescent="0.3">
      <c r="A11" s="5"/>
      <c r="D11" s="4"/>
      <c r="E11" s="25"/>
      <c r="H11" s="4"/>
    </row>
    <row r="12" spans="1:8" ht="18.75" x14ac:dyDescent="0.3">
      <c r="A12" s="5"/>
      <c r="C12" s="3"/>
      <c r="D12" s="27"/>
      <c r="E12" s="25"/>
      <c r="H12" s="27"/>
    </row>
    <row r="13" spans="1:8" ht="18.75" x14ac:dyDescent="0.3">
      <c r="A13" s="5"/>
      <c r="C13" s="3"/>
      <c r="D13" s="28"/>
      <c r="E13" s="25"/>
      <c r="H13" s="28"/>
    </row>
    <row r="14" spans="1:8" ht="19.5" thickBot="1" x14ac:dyDescent="0.35">
      <c r="A14" s="5"/>
      <c r="C14" s="3"/>
      <c r="D14" s="22"/>
      <c r="E14" s="25"/>
      <c r="H14" s="22"/>
    </row>
    <row r="15" spans="1:8" ht="18.75" customHeight="1" x14ac:dyDescent="0.3">
      <c r="D15" s="4">
        <f>SUM(D7:D14)</f>
        <v>12747369</v>
      </c>
      <c r="H15" s="4">
        <f>SUM(H7:H14)</f>
        <v>2035295</v>
      </c>
    </row>
    <row r="16" spans="1:8" ht="18.75" x14ac:dyDescent="0.3">
      <c r="A16" s="5"/>
      <c r="C16" s="3"/>
      <c r="D16" s="4"/>
      <c r="H16" s="4"/>
    </row>
    <row r="18" spans="1:8" ht="18.75" x14ac:dyDescent="0.3">
      <c r="A18" s="5"/>
      <c r="C18" s="3"/>
      <c r="D18" s="4"/>
      <c r="H18" s="4"/>
    </row>
    <row r="19" spans="1:8" ht="15.75" thickBot="1" x14ac:dyDescent="0.3">
      <c r="D19" s="7"/>
      <c r="H19" s="7"/>
    </row>
    <row r="21" spans="1:8" ht="18.75" x14ac:dyDescent="0.3">
      <c r="C21" t="s">
        <v>4</v>
      </c>
      <c r="D21" s="4">
        <f>D3-D15</f>
        <v>4055074</v>
      </c>
      <c r="G21" t="s">
        <v>5</v>
      </c>
      <c r="H21" s="4">
        <f>H3-H15</f>
        <v>647448</v>
      </c>
    </row>
    <row r="24" spans="1:8" ht="15.75" x14ac:dyDescent="0.25">
      <c r="A24" t="s">
        <v>6</v>
      </c>
      <c r="C24" s="8">
        <f>D21</f>
        <v>4055074</v>
      </c>
      <c r="E24" t="s">
        <v>10</v>
      </c>
      <c r="H24" s="6">
        <f>C33</f>
        <v>3340416.2280000001</v>
      </c>
    </row>
    <row r="26" spans="1:8" ht="15.75" x14ac:dyDescent="0.25">
      <c r="A26" t="s">
        <v>5</v>
      </c>
      <c r="B26" s="9" t="s">
        <v>7</v>
      </c>
      <c r="C26" s="8">
        <f>H21</f>
        <v>647448</v>
      </c>
      <c r="E26" s="13" t="s">
        <v>11</v>
      </c>
      <c r="F26" s="9" t="s">
        <v>12</v>
      </c>
      <c r="G26" s="15" t="s">
        <v>17</v>
      </c>
      <c r="H26" s="3">
        <f>-(F27*0.007)</f>
        <v>-98837.900000000009</v>
      </c>
    </row>
    <row r="27" spans="1:8" x14ac:dyDescent="0.25">
      <c r="F27" s="21">
        <f>D3-H3</f>
        <v>14119700</v>
      </c>
    </row>
    <row r="28" spans="1:8" ht="15.75" x14ac:dyDescent="0.25">
      <c r="A28" t="s">
        <v>8</v>
      </c>
      <c r="B28" s="9" t="s">
        <v>7</v>
      </c>
      <c r="C28" s="8">
        <f>D3*0.004</f>
        <v>67209.771999999997</v>
      </c>
      <c r="F28" s="9" t="s">
        <v>13</v>
      </c>
      <c r="G28" s="16">
        <v>0.35</v>
      </c>
      <c r="H28" s="29">
        <f>-(F29*0.35)</f>
        <v>-1169145.6798</v>
      </c>
    </row>
    <row r="29" spans="1:8" ht="15.75" thickBot="1" x14ac:dyDescent="0.3">
      <c r="F29" s="21">
        <f>H24</f>
        <v>3340416.2280000001</v>
      </c>
      <c r="H29" s="7"/>
    </row>
    <row r="30" spans="1:8" ht="15.75" x14ac:dyDescent="0.25">
      <c r="A30" t="s">
        <v>9</v>
      </c>
      <c r="B30" s="9" t="s">
        <v>7</v>
      </c>
      <c r="C30" s="10"/>
      <c r="G30" s="13" t="s">
        <v>14</v>
      </c>
      <c r="H30" s="6">
        <f>H24+H26+H28</f>
        <v>2072432.6482000002</v>
      </c>
    </row>
    <row r="31" spans="1:8" ht="15.75" thickBot="1" x14ac:dyDescent="0.3">
      <c r="A31" s="16"/>
      <c r="B31" s="14"/>
      <c r="C31" s="7"/>
    </row>
    <row r="32" spans="1:8" x14ac:dyDescent="0.25">
      <c r="E32" t="s">
        <v>151</v>
      </c>
      <c r="H32" s="20">
        <f>H30*0.5</f>
        <v>1036216.3241000001</v>
      </c>
    </row>
    <row r="33" spans="1:8" ht="15.75" x14ac:dyDescent="0.25">
      <c r="A33" t="s">
        <v>10</v>
      </c>
      <c r="C33" s="10">
        <f>C24-C26-C28-C30</f>
        <v>3340416.2280000001</v>
      </c>
      <c r="H33" s="18"/>
    </row>
    <row r="34" spans="1:8" x14ac:dyDescent="0.25">
      <c r="H34" s="3"/>
    </row>
    <row r="35" spans="1:8" x14ac:dyDescent="0.25">
      <c r="H35" s="18"/>
    </row>
  </sheetData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C80B5-DBED-47EA-92B6-CAFFC7352E71}">
  <dimension ref="A1:H35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441</v>
      </c>
    </row>
    <row r="3" spans="1:8" ht="21" x14ac:dyDescent="0.35">
      <c r="A3" s="2" t="s">
        <v>1</v>
      </c>
      <c r="D3" s="11">
        <v>487900</v>
      </c>
      <c r="F3" s="12" t="s">
        <v>3</v>
      </c>
      <c r="H3" s="11">
        <v>77900</v>
      </c>
    </row>
    <row r="4" spans="1:8" x14ac:dyDescent="0.25">
      <c r="A4" s="13" t="s">
        <v>32</v>
      </c>
      <c r="C4" s="26">
        <v>566</v>
      </c>
    </row>
    <row r="5" spans="1:8" ht="21" x14ac:dyDescent="0.35">
      <c r="A5" s="2" t="s">
        <v>2</v>
      </c>
    </row>
    <row r="7" spans="1:8" ht="18.75" x14ac:dyDescent="0.3">
      <c r="A7" s="5" t="s">
        <v>442</v>
      </c>
      <c r="D7" s="4">
        <v>285676</v>
      </c>
      <c r="E7" s="25"/>
      <c r="H7" s="4">
        <v>45612</v>
      </c>
    </row>
    <row r="8" spans="1:8" ht="18.75" x14ac:dyDescent="0.3">
      <c r="A8" s="5" t="s">
        <v>443</v>
      </c>
      <c r="D8" s="4">
        <v>53200</v>
      </c>
      <c r="E8" s="25"/>
      <c r="H8" s="4">
        <v>8800</v>
      </c>
    </row>
    <row r="9" spans="1:8" ht="18.75" x14ac:dyDescent="0.3">
      <c r="A9" s="5"/>
      <c r="D9" s="4"/>
      <c r="E9" s="25"/>
      <c r="H9" s="4"/>
    </row>
    <row r="10" spans="1:8" ht="18.75" x14ac:dyDescent="0.3">
      <c r="A10" s="5"/>
      <c r="D10" s="4"/>
      <c r="E10" s="25"/>
      <c r="H10" s="4"/>
    </row>
    <row r="11" spans="1:8" ht="18.75" x14ac:dyDescent="0.3">
      <c r="A11" s="5"/>
      <c r="D11" s="4"/>
      <c r="E11" s="25"/>
      <c r="H11" s="4"/>
    </row>
    <row r="12" spans="1:8" ht="18.75" x14ac:dyDescent="0.3">
      <c r="A12" s="5"/>
      <c r="C12" s="3"/>
      <c r="D12" s="27"/>
      <c r="E12" s="25"/>
      <c r="H12" s="27"/>
    </row>
    <row r="13" spans="1:8" ht="18.75" x14ac:dyDescent="0.3">
      <c r="A13" s="5"/>
      <c r="C13" s="3"/>
      <c r="D13" s="28"/>
      <c r="E13" s="25"/>
      <c r="H13" s="28"/>
    </row>
    <row r="14" spans="1:8" ht="19.5" thickBot="1" x14ac:dyDescent="0.35">
      <c r="A14" s="5"/>
      <c r="C14" s="3"/>
      <c r="D14" s="22"/>
      <c r="E14" s="25"/>
      <c r="H14" s="22"/>
    </row>
    <row r="15" spans="1:8" ht="18.75" customHeight="1" x14ac:dyDescent="0.3">
      <c r="D15" s="4">
        <f>SUM(D7:D14)</f>
        <v>338876</v>
      </c>
      <c r="H15" s="4">
        <f>SUM(H7:H14)</f>
        <v>54412</v>
      </c>
    </row>
    <row r="16" spans="1:8" ht="18.75" x14ac:dyDescent="0.3">
      <c r="A16" s="5"/>
      <c r="C16" s="3"/>
      <c r="D16" s="4"/>
      <c r="H16" s="4"/>
    </row>
    <row r="18" spans="1:8" ht="18.75" x14ac:dyDescent="0.3">
      <c r="A18" s="5"/>
      <c r="C18" s="3"/>
      <c r="D18" s="4"/>
      <c r="H18" s="4"/>
    </row>
    <row r="19" spans="1:8" ht="15.75" thickBot="1" x14ac:dyDescent="0.3">
      <c r="D19" s="7"/>
      <c r="H19" s="7"/>
    </row>
    <row r="21" spans="1:8" ht="18.75" x14ac:dyDescent="0.3">
      <c r="C21" t="s">
        <v>4</v>
      </c>
      <c r="D21" s="4">
        <f>D3-D15</f>
        <v>149024</v>
      </c>
      <c r="G21" t="s">
        <v>5</v>
      </c>
      <c r="H21" s="4">
        <f>H3-H15</f>
        <v>23488</v>
      </c>
    </row>
    <row r="24" spans="1:8" ht="15.75" x14ac:dyDescent="0.25">
      <c r="A24" t="s">
        <v>6</v>
      </c>
      <c r="C24" s="8">
        <f>D21</f>
        <v>149024</v>
      </c>
      <c r="E24" t="s">
        <v>10</v>
      </c>
      <c r="H24" s="6">
        <f>C33</f>
        <v>123584.4</v>
      </c>
    </row>
    <row r="26" spans="1:8" ht="15.75" x14ac:dyDescent="0.25">
      <c r="A26" t="s">
        <v>5</v>
      </c>
      <c r="B26" s="9" t="s">
        <v>7</v>
      </c>
      <c r="C26" s="8">
        <f>H21</f>
        <v>23488</v>
      </c>
      <c r="E26" s="13" t="s">
        <v>11</v>
      </c>
      <c r="F26" s="9" t="s">
        <v>12</v>
      </c>
      <c r="G26" s="15" t="s">
        <v>17</v>
      </c>
      <c r="H26" s="3">
        <f>-(F27*0.007)</f>
        <v>-2870</v>
      </c>
    </row>
    <row r="27" spans="1:8" x14ac:dyDescent="0.25">
      <c r="F27" s="21">
        <f>D3-H3</f>
        <v>410000</v>
      </c>
    </row>
    <row r="28" spans="1:8" ht="15.75" x14ac:dyDescent="0.25">
      <c r="A28" t="s">
        <v>8</v>
      </c>
      <c r="B28" s="9" t="s">
        <v>7</v>
      </c>
      <c r="C28" s="8">
        <f>D3*0.004</f>
        <v>1951.6000000000001</v>
      </c>
      <c r="F28" s="9" t="s">
        <v>13</v>
      </c>
      <c r="G28" s="16">
        <v>0.35</v>
      </c>
      <c r="H28" s="29">
        <f>-(F29*0.35)</f>
        <v>-43254.539999999994</v>
      </c>
    </row>
    <row r="29" spans="1:8" ht="15.75" thickBot="1" x14ac:dyDescent="0.3">
      <c r="F29" s="21">
        <f>H24</f>
        <v>123584.4</v>
      </c>
      <c r="H29" s="7"/>
    </row>
    <row r="30" spans="1:8" ht="15.75" x14ac:dyDescent="0.25">
      <c r="A30" t="s">
        <v>9</v>
      </c>
      <c r="B30" s="9" t="s">
        <v>7</v>
      </c>
      <c r="C30" s="10"/>
      <c r="G30" s="13" t="s">
        <v>14</v>
      </c>
      <c r="H30" s="6">
        <f>H24+H26+H28</f>
        <v>77459.86</v>
      </c>
    </row>
    <row r="31" spans="1:8" ht="15.75" thickBot="1" x14ac:dyDescent="0.3">
      <c r="A31" s="16"/>
      <c r="B31" s="14"/>
      <c r="C31" s="7"/>
    </row>
    <row r="32" spans="1:8" x14ac:dyDescent="0.25">
      <c r="E32" t="s">
        <v>151</v>
      </c>
      <c r="H32" s="20">
        <f>H30*0.5</f>
        <v>38729.93</v>
      </c>
    </row>
    <row r="33" spans="1:8" ht="15.75" x14ac:dyDescent="0.25">
      <c r="A33" t="s">
        <v>10</v>
      </c>
      <c r="C33" s="10">
        <f>C24-C26-C28-C30</f>
        <v>123584.4</v>
      </c>
      <c r="H33" s="18"/>
    </row>
    <row r="34" spans="1:8" x14ac:dyDescent="0.25">
      <c r="H34" s="3"/>
    </row>
    <row r="35" spans="1:8" x14ac:dyDescent="0.25">
      <c r="H35" s="18"/>
    </row>
  </sheetData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A1C65-B66D-42A7-ADE8-147FAB270D00}">
  <dimension ref="A1:H35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444</v>
      </c>
    </row>
    <row r="3" spans="1:8" ht="21" x14ac:dyDescent="0.35">
      <c r="A3" s="2" t="s">
        <v>1</v>
      </c>
      <c r="D3" s="11">
        <v>214200</v>
      </c>
      <c r="F3" s="12" t="s">
        <v>3</v>
      </c>
      <c r="H3" s="11">
        <v>34200</v>
      </c>
    </row>
    <row r="4" spans="1:8" x14ac:dyDescent="0.25">
      <c r="A4" s="13" t="s">
        <v>32</v>
      </c>
      <c r="C4" s="26">
        <v>569</v>
      </c>
    </row>
    <row r="5" spans="1:8" ht="21" x14ac:dyDescent="0.35">
      <c r="A5" s="2" t="s">
        <v>2</v>
      </c>
    </row>
    <row r="7" spans="1:8" ht="18.75" x14ac:dyDescent="0.3">
      <c r="A7" s="5" t="s">
        <v>89</v>
      </c>
      <c r="D7" s="4">
        <v>111000</v>
      </c>
      <c r="E7" s="25"/>
      <c r="H7" s="4"/>
    </row>
    <row r="8" spans="1:8" ht="18.75" x14ac:dyDescent="0.3">
      <c r="A8" s="5"/>
      <c r="D8" s="4"/>
      <c r="E8" s="25"/>
      <c r="H8" s="4"/>
    </row>
    <row r="9" spans="1:8" ht="18.75" x14ac:dyDescent="0.3">
      <c r="A9" s="5"/>
      <c r="D9" s="4"/>
      <c r="E9" s="25"/>
      <c r="H9" s="4"/>
    </row>
    <row r="10" spans="1:8" ht="18.75" x14ac:dyDescent="0.3">
      <c r="A10" s="5"/>
      <c r="D10" s="4"/>
      <c r="E10" s="25"/>
      <c r="H10" s="4"/>
    </row>
    <row r="11" spans="1:8" ht="18.75" x14ac:dyDescent="0.3">
      <c r="A11" s="5"/>
      <c r="D11" s="4"/>
      <c r="E11" s="25"/>
      <c r="H11" s="4"/>
    </row>
    <row r="12" spans="1:8" ht="18.75" x14ac:dyDescent="0.3">
      <c r="A12" s="5"/>
      <c r="C12" s="3"/>
      <c r="D12" s="27"/>
      <c r="E12" s="25"/>
      <c r="H12" s="27"/>
    </row>
    <row r="13" spans="1:8" ht="18.75" x14ac:dyDescent="0.3">
      <c r="A13" s="5"/>
      <c r="C13" s="3"/>
      <c r="D13" s="28"/>
      <c r="E13" s="25"/>
      <c r="H13" s="28"/>
    </row>
    <row r="14" spans="1:8" ht="19.5" thickBot="1" x14ac:dyDescent="0.35">
      <c r="A14" s="5"/>
      <c r="C14" s="3"/>
      <c r="D14" s="22"/>
      <c r="E14" s="25"/>
      <c r="H14" s="22"/>
    </row>
    <row r="15" spans="1:8" ht="18.75" customHeight="1" x14ac:dyDescent="0.3">
      <c r="D15" s="4">
        <f>SUM(D7:D14)</f>
        <v>111000</v>
      </c>
      <c r="H15" s="4">
        <f>SUM(H7:H14)</f>
        <v>0</v>
      </c>
    </row>
    <row r="16" spans="1:8" ht="18.75" x14ac:dyDescent="0.3">
      <c r="A16" s="5"/>
      <c r="C16" s="3"/>
      <c r="D16" s="4"/>
      <c r="H16" s="4"/>
    </row>
    <row r="18" spans="1:8" ht="18.75" x14ac:dyDescent="0.3">
      <c r="A18" s="5"/>
      <c r="C18" s="3"/>
      <c r="D18" s="4"/>
      <c r="H18" s="4"/>
    </row>
    <row r="19" spans="1:8" ht="15.75" thickBot="1" x14ac:dyDescent="0.3">
      <c r="D19" s="7"/>
      <c r="H19" s="7"/>
    </row>
    <row r="21" spans="1:8" ht="18.75" x14ac:dyDescent="0.3">
      <c r="C21" t="s">
        <v>4</v>
      </c>
      <c r="D21" s="4">
        <f>D3-D15</f>
        <v>103200</v>
      </c>
      <c r="G21" t="s">
        <v>5</v>
      </c>
      <c r="H21" s="4">
        <f>H3-H15</f>
        <v>34200</v>
      </c>
    </row>
    <row r="24" spans="1:8" ht="15.75" x14ac:dyDescent="0.25">
      <c r="A24" t="s">
        <v>6</v>
      </c>
      <c r="C24" s="8">
        <f>D21</f>
        <v>103200</v>
      </c>
      <c r="E24" t="s">
        <v>10</v>
      </c>
      <c r="H24" s="6">
        <f>C33</f>
        <v>68143.199999999997</v>
      </c>
    </row>
    <row r="26" spans="1:8" ht="15.75" x14ac:dyDescent="0.25">
      <c r="A26" t="s">
        <v>5</v>
      </c>
      <c r="B26" s="9" t="s">
        <v>7</v>
      </c>
      <c r="C26" s="8">
        <f>H21</f>
        <v>34200</v>
      </c>
      <c r="E26" s="13" t="s">
        <v>11</v>
      </c>
      <c r="F26" s="9" t="s">
        <v>12</v>
      </c>
      <c r="G26" s="15" t="s">
        <v>17</v>
      </c>
      <c r="H26" s="3">
        <f>-(F27*0.007)</f>
        <v>-1260</v>
      </c>
    </row>
    <row r="27" spans="1:8" x14ac:dyDescent="0.25">
      <c r="F27" s="21">
        <f>D3-H3</f>
        <v>180000</v>
      </c>
    </row>
    <row r="28" spans="1:8" ht="15.75" x14ac:dyDescent="0.25">
      <c r="A28" t="s">
        <v>8</v>
      </c>
      <c r="B28" s="9" t="s">
        <v>7</v>
      </c>
      <c r="C28" s="8">
        <f>D3*0.004</f>
        <v>856.80000000000007</v>
      </c>
      <c r="F28" s="9" t="s">
        <v>13</v>
      </c>
      <c r="G28" s="16">
        <v>0.35</v>
      </c>
      <c r="H28" s="29">
        <f>-(F29*0.35)</f>
        <v>-23850.12</v>
      </c>
    </row>
    <row r="29" spans="1:8" ht="15.75" thickBot="1" x14ac:dyDescent="0.3">
      <c r="F29" s="21">
        <f>H24</f>
        <v>68143.199999999997</v>
      </c>
      <c r="H29" s="7"/>
    </row>
    <row r="30" spans="1:8" ht="15.75" x14ac:dyDescent="0.25">
      <c r="A30" t="s">
        <v>9</v>
      </c>
      <c r="B30" s="9" t="s">
        <v>7</v>
      </c>
      <c r="C30" s="10"/>
      <c r="G30" s="13" t="s">
        <v>14</v>
      </c>
      <c r="H30" s="6">
        <f>H24+H26+H28</f>
        <v>43033.08</v>
      </c>
    </row>
    <row r="31" spans="1:8" ht="15.75" thickBot="1" x14ac:dyDescent="0.3">
      <c r="A31" s="16"/>
      <c r="B31" s="14"/>
      <c r="C31" s="7"/>
    </row>
    <row r="32" spans="1:8" x14ac:dyDescent="0.25">
      <c r="E32" t="s">
        <v>151</v>
      </c>
      <c r="H32" s="20">
        <f>H30*0.5</f>
        <v>21516.54</v>
      </c>
    </row>
    <row r="33" spans="1:8" ht="15.75" x14ac:dyDescent="0.25">
      <c r="A33" t="s">
        <v>10</v>
      </c>
      <c r="C33" s="10">
        <f>C24-C26-C28-C30</f>
        <v>68143.199999999997</v>
      </c>
      <c r="H33" s="18"/>
    </row>
    <row r="34" spans="1:8" x14ac:dyDescent="0.25">
      <c r="H34" s="3"/>
    </row>
    <row r="35" spans="1:8" x14ac:dyDescent="0.25">
      <c r="H35" s="18"/>
    </row>
  </sheetData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76C14-6D38-4F19-9C0D-E0C8BC031F92}">
  <dimension ref="A1:H35"/>
  <sheetViews>
    <sheetView workbookViewId="0">
      <selection activeCell="C4" sqref="C4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445</v>
      </c>
    </row>
    <row r="3" spans="1:8" ht="21" x14ac:dyDescent="0.35">
      <c r="A3" s="2" t="s">
        <v>1</v>
      </c>
      <c r="D3" s="11">
        <v>30000</v>
      </c>
      <c r="F3" s="12" t="s">
        <v>3</v>
      </c>
      <c r="H3" s="11">
        <v>4788</v>
      </c>
    </row>
    <row r="4" spans="1:8" x14ac:dyDescent="0.25">
      <c r="A4" s="13" t="s">
        <v>32</v>
      </c>
      <c r="C4" s="26">
        <v>570</v>
      </c>
    </row>
    <row r="5" spans="1:8" ht="21" x14ac:dyDescent="0.35">
      <c r="A5" s="2" t="s">
        <v>2</v>
      </c>
    </row>
    <row r="7" spans="1:8" ht="18.75" x14ac:dyDescent="0.3">
      <c r="A7" s="5" t="s">
        <v>21</v>
      </c>
      <c r="D7" s="4">
        <v>19493</v>
      </c>
      <c r="E7" s="25"/>
      <c r="H7" s="4">
        <v>3112</v>
      </c>
    </row>
    <row r="8" spans="1:8" ht="18.75" x14ac:dyDescent="0.3">
      <c r="A8" s="5"/>
      <c r="D8" s="4"/>
      <c r="E8" s="25"/>
      <c r="H8" s="4"/>
    </row>
    <row r="9" spans="1:8" ht="18.75" x14ac:dyDescent="0.3">
      <c r="A9" s="5"/>
      <c r="D9" s="4"/>
      <c r="E9" s="25"/>
      <c r="H9" s="4"/>
    </row>
    <row r="10" spans="1:8" ht="18.75" x14ac:dyDescent="0.3">
      <c r="A10" s="5"/>
      <c r="D10" s="4"/>
      <c r="E10" s="25"/>
      <c r="H10" s="4"/>
    </row>
    <row r="11" spans="1:8" ht="18.75" x14ac:dyDescent="0.3">
      <c r="A11" s="5"/>
      <c r="D11" s="4"/>
      <c r="E11" s="25"/>
      <c r="H11" s="4"/>
    </row>
    <row r="12" spans="1:8" ht="18.75" x14ac:dyDescent="0.3">
      <c r="A12" s="5"/>
      <c r="C12" s="3"/>
      <c r="D12" s="27"/>
      <c r="E12" s="25"/>
      <c r="H12" s="27"/>
    </row>
    <row r="13" spans="1:8" ht="18.75" x14ac:dyDescent="0.3">
      <c r="A13" s="5"/>
      <c r="C13" s="3"/>
      <c r="D13" s="28"/>
      <c r="E13" s="25"/>
      <c r="H13" s="28"/>
    </row>
    <row r="14" spans="1:8" ht="19.5" thickBot="1" x14ac:dyDescent="0.35">
      <c r="A14" s="5"/>
      <c r="C14" s="3"/>
      <c r="D14" s="22"/>
      <c r="E14" s="25"/>
      <c r="H14" s="22"/>
    </row>
    <row r="15" spans="1:8" ht="18.75" customHeight="1" x14ac:dyDescent="0.3">
      <c r="D15" s="4">
        <f>SUM(D7:D14)</f>
        <v>19493</v>
      </c>
      <c r="H15" s="4">
        <f>SUM(H7:H14)</f>
        <v>3112</v>
      </c>
    </row>
    <row r="16" spans="1:8" ht="18.75" x14ac:dyDescent="0.3">
      <c r="A16" s="5"/>
      <c r="C16" s="3"/>
      <c r="D16" s="4"/>
      <c r="H16" s="4"/>
    </row>
    <row r="18" spans="1:8" ht="18.75" x14ac:dyDescent="0.3">
      <c r="A18" s="5"/>
      <c r="C18" s="3"/>
      <c r="D18" s="4"/>
      <c r="H18" s="4"/>
    </row>
    <row r="19" spans="1:8" ht="15.75" thickBot="1" x14ac:dyDescent="0.3">
      <c r="D19" s="7"/>
      <c r="H19" s="7"/>
    </row>
    <row r="21" spans="1:8" ht="18.75" x14ac:dyDescent="0.3">
      <c r="C21" t="s">
        <v>4</v>
      </c>
      <c r="D21" s="4">
        <f>D3-D15</f>
        <v>10507</v>
      </c>
      <c r="G21" t="s">
        <v>5</v>
      </c>
      <c r="H21" s="4">
        <f>H3-H15</f>
        <v>1676</v>
      </c>
    </row>
    <row r="24" spans="1:8" ht="15.75" x14ac:dyDescent="0.25">
      <c r="A24" t="s">
        <v>6</v>
      </c>
      <c r="C24" s="8">
        <f>D21</f>
        <v>10507</v>
      </c>
      <c r="E24" t="s">
        <v>10</v>
      </c>
      <c r="H24" s="6">
        <f>C33</f>
        <v>8711</v>
      </c>
    </row>
    <row r="26" spans="1:8" ht="15.75" x14ac:dyDescent="0.25">
      <c r="A26" t="s">
        <v>5</v>
      </c>
      <c r="B26" s="9" t="s">
        <v>7</v>
      </c>
      <c r="C26" s="8">
        <f>H21</f>
        <v>1676</v>
      </c>
      <c r="E26" s="13" t="s">
        <v>11</v>
      </c>
      <c r="F26" s="9" t="s">
        <v>12</v>
      </c>
      <c r="G26" s="15" t="s">
        <v>17</v>
      </c>
      <c r="H26" s="3">
        <f>-(F27*0.007)</f>
        <v>-176.48400000000001</v>
      </c>
    </row>
    <row r="27" spans="1:8" x14ac:dyDescent="0.25">
      <c r="F27" s="21">
        <f>D3-H3</f>
        <v>25212</v>
      </c>
    </row>
    <row r="28" spans="1:8" ht="15.75" x14ac:dyDescent="0.25">
      <c r="A28" t="s">
        <v>8</v>
      </c>
      <c r="B28" s="9" t="s">
        <v>7</v>
      </c>
      <c r="C28" s="8">
        <f>D3*0.004</f>
        <v>120</v>
      </c>
      <c r="F28" s="9" t="s">
        <v>13</v>
      </c>
      <c r="G28" s="16">
        <v>0.35</v>
      </c>
      <c r="H28" s="29">
        <f>-(F29*0.35)</f>
        <v>-3048.85</v>
      </c>
    </row>
    <row r="29" spans="1:8" ht="15.75" thickBot="1" x14ac:dyDescent="0.3">
      <c r="F29" s="21">
        <f>H24</f>
        <v>8711</v>
      </c>
      <c r="H29" s="7"/>
    </row>
    <row r="30" spans="1:8" ht="15.75" x14ac:dyDescent="0.25">
      <c r="A30" t="s">
        <v>9</v>
      </c>
      <c r="B30" s="9" t="s">
        <v>7</v>
      </c>
      <c r="C30" s="10"/>
      <c r="G30" s="13" t="s">
        <v>14</v>
      </c>
      <c r="H30" s="6">
        <f>H24+H26+H28</f>
        <v>5485.6659999999993</v>
      </c>
    </row>
    <row r="31" spans="1:8" ht="15.75" thickBot="1" x14ac:dyDescent="0.3">
      <c r="A31" s="16"/>
      <c r="B31" s="14"/>
      <c r="C31" s="7"/>
    </row>
    <row r="32" spans="1:8" x14ac:dyDescent="0.25">
      <c r="E32" t="s">
        <v>151</v>
      </c>
      <c r="H32" s="20">
        <f>H30*0.5</f>
        <v>2742.8329999999996</v>
      </c>
    </row>
    <row r="33" spans="1:8" ht="15.75" x14ac:dyDescent="0.25">
      <c r="A33" t="s">
        <v>10</v>
      </c>
      <c r="C33" s="10">
        <f>C24-C26-C28-C30</f>
        <v>8711</v>
      </c>
      <c r="H33" s="18"/>
    </row>
    <row r="34" spans="1:8" x14ac:dyDescent="0.25">
      <c r="H34" s="3"/>
    </row>
    <row r="35" spans="1:8" x14ac:dyDescent="0.25">
      <c r="H35" s="18"/>
    </row>
  </sheetData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CBB13-3557-4EAF-B5E9-0C68218FD267}">
  <dimension ref="A1:H35"/>
  <sheetViews>
    <sheetView workbookViewId="0">
      <selection activeCell="D12" sqref="D12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446</v>
      </c>
    </row>
    <row r="3" spans="1:8" ht="21" x14ac:dyDescent="0.35">
      <c r="A3" s="2" t="s">
        <v>1</v>
      </c>
      <c r="D3" s="11">
        <v>5010991</v>
      </c>
      <c r="F3" s="12" t="s">
        <v>3</v>
      </c>
      <c r="H3" s="11">
        <v>817243</v>
      </c>
    </row>
    <row r="4" spans="1:8" x14ac:dyDescent="0.25">
      <c r="A4" s="13" t="s">
        <v>32</v>
      </c>
      <c r="C4" s="26">
        <v>576</v>
      </c>
    </row>
    <row r="5" spans="1:8" ht="21" x14ac:dyDescent="0.35">
      <c r="A5" s="2" t="s">
        <v>2</v>
      </c>
    </row>
    <row r="7" spans="1:8" ht="18.75" x14ac:dyDescent="0.3">
      <c r="A7" s="5" t="s">
        <v>447</v>
      </c>
      <c r="D7" s="4">
        <v>4025246</v>
      </c>
      <c r="E7" s="25"/>
      <c r="H7" s="4">
        <v>642686</v>
      </c>
    </row>
    <row r="8" spans="1:8" ht="18.75" x14ac:dyDescent="0.3">
      <c r="A8" s="5"/>
      <c r="D8" s="4"/>
      <c r="E8" s="25"/>
      <c r="H8" s="4"/>
    </row>
    <row r="9" spans="1:8" ht="18.75" x14ac:dyDescent="0.3">
      <c r="A9" s="5"/>
      <c r="D9" s="4"/>
      <c r="E9" s="25"/>
      <c r="H9" s="4"/>
    </row>
    <row r="10" spans="1:8" ht="18.75" x14ac:dyDescent="0.3">
      <c r="A10" s="5"/>
      <c r="D10" s="4"/>
      <c r="E10" s="25"/>
      <c r="H10" s="4"/>
    </row>
    <row r="11" spans="1:8" ht="18.75" x14ac:dyDescent="0.3">
      <c r="A11" s="5"/>
      <c r="D11" s="4"/>
      <c r="E11" s="25"/>
      <c r="H11" s="4"/>
    </row>
    <row r="12" spans="1:8" ht="18.75" x14ac:dyDescent="0.3">
      <c r="A12" s="5"/>
      <c r="C12" s="3"/>
      <c r="D12" s="27"/>
      <c r="E12" s="25"/>
      <c r="H12" s="27"/>
    </row>
    <row r="13" spans="1:8" ht="18.75" x14ac:dyDescent="0.3">
      <c r="A13" s="5"/>
      <c r="C13" s="3"/>
      <c r="D13" s="28"/>
      <c r="E13" s="25"/>
      <c r="H13" s="28"/>
    </row>
    <row r="14" spans="1:8" ht="19.5" thickBot="1" x14ac:dyDescent="0.35">
      <c r="A14" s="5"/>
      <c r="C14" s="3"/>
      <c r="D14" s="22"/>
      <c r="E14" s="25"/>
      <c r="H14" s="22"/>
    </row>
    <row r="15" spans="1:8" ht="18.75" customHeight="1" x14ac:dyDescent="0.3">
      <c r="D15" s="4">
        <f>SUM(D7:D14)</f>
        <v>4025246</v>
      </c>
      <c r="H15" s="4">
        <f>SUM(H7:H14)</f>
        <v>642686</v>
      </c>
    </row>
    <row r="16" spans="1:8" ht="18.75" x14ac:dyDescent="0.3">
      <c r="A16" s="5"/>
      <c r="C16" s="3"/>
      <c r="D16" s="4"/>
      <c r="H16" s="4"/>
    </row>
    <row r="18" spans="1:8" ht="18.75" x14ac:dyDescent="0.3">
      <c r="A18" s="5"/>
      <c r="C18" s="3"/>
      <c r="D18" s="4"/>
      <c r="H18" s="4"/>
    </row>
    <row r="19" spans="1:8" ht="15.75" thickBot="1" x14ac:dyDescent="0.3">
      <c r="D19" s="7"/>
      <c r="H19" s="7"/>
    </row>
    <row r="21" spans="1:8" ht="18.75" x14ac:dyDescent="0.3">
      <c r="C21" t="s">
        <v>4</v>
      </c>
      <c r="D21" s="4">
        <f>D3-D15</f>
        <v>985745</v>
      </c>
      <c r="G21" t="s">
        <v>5</v>
      </c>
      <c r="H21" s="4">
        <f>H3-H15</f>
        <v>174557</v>
      </c>
    </row>
    <row r="24" spans="1:8" ht="15.75" x14ac:dyDescent="0.25">
      <c r="A24" t="s">
        <v>6</v>
      </c>
      <c r="C24" s="8">
        <f>D21</f>
        <v>985745</v>
      </c>
      <c r="E24" t="s">
        <v>10</v>
      </c>
      <c r="H24" s="6">
        <f>C33</f>
        <v>791144.03599999996</v>
      </c>
    </row>
    <row r="26" spans="1:8" ht="15.75" x14ac:dyDescent="0.25">
      <c r="A26" t="s">
        <v>5</v>
      </c>
      <c r="B26" s="9" t="s">
        <v>7</v>
      </c>
      <c r="C26" s="8">
        <f>H21</f>
        <v>174557</v>
      </c>
      <c r="E26" s="13" t="s">
        <v>11</v>
      </c>
      <c r="F26" s="9" t="s">
        <v>12</v>
      </c>
      <c r="G26" s="15" t="s">
        <v>17</v>
      </c>
      <c r="H26" s="3">
        <f>-(F27*0.007)</f>
        <v>-30108.959999999999</v>
      </c>
    </row>
    <row r="27" spans="1:8" x14ac:dyDescent="0.25">
      <c r="F27" s="21">
        <v>4301280</v>
      </c>
    </row>
    <row r="28" spans="1:8" ht="15.75" x14ac:dyDescent="0.25">
      <c r="A28" t="s">
        <v>8</v>
      </c>
      <c r="B28" s="9" t="s">
        <v>7</v>
      </c>
      <c r="C28" s="8">
        <f>D3*0.004</f>
        <v>20043.964</v>
      </c>
      <c r="F28" s="9" t="s">
        <v>13</v>
      </c>
      <c r="G28" s="16">
        <v>0.35</v>
      </c>
      <c r="H28" s="29">
        <f>-(F29*0.35)</f>
        <v>-276900.41259999998</v>
      </c>
    </row>
    <row r="29" spans="1:8" ht="15.75" thickBot="1" x14ac:dyDescent="0.3">
      <c r="F29" s="21">
        <f>H24</f>
        <v>791144.03599999996</v>
      </c>
      <c r="H29" s="7"/>
    </row>
    <row r="30" spans="1:8" ht="15.75" x14ac:dyDescent="0.25">
      <c r="A30" t="s">
        <v>9</v>
      </c>
      <c r="B30" s="9" t="s">
        <v>7</v>
      </c>
      <c r="C30" s="10"/>
      <c r="G30" s="13" t="s">
        <v>14</v>
      </c>
      <c r="H30" s="6">
        <f>H24+H26+H28</f>
        <v>484134.66340000002</v>
      </c>
    </row>
    <row r="31" spans="1:8" ht="15.75" thickBot="1" x14ac:dyDescent="0.3">
      <c r="A31" s="16"/>
      <c r="B31" s="14"/>
      <c r="C31" s="7"/>
    </row>
    <row r="32" spans="1:8" x14ac:dyDescent="0.25">
      <c r="E32" t="s">
        <v>151</v>
      </c>
      <c r="H32" s="20">
        <f>H30*0.5</f>
        <v>242067.33170000001</v>
      </c>
    </row>
    <row r="33" spans="1:8" ht="15.75" x14ac:dyDescent="0.25">
      <c r="A33" t="s">
        <v>10</v>
      </c>
      <c r="C33" s="10">
        <f>C24-C26-C28-C30</f>
        <v>791144.03599999996</v>
      </c>
      <c r="H33" s="18"/>
    </row>
    <row r="34" spans="1:8" x14ac:dyDescent="0.25">
      <c r="H34" s="3"/>
    </row>
    <row r="35" spans="1:8" x14ac:dyDescent="0.25">
      <c r="H35" s="18"/>
    </row>
  </sheetData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2DF7B-9CA5-462F-BE9F-0C8808497AD6}">
  <dimension ref="A1:H35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448</v>
      </c>
    </row>
    <row r="3" spans="1:8" ht="21" x14ac:dyDescent="0.35">
      <c r="A3" s="2" t="s">
        <v>1</v>
      </c>
      <c r="D3" s="11">
        <v>5355</v>
      </c>
      <c r="F3" s="12" t="s">
        <v>3</v>
      </c>
      <c r="H3" s="11">
        <v>855</v>
      </c>
    </row>
    <row r="4" spans="1:8" x14ac:dyDescent="0.25">
      <c r="A4" s="13" t="s">
        <v>32</v>
      </c>
      <c r="C4" s="26">
        <v>578</v>
      </c>
    </row>
    <row r="5" spans="1:8" ht="21" x14ac:dyDescent="0.35">
      <c r="A5" s="2" t="s">
        <v>2</v>
      </c>
    </row>
    <row r="7" spans="1:8" ht="18.75" x14ac:dyDescent="0.3">
      <c r="A7" s="5" t="s">
        <v>449</v>
      </c>
      <c r="D7" s="4">
        <v>2888</v>
      </c>
      <c r="E7" s="25"/>
      <c r="H7" s="4">
        <v>517</v>
      </c>
    </row>
    <row r="8" spans="1:8" ht="18.75" x14ac:dyDescent="0.3">
      <c r="A8" s="5"/>
      <c r="D8" s="4"/>
      <c r="E8" s="25"/>
      <c r="H8" s="4"/>
    </row>
    <row r="9" spans="1:8" ht="18.75" x14ac:dyDescent="0.3">
      <c r="A9" s="5"/>
      <c r="D9" s="4"/>
      <c r="E9" s="25"/>
      <c r="H9" s="4"/>
    </row>
    <row r="10" spans="1:8" ht="18.75" x14ac:dyDescent="0.3">
      <c r="A10" s="5"/>
      <c r="D10" s="4"/>
      <c r="E10" s="25"/>
      <c r="H10" s="4"/>
    </row>
    <row r="11" spans="1:8" ht="18.75" x14ac:dyDescent="0.3">
      <c r="A11" s="5"/>
      <c r="D11" s="4"/>
      <c r="E11" s="25"/>
      <c r="H11" s="4"/>
    </row>
    <row r="12" spans="1:8" ht="18.75" x14ac:dyDescent="0.3">
      <c r="A12" s="5"/>
      <c r="C12" s="3"/>
      <c r="D12" s="27"/>
      <c r="E12" s="25"/>
      <c r="H12" s="27"/>
    </row>
    <row r="13" spans="1:8" ht="18.75" x14ac:dyDescent="0.3">
      <c r="A13" s="5"/>
      <c r="C13" s="3"/>
      <c r="D13" s="28"/>
      <c r="E13" s="25"/>
      <c r="H13" s="28"/>
    </row>
    <row r="14" spans="1:8" ht="19.5" thickBot="1" x14ac:dyDescent="0.35">
      <c r="A14" s="5"/>
      <c r="C14" s="3"/>
      <c r="D14" s="22"/>
      <c r="E14" s="25"/>
      <c r="H14" s="22"/>
    </row>
    <row r="15" spans="1:8" ht="18.75" customHeight="1" x14ac:dyDescent="0.3">
      <c r="D15" s="4">
        <f>SUM(D7:D14)</f>
        <v>2888</v>
      </c>
      <c r="H15" s="4">
        <f>SUM(H7:H14)</f>
        <v>517</v>
      </c>
    </row>
    <row r="16" spans="1:8" ht="18.75" x14ac:dyDescent="0.3">
      <c r="A16" s="5"/>
      <c r="C16" s="3"/>
      <c r="D16" s="4"/>
      <c r="H16" s="4"/>
    </row>
    <row r="18" spans="1:8" ht="18.75" x14ac:dyDescent="0.3">
      <c r="A18" s="5"/>
      <c r="C18" s="3"/>
      <c r="D18" s="4"/>
      <c r="H18" s="4"/>
    </row>
    <row r="19" spans="1:8" ht="15.75" thickBot="1" x14ac:dyDescent="0.3">
      <c r="D19" s="7"/>
      <c r="H19" s="7"/>
    </row>
    <row r="21" spans="1:8" ht="18.75" x14ac:dyDescent="0.3">
      <c r="C21" t="s">
        <v>4</v>
      </c>
      <c r="D21" s="4">
        <f>D3-D15</f>
        <v>2467</v>
      </c>
      <c r="G21" t="s">
        <v>5</v>
      </c>
      <c r="H21" s="4">
        <f>H3-H15</f>
        <v>338</v>
      </c>
    </row>
    <row r="24" spans="1:8" ht="15.75" x14ac:dyDescent="0.25">
      <c r="A24" t="s">
        <v>6</v>
      </c>
      <c r="C24" s="8">
        <f>D21</f>
        <v>2467</v>
      </c>
      <c r="E24" t="s">
        <v>10</v>
      </c>
      <c r="H24" s="6">
        <f>C33</f>
        <v>2107.58</v>
      </c>
    </row>
    <row r="26" spans="1:8" ht="15.75" x14ac:dyDescent="0.25">
      <c r="A26" t="s">
        <v>5</v>
      </c>
      <c r="B26" s="9" t="s">
        <v>7</v>
      </c>
      <c r="C26" s="8">
        <f>H21</f>
        <v>338</v>
      </c>
      <c r="E26" s="13" t="s">
        <v>11</v>
      </c>
      <c r="F26" s="9" t="s">
        <v>12</v>
      </c>
      <c r="G26" s="15" t="s">
        <v>17</v>
      </c>
      <c r="H26" s="3">
        <f>-(F27*0.007)</f>
        <v>-31.5</v>
      </c>
    </row>
    <row r="27" spans="1:8" x14ac:dyDescent="0.25">
      <c r="F27" s="21">
        <f>D3-H3</f>
        <v>4500</v>
      </c>
    </row>
    <row r="28" spans="1:8" ht="15.75" x14ac:dyDescent="0.25">
      <c r="A28" t="s">
        <v>8</v>
      </c>
      <c r="B28" s="9" t="s">
        <v>7</v>
      </c>
      <c r="C28" s="8">
        <f>D3*0.004</f>
        <v>21.42</v>
      </c>
      <c r="F28" s="9" t="s">
        <v>13</v>
      </c>
      <c r="G28" s="16">
        <v>0.35</v>
      </c>
      <c r="H28" s="29">
        <f>-(F29*0.35)</f>
        <v>-737.65299999999991</v>
      </c>
    </row>
    <row r="29" spans="1:8" ht="15.75" thickBot="1" x14ac:dyDescent="0.3">
      <c r="F29" s="21">
        <f>H24</f>
        <v>2107.58</v>
      </c>
      <c r="H29" s="7"/>
    </row>
    <row r="30" spans="1:8" ht="15.75" x14ac:dyDescent="0.25">
      <c r="A30" t="s">
        <v>9</v>
      </c>
      <c r="B30" s="9" t="s">
        <v>7</v>
      </c>
      <c r="C30" s="10"/>
      <c r="G30" s="13" t="s">
        <v>14</v>
      </c>
      <c r="H30" s="6">
        <f>H24+H26+H28</f>
        <v>1338.4270000000001</v>
      </c>
    </row>
    <row r="31" spans="1:8" ht="15.75" thickBot="1" x14ac:dyDescent="0.3">
      <c r="A31" s="16"/>
      <c r="B31" s="14"/>
      <c r="C31" s="7"/>
    </row>
    <row r="32" spans="1:8" x14ac:dyDescent="0.25">
      <c r="E32" t="s">
        <v>151</v>
      </c>
      <c r="H32" s="20">
        <f>H30*0.5</f>
        <v>669.21350000000007</v>
      </c>
    </row>
    <row r="33" spans="1:8" ht="15.75" x14ac:dyDescent="0.25">
      <c r="A33" t="s">
        <v>10</v>
      </c>
      <c r="C33" s="10">
        <f>C24-C26-C28-C30</f>
        <v>2107.58</v>
      </c>
      <c r="H33" s="18"/>
    </row>
    <row r="34" spans="1:8" x14ac:dyDescent="0.25">
      <c r="H34" s="3"/>
    </row>
    <row r="35" spans="1:8" x14ac:dyDescent="0.25">
      <c r="H35" s="18"/>
    </row>
  </sheetData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A5468-9A3B-4DA7-89B8-4CA4ADE833DB}">
  <dimension ref="A1:H35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250</v>
      </c>
    </row>
    <row r="3" spans="1:8" ht="21" x14ac:dyDescent="0.35">
      <c r="A3" s="2" t="s">
        <v>1</v>
      </c>
      <c r="D3" s="11">
        <v>137445</v>
      </c>
      <c r="F3" s="12" t="s">
        <v>3</v>
      </c>
      <c r="H3" s="11">
        <v>21945</v>
      </c>
    </row>
    <row r="4" spans="1:8" x14ac:dyDescent="0.25">
      <c r="A4" s="13" t="s">
        <v>32</v>
      </c>
      <c r="C4" s="26">
        <v>581</v>
      </c>
    </row>
    <row r="5" spans="1:8" ht="21" x14ac:dyDescent="0.35">
      <c r="A5" s="2" t="s">
        <v>2</v>
      </c>
    </row>
    <row r="7" spans="1:8" ht="18.75" x14ac:dyDescent="0.3">
      <c r="A7" s="5" t="s">
        <v>408</v>
      </c>
      <c r="D7" s="4">
        <v>91868</v>
      </c>
      <c r="E7" s="25"/>
      <c r="H7" s="4">
        <v>14668</v>
      </c>
    </row>
    <row r="8" spans="1:8" ht="18.75" x14ac:dyDescent="0.3">
      <c r="A8" s="5" t="s">
        <v>221</v>
      </c>
      <c r="D8" s="4">
        <v>9187</v>
      </c>
      <c r="E8" s="25"/>
      <c r="H8" s="4">
        <v>1467</v>
      </c>
    </row>
    <row r="9" spans="1:8" ht="18.75" x14ac:dyDescent="0.3">
      <c r="A9" s="5"/>
      <c r="D9" s="4"/>
      <c r="E9" s="25"/>
      <c r="H9" s="4"/>
    </row>
    <row r="10" spans="1:8" ht="18.75" x14ac:dyDescent="0.3">
      <c r="A10" s="5"/>
      <c r="D10" s="4"/>
      <c r="E10" s="25"/>
      <c r="H10" s="4"/>
    </row>
    <row r="11" spans="1:8" ht="18.75" x14ac:dyDescent="0.3">
      <c r="A11" s="5"/>
      <c r="D11" s="4"/>
      <c r="E11" s="25"/>
      <c r="H11" s="4"/>
    </row>
    <row r="12" spans="1:8" ht="18.75" x14ac:dyDescent="0.3">
      <c r="A12" s="5"/>
      <c r="C12" s="3"/>
      <c r="D12" s="27"/>
      <c r="E12" s="25"/>
      <c r="H12" s="27"/>
    </row>
    <row r="13" spans="1:8" ht="18.75" x14ac:dyDescent="0.3">
      <c r="A13" s="5"/>
      <c r="C13" s="3"/>
      <c r="D13" s="28"/>
      <c r="E13" s="25"/>
      <c r="H13" s="28"/>
    </row>
    <row r="14" spans="1:8" ht="19.5" thickBot="1" x14ac:dyDescent="0.35">
      <c r="A14" s="5"/>
      <c r="C14" s="3"/>
      <c r="D14" s="22"/>
      <c r="E14" s="25"/>
      <c r="H14" s="22"/>
    </row>
    <row r="15" spans="1:8" ht="18.75" customHeight="1" x14ac:dyDescent="0.3">
      <c r="D15" s="4">
        <f>SUM(D7:D14)</f>
        <v>101055</v>
      </c>
      <c r="H15" s="4">
        <f>SUM(H7:H14)</f>
        <v>16135</v>
      </c>
    </row>
    <row r="16" spans="1:8" ht="18.75" x14ac:dyDescent="0.3">
      <c r="A16" s="5"/>
      <c r="C16" s="3"/>
      <c r="D16" s="4"/>
      <c r="H16" s="4"/>
    </row>
    <row r="18" spans="1:8" ht="18.75" x14ac:dyDescent="0.3">
      <c r="A18" s="5"/>
      <c r="C18" s="3"/>
      <c r="D18" s="4"/>
      <c r="H18" s="4"/>
    </row>
    <row r="19" spans="1:8" ht="15.75" thickBot="1" x14ac:dyDescent="0.3">
      <c r="D19" s="7"/>
      <c r="H19" s="7"/>
    </row>
    <row r="21" spans="1:8" ht="18.75" x14ac:dyDescent="0.3">
      <c r="C21" t="s">
        <v>4</v>
      </c>
      <c r="D21" s="4">
        <f>D3-D15</f>
        <v>36390</v>
      </c>
      <c r="G21" t="s">
        <v>5</v>
      </c>
      <c r="H21" s="4">
        <f>H3-H15</f>
        <v>5810</v>
      </c>
    </row>
    <row r="24" spans="1:8" ht="15.75" x14ac:dyDescent="0.25">
      <c r="A24" t="s">
        <v>6</v>
      </c>
      <c r="C24" s="8">
        <f>D21</f>
        <v>36390</v>
      </c>
      <c r="E24" t="s">
        <v>10</v>
      </c>
      <c r="H24" s="6">
        <f>C33</f>
        <v>30030.22</v>
      </c>
    </row>
    <row r="26" spans="1:8" ht="15.75" x14ac:dyDescent="0.25">
      <c r="A26" t="s">
        <v>5</v>
      </c>
      <c r="B26" s="9" t="s">
        <v>7</v>
      </c>
      <c r="C26" s="8">
        <f>H21</f>
        <v>5810</v>
      </c>
      <c r="E26" s="13" t="s">
        <v>11</v>
      </c>
      <c r="F26" s="9" t="s">
        <v>12</v>
      </c>
      <c r="G26" s="15" t="s">
        <v>17</v>
      </c>
      <c r="H26" s="3">
        <f>-(F27*0.007)</f>
        <v>-808.5</v>
      </c>
    </row>
    <row r="27" spans="1:8" x14ac:dyDescent="0.25">
      <c r="F27" s="21">
        <f>D3-H3</f>
        <v>115500</v>
      </c>
    </row>
    <row r="28" spans="1:8" ht="15.75" x14ac:dyDescent="0.25">
      <c r="A28" t="s">
        <v>8</v>
      </c>
      <c r="B28" s="9" t="s">
        <v>7</v>
      </c>
      <c r="C28" s="8">
        <f>D3*0.004</f>
        <v>549.78</v>
      </c>
      <c r="F28" s="9" t="s">
        <v>13</v>
      </c>
      <c r="G28" s="16">
        <v>0.35</v>
      </c>
      <c r="H28" s="29">
        <f>-(F29*0.35)</f>
        <v>-10510.576999999999</v>
      </c>
    </row>
    <row r="29" spans="1:8" ht="15.75" thickBot="1" x14ac:dyDescent="0.3">
      <c r="F29" s="21">
        <f>H24</f>
        <v>30030.22</v>
      </c>
      <c r="H29" s="7"/>
    </row>
    <row r="30" spans="1:8" ht="15.75" x14ac:dyDescent="0.25">
      <c r="A30" t="s">
        <v>9</v>
      </c>
      <c r="B30" s="9" t="s">
        <v>7</v>
      </c>
      <c r="C30" s="10"/>
      <c r="G30" s="13" t="s">
        <v>14</v>
      </c>
      <c r="H30" s="6">
        <f>H24+H26+H28</f>
        <v>18711.143000000004</v>
      </c>
    </row>
    <row r="31" spans="1:8" ht="15.75" thickBot="1" x14ac:dyDescent="0.3">
      <c r="A31" s="16"/>
      <c r="B31" s="14"/>
      <c r="C31" s="7"/>
    </row>
    <row r="32" spans="1:8" x14ac:dyDescent="0.25">
      <c r="E32" t="s">
        <v>151</v>
      </c>
      <c r="H32" s="20">
        <f>H30*0.5</f>
        <v>9355.5715000000018</v>
      </c>
    </row>
    <row r="33" spans="1:8" ht="15.75" x14ac:dyDescent="0.25">
      <c r="A33" t="s">
        <v>10</v>
      </c>
      <c r="C33" s="10">
        <f>C24-C26-C28-C30</f>
        <v>30030.22</v>
      </c>
      <c r="H33" s="18"/>
    </row>
    <row r="34" spans="1:8" x14ac:dyDescent="0.25">
      <c r="H34" s="3"/>
    </row>
    <row r="35" spans="1:8" x14ac:dyDescent="0.25">
      <c r="H35" s="18"/>
    </row>
  </sheetData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ABE08-CFB7-4797-8BC3-8427F8AE936C}">
  <dimension ref="A1:H35"/>
  <sheetViews>
    <sheetView workbookViewId="0">
      <selection activeCell="D13" sqref="D13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450</v>
      </c>
    </row>
    <row r="3" spans="1:8" ht="21" x14ac:dyDescent="0.35">
      <c r="A3" s="2" t="s">
        <v>1</v>
      </c>
      <c r="D3" s="11">
        <v>3662061</v>
      </c>
      <c r="F3" s="12" t="s">
        <v>3</v>
      </c>
      <c r="H3" s="11">
        <v>597246</v>
      </c>
    </row>
    <row r="4" spans="1:8" x14ac:dyDescent="0.25">
      <c r="A4" s="13" t="s">
        <v>32</v>
      </c>
      <c r="C4" s="26">
        <v>583</v>
      </c>
    </row>
    <row r="5" spans="1:8" ht="21" x14ac:dyDescent="0.35">
      <c r="A5" s="2" t="s">
        <v>2</v>
      </c>
    </row>
    <row r="7" spans="1:8" ht="18.75" x14ac:dyDescent="0.3">
      <c r="A7" s="5" t="s">
        <v>451</v>
      </c>
      <c r="D7" s="4">
        <v>1835158</v>
      </c>
      <c r="E7" s="25"/>
      <c r="H7" s="4">
        <v>293008</v>
      </c>
    </row>
    <row r="8" spans="1:8" ht="18.75" x14ac:dyDescent="0.3">
      <c r="A8" s="5" t="s">
        <v>452</v>
      </c>
      <c r="D8" s="4">
        <v>1104728</v>
      </c>
      <c r="E8" s="25"/>
      <c r="H8" s="4">
        <v>176385</v>
      </c>
    </row>
    <row r="9" spans="1:8" ht="18.75" x14ac:dyDescent="0.3">
      <c r="A9" s="5" t="s">
        <v>453</v>
      </c>
      <c r="D9" s="4">
        <v>120000</v>
      </c>
      <c r="E9" s="25"/>
      <c r="H9" s="4"/>
    </row>
    <row r="10" spans="1:8" ht="18.75" x14ac:dyDescent="0.3">
      <c r="A10" s="5"/>
      <c r="D10" s="4"/>
      <c r="E10" s="25"/>
      <c r="H10" s="4"/>
    </row>
    <row r="11" spans="1:8" ht="18.75" x14ac:dyDescent="0.3">
      <c r="A11" s="5"/>
      <c r="D11" s="4"/>
      <c r="E11" s="25"/>
      <c r="H11" s="4"/>
    </row>
    <row r="12" spans="1:8" ht="18.75" x14ac:dyDescent="0.3">
      <c r="A12" s="5"/>
      <c r="C12" s="3"/>
      <c r="D12" s="27"/>
      <c r="E12" s="25"/>
      <c r="H12" s="27"/>
    </row>
    <row r="13" spans="1:8" ht="18.75" x14ac:dyDescent="0.3">
      <c r="A13" s="5"/>
      <c r="C13" s="3"/>
      <c r="D13" s="28"/>
      <c r="E13" s="25"/>
      <c r="H13" s="28"/>
    </row>
    <row r="14" spans="1:8" ht="19.5" thickBot="1" x14ac:dyDescent="0.35">
      <c r="A14" s="5"/>
      <c r="C14" s="3"/>
      <c r="D14" s="22"/>
      <c r="E14" s="25"/>
      <c r="H14" s="22"/>
    </row>
    <row r="15" spans="1:8" ht="18.75" customHeight="1" x14ac:dyDescent="0.3">
      <c r="D15" s="4">
        <f>SUM(D7:D14)</f>
        <v>3059886</v>
      </c>
      <c r="H15" s="4">
        <f>SUM(H7:H14)</f>
        <v>469393</v>
      </c>
    </row>
    <row r="16" spans="1:8" ht="18.75" x14ac:dyDescent="0.3">
      <c r="A16" s="5"/>
      <c r="C16" s="3"/>
      <c r="D16" s="4"/>
      <c r="H16" s="4"/>
    </row>
    <row r="18" spans="1:8" ht="18.75" x14ac:dyDescent="0.3">
      <c r="A18" s="5"/>
      <c r="C18" s="3"/>
      <c r="D18" s="4"/>
      <c r="H18" s="4"/>
    </row>
    <row r="19" spans="1:8" ht="15.75" thickBot="1" x14ac:dyDescent="0.3">
      <c r="D19" s="7"/>
      <c r="H19" s="7"/>
    </row>
    <row r="21" spans="1:8" ht="18.75" x14ac:dyDescent="0.3">
      <c r="C21" t="s">
        <v>4</v>
      </c>
      <c r="D21" s="4">
        <f>D3-D15</f>
        <v>602175</v>
      </c>
      <c r="G21" t="s">
        <v>5</v>
      </c>
      <c r="H21" s="4">
        <f>H3-H15</f>
        <v>127853</v>
      </c>
    </row>
    <row r="24" spans="1:8" ht="15.75" x14ac:dyDescent="0.25">
      <c r="A24" t="s">
        <v>6</v>
      </c>
      <c r="C24" s="8">
        <f>D21</f>
        <v>602175</v>
      </c>
      <c r="E24" t="s">
        <v>10</v>
      </c>
      <c r="H24" s="6">
        <f>C33</f>
        <v>459673.75599999999</v>
      </c>
    </row>
    <row r="26" spans="1:8" ht="15.75" x14ac:dyDescent="0.25">
      <c r="A26" t="s">
        <v>5</v>
      </c>
      <c r="B26" s="9" t="s">
        <v>7</v>
      </c>
      <c r="C26" s="8">
        <f>H21</f>
        <v>127853</v>
      </c>
      <c r="E26" s="13" t="s">
        <v>11</v>
      </c>
      <c r="F26" s="9" t="s">
        <v>12</v>
      </c>
      <c r="G26" s="15" t="s">
        <v>17</v>
      </c>
      <c r="H26" s="3">
        <f>-(F27*0.007)</f>
        <v>-22003.8</v>
      </c>
    </row>
    <row r="27" spans="1:8" x14ac:dyDescent="0.25">
      <c r="F27" s="21">
        <v>3143400</v>
      </c>
    </row>
    <row r="28" spans="1:8" ht="15.75" x14ac:dyDescent="0.25">
      <c r="A28" t="s">
        <v>8</v>
      </c>
      <c r="B28" s="9" t="s">
        <v>7</v>
      </c>
      <c r="C28" s="8">
        <f>D3*0.004</f>
        <v>14648.244000000001</v>
      </c>
      <c r="F28" s="9" t="s">
        <v>13</v>
      </c>
      <c r="G28" s="16">
        <v>0.35</v>
      </c>
      <c r="H28" s="29">
        <f>-(F29*0.35)</f>
        <v>-160885.81459999998</v>
      </c>
    </row>
    <row r="29" spans="1:8" ht="15.75" thickBot="1" x14ac:dyDescent="0.3">
      <c r="F29" s="21">
        <f>H24</f>
        <v>459673.75599999999</v>
      </c>
      <c r="H29" s="7"/>
    </row>
    <row r="30" spans="1:8" ht="15.75" x14ac:dyDescent="0.25">
      <c r="A30" t="s">
        <v>9</v>
      </c>
      <c r="B30" s="9" t="s">
        <v>7</v>
      </c>
      <c r="C30" s="10"/>
      <c r="G30" s="13" t="s">
        <v>14</v>
      </c>
      <c r="H30" s="6">
        <f>H24+H26+H28</f>
        <v>276784.14140000002</v>
      </c>
    </row>
    <row r="31" spans="1:8" ht="15.75" thickBot="1" x14ac:dyDescent="0.3">
      <c r="A31" s="16"/>
      <c r="B31" s="14"/>
      <c r="C31" s="7"/>
    </row>
    <row r="32" spans="1:8" x14ac:dyDescent="0.25">
      <c r="E32" t="s">
        <v>151</v>
      </c>
      <c r="H32" s="20">
        <f>H30*0.5</f>
        <v>138392.07070000001</v>
      </c>
    </row>
    <row r="33" spans="1:8" ht="15.75" x14ac:dyDescent="0.25">
      <c r="A33" t="s">
        <v>10</v>
      </c>
      <c r="C33" s="10">
        <f>C24-C26-C28-C30</f>
        <v>459673.75599999999</v>
      </c>
      <c r="H33" s="18"/>
    </row>
    <row r="34" spans="1:8" x14ac:dyDescent="0.25">
      <c r="H34" s="3"/>
    </row>
    <row r="35" spans="1:8" x14ac:dyDescent="0.25">
      <c r="H35" s="18"/>
    </row>
  </sheetData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83EC7-3920-44F6-B3F3-A02E1F031153}">
  <dimension ref="A1:H33"/>
  <sheetViews>
    <sheetView workbookViewId="0">
      <selection activeCell="C5" sqref="C5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261</v>
      </c>
    </row>
    <row r="3" spans="1:8" ht="21" x14ac:dyDescent="0.35">
      <c r="A3" s="2" t="s">
        <v>1</v>
      </c>
      <c r="D3" s="11">
        <v>285600</v>
      </c>
      <c r="F3" s="12" t="s">
        <v>3</v>
      </c>
      <c r="H3" s="11">
        <v>45600</v>
      </c>
    </row>
    <row r="4" spans="1:8" x14ac:dyDescent="0.25">
      <c r="A4" s="13" t="s">
        <v>32</v>
      </c>
      <c r="C4" s="26">
        <v>584</v>
      </c>
    </row>
    <row r="5" spans="1:8" ht="21" x14ac:dyDescent="0.35">
      <c r="A5" s="2" t="s">
        <v>2</v>
      </c>
    </row>
    <row r="7" spans="1:8" ht="18.75" x14ac:dyDescent="0.3">
      <c r="A7" s="5" t="s">
        <v>454</v>
      </c>
      <c r="D7" s="4">
        <v>142871</v>
      </c>
      <c r="E7" s="25"/>
      <c r="H7" s="4">
        <v>22811</v>
      </c>
    </row>
    <row r="8" spans="1:8" ht="18.75" x14ac:dyDescent="0.3">
      <c r="A8" s="5"/>
      <c r="D8" s="4"/>
      <c r="E8" s="25"/>
      <c r="H8" s="4"/>
    </row>
    <row r="9" spans="1:8" ht="18.75" x14ac:dyDescent="0.3">
      <c r="A9" s="5"/>
      <c r="D9" s="4"/>
      <c r="E9" s="25"/>
      <c r="H9" s="4"/>
    </row>
    <row r="10" spans="1:8" ht="18.75" x14ac:dyDescent="0.3">
      <c r="A10" s="5"/>
      <c r="C10" s="3"/>
      <c r="D10" s="27"/>
      <c r="E10" s="25"/>
      <c r="H10" s="27"/>
    </row>
    <row r="11" spans="1:8" ht="18.75" x14ac:dyDescent="0.3">
      <c r="A11" s="5"/>
      <c r="C11" s="3"/>
      <c r="D11" s="28"/>
      <c r="E11" s="25"/>
      <c r="H11" s="28"/>
    </row>
    <row r="12" spans="1:8" ht="19.5" thickBot="1" x14ac:dyDescent="0.35">
      <c r="A12" s="5"/>
      <c r="C12" s="3"/>
      <c r="D12" s="22"/>
      <c r="E12" s="25"/>
      <c r="H12" s="22"/>
    </row>
    <row r="13" spans="1:8" ht="18.75" customHeight="1" x14ac:dyDescent="0.3">
      <c r="D13" s="4">
        <f>SUM(D7:D12)</f>
        <v>142871</v>
      </c>
      <c r="H13" s="4">
        <f>SUM(H7:H12)</f>
        <v>22811</v>
      </c>
    </row>
    <row r="14" spans="1:8" ht="18.75" x14ac:dyDescent="0.3">
      <c r="A14" s="5"/>
      <c r="C14" s="3"/>
      <c r="D14" s="4"/>
      <c r="H14" s="4"/>
    </row>
    <row r="16" spans="1:8" ht="18.75" x14ac:dyDescent="0.3">
      <c r="A16" s="5"/>
      <c r="C16" s="3"/>
      <c r="D16" s="4"/>
      <c r="H16" s="4"/>
    </row>
    <row r="17" spans="1:8" ht="15.75" thickBot="1" x14ac:dyDescent="0.3">
      <c r="D17" s="7"/>
      <c r="H17" s="7"/>
    </row>
    <row r="19" spans="1:8" ht="18.75" x14ac:dyDescent="0.3">
      <c r="C19" t="s">
        <v>4</v>
      </c>
      <c r="D19" s="4">
        <f>D3-D13</f>
        <v>142729</v>
      </c>
      <c r="G19" t="s">
        <v>5</v>
      </c>
      <c r="H19" s="4">
        <f>H3-H13</f>
        <v>22789</v>
      </c>
    </row>
    <row r="22" spans="1:8" ht="15.75" x14ac:dyDescent="0.25">
      <c r="A22" t="s">
        <v>6</v>
      </c>
      <c r="C22" s="8">
        <f>D19</f>
        <v>142729</v>
      </c>
      <c r="E22" t="s">
        <v>10</v>
      </c>
      <c r="H22" s="6">
        <f>C31</f>
        <v>118797.6</v>
      </c>
    </row>
    <row r="24" spans="1:8" ht="15.75" x14ac:dyDescent="0.25">
      <c r="A24" t="s">
        <v>5</v>
      </c>
      <c r="B24" s="9" t="s">
        <v>7</v>
      </c>
      <c r="C24" s="8">
        <f>H19</f>
        <v>22789</v>
      </c>
      <c r="E24" s="13" t="s">
        <v>11</v>
      </c>
      <c r="F24" s="9" t="s">
        <v>12</v>
      </c>
      <c r="G24" s="15" t="s">
        <v>17</v>
      </c>
      <c r="H24" s="3">
        <f>-(F25*0.007)</f>
        <v>-1680</v>
      </c>
    </row>
    <row r="25" spans="1:8" x14ac:dyDescent="0.25">
      <c r="F25" s="21">
        <f>D3-H3</f>
        <v>240000</v>
      </c>
    </row>
    <row r="26" spans="1:8" ht="15.75" x14ac:dyDescent="0.25">
      <c r="A26" t="s">
        <v>8</v>
      </c>
      <c r="B26" s="9" t="s">
        <v>7</v>
      </c>
      <c r="C26" s="8">
        <f>D3*0.004</f>
        <v>1142.4000000000001</v>
      </c>
      <c r="F26" s="9" t="s">
        <v>13</v>
      </c>
      <c r="G26" s="16">
        <v>0.35</v>
      </c>
      <c r="H26" s="29">
        <f>-(F27*0.35)</f>
        <v>-41579.159999999996</v>
      </c>
    </row>
    <row r="27" spans="1:8" ht="15.75" thickBot="1" x14ac:dyDescent="0.3">
      <c r="F27" s="21">
        <f>H22</f>
        <v>118797.6</v>
      </c>
      <c r="H27" s="7"/>
    </row>
    <row r="28" spans="1:8" ht="15.75" x14ac:dyDescent="0.25">
      <c r="A28" t="s">
        <v>9</v>
      </c>
      <c r="B28" s="9" t="s">
        <v>7</v>
      </c>
      <c r="C28" s="10"/>
      <c r="G28" s="13" t="s">
        <v>14</v>
      </c>
      <c r="H28" s="6">
        <f>H22+H24+H26</f>
        <v>75538.44</v>
      </c>
    </row>
    <row r="29" spans="1:8" ht="15.75" thickBot="1" x14ac:dyDescent="0.3">
      <c r="A29" s="16"/>
      <c r="B29" s="14"/>
      <c r="C29" s="7"/>
    </row>
    <row r="30" spans="1:8" x14ac:dyDescent="0.25">
      <c r="E30" t="s">
        <v>151</v>
      </c>
      <c r="H30" s="20">
        <f>H28*0.5</f>
        <v>37769.22</v>
      </c>
    </row>
    <row r="31" spans="1:8" ht="15.75" x14ac:dyDescent="0.25">
      <c r="A31" t="s">
        <v>10</v>
      </c>
      <c r="C31" s="10">
        <f>C22-C24-C26-C28</f>
        <v>118797.6</v>
      </c>
      <c r="H31" s="18"/>
    </row>
    <row r="32" spans="1:8" x14ac:dyDescent="0.25">
      <c r="H32" s="3"/>
    </row>
    <row r="33" spans="8:8" x14ac:dyDescent="0.25">
      <c r="H33" s="18"/>
    </row>
  </sheetData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330F5-F72D-4EEF-A34B-05EFE6FA7D42}">
  <dimension ref="A1:H35"/>
  <sheetViews>
    <sheetView workbookViewId="0">
      <selection activeCell="C5" sqref="C5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455</v>
      </c>
    </row>
    <row r="3" spans="1:8" ht="21" x14ac:dyDescent="0.35">
      <c r="A3" s="2" t="s">
        <v>1</v>
      </c>
      <c r="D3" s="11">
        <v>14875</v>
      </c>
      <c r="F3" s="12" t="s">
        <v>3</v>
      </c>
      <c r="H3" s="11">
        <v>2375</v>
      </c>
    </row>
    <row r="4" spans="1:8" x14ac:dyDescent="0.25">
      <c r="A4" s="13" t="s">
        <v>32</v>
      </c>
      <c r="C4" s="26">
        <v>587</v>
      </c>
    </row>
    <row r="5" spans="1:8" ht="21" x14ac:dyDescent="0.35">
      <c r="A5" s="2" t="s">
        <v>2</v>
      </c>
    </row>
    <row r="7" spans="1:8" ht="18.75" x14ac:dyDescent="0.3">
      <c r="A7" s="5" t="s">
        <v>221</v>
      </c>
      <c r="D7" s="4">
        <v>7318</v>
      </c>
      <c r="E7" s="25"/>
      <c r="H7" s="4">
        <v>1049</v>
      </c>
    </row>
    <row r="8" spans="1:8" ht="18.75" x14ac:dyDescent="0.3">
      <c r="D8" s="4"/>
      <c r="E8" s="25"/>
      <c r="H8" s="4"/>
    </row>
    <row r="9" spans="1:8" ht="18.75" x14ac:dyDescent="0.3">
      <c r="A9" s="5"/>
      <c r="D9" s="4"/>
      <c r="E9" s="25"/>
      <c r="H9" s="4"/>
    </row>
    <row r="10" spans="1:8" ht="18.75" x14ac:dyDescent="0.3">
      <c r="A10" s="5"/>
      <c r="D10" s="4"/>
      <c r="E10" s="25"/>
      <c r="H10" s="4"/>
    </row>
    <row r="11" spans="1:8" ht="18.75" x14ac:dyDescent="0.3">
      <c r="A11" s="5"/>
      <c r="D11" s="4"/>
      <c r="E11" s="25"/>
      <c r="H11" s="4"/>
    </row>
    <row r="12" spans="1:8" ht="18.75" x14ac:dyDescent="0.3">
      <c r="A12" s="5"/>
      <c r="C12" s="3"/>
      <c r="D12" s="27"/>
      <c r="E12" s="25"/>
      <c r="H12" s="27"/>
    </row>
    <row r="13" spans="1:8" ht="18.75" x14ac:dyDescent="0.3">
      <c r="A13" s="5"/>
      <c r="C13" s="3"/>
      <c r="D13" s="28"/>
      <c r="E13" s="25"/>
      <c r="H13" s="28"/>
    </row>
    <row r="14" spans="1:8" ht="19.5" thickBot="1" x14ac:dyDescent="0.35">
      <c r="A14" s="5"/>
      <c r="C14" s="3"/>
      <c r="D14" s="22"/>
      <c r="E14" s="25"/>
      <c r="H14" s="22"/>
    </row>
    <row r="15" spans="1:8" ht="18.75" customHeight="1" x14ac:dyDescent="0.3">
      <c r="D15" s="4">
        <f>SUM(D7:D14)</f>
        <v>7318</v>
      </c>
      <c r="H15" s="4">
        <f>SUM(H7:H14)</f>
        <v>1049</v>
      </c>
    </row>
    <row r="16" spans="1:8" ht="18.75" x14ac:dyDescent="0.3">
      <c r="A16" s="5"/>
      <c r="C16" s="3"/>
      <c r="D16" s="4"/>
      <c r="H16" s="4"/>
    </row>
    <row r="18" spans="1:8" ht="18.75" x14ac:dyDescent="0.3">
      <c r="A18" s="5"/>
      <c r="C18" s="3"/>
      <c r="D18" s="4"/>
      <c r="H18" s="4"/>
    </row>
    <row r="19" spans="1:8" ht="15.75" thickBot="1" x14ac:dyDescent="0.3">
      <c r="D19" s="7"/>
      <c r="H19" s="7"/>
    </row>
    <row r="21" spans="1:8" ht="18.75" x14ac:dyDescent="0.3">
      <c r="C21" t="s">
        <v>4</v>
      </c>
      <c r="D21" s="4">
        <f>D3-D15</f>
        <v>7557</v>
      </c>
      <c r="G21" t="s">
        <v>5</v>
      </c>
      <c r="H21" s="4">
        <f>H3-H15</f>
        <v>1326</v>
      </c>
    </row>
    <row r="24" spans="1:8" ht="15.75" x14ac:dyDescent="0.25">
      <c r="A24" t="s">
        <v>6</v>
      </c>
      <c r="C24" s="8">
        <f>D21</f>
        <v>7557</v>
      </c>
      <c r="E24" t="s">
        <v>10</v>
      </c>
      <c r="H24" s="6">
        <f>C33</f>
        <v>6171.5</v>
      </c>
    </row>
    <row r="26" spans="1:8" ht="15.75" x14ac:dyDescent="0.25">
      <c r="A26" t="s">
        <v>5</v>
      </c>
      <c r="B26" s="9" t="s">
        <v>7</v>
      </c>
      <c r="C26" s="8">
        <f>H21</f>
        <v>1326</v>
      </c>
      <c r="E26" s="13" t="s">
        <v>11</v>
      </c>
      <c r="F26" s="9" t="s">
        <v>12</v>
      </c>
      <c r="G26" s="15" t="s">
        <v>17</v>
      </c>
      <c r="H26" s="3">
        <f>-(F27*0.007)</f>
        <v>-87.5</v>
      </c>
    </row>
    <row r="27" spans="1:8" x14ac:dyDescent="0.25">
      <c r="F27" s="21">
        <f>D3-H3</f>
        <v>12500</v>
      </c>
    </row>
    <row r="28" spans="1:8" ht="15.75" x14ac:dyDescent="0.25">
      <c r="A28" t="s">
        <v>8</v>
      </c>
      <c r="B28" s="9" t="s">
        <v>7</v>
      </c>
      <c r="C28" s="8">
        <f>D3*0.004</f>
        <v>59.5</v>
      </c>
      <c r="F28" s="9" t="s">
        <v>13</v>
      </c>
      <c r="G28" s="16">
        <v>0.35</v>
      </c>
      <c r="H28" s="29">
        <f>-(F29*0.35)</f>
        <v>-2160.0249999999996</v>
      </c>
    </row>
    <row r="29" spans="1:8" ht="15.75" thickBot="1" x14ac:dyDescent="0.3">
      <c r="F29" s="21">
        <f>H24</f>
        <v>6171.5</v>
      </c>
      <c r="H29" s="7"/>
    </row>
    <row r="30" spans="1:8" ht="15.75" x14ac:dyDescent="0.25">
      <c r="A30" t="s">
        <v>9</v>
      </c>
      <c r="B30" s="9" t="s">
        <v>7</v>
      </c>
      <c r="C30" s="10"/>
      <c r="G30" s="13" t="s">
        <v>14</v>
      </c>
      <c r="H30" s="6">
        <f>H24+H26+H28</f>
        <v>3923.9750000000004</v>
      </c>
    </row>
    <row r="31" spans="1:8" ht="15.75" thickBot="1" x14ac:dyDescent="0.3">
      <c r="A31" s="16"/>
      <c r="B31" s="14"/>
      <c r="C31" s="7"/>
    </row>
    <row r="32" spans="1:8" x14ac:dyDescent="0.25">
      <c r="E32" t="s">
        <v>151</v>
      </c>
      <c r="H32" s="20">
        <f>H30*0.5</f>
        <v>1961.9875000000002</v>
      </c>
    </row>
    <row r="33" spans="1:8" ht="15.75" x14ac:dyDescent="0.25">
      <c r="A33" t="s">
        <v>10</v>
      </c>
      <c r="C33" s="10">
        <f>C24-C26-C28-C30</f>
        <v>6171.5</v>
      </c>
      <c r="H33" s="18"/>
    </row>
    <row r="34" spans="1:8" x14ac:dyDescent="0.25">
      <c r="H34" s="3"/>
    </row>
    <row r="35" spans="1:8" x14ac:dyDescent="0.25">
      <c r="H35" s="18"/>
    </row>
  </sheetData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ED98A-C36C-4DF8-B2D1-0D0DB2198710}">
  <dimension ref="A1:H35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456</v>
      </c>
    </row>
    <row r="3" spans="1:8" ht="21" x14ac:dyDescent="0.35">
      <c r="A3" s="2" t="s">
        <v>1</v>
      </c>
      <c r="D3" s="11">
        <v>35700</v>
      </c>
      <c r="F3" s="12" t="s">
        <v>3</v>
      </c>
      <c r="H3" s="11">
        <v>5700</v>
      </c>
    </row>
    <row r="4" spans="1:8" x14ac:dyDescent="0.25">
      <c r="A4" s="13" t="s">
        <v>32</v>
      </c>
      <c r="C4" s="26">
        <v>591</v>
      </c>
    </row>
    <row r="5" spans="1:8" ht="21" x14ac:dyDescent="0.35">
      <c r="A5" s="2" t="s">
        <v>2</v>
      </c>
    </row>
    <row r="7" spans="1:8" ht="18.75" x14ac:dyDescent="0.3">
      <c r="A7" s="5" t="s">
        <v>457</v>
      </c>
      <c r="D7" s="4">
        <v>23248</v>
      </c>
      <c r="E7" s="25"/>
      <c r="H7" s="4">
        <v>19536</v>
      </c>
    </row>
    <row r="8" spans="1:8" ht="18.75" x14ac:dyDescent="0.3">
      <c r="D8" s="4"/>
      <c r="E8" s="25"/>
      <c r="H8" s="4"/>
    </row>
    <row r="9" spans="1:8" ht="18.75" x14ac:dyDescent="0.3">
      <c r="A9" s="5"/>
      <c r="D9" s="4"/>
      <c r="E9" s="25"/>
      <c r="H9" s="4"/>
    </row>
    <row r="10" spans="1:8" ht="18.75" x14ac:dyDescent="0.3">
      <c r="A10" s="5"/>
      <c r="D10" s="4"/>
      <c r="E10" s="25"/>
      <c r="H10" s="4"/>
    </row>
    <row r="11" spans="1:8" ht="18.75" x14ac:dyDescent="0.3">
      <c r="A11" s="5"/>
      <c r="D11" s="4"/>
      <c r="E11" s="25"/>
      <c r="H11" s="4"/>
    </row>
    <row r="12" spans="1:8" ht="18.75" x14ac:dyDescent="0.3">
      <c r="A12" s="5"/>
      <c r="C12" s="3"/>
      <c r="D12" s="27"/>
      <c r="E12" s="25"/>
      <c r="H12" s="27"/>
    </row>
    <row r="13" spans="1:8" ht="18.75" x14ac:dyDescent="0.3">
      <c r="A13" s="5"/>
      <c r="C13" s="3"/>
      <c r="D13" s="28"/>
      <c r="E13" s="25"/>
      <c r="H13" s="28"/>
    </row>
    <row r="14" spans="1:8" ht="19.5" thickBot="1" x14ac:dyDescent="0.35">
      <c r="A14" s="5"/>
      <c r="C14" s="3"/>
      <c r="D14" s="22"/>
      <c r="E14" s="25"/>
      <c r="H14" s="22"/>
    </row>
    <row r="15" spans="1:8" ht="18.75" customHeight="1" x14ac:dyDescent="0.3">
      <c r="D15" s="4">
        <f>SUM(D7:D14)</f>
        <v>23248</v>
      </c>
      <c r="H15" s="4">
        <f>SUM(H7:H14)</f>
        <v>19536</v>
      </c>
    </row>
    <row r="16" spans="1:8" ht="18.75" x14ac:dyDescent="0.3">
      <c r="A16" s="5"/>
      <c r="C16" s="3"/>
      <c r="D16" s="4"/>
      <c r="H16" s="4"/>
    </row>
    <row r="18" spans="1:8" ht="18.75" x14ac:dyDescent="0.3">
      <c r="A18" s="5"/>
      <c r="C18" s="3"/>
      <c r="D18" s="4"/>
      <c r="H18" s="4"/>
    </row>
    <row r="19" spans="1:8" ht="15.75" thickBot="1" x14ac:dyDescent="0.3">
      <c r="D19" s="7"/>
      <c r="H19" s="7"/>
    </row>
    <row r="21" spans="1:8" ht="18.75" x14ac:dyDescent="0.3">
      <c r="C21" t="s">
        <v>4</v>
      </c>
      <c r="D21" s="4">
        <f>D3-D15</f>
        <v>12452</v>
      </c>
      <c r="G21" t="s">
        <v>5</v>
      </c>
      <c r="H21" s="4">
        <f>H3-H15</f>
        <v>-13836</v>
      </c>
    </row>
    <row r="24" spans="1:8" ht="15.75" x14ac:dyDescent="0.25">
      <c r="A24" t="s">
        <v>6</v>
      </c>
      <c r="C24" s="8">
        <f>D21</f>
        <v>12452</v>
      </c>
      <c r="E24" t="s">
        <v>10</v>
      </c>
      <c r="H24" s="6">
        <f>C33</f>
        <v>26145.200000000001</v>
      </c>
    </row>
    <row r="26" spans="1:8" ht="15.75" x14ac:dyDescent="0.25">
      <c r="A26" t="s">
        <v>5</v>
      </c>
      <c r="B26" s="9" t="s">
        <v>7</v>
      </c>
      <c r="C26" s="8">
        <f>H21</f>
        <v>-13836</v>
      </c>
      <c r="E26" s="13" t="s">
        <v>11</v>
      </c>
      <c r="F26" s="9" t="s">
        <v>12</v>
      </c>
      <c r="G26" s="15" t="s">
        <v>17</v>
      </c>
      <c r="H26" s="3">
        <f>-(F27*0.007)</f>
        <v>-210</v>
      </c>
    </row>
    <row r="27" spans="1:8" x14ac:dyDescent="0.25">
      <c r="F27" s="21">
        <f>D3-H3</f>
        <v>30000</v>
      </c>
    </row>
    <row r="28" spans="1:8" ht="15.75" x14ac:dyDescent="0.25">
      <c r="A28" t="s">
        <v>8</v>
      </c>
      <c r="B28" s="9" t="s">
        <v>7</v>
      </c>
      <c r="C28" s="8">
        <f>D3*0.004</f>
        <v>142.80000000000001</v>
      </c>
      <c r="F28" s="9" t="s">
        <v>13</v>
      </c>
      <c r="G28" s="16">
        <v>0.35</v>
      </c>
      <c r="H28" s="29">
        <f>-(F29*0.35)</f>
        <v>-9150.82</v>
      </c>
    </row>
    <row r="29" spans="1:8" ht="15.75" thickBot="1" x14ac:dyDescent="0.3">
      <c r="F29" s="21">
        <f>H24</f>
        <v>26145.200000000001</v>
      </c>
      <c r="H29" s="7"/>
    </row>
    <row r="30" spans="1:8" ht="15.75" x14ac:dyDescent="0.25">
      <c r="A30" t="s">
        <v>9</v>
      </c>
      <c r="B30" s="9" t="s">
        <v>7</v>
      </c>
      <c r="C30" s="10"/>
      <c r="G30" s="13" t="s">
        <v>14</v>
      </c>
      <c r="H30" s="6">
        <f>H24+H26+H28</f>
        <v>16784.38</v>
      </c>
    </row>
    <row r="31" spans="1:8" ht="15.75" thickBot="1" x14ac:dyDescent="0.3">
      <c r="A31" s="16"/>
      <c r="B31" s="14"/>
      <c r="C31" s="7"/>
    </row>
    <row r="32" spans="1:8" x14ac:dyDescent="0.25">
      <c r="E32" t="s">
        <v>151</v>
      </c>
      <c r="H32" s="20">
        <f>H30*0.5</f>
        <v>8392.19</v>
      </c>
    </row>
    <row r="33" spans="1:8" ht="15.75" x14ac:dyDescent="0.25">
      <c r="A33" t="s">
        <v>10</v>
      </c>
      <c r="C33" s="10">
        <f>C24-C26-C28-C30</f>
        <v>26145.200000000001</v>
      </c>
      <c r="H33" s="18"/>
    </row>
    <row r="34" spans="1:8" x14ac:dyDescent="0.25">
      <c r="H34" s="3"/>
    </row>
    <row r="35" spans="1:8" x14ac:dyDescent="0.25">
      <c r="H35" s="18"/>
    </row>
  </sheetData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D7493-B52A-4A48-8323-442E119D4250}">
  <dimension ref="A1:H35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458</v>
      </c>
    </row>
    <row r="3" spans="1:8" ht="21" x14ac:dyDescent="0.35">
      <c r="A3" s="2" t="s">
        <v>1</v>
      </c>
      <c r="D3" s="11">
        <v>365330</v>
      </c>
      <c r="F3" s="12" t="s">
        <v>3</v>
      </c>
      <c r="H3" s="11">
        <v>58330</v>
      </c>
    </row>
    <row r="4" spans="1:8" x14ac:dyDescent="0.25">
      <c r="A4" s="13" t="s">
        <v>32</v>
      </c>
      <c r="C4" s="26">
        <v>592</v>
      </c>
    </row>
    <row r="5" spans="1:8" ht="21" x14ac:dyDescent="0.35">
      <c r="A5" s="2" t="s">
        <v>2</v>
      </c>
    </row>
    <row r="7" spans="1:8" ht="18.75" x14ac:dyDescent="0.3">
      <c r="A7" s="5" t="s">
        <v>408</v>
      </c>
      <c r="D7" s="4">
        <v>35160</v>
      </c>
      <c r="E7" s="25"/>
      <c r="H7" s="4">
        <v>5614</v>
      </c>
    </row>
    <row r="8" spans="1:8" ht="18.75" x14ac:dyDescent="0.3">
      <c r="A8" s="5" t="s">
        <v>459</v>
      </c>
      <c r="D8" s="4">
        <v>110000</v>
      </c>
      <c r="E8" s="25"/>
      <c r="H8" s="4"/>
    </row>
    <row r="9" spans="1:8" ht="18.75" x14ac:dyDescent="0.3">
      <c r="A9" s="5"/>
      <c r="D9" s="4"/>
      <c r="E9" s="25"/>
      <c r="H9" s="4"/>
    </row>
    <row r="10" spans="1:8" ht="18.75" x14ac:dyDescent="0.3">
      <c r="A10" s="5"/>
      <c r="D10" s="4"/>
      <c r="E10" s="25"/>
      <c r="H10" s="4"/>
    </row>
    <row r="11" spans="1:8" ht="18.75" x14ac:dyDescent="0.3">
      <c r="A11" s="5"/>
      <c r="D11" s="4"/>
      <c r="E11" s="25"/>
      <c r="H11" s="4"/>
    </row>
    <row r="12" spans="1:8" ht="18.75" x14ac:dyDescent="0.3">
      <c r="A12" s="5"/>
      <c r="C12" s="3"/>
      <c r="D12" s="27"/>
      <c r="E12" s="25"/>
      <c r="H12" s="27"/>
    </row>
    <row r="13" spans="1:8" ht="18.75" x14ac:dyDescent="0.3">
      <c r="A13" s="5"/>
      <c r="C13" s="3"/>
      <c r="D13" s="28"/>
      <c r="E13" s="25"/>
      <c r="H13" s="28"/>
    </row>
    <row r="14" spans="1:8" ht="19.5" thickBot="1" x14ac:dyDescent="0.35">
      <c r="A14" s="5"/>
      <c r="C14" s="3"/>
      <c r="D14" s="22"/>
      <c r="E14" s="25"/>
      <c r="H14" s="22"/>
    </row>
    <row r="15" spans="1:8" ht="18.75" customHeight="1" x14ac:dyDescent="0.3">
      <c r="D15" s="4">
        <f>SUM(D7:D14)</f>
        <v>145160</v>
      </c>
      <c r="H15" s="4">
        <f>SUM(H7:H14)</f>
        <v>5614</v>
      </c>
    </row>
    <row r="16" spans="1:8" ht="18.75" x14ac:dyDescent="0.3">
      <c r="A16" s="5"/>
      <c r="C16" s="3"/>
      <c r="D16" s="4"/>
      <c r="H16" s="4"/>
    </row>
    <row r="18" spans="1:8" ht="18.75" x14ac:dyDescent="0.3">
      <c r="A18" s="5"/>
      <c r="C18" s="3"/>
      <c r="D18" s="4"/>
      <c r="H18" s="4"/>
    </row>
    <row r="19" spans="1:8" ht="15.75" thickBot="1" x14ac:dyDescent="0.3">
      <c r="D19" s="7"/>
      <c r="H19" s="7"/>
    </row>
    <row r="21" spans="1:8" ht="18.75" x14ac:dyDescent="0.3">
      <c r="C21" t="s">
        <v>4</v>
      </c>
      <c r="D21" s="4">
        <f>D3-D15</f>
        <v>220170</v>
      </c>
      <c r="G21" t="s">
        <v>5</v>
      </c>
      <c r="H21" s="4">
        <f>H3-H15</f>
        <v>52716</v>
      </c>
    </row>
    <row r="24" spans="1:8" ht="15.75" x14ac:dyDescent="0.25">
      <c r="A24" t="s">
        <v>6</v>
      </c>
      <c r="C24" s="8">
        <f>D21</f>
        <v>220170</v>
      </c>
      <c r="E24" t="s">
        <v>10</v>
      </c>
      <c r="H24" s="6">
        <f>C33</f>
        <v>165992.68</v>
      </c>
    </row>
    <row r="26" spans="1:8" ht="15.75" x14ac:dyDescent="0.25">
      <c r="A26" t="s">
        <v>5</v>
      </c>
      <c r="B26" s="9" t="s">
        <v>7</v>
      </c>
      <c r="C26" s="8">
        <f>H21</f>
        <v>52716</v>
      </c>
      <c r="E26" s="13" t="s">
        <v>11</v>
      </c>
      <c r="F26" s="9" t="s">
        <v>12</v>
      </c>
      <c r="G26" s="15" t="s">
        <v>17</v>
      </c>
      <c r="H26" s="3">
        <f>-(F27*0.007)</f>
        <v>-2149</v>
      </c>
    </row>
    <row r="27" spans="1:8" x14ac:dyDescent="0.25">
      <c r="F27" s="21">
        <f>D3-H3</f>
        <v>307000</v>
      </c>
    </row>
    <row r="28" spans="1:8" ht="15.75" x14ac:dyDescent="0.25">
      <c r="A28" t="s">
        <v>8</v>
      </c>
      <c r="B28" s="9" t="s">
        <v>7</v>
      </c>
      <c r="C28" s="8">
        <f>D3*0.004</f>
        <v>1461.32</v>
      </c>
      <c r="F28" s="9" t="s">
        <v>13</v>
      </c>
      <c r="G28" s="16">
        <v>0.35</v>
      </c>
      <c r="H28" s="29">
        <f>-(F29*0.35)</f>
        <v>-58097.437999999995</v>
      </c>
    </row>
    <row r="29" spans="1:8" ht="15.75" thickBot="1" x14ac:dyDescent="0.3">
      <c r="F29" s="21">
        <f>H24</f>
        <v>165992.68</v>
      </c>
      <c r="H29" s="7"/>
    </row>
    <row r="30" spans="1:8" ht="15.75" x14ac:dyDescent="0.25">
      <c r="A30" t="s">
        <v>9</v>
      </c>
      <c r="B30" s="9" t="s">
        <v>7</v>
      </c>
      <c r="C30" s="10"/>
      <c r="G30" s="13" t="s">
        <v>14</v>
      </c>
      <c r="H30" s="6">
        <f>H24+H26+H28</f>
        <v>105746.242</v>
      </c>
    </row>
    <row r="31" spans="1:8" ht="15.75" thickBot="1" x14ac:dyDescent="0.3">
      <c r="A31" s="16"/>
      <c r="B31" s="14"/>
      <c r="C31" s="7"/>
    </row>
    <row r="32" spans="1:8" x14ac:dyDescent="0.25">
      <c r="E32" t="s">
        <v>151</v>
      </c>
      <c r="H32" s="20">
        <f>H30*0.5</f>
        <v>52873.120999999999</v>
      </c>
    </row>
    <row r="33" spans="1:8" ht="15.75" x14ac:dyDescent="0.25">
      <c r="A33" t="s">
        <v>10</v>
      </c>
      <c r="C33" s="10">
        <f>C24-C26-C28-C30</f>
        <v>165992.68</v>
      </c>
      <c r="H33" s="18"/>
    </row>
    <row r="34" spans="1:8" x14ac:dyDescent="0.25">
      <c r="H34" s="3"/>
    </row>
    <row r="35" spans="1:8" x14ac:dyDescent="0.25">
      <c r="H35" s="18"/>
    </row>
  </sheetData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86A55-6161-4D32-8233-0A8CCC7FFB8C}">
  <dimension ref="A1:H35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460</v>
      </c>
    </row>
    <row r="3" spans="1:8" ht="21" x14ac:dyDescent="0.35">
      <c r="A3" s="2" t="s">
        <v>1</v>
      </c>
      <c r="D3" s="11">
        <v>392700</v>
      </c>
      <c r="F3" s="12" t="s">
        <v>3</v>
      </c>
      <c r="H3" s="11">
        <v>62700</v>
      </c>
    </row>
    <row r="4" spans="1:8" x14ac:dyDescent="0.25">
      <c r="A4" s="13" t="s">
        <v>32</v>
      </c>
      <c r="C4" s="26">
        <v>593</v>
      </c>
    </row>
    <row r="5" spans="1:8" ht="21" x14ac:dyDescent="0.35">
      <c r="A5" s="2" t="s">
        <v>2</v>
      </c>
    </row>
    <row r="7" spans="1:8" ht="18.75" x14ac:dyDescent="0.3">
      <c r="A7" s="5" t="s">
        <v>419</v>
      </c>
      <c r="D7" s="4">
        <v>177000</v>
      </c>
      <c r="E7" s="25"/>
      <c r="H7" s="4">
        <v>33630</v>
      </c>
    </row>
    <row r="8" spans="1:8" ht="18.75" x14ac:dyDescent="0.3">
      <c r="A8" s="5"/>
      <c r="D8" s="4"/>
      <c r="E8" s="25"/>
      <c r="H8" s="4"/>
    </row>
    <row r="9" spans="1:8" ht="18.75" x14ac:dyDescent="0.3">
      <c r="A9" s="5"/>
      <c r="D9" s="4"/>
      <c r="E9" s="25"/>
      <c r="H9" s="4"/>
    </row>
    <row r="10" spans="1:8" ht="18.75" x14ac:dyDescent="0.3">
      <c r="A10" s="5"/>
      <c r="D10" s="4"/>
      <c r="E10" s="25"/>
      <c r="H10" s="4"/>
    </row>
    <row r="11" spans="1:8" ht="18.75" x14ac:dyDescent="0.3">
      <c r="A11" s="5"/>
      <c r="D11" s="4"/>
      <c r="E11" s="25"/>
      <c r="H11" s="4"/>
    </row>
    <row r="12" spans="1:8" ht="18.75" x14ac:dyDescent="0.3">
      <c r="A12" s="5"/>
      <c r="C12" s="3"/>
      <c r="D12" s="27"/>
      <c r="E12" s="25"/>
      <c r="H12" s="27"/>
    </row>
    <row r="13" spans="1:8" ht="18.75" x14ac:dyDescent="0.3">
      <c r="A13" s="5"/>
      <c r="C13" s="3"/>
      <c r="D13" s="28"/>
      <c r="E13" s="25"/>
      <c r="H13" s="28"/>
    </row>
    <row r="14" spans="1:8" ht="19.5" thickBot="1" x14ac:dyDescent="0.35">
      <c r="A14" s="5"/>
      <c r="C14" s="3"/>
      <c r="D14" s="22"/>
      <c r="E14" s="25"/>
      <c r="H14" s="22"/>
    </row>
    <row r="15" spans="1:8" ht="18.75" customHeight="1" x14ac:dyDescent="0.3">
      <c r="D15" s="4">
        <f>SUM(D7:D14)</f>
        <v>177000</v>
      </c>
      <c r="H15" s="4">
        <f>SUM(H7:H14)</f>
        <v>33630</v>
      </c>
    </row>
    <row r="16" spans="1:8" ht="18.75" x14ac:dyDescent="0.3">
      <c r="A16" s="5"/>
      <c r="C16" s="3"/>
      <c r="D16" s="4"/>
      <c r="H16" s="4"/>
    </row>
    <row r="18" spans="1:8" ht="18.75" x14ac:dyDescent="0.3">
      <c r="A18" s="5"/>
      <c r="C18" s="3"/>
      <c r="D18" s="4"/>
      <c r="H18" s="4"/>
    </row>
    <row r="19" spans="1:8" ht="15.75" thickBot="1" x14ac:dyDescent="0.3">
      <c r="D19" s="7"/>
      <c r="H19" s="7"/>
    </row>
    <row r="21" spans="1:8" ht="18.75" x14ac:dyDescent="0.3">
      <c r="C21" t="s">
        <v>4</v>
      </c>
      <c r="D21" s="4">
        <f>D3-D15</f>
        <v>215700</v>
      </c>
      <c r="G21" t="s">
        <v>5</v>
      </c>
      <c r="H21" s="4">
        <f>H3-H15</f>
        <v>29070</v>
      </c>
    </row>
    <row r="24" spans="1:8" ht="15.75" x14ac:dyDescent="0.25">
      <c r="A24" t="s">
        <v>6</v>
      </c>
      <c r="C24" s="8">
        <f>D21</f>
        <v>215700</v>
      </c>
      <c r="E24" t="s">
        <v>10</v>
      </c>
      <c r="H24" s="6">
        <f>C33</f>
        <v>185059.20000000001</v>
      </c>
    </row>
    <row r="26" spans="1:8" ht="15.75" x14ac:dyDescent="0.25">
      <c r="A26" t="s">
        <v>5</v>
      </c>
      <c r="B26" s="9" t="s">
        <v>7</v>
      </c>
      <c r="C26" s="8">
        <f>H21</f>
        <v>29070</v>
      </c>
      <c r="E26" s="13" t="s">
        <v>11</v>
      </c>
      <c r="F26" s="9" t="s">
        <v>12</v>
      </c>
      <c r="G26" s="15" t="s">
        <v>17</v>
      </c>
      <c r="H26" s="3">
        <f>-(F27*0.007)</f>
        <v>-2310</v>
      </c>
    </row>
    <row r="27" spans="1:8" x14ac:dyDescent="0.25">
      <c r="F27" s="21">
        <f>D3-H3</f>
        <v>330000</v>
      </c>
    </row>
    <row r="28" spans="1:8" ht="15.75" x14ac:dyDescent="0.25">
      <c r="A28" t="s">
        <v>8</v>
      </c>
      <c r="B28" s="9" t="s">
        <v>7</v>
      </c>
      <c r="C28" s="8">
        <f>D3*0.004</f>
        <v>1570.8</v>
      </c>
      <c r="F28" s="9" t="s">
        <v>13</v>
      </c>
      <c r="G28" s="16">
        <v>0.35</v>
      </c>
      <c r="H28" s="29">
        <f>-(F29*0.35)</f>
        <v>-64770.720000000001</v>
      </c>
    </row>
    <row r="29" spans="1:8" ht="15.75" thickBot="1" x14ac:dyDescent="0.3">
      <c r="F29" s="21">
        <f>H24</f>
        <v>185059.20000000001</v>
      </c>
      <c r="H29" s="7"/>
    </row>
    <row r="30" spans="1:8" ht="15.75" x14ac:dyDescent="0.25">
      <c r="A30" t="s">
        <v>9</v>
      </c>
      <c r="B30" s="9" t="s">
        <v>7</v>
      </c>
      <c r="C30" s="10"/>
      <c r="G30" s="13" t="s">
        <v>14</v>
      </c>
      <c r="H30" s="6">
        <f>H24+H26+H28</f>
        <v>117978.48000000001</v>
      </c>
    </row>
    <row r="31" spans="1:8" ht="15.75" thickBot="1" x14ac:dyDescent="0.3">
      <c r="A31" s="16"/>
      <c r="B31" s="14"/>
      <c r="C31" s="7"/>
    </row>
    <row r="32" spans="1:8" x14ac:dyDescent="0.25">
      <c r="E32" t="s">
        <v>151</v>
      </c>
      <c r="H32" s="20">
        <f>H30*0.5</f>
        <v>58989.240000000005</v>
      </c>
    </row>
    <row r="33" spans="1:8" ht="15.75" x14ac:dyDescent="0.25">
      <c r="A33" t="s">
        <v>10</v>
      </c>
      <c r="C33" s="10">
        <f>C24-C26-C28-C30</f>
        <v>185059.20000000001</v>
      </c>
      <c r="H33" s="18"/>
    </row>
    <row r="34" spans="1:8" x14ac:dyDescent="0.25">
      <c r="H34" s="3"/>
    </row>
    <row r="35" spans="1:8" x14ac:dyDescent="0.25">
      <c r="H35" s="18"/>
    </row>
  </sheetData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7FE3F-AD0A-4640-86D8-375E4F04DD4E}">
  <dimension ref="A1:H35"/>
  <sheetViews>
    <sheetView workbookViewId="0">
      <selection activeCell="C5" sqref="C5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461</v>
      </c>
    </row>
    <row r="3" spans="1:8" ht="21" x14ac:dyDescent="0.35">
      <c r="A3" s="2" t="s">
        <v>1</v>
      </c>
      <c r="D3" s="11">
        <v>559062</v>
      </c>
      <c r="F3" s="12" t="s">
        <v>3</v>
      </c>
      <c r="H3" s="11">
        <v>89262</v>
      </c>
    </row>
    <row r="4" spans="1:8" x14ac:dyDescent="0.25">
      <c r="A4" s="13" t="s">
        <v>32</v>
      </c>
      <c r="C4" s="26">
        <v>596</v>
      </c>
    </row>
    <row r="5" spans="1:8" ht="21" x14ac:dyDescent="0.35">
      <c r="A5" s="2" t="s">
        <v>2</v>
      </c>
    </row>
    <row r="7" spans="1:8" ht="18.75" x14ac:dyDescent="0.3">
      <c r="A7" s="5" t="s">
        <v>462</v>
      </c>
      <c r="D7" s="4">
        <v>120000</v>
      </c>
      <c r="E7" s="25"/>
      <c r="H7" s="4"/>
    </row>
    <row r="8" spans="1:8" ht="18.75" x14ac:dyDescent="0.3">
      <c r="A8" s="5"/>
      <c r="D8" s="4"/>
      <c r="E8" s="25"/>
      <c r="H8" s="4"/>
    </row>
    <row r="9" spans="1:8" ht="18.75" x14ac:dyDescent="0.3">
      <c r="A9" s="5"/>
      <c r="D9" s="4"/>
      <c r="E9" s="25"/>
      <c r="H9" s="4"/>
    </row>
    <row r="10" spans="1:8" ht="18.75" x14ac:dyDescent="0.3">
      <c r="A10" s="5"/>
      <c r="D10" s="4"/>
      <c r="E10" s="25"/>
      <c r="H10" s="4"/>
    </row>
    <row r="11" spans="1:8" ht="18.75" x14ac:dyDescent="0.3">
      <c r="A11" s="5"/>
      <c r="D11" s="4"/>
      <c r="E11" s="25"/>
      <c r="H11" s="4"/>
    </row>
    <row r="12" spans="1:8" ht="18.75" x14ac:dyDescent="0.3">
      <c r="A12" s="5"/>
      <c r="C12" s="3"/>
      <c r="D12" s="27"/>
      <c r="E12" s="25"/>
      <c r="H12" s="27"/>
    </row>
    <row r="13" spans="1:8" ht="18.75" x14ac:dyDescent="0.3">
      <c r="A13" s="5"/>
      <c r="C13" s="3"/>
      <c r="D13" s="28"/>
      <c r="E13" s="25"/>
      <c r="H13" s="28"/>
    </row>
    <row r="14" spans="1:8" ht="19.5" thickBot="1" x14ac:dyDescent="0.35">
      <c r="A14" s="5"/>
      <c r="C14" s="3"/>
      <c r="D14" s="22"/>
      <c r="E14" s="25"/>
      <c r="H14" s="22"/>
    </row>
    <row r="15" spans="1:8" ht="18.75" customHeight="1" x14ac:dyDescent="0.3">
      <c r="D15" s="4">
        <f>SUM(D7:D14)</f>
        <v>120000</v>
      </c>
      <c r="H15" s="4">
        <f>SUM(H7:H14)</f>
        <v>0</v>
      </c>
    </row>
    <row r="16" spans="1:8" ht="18.75" x14ac:dyDescent="0.3">
      <c r="A16" s="5"/>
      <c r="C16" s="3"/>
      <c r="D16" s="4"/>
      <c r="H16" s="4"/>
    </row>
    <row r="18" spans="1:8" ht="18.75" x14ac:dyDescent="0.3">
      <c r="A18" s="5"/>
      <c r="C18" s="3"/>
      <c r="D18" s="4"/>
      <c r="H18" s="4"/>
    </row>
    <row r="19" spans="1:8" ht="15.75" thickBot="1" x14ac:dyDescent="0.3">
      <c r="D19" s="7"/>
      <c r="H19" s="7"/>
    </row>
    <row r="21" spans="1:8" ht="18.75" x14ac:dyDescent="0.3">
      <c r="C21" t="s">
        <v>4</v>
      </c>
      <c r="D21" s="4">
        <f>D3-D15</f>
        <v>439062</v>
      </c>
      <c r="G21" t="s">
        <v>5</v>
      </c>
      <c r="H21" s="4">
        <f>H3-H15</f>
        <v>89262</v>
      </c>
    </row>
    <row r="24" spans="1:8" ht="15.75" x14ac:dyDescent="0.25">
      <c r="A24" t="s">
        <v>6</v>
      </c>
      <c r="C24" s="8">
        <f>D21</f>
        <v>439062</v>
      </c>
      <c r="E24" t="s">
        <v>10</v>
      </c>
      <c r="H24" s="6">
        <f>C33</f>
        <v>347563.75199999998</v>
      </c>
    </row>
    <row r="26" spans="1:8" ht="15.75" x14ac:dyDescent="0.25">
      <c r="A26" t="s">
        <v>5</v>
      </c>
      <c r="B26" s="9" t="s">
        <v>7</v>
      </c>
      <c r="C26" s="8">
        <f>H21</f>
        <v>89262</v>
      </c>
      <c r="E26" s="13" t="s">
        <v>11</v>
      </c>
      <c r="F26" s="9" t="s">
        <v>12</v>
      </c>
      <c r="G26" s="15" t="s">
        <v>17</v>
      </c>
      <c r="H26" s="3">
        <f>-(F27*0.007)</f>
        <v>-3288.6</v>
      </c>
    </row>
    <row r="27" spans="1:8" x14ac:dyDescent="0.25">
      <c r="F27" s="21">
        <f>D3-H3</f>
        <v>469800</v>
      </c>
    </row>
    <row r="28" spans="1:8" ht="15.75" x14ac:dyDescent="0.25">
      <c r="A28" t="s">
        <v>8</v>
      </c>
      <c r="B28" s="9" t="s">
        <v>7</v>
      </c>
      <c r="C28" s="8">
        <f>D3*0.004</f>
        <v>2236.248</v>
      </c>
      <c r="F28" s="9" t="s">
        <v>13</v>
      </c>
      <c r="G28" s="16">
        <v>0.35</v>
      </c>
      <c r="H28" s="29">
        <f>-(F29*0.35)</f>
        <v>-121647.31319999999</v>
      </c>
    </row>
    <row r="29" spans="1:8" ht="15.75" thickBot="1" x14ac:dyDescent="0.3">
      <c r="F29" s="21">
        <f>H24</f>
        <v>347563.75199999998</v>
      </c>
      <c r="H29" s="7"/>
    </row>
    <row r="30" spans="1:8" ht="15.75" x14ac:dyDescent="0.25">
      <c r="A30" t="s">
        <v>9</v>
      </c>
      <c r="B30" s="9" t="s">
        <v>7</v>
      </c>
      <c r="C30" s="10"/>
      <c r="G30" s="13" t="s">
        <v>14</v>
      </c>
      <c r="H30" s="6">
        <f>H24+H26+H28</f>
        <v>222627.83880000003</v>
      </c>
    </row>
    <row r="31" spans="1:8" ht="15.75" thickBot="1" x14ac:dyDescent="0.3">
      <c r="A31" s="16"/>
      <c r="B31" s="14"/>
      <c r="C31" s="7"/>
    </row>
    <row r="32" spans="1:8" x14ac:dyDescent="0.25">
      <c r="E32" t="s">
        <v>151</v>
      </c>
      <c r="H32" s="20">
        <f>H30*0.5</f>
        <v>111313.91940000001</v>
      </c>
    </row>
    <row r="33" spans="1:8" ht="15.75" x14ac:dyDescent="0.25">
      <c r="A33" t="s">
        <v>10</v>
      </c>
      <c r="C33" s="10">
        <f>C24-C26-C28-C30</f>
        <v>347563.75199999998</v>
      </c>
      <c r="H33" s="18"/>
    </row>
    <row r="34" spans="1:8" x14ac:dyDescent="0.25">
      <c r="H34" s="3"/>
    </row>
    <row r="35" spans="1:8" x14ac:dyDescent="0.25">
      <c r="H35" s="18"/>
    </row>
  </sheetData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76459-CB75-47E0-9FE3-1E308AA1CFC0}">
  <dimension ref="A1:H35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463</v>
      </c>
    </row>
    <row r="3" spans="1:8" ht="21" x14ac:dyDescent="0.35">
      <c r="A3" s="2" t="s">
        <v>1</v>
      </c>
      <c r="D3" s="11">
        <v>2368072</v>
      </c>
      <c r="F3" s="12" t="s">
        <v>3</v>
      </c>
      <c r="H3" s="11">
        <v>386209</v>
      </c>
    </row>
    <row r="4" spans="1:8" x14ac:dyDescent="0.25">
      <c r="A4" s="13" t="s">
        <v>32</v>
      </c>
      <c r="C4" s="26">
        <v>597</v>
      </c>
    </row>
    <row r="5" spans="1:8" ht="21" x14ac:dyDescent="0.35">
      <c r="A5" s="2" t="s">
        <v>2</v>
      </c>
    </row>
    <row r="7" spans="1:8" ht="18.75" x14ac:dyDescent="0.3">
      <c r="A7" s="5" t="s">
        <v>464</v>
      </c>
      <c r="D7" s="4">
        <v>57000</v>
      </c>
      <c r="E7" s="25"/>
      <c r="H7" s="4">
        <v>9101</v>
      </c>
    </row>
    <row r="8" spans="1:8" ht="18.75" x14ac:dyDescent="0.3">
      <c r="A8" s="5" t="s">
        <v>465</v>
      </c>
      <c r="D8" s="4">
        <v>332520</v>
      </c>
      <c r="E8" s="25"/>
      <c r="H8" s="4">
        <v>53091</v>
      </c>
    </row>
    <row r="9" spans="1:8" ht="18.75" x14ac:dyDescent="0.3">
      <c r="A9" s="5" t="s">
        <v>466</v>
      </c>
      <c r="D9" s="4">
        <v>631148</v>
      </c>
      <c r="E9" s="25"/>
      <c r="H9" s="4">
        <v>100771</v>
      </c>
    </row>
    <row r="10" spans="1:8" ht="18.75" x14ac:dyDescent="0.3">
      <c r="A10" s="5" t="s">
        <v>467</v>
      </c>
      <c r="D10" s="4">
        <v>265846</v>
      </c>
      <c r="E10" s="25"/>
      <c r="H10" s="4">
        <v>42446</v>
      </c>
    </row>
    <row r="11" spans="1:8" ht="18.75" x14ac:dyDescent="0.3">
      <c r="A11" s="5" t="s">
        <v>408</v>
      </c>
      <c r="D11" s="4">
        <v>273545</v>
      </c>
      <c r="E11" s="25"/>
      <c r="H11" s="4">
        <v>43675</v>
      </c>
    </row>
    <row r="12" spans="1:8" ht="18.75" x14ac:dyDescent="0.3">
      <c r="A12" s="5" t="s">
        <v>468</v>
      </c>
      <c r="C12" s="3"/>
      <c r="D12" s="27">
        <v>192000</v>
      </c>
      <c r="E12" s="25"/>
      <c r="H12" s="27">
        <v>30655</v>
      </c>
    </row>
    <row r="13" spans="1:8" ht="18.75" x14ac:dyDescent="0.3">
      <c r="A13" s="5"/>
      <c r="C13" s="3"/>
      <c r="D13" s="28"/>
      <c r="E13" s="25"/>
      <c r="H13" s="28"/>
    </row>
    <row r="14" spans="1:8" ht="19.5" thickBot="1" x14ac:dyDescent="0.35">
      <c r="A14" s="5"/>
      <c r="C14" s="3"/>
      <c r="D14" s="22"/>
      <c r="E14" s="25"/>
      <c r="H14" s="22"/>
    </row>
    <row r="15" spans="1:8" ht="18.75" customHeight="1" x14ac:dyDescent="0.3">
      <c r="D15" s="4">
        <f>SUM(D7:D14)</f>
        <v>1752059</v>
      </c>
      <c r="H15" s="4">
        <f>SUM(H7:H14)</f>
        <v>279739</v>
      </c>
    </row>
    <row r="16" spans="1:8" ht="18.75" x14ac:dyDescent="0.3">
      <c r="A16" s="5"/>
      <c r="C16" s="3"/>
      <c r="D16" s="4"/>
      <c r="H16" s="4"/>
    </row>
    <row r="18" spans="1:8" ht="18.75" x14ac:dyDescent="0.3">
      <c r="A18" s="5"/>
      <c r="C18" s="3"/>
      <c r="D18" s="4"/>
      <c r="H18" s="4"/>
    </row>
    <row r="19" spans="1:8" ht="15.75" thickBot="1" x14ac:dyDescent="0.3">
      <c r="D19" s="7"/>
      <c r="H19" s="7"/>
    </row>
    <row r="21" spans="1:8" ht="18.75" x14ac:dyDescent="0.3">
      <c r="C21" t="s">
        <v>4</v>
      </c>
      <c r="D21" s="4">
        <f>D3-D15</f>
        <v>616013</v>
      </c>
      <c r="G21" t="s">
        <v>5</v>
      </c>
      <c r="H21" s="4">
        <f>H3-H15</f>
        <v>106470</v>
      </c>
    </row>
    <row r="24" spans="1:8" ht="15.75" x14ac:dyDescent="0.25">
      <c r="A24" t="s">
        <v>6</v>
      </c>
      <c r="C24" s="8">
        <f>D21</f>
        <v>616013</v>
      </c>
      <c r="E24" t="s">
        <v>10</v>
      </c>
      <c r="H24" s="6">
        <f>C33</f>
        <v>500070.712</v>
      </c>
    </row>
    <row r="26" spans="1:8" ht="15.75" x14ac:dyDescent="0.25">
      <c r="A26" t="s">
        <v>5</v>
      </c>
      <c r="B26" s="9" t="s">
        <v>7</v>
      </c>
      <c r="C26" s="8">
        <f>H21</f>
        <v>106470</v>
      </c>
      <c r="E26" s="13" t="s">
        <v>11</v>
      </c>
      <c r="F26" s="9" t="s">
        <v>12</v>
      </c>
      <c r="G26" s="15" t="s">
        <v>17</v>
      </c>
      <c r="H26" s="3">
        <f>-(F27*0.007)</f>
        <v>-14228.76</v>
      </c>
    </row>
    <row r="27" spans="1:8" x14ac:dyDescent="0.25">
      <c r="F27" s="21">
        <v>2032680</v>
      </c>
    </row>
    <row r="28" spans="1:8" ht="15.75" x14ac:dyDescent="0.25">
      <c r="A28" t="s">
        <v>8</v>
      </c>
      <c r="B28" s="9" t="s">
        <v>7</v>
      </c>
      <c r="C28" s="8">
        <f>D3*0.004</f>
        <v>9472.2880000000005</v>
      </c>
      <c r="F28" s="9" t="s">
        <v>13</v>
      </c>
      <c r="G28" s="16">
        <v>0.35</v>
      </c>
      <c r="H28" s="29">
        <f>-(F29*0.35)</f>
        <v>-175024.74919999999</v>
      </c>
    </row>
    <row r="29" spans="1:8" ht="15.75" thickBot="1" x14ac:dyDescent="0.3">
      <c r="F29" s="21">
        <f>H24</f>
        <v>500070.712</v>
      </c>
      <c r="H29" s="7"/>
    </row>
    <row r="30" spans="1:8" ht="15.75" x14ac:dyDescent="0.25">
      <c r="A30" t="s">
        <v>9</v>
      </c>
      <c r="B30" s="9" t="s">
        <v>7</v>
      </c>
      <c r="C30" s="10"/>
      <c r="G30" s="13" t="s">
        <v>14</v>
      </c>
      <c r="H30" s="6">
        <f>H24+H26+H28</f>
        <v>310817.20279999997</v>
      </c>
    </row>
    <row r="31" spans="1:8" ht="15.75" thickBot="1" x14ac:dyDescent="0.3">
      <c r="A31" s="16"/>
      <c r="B31" s="14"/>
      <c r="C31" s="7"/>
    </row>
    <row r="32" spans="1:8" x14ac:dyDescent="0.25">
      <c r="E32" t="s">
        <v>151</v>
      </c>
      <c r="H32" s="20">
        <f>H30*0.5</f>
        <v>155408.60139999999</v>
      </c>
    </row>
    <row r="33" spans="1:8" ht="15.75" x14ac:dyDescent="0.25">
      <c r="A33" t="s">
        <v>10</v>
      </c>
      <c r="C33" s="10">
        <f>C24-C26-C28-C30</f>
        <v>500070.712</v>
      </c>
      <c r="H33" s="18"/>
    </row>
    <row r="34" spans="1:8" x14ac:dyDescent="0.25">
      <c r="H34" s="3"/>
    </row>
    <row r="35" spans="1:8" x14ac:dyDescent="0.25">
      <c r="H35" s="18"/>
    </row>
  </sheetData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EA106-3DBD-4857-86E8-82F5C8B725EE}">
  <dimension ref="A1:H30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469</v>
      </c>
    </row>
    <row r="3" spans="1:8" ht="21" x14ac:dyDescent="0.35">
      <c r="A3" s="2" t="s">
        <v>1</v>
      </c>
      <c r="D3" s="11">
        <v>499800</v>
      </c>
      <c r="F3" s="12" t="s">
        <v>3</v>
      </c>
      <c r="H3" s="11">
        <v>79800</v>
      </c>
    </row>
    <row r="4" spans="1:8" x14ac:dyDescent="0.25">
      <c r="A4" s="13" t="s">
        <v>32</v>
      </c>
      <c r="C4" s="26">
        <v>598</v>
      </c>
    </row>
    <row r="5" spans="1:8" ht="21" x14ac:dyDescent="0.35">
      <c r="A5" s="2" t="s">
        <v>2</v>
      </c>
    </row>
    <row r="7" spans="1:8" ht="18.75" x14ac:dyDescent="0.3">
      <c r="A7" s="5" t="s">
        <v>408</v>
      </c>
      <c r="D7" s="4">
        <v>349146</v>
      </c>
      <c r="E7" s="25"/>
      <c r="H7" s="4">
        <v>55746</v>
      </c>
    </row>
    <row r="8" spans="1:8" ht="18.75" x14ac:dyDescent="0.3">
      <c r="A8" s="5"/>
      <c r="C8" s="3"/>
      <c r="D8" s="28"/>
      <c r="E8" s="25"/>
      <c r="H8" s="28"/>
    </row>
    <row r="9" spans="1:8" ht="19.5" thickBot="1" x14ac:dyDescent="0.35">
      <c r="A9" s="5"/>
      <c r="C9" s="3"/>
      <c r="D9" s="22"/>
      <c r="E9" s="25"/>
      <c r="H9" s="22"/>
    </row>
    <row r="10" spans="1:8" ht="18.75" customHeight="1" x14ac:dyDescent="0.3">
      <c r="D10" s="4">
        <f>SUM(D7:D9)</f>
        <v>349146</v>
      </c>
      <c r="H10" s="4">
        <f>SUM(H7:H9)</f>
        <v>55746</v>
      </c>
    </row>
    <row r="11" spans="1:8" ht="18.75" x14ac:dyDescent="0.3">
      <c r="A11" s="5"/>
      <c r="C11" s="3"/>
      <c r="D11" s="4"/>
      <c r="H11" s="4"/>
    </row>
    <row r="13" spans="1:8" ht="18.75" x14ac:dyDescent="0.3">
      <c r="A13" s="5"/>
      <c r="C13" s="3"/>
      <c r="D13" s="4"/>
      <c r="H13" s="4"/>
    </row>
    <row r="14" spans="1:8" ht="15.75" thickBot="1" x14ac:dyDescent="0.3">
      <c r="D14" s="7"/>
      <c r="H14" s="7"/>
    </row>
    <row r="16" spans="1:8" ht="18.75" x14ac:dyDescent="0.3">
      <c r="C16" t="s">
        <v>4</v>
      </c>
      <c r="D16" s="4">
        <f>D3-D10</f>
        <v>150654</v>
      </c>
      <c r="G16" t="s">
        <v>5</v>
      </c>
      <c r="H16" s="4">
        <f>H3-H10</f>
        <v>24054</v>
      </c>
    </row>
    <row r="19" spans="1:8" ht="15.75" x14ac:dyDescent="0.25">
      <c r="A19" t="s">
        <v>6</v>
      </c>
      <c r="C19" s="8">
        <f>D16</f>
        <v>150654</v>
      </c>
      <c r="E19" t="s">
        <v>10</v>
      </c>
      <c r="H19" s="6">
        <f>C28</f>
        <v>124600.8</v>
      </c>
    </row>
    <row r="21" spans="1:8" ht="15.75" x14ac:dyDescent="0.25">
      <c r="A21" t="s">
        <v>5</v>
      </c>
      <c r="B21" s="9" t="s">
        <v>7</v>
      </c>
      <c r="C21" s="8">
        <f>H16</f>
        <v>24054</v>
      </c>
      <c r="E21" s="13" t="s">
        <v>11</v>
      </c>
      <c r="F21" s="9" t="s">
        <v>12</v>
      </c>
      <c r="G21" s="15" t="s">
        <v>17</v>
      </c>
      <c r="H21" s="3">
        <f>-(F22*0.007)</f>
        <v>-2940</v>
      </c>
    </row>
    <row r="22" spans="1:8" x14ac:dyDescent="0.25">
      <c r="F22" s="21">
        <f>D3-H3</f>
        <v>420000</v>
      </c>
    </row>
    <row r="23" spans="1:8" ht="15.75" x14ac:dyDescent="0.25">
      <c r="A23" t="s">
        <v>8</v>
      </c>
      <c r="B23" s="9" t="s">
        <v>7</v>
      </c>
      <c r="C23" s="8">
        <f>D3*0.004</f>
        <v>1999.2</v>
      </c>
      <c r="F23" s="9" t="s">
        <v>13</v>
      </c>
      <c r="G23" s="16">
        <v>0.35</v>
      </c>
      <c r="H23" s="29">
        <f>-(F24*0.35)</f>
        <v>-43610.28</v>
      </c>
    </row>
    <row r="24" spans="1:8" ht="15.75" thickBot="1" x14ac:dyDescent="0.3">
      <c r="F24" s="21">
        <f>H19</f>
        <v>124600.8</v>
      </c>
      <c r="H24" s="7"/>
    </row>
    <row r="25" spans="1:8" ht="15.75" x14ac:dyDescent="0.25">
      <c r="A25" t="s">
        <v>9</v>
      </c>
      <c r="B25" s="9" t="s">
        <v>7</v>
      </c>
      <c r="C25" s="10"/>
      <c r="G25" s="13" t="s">
        <v>14</v>
      </c>
      <c r="H25" s="6">
        <f>H19+H21+H23</f>
        <v>78050.52</v>
      </c>
    </row>
    <row r="26" spans="1:8" ht="15.75" thickBot="1" x14ac:dyDescent="0.3">
      <c r="A26" s="16"/>
      <c r="B26" s="14"/>
      <c r="C26" s="7"/>
    </row>
    <row r="27" spans="1:8" x14ac:dyDescent="0.25">
      <c r="E27" t="s">
        <v>151</v>
      </c>
      <c r="H27" s="20">
        <f>H25*0.5</f>
        <v>39025.26</v>
      </c>
    </row>
    <row r="28" spans="1:8" ht="15.75" x14ac:dyDescent="0.25">
      <c r="A28" t="s">
        <v>10</v>
      </c>
      <c r="C28" s="10">
        <f>C19-C21-C23-C25</f>
        <v>124600.8</v>
      </c>
      <c r="H28" s="18"/>
    </row>
    <row r="29" spans="1:8" x14ac:dyDescent="0.25">
      <c r="H29" s="3"/>
    </row>
    <row r="30" spans="1:8" x14ac:dyDescent="0.25">
      <c r="H30" s="18"/>
    </row>
  </sheetData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A1B07-1CA0-4A62-ABF6-760A8CE1F2BA}">
  <dimension ref="A1:H30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470</v>
      </c>
    </row>
    <row r="3" spans="1:8" ht="21" x14ac:dyDescent="0.35">
      <c r="A3" s="2" t="s">
        <v>1</v>
      </c>
      <c r="D3" s="11">
        <v>47124</v>
      </c>
      <c r="F3" s="12" t="s">
        <v>3</v>
      </c>
      <c r="H3" s="11">
        <v>7524</v>
      </c>
    </row>
    <row r="4" spans="1:8" x14ac:dyDescent="0.25">
      <c r="A4" s="13" t="s">
        <v>32</v>
      </c>
      <c r="C4" s="26">
        <v>599</v>
      </c>
    </row>
    <row r="5" spans="1:8" ht="21" x14ac:dyDescent="0.35">
      <c r="A5" s="2" t="s">
        <v>2</v>
      </c>
    </row>
    <row r="7" spans="1:8" ht="18.75" x14ac:dyDescent="0.3">
      <c r="A7" s="5" t="s">
        <v>322</v>
      </c>
      <c r="D7" s="4">
        <v>27435</v>
      </c>
      <c r="E7" s="25"/>
      <c r="H7" s="4">
        <v>4380</v>
      </c>
    </row>
    <row r="8" spans="1:8" ht="18.75" x14ac:dyDescent="0.3">
      <c r="A8" s="5"/>
      <c r="C8" s="3"/>
      <c r="D8" s="28"/>
      <c r="E8" s="25"/>
      <c r="H8" s="28"/>
    </row>
    <row r="9" spans="1:8" ht="19.5" thickBot="1" x14ac:dyDescent="0.35">
      <c r="A9" s="5"/>
      <c r="C9" s="3"/>
      <c r="D9" s="22"/>
      <c r="E9" s="25"/>
      <c r="H9" s="22"/>
    </row>
    <row r="10" spans="1:8" ht="18.75" customHeight="1" x14ac:dyDescent="0.3">
      <c r="D10" s="4">
        <f>SUM(D7:D9)</f>
        <v>27435</v>
      </c>
      <c r="H10" s="4">
        <f>SUM(H7:H9)</f>
        <v>4380</v>
      </c>
    </row>
    <row r="11" spans="1:8" ht="18.75" x14ac:dyDescent="0.3">
      <c r="A11" s="5"/>
      <c r="C11" s="3"/>
      <c r="D11" s="4"/>
      <c r="H11" s="4"/>
    </row>
    <row r="13" spans="1:8" ht="18.75" x14ac:dyDescent="0.3">
      <c r="A13" s="5"/>
      <c r="C13" s="3"/>
      <c r="D13" s="4"/>
      <c r="H13" s="4"/>
    </row>
    <row r="14" spans="1:8" ht="15.75" thickBot="1" x14ac:dyDescent="0.3">
      <c r="D14" s="7"/>
      <c r="H14" s="7"/>
    </row>
    <row r="16" spans="1:8" ht="18.75" x14ac:dyDescent="0.3">
      <c r="C16" t="s">
        <v>4</v>
      </c>
      <c r="D16" s="4">
        <f>D3-D10</f>
        <v>19689</v>
      </c>
      <c r="G16" t="s">
        <v>5</v>
      </c>
      <c r="H16" s="4">
        <f>H3-H10</f>
        <v>3144</v>
      </c>
    </row>
    <row r="19" spans="1:8" ht="15.75" x14ac:dyDescent="0.25">
      <c r="A19" t="s">
        <v>6</v>
      </c>
      <c r="C19" s="8">
        <f>D16</f>
        <v>19689</v>
      </c>
      <c r="E19" t="s">
        <v>10</v>
      </c>
      <c r="H19" s="6">
        <f>C28</f>
        <v>16356.504000000001</v>
      </c>
    </row>
    <row r="21" spans="1:8" ht="15.75" x14ac:dyDescent="0.25">
      <c r="A21" t="s">
        <v>5</v>
      </c>
      <c r="B21" s="9" t="s">
        <v>7</v>
      </c>
      <c r="C21" s="8">
        <f>H16</f>
        <v>3144</v>
      </c>
      <c r="E21" s="13" t="s">
        <v>11</v>
      </c>
      <c r="F21" s="9" t="s">
        <v>12</v>
      </c>
      <c r="G21" s="15" t="s">
        <v>17</v>
      </c>
      <c r="H21" s="3">
        <f>-(F22*0.007)</f>
        <v>-277.2</v>
      </c>
    </row>
    <row r="22" spans="1:8" x14ac:dyDescent="0.25">
      <c r="F22" s="21">
        <f>D3-H3</f>
        <v>39600</v>
      </c>
    </row>
    <row r="23" spans="1:8" ht="15.75" x14ac:dyDescent="0.25">
      <c r="A23" t="s">
        <v>8</v>
      </c>
      <c r="B23" s="9" t="s">
        <v>7</v>
      </c>
      <c r="C23" s="8">
        <f>D3*0.004</f>
        <v>188.49600000000001</v>
      </c>
      <c r="F23" s="9" t="s">
        <v>13</v>
      </c>
      <c r="G23" s="16">
        <v>0.35</v>
      </c>
      <c r="H23" s="29">
        <f>-(F24*0.35)</f>
        <v>-5724.7763999999997</v>
      </c>
    </row>
    <row r="24" spans="1:8" ht="15.75" thickBot="1" x14ac:dyDescent="0.3">
      <c r="F24" s="21">
        <f>H19</f>
        <v>16356.504000000001</v>
      </c>
      <c r="H24" s="7"/>
    </row>
    <row r="25" spans="1:8" ht="15.75" x14ac:dyDescent="0.25">
      <c r="A25" t="s">
        <v>9</v>
      </c>
      <c r="B25" s="9" t="s">
        <v>7</v>
      </c>
      <c r="C25" s="10"/>
      <c r="G25" s="13" t="s">
        <v>14</v>
      </c>
      <c r="H25" s="6">
        <f>H19+H21+H23</f>
        <v>10354.527600000001</v>
      </c>
    </row>
    <row r="26" spans="1:8" ht="15.75" thickBot="1" x14ac:dyDescent="0.3">
      <c r="A26" s="16"/>
      <c r="B26" s="14"/>
      <c r="C26" s="7"/>
    </row>
    <row r="27" spans="1:8" x14ac:dyDescent="0.25">
      <c r="E27" t="s">
        <v>151</v>
      </c>
      <c r="H27" s="20">
        <f>H25*0.5</f>
        <v>5177.2638000000006</v>
      </c>
    </row>
    <row r="28" spans="1:8" ht="15.75" x14ac:dyDescent="0.25">
      <c r="A28" t="s">
        <v>10</v>
      </c>
      <c r="C28" s="10">
        <f>C19-C21-C23-C25</f>
        <v>16356.504000000001</v>
      </c>
      <c r="H28" s="18"/>
    </row>
    <row r="29" spans="1:8" x14ac:dyDescent="0.25">
      <c r="H29" s="3"/>
    </row>
    <row r="30" spans="1:8" x14ac:dyDescent="0.25">
      <c r="H30" s="18"/>
    </row>
  </sheetData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13A22-48CA-4ECC-A2F0-1256DC0445E6}">
  <dimension ref="A1:H30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471</v>
      </c>
    </row>
    <row r="3" spans="1:8" ht="21" x14ac:dyDescent="0.35">
      <c r="A3" s="2" t="s">
        <v>1</v>
      </c>
      <c r="D3" s="11">
        <v>243950</v>
      </c>
      <c r="F3" s="12" t="s">
        <v>3</v>
      </c>
      <c r="H3" s="11">
        <v>38950</v>
      </c>
    </row>
    <row r="4" spans="1:8" x14ac:dyDescent="0.25">
      <c r="A4" s="13" t="s">
        <v>32</v>
      </c>
      <c r="C4" s="26">
        <v>600</v>
      </c>
    </row>
    <row r="5" spans="1:8" ht="21" x14ac:dyDescent="0.35">
      <c r="A5" s="2" t="s">
        <v>2</v>
      </c>
    </row>
    <row r="7" spans="1:8" ht="18.75" x14ac:dyDescent="0.3">
      <c r="A7" s="5" t="s">
        <v>472</v>
      </c>
      <c r="D7" s="4">
        <v>135180</v>
      </c>
      <c r="E7" s="25"/>
      <c r="H7" s="4">
        <v>21583</v>
      </c>
    </row>
    <row r="8" spans="1:8" ht="18.75" x14ac:dyDescent="0.3">
      <c r="A8" s="5"/>
      <c r="C8" s="3"/>
      <c r="D8" s="28"/>
      <c r="E8" s="25"/>
      <c r="H8" s="28"/>
    </row>
    <row r="9" spans="1:8" ht="19.5" thickBot="1" x14ac:dyDescent="0.35">
      <c r="A9" s="5"/>
      <c r="C9" s="3"/>
      <c r="D9" s="22"/>
      <c r="E9" s="25"/>
      <c r="H9" s="22"/>
    </row>
    <row r="10" spans="1:8" ht="18.75" customHeight="1" x14ac:dyDescent="0.3">
      <c r="D10" s="4">
        <f>SUM(D7:D9)</f>
        <v>135180</v>
      </c>
      <c r="H10" s="4">
        <f>SUM(H7:H9)</f>
        <v>21583</v>
      </c>
    </row>
    <row r="11" spans="1:8" ht="18.75" x14ac:dyDescent="0.3">
      <c r="A11" s="5"/>
      <c r="C11" s="3"/>
      <c r="D11" s="4"/>
      <c r="H11" s="4"/>
    </row>
    <row r="13" spans="1:8" ht="18.75" x14ac:dyDescent="0.3">
      <c r="A13" s="5"/>
      <c r="C13" s="3"/>
      <c r="D13" s="4"/>
      <c r="H13" s="4"/>
    </row>
    <row r="14" spans="1:8" ht="15.75" thickBot="1" x14ac:dyDescent="0.3">
      <c r="D14" s="7"/>
      <c r="H14" s="7"/>
    </row>
    <row r="16" spans="1:8" ht="18.75" x14ac:dyDescent="0.3">
      <c r="C16" t="s">
        <v>4</v>
      </c>
      <c r="D16" s="4">
        <f>D3-D10</f>
        <v>108770</v>
      </c>
      <c r="G16" t="s">
        <v>5</v>
      </c>
      <c r="H16" s="4">
        <f>H3-H10</f>
        <v>17367</v>
      </c>
    </row>
    <row r="19" spans="1:8" ht="15.75" x14ac:dyDescent="0.25">
      <c r="A19" t="s">
        <v>6</v>
      </c>
      <c r="C19" s="8">
        <f>D16</f>
        <v>108770</v>
      </c>
      <c r="E19" t="s">
        <v>10</v>
      </c>
      <c r="H19" s="6">
        <f>C28</f>
        <v>90427.199999999997</v>
      </c>
    </row>
    <row r="21" spans="1:8" ht="15.75" x14ac:dyDescent="0.25">
      <c r="A21" t="s">
        <v>5</v>
      </c>
      <c r="B21" s="9" t="s">
        <v>7</v>
      </c>
      <c r="C21" s="8">
        <f>H16</f>
        <v>17367</v>
      </c>
      <c r="E21" s="13" t="s">
        <v>11</v>
      </c>
      <c r="F21" s="9" t="s">
        <v>12</v>
      </c>
      <c r="G21" s="15" t="s">
        <v>17</v>
      </c>
      <c r="H21" s="3">
        <f>-(F22*0.007)</f>
        <v>-1435</v>
      </c>
    </row>
    <row r="22" spans="1:8" x14ac:dyDescent="0.25">
      <c r="F22" s="21">
        <f>D3-H3</f>
        <v>205000</v>
      </c>
    </row>
    <row r="23" spans="1:8" ht="15.75" x14ac:dyDescent="0.25">
      <c r="A23" t="s">
        <v>8</v>
      </c>
      <c r="B23" s="9" t="s">
        <v>7</v>
      </c>
      <c r="C23" s="8">
        <f>D3*0.004</f>
        <v>975.80000000000007</v>
      </c>
      <c r="F23" s="9" t="s">
        <v>13</v>
      </c>
      <c r="G23" s="16">
        <v>0.35</v>
      </c>
      <c r="H23" s="29">
        <f>-(F24*0.35)</f>
        <v>-31649.519999999997</v>
      </c>
    </row>
    <row r="24" spans="1:8" ht="15.75" thickBot="1" x14ac:dyDescent="0.3">
      <c r="F24" s="21">
        <f>H19</f>
        <v>90427.199999999997</v>
      </c>
      <c r="H24" s="7"/>
    </row>
    <row r="25" spans="1:8" ht="15.75" x14ac:dyDescent="0.25">
      <c r="A25" t="s">
        <v>9</v>
      </c>
      <c r="B25" s="9" t="s">
        <v>7</v>
      </c>
      <c r="C25" s="10"/>
      <c r="G25" s="13" t="s">
        <v>14</v>
      </c>
      <c r="H25" s="6">
        <f>H19+H21+H23</f>
        <v>57342.68</v>
      </c>
    </row>
    <row r="26" spans="1:8" ht="15.75" thickBot="1" x14ac:dyDescent="0.3">
      <c r="A26" s="16"/>
      <c r="B26" s="14"/>
      <c r="C26" s="7"/>
    </row>
    <row r="27" spans="1:8" x14ac:dyDescent="0.25">
      <c r="E27" t="s">
        <v>151</v>
      </c>
      <c r="H27" s="20">
        <f>H25*0.5</f>
        <v>28671.34</v>
      </c>
    </row>
    <row r="28" spans="1:8" ht="15.75" x14ac:dyDescent="0.25">
      <c r="A28" t="s">
        <v>10</v>
      </c>
      <c r="C28" s="10">
        <f>C19-C21-C23-C25</f>
        <v>90427.199999999997</v>
      </c>
      <c r="H28" s="18"/>
    </row>
    <row r="29" spans="1:8" x14ac:dyDescent="0.25">
      <c r="H29" s="3"/>
    </row>
    <row r="30" spans="1:8" x14ac:dyDescent="0.25">
      <c r="H30" s="18"/>
    </row>
  </sheetData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3ACB1-1206-4543-ABB7-440AFA1F6460}">
  <dimension ref="A1:H30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473</v>
      </c>
    </row>
    <row r="3" spans="1:8" ht="21" x14ac:dyDescent="0.35">
      <c r="A3" s="2" t="s">
        <v>1</v>
      </c>
      <c r="D3" s="11">
        <v>346290</v>
      </c>
      <c r="F3" s="12" t="s">
        <v>3</v>
      </c>
      <c r="H3" s="11">
        <v>55290</v>
      </c>
    </row>
    <row r="4" spans="1:8" x14ac:dyDescent="0.25">
      <c r="A4" s="13" t="s">
        <v>32</v>
      </c>
      <c r="C4" s="26">
        <v>604</v>
      </c>
    </row>
    <row r="5" spans="1:8" ht="21" x14ac:dyDescent="0.35">
      <c r="A5" s="2" t="s">
        <v>2</v>
      </c>
    </row>
    <row r="7" spans="1:8" ht="18.75" x14ac:dyDescent="0.3">
      <c r="A7" s="5" t="s">
        <v>322</v>
      </c>
      <c r="D7" s="4">
        <v>259718</v>
      </c>
      <c r="E7" s="25"/>
      <c r="H7" s="4">
        <v>41468</v>
      </c>
    </row>
    <row r="8" spans="1:8" ht="18.75" x14ac:dyDescent="0.3">
      <c r="A8" s="5"/>
      <c r="C8" s="3"/>
      <c r="D8" s="28"/>
      <c r="E8" s="25"/>
      <c r="H8" s="28"/>
    </row>
    <row r="9" spans="1:8" ht="19.5" thickBot="1" x14ac:dyDescent="0.35">
      <c r="A9" s="5"/>
      <c r="C9" s="3"/>
      <c r="D9" s="22"/>
      <c r="E9" s="25"/>
      <c r="H9" s="22"/>
    </row>
    <row r="10" spans="1:8" ht="18.75" customHeight="1" x14ac:dyDescent="0.3">
      <c r="D10" s="4">
        <f>SUM(D7:D9)</f>
        <v>259718</v>
      </c>
      <c r="H10" s="4">
        <f>SUM(H7:H9)</f>
        <v>41468</v>
      </c>
    </row>
    <row r="11" spans="1:8" ht="18.75" x14ac:dyDescent="0.3">
      <c r="A11" s="5"/>
      <c r="C11" s="3"/>
      <c r="D11" s="4"/>
      <c r="H11" s="4"/>
    </row>
    <row r="13" spans="1:8" ht="18.75" x14ac:dyDescent="0.3">
      <c r="A13" s="5"/>
      <c r="C13" s="3"/>
      <c r="D13" s="4"/>
      <c r="H13" s="4"/>
    </row>
    <row r="14" spans="1:8" ht="15.75" thickBot="1" x14ac:dyDescent="0.3">
      <c r="D14" s="7"/>
      <c r="H14" s="7"/>
    </row>
    <row r="16" spans="1:8" ht="18.75" x14ac:dyDescent="0.3">
      <c r="C16" t="s">
        <v>4</v>
      </c>
      <c r="D16" s="4">
        <f>D3-D10</f>
        <v>86572</v>
      </c>
      <c r="G16" t="s">
        <v>5</v>
      </c>
      <c r="H16" s="4">
        <f>H3-H10</f>
        <v>13822</v>
      </c>
    </row>
    <row r="19" spans="1:8" ht="15.75" x14ac:dyDescent="0.25">
      <c r="A19" t="s">
        <v>6</v>
      </c>
      <c r="C19" s="8">
        <f>D16</f>
        <v>86572</v>
      </c>
      <c r="E19" t="s">
        <v>10</v>
      </c>
      <c r="H19" s="6">
        <f>C28</f>
        <v>71364.84</v>
      </c>
    </row>
    <row r="21" spans="1:8" ht="15.75" x14ac:dyDescent="0.25">
      <c r="A21" t="s">
        <v>5</v>
      </c>
      <c r="B21" s="9" t="s">
        <v>7</v>
      </c>
      <c r="C21" s="8">
        <f>H16</f>
        <v>13822</v>
      </c>
      <c r="E21" s="13" t="s">
        <v>11</v>
      </c>
      <c r="F21" s="9" t="s">
        <v>12</v>
      </c>
      <c r="G21" s="15" t="s">
        <v>17</v>
      </c>
      <c r="H21" s="3">
        <f>-(F22*0.007)</f>
        <v>-2037</v>
      </c>
    </row>
    <row r="22" spans="1:8" x14ac:dyDescent="0.25">
      <c r="F22" s="21">
        <f>D3-H3</f>
        <v>291000</v>
      </c>
    </row>
    <row r="23" spans="1:8" ht="15.75" x14ac:dyDescent="0.25">
      <c r="A23" t="s">
        <v>8</v>
      </c>
      <c r="B23" s="9" t="s">
        <v>7</v>
      </c>
      <c r="C23" s="8">
        <f>D3*0.004</f>
        <v>1385.16</v>
      </c>
      <c r="F23" s="9" t="s">
        <v>13</v>
      </c>
      <c r="G23" s="16">
        <v>0.35</v>
      </c>
      <c r="H23" s="29">
        <f>-(F24*0.35)</f>
        <v>-24977.693999999996</v>
      </c>
    </row>
    <row r="24" spans="1:8" ht="15.75" thickBot="1" x14ac:dyDescent="0.3">
      <c r="F24" s="21">
        <f>H19</f>
        <v>71364.84</v>
      </c>
      <c r="H24" s="7"/>
    </row>
    <row r="25" spans="1:8" ht="15.75" x14ac:dyDescent="0.25">
      <c r="A25" t="s">
        <v>9</v>
      </c>
      <c r="B25" s="9" t="s">
        <v>7</v>
      </c>
      <c r="C25" s="10"/>
      <c r="G25" s="13" t="s">
        <v>14</v>
      </c>
      <c r="H25" s="6">
        <f>H19+H21+H23</f>
        <v>44350.146000000001</v>
      </c>
    </row>
    <row r="26" spans="1:8" ht="15.75" thickBot="1" x14ac:dyDescent="0.3">
      <c r="A26" s="16"/>
      <c r="B26" s="14"/>
      <c r="C26" s="7"/>
    </row>
    <row r="27" spans="1:8" x14ac:dyDescent="0.25">
      <c r="E27" t="s">
        <v>151</v>
      </c>
      <c r="H27" s="20">
        <f>H25*0.5</f>
        <v>22175.073</v>
      </c>
    </row>
    <row r="28" spans="1:8" ht="15.75" x14ac:dyDescent="0.25">
      <c r="A28" t="s">
        <v>10</v>
      </c>
      <c r="C28" s="10">
        <f>C19-C21-C23-C25</f>
        <v>71364.84</v>
      </c>
      <c r="H28" s="18"/>
    </row>
    <row r="29" spans="1:8" x14ac:dyDescent="0.25">
      <c r="H29" s="3"/>
    </row>
    <row r="30" spans="1:8" x14ac:dyDescent="0.25">
      <c r="H30" s="18"/>
    </row>
  </sheetData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FDE82-2915-41C4-845D-D8364AC0793C}">
  <dimension ref="A1:H30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474</v>
      </c>
    </row>
    <row r="3" spans="1:8" ht="21" x14ac:dyDescent="0.35">
      <c r="A3" s="2" t="s">
        <v>1</v>
      </c>
      <c r="D3" s="11">
        <v>116000</v>
      </c>
      <c r="F3" s="12" t="s">
        <v>3</v>
      </c>
      <c r="H3" s="11">
        <v>18521</v>
      </c>
    </row>
    <row r="4" spans="1:8" x14ac:dyDescent="0.25">
      <c r="A4" s="13" t="s">
        <v>32</v>
      </c>
      <c r="C4" s="26">
        <v>605</v>
      </c>
    </row>
    <row r="5" spans="1:8" ht="21" x14ac:dyDescent="0.35">
      <c r="A5" s="2" t="s">
        <v>2</v>
      </c>
    </row>
    <row r="7" spans="1:8" ht="18.75" x14ac:dyDescent="0.3">
      <c r="A7" s="5" t="s">
        <v>243</v>
      </c>
      <c r="D7" s="4">
        <v>91799</v>
      </c>
      <c r="E7" s="25"/>
      <c r="H7" s="4">
        <v>14657</v>
      </c>
    </row>
    <row r="8" spans="1:8" ht="18.75" x14ac:dyDescent="0.3">
      <c r="A8" s="5"/>
      <c r="C8" s="3"/>
      <c r="D8" s="28"/>
      <c r="E8" s="25"/>
      <c r="H8" s="28"/>
    </row>
    <row r="9" spans="1:8" ht="19.5" thickBot="1" x14ac:dyDescent="0.35">
      <c r="A9" s="5"/>
      <c r="C9" s="3"/>
      <c r="D9" s="22"/>
      <c r="E9" s="25"/>
      <c r="H9" s="22"/>
    </row>
    <row r="10" spans="1:8" ht="18.75" customHeight="1" x14ac:dyDescent="0.3">
      <c r="D10" s="4">
        <f>SUM(D7:D9)</f>
        <v>91799</v>
      </c>
      <c r="H10" s="4">
        <f>SUM(H7:H9)</f>
        <v>14657</v>
      </c>
    </row>
    <row r="11" spans="1:8" ht="18.75" x14ac:dyDescent="0.3">
      <c r="A11" s="5"/>
      <c r="C11" s="3"/>
      <c r="D11" s="4"/>
      <c r="H11" s="4"/>
    </row>
    <row r="13" spans="1:8" ht="18.75" x14ac:dyDescent="0.3">
      <c r="A13" s="5"/>
      <c r="C13" s="3"/>
      <c r="D13" s="4"/>
      <c r="H13" s="4"/>
    </row>
    <row r="14" spans="1:8" ht="15.75" thickBot="1" x14ac:dyDescent="0.3">
      <c r="D14" s="7"/>
      <c r="H14" s="7"/>
    </row>
    <row r="16" spans="1:8" ht="18.75" x14ac:dyDescent="0.3">
      <c r="C16" t="s">
        <v>4</v>
      </c>
      <c r="D16" s="4">
        <f>D3-D10</f>
        <v>24201</v>
      </c>
      <c r="G16" t="s">
        <v>5</v>
      </c>
      <c r="H16" s="4">
        <f>H3-H10</f>
        <v>3864</v>
      </c>
    </row>
    <row r="19" spans="1:8" ht="15.75" x14ac:dyDescent="0.25">
      <c r="A19" t="s">
        <v>6</v>
      </c>
      <c r="C19" s="8">
        <f>D16</f>
        <v>24201</v>
      </c>
      <c r="E19" t="s">
        <v>10</v>
      </c>
      <c r="H19" s="6">
        <f>C28</f>
        <v>19873</v>
      </c>
    </row>
    <row r="21" spans="1:8" ht="15.75" x14ac:dyDescent="0.25">
      <c r="A21" t="s">
        <v>5</v>
      </c>
      <c r="B21" s="9" t="s">
        <v>7</v>
      </c>
      <c r="C21" s="8">
        <f>H16</f>
        <v>3864</v>
      </c>
      <c r="E21" s="13" t="s">
        <v>11</v>
      </c>
      <c r="F21" s="9" t="s">
        <v>12</v>
      </c>
      <c r="G21" s="15" t="s">
        <v>17</v>
      </c>
      <c r="H21" s="3">
        <f>-(F22*0.007)</f>
        <v>-682.35300000000007</v>
      </c>
    </row>
    <row r="22" spans="1:8" x14ac:dyDescent="0.25">
      <c r="F22" s="21">
        <f>D3-H3</f>
        <v>97479</v>
      </c>
    </row>
    <row r="23" spans="1:8" ht="15.75" x14ac:dyDescent="0.25">
      <c r="A23" t="s">
        <v>8</v>
      </c>
      <c r="B23" s="9" t="s">
        <v>7</v>
      </c>
      <c r="C23" s="8">
        <f>D3*0.004</f>
        <v>464</v>
      </c>
      <c r="F23" s="9" t="s">
        <v>13</v>
      </c>
      <c r="G23" s="16">
        <v>0.35</v>
      </c>
      <c r="H23" s="29">
        <f>-(F24*0.35)</f>
        <v>-6955.5499999999993</v>
      </c>
    </row>
    <row r="24" spans="1:8" ht="15.75" thickBot="1" x14ac:dyDescent="0.3">
      <c r="F24" s="21">
        <f>H19</f>
        <v>19873</v>
      </c>
      <c r="H24" s="7"/>
    </row>
    <row r="25" spans="1:8" ht="15.75" x14ac:dyDescent="0.25">
      <c r="A25" t="s">
        <v>9</v>
      </c>
      <c r="B25" s="9" t="s">
        <v>7</v>
      </c>
      <c r="C25" s="10"/>
      <c r="G25" s="13" t="s">
        <v>14</v>
      </c>
      <c r="H25" s="6">
        <f>H19+H21+H23</f>
        <v>12235.097000000002</v>
      </c>
    </row>
    <row r="26" spans="1:8" ht="15.75" thickBot="1" x14ac:dyDescent="0.3">
      <c r="A26" s="16"/>
      <c r="B26" s="14"/>
      <c r="C26" s="7"/>
    </row>
    <row r="27" spans="1:8" x14ac:dyDescent="0.25">
      <c r="E27" t="s">
        <v>151</v>
      </c>
      <c r="H27" s="20">
        <f>H25*0.5</f>
        <v>6117.5485000000008</v>
      </c>
    </row>
    <row r="28" spans="1:8" ht="15.75" x14ac:dyDescent="0.25">
      <c r="A28" t="s">
        <v>10</v>
      </c>
      <c r="C28" s="10">
        <f>C19-C21-C23-C25</f>
        <v>19873</v>
      </c>
      <c r="H28" s="18"/>
    </row>
    <row r="29" spans="1:8" x14ac:dyDescent="0.25">
      <c r="H29" s="3"/>
    </row>
    <row r="30" spans="1:8" x14ac:dyDescent="0.25">
      <c r="H30" s="18"/>
    </row>
  </sheetData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5B9DA-A0B4-4699-ABAB-3BFF7F448DA8}">
  <dimension ref="A1:H30"/>
  <sheetViews>
    <sheetView workbookViewId="0">
      <selection activeCell="C4" sqref="C4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475</v>
      </c>
    </row>
    <row r="3" spans="1:8" ht="21" x14ac:dyDescent="0.35">
      <c r="A3" s="2" t="s">
        <v>1</v>
      </c>
      <c r="D3" s="11">
        <v>815150</v>
      </c>
      <c r="F3" s="12" t="s">
        <v>3</v>
      </c>
      <c r="H3" s="11">
        <v>130150</v>
      </c>
    </row>
    <row r="4" spans="1:8" x14ac:dyDescent="0.25">
      <c r="A4" s="13" t="s">
        <v>32</v>
      </c>
      <c r="C4" s="26">
        <v>609</v>
      </c>
    </row>
    <row r="5" spans="1:8" ht="21" x14ac:dyDescent="0.35">
      <c r="A5" s="2" t="s">
        <v>2</v>
      </c>
    </row>
    <row r="7" spans="1:8" ht="18.75" x14ac:dyDescent="0.3">
      <c r="A7" s="5" t="s">
        <v>472</v>
      </c>
      <c r="D7" s="4">
        <v>135180</v>
      </c>
      <c r="E7" s="25"/>
      <c r="H7" s="4">
        <v>21584</v>
      </c>
    </row>
    <row r="8" spans="1:8" ht="18.75" x14ac:dyDescent="0.3">
      <c r="A8" s="5" t="s">
        <v>476</v>
      </c>
      <c r="C8" s="3"/>
      <c r="D8" s="28">
        <v>409970</v>
      </c>
      <c r="E8" s="25"/>
      <c r="H8" s="28">
        <v>65457</v>
      </c>
    </row>
    <row r="9" spans="1:8" ht="19.5" thickBot="1" x14ac:dyDescent="0.35">
      <c r="A9" s="5"/>
      <c r="C9" s="3"/>
      <c r="D9" s="22"/>
      <c r="E9" s="25"/>
      <c r="H9" s="22"/>
    </row>
    <row r="10" spans="1:8" ht="18.75" customHeight="1" x14ac:dyDescent="0.3">
      <c r="D10" s="4">
        <f>SUM(D7:D9)</f>
        <v>545150</v>
      </c>
      <c r="H10" s="4">
        <f>SUM(H7:H9)</f>
        <v>87041</v>
      </c>
    </row>
    <row r="11" spans="1:8" ht="18.75" x14ac:dyDescent="0.3">
      <c r="A11" s="5"/>
      <c r="C11" s="3"/>
      <c r="D11" s="4"/>
      <c r="H11" s="4"/>
    </row>
    <row r="13" spans="1:8" ht="18.75" x14ac:dyDescent="0.3">
      <c r="A13" s="5"/>
      <c r="C13" s="3"/>
      <c r="D13" s="4"/>
      <c r="H13" s="4"/>
    </row>
    <row r="14" spans="1:8" ht="15.75" thickBot="1" x14ac:dyDescent="0.3">
      <c r="D14" s="7"/>
      <c r="H14" s="7"/>
    </row>
    <row r="16" spans="1:8" ht="18.75" x14ac:dyDescent="0.3">
      <c r="C16" t="s">
        <v>4</v>
      </c>
      <c r="D16" s="4">
        <f>D3-D10</f>
        <v>270000</v>
      </c>
      <c r="G16" t="s">
        <v>5</v>
      </c>
      <c r="H16" s="4">
        <f>H3-H10</f>
        <v>43109</v>
      </c>
    </row>
    <row r="19" spans="1:8" ht="15.75" x14ac:dyDescent="0.25">
      <c r="A19" t="s">
        <v>6</v>
      </c>
      <c r="C19" s="8">
        <f>D16</f>
        <v>270000</v>
      </c>
      <c r="E19" t="s">
        <v>10</v>
      </c>
      <c r="H19" s="6">
        <f>C28</f>
        <v>223630.4</v>
      </c>
    </row>
    <row r="21" spans="1:8" ht="15.75" x14ac:dyDescent="0.25">
      <c r="A21" t="s">
        <v>5</v>
      </c>
      <c r="B21" s="9" t="s">
        <v>7</v>
      </c>
      <c r="C21" s="8">
        <f>H16</f>
        <v>43109</v>
      </c>
      <c r="E21" s="13" t="s">
        <v>11</v>
      </c>
      <c r="F21" s="9" t="s">
        <v>12</v>
      </c>
      <c r="G21" s="15" t="s">
        <v>17</v>
      </c>
      <c r="H21" s="3">
        <f>-(F22*0.007)</f>
        <v>-4795</v>
      </c>
    </row>
    <row r="22" spans="1:8" x14ac:dyDescent="0.25">
      <c r="F22" s="21">
        <f>D3-H3</f>
        <v>685000</v>
      </c>
    </row>
    <row r="23" spans="1:8" ht="15.75" x14ac:dyDescent="0.25">
      <c r="A23" t="s">
        <v>8</v>
      </c>
      <c r="B23" s="9" t="s">
        <v>7</v>
      </c>
      <c r="C23" s="8">
        <f>D3*0.004</f>
        <v>3260.6</v>
      </c>
      <c r="F23" s="9" t="s">
        <v>13</v>
      </c>
      <c r="G23" s="16">
        <v>0.35</v>
      </c>
      <c r="H23" s="29">
        <f>-(F24*0.35)</f>
        <v>-78270.64</v>
      </c>
    </row>
    <row r="24" spans="1:8" ht="15.75" thickBot="1" x14ac:dyDescent="0.3">
      <c r="F24" s="21">
        <f>H19</f>
        <v>223630.4</v>
      </c>
      <c r="H24" s="7"/>
    </row>
    <row r="25" spans="1:8" ht="15.75" x14ac:dyDescent="0.25">
      <c r="A25" t="s">
        <v>9</v>
      </c>
      <c r="B25" s="9" t="s">
        <v>7</v>
      </c>
      <c r="C25" s="10"/>
      <c r="G25" s="13" t="s">
        <v>14</v>
      </c>
      <c r="H25" s="6">
        <f>H19+H21+H23</f>
        <v>140564.76</v>
      </c>
    </row>
    <row r="26" spans="1:8" ht="15.75" thickBot="1" x14ac:dyDescent="0.3">
      <c r="A26" s="16"/>
      <c r="B26" s="14"/>
      <c r="C26" s="7"/>
    </row>
    <row r="27" spans="1:8" x14ac:dyDescent="0.25">
      <c r="E27" t="s">
        <v>151</v>
      </c>
      <c r="H27" s="20">
        <f>H25*0.5</f>
        <v>70282.38</v>
      </c>
    </row>
    <row r="28" spans="1:8" ht="15.75" x14ac:dyDescent="0.25">
      <c r="A28" t="s">
        <v>10</v>
      </c>
      <c r="C28" s="10">
        <f>C19-C21-C23-C25</f>
        <v>223630.4</v>
      </c>
      <c r="H28" s="18"/>
    </row>
    <row r="29" spans="1:8" x14ac:dyDescent="0.25">
      <c r="H29" s="3"/>
    </row>
    <row r="30" spans="1:8" x14ac:dyDescent="0.25">
      <c r="H30" s="18"/>
    </row>
  </sheetData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7D0C6-CB06-4682-B8A3-45D59064EC4D}">
  <dimension ref="A1:H30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477</v>
      </c>
    </row>
    <row r="3" spans="1:8" ht="21" x14ac:dyDescent="0.35">
      <c r="A3" s="2" t="s">
        <v>1</v>
      </c>
      <c r="D3" s="11">
        <v>51479</v>
      </c>
      <c r="F3" s="12" t="s">
        <v>3</v>
      </c>
      <c r="H3" s="11">
        <v>8219</v>
      </c>
    </row>
    <row r="4" spans="1:8" x14ac:dyDescent="0.25">
      <c r="A4" s="13" t="s">
        <v>32</v>
      </c>
      <c r="C4" s="26">
        <v>612</v>
      </c>
    </row>
    <row r="5" spans="1:8" ht="21" x14ac:dyDescent="0.35">
      <c r="A5" s="2" t="s">
        <v>2</v>
      </c>
    </row>
    <row r="7" spans="1:8" ht="18.75" x14ac:dyDescent="0.3">
      <c r="A7" s="5" t="s">
        <v>343</v>
      </c>
      <c r="D7" s="4">
        <v>37700</v>
      </c>
      <c r="E7" s="25"/>
      <c r="H7" s="4">
        <v>6020</v>
      </c>
    </row>
    <row r="8" spans="1:8" ht="18.75" x14ac:dyDescent="0.3">
      <c r="A8" s="5"/>
      <c r="C8" s="3"/>
      <c r="D8" s="28"/>
      <c r="E8" s="25"/>
      <c r="H8" s="28"/>
    </row>
    <row r="9" spans="1:8" ht="19.5" thickBot="1" x14ac:dyDescent="0.35">
      <c r="A9" s="5"/>
      <c r="C9" s="3"/>
      <c r="D9" s="22"/>
      <c r="E9" s="25"/>
      <c r="H9" s="22"/>
    </row>
    <row r="10" spans="1:8" ht="18.75" customHeight="1" x14ac:dyDescent="0.3">
      <c r="D10" s="4">
        <f>SUM(D7:D9)</f>
        <v>37700</v>
      </c>
      <c r="H10" s="4">
        <f>SUM(H7:H9)</f>
        <v>6020</v>
      </c>
    </row>
    <row r="11" spans="1:8" ht="18.75" x14ac:dyDescent="0.3">
      <c r="A11" s="5"/>
      <c r="C11" s="3"/>
      <c r="D11" s="4"/>
      <c r="H11" s="4"/>
    </row>
    <row r="13" spans="1:8" ht="18.75" x14ac:dyDescent="0.3">
      <c r="A13" s="5"/>
      <c r="C13" s="3"/>
      <c r="D13" s="4"/>
      <c r="H13" s="4"/>
    </row>
    <row r="14" spans="1:8" ht="15.75" thickBot="1" x14ac:dyDescent="0.3">
      <c r="D14" s="7"/>
      <c r="H14" s="7"/>
    </row>
    <row r="16" spans="1:8" ht="18.75" x14ac:dyDescent="0.3">
      <c r="C16" t="s">
        <v>4</v>
      </c>
      <c r="D16" s="4">
        <f>D3-D10</f>
        <v>13779</v>
      </c>
      <c r="G16" t="s">
        <v>5</v>
      </c>
      <c r="H16" s="4">
        <f>H3-H10</f>
        <v>2199</v>
      </c>
    </row>
    <row r="19" spans="1:8" ht="15.75" x14ac:dyDescent="0.25">
      <c r="A19" t="s">
        <v>6</v>
      </c>
      <c r="C19" s="8">
        <f>D16</f>
        <v>13779</v>
      </c>
      <c r="E19" t="s">
        <v>10</v>
      </c>
      <c r="H19" s="6">
        <f>C28</f>
        <v>11374.084000000001</v>
      </c>
    </row>
    <row r="21" spans="1:8" ht="15.75" x14ac:dyDescent="0.25">
      <c r="A21" t="s">
        <v>5</v>
      </c>
      <c r="B21" s="9" t="s">
        <v>7</v>
      </c>
      <c r="C21" s="8">
        <f>H16</f>
        <v>2199</v>
      </c>
      <c r="E21" s="13" t="s">
        <v>11</v>
      </c>
      <c r="F21" s="9" t="s">
        <v>12</v>
      </c>
      <c r="G21" s="15" t="s">
        <v>17</v>
      </c>
      <c r="H21" s="3">
        <f>-(F22*0.007)</f>
        <v>-302.82</v>
      </c>
    </row>
    <row r="22" spans="1:8" x14ac:dyDescent="0.25">
      <c r="F22" s="21">
        <f>D3-H3</f>
        <v>43260</v>
      </c>
    </row>
    <row r="23" spans="1:8" ht="15.75" x14ac:dyDescent="0.25">
      <c r="A23" t="s">
        <v>8</v>
      </c>
      <c r="B23" s="9" t="s">
        <v>7</v>
      </c>
      <c r="C23" s="8">
        <f>D3*0.004</f>
        <v>205.916</v>
      </c>
      <c r="F23" s="9" t="s">
        <v>13</v>
      </c>
      <c r="G23" s="16">
        <v>0.35</v>
      </c>
      <c r="H23" s="29">
        <f>-(F24*0.35)</f>
        <v>-3980.9294</v>
      </c>
    </row>
    <row r="24" spans="1:8" ht="15.75" thickBot="1" x14ac:dyDescent="0.3">
      <c r="F24" s="21">
        <f>H19</f>
        <v>11374.084000000001</v>
      </c>
      <c r="H24" s="7"/>
    </row>
    <row r="25" spans="1:8" ht="15.75" x14ac:dyDescent="0.25">
      <c r="A25" t="s">
        <v>9</v>
      </c>
      <c r="B25" s="9" t="s">
        <v>7</v>
      </c>
      <c r="C25" s="10"/>
      <c r="G25" s="13" t="s">
        <v>14</v>
      </c>
      <c r="H25" s="6">
        <f>H19+H21+H23</f>
        <v>7090.334600000001</v>
      </c>
    </row>
    <row r="26" spans="1:8" ht="15.75" thickBot="1" x14ac:dyDescent="0.3">
      <c r="A26" s="16"/>
      <c r="B26" s="14"/>
      <c r="C26" s="7"/>
    </row>
    <row r="27" spans="1:8" x14ac:dyDescent="0.25">
      <c r="E27" t="s">
        <v>151</v>
      </c>
      <c r="H27" s="20">
        <f>H25*0.5</f>
        <v>3545.1673000000005</v>
      </c>
    </row>
    <row r="28" spans="1:8" ht="15.75" x14ac:dyDescent="0.25">
      <c r="A28" t="s">
        <v>10</v>
      </c>
      <c r="C28" s="10">
        <f>C19-C21-C23-C25</f>
        <v>11374.084000000001</v>
      </c>
      <c r="H28" s="18"/>
    </row>
    <row r="29" spans="1:8" x14ac:dyDescent="0.25">
      <c r="H29" s="3"/>
    </row>
    <row r="30" spans="1:8" x14ac:dyDescent="0.25">
      <c r="H30" s="18"/>
    </row>
  </sheetData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0D310-9CD3-48E9-ACF2-84A98136F9F9}">
  <dimension ref="A1:H30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463</v>
      </c>
    </row>
    <row r="3" spans="1:8" ht="21" x14ac:dyDescent="0.35">
      <c r="A3" s="2" t="s">
        <v>1</v>
      </c>
      <c r="D3" s="11">
        <v>16303</v>
      </c>
      <c r="F3" s="12" t="s">
        <v>3</v>
      </c>
      <c r="H3" s="11">
        <v>2603</v>
      </c>
    </row>
    <row r="4" spans="1:8" x14ac:dyDescent="0.25">
      <c r="A4" s="13" t="s">
        <v>32</v>
      </c>
      <c r="C4" s="26">
        <v>617</v>
      </c>
    </row>
    <row r="5" spans="1:8" ht="21" x14ac:dyDescent="0.35">
      <c r="A5" s="2" t="s">
        <v>2</v>
      </c>
    </row>
    <row r="7" spans="1:8" ht="18.75" x14ac:dyDescent="0.3">
      <c r="A7" s="5" t="s">
        <v>343</v>
      </c>
      <c r="D7" s="4">
        <v>10614</v>
      </c>
      <c r="E7" s="25"/>
      <c r="H7" s="4">
        <v>1939</v>
      </c>
    </row>
    <row r="8" spans="1:8" ht="18.75" x14ac:dyDescent="0.3">
      <c r="A8" s="5"/>
      <c r="C8" s="3"/>
      <c r="D8" s="28"/>
      <c r="E8" s="25"/>
      <c r="H8" s="28"/>
    </row>
    <row r="9" spans="1:8" ht="19.5" thickBot="1" x14ac:dyDescent="0.35">
      <c r="A9" s="5"/>
      <c r="C9" s="3"/>
      <c r="D9" s="22"/>
      <c r="E9" s="25"/>
      <c r="H9" s="22"/>
    </row>
    <row r="10" spans="1:8" ht="18.75" customHeight="1" x14ac:dyDescent="0.3">
      <c r="D10" s="4">
        <f>SUM(D7:D9)</f>
        <v>10614</v>
      </c>
      <c r="H10" s="4">
        <f>SUM(H7:H9)</f>
        <v>1939</v>
      </c>
    </row>
    <row r="11" spans="1:8" ht="18.75" x14ac:dyDescent="0.3">
      <c r="A11" s="5"/>
      <c r="C11" s="3"/>
      <c r="D11" s="4"/>
      <c r="H11" s="4"/>
    </row>
    <row r="13" spans="1:8" ht="18.75" x14ac:dyDescent="0.3">
      <c r="A13" s="5"/>
      <c r="C13" s="3"/>
      <c r="D13" s="4"/>
      <c r="H13" s="4"/>
    </row>
    <row r="14" spans="1:8" ht="15.75" thickBot="1" x14ac:dyDescent="0.3">
      <c r="D14" s="7"/>
      <c r="H14" s="7"/>
    </row>
    <row r="16" spans="1:8" ht="18.75" x14ac:dyDescent="0.3">
      <c r="C16" t="s">
        <v>4</v>
      </c>
      <c r="D16" s="4">
        <f>D3-D10</f>
        <v>5689</v>
      </c>
      <c r="G16" t="s">
        <v>5</v>
      </c>
      <c r="H16" s="4">
        <f>H3-H10</f>
        <v>664</v>
      </c>
    </row>
    <row r="19" spans="1:8" ht="15.75" x14ac:dyDescent="0.25">
      <c r="A19" t="s">
        <v>6</v>
      </c>
      <c r="C19" s="8">
        <f>D16</f>
        <v>5689</v>
      </c>
      <c r="E19" t="s">
        <v>10</v>
      </c>
      <c r="H19" s="6">
        <f>C28</f>
        <v>4959.7879999999996</v>
      </c>
    </row>
    <row r="21" spans="1:8" ht="15.75" x14ac:dyDescent="0.25">
      <c r="A21" t="s">
        <v>5</v>
      </c>
      <c r="B21" s="9" t="s">
        <v>7</v>
      </c>
      <c r="C21" s="8">
        <f>H16</f>
        <v>664</v>
      </c>
      <c r="E21" s="13" t="s">
        <v>11</v>
      </c>
      <c r="F21" s="9" t="s">
        <v>12</v>
      </c>
      <c r="G21" s="15" t="s">
        <v>17</v>
      </c>
      <c r="H21" s="3">
        <f>-(F22*0.007)</f>
        <v>-95.9</v>
      </c>
    </row>
    <row r="22" spans="1:8" x14ac:dyDescent="0.25">
      <c r="F22" s="21">
        <f>D3-H3</f>
        <v>13700</v>
      </c>
    </row>
    <row r="23" spans="1:8" ht="15.75" x14ac:dyDescent="0.25">
      <c r="A23" t="s">
        <v>8</v>
      </c>
      <c r="B23" s="9" t="s">
        <v>7</v>
      </c>
      <c r="C23" s="8">
        <f>D3*0.004</f>
        <v>65.212000000000003</v>
      </c>
      <c r="F23" s="9" t="s">
        <v>13</v>
      </c>
      <c r="G23" s="16">
        <v>0.35</v>
      </c>
      <c r="H23" s="29">
        <f>-(F24*0.35)</f>
        <v>-1735.9257999999998</v>
      </c>
    </row>
    <row r="24" spans="1:8" ht="15.75" thickBot="1" x14ac:dyDescent="0.3">
      <c r="F24" s="21">
        <f>H19</f>
        <v>4959.7879999999996</v>
      </c>
      <c r="H24" s="7"/>
    </row>
    <row r="25" spans="1:8" ht="15.75" x14ac:dyDescent="0.25">
      <c r="A25" t="s">
        <v>9</v>
      </c>
      <c r="B25" s="9" t="s">
        <v>7</v>
      </c>
      <c r="C25" s="10"/>
      <c r="G25" s="13" t="s">
        <v>14</v>
      </c>
      <c r="H25" s="6">
        <f>H19+H21+H23</f>
        <v>3127.9621999999999</v>
      </c>
    </row>
    <row r="26" spans="1:8" ht="15.75" thickBot="1" x14ac:dyDescent="0.3">
      <c r="A26" s="16"/>
      <c r="B26" s="14"/>
      <c r="C26" s="7"/>
    </row>
    <row r="27" spans="1:8" x14ac:dyDescent="0.25">
      <c r="E27" t="s">
        <v>151</v>
      </c>
      <c r="H27" s="20">
        <f>H25*0.5</f>
        <v>1563.9811</v>
      </c>
    </row>
    <row r="28" spans="1:8" ht="15.75" x14ac:dyDescent="0.25">
      <c r="A28" t="s">
        <v>10</v>
      </c>
      <c r="C28" s="10">
        <f>C19-C21-C23-C25</f>
        <v>4959.7879999999996</v>
      </c>
      <c r="H28" s="18"/>
    </row>
    <row r="29" spans="1:8" x14ac:dyDescent="0.25">
      <c r="H29" s="3"/>
    </row>
    <row r="30" spans="1:8" x14ac:dyDescent="0.25">
      <c r="H30" s="18"/>
    </row>
  </sheetData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98EF8-50BE-4068-8D36-30F8F714E932}">
  <dimension ref="A1:H30"/>
  <sheetViews>
    <sheetView workbookViewId="0">
      <selection activeCell="E16" sqref="E1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478</v>
      </c>
    </row>
    <row r="3" spans="1:8" ht="21" x14ac:dyDescent="0.35">
      <c r="A3" s="2" t="s">
        <v>1</v>
      </c>
      <c r="D3" s="11">
        <v>24990</v>
      </c>
      <c r="F3" s="12" t="s">
        <v>3</v>
      </c>
      <c r="H3" s="11">
        <v>3990</v>
      </c>
    </row>
    <row r="4" spans="1:8" x14ac:dyDescent="0.25">
      <c r="A4" s="13" t="s">
        <v>32</v>
      </c>
      <c r="C4" s="26">
        <v>619</v>
      </c>
    </row>
    <row r="5" spans="1:8" ht="21" x14ac:dyDescent="0.35">
      <c r="A5" s="2" t="s">
        <v>2</v>
      </c>
    </row>
    <row r="7" spans="1:8" ht="18.75" x14ac:dyDescent="0.3">
      <c r="A7" s="5" t="s">
        <v>343</v>
      </c>
      <c r="D7" s="4">
        <v>18455</v>
      </c>
      <c r="E7" s="25"/>
      <c r="H7" s="4">
        <v>2947</v>
      </c>
    </row>
    <row r="8" spans="1:8" ht="18.75" x14ac:dyDescent="0.3">
      <c r="A8" s="5"/>
      <c r="C8" s="3"/>
      <c r="D8" s="28"/>
      <c r="E8" s="25"/>
      <c r="H8" s="28"/>
    </row>
    <row r="9" spans="1:8" ht="19.5" thickBot="1" x14ac:dyDescent="0.35">
      <c r="A9" s="5"/>
      <c r="C9" s="3"/>
      <c r="D9" s="22"/>
      <c r="E9" s="25"/>
      <c r="H9" s="22"/>
    </row>
    <row r="10" spans="1:8" ht="18.75" customHeight="1" x14ac:dyDescent="0.3">
      <c r="D10" s="4">
        <f>SUM(D7:D9)</f>
        <v>18455</v>
      </c>
      <c r="H10" s="4">
        <f>SUM(H7:H9)</f>
        <v>2947</v>
      </c>
    </row>
    <row r="11" spans="1:8" ht="18.75" x14ac:dyDescent="0.3">
      <c r="A11" s="5"/>
      <c r="C11" s="3"/>
      <c r="D11" s="4"/>
      <c r="H11" s="4"/>
    </row>
    <row r="13" spans="1:8" ht="18.75" x14ac:dyDescent="0.3">
      <c r="A13" s="5"/>
      <c r="C13" s="3"/>
      <c r="D13" s="4"/>
      <c r="H13" s="4"/>
    </row>
    <row r="14" spans="1:8" ht="15.75" thickBot="1" x14ac:dyDescent="0.3">
      <c r="D14" s="7"/>
      <c r="H14" s="7"/>
    </row>
    <row r="16" spans="1:8" ht="18.75" x14ac:dyDescent="0.3">
      <c r="C16" t="s">
        <v>4</v>
      </c>
      <c r="D16" s="4">
        <f>D3-D10</f>
        <v>6535</v>
      </c>
      <c r="G16" t="s">
        <v>5</v>
      </c>
      <c r="H16" s="4">
        <f>H3-H10</f>
        <v>1043</v>
      </c>
    </row>
    <row r="19" spans="1:8" ht="15.75" x14ac:dyDescent="0.25">
      <c r="A19" t="s">
        <v>6</v>
      </c>
      <c r="C19" s="8">
        <f>D16</f>
        <v>6535</v>
      </c>
      <c r="E19" t="s">
        <v>10</v>
      </c>
      <c r="H19" s="6">
        <f>C28</f>
        <v>5392.04</v>
      </c>
    </row>
    <row r="21" spans="1:8" ht="15.75" x14ac:dyDescent="0.25">
      <c r="A21" t="s">
        <v>5</v>
      </c>
      <c r="B21" s="9" t="s">
        <v>7</v>
      </c>
      <c r="C21" s="8">
        <f>H16</f>
        <v>1043</v>
      </c>
      <c r="E21" s="13" t="s">
        <v>11</v>
      </c>
      <c r="F21" s="9" t="s">
        <v>12</v>
      </c>
      <c r="G21" s="15" t="s">
        <v>17</v>
      </c>
      <c r="H21" s="3">
        <f>-(F22*0.007)</f>
        <v>-147</v>
      </c>
    </row>
    <row r="22" spans="1:8" x14ac:dyDescent="0.25">
      <c r="F22" s="21">
        <f>D3-H3</f>
        <v>21000</v>
      </c>
    </row>
    <row r="23" spans="1:8" ht="15.75" x14ac:dyDescent="0.25">
      <c r="A23" t="s">
        <v>8</v>
      </c>
      <c r="B23" s="9" t="s">
        <v>7</v>
      </c>
      <c r="C23" s="8">
        <f>D3*0.004</f>
        <v>99.960000000000008</v>
      </c>
      <c r="F23" s="9" t="s">
        <v>13</v>
      </c>
      <c r="G23" s="16">
        <v>0.35</v>
      </c>
      <c r="H23" s="29">
        <f>-(F24*0.35)</f>
        <v>-1887.2139999999999</v>
      </c>
    </row>
    <row r="24" spans="1:8" ht="15.75" thickBot="1" x14ac:dyDescent="0.3">
      <c r="F24" s="21">
        <f>H19</f>
        <v>5392.04</v>
      </c>
      <c r="H24" s="7"/>
    </row>
    <row r="25" spans="1:8" ht="15.75" x14ac:dyDescent="0.25">
      <c r="A25" t="s">
        <v>9</v>
      </c>
      <c r="B25" s="9" t="s">
        <v>7</v>
      </c>
      <c r="C25" s="10"/>
      <c r="G25" s="13" t="s">
        <v>14</v>
      </c>
      <c r="H25" s="6">
        <f>H19+H21+H23</f>
        <v>3357.826</v>
      </c>
    </row>
    <row r="26" spans="1:8" ht="15.75" thickBot="1" x14ac:dyDescent="0.3">
      <c r="A26" s="16"/>
      <c r="B26" s="14"/>
      <c r="C26" s="7"/>
    </row>
    <row r="27" spans="1:8" x14ac:dyDescent="0.25">
      <c r="E27" t="s">
        <v>151</v>
      </c>
      <c r="H27" s="20">
        <f>H25*0.5</f>
        <v>1678.913</v>
      </c>
    </row>
    <row r="28" spans="1:8" ht="15.75" x14ac:dyDescent="0.25">
      <c r="A28" t="s">
        <v>10</v>
      </c>
      <c r="C28" s="10">
        <f>C19-C21-C23-C25</f>
        <v>5392.04</v>
      </c>
      <c r="H28" s="18"/>
    </row>
    <row r="29" spans="1:8" x14ac:dyDescent="0.25">
      <c r="H29" s="3"/>
    </row>
    <row r="30" spans="1:8" x14ac:dyDescent="0.25">
      <c r="H30" s="18"/>
    </row>
  </sheetData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5D0BC-5CC5-4705-A5F9-E83EE2B2A1D3}">
  <dimension ref="A1:H31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432</v>
      </c>
    </row>
    <row r="3" spans="1:8" ht="21" x14ac:dyDescent="0.35">
      <c r="A3" s="2" t="s">
        <v>1</v>
      </c>
      <c r="D3" s="11">
        <v>278698</v>
      </c>
      <c r="F3" s="12" t="s">
        <v>3</v>
      </c>
      <c r="H3" s="11">
        <v>44498</v>
      </c>
    </row>
    <row r="4" spans="1:8" x14ac:dyDescent="0.25">
      <c r="A4" s="13" t="s">
        <v>32</v>
      </c>
      <c r="C4" s="26">
        <v>620</v>
      </c>
    </row>
    <row r="5" spans="1:8" ht="21" x14ac:dyDescent="0.35">
      <c r="A5" s="2" t="s">
        <v>2</v>
      </c>
    </row>
    <row r="7" spans="1:8" ht="18.75" x14ac:dyDescent="0.3">
      <c r="A7" s="5" t="s">
        <v>472</v>
      </c>
      <c r="D7" s="4">
        <v>104019</v>
      </c>
      <c r="E7" s="25"/>
      <c r="H7" s="4">
        <v>16608</v>
      </c>
    </row>
    <row r="8" spans="1:8" ht="18.75" x14ac:dyDescent="0.3">
      <c r="A8" s="5" t="s">
        <v>479</v>
      </c>
      <c r="C8" s="3"/>
      <c r="D8" s="28">
        <v>24350</v>
      </c>
      <c r="E8" s="25"/>
      <c r="H8" s="28">
        <v>3888</v>
      </c>
    </row>
    <row r="9" spans="1:8" ht="18.75" x14ac:dyDescent="0.3">
      <c r="A9" s="5" t="s">
        <v>408</v>
      </c>
      <c r="C9" s="3"/>
      <c r="D9" s="28">
        <v>18685</v>
      </c>
      <c r="E9" s="25"/>
      <c r="H9" s="28">
        <v>3550</v>
      </c>
    </row>
    <row r="10" spans="1:8" ht="19.5" thickBot="1" x14ac:dyDescent="0.35">
      <c r="A10" s="5" t="s">
        <v>480</v>
      </c>
      <c r="C10" s="3"/>
      <c r="D10" s="22">
        <v>11305</v>
      </c>
      <c r="E10" s="25"/>
      <c r="H10" s="22">
        <v>1805</v>
      </c>
    </row>
    <row r="11" spans="1:8" ht="18.75" customHeight="1" x14ac:dyDescent="0.3">
      <c r="D11" s="4">
        <f>SUM(D7:D10)</f>
        <v>158359</v>
      </c>
      <c r="H11" s="4">
        <f>SUM(H7:H10)</f>
        <v>25851</v>
      </c>
    </row>
    <row r="12" spans="1:8" ht="18.75" x14ac:dyDescent="0.3">
      <c r="A12" s="5"/>
      <c r="C12" s="3"/>
      <c r="D12" s="4"/>
      <c r="H12" s="4"/>
    </row>
    <row r="14" spans="1:8" ht="18.75" x14ac:dyDescent="0.3">
      <c r="A14" s="5"/>
      <c r="C14" s="3"/>
      <c r="D14" s="4"/>
      <c r="H14" s="4"/>
    </row>
    <row r="15" spans="1:8" ht="15.75" thickBot="1" x14ac:dyDescent="0.3">
      <c r="D15" s="7"/>
      <c r="H15" s="7"/>
    </row>
    <row r="17" spans="1:8" ht="18.75" x14ac:dyDescent="0.3">
      <c r="C17" t="s">
        <v>4</v>
      </c>
      <c r="D17" s="4">
        <f>D3-D11</f>
        <v>120339</v>
      </c>
      <c r="G17" t="s">
        <v>5</v>
      </c>
      <c r="H17" s="4">
        <f>H3-H11</f>
        <v>18647</v>
      </c>
    </row>
    <row r="20" spans="1:8" ht="15.75" x14ac:dyDescent="0.25">
      <c r="A20" t="s">
        <v>6</v>
      </c>
      <c r="C20" s="8">
        <f>D17</f>
        <v>120339</v>
      </c>
      <c r="E20" t="s">
        <v>10</v>
      </c>
      <c r="H20" s="6">
        <f>C29</f>
        <v>100577.208</v>
      </c>
    </row>
    <row r="22" spans="1:8" ht="15.75" x14ac:dyDescent="0.25">
      <c r="A22" t="s">
        <v>5</v>
      </c>
      <c r="B22" s="9" t="s">
        <v>7</v>
      </c>
      <c r="C22" s="8">
        <f>H17</f>
        <v>18647</v>
      </c>
      <c r="E22" s="13" t="s">
        <v>11</v>
      </c>
      <c r="F22" s="9" t="s">
        <v>12</v>
      </c>
      <c r="G22" s="15" t="s">
        <v>17</v>
      </c>
      <c r="H22" s="3">
        <f>-(F23*0.007)</f>
        <v>-1639.4</v>
      </c>
    </row>
    <row r="23" spans="1:8" x14ac:dyDescent="0.25">
      <c r="F23" s="21">
        <f>D3-H3</f>
        <v>234200</v>
      </c>
    </row>
    <row r="24" spans="1:8" ht="15.75" x14ac:dyDescent="0.25">
      <c r="A24" t="s">
        <v>8</v>
      </c>
      <c r="B24" s="9" t="s">
        <v>7</v>
      </c>
      <c r="C24" s="8">
        <f>D3*0.004</f>
        <v>1114.7919999999999</v>
      </c>
      <c r="F24" s="9" t="s">
        <v>13</v>
      </c>
      <c r="G24" s="16">
        <v>0.35</v>
      </c>
      <c r="H24" s="29">
        <f>-(F25*0.35)</f>
        <v>-35202.022799999999</v>
      </c>
    </row>
    <row r="25" spans="1:8" ht="15.75" thickBot="1" x14ac:dyDescent="0.3">
      <c r="F25" s="21">
        <f>H20</f>
        <v>100577.208</v>
      </c>
      <c r="H25" s="7"/>
    </row>
    <row r="26" spans="1:8" ht="15.75" x14ac:dyDescent="0.25">
      <c r="A26" t="s">
        <v>9</v>
      </c>
      <c r="B26" s="9" t="s">
        <v>7</v>
      </c>
      <c r="C26" s="10"/>
      <c r="G26" s="13" t="s">
        <v>14</v>
      </c>
      <c r="H26" s="6">
        <f>H20+H22+H24</f>
        <v>63735.785200000006</v>
      </c>
    </row>
    <row r="27" spans="1:8" ht="15.75" thickBot="1" x14ac:dyDescent="0.3">
      <c r="A27" s="16"/>
      <c r="B27" s="14"/>
      <c r="C27" s="7"/>
    </row>
    <row r="28" spans="1:8" x14ac:dyDescent="0.25">
      <c r="E28" t="s">
        <v>151</v>
      </c>
      <c r="H28" s="20">
        <f>H26*0.5</f>
        <v>31867.892600000003</v>
      </c>
    </row>
    <row r="29" spans="1:8" ht="15.75" x14ac:dyDescent="0.25">
      <c r="A29" t="s">
        <v>10</v>
      </c>
      <c r="C29" s="10">
        <f>C20-C22-C24-C26</f>
        <v>100577.208</v>
      </c>
      <c r="H29" s="18"/>
    </row>
    <row r="30" spans="1:8" x14ac:dyDescent="0.25">
      <c r="H30" s="3"/>
    </row>
    <row r="31" spans="1:8" x14ac:dyDescent="0.25">
      <c r="H31" s="18"/>
    </row>
  </sheetData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220B4-B638-43A0-946A-1B5A483B2857}">
  <dimension ref="A1:H31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461</v>
      </c>
    </row>
    <row r="3" spans="1:8" ht="21" x14ac:dyDescent="0.35">
      <c r="A3" s="2" t="s">
        <v>1</v>
      </c>
      <c r="D3" s="11">
        <v>6919914</v>
      </c>
      <c r="F3" s="12" t="s">
        <v>3</v>
      </c>
      <c r="H3" s="11">
        <v>1128570</v>
      </c>
    </row>
    <row r="4" spans="1:8" x14ac:dyDescent="0.25">
      <c r="A4" s="13" t="s">
        <v>32</v>
      </c>
      <c r="C4" s="26">
        <v>622</v>
      </c>
    </row>
    <row r="5" spans="1:8" ht="21" x14ac:dyDescent="0.35">
      <c r="A5" s="2" t="s">
        <v>2</v>
      </c>
    </row>
    <row r="7" spans="1:8" ht="18.75" x14ac:dyDescent="0.3">
      <c r="A7" s="5" t="s">
        <v>408</v>
      </c>
      <c r="D7" s="4">
        <v>3205239</v>
      </c>
      <c r="E7" s="25"/>
      <c r="H7" s="4">
        <v>511761</v>
      </c>
    </row>
    <row r="8" spans="1:8" ht="18.75" x14ac:dyDescent="0.3">
      <c r="A8" s="5" t="s">
        <v>481</v>
      </c>
      <c r="C8" s="3"/>
      <c r="D8" s="28">
        <v>950000</v>
      </c>
      <c r="E8" s="25"/>
      <c r="H8" s="28">
        <v>0</v>
      </c>
    </row>
    <row r="9" spans="1:8" ht="18.75" x14ac:dyDescent="0.3">
      <c r="A9" s="5" t="s">
        <v>141</v>
      </c>
      <c r="C9" s="3"/>
      <c r="D9" s="28">
        <v>120000</v>
      </c>
      <c r="E9" s="25"/>
      <c r="H9" s="28">
        <v>0</v>
      </c>
    </row>
    <row r="10" spans="1:8" ht="19.5" thickBot="1" x14ac:dyDescent="0.35">
      <c r="A10" s="5"/>
      <c r="C10" s="3"/>
      <c r="D10" s="22"/>
      <c r="E10" s="25"/>
      <c r="H10" s="22"/>
    </row>
    <row r="11" spans="1:8" ht="18.75" customHeight="1" x14ac:dyDescent="0.3">
      <c r="D11" s="4">
        <f>SUM(D7:D10)</f>
        <v>4275239</v>
      </c>
      <c r="H11" s="4">
        <f>SUM(H7:H10)</f>
        <v>511761</v>
      </c>
    </row>
    <row r="12" spans="1:8" ht="18.75" x14ac:dyDescent="0.3">
      <c r="A12" s="5"/>
      <c r="C12" s="3"/>
      <c r="D12" s="4"/>
      <c r="H12" s="4"/>
    </row>
    <row r="14" spans="1:8" ht="18.75" x14ac:dyDescent="0.3">
      <c r="A14" s="5"/>
      <c r="C14" s="3"/>
      <c r="D14" s="4"/>
      <c r="H14" s="4"/>
    </row>
    <row r="15" spans="1:8" ht="15.75" thickBot="1" x14ac:dyDescent="0.3">
      <c r="D15" s="7"/>
      <c r="H15" s="7"/>
    </row>
    <row r="17" spans="1:8" ht="18.75" x14ac:dyDescent="0.3">
      <c r="C17" t="s">
        <v>4</v>
      </c>
      <c r="D17" s="4">
        <f>D3-D11</f>
        <v>2644675</v>
      </c>
      <c r="G17" t="s">
        <v>5</v>
      </c>
      <c r="H17" s="4">
        <f>H3-H11</f>
        <v>616809</v>
      </c>
    </row>
    <row r="20" spans="1:8" ht="15.75" x14ac:dyDescent="0.25">
      <c r="A20" t="s">
        <v>6</v>
      </c>
      <c r="C20" s="8">
        <f>D17</f>
        <v>2644675</v>
      </c>
      <c r="E20" t="s">
        <v>10</v>
      </c>
      <c r="H20" s="6">
        <f>C29</f>
        <v>2000186.344</v>
      </c>
    </row>
    <row r="22" spans="1:8" ht="15.75" x14ac:dyDescent="0.25">
      <c r="A22" t="s">
        <v>5</v>
      </c>
      <c r="B22" s="9" t="s">
        <v>7</v>
      </c>
      <c r="C22" s="8">
        <f>H17</f>
        <v>616809</v>
      </c>
      <c r="E22" s="13" t="s">
        <v>11</v>
      </c>
      <c r="F22" s="9" t="s">
        <v>12</v>
      </c>
      <c r="G22" s="15" t="s">
        <v>17</v>
      </c>
      <c r="H22" s="3">
        <f>-(F23*0.007)</f>
        <v>-41578.879999999997</v>
      </c>
    </row>
    <row r="23" spans="1:8" x14ac:dyDescent="0.25">
      <c r="F23" s="21">
        <v>5939840</v>
      </c>
    </row>
    <row r="24" spans="1:8" ht="15.75" x14ac:dyDescent="0.25">
      <c r="A24" t="s">
        <v>8</v>
      </c>
      <c r="B24" s="9" t="s">
        <v>7</v>
      </c>
      <c r="C24" s="8">
        <f>D3*0.004</f>
        <v>27679.655999999999</v>
      </c>
      <c r="F24" s="9" t="s">
        <v>13</v>
      </c>
      <c r="G24" s="16">
        <v>0.35</v>
      </c>
      <c r="H24" s="29">
        <f>-(F25*0.35)</f>
        <v>-700065.22039999999</v>
      </c>
    </row>
    <row r="25" spans="1:8" ht="15.75" thickBot="1" x14ac:dyDescent="0.3">
      <c r="F25" s="21">
        <f>H20</f>
        <v>2000186.344</v>
      </c>
      <c r="H25" s="7"/>
    </row>
    <row r="26" spans="1:8" ht="15.75" x14ac:dyDescent="0.25">
      <c r="A26" t="s">
        <v>9</v>
      </c>
      <c r="B26" s="9" t="s">
        <v>7</v>
      </c>
      <c r="C26" s="10"/>
      <c r="G26" s="13" t="s">
        <v>14</v>
      </c>
      <c r="H26" s="6">
        <f>H20+H22+H24</f>
        <v>1258542.2436000002</v>
      </c>
    </row>
    <row r="27" spans="1:8" ht="15.75" thickBot="1" x14ac:dyDescent="0.3">
      <c r="A27" s="16"/>
      <c r="B27" s="14"/>
      <c r="C27" s="7"/>
    </row>
    <row r="28" spans="1:8" x14ac:dyDescent="0.25">
      <c r="E28" t="s">
        <v>151</v>
      </c>
      <c r="H28" s="20">
        <f>H26*0.5</f>
        <v>629271.12180000008</v>
      </c>
    </row>
    <row r="29" spans="1:8" ht="15.75" x14ac:dyDescent="0.25">
      <c r="A29" t="s">
        <v>10</v>
      </c>
      <c r="C29" s="10">
        <f>C20-C22-C24-C26</f>
        <v>2000186.344</v>
      </c>
      <c r="H29" s="18"/>
    </row>
    <row r="30" spans="1:8" x14ac:dyDescent="0.25">
      <c r="H30" s="3"/>
    </row>
    <row r="31" spans="1:8" x14ac:dyDescent="0.25">
      <c r="H31" s="18"/>
    </row>
  </sheetData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B10BD-3ECF-4CCC-A4BF-F7D8888960CF}">
  <dimension ref="A1:H31"/>
  <sheetViews>
    <sheetView workbookViewId="0">
      <selection activeCell="I16" sqref="I1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482</v>
      </c>
    </row>
    <row r="3" spans="1:8" ht="21" x14ac:dyDescent="0.35">
      <c r="A3" s="2" t="s">
        <v>1</v>
      </c>
      <c r="D3" s="11">
        <v>624607</v>
      </c>
      <c r="F3" s="12" t="s">
        <v>3</v>
      </c>
      <c r="H3" s="11">
        <v>99727</v>
      </c>
    </row>
    <row r="4" spans="1:8" x14ac:dyDescent="0.25">
      <c r="A4" s="13" t="s">
        <v>32</v>
      </c>
      <c r="C4" s="26">
        <v>623</v>
      </c>
    </row>
    <row r="5" spans="1:8" ht="21" x14ac:dyDescent="0.35">
      <c r="A5" s="2" t="s">
        <v>2</v>
      </c>
    </row>
    <row r="7" spans="1:8" ht="18.75" x14ac:dyDescent="0.3">
      <c r="A7" s="5" t="s">
        <v>393</v>
      </c>
      <c r="D7" s="4">
        <v>398382</v>
      </c>
      <c r="E7" s="25"/>
      <c r="H7" s="4">
        <v>68397</v>
      </c>
    </row>
    <row r="8" spans="1:8" ht="18.75" x14ac:dyDescent="0.3">
      <c r="A8" s="5" t="s">
        <v>453</v>
      </c>
      <c r="C8" s="3"/>
      <c r="D8" s="28">
        <v>20000</v>
      </c>
      <c r="E8" s="25"/>
      <c r="H8" s="28"/>
    </row>
    <row r="9" spans="1:8" ht="18.75" x14ac:dyDescent="0.3">
      <c r="A9" s="5"/>
      <c r="C9" s="3"/>
      <c r="D9" s="28"/>
      <c r="E9" s="25"/>
      <c r="H9" s="28"/>
    </row>
    <row r="10" spans="1:8" ht="19.5" thickBot="1" x14ac:dyDescent="0.35">
      <c r="A10" s="5"/>
      <c r="C10" s="3"/>
      <c r="D10" s="22"/>
      <c r="E10" s="25"/>
      <c r="H10" s="22"/>
    </row>
    <row r="11" spans="1:8" ht="18.75" customHeight="1" x14ac:dyDescent="0.3">
      <c r="D11" s="4">
        <f>SUM(D7:D10)</f>
        <v>418382</v>
      </c>
      <c r="H11" s="4">
        <f>SUM(H7:H10)</f>
        <v>68397</v>
      </c>
    </row>
    <row r="12" spans="1:8" ht="18.75" x14ac:dyDescent="0.3">
      <c r="A12" s="5"/>
      <c r="C12" s="3"/>
      <c r="D12" s="4"/>
      <c r="H12" s="4"/>
    </row>
    <row r="14" spans="1:8" ht="18.75" x14ac:dyDescent="0.3">
      <c r="A14" s="5"/>
      <c r="C14" s="3"/>
      <c r="D14" s="4"/>
      <c r="H14" s="4"/>
    </row>
    <row r="15" spans="1:8" ht="15.75" thickBot="1" x14ac:dyDescent="0.3">
      <c r="D15" s="7"/>
      <c r="H15" s="7"/>
    </row>
    <row r="17" spans="1:8" ht="18.75" x14ac:dyDescent="0.3">
      <c r="C17" t="s">
        <v>4</v>
      </c>
      <c r="D17" s="4">
        <f>D3-D11</f>
        <v>206225</v>
      </c>
      <c r="G17" t="s">
        <v>5</v>
      </c>
      <c r="H17" s="4">
        <f>H3-H11</f>
        <v>31330</v>
      </c>
    </row>
    <row r="20" spans="1:8" ht="15.75" x14ac:dyDescent="0.25">
      <c r="A20" t="s">
        <v>6</v>
      </c>
      <c r="C20" s="8">
        <f>D17</f>
        <v>206225</v>
      </c>
      <c r="E20" t="s">
        <v>10</v>
      </c>
      <c r="H20" s="6">
        <f>C29</f>
        <v>172396.57199999999</v>
      </c>
    </row>
    <row r="22" spans="1:8" ht="15.75" x14ac:dyDescent="0.25">
      <c r="A22" t="s">
        <v>5</v>
      </c>
      <c r="B22" s="9" t="s">
        <v>7</v>
      </c>
      <c r="C22" s="8">
        <f>H17</f>
        <v>31330</v>
      </c>
      <c r="E22" s="13" t="s">
        <v>11</v>
      </c>
      <c r="F22" s="9" t="s">
        <v>12</v>
      </c>
      <c r="G22" s="15" t="s">
        <v>17</v>
      </c>
      <c r="H22" s="3">
        <f>-(F23*0.007)</f>
        <v>-3674.16</v>
      </c>
    </row>
    <row r="23" spans="1:8" x14ac:dyDescent="0.25">
      <c r="F23" s="21">
        <f>D3-H3</f>
        <v>524880</v>
      </c>
    </row>
    <row r="24" spans="1:8" ht="15.75" x14ac:dyDescent="0.25">
      <c r="A24" t="s">
        <v>8</v>
      </c>
      <c r="B24" s="9" t="s">
        <v>7</v>
      </c>
      <c r="C24" s="8">
        <f>D3*0.004</f>
        <v>2498.4279999999999</v>
      </c>
      <c r="F24" s="9" t="s">
        <v>13</v>
      </c>
      <c r="G24" s="16">
        <v>0.35</v>
      </c>
      <c r="H24" s="29">
        <f>-(F25*0.35)</f>
        <v>-60338.800199999991</v>
      </c>
    </row>
    <row r="25" spans="1:8" ht="15.75" thickBot="1" x14ac:dyDescent="0.3">
      <c r="F25" s="21">
        <f>H20</f>
        <v>172396.57199999999</v>
      </c>
      <c r="H25" s="7"/>
    </row>
    <row r="26" spans="1:8" ht="15.75" x14ac:dyDescent="0.25">
      <c r="A26" t="s">
        <v>9</v>
      </c>
      <c r="B26" s="9" t="s">
        <v>7</v>
      </c>
      <c r="C26" s="10"/>
      <c r="G26" s="13" t="s">
        <v>14</v>
      </c>
      <c r="H26" s="6">
        <f>H20+H22+H24</f>
        <v>108383.61179999998</v>
      </c>
    </row>
    <row r="27" spans="1:8" ht="15.75" thickBot="1" x14ac:dyDescent="0.3">
      <c r="A27" s="16"/>
      <c r="B27" s="14"/>
      <c r="C27" s="7"/>
    </row>
    <row r="28" spans="1:8" x14ac:dyDescent="0.25">
      <c r="E28" t="s">
        <v>151</v>
      </c>
      <c r="H28" s="20">
        <f>H26*0.5</f>
        <v>54191.805899999992</v>
      </c>
    </row>
    <row r="29" spans="1:8" ht="15.75" x14ac:dyDescent="0.25">
      <c r="A29" t="s">
        <v>10</v>
      </c>
      <c r="C29" s="10">
        <f>C20-C22-C24-C26</f>
        <v>172396.57199999999</v>
      </c>
      <c r="H29" s="18"/>
    </row>
    <row r="30" spans="1:8" x14ac:dyDescent="0.25">
      <c r="H30" s="3"/>
    </row>
    <row r="31" spans="1:8" x14ac:dyDescent="0.25">
      <c r="H31" s="18"/>
    </row>
  </sheetData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B58DD-9429-4278-8DED-A74809A84975}">
  <dimension ref="A1:H31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483</v>
      </c>
    </row>
    <row r="3" spans="1:8" ht="21" x14ac:dyDescent="0.35">
      <c r="A3" s="2" t="s">
        <v>1</v>
      </c>
      <c r="D3" s="11">
        <v>1713715</v>
      </c>
      <c r="F3" s="12" t="s">
        <v>3</v>
      </c>
      <c r="H3" s="11">
        <v>279490</v>
      </c>
    </row>
    <row r="4" spans="1:8" x14ac:dyDescent="0.25">
      <c r="A4" s="13" t="s">
        <v>32</v>
      </c>
      <c r="C4" s="26">
        <v>627</v>
      </c>
    </row>
    <row r="5" spans="1:8" ht="21" x14ac:dyDescent="0.35">
      <c r="A5" s="2" t="s">
        <v>2</v>
      </c>
    </row>
    <row r="7" spans="1:8" ht="18.75" x14ac:dyDescent="0.3">
      <c r="A7" s="5" t="s">
        <v>484</v>
      </c>
      <c r="D7" s="4">
        <v>1346961</v>
      </c>
      <c r="E7" s="25"/>
      <c r="H7" s="4">
        <v>215061</v>
      </c>
    </row>
    <row r="8" spans="1:8" ht="18.75" x14ac:dyDescent="0.3">
      <c r="A8" s="5"/>
      <c r="C8" s="3"/>
      <c r="D8" s="28"/>
      <c r="E8" s="25"/>
      <c r="H8" s="28"/>
    </row>
    <row r="9" spans="1:8" ht="18.75" x14ac:dyDescent="0.3">
      <c r="A9" s="5"/>
      <c r="C9" s="3"/>
      <c r="D9" s="28"/>
      <c r="E9" s="25"/>
      <c r="H9" s="28"/>
    </row>
    <row r="10" spans="1:8" ht="19.5" thickBot="1" x14ac:dyDescent="0.35">
      <c r="A10" s="5"/>
      <c r="C10" s="3"/>
      <c r="D10" s="22"/>
      <c r="E10" s="25"/>
      <c r="H10" s="22"/>
    </row>
    <row r="11" spans="1:8" ht="18.75" customHeight="1" x14ac:dyDescent="0.3">
      <c r="D11" s="4">
        <f>SUM(D7:D10)</f>
        <v>1346961</v>
      </c>
      <c r="H11" s="4">
        <f>SUM(H7:H10)</f>
        <v>215061</v>
      </c>
    </row>
    <row r="12" spans="1:8" ht="18.75" x14ac:dyDescent="0.3">
      <c r="A12" s="5"/>
      <c r="C12" s="3"/>
      <c r="D12" s="4"/>
      <c r="H12" s="4"/>
    </row>
    <row r="14" spans="1:8" ht="18.75" x14ac:dyDescent="0.3">
      <c r="A14" s="5"/>
      <c r="C14" s="3"/>
      <c r="D14" s="4"/>
      <c r="H14" s="4"/>
    </row>
    <row r="15" spans="1:8" ht="15.75" thickBot="1" x14ac:dyDescent="0.3">
      <c r="D15" s="7"/>
      <c r="H15" s="7"/>
    </row>
    <row r="17" spans="1:8" ht="18.75" x14ac:dyDescent="0.3">
      <c r="C17" t="s">
        <v>4</v>
      </c>
      <c r="D17" s="4">
        <f>D3-D11</f>
        <v>366754</v>
      </c>
      <c r="G17" t="s">
        <v>5</v>
      </c>
      <c r="H17" s="4">
        <f>H3-H11</f>
        <v>64429</v>
      </c>
    </row>
    <row r="20" spans="1:8" ht="15.75" x14ac:dyDescent="0.25">
      <c r="A20" t="s">
        <v>6</v>
      </c>
      <c r="C20" s="8">
        <f>D17</f>
        <v>366754</v>
      </c>
      <c r="E20" t="s">
        <v>10</v>
      </c>
      <c r="H20" s="6">
        <f>C29</f>
        <v>295470.14</v>
      </c>
    </row>
    <row r="22" spans="1:8" ht="15.75" x14ac:dyDescent="0.25">
      <c r="A22" t="s">
        <v>5</v>
      </c>
      <c r="B22" s="9" t="s">
        <v>7</v>
      </c>
      <c r="C22" s="8">
        <f>H17</f>
        <v>64429</v>
      </c>
      <c r="E22" s="13" t="s">
        <v>11</v>
      </c>
      <c r="F22" s="9" t="s">
        <v>12</v>
      </c>
      <c r="G22" s="15" t="s">
        <v>17</v>
      </c>
      <c r="H22" s="3">
        <f>-(F23*0.007)</f>
        <v>-10297</v>
      </c>
    </row>
    <row r="23" spans="1:8" x14ac:dyDescent="0.25">
      <c r="F23" s="21">
        <v>1471000</v>
      </c>
    </row>
    <row r="24" spans="1:8" ht="15.75" x14ac:dyDescent="0.25">
      <c r="A24" t="s">
        <v>8</v>
      </c>
      <c r="B24" s="9" t="s">
        <v>7</v>
      </c>
      <c r="C24" s="8">
        <f>D3*0.004</f>
        <v>6854.8600000000006</v>
      </c>
      <c r="F24" s="9" t="s">
        <v>13</v>
      </c>
      <c r="G24" s="16">
        <v>0.35</v>
      </c>
      <c r="H24" s="29">
        <f>-(F25*0.35)</f>
        <v>-103414.549</v>
      </c>
    </row>
    <row r="25" spans="1:8" ht="15.75" thickBot="1" x14ac:dyDescent="0.3">
      <c r="F25" s="21">
        <f>H20</f>
        <v>295470.14</v>
      </c>
      <c r="H25" s="7"/>
    </row>
    <row r="26" spans="1:8" ht="15.75" x14ac:dyDescent="0.25">
      <c r="A26" t="s">
        <v>9</v>
      </c>
      <c r="B26" s="9" t="s">
        <v>7</v>
      </c>
      <c r="C26" s="10"/>
      <c r="G26" s="13" t="s">
        <v>14</v>
      </c>
      <c r="H26" s="6">
        <f>H20+H22+H24</f>
        <v>181758.59100000001</v>
      </c>
    </row>
    <row r="27" spans="1:8" ht="15.75" thickBot="1" x14ac:dyDescent="0.3">
      <c r="A27" s="16"/>
      <c r="B27" s="14"/>
      <c r="C27" s="7"/>
    </row>
    <row r="28" spans="1:8" x14ac:dyDescent="0.25">
      <c r="E28" t="s">
        <v>151</v>
      </c>
      <c r="H28" s="20">
        <f>H26*0.5</f>
        <v>90879.295500000007</v>
      </c>
    </row>
    <row r="29" spans="1:8" ht="15.75" x14ac:dyDescent="0.25">
      <c r="A29" t="s">
        <v>10</v>
      </c>
      <c r="C29" s="10">
        <f>C20-C22-C24-C26</f>
        <v>295470.14</v>
      </c>
      <c r="H29" s="18"/>
    </row>
    <row r="30" spans="1:8" x14ac:dyDescent="0.25">
      <c r="H30" s="3"/>
    </row>
    <row r="31" spans="1:8" x14ac:dyDescent="0.25">
      <c r="H31" s="18"/>
    </row>
  </sheetData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855B6-49E4-413D-8932-2ABB248A6189}">
  <dimension ref="A1:H31"/>
  <sheetViews>
    <sheetView workbookViewId="0">
      <selection activeCell="E9" sqref="E9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485</v>
      </c>
    </row>
    <row r="3" spans="1:8" ht="21" x14ac:dyDescent="0.35">
      <c r="A3" s="2" t="s">
        <v>1</v>
      </c>
      <c r="D3" s="11">
        <v>387940</v>
      </c>
      <c r="F3" s="12" t="s">
        <v>3</v>
      </c>
      <c r="H3" s="11">
        <v>61940</v>
      </c>
    </row>
    <row r="4" spans="1:8" x14ac:dyDescent="0.25">
      <c r="A4" s="13" t="s">
        <v>32</v>
      </c>
      <c r="C4" s="26">
        <v>630</v>
      </c>
    </row>
    <row r="5" spans="1:8" ht="21" x14ac:dyDescent="0.35">
      <c r="A5" s="2" t="s">
        <v>2</v>
      </c>
    </row>
    <row r="7" spans="1:8" ht="18.75" x14ac:dyDescent="0.3">
      <c r="A7" s="5" t="s">
        <v>486</v>
      </c>
      <c r="D7" s="4">
        <v>256361</v>
      </c>
      <c r="E7" s="25"/>
      <c r="H7" s="4">
        <v>40932</v>
      </c>
    </row>
    <row r="8" spans="1:8" ht="18.75" x14ac:dyDescent="0.3">
      <c r="A8" s="5" t="s">
        <v>487</v>
      </c>
      <c r="C8" s="3"/>
      <c r="D8" s="28">
        <v>28000</v>
      </c>
      <c r="E8" s="25"/>
      <c r="H8" s="28"/>
    </row>
    <row r="9" spans="1:8" ht="18.75" x14ac:dyDescent="0.3">
      <c r="A9" s="5"/>
      <c r="C9" s="3"/>
      <c r="D9" s="28"/>
      <c r="E9" s="25"/>
      <c r="H9" s="28"/>
    </row>
    <row r="10" spans="1:8" ht="19.5" thickBot="1" x14ac:dyDescent="0.35">
      <c r="A10" s="5"/>
      <c r="C10" s="3"/>
      <c r="D10" s="22"/>
      <c r="E10" s="25"/>
      <c r="H10" s="22"/>
    </row>
    <row r="11" spans="1:8" ht="18.75" customHeight="1" x14ac:dyDescent="0.3">
      <c r="D11" s="4">
        <f>SUM(D7:D10)</f>
        <v>284361</v>
      </c>
      <c r="H11" s="4">
        <f>SUM(H7:H10)</f>
        <v>40932</v>
      </c>
    </row>
    <row r="12" spans="1:8" ht="18.75" x14ac:dyDescent="0.3">
      <c r="A12" s="5"/>
      <c r="C12" s="3"/>
      <c r="D12" s="4"/>
      <c r="H12" s="4"/>
    </row>
    <row r="14" spans="1:8" ht="18.75" x14ac:dyDescent="0.3">
      <c r="A14" s="5"/>
      <c r="C14" s="3"/>
      <c r="D14" s="4"/>
      <c r="H14" s="4"/>
    </row>
    <row r="15" spans="1:8" ht="15.75" thickBot="1" x14ac:dyDescent="0.3">
      <c r="D15" s="7"/>
      <c r="H15" s="7"/>
    </row>
    <row r="17" spans="1:8" ht="18.75" x14ac:dyDescent="0.3">
      <c r="C17" t="s">
        <v>4</v>
      </c>
      <c r="D17" s="4">
        <f>D3-D11</f>
        <v>103579</v>
      </c>
      <c r="G17" t="s">
        <v>5</v>
      </c>
      <c r="H17" s="4">
        <f>H3-H11</f>
        <v>21008</v>
      </c>
    </row>
    <row r="20" spans="1:8" ht="15.75" x14ac:dyDescent="0.25">
      <c r="A20" t="s">
        <v>6</v>
      </c>
      <c r="C20" s="8">
        <f>D17</f>
        <v>103579</v>
      </c>
      <c r="E20" t="s">
        <v>10</v>
      </c>
      <c r="H20" s="6">
        <f>C29</f>
        <v>81019.240000000005</v>
      </c>
    </row>
    <row r="22" spans="1:8" ht="15.75" x14ac:dyDescent="0.25">
      <c r="A22" t="s">
        <v>5</v>
      </c>
      <c r="B22" s="9" t="s">
        <v>7</v>
      </c>
      <c r="C22" s="8">
        <f>H17</f>
        <v>21008</v>
      </c>
      <c r="E22" s="13" t="s">
        <v>11</v>
      </c>
      <c r="F22" s="9" t="s">
        <v>12</v>
      </c>
      <c r="G22" s="15" t="s">
        <v>17</v>
      </c>
      <c r="H22" s="3">
        <f>-(F23*0.007)</f>
        <v>-2282</v>
      </c>
    </row>
    <row r="23" spans="1:8" x14ac:dyDescent="0.25">
      <c r="F23" s="21">
        <f>D3-H3</f>
        <v>326000</v>
      </c>
    </row>
    <row r="24" spans="1:8" ht="15.75" x14ac:dyDescent="0.25">
      <c r="A24" t="s">
        <v>8</v>
      </c>
      <c r="B24" s="9" t="s">
        <v>7</v>
      </c>
      <c r="C24" s="8">
        <f>D3*0.004</f>
        <v>1551.76</v>
      </c>
      <c r="F24" s="9" t="s">
        <v>13</v>
      </c>
      <c r="G24" s="16">
        <v>0.35</v>
      </c>
      <c r="H24" s="29">
        <f>-(F25*0.35)</f>
        <v>-28356.734</v>
      </c>
    </row>
    <row r="25" spans="1:8" ht="15.75" thickBot="1" x14ac:dyDescent="0.3">
      <c r="F25" s="21">
        <f>H20</f>
        <v>81019.240000000005</v>
      </c>
      <c r="H25" s="7"/>
    </row>
    <row r="26" spans="1:8" ht="15.75" x14ac:dyDescent="0.25">
      <c r="A26" t="s">
        <v>9</v>
      </c>
      <c r="B26" s="9" t="s">
        <v>7</v>
      </c>
      <c r="C26" s="10"/>
      <c r="G26" s="13" t="s">
        <v>14</v>
      </c>
      <c r="H26" s="6">
        <f>H20+H22+H24</f>
        <v>50380.506000000008</v>
      </c>
    </row>
    <row r="27" spans="1:8" ht="15.75" thickBot="1" x14ac:dyDescent="0.3">
      <c r="A27" s="16"/>
      <c r="B27" s="14"/>
      <c r="C27" s="7"/>
    </row>
    <row r="28" spans="1:8" x14ac:dyDescent="0.25">
      <c r="E28" t="s">
        <v>151</v>
      </c>
      <c r="H28" s="20">
        <f>H26*0.5</f>
        <v>25190.253000000004</v>
      </c>
    </row>
    <row r="29" spans="1:8" ht="15.75" x14ac:dyDescent="0.25">
      <c r="A29" t="s">
        <v>10</v>
      </c>
      <c r="C29" s="10">
        <f>C20-C22-C24-C26</f>
        <v>81019.240000000005</v>
      </c>
      <c r="H29" s="18"/>
    </row>
    <row r="30" spans="1:8" x14ac:dyDescent="0.25">
      <c r="H30" s="3"/>
    </row>
    <row r="31" spans="1:8" x14ac:dyDescent="0.25">
      <c r="H31" s="18"/>
    </row>
  </sheetData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F3D4C-2AD2-4A1C-A0E9-3C196D3294E5}">
  <dimension ref="A1:H31"/>
  <sheetViews>
    <sheetView workbookViewId="0">
      <selection activeCell="C4" sqref="C4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488</v>
      </c>
    </row>
    <row r="3" spans="1:8" ht="21" x14ac:dyDescent="0.35">
      <c r="A3" s="2" t="s">
        <v>1</v>
      </c>
      <c r="D3" s="11">
        <v>166600</v>
      </c>
      <c r="F3" s="12" t="s">
        <v>3</v>
      </c>
      <c r="H3" s="11">
        <v>26600</v>
      </c>
    </row>
    <row r="4" spans="1:8" x14ac:dyDescent="0.25">
      <c r="A4" s="13" t="s">
        <v>32</v>
      </c>
      <c r="C4" s="26">
        <v>631</v>
      </c>
    </row>
    <row r="5" spans="1:8" ht="21" x14ac:dyDescent="0.35">
      <c r="A5" s="2" t="s">
        <v>2</v>
      </c>
    </row>
    <row r="7" spans="1:8" ht="18.75" x14ac:dyDescent="0.3">
      <c r="A7" s="5" t="s">
        <v>489</v>
      </c>
      <c r="D7" s="4">
        <v>109456</v>
      </c>
      <c r="E7" s="25"/>
      <c r="H7" s="4">
        <v>17476</v>
      </c>
    </row>
    <row r="8" spans="1:8" ht="18.75" x14ac:dyDescent="0.3">
      <c r="A8" s="5"/>
      <c r="C8" s="3"/>
      <c r="D8" s="28"/>
      <c r="E8" s="25"/>
      <c r="H8" s="28"/>
    </row>
    <row r="9" spans="1:8" ht="18.75" x14ac:dyDescent="0.3">
      <c r="A9" s="5"/>
      <c r="C9" s="3"/>
      <c r="D9" s="28"/>
      <c r="E9" s="25"/>
      <c r="H9" s="28"/>
    </row>
    <row r="10" spans="1:8" ht="19.5" thickBot="1" x14ac:dyDescent="0.35">
      <c r="A10" s="5"/>
      <c r="C10" s="3"/>
      <c r="D10" s="22"/>
      <c r="E10" s="25"/>
      <c r="H10" s="22"/>
    </row>
    <row r="11" spans="1:8" ht="18.75" customHeight="1" x14ac:dyDescent="0.3">
      <c r="D11" s="4">
        <f>SUM(D7:D10)</f>
        <v>109456</v>
      </c>
      <c r="H11" s="4">
        <f>SUM(H7:H10)</f>
        <v>17476</v>
      </c>
    </row>
    <row r="12" spans="1:8" ht="18.75" x14ac:dyDescent="0.3">
      <c r="A12" s="5"/>
      <c r="C12" s="3"/>
      <c r="D12" s="4"/>
      <c r="H12" s="4"/>
    </row>
    <row r="14" spans="1:8" ht="18.75" x14ac:dyDescent="0.3">
      <c r="A14" s="5"/>
      <c r="C14" s="3"/>
      <c r="D14" s="4"/>
      <c r="H14" s="4"/>
    </row>
    <row r="15" spans="1:8" ht="15.75" thickBot="1" x14ac:dyDescent="0.3">
      <c r="D15" s="7"/>
      <c r="H15" s="7"/>
    </row>
    <row r="17" spans="1:8" ht="18.75" x14ac:dyDescent="0.3">
      <c r="C17" t="s">
        <v>4</v>
      </c>
      <c r="D17" s="4">
        <f>D3-D11</f>
        <v>57144</v>
      </c>
      <c r="G17" t="s">
        <v>5</v>
      </c>
      <c r="H17" s="4">
        <f>H3-H11</f>
        <v>9124</v>
      </c>
    </row>
    <row r="20" spans="1:8" ht="15.75" x14ac:dyDescent="0.25">
      <c r="A20" t="s">
        <v>6</v>
      </c>
      <c r="C20" s="8">
        <f>D17</f>
        <v>57144</v>
      </c>
      <c r="E20" t="s">
        <v>10</v>
      </c>
      <c r="H20" s="6">
        <f>C29</f>
        <v>47353.599999999999</v>
      </c>
    </row>
    <row r="22" spans="1:8" ht="15.75" x14ac:dyDescent="0.25">
      <c r="A22" t="s">
        <v>5</v>
      </c>
      <c r="B22" s="9" t="s">
        <v>7</v>
      </c>
      <c r="C22" s="8">
        <f>H17</f>
        <v>9124</v>
      </c>
      <c r="E22" s="13" t="s">
        <v>11</v>
      </c>
      <c r="F22" s="9" t="s">
        <v>12</v>
      </c>
      <c r="G22" s="15" t="s">
        <v>17</v>
      </c>
      <c r="H22" s="3">
        <f>-(F23*0.007)</f>
        <v>-980</v>
      </c>
    </row>
    <row r="23" spans="1:8" x14ac:dyDescent="0.25">
      <c r="F23" s="21">
        <f>D3-H3</f>
        <v>140000</v>
      </c>
    </row>
    <row r="24" spans="1:8" ht="15.75" x14ac:dyDescent="0.25">
      <c r="A24" t="s">
        <v>8</v>
      </c>
      <c r="B24" s="9" t="s">
        <v>7</v>
      </c>
      <c r="C24" s="8">
        <f>D3*0.004</f>
        <v>666.4</v>
      </c>
      <c r="F24" s="9" t="s">
        <v>13</v>
      </c>
      <c r="G24" s="16">
        <v>0.35</v>
      </c>
      <c r="H24" s="29">
        <f>-(F25*0.35)</f>
        <v>-16573.759999999998</v>
      </c>
    </row>
    <row r="25" spans="1:8" ht="15.75" thickBot="1" x14ac:dyDescent="0.3">
      <c r="F25" s="21">
        <f>H20</f>
        <v>47353.599999999999</v>
      </c>
      <c r="H25" s="7"/>
    </row>
    <row r="26" spans="1:8" ht="15.75" x14ac:dyDescent="0.25">
      <c r="A26" t="s">
        <v>9</v>
      </c>
      <c r="B26" s="9" t="s">
        <v>7</v>
      </c>
      <c r="C26" s="10"/>
      <c r="G26" s="13" t="s">
        <v>14</v>
      </c>
      <c r="H26" s="6">
        <f>H20+H22+H24</f>
        <v>29799.84</v>
      </c>
    </row>
    <row r="27" spans="1:8" ht="15.75" thickBot="1" x14ac:dyDescent="0.3">
      <c r="A27" s="16"/>
      <c r="B27" s="14"/>
      <c r="C27" s="7"/>
    </row>
    <row r="28" spans="1:8" x14ac:dyDescent="0.25">
      <c r="E28" t="s">
        <v>151</v>
      </c>
      <c r="H28" s="20">
        <f>H26*0.5</f>
        <v>14899.92</v>
      </c>
    </row>
    <row r="29" spans="1:8" ht="15.75" x14ac:dyDescent="0.25">
      <c r="A29" t="s">
        <v>10</v>
      </c>
      <c r="C29" s="10">
        <f>C20-C22-C24-C26</f>
        <v>47353.599999999999</v>
      </c>
      <c r="H29" s="18"/>
    </row>
    <row r="30" spans="1:8" x14ac:dyDescent="0.25">
      <c r="H30" s="3"/>
    </row>
    <row r="31" spans="1:8" x14ac:dyDescent="0.25">
      <c r="H31" s="18"/>
    </row>
  </sheetData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97CB1-5906-4254-81B4-5756F69C32AB}">
  <dimension ref="A1:H31"/>
  <sheetViews>
    <sheetView workbookViewId="0">
      <selection activeCell="C4" sqref="C4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490</v>
      </c>
    </row>
    <row r="3" spans="1:8" ht="21" x14ac:dyDescent="0.35">
      <c r="A3" s="2" t="s">
        <v>1</v>
      </c>
      <c r="D3" s="11">
        <v>3799880</v>
      </c>
      <c r="F3" s="12" t="s">
        <v>3</v>
      </c>
      <c r="H3" s="11">
        <v>619723</v>
      </c>
    </row>
    <row r="4" spans="1:8" x14ac:dyDescent="0.25">
      <c r="A4" s="13" t="s">
        <v>32</v>
      </c>
      <c r="C4" s="26">
        <v>633</v>
      </c>
    </row>
    <row r="5" spans="1:8" ht="21" x14ac:dyDescent="0.35">
      <c r="A5" s="2" t="s">
        <v>2</v>
      </c>
    </row>
    <row r="7" spans="1:8" ht="18.75" x14ac:dyDescent="0.3">
      <c r="A7" s="5" t="s">
        <v>491</v>
      </c>
      <c r="D7" s="4">
        <v>3094000</v>
      </c>
      <c r="E7" s="25"/>
      <c r="H7" s="4">
        <v>494000</v>
      </c>
    </row>
    <row r="8" spans="1:8" ht="18.75" x14ac:dyDescent="0.3">
      <c r="A8" s="5"/>
      <c r="C8" s="3"/>
      <c r="D8" s="28"/>
      <c r="E8" s="25"/>
      <c r="H8" s="28"/>
    </row>
    <row r="9" spans="1:8" ht="18.75" x14ac:dyDescent="0.3">
      <c r="A9" s="5"/>
      <c r="C9" s="3"/>
      <c r="D9" s="28"/>
      <c r="E9" s="25"/>
      <c r="H9" s="28"/>
    </row>
    <row r="10" spans="1:8" ht="19.5" thickBot="1" x14ac:dyDescent="0.35">
      <c r="A10" s="5"/>
      <c r="C10" s="3"/>
      <c r="D10" s="22"/>
      <c r="E10" s="25"/>
      <c r="H10" s="22"/>
    </row>
    <row r="11" spans="1:8" ht="18.75" customHeight="1" x14ac:dyDescent="0.3">
      <c r="D11" s="4">
        <f>SUM(D7:D10)</f>
        <v>3094000</v>
      </c>
      <c r="H11" s="4">
        <f>SUM(H7:H10)</f>
        <v>494000</v>
      </c>
    </row>
    <row r="12" spans="1:8" ht="18.75" x14ac:dyDescent="0.3">
      <c r="A12" s="5"/>
      <c r="C12" s="3"/>
      <c r="D12" s="4"/>
      <c r="H12" s="4"/>
    </row>
    <row r="14" spans="1:8" ht="18.75" x14ac:dyDescent="0.3">
      <c r="A14" s="5"/>
      <c r="C14" s="3"/>
      <c r="D14" s="4"/>
      <c r="H14" s="4"/>
    </row>
    <row r="15" spans="1:8" ht="15.75" thickBot="1" x14ac:dyDescent="0.3">
      <c r="D15" s="7"/>
      <c r="H15" s="7"/>
    </row>
    <row r="17" spans="1:8" ht="18.75" x14ac:dyDescent="0.3">
      <c r="C17" t="s">
        <v>4</v>
      </c>
      <c r="D17" s="4">
        <f>D3-D11</f>
        <v>705880</v>
      </c>
      <c r="G17" t="s">
        <v>5</v>
      </c>
      <c r="H17" s="4">
        <f>H3-H11</f>
        <v>125723</v>
      </c>
    </row>
    <row r="20" spans="1:8" ht="15.75" x14ac:dyDescent="0.25">
      <c r="A20" t="s">
        <v>6</v>
      </c>
      <c r="C20" s="8">
        <f>D17</f>
        <v>705880</v>
      </c>
      <c r="E20" t="s">
        <v>10</v>
      </c>
      <c r="H20" s="6">
        <f>C29</f>
        <v>564957.48</v>
      </c>
    </row>
    <row r="22" spans="1:8" ht="15.75" x14ac:dyDescent="0.25">
      <c r="A22" t="s">
        <v>5</v>
      </c>
      <c r="B22" s="9" t="s">
        <v>7</v>
      </c>
      <c r="C22" s="8">
        <f>H17</f>
        <v>125723</v>
      </c>
      <c r="E22" s="13" t="s">
        <v>11</v>
      </c>
      <c r="F22" s="9" t="s">
        <v>12</v>
      </c>
      <c r="G22" s="15" t="s">
        <v>17</v>
      </c>
      <c r="H22" s="3">
        <f>-(F23*0.007)</f>
        <v>-22831.9</v>
      </c>
    </row>
    <row r="23" spans="1:8" x14ac:dyDescent="0.25">
      <c r="F23" s="21">
        <v>3261700</v>
      </c>
    </row>
    <row r="24" spans="1:8" ht="15.75" x14ac:dyDescent="0.25">
      <c r="A24" t="s">
        <v>8</v>
      </c>
      <c r="B24" s="9" t="s">
        <v>7</v>
      </c>
      <c r="C24" s="8">
        <f>D3*0.004</f>
        <v>15199.52</v>
      </c>
      <c r="F24" s="9" t="s">
        <v>13</v>
      </c>
      <c r="G24" s="16">
        <v>0.35</v>
      </c>
      <c r="H24" s="29">
        <f>-(F25*0.35)</f>
        <v>-197735.11799999999</v>
      </c>
    </row>
    <row r="25" spans="1:8" ht="15.75" thickBot="1" x14ac:dyDescent="0.3">
      <c r="F25" s="21">
        <f>H20</f>
        <v>564957.48</v>
      </c>
      <c r="H25" s="7"/>
    </row>
    <row r="26" spans="1:8" ht="15.75" x14ac:dyDescent="0.25">
      <c r="A26" t="s">
        <v>9</v>
      </c>
      <c r="B26" s="9" t="s">
        <v>7</v>
      </c>
      <c r="C26" s="10"/>
      <c r="G26" s="13" t="s">
        <v>14</v>
      </c>
      <c r="H26" s="6">
        <f>H20+H22+H24</f>
        <v>344390.46199999994</v>
      </c>
    </row>
    <row r="27" spans="1:8" ht="15.75" thickBot="1" x14ac:dyDescent="0.3">
      <c r="A27" s="16"/>
      <c r="B27" s="14"/>
      <c r="C27" s="7"/>
    </row>
    <row r="28" spans="1:8" x14ac:dyDescent="0.25">
      <c r="E28" t="s">
        <v>151</v>
      </c>
      <c r="H28" s="20">
        <f>H26*0.5</f>
        <v>172195.23099999997</v>
      </c>
    </row>
    <row r="29" spans="1:8" ht="15.75" x14ac:dyDescent="0.25">
      <c r="A29" t="s">
        <v>10</v>
      </c>
      <c r="C29" s="10">
        <f>C20-C22-C24-C26</f>
        <v>564957.48</v>
      </c>
      <c r="H29" s="18"/>
    </row>
    <row r="30" spans="1:8" x14ac:dyDescent="0.25">
      <c r="H30" s="3"/>
    </row>
    <row r="31" spans="1:8" x14ac:dyDescent="0.25">
      <c r="H31" s="18"/>
    </row>
  </sheetData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6CBE3-662C-44BE-A5D6-7DD6853F954F}">
  <dimension ref="A1:H31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492</v>
      </c>
    </row>
    <row r="3" spans="1:8" ht="21" x14ac:dyDescent="0.35">
      <c r="A3" s="2" t="s">
        <v>1</v>
      </c>
      <c r="D3" s="11">
        <v>312565</v>
      </c>
      <c r="F3" s="12" t="s">
        <v>3</v>
      </c>
      <c r="H3" s="11">
        <v>49905</v>
      </c>
    </row>
    <row r="4" spans="1:8" x14ac:dyDescent="0.25">
      <c r="A4" s="13" t="s">
        <v>32</v>
      </c>
      <c r="C4" s="26">
        <v>635</v>
      </c>
    </row>
    <row r="5" spans="1:8" ht="21" x14ac:dyDescent="0.35">
      <c r="A5" s="2" t="s">
        <v>2</v>
      </c>
    </row>
    <row r="7" spans="1:8" ht="18.75" x14ac:dyDescent="0.3">
      <c r="A7" s="5" t="s">
        <v>221</v>
      </c>
      <c r="D7" s="4">
        <v>168696</v>
      </c>
      <c r="E7" s="25"/>
      <c r="H7" s="4">
        <v>27386</v>
      </c>
    </row>
    <row r="8" spans="1:8" ht="18.75" x14ac:dyDescent="0.3">
      <c r="A8" s="5"/>
      <c r="C8" s="3"/>
      <c r="D8" s="28"/>
      <c r="E8" s="25"/>
      <c r="H8" s="28"/>
    </row>
    <row r="9" spans="1:8" ht="18.75" x14ac:dyDescent="0.3">
      <c r="A9" s="5"/>
      <c r="C9" s="3"/>
      <c r="D9" s="28"/>
      <c r="E9" s="25"/>
      <c r="H9" s="28"/>
    </row>
    <row r="10" spans="1:8" ht="19.5" thickBot="1" x14ac:dyDescent="0.35">
      <c r="A10" s="5"/>
      <c r="C10" s="3"/>
      <c r="D10" s="22"/>
      <c r="E10" s="25"/>
      <c r="H10" s="22"/>
    </row>
    <row r="11" spans="1:8" ht="18.75" customHeight="1" x14ac:dyDescent="0.3">
      <c r="D11" s="4">
        <f>SUM(D7:D10)</f>
        <v>168696</v>
      </c>
      <c r="H11" s="4">
        <f>SUM(H7:H10)</f>
        <v>27386</v>
      </c>
    </row>
    <row r="12" spans="1:8" ht="18.75" x14ac:dyDescent="0.3">
      <c r="A12" s="5"/>
      <c r="C12" s="3"/>
      <c r="D12" s="4"/>
      <c r="H12" s="4"/>
    </row>
    <row r="14" spans="1:8" ht="18.75" x14ac:dyDescent="0.3">
      <c r="A14" s="5"/>
      <c r="C14" s="3"/>
      <c r="D14" s="4"/>
      <c r="H14" s="4"/>
    </row>
    <row r="15" spans="1:8" ht="15.75" thickBot="1" x14ac:dyDescent="0.3">
      <c r="D15" s="7"/>
      <c r="H15" s="7"/>
    </row>
    <row r="17" spans="1:8" ht="18.75" x14ac:dyDescent="0.3">
      <c r="C17" t="s">
        <v>4</v>
      </c>
      <c r="D17" s="4">
        <f>D3-D11</f>
        <v>143869</v>
      </c>
      <c r="G17" t="s">
        <v>5</v>
      </c>
      <c r="H17" s="4">
        <f>H3-H11</f>
        <v>22519</v>
      </c>
    </row>
    <row r="20" spans="1:8" ht="15.75" x14ac:dyDescent="0.25">
      <c r="A20" t="s">
        <v>6</v>
      </c>
      <c r="C20" s="8">
        <f>D17</f>
        <v>143869</v>
      </c>
      <c r="E20" t="s">
        <v>10</v>
      </c>
      <c r="H20" s="6">
        <f>C29</f>
        <v>120099.74</v>
      </c>
    </row>
    <row r="22" spans="1:8" ht="15.75" x14ac:dyDescent="0.25">
      <c r="A22" t="s">
        <v>5</v>
      </c>
      <c r="B22" s="9" t="s">
        <v>7</v>
      </c>
      <c r="C22" s="8">
        <f>H17</f>
        <v>22519</v>
      </c>
      <c r="E22" s="13" t="s">
        <v>11</v>
      </c>
      <c r="F22" s="9" t="s">
        <v>12</v>
      </c>
      <c r="G22" s="15" t="s">
        <v>17</v>
      </c>
      <c r="H22" s="3">
        <f>-(F23*0.007)</f>
        <v>-1838.6200000000001</v>
      </c>
    </row>
    <row r="23" spans="1:8" x14ac:dyDescent="0.25">
      <c r="F23" s="21">
        <f>D3-H3</f>
        <v>262660</v>
      </c>
    </row>
    <row r="24" spans="1:8" ht="15.75" x14ac:dyDescent="0.25">
      <c r="A24" t="s">
        <v>8</v>
      </c>
      <c r="B24" s="9" t="s">
        <v>7</v>
      </c>
      <c r="C24" s="8">
        <f>D3*0.004</f>
        <v>1250.26</v>
      </c>
      <c r="F24" s="9" t="s">
        <v>13</v>
      </c>
      <c r="G24" s="16">
        <v>0.35</v>
      </c>
      <c r="H24" s="29">
        <f>-(F25*0.35)</f>
        <v>-42034.909</v>
      </c>
    </row>
    <row r="25" spans="1:8" ht="15.75" thickBot="1" x14ac:dyDescent="0.3">
      <c r="F25" s="21">
        <f>H20</f>
        <v>120099.74</v>
      </c>
      <c r="H25" s="7"/>
    </row>
    <row r="26" spans="1:8" ht="15.75" x14ac:dyDescent="0.25">
      <c r="A26" t="s">
        <v>9</v>
      </c>
      <c r="B26" s="9" t="s">
        <v>7</v>
      </c>
      <c r="C26" s="10"/>
      <c r="G26" s="13" t="s">
        <v>14</v>
      </c>
      <c r="H26" s="6">
        <f>H20+H22+H24</f>
        <v>76226.21100000001</v>
      </c>
    </row>
    <row r="27" spans="1:8" ht="15.75" thickBot="1" x14ac:dyDescent="0.3">
      <c r="A27" s="16"/>
      <c r="B27" s="14"/>
      <c r="C27" s="7"/>
    </row>
    <row r="28" spans="1:8" x14ac:dyDescent="0.25">
      <c r="E28" t="s">
        <v>151</v>
      </c>
      <c r="H28" s="20">
        <f>H26*0.5</f>
        <v>38113.105500000005</v>
      </c>
    </row>
    <row r="29" spans="1:8" ht="15.75" x14ac:dyDescent="0.25">
      <c r="A29" t="s">
        <v>10</v>
      </c>
      <c r="C29" s="10">
        <f>C20-C22-C24-C26</f>
        <v>120099.74</v>
      </c>
      <c r="H29" s="18"/>
    </row>
    <row r="30" spans="1:8" x14ac:dyDescent="0.25">
      <c r="H30" s="3"/>
    </row>
    <row r="31" spans="1:8" x14ac:dyDescent="0.25">
      <c r="H31" s="18"/>
    </row>
  </sheetData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F6660-28E8-4836-85A1-08C2E304AAA8}">
  <dimension ref="A1:H31"/>
  <sheetViews>
    <sheetView workbookViewId="0">
      <selection activeCell="C4" sqref="C4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493</v>
      </c>
    </row>
    <row r="3" spans="1:8" ht="21" x14ac:dyDescent="0.35">
      <c r="A3" s="2" t="s">
        <v>1</v>
      </c>
      <c r="D3" s="11">
        <v>148750</v>
      </c>
      <c r="F3" s="12" t="s">
        <v>3</v>
      </c>
      <c r="H3" s="11">
        <v>23750</v>
      </c>
    </row>
    <row r="4" spans="1:8" x14ac:dyDescent="0.25">
      <c r="A4" s="13" t="s">
        <v>32</v>
      </c>
      <c r="C4" s="26">
        <v>637</v>
      </c>
    </row>
    <row r="5" spans="1:8" ht="21" x14ac:dyDescent="0.35">
      <c r="A5" s="2" t="s">
        <v>2</v>
      </c>
    </row>
    <row r="7" spans="1:8" ht="18.75" x14ac:dyDescent="0.3">
      <c r="A7" s="5" t="s">
        <v>494</v>
      </c>
      <c r="D7" s="4">
        <v>36200</v>
      </c>
      <c r="E7" s="25"/>
      <c r="H7" s="4">
        <v>5780</v>
      </c>
    </row>
    <row r="8" spans="1:8" ht="18.75" x14ac:dyDescent="0.3">
      <c r="A8" s="5" t="s">
        <v>243</v>
      </c>
      <c r="C8" s="3"/>
      <c r="D8" s="28">
        <v>42840</v>
      </c>
      <c r="E8" s="25"/>
      <c r="H8" s="28">
        <v>6840</v>
      </c>
    </row>
    <row r="9" spans="1:8" ht="18.75" x14ac:dyDescent="0.3">
      <c r="A9" s="5"/>
      <c r="C9" s="3"/>
      <c r="D9" s="28"/>
      <c r="E9" s="25"/>
      <c r="H9" s="28"/>
    </row>
    <row r="10" spans="1:8" ht="19.5" thickBot="1" x14ac:dyDescent="0.35">
      <c r="A10" s="5"/>
      <c r="C10" s="3"/>
      <c r="D10" s="22"/>
      <c r="E10" s="25"/>
      <c r="H10" s="22"/>
    </row>
    <row r="11" spans="1:8" ht="18.75" customHeight="1" x14ac:dyDescent="0.3">
      <c r="D11" s="4">
        <f>SUM(D7:D10)</f>
        <v>79040</v>
      </c>
      <c r="H11" s="4">
        <f>SUM(H7:H10)</f>
        <v>12620</v>
      </c>
    </row>
    <row r="12" spans="1:8" ht="18.75" x14ac:dyDescent="0.3">
      <c r="A12" s="5"/>
      <c r="C12" s="3"/>
      <c r="D12" s="4"/>
      <c r="H12" s="4"/>
    </row>
    <row r="14" spans="1:8" ht="18.75" x14ac:dyDescent="0.3">
      <c r="A14" s="5"/>
      <c r="C14" s="3"/>
      <c r="D14" s="4"/>
      <c r="H14" s="4"/>
    </row>
    <row r="15" spans="1:8" ht="15.75" thickBot="1" x14ac:dyDescent="0.3">
      <c r="D15" s="7"/>
      <c r="H15" s="7"/>
    </row>
    <row r="17" spans="1:8" ht="18.75" x14ac:dyDescent="0.3">
      <c r="C17" t="s">
        <v>4</v>
      </c>
      <c r="D17" s="4">
        <f>D3-D11</f>
        <v>69710</v>
      </c>
      <c r="G17" t="s">
        <v>5</v>
      </c>
      <c r="H17" s="4">
        <f>H3-H11</f>
        <v>11130</v>
      </c>
    </row>
    <row r="20" spans="1:8" ht="15.75" x14ac:dyDescent="0.25">
      <c r="A20" t="s">
        <v>6</v>
      </c>
      <c r="C20" s="8">
        <f>D17</f>
        <v>69710</v>
      </c>
      <c r="E20" t="s">
        <v>10</v>
      </c>
      <c r="H20" s="6">
        <f>C29</f>
        <v>57985</v>
      </c>
    </row>
    <row r="22" spans="1:8" ht="15.75" x14ac:dyDescent="0.25">
      <c r="A22" t="s">
        <v>5</v>
      </c>
      <c r="B22" s="9" t="s">
        <v>7</v>
      </c>
      <c r="C22" s="8">
        <f>H17</f>
        <v>11130</v>
      </c>
      <c r="E22" s="13" t="s">
        <v>11</v>
      </c>
      <c r="F22" s="9" t="s">
        <v>12</v>
      </c>
      <c r="G22" s="15" t="s">
        <v>17</v>
      </c>
      <c r="H22" s="3">
        <f>-(F23*0.007)</f>
        <v>-875</v>
      </c>
    </row>
    <row r="23" spans="1:8" x14ac:dyDescent="0.25">
      <c r="F23" s="21">
        <f>D3-H3</f>
        <v>125000</v>
      </c>
    </row>
    <row r="24" spans="1:8" ht="15.75" x14ac:dyDescent="0.25">
      <c r="A24" t="s">
        <v>8</v>
      </c>
      <c r="B24" s="9" t="s">
        <v>7</v>
      </c>
      <c r="C24" s="8">
        <f>D3*0.004</f>
        <v>595</v>
      </c>
      <c r="F24" s="9" t="s">
        <v>13</v>
      </c>
      <c r="G24" s="16">
        <v>0.35</v>
      </c>
      <c r="H24" s="29">
        <f>-(F25*0.35)</f>
        <v>-20294.75</v>
      </c>
    </row>
    <row r="25" spans="1:8" ht="15.75" thickBot="1" x14ac:dyDescent="0.3">
      <c r="F25" s="21">
        <f>H20</f>
        <v>57985</v>
      </c>
      <c r="H25" s="7"/>
    </row>
    <row r="26" spans="1:8" ht="15.75" x14ac:dyDescent="0.25">
      <c r="A26" t="s">
        <v>9</v>
      </c>
      <c r="B26" s="9" t="s">
        <v>7</v>
      </c>
      <c r="C26" s="10"/>
      <c r="G26" s="13" t="s">
        <v>14</v>
      </c>
      <c r="H26" s="6">
        <f>H20+H22+H24</f>
        <v>36815.25</v>
      </c>
    </row>
    <row r="27" spans="1:8" ht="15.75" thickBot="1" x14ac:dyDescent="0.3">
      <c r="A27" s="16"/>
      <c r="B27" s="14"/>
      <c r="C27" s="7"/>
    </row>
    <row r="28" spans="1:8" x14ac:dyDescent="0.25">
      <c r="E28" t="s">
        <v>151</v>
      </c>
      <c r="H28" s="20">
        <f>H26*0.5</f>
        <v>18407.625</v>
      </c>
    </row>
    <row r="29" spans="1:8" ht="15.75" x14ac:dyDescent="0.25">
      <c r="A29" t="s">
        <v>10</v>
      </c>
      <c r="C29" s="10">
        <f>C20-C22-C24-C26</f>
        <v>57985</v>
      </c>
      <c r="H29" s="18"/>
    </row>
    <row r="30" spans="1:8" x14ac:dyDescent="0.25">
      <c r="H30" s="3"/>
    </row>
    <row r="31" spans="1:8" x14ac:dyDescent="0.25">
      <c r="H31" s="18"/>
    </row>
  </sheetData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3358A-7BD5-45BB-BD7B-1BAE9887CB7B}">
  <dimension ref="A1:H31"/>
  <sheetViews>
    <sheetView workbookViewId="0">
      <selection activeCell="C4" sqref="C4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495</v>
      </c>
    </row>
    <row r="3" spans="1:8" ht="21" x14ac:dyDescent="0.35">
      <c r="A3" s="2" t="s">
        <v>1</v>
      </c>
      <c r="D3" s="11">
        <v>276675</v>
      </c>
      <c r="F3" s="12" t="s">
        <v>3</v>
      </c>
      <c r="H3" s="11">
        <v>44175</v>
      </c>
    </row>
    <row r="4" spans="1:8" x14ac:dyDescent="0.25">
      <c r="A4" s="13" t="s">
        <v>32</v>
      </c>
      <c r="C4" s="26">
        <v>638</v>
      </c>
    </row>
    <row r="5" spans="1:8" ht="21" x14ac:dyDescent="0.35">
      <c r="A5" s="2" t="s">
        <v>2</v>
      </c>
    </row>
    <row r="7" spans="1:8" ht="18.75" x14ac:dyDescent="0.3">
      <c r="A7" s="5" t="s">
        <v>89</v>
      </c>
      <c r="D7" s="4">
        <v>95000</v>
      </c>
      <c r="E7" s="25"/>
      <c r="H7" s="4">
        <v>15168</v>
      </c>
    </row>
    <row r="8" spans="1:8" ht="18.75" x14ac:dyDescent="0.3">
      <c r="A8" s="5" t="s">
        <v>243</v>
      </c>
      <c r="C8" s="3"/>
      <c r="D8" s="28">
        <v>67830</v>
      </c>
      <c r="E8" s="25"/>
      <c r="H8" s="28">
        <v>10830</v>
      </c>
    </row>
    <row r="9" spans="1:8" ht="18.75" x14ac:dyDescent="0.3">
      <c r="A9" s="5"/>
      <c r="C9" s="3"/>
      <c r="D9" s="28"/>
      <c r="E9" s="25"/>
      <c r="H9" s="28"/>
    </row>
    <row r="10" spans="1:8" ht="19.5" thickBot="1" x14ac:dyDescent="0.35">
      <c r="A10" s="5"/>
      <c r="C10" s="3"/>
      <c r="D10" s="22"/>
      <c r="E10" s="25"/>
      <c r="H10" s="22"/>
    </row>
    <row r="11" spans="1:8" ht="18.75" customHeight="1" x14ac:dyDescent="0.3">
      <c r="D11" s="4">
        <f>SUM(D7:D10)</f>
        <v>162830</v>
      </c>
      <c r="H11" s="4">
        <f>SUM(H7:H10)</f>
        <v>25998</v>
      </c>
    </row>
    <row r="12" spans="1:8" ht="18.75" x14ac:dyDescent="0.3">
      <c r="A12" s="5"/>
      <c r="C12" s="3"/>
      <c r="D12" s="4"/>
      <c r="H12" s="4"/>
    </row>
    <row r="14" spans="1:8" ht="18.75" x14ac:dyDescent="0.3">
      <c r="A14" s="5"/>
      <c r="C14" s="3"/>
      <c r="D14" s="4"/>
      <c r="H14" s="4"/>
    </row>
    <row r="15" spans="1:8" ht="15.75" thickBot="1" x14ac:dyDescent="0.3">
      <c r="D15" s="7"/>
      <c r="H15" s="7"/>
    </row>
    <row r="17" spans="1:8" ht="18.75" x14ac:dyDescent="0.3">
      <c r="C17" t="s">
        <v>4</v>
      </c>
      <c r="D17" s="4">
        <f>D3-D11</f>
        <v>113845</v>
      </c>
      <c r="G17" t="s">
        <v>5</v>
      </c>
      <c r="H17" s="4">
        <f>H3-H11</f>
        <v>18177</v>
      </c>
    </row>
    <row r="20" spans="1:8" ht="15.75" x14ac:dyDescent="0.25">
      <c r="A20" t="s">
        <v>6</v>
      </c>
      <c r="C20" s="8">
        <f>D17</f>
        <v>113845</v>
      </c>
      <c r="E20" t="s">
        <v>10</v>
      </c>
      <c r="H20" s="6">
        <f>C29</f>
        <v>94561.3</v>
      </c>
    </row>
    <row r="22" spans="1:8" ht="15.75" x14ac:dyDescent="0.25">
      <c r="A22" t="s">
        <v>5</v>
      </c>
      <c r="B22" s="9" t="s">
        <v>7</v>
      </c>
      <c r="C22" s="8">
        <f>H17</f>
        <v>18177</v>
      </c>
      <c r="E22" s="13" t="s">
        <v>11</v>
      </c>
      <c r="F22" s="9" t="s">
        <v>12</v>
      </c>
      <c r="G22" s="15" t="s">
        <v>17</v>
      </c>
      <c r="H22" s="3">
        <f>-(F23*0.007)</f>
        <v>-1627.5</v>
      </c>
    </row>
    <row r="23" spans="1:8" x14ac:dyDescent="0.25">
      <c r="F23" s="21">
        <f>D3-H3</f>
        <v>232500</v>
      </c>
    </row>
    <row r="24" spans="1:8" ht="15.75" x14ac:dyDescent="0.25">
      <c r="A24" t="s">
        <v>8</v>
      </c>
      <c r="B24" s="9" t="s">
        <v>7</v>
      </c>
      <c r="C24" s="8">
        <f>D3*0.004</f>
        <v>1106.7</v>
      </c>
      <c r="F24" s="9" t="s">
        <v>13</v>
      </c>
      <c r="G24" s="16">
        <v>0.35</v>
      </c>
      <c r="H24" s="29">
        <f>-(F25*0.35)</f>
        <v>-33096.455000000002</v>
      </c>
    </row>
    <row r="25" spans="1:8" ht="15.75" thickBot="1" x14ac:dyDescent="0.3">
      <c r="F25" s="21">
        <f>H20</f>
        <v>94561.3</v>
      </c>
      <c r="H25" s="7"/>
    </row>
    <row r="26" spans="1:8" ht="15.75" x14ac:dyDescent="0.25">
      <c r="A26" t="s">
        <v>9</v>
      </c>
      <c r="B26" s="9" t="s">
        <v>7</v>
      </c>
      <c r="C26" s="10"/>
      <c r="G26" s="13" t="s">
        <v>14</v>
      </c>
      <c r="H26" s="6">
        <f>H20+H22+H24</f>
        <v>59837.345000000001</v>
      </c>
    </row>
    <row r="27" spans="1:8" ht="15.75" thickBot="1" x14ac:dyDescent="0.3">
      <c r="A27" s="16"/>
      <c r="B27" s="14"/>
      <c r="C27" s="7"/>
    </row>
    <row r="28" spans="1:8" x14ac:dyDescent="0.25">
      <c r="E28" t="s">
        <v>151</v>
      </c>
      <c r="H28" s="20">
        <f>H26*0.5</f>
        <v>29918.672500000001</v>
      </c>
    </row>
    <row r="29" spans="1:8" ht="15.75" x14ac:dyDescent="0.25">
      <c r="A29" t="s">
        <v>10</v>
      </c>
      <c r="C29" s="10">
        <f>C20-C22-C24-C26</f>
        <v>94561.3</v>
      </c>
      <c r="H29" s="18"/>
    </row>
    <row r="30" spans="1:8" x14ac:dyDescent="0.25">
      <c r="H30" s="3"/>
    </row>
    <row r="31" spans="1:8" x14ac:dyDescent="0.25">
      <c r="H31" s="18"/>
    </row>
  </sheetData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8AAAC-26F7-45CE-9C20-F339EB273270}">
  <dimension ref="A1:H31"/>
  <sheetViews>
    <sheetView workbookViewId="0">
      <selection activeCell="C4" sqref="C4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496</v>
      </c>
    </row>
    <row r="3" spans="1:8" ht="21" x14ac:dyDescent="0.35">
      <c r="A3" s="2" t="s">
        <v>1</v>
      </c>
      <c r="D3" s="11">
        <v>64855</v>
      </c>
      <c r="F3" s="12" t="s">
        <v>3</v>
      </c>
      <c r="H3" s="11">
        <v>10355</v>
      </c>
    </row>
    <row r="4" spans="1:8" x14ac:dyDescent="0.25">
      <c r="A4" s="13" t="s">
        <v>32</v>
      </c>
      <c r="C4" s="26">
        <v>639</v>
      </c>
    </row>
    <row r="5" spans="1:8" ht="21" x14ac:dyDescent="0.35">
      <c r="A5" s="2" t="s">
        <v>2</v>
      </c>
    </row>
    <row r="7" spans="1:8" ht="18.75" x14ac:dyDescent="0.3">
      <c r="A7" s="5" t="s">
        <v>171</v>
      </c>
      <c r="D7" s="4">
        <v>42000</v>
      </c>
      <c r="E7" s="25"/>
      <c r="H7" s="4">
        <v>6700</v>
      </c>
    </row>
    <row r="8" spans="1:8" ht="18.75" x14ac:dyDescent="0.3">
      <c r="A8" s="5"/>
      <c r="C8" s="3"/>
      <c r="D8" s="28"/>
      <c r="E8" s="25"/>
      <c r="H8" s="28"/>
    </row>
    <row r="9" spans="1:8" ht="18.75" x14ac:dyDescent="0.3">
      <c r="A9" s="5"/>
      <c r="C9" s="3"/>
      <c r="D9" s="28"/>
      <c r="E9" s="25"/>
      <c r="H9" s="28"/>
    </row>
    <row r="10" spans="1:8" ht="19.5" thickBot="1" x14ac:dyDescent="0.35">
      <c r="A10" s="5"/>
      <c r="C10" s="3"/>
      <c r="D10" s="22"/>
      <c r="E10" s="25"/>
      <c r="H10" s="22"/>
    </row>
    <row r="11" spans="1:8" ht="18.75" customHeight="1" x14ac:dyDescent="0.3">
      <c r="D11" s="4">
        <f>SUM(D7:D10)</f>
        <v>42000</v>
      </c>
      <c r="H11" s="4">
        <f>SUM(H7:H10)</f>
        <v>6700</v>
      </c>
    </row>
    <row r="12" spans="1:8" ht="18.75" x14ac:dyDescent="0.3">
      <c r="A12" s="5"/>
      <c r="C12" s="3"/>
      <c r="D12" s="4"/>
      <c r="H12" s="4"/>
    </row>
    <row r="14" spans="1:8" ht="18.75" x14ac:dyDescent="0.3">
      <c r="A14" s="5"/>
      <c r="C14" s="3"/>
      <c r="D14" s="4"/>
      <c r="H14" s="4"/>
    </row>
    <row r="15" spans="1:8" ht="15.75" thickBot="1" x14ac:dyDescent="0.3">
      <c r="D15" s="7"/>
      <c r="H15" s="7"/>
    </row>
    <row r="17" spans="1:8" ht="18.75" x14ac:dyDescent="0.3">
      <c r="C17" t="s">
        <v>4</v>
      </c>
      <c r="D17" s="4">
        <f>D3-D11</f>
        <v>22855</v>
      </c>
      <c r="G17" t="s">
        <v>5</v>
      </c>
      <c r="H17" s="4">
        <f>H3-H11</f>
        <v>3655</v>
      </c>
    </row>
    <row r="20" spans="1:8" ht="15.75" x14ac:dyDescent="0.25">
      <c r="A20" t="s">
        <v>6</v>
      </c>
      <c r="C20" s="8">
        <f>D17</f>
        <v>22855</v>
      </c>
      <c r="E20" t="s">
        <v>10</v>
      </c>
      <c r="H20" s="6">
        <f>C29</f>
        <v>18940.580000000002</v>
      </c>
    </row>
    <row r="22" spans="1:8" ht="15.75" x14ac:dyDescent="0.25">
      <c r="A22" t="s">
        <v>5</v>
      </c>
      <c r="B22" s="9" t="s">
        <v>7</v>
      </c>
      <c r="C22" s="8">
        <f>H17</f>
        <v>3655</v>
      </c>
      <c r="E22" s="13" t="s">
        <v>11</v>
      </c>
      <c r="F22" s="9" t="s">
        <v>12</v>
      </c>
      <c r="G22" s="15" t="s">
        <v>17</v>
      </c>
      <c r="H22" s="3">
        <f>-(F23*0.007)</f>
        <v>-381.5</v>
      </c>
    </row>
    <row r="23" spans="1:8" x14ac:dyDescent="0.25">
      <c r="F23" s="21">
        <f>D3-H3</f>
        <v>54500</v>
      </c>
    </row>
    <row r="24" spans="1:8" ht="15.75" x14ac:dyDescent="0.25">
      <c r="A24" t="s">
        <v>8</v>
      </c>
      <c r="B24" s="9" t="s">
        <v>7</v>
      </c>
      <c r="C24" s="8">
        <f>D3*0.004</f>
        <v>259.42</v>
      </c>
      <c r="F24" s="9" t="s">
        <v>13</v>
      </c>
      <c r="G24" s="16">
        <v>0.35</v>
      </c>
      <c r="H24" s="29">
        <f>-(F25*0.35)</f>
        <v>-6629.2030000000004</v>
      </c>
    </row>
    <row r="25" spans="1:8" ht="15.75" thickBot="1" x14ac:dyDescent="0.3">
      <c r="F25" s="21">
        <f>H20</f>
        <v>18940.580000000002</v>
      </c>
      <c r="H25" s="7"/>
    </row>
    <row r="26" spans="1:8" ht="15.75" x14ac:dyDescent="0.25">
      <c r="A26" t="s">
        <v>9</v>
      </c>
      <c r="B26" s="9" t="s">
        <v>7</v>
      </c>
      <c r="C26" s="10"/>
      <c r="G26" s="13" t="s">
        <v>14</v>
      </c>
      <c r="H26" s="6">
        <f>H20+H22+H24</f>
        <v>11929.877</v>
      </c>
    </row>
    <row r="27" spans="1:8" ht="15.75" thickBot="1" x14ac:dyDescent="0.3">
      <c r="A27" s="16"/>
      <c r="B27" s="14"/>
      <c r="C27" s="7"/>
    </row>
    <row r="28" spans="1:8" x14ac:dyDescent="0.25">
      <c r="E28" t="s">
        <v>151</v>
      </c>
      <c r="H28" s="20">
        <f>H26*0.5</f>
        <v>5964.9385000000002</v>
      </c>
    </row>
    <row r="29" spans="1:8" ht="15.75" x14ac:dyDescent="0.25">
      <c r="A29" t="s">
        <v>10</v>
      </c>
      <c r="C29" s="10">
        <f>C20-C22-C24-C26</f>
        <v>18940.580000000002</v>
      </c>
      <c r="H29" s="18"/>
    </row>
    <row r="30" spans="1:8" x14ac:dyDescent="0.25">
      <c r="H30" s="3"/>
    </row>
    <row r="31" spans="1:8" x14ac:dyDescent="0.25">
      <c r="H31" s="18"/>
    </row>
  </sheetData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7498B-262E-4C51-8FFD-0D4AF1112D31}">
  <dimension ref="A1:H31"/>
  <sheetViews>
    <sheetView workbookViewId="0">
      <selection activeCell="B16" sqref="B1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497</v>
      </c>
    </row>
    <row r="3" spans="1:8" ht="21" x14ac:dyDescent="0.35">
      <c r="A3" s="2" t="s">
        <v>1</v>
      </c>
      <c r="D3" s="11">
        <v>222649</v>
      </c>
      <c r="F3" s="12" t="s">
        <v>3</v>
      </c>
      <c r="H3" s="11">
        <v>35549</v>
      </c>
    </row>
    <row r="4" spans="1:8" x14ac:dyDescent="0.25">
      <c r="A4" s="13" t="s">
        <v>32</v>
      </c>
      <c r="C4" s="26">
        <v>640</v>
      </c>
    </row>
    <row r="5" spans="1:8" ht="21" x14ac:dyDescent="0.35">
      <c r="A5" s="2" t="s">
        <v>2</v>
      </c>
    </row>
    <row r="7" spans="1:8" ht="18.75" x14ac:dyDescent="0.3">
      <c r="A7" s="5" t="s">
        <v>89</v>
      </c>
      <c r="D7" s="4">
        <v>105000</v>
      </c>
      <c r="E7" s="25"/>
      <c r="H7" s="4">
        <v>6700</v>
      </c>
    </row>
    <row r="8" spans="1:8" ht="18.75" x14ac:dyDescent="0.3">
      <c r="A8" s="5" t="s">
        <v>498</v>
      </c>
      <c r="C8" s="3"/>
      <c r="D8" s="28">
        <v>28560</v>
      </c>
      <c r="E8" s="25"/>
      <c r="H8" s="28">
        <v>4560</v>
      </c>
    </row>
    <row r="9" spans="1:8" ht="18.75" x14ac:dyDescent="0.3">
      <c r="A9" s="5"/>
      <c r="C9" s="3"/>
      <c r="D9" s="28"/>
      <c r="E9" s="25"/>
      <c r="H9" s="28"/>
    </row>
    <row r="10" spans="1:8" ht="19.5" thickBot="1" x14ac:dyDescent="0.35">
      <c r="A10" s="5"/>
      <c r="C10" s="3"/>
      <c r="D10" s="22"/>
      <c r="E10" s="25"/>
      <c r="H10" s="22"/>
    </row>
    <row r="11" spans="1:8" ht="18.75" customHeight="1" x14ac:dyDescent="0.3">
      <c r="D11" s="4">
        <f>SUM(D7:D10)</f>
        <v>133560</v>
      </c>
      <c r="H11" s="4">
        <f>SUM(H7:H10)</f>
        <v>11260</v>
      </c>
    </row>
    <row r="12" spans="1:8" ht="18.75" x14ac:dyDescent="0.3">
      <c r="A12" s="5"/>
      <c r="C12" s="3"/>
      <c r="D12" s="4"/>
      <c r="H12" s="4"/>
    </row>
    <row r="14" spans="1:8" ht="18.75" x14ac:dyDescent="0.3">
      <c r="A14" s="5"/>
      <c r="C14" s="3"/>
      <c r="D14" s="4"/>
      <c r="H14" s="4"/>
    </row>
    <row r="15" spans="1:8" ht="15.75" thickBot="1" x14ac:dyDescent="0.3">
      <c r="D15" s="7"/>
      <c r="H15" s="7"/>
    </row>
    <row r="17" spans="1:8" ht="18.75" x14ac:dyDescent="0.3">
      <c r="C17" t="s">
        <v>4</v>
      </c>
      <c r="D17" s="4">
        <f>D3-D11</f>
        <v>89089</v>
      </c>
      <c r="G17" t="s">
        <v>5</v>
      </c>
      <c r="H17" s="4">
        <f>H3-H11</f>
        <v>24289</v>
      </c>
    </row>
    <row r="20" spans="1:8" ht="15.75" x14ac:dyDescent="0.25">
      <c r="A20" t="s">
        <v>6</v>
      </c>
      <c r="C20" s="8">
        <f>D17</f>
        <v>89089</v>
      </c>
      <c r="E20" t="s">
        <v>10</v>
      </c>
      <c r="H20" s="6">
        <f>C29</f>
        <v>63909.404000000002</v>
      </c>
    </row>
    <row r="22" spans="1:8" ht="15.75" x14ac:dyDescent="0.25">
      <c r="A22" t="s">
        <v>5</v>
      </c>
      <c r="B22" s="9" t="s">
        <v>7</v>
      </c>
      <c r="C22" s="8">
        <f>H17</f>
        <v>24289</v>
      </c>
      <c r="E22" s="13" t="s">
        <v>11</v>
      </c>
      <c r="F22" s="9" t="s">
        <v>12</v>
      </c>
      <c r="G22" s="15" t="s">
        <v>17</v>
      </c>
      <c r="H22" s="3">
        <f>-(F23*0.007)</f>
        <v>-1309.7</v>
      </c>
    </row>
    <row r="23" spans="1:8" x14ac:dyDescent="0.25">
      <c r="F23" s="21">
        <f>D3-H3</f>
        <v>187100</v>
      </c>
    </row>
    <row r="24" spans="1:8" ht="15.75" x14ac:dyDescent="0.25">
      <c r="A24" t="s">
        <v>8</v>
      </c>
      <c r="B24" s="9" t="s">
        <v>7</v>
      </c>
      <c r="C24" s="8">
        <f>D3*0.004</f>
        <v>890.596</v>
      </c>
      <c r="F24" s="9" t="s">
        <v>13</v>
      </c>
      <c r="G24" s="16">
        <v>0.35</v>
      </c>
      <c r="H24" s="29">
        <f>-(F25*0.35)</f>
        <v>-22368.291399999998</v>
      </c>
    </row>
    <row r="25" spans="1:8" ht="15.75" thickBot="1" x14ac:dyDescent="0.3">
      <c r="F25" s="21">
        <f>H20</f>
        <v>63909.404000000002</v>
      </c>
      <c r="H25" s="7"/>
    </row>
    <row r="26" spans="1:8" ht="15.75" x14ac:dyDescent="0.25">
      <c r="A26" t="s">
        <v>9</v>
      </c>
      <c r="B26" s="9" t="s">
        <v>7</v>
      </c>
      <c r="C26" s="10"/>
      <c r="G26" s="13" t="s">
        <v>14</v>
      </c>
      <c r="H26" s="6">
        <f>H20+H22+H24</f>
        <v>40231.412600000011</v>
      </c>
    </row>
    <row r="27" spans="1:8" ht="15.75" thickBot="1" x14ac:dyDescent="0.3">
      <c r="A27" s="16"/>
      <c r="B27" s="14"/>
      <c r="C27" s="7"/>
    </row>
    <row r="28" spans="1:8" x14ac:dyDescent="0.25">
      <c r="E28" t="s">
        <v>151</v>
      </c>
      <c r="H28" s="20">
        <f>H26*0.5</f>
        <v>20115.706300000005</v>
      </c>
    </row>
    <row r="29" spans="1:8" ht="15.75" x14ac:dyDescent="0.25">
      <c r="A29" t="s">
        <v>10</v>
      </c>
      <c r="C29" s="10">
        <f>C20-C22-C24-C26</f>
        <v>63909.404000000002</v>
      </c>
      <c r="H29" s="18"/>
    </row>
    <row r="30" spans="1:8" x14ac:dyDescent="0.25">
      <c r="H30" s="3"/>
    </row>
    <row r="31" spans="1:8" x14ac:dyDescent="0.25">
      <c r="H31" s="18"/>
    </row>
  </sheetData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4D347-86B3-434B-971A-9B64C8878B6C}">
  <dimension ref="A1:H31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499</v>
      </c>
    </row>
    <row r="3" spans="1:8" ht="21" x14ac:dyDescent="0.35">
      <c r="A3" s="2" t="s">
        <v>1</v>
      </c>
      <c r="D3" s="11">
        <v>308567</v>
      </c>
      <c r="F3" s="12" t="s">
        <v>3</v>
      </c>
      <c r="H3" s="11">
        <v>49267</v>
      </c>
    </row>
    <row r="4" spans="1:8" x14ac:dyDescent="0.25">
      <c r="A4" s="13" t="s">
        <v>32</v>
      </c>
      <c r="C4" s="26">
        <v>642</v>
      </c>
    </row>
    <row r="5" spans="1:8" ht="21" x14ac:dyDescent="0.35">
      <c r="A5" s="2" t="s">
        <v>2</v>
      </c>
    </row>
    <row r="7" spans="1:8" ht="18.75" x14ac:dyDescent="0.3">
      <c r="A7" s="5" t="s">
        <v>221</v>
      </c>
      <c r="D7" s="4">
        <v>217785</v>
      </c>
      <c r="E7" s="25"/>
      <c r="H7" s="4">
        <v>34772</v>
      </c>
    </row>
    <row r="8" spans="1:8" ht="18.75" x14ac:dyDescent="0.3">
      <c r="A8" s="5"/>
      <c r="C8" s="3"/>
      <c r="D8" s="28"/>
      <c r="E8" s="25"/>
      <c r="H8" s="28"/>
    </row>
    <row r="9" spans="1:8" ht="18.75" x14ac:dyDescent="0.3">
      <c r="A9" s="5"/>
      <c r="C9" s="3"/>
      <c r="D9" s="28"/>
      <c r="E9" s="25"/>
      <c r="H9" s="28"/>
    </row>
    <row r="10" spans="1:8" ht="19.5" thickBot="1" x14ac:dyDescent="0.35">
      <c r="A10" s="5"/>
      <c r="C10" s="3"/>
      <c r="D10" s="22"/>
      <c r="E10" s="25"/>
      <c r="H10" s="22"/>
    </row>
    <row r="11" spans="1:8" ht="18.75" customHeight="1" x14ac:dyDescent="0.3">
      <c r="D11" s="4">
        <f>SUM(D7:D10)</f>
        <v>217785</v>
      </c>
      <c r="H11" s="4">
        <f>SUM(H7:H10)</f>
        <v>34772</v>
      </c>
    </row>
    <row r="12" spans="1:8" ht="18.75" x14ac:dyDescent="0.3">
      <c r="A12" s="5"/>
      <c r="C12" s="3"/>
      <c r="D12" s="4"/>
      <c r="H12" s="4"/>
    </row>
    <row r="14" spans="1:8" ht="18.75" x14ac:dyDescent="0.3">
      <c r="A14" s="5"/>
      <c r="C14" s="3"/>
      <c r="D14" s="4"/>
      <c r="H14" s="4"/>
    </row>
    <row r="15" spans="1:8" ht="15.75" thickBot="1" x14ac:dyDescent="0.3">
      <c r="D15" s="7"/>
      <c r="H15" s="7"/>
    </row>
    <row r="17" spans="1:8" ht="18.75" x14ac:dyDescent="0.3">
      <c r="C17" t="s">
        <v>4</v>
      </c>
      <c r="D17" s="4">
        <f>D3-D11</f>
        <v>90782</v>
      </c>
      <c r="G17" t="s">
        <v>5</v>
      </c>
      <c r="H17" s="4">
        <f>H3-H11</f>
        <v>14495</v>
      </c>
    </row>
    <row r="20" spans="1:8" ht="15.75" x14ac:dyDescent="0.25">
      <c r="A20" t="s">
        <v>6</v>
      </c>
      <c r="C20" s="8">
        <f>D17</f>
        <v>90782</v>
      </c>
      <c r="E20" t="s">
        <v>10</v>
      </c>
      <c r="H20" s="6">
        <f>C29</f>
        <v>75052.732000000004</v>
      </c>
    </row>
    <row r="22" spans="1:8" ht="15.75" x14ac:dyDescent="0.25">
      <c r="A22" t="s">
        <v>5</v>
      </c>
      <c r="B22" s="9" t="s">
        <v>7</v>
      </c>
      <c r="C22" s="8">
        <f>H17</f>
        <v>14495</v>
      </c>
      <c r="E22" s="13" t="s">
        <v>11</v>
      </c>
      <c r="F22" s="9" t="s">
        <v>12</v>
      </c>
      <c r="G22" s="15" t="s">
        <v>17</v>
      </c>
      <c r="H22" s="3">
        <f>-(F23*0.007)</f>
        <v>-1815.1000000000001</v>
      </c>
    </row>
    <row r="23" spans="1:8" x14ac:dyDescent="0.25">
      <c r="F23" s="21">
        <f>D3-H3</f>
        <v>259300</v>
      </c>
    </row>
    <row r="24" spans="1:8" ht="15.75" x14ac:dyDescent="0.25">
      <c r="A24" t="s">
        <v>8</v>
      </c>
      <c r="B24" s="9" t="s">
        <v>7</v>
      </c>
      <c r="C24" s="8">
        <f>D3*0.004</f>
        <v>1234.268</v>
      </c>
      <c r="F24" s="9" t="s">
        <v>13</v>
      </c>
      <c r="G24" s="16">
        <v>0.35</v>
      </c>
      <c r="H24" s="29">
        <f>-(F25*0.35)</f>
        <v>-26268.456200000001</v>
      </c>
    </row>
    <row r="25" spans="1:8" ht="15.75" thickBot="1" x14ac:dyDescent="0.3">
      <c r="F25" s="21">
        <f>H20</f>
        <v>75052.732000000004</v>
      </c>
      <c r="H25" s="7"/>
    </row>
    <row r="26" spans="1:8" ht="15.75" x14ac:dyDescent="0.25">
      <c r="A26" t="s">
        <v>9</v>
      </c>
      <c r="B26" s="9" t="s">
        <v>7</v>
      </c>
      <c r="C26" s="10"/>
      <c r="G26" s="13" t="s">
        <v>14</v>
      </c>
      <c r="H26" s="6">
        <f>H20+H22+H24</f>
        <v>46969.175799999997</v>
      </c>
    </row>
    <row r="27" spans="1:8" ht="15.75" thickBot="1" x14ac:dyDescent="0.3">
      <c r="A27" s="16"/>
      <c r="B27" s="14"/>
      <c r="C27" s="7"/>
    </row>
    <row r="28" spans="1:8" x14ac:dyDescent="0.25">
      <c r="E28" t="s">
        <v>151</v>
      </c>
      <c r="H28" s="20">
        <f>H26*0.5</f>
        <v>23484.587899999999</v>
      </c>
    </row>
    <row r="29" spans="1:8" ht="15.75" x14ac:dyDescent="0.25">
      <c r="A29" t="s">
        <v>10</v>
      </c>
      <c r="C29" s="10">
        <f>C20-C22-C24-C26</f>
        <v>75052.732000000004</v>
      </c>
      <c r="H29" s="18"/>
    </row>
    <row r="30" spans="1:8" x14ac:dyDescent="0.25">
      <c r="H30" s="3"/>
    </row>
    <row r="31" spans="1:8" x14ac:dyDescent="0.25">
      <c r="H31" s="18"/>
    </row>
  </sheetData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FAC46-B543-48DD-96D9-EAA2A08C6A48}">
  <dimension ref="A1:H31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500</v>
      </c>
    </row>
    <row r="3" spans="1:8" ht="21" x14ac:dyDescent="0.35">
      <c r="A3" s="2" t="s">
        <v>1</v>
      </c>
      <c r="D3" s="11">
        <v>987700</v>
      </c>
      <c r="F3" s="12" t="s">
        <v>3</v>
      </c>
      <c r="H3" s="11">
        <v>157700</v>
      </c>
    </row>
    <row r="4" spans="1:8" x14ac:dyDescent="0.25">
      <c r="A4" s="13" t="s">
        <v>32</v>
      </c>
      <c r="C4" s="26">
        <v>643</v>
      </c>
    </row>
    <row r="5" spans="1:8" ht="21" x14ac:dyDescent="0.35">
      <c r="A5" s="2" t="s">
        <v>2</v>
      </c>
    </row>
    <row r="7" spans="1:8" ht="18.75" x14ac:dyDescent="0.3">
      <c r="A7" s="5" t="s">
        <v>221</v>
      </c>
      <c r="D7" s="4">
        <v>9300</v>
      </c>
      <c r="E7" s="25"/>
      <c r="H7" s="4">
        <v>1482</v>
      </c>
    </row>
    <row r="8" spans="1:8" ht="18.75" x14ac:dyDescent="0.3">
      <c r="A8" s="5" t="s">
        <v>226</v>
      </c>
      <c r="C8" s="3"/>
      <c r="D8" s="28">
        <v>612345</v>
      </c>
      <c r="E8" s="25"/>
      <c r="H8" s="28">
        <v>97770</v>
      </c>
    </row>
    <row r="9" spans="1:8" ht="18.75" x14ac:dyDescent="0.3">
      <c r="A9" s="5" t="s">
        <v>106</v>
      </c>
      <c r="C9" s="3"/>
      <c r="D9" s="28">
        <v>100179</v>
      </c>
      <c r="E9" s="25"/>
      <c r="H9" s="28">
        <v>15995</v>
      </c>
    </row>
    <row r="10" spans="1:8" ht="19.5" thickBot="1" x14ac:dyDescent="0.35">
      <c r="A10" s="5"/>
      <c r="C10" s="3"/>
      <c r="D10" s="22"/>
      <c r="E10" s="25"/>
      <c r="H10" s="22"/>
    </row>
    <row r="11" spans="1:8" ht="18.75" customHeight="1" x14ac:dyDescent="0.3">
      <c r="D11" s="4">
        <f>SUM(D7:D10)</f>
        <v>721824</v>
      </c>
      <c r="H11" s="4">
        <f>SUM(H7:H10)</f>
        <v>115247</v>
      </c>
    </row>
    <row r="12" spans="1:8" ht="18.75" x14ac:dyDescent="0.3">
      <c r="A12" s="5"/>
      <c r="C12" s="3"/>
      <c r="D12" s="4"/>
      <c r="H12" s="4"/>
    </row>
    <row r="14" spans="1:8" ht="18.75" x14ac:dyDescent="0.3">
      <c r="A14" s="5"/>
      <c r="C14" s="3"/>
      <c r="D14" s="4"/>
      <c r="H14" s="4"/>
    </row>
    <row r="15" spans="1:8" ht="15.75" thickBot="1" x14ac:dyDescent="0.3">
      <c r="D15" s="7"/>
      <c r="H15" s="7"/>
    </row>
    <row r="17" spans="1:8" ht="18.75" x14ac:dyDescent="0.3">
      <c r="C17" t="s">
        <v>4</v>
      </c>
      <c r="D17" s="4">
        <f>D3-D11</f>
        <v>265876</v>
      </c>
      <c r="G17" t="s">
        <v>5</v>
      </c>
      <c r="H17" s="4">
        <f>H3-H11</f>
        <v>42453</v>
      </c>
    </row>
    <row r="20" spans="1:8" ht="15.75" x14ac:dyDescent="0.25">
      <c r="A20" t="s">
        <v>6</v>
      </c>
      <c r="C20" s="8">
        <f>D17</f>
        <v>265876</v>
      </c>
      <c r="E20" t="s">
        <v>10</v>
      </c>
      <c r="H20" s="6">
        <f>C29</f>
        <v>219472.2</v>
      </c>
    </row>
    <row r="22" spans="1:8" ht="15.75" x14ac:dyDescent="0.25">
      <c r="A22" t="s">
        <v>5</v>
      </c>
      <c r="B22" s="9" t="s">
        <v>7</v>
      </c>
      <c r="C22" s="8">
        <f>H17</f>
        <v>42453</v>
      </c>
      <c r="E22" s="13" t="s">
        <v>11</v>
      </c>
      <c r="F22" s="9" t="s">
        <v>12</v>
      </c>
      <c r="G22" s="15" t="s">
        <v>17</v>
      </c>
      <c r="H22" s="3">
        <f>-(F23*0.007)</f>
        <v>-5810</v>
      </c>
    </row>
    <row r="23" spans="1:8" x14ac:dyDescent="0.25">
      <c r="F23" s="21">
        <f>D3-H3</f>
        <v>830000</v>
      </c>
    </row>
    <row r="24" spans="1:8" ht="15.75" x14ac:dyDescent="0.25">
      <c r="A24" t="s">
        <v>8</v>
      </c>
      <c r="B24" s="9" t="s">
        <v>7</v>
      </c>
      <c r="C24" s="8">
        <f>D3*0.004</f>
        <v>3950.8</v>
      </c>
      <c r="F24" s="9" t="s">
        <v>13</v>
      </c>
      <c r="G24" s="16">
        <v>0.35</v>
      </c>
      <c r="H24" s="29">
        <f>-(F25*0.35)</f>
        <v>-76815.27</v>
      </c>
    </row>
    <row r="25" spans="1:8" ht="15.75" thickBot="1" x14ac:dyDescent="0.3">
      <c r="F25" s="21">
        <f>H20</f>
        <v>219472.2</v>
      </c>
      <c r="H25" s="7"/>
    </row>
    <row r="26" spans="1:8" ht="15.75" x14ac:dyDescent="0.25">
      <c r="A26" t="s">
        <v>9</v>
      </c>
      <c r="B26" s="9" t="s">
        <v>7</v>
      </c>
      <c r="C26" s="10"/>
      <c r="G26" s="13" t="s">
        <v>14</v>
      </c>
      <c r="H26" s="6">
        <f>H20+H22+H24</f>
        <v>136846.93</v>
      </c>
    </row>
    <row r="27" spans="1:8" ht="15.75" thickBot="1" x14ac:dyDescent="0.3">
      <c r="A27" s="16"/>
      <c r="B27" s="14"/>
      <c r="C27" s="7"/>
    </row>
    <row r="28" spans="1:8" x14ac:dyDescent="0.25">
      <c r="E28" t="s">
        <v>151</v>
      </c>
      <c r="H28" s="20">
        <f>H26*0.5</f>
        <v>68423.464999999997</v>
      </c>
    </row>
    <row r="29" spans="1:8" ht="15.75" x14ac:dyDescent="0.25">
      <c r="A29" t="s">
        <v>10</v>
      </c>
      <c r="C29" s="10">
        <f>C20-C22-C24-C26</f>
        <v>219472.2</v>
      </c>
      <c r="H29" s="18"/>
    </row>
    <row r="30" spans="1:8" x14ac:dyDescent="0.25">
      <c r="H30" s="3"/>
    </row>
    <row r="31" spans="1:8" x14ac:dyDescent="0.25">
      <c r="H31" s="18"/>
    </row>
  </sheetData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B7646-1760-4A5E-8DB4-FF052C09EF28}">
  <dimension ref="A1:H31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501</v>
      </c>
    </row>
    <row r="3" spans="1:8" ht="21" x14ac:dyDescent="0.35">
      <c r="A3" s="2" t="s">
        <v>1</v>
      </c>
      <c r="D3" s="11">
        <v>15470</v>
      </c>
      <c r="F3" s="12" t="s">
        <v>3</v>
      </c>
      <c r="H3" s="11">
        <v>2470</v>
      </c>
    </row>
    <row r="4" spans="1:8" x14ac:dyDescent="0.25">
      <c r="A4" s="13" t="s">
        <v>32</v>
      </c>
      <c r="C4" s="26">
        <v>645</v>
      </c>
    </row>
    <row r="5" spans="1:8" ht="21" x14ac:dyDescent="0.35">
      <c r="A5" s="2" t="s">
        <v>2</v>
      </c>
    </row>
    <row r="7" spans="1:8" ht="18.75" x14ac:dyDescent="0.3">
      <c r="A7" s="5" t="s">
        <v>221</v>
      </c>
      <c r="D7" s="4">
        <v>8140</v>
      </c>
      <c r="E7" s="25"/>
      <c r="H7" s="4">
        <v>1300</v>
      </c>
    </row>
    <row r="8" spans="1:8" ht="18.75" x14ac:dyDescent="0.3">
      <c r="A8" s="5"/>
      <c r="C8" s="3"/>
      <c r="D8" s="28"/>
      <c r="E8" s="25"/>
      <c r="H8" s="28"/>
    </row>
    <row r="9" spans="1:8" ht="18.75" x14ac:dyDescent="0.3">
      <c r="A9" s="5"/>
      <c r="C9" s="3"/>
      <c r="D9" s="28"/>
      <c r="E9" s="25"/>
      <c r="H9" s="28"/>
    </row>
    <row r="10" spans="1:8" ht="19.5" thickBot="1" x14ac:dyDescent="0.35">
      <c r="A10" s="5"/>
      <c r="C10" s="3"/>
      <c r="D10" s="22"/>
      <c r="E10" s="25"/>
      <c r="H10" s="22"/>
    </row>
    <row r="11" spans="1:8" ht="18.75" customHeight="1" x14ac:dyDescent="0.3">
      <c r="D11" s="4">
        <f>SUM(D7:D10)</f>
        <v>8140</v>
      </c>
      <c r="H11" s="4">
        <f>SUM(H7:H10)</f>
        <v>1300</v>
      </c>
    </row>
    <row r="12" spans="1:8" ht="18.75" x14ac:dyDescent="0.3">
      <c r="A12" s="5"/>
      <c r="C12" s="3"/>
      <c r="D12" s="4"/>
      <c r="H12" s="4"/>
    </row>
    <row r="14" spans="1:8" ht="18.75" x14ac:dyDescent="0.3">
      <c r="A14" s="5"/>
      <c r="C14" s="3"/>
      <c r="D14" s="4"/>
      <c r="H14" s="4"/>
    </row>
    <row r="15" spans="1:8" ht="15.75" thickBot="1" x14ac:dyDescent="0.3">
      <c r="D15" s="7"/>
      <c r="H15" s="7"/>
    </row>
    <row r="17" spans="1:8" ht="18.75" x14ac:dyDescent="0.3">
      <c r="C17" t="s">
        <v>4</v>
      </c>
      <c r="D17" s="4">
        <f>D3-D11</f>
        <v>7330</v>
      </c>
      <c r="G17" t="s">
        <v>5</v>
      </c>
      <c r="H17" s="4">
        <f>H3-H11</f>
        <v>1170</v>
      </c>
    </row>
    <row r="20" spans="1:8" ht="15.75" x14ac:dyDescent="0.25">
      <c r="A20" t="s">
        <v>6</v>
      </c>
      <c r="C20" s="8">
        <f>D17</f>
        <v>7330</v>
      </c>
      <c r="E20" t="s">
        <v>10</v>
      </c>
      <c r="H20" s="6">
        <f>C29</f>
        <v>6098.12</v>
      </c>
    </row>
    <row r="22" spans="1:8" ht="15.75" x14ac:dyDescent="0.25">
      <c r="A22" t="s">
        <v>5</v>
      </c>
      <c r="B22" s="9" t="s">
        <v>7</v>
      </c>
      <c r="C22" s="8">
        <f>H17</f>
        <v>1170</v>
      </c>
      <c r="E22" s="13" t="s">
        <v>11</v>
      </c>
      <c r="F22" s="9" t="s">
        <v>12</v>
      </c>
      <c r="G22" s="15" t="s">
        <v>17</v>
      </c>
      <c r="H22" s="3">
        <f>-(F23*0.007)</f>
        <v>-91</v>
      </c>
    </row>
    <row r="23" spans="1:8" x14ac:dyDescent="0.25">
      <c r="F23" s="21">
        <f>D3-H3</f>
        <v>13000</v>
      </c>
    </row>
    <row r="24" spans="1:8" ht="15.75" x14ac:dyDescent="0.25">
      <c r="A24" t="s">
        <v>8</v>
      </c>
      <c r="B24" s="9" t="s">
        <v>7</v>
      </c>
      <c r="C24" s="8">
        <f>D3*0.004</f>
        <v>61.88</v>
      </c>
      <c r="F24" s="9" t="s">
        <v>13</v>
      </c>
      <c r="G24" s="16">
        <v>0.35</v>
      </c>
      <c r="H24" s="29">
        <f>-(F25*0.35)</f>
        <v>-2134.3419999999996</v>
      </c>
    </row>
    <row r="25" spans="1:8" ht="15.75" thickBot="1" x14ac:dyDescent="0.3">
      <c r="F25" s="21">
        <f>H20</f>
        <v>6098.12</v>
      </c>
      <c r="H25" s="7"/>
    </row>
    <row r="26" spans="1:8" ht="15.75" x14ac:dyDescent="0.25">
      <c r="A26" t="s">
        <v>9</v>
      </c>
      <c r="B26" s="9" t="s">
        <v>7</v>
      </c>
      <c r="C26" s="10"/>
      <c r="G26" s="13" t="s">
        <v>14</v>
      </c>
      <c r="H26" s="6">
        <f>H20+H22+H24</f>
        <v>3872.7780000000002</v>
      </c>
    </row>
    <row r="27" spans="1:8" ht="15.75" thickBot="1" x14ac:dyDescent="0.3">
      <c r="A27" s="16"/>
      <c r="B27" s="14"/>
      <c r="C27" s="7"/>
    </row>
    <row r="28" spans="1:8" x14ac:dyDescent="0.25">
      <c r="E28" t="s">
        <v>151</v>
      </c>
      <c r="H28" s="20">
        <f>H26*0.5</f>
        <v>1936.3890000000001</v>
      </c>
    </row>
    <row r="29" spans="1:8" ht="15.75" x14ac:dyDescent="0.25">
      <c r="A29" t="s">
        <v>10</v>
      </c>
      <c r="C29" s="10">
        <f>C20-C22-C24-C26</f>
        <v>6098.12</v>
      </c>
      <c r="H29" s="18"/>
    </row>
    <row r="30" spans="1:8" x14ac:dyDescent="0.25">
      <c r="H30" s="3"/>
    </row>
    <row r="31" spans="1:8" x14ac:dyDescent="0.25">
      <c r="H31" s="18"/>
    </row>
  </sheetData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D7AE0-782B-480C-A4EA-569C39D2EAA3}">
  <dimension ref="A1:H31"/>
  <sheetViews>
    <sheetView workbookViewId="0">
      <selection activeCell="K25" sqref="K25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502</v>
      </c>
    </row>
    <row r="3" spans="1:8" ht="21" x14ac:dyDescent="0.35">
      <c r="A3" s="2" t="s">
        <v>1</v>
      </c>
      <c r="D3" s="11">
        <v>21420</v>
      </c>
      <c r="F3" s="12" t="s">
        <v>3</v>
      </c>
      <c r="H3" s="11">
        <v>3420</v>
      </c>
    </row>
    <row r="4" spans="1:8" x14ac:dyDescent="0.25">
      <c r="A4" s="13" t="s">
        <v>32</v>
      </c>
      <c r="C4" s="26">
        <v>647</v>
      </c>
    </row>
    <row r="5" spans="1:8" ht="21" x14ac:dyDescent="0.35">
      <c r="A5" s="2" t="s">
        <v>2</v>
      </c>
    </row>
    <row r="7" spans="1:8" ht="18.75" x14ac:dyDescent="0.3">
      <c r="A7" s="5" t="s">
        <v>221</v>
      </c>
      <c r="D7" s="4">
        <v>15974</v>
      </c>
      <c r="E7" s="25"/>
      <c r="H7" s="4">
        <v>2550</v>
      </c>
    </row>
    <row r="8" spans="1:8" ht="18.75" x14ac:dyDescent="0.3">
      <c r="A8" s="5"/>
      <c r="C8" s="3"/>
      <c r="D8" s="28"/>
      <c r="E8" s="25"/>
      <c r="H8" s="28"/>
    </row>
    <row r="9" spans="1:8" ht="18.75" x14ac:dyDescent="0.3">
      <c r="A9" s="5"/>
      <c r="C9" s="3"/>
      <c r="D9" s="28"/>
      <c r="E9" s="25"/>
      <c r="H9" s="28"/>
    </row>
    <row r="10" spans="1:8" ht="19.5" thickBot="1" x14ac:dyDescent="0.35">
      <c r="A10" s="5"/>
      <c r="C10" s="3"/>
      <c r="D10" s="22"/>
      <c r="E10" s="25"/>
      <c r="H10" s="22"/>
    </row>
    <row r="11" spans="1:8" ht="18.75" customHeight="1" x14ac:dyDescent="0.3">
      <c r="D11" s="4">
        <f>SUM(D7:D10)</f>
        <v>15974</v>
      </c>
      <c r="H11" s="4">
        <f>SUM(H7:H10)</f>
        <v>2550</v>
      </c>
    </row>
    <row r="12" spans="1:8" ht="18.75" x14ac:dyDescent="0.3">
      <c r="A12" s="5"/>
      <c r="C12" s="3"/>
      <c r="D12" s="4"/>
      <c r="H12" s="4"/>
    </row>
    <row r="14" spans="1:8" ht="18.75" x14ac:dyDescent="0.3">
      <c r="A14" s="5"/>
      <c r="C14" s="3"/>
      <c r="D14" s="4"/>
      <c r="H14" s="4"/>
    </row>
    <row r="15" spans="1:8" ht="15.75" thickBot="1" x14ac:dyDescent="0.3">
      <c r="D15" s="7"/>
      <c r="H15" s="7"/>
    </row>
    <row r="17" spans="1:8" ht="18.75" x14ac:dyDescent="0.3">
      <c r="C17" t="s">
        <v>4</v>
      </c>
      <c r="D17" s="4">
        <f>D3-D11</f>
        <v>5446</v>
      </c>
      <c r="G17" t="s">
        <v>5</v>
      </c>
      <c r="H17" s="4">
        <f>H3-H11</f>
        <v>870</v>
      </c>
    </row>
    <row r="20" spans="1:8" ht="15.75" x14ac:dyDescent="0.25">
      <c r="A20" t="s">
        <v>6</v>
      </c>
      <c r="C20" s="8">
        <f>D17</f>
        <v>5446</v>
      </c>
      <c r="E20" t="s">
        <v>10</v>
      </c>
      <c r="H20" s="6">
        <f>C29</f>
        <v>4490.32</v>
      </c>
    </row>
    <row r="22" spans="1:8" ht="15.75" x14ac:dyDescent="0.25">
      <c r="A22" t="s">
        <v>5</v>
      </c>
      <c r="B22" s="9" t="s">
        <v>7</v>
      </c>
      <c r="C22" s="8">
        <f>H17</f>
        <v>870</v>
      </c>
      <c r="E22" s="13" t="s">
        <v>11</v>
      </c>
      <c r="F22" s="9" t="s">
        <v>12</v>
      </c>
      <c r="G22" s="15" t="s">
        <v>17</v>
      </c>
      <c r="H22" s="3">
        <f>-(F23*0.007)</f>
        <v>-126</v>
      </c>
    </row>
    <row r="23" spans="1:8" x14ac:dyDescent="0.25">
      <c r="F23" s="21">
        <f>D3-H3</f>
        <v>18000</v>
      </c>
    </row>
    <row r="24" spans="1:8" ht="15.75" x14ac:dyDescent="0.25">
      <c r="A24" t="s">
        <v>8</v>
      </c>
      <c r="B24" s="9" t="s">
        <v>7</v>
      </c>
      <c r="C24" s="8">
        <f>D3*0.004</f>
        <v>85.68</v>
      </c>
      <c r="F24" s="9" t="s">
        <v>13</v>
      </c>
      <c r="G24" s="16">
        <v>0.35</v>
      </c>
      <c r="H24" s="29">
        <f>-(F25*0.35)</f>
        <v>-1571.6119999999999</v>
      </c>
    </row>
    <row r="25" spans="1:8" ht="15.75" thickBot="1" x14ac:dyDescent="0.3">
      <c r="F25" s="21">
        <f>H20</f>
        <v>4490.32</v>
      </c>
      <c r="H25" s="7"/>
    </row>
    <row r="26" spans="1:8" ht="15.75" x14ac:dyDescent="0.25">
      <c r="A26" t="s">
        <v>9</v>
      </c>
      <c r="B26" s="9" t="s">
        <v>7</v>
      </c>
      <c r="C26" s="10"/>
      <c r="G26" s="13" t="s">
        <v>14</v>
      </c>
      <c r="H26" s="6">
        <f>H20+H22+H24</f>
        <v>2792.7079999999996</v>
      </c>
    </row>
    <row r="27" spans="1:8" ht="15.75" thickBot="1" x14ac:dyDescent="0.3">
      <c r="A27" s="16"/>
      <c r="B27" s="14"/>
      <c r="C27" s="7"/>
    </row>
    <row r="28" spans="1:8" x14ac:dyDescent="0.25">
      <c r="E28" t="s">
        <v>151</v>
      </c>
      <c r="H28" s="20">
        <f>H26*0.5</f>
        <v>1396.3539999999998</v>
      </c>
    </row>
    <row r="29" spans="1:8" ht="15.75" x14ac:dyDescent="0.25">
      <c r="A29" t="s">
        <v>10</v>
      </c>
      <c r="C29" s="10">
        <f>C20-C22-C24-C26</f>
        <v>4490.32</v>
      </c>
      <c r="H29" s="18"/>
    </row>
    <row r="30" spans="1:8" x14ac:dyDescent="0.25">
      <c r="H30" s="3"/>
    </row>
    <row r="31" spans="1:8" x14ac:dyDescent="0.25">
      <c r="H31" s="18"/>
    </row>
  </sheetData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F3B6E-8294-4ED1-B9C4-80EBDC2EA53F}">
  <dimension ref="A1:H31"/>
  <sheetViews>
    <sheetView workbookViewId="0">
      <selection activeCell="C4" sqref="C4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503</v>
      </c>
    </row>
    <row r="3" spans="1:8" ht="21" x14ac:dyDescent="0.35">
      <c r="A3" s="2" t="s">
        <v>1</v>
      </c>
      <c r="D3" s="11">
        <v>53550</v>
      </c>
      <c r="F3" s="12" t="s">
        <v>3</v>
      </c>
      <c r="H3" s="11">
        <v>8550</v>
      </c>
    </row>
    <row r="4" spans="1:8" x14ac:dyDescent="0.25">
      <c r="A4" s="13" t="s">
        <v>32</v>
      </c>
      <c r="C4" s="26">
        <v>648</v>
      </c>
    </row>
    <row r="5" spans="1:8" ht="21" x14ac:dyDescent="0.35">
      <c r="A5" s="2" t="s">
        <v>2</v>
      </c>
    </row>
    <row r="7" spans="1:8" ht="18.75" x14ac:dyDescent="0.3">
      <c r="A7" s="5" t="s">
        <v>221</v>
      </c>
      <c r="D7" s="4">
        <v>27435</v>
      </c>
      <c r="E7" s="25"/>
      <c r="H7" s="4">
        <v>4380</v>
      </c>
    </row>
    <row r="8" spans="1:8" ht="18.75" x14ac:dyDescent="0.3">
      <c r="A8" s="5"/>
      <c r="C8" s="3"/>
      <c r="D8" s="28"/>
      <c r="E8" s="25"/>
      <c r="H8" s="28" t="s">
        <v>504</v>
      </c>
    </row>
    <row r="9" spans="1:8" ht="18.75" x14ac:dyDescent="0.3">
      <c r="A9" s="5"/>
      <c r="C9" s="3"/>
      <c r="D9" s="28"/>
      <c r="E9" s="25"/>
      <c r="H9" s="28"/>
    </row>
    <row r="10" spans="1:8" ht="19.5" thickBot="1" x14ac:dyDescent="0.35">
      <c r="A10" s="5"/>
      <c r="C10" s="3"/>
      <c r="D10" s="22"/>
      <c r="E10" s="25"/>
      <c r="H10" s="22"/>
    </row>
    <row r="11" spans="1:8" ht="18.75" customHeight="1" x14ac:dyDescent="0.3">
      <c r="D11" s="4">
        <f>SUM(D7:D10)</f>
        <v>27435</v>
      </c>
      <c r="H11" s="4">
        <f>SUM(H7:H10)</f>
        <v>4380</v>
      </c>
    </row>
    <row r="12" spans="1:8" ht="18.75" x14ac:dyDescent="0.3">
      <c r="A12" s="5"/>
      <c r="C12" s="3"/>
      <c r="D12" s="4"/>
      <c r="H12" s="4"/>
    </row>
    <row r="14" spans="1:8" ht="18.75" x14ac:dyDescent="0.3">
      <c r="A14" s="5"/>
      <c r="C14" s="3"/>
      <c r="D14" s="4"/>
      <c r="H14" s="4"/>
    </row>
    <row r="15" spans="1:8" ht="15.75" thickBot="1" x14ac:dyDescent="0.3">
      <c r="D15" s="7"/>
      <c r="H15" s="7"/>
    </row>
    <row r="17" spans="1:8" ht="18.75" x14ac:dyDescent="0.3">
      <c r="C17" t="s">
        <v>4</v>
      </c>
      <c r="D17" s="4">
        <f>D3-D11</f>
        <v>26115</v>
      </c>
      <c r="G17" t="s">
        <v>5</v>
      </c>
      <c r="H17" s="4">
        <f>H3-H11</f>
        <v>4170</v>
      </c>
    </row>
    <row r="20" spans="1:8" ht="15.75" x14ac:dyDescent="0.25">
      <c r="A20" t="s">
        <v>6</v>
      </c>
      <c r="C20" s="8">
        <f>D17</f>
        <v>26115</v>
      </c>
      <c r="E20" t="s">
        <v>10</v>
      </c>
      <c r="H20" s="6">
        <f>C29</f>
        <v>21730.799999999999</v>
      </c>
    </row>
    <row r="22" spans="1:8" ht="15.75" x14ac:dyDescent="0.25">
      <c r="A22" t="s">
        <v>5</v>
      </c>
      <c r="B22" s="9" t="s">
        <v>7</v>
      </c>
      <c r="C22" s="8">
        <f>H17</f>
        <v>4170</v>
      </c>
      <c r="E22" s="13" t="s">
        <v>11</v>
      </c>
      <c r="F22" s="9" t="s">
        <v>12</v>
      </c>
      <c r="G22" s="15" t="s">
        <v>17</v>
      </c>
      <c r="H22" s="3">
        <f>-(F23*0.007)</f>
        <v>-315</v>
      </c>
    </row>
    <row r="23" spans="1:8" x14ac:dyDescent="0.25">
      <c r="F23" s="21">
        <f>D3-H3</f>
        <v>45000</v>
      </c>
    </row>
    <row r="24" spans="1:8" ht="15.75" x14ac:dyDescent="0.25">
      <c r="A24" t="s">
        <v>8</v>
      </c>
      <c r="B24" s="9" t="s">
        <v>7</v>
      </c>
      <c r="C24" s="8">
        <f>D3*0.004</f>
        <v>214.20000000000002</v>
      </c>
      <c r="F24" s="9" t="s">
        <v>13</v>
      </c>
      <c r="G24" s="16">
        <v>0.35</v>
      </c>
      <c r="H24" s="29">
        <f>-(F25*0.35)</f>
        <v>-7605.7799999999988</v>
      </c>
    </row>
    <row r="25" spans="1:8" ht="15.75" thickBot="1" x14ac:dyDescent="0.3">
      <c r="F25" s="21">
        <f>H20</f>
        <v>21730.799999999999</v>
      </c>
      <c r="H25" s="7"/>
    </row>
    <row r="26" spans="1:8" ht="15.75" x14ac:dyDescent="0.25">
      <c r="A26" t="s">
        <v>9</v>
      </c>
      <c r="B26" s="9" t="s">
        <v>7</v>
      </c>
      <c r="C26" s="10"/>
      <c r="G26" s="13" t="s">
        <v>14</v>
      </c>
      <c r="H26" s="6">
        <f>H20+H22+H24</f>
        <v>13810.02</v>
      </c>
    </row>
    <row r="27" spans="1:8" ht="15.75" thickBot="1" x14ac:dyDescent="0.3">
      <c r="A27" s="16"/>
      <c r="B27" s="14"/>
      <c r="C27" s="7"/>
    </row>
    <row r="28" spans="1:8" x14ac:dyDescent="0.25">
      <c r="E28" t="s">
        <v>151</v>
      </c>
      <c r="H28" s="20">
        <f>H26*0.5</f>
        <v>6905.01</v>
      </c>
    </row>
    <row r="29" spans="1:8" ht="15.75" x14ac:dyDescent="0.25">
      <c r="A29" t="s">
        <v>10</v>
      </c>
      <c r="C29" s="10">
        <f>C20-C22-C24-C26</f>
        <v>21730.799999999999</v>
      </c>
      <c r="H29" s="18"/>
    </row>
    <row r="30" spans="1:8" x14ac:dyDescent="0.25">
      <c r="H30" s="3"/>
    </row>
    <row r="31" spans="1:8" x14ac:dyDescent="0.25">
      <c r="H31" s="18"/>
    </row>
  </sheetData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B1707-B2A0-4444-8464-79A448041942}">
  <dimension ref="A1:H31"/>
  <sheetViews>
    <sheetView workbookViewId="0">
      <selection activeCell="C4" sqref="C4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505</v>
      </c>
    </row>
    <row r="3" spans="1:8" ht="21" x14ac:dyDescent="0.35">
      <c r="A3" s="2" t="s">
        <v>1</v>
      </c>
      <c r="D3" s="11">
        <v>416500</v>
      </c>
      <c r="F3" s="12" t="s">
        <v>3</v>
      </c>
      <c r="H3" s="11">
        <v>66500</v>
      </c>
    </row>
    <row r="4" spans="1:8" x14ac:dyDescent="0.25">
      <c r="A4" s="13" t="s">
        <v>32</v>
      </c>
      <c r="C4" s="26">
        <v>651</v>
      </c>
    </row>
    <row r="5" spans="1:8" ht="21" x14ac:dyDescent="0.35">
      <c r="A5" s="2" t="s">
        <v>2</v>
      </c>
    </row>
    <row r="7" spans="1:8" ht="18.75" x14ac:dyDescent="0.3">
      <c r="A7" s="5" t="s">
        <v>21</v>
      </c>
      <c r="D7" s="4">
        <v>285957</v>
      </c>
      <c r="E7" s="25"/>
      <c r="H7" s="4">
        <v>45657</v>
      </c>
    </row>
    <row r="8" spans="1:8" ht="18.75" x14ac:dyDescent="0.3">
      <c r="A8" s="5"/>
      <c r="C8" s="3"/>
      <c r="D8" s="28"/>
      <c r="E8" s="25"/>
      <c r="H8" s="28" t="s">
        <v>504</v>
      </c>
    </row>
    <row r="9" spans="1:8" ht="18.75" x14ac:dyDescent="0.3">
      <c r="A9" s="5"/>
      <c r="C9" s="3"/>
      <c r="D9" s="28"/>
      <c r="E9" s="25"/>
      <c r="H9" s="28"/>
    </row>
    <row r="10" spans="1:8" ht="19.5" thickBot="1" x14ac:dyDescent="0.35">
      <c r="A10" s="5"/>
      <c r="C10" s="3"/>
      <c r="D10" s="22"/>
      <c r="E10" s="25"/>
      <c r="H10" s="22"/>
    </row>
    <row r="11" spans="1:8" ht="18.75" customHeight="1" x14ac:dyDescent="0.3">
      <c r="D11" s="4">
        <f>SUM(D7:D10)</f>
        <v>285957</v>
      </c>
      <c r="H11" s="4">
        <f>SUM(H7:H10)</f>
        <v>45657</v>
      </c>
    </row>
    <row r="12" spans="1:8" ht="18.75" x14ac:dyDescent="0.3">
      <c r="A12" s="5"/>
      <c r="C12" s="3"/>
      <c r="D12" s="4"/>
      <c r="H12" s="4"/>
    </row>
    <row r="14" spans="1:8" ht="18.75" x14ac:dyDescent="0.3">
      <c r="A14" s="5"/>
      <c r="C14" s="3"/>
      <c r="D14" s="4"/>
      <c r="H14" s="4"/>
    </row>
    <row r="15" spans="1:8" ht="15.75" thickBot="1" x14ac:dyDescent="0.3">
      <c r="D15" s="7"/>
      <c r="H15" s="7"/>
    </row>
    <row r="17" spans="1:8" ht="18.75" x14ac:dyDescent="0.3">
      <c r="C17" t="s">
        <v>4</v>
      </c>
      <c r="D17" s="4">
        <f>D3-D11</f>
        <v>130543</v>
      </c>
      <c r="G17" t="s">
        <v>5</v>
      </c>
      <c r="H17" s="4">
        <f>H3-H11</f>
        <v>20843</v>
      </c>
    </row>
    <row r="20" spans="1:8" ht="15.75" x14ac:dyDescent="0.25">
      <c r="A20" t="s">
        <v>6</v>
      </c>
      <c r="C20" s="8">
        <f>D17</f>
        <v>130543</v>
      </c>
      <c r="E20" t="s">
        <v>10</v>
      </c>
      <c r="H20" s="6">
        <f>C29</f>
        <v>108034</v>
      </c>
    </row>
    <row r="22" spans="1:8" ht="15.75" x14ac:dyDescent="0.25">
      <c r="A22" t="s">
        <v>5</v>
      </c>
      <c r="B22" s="9" t="s">
        <v>7</v>
      </c>
      <c r="C22" s="8">
        <f>H17</f>
        <v>20843</v>
      </c>
      <c r="E22" s="13" t="s">
        <v>11</v>
      </c>
      <c r="F22" s="9" t="s">
        <v>12</v>
      </c>
      <c r="G22" s="15" t="s">
        <v>17</v>
      </c>
      <c r="H22" s="3">
        <f>-(F23*0.007)</f>
        <v>-2450</v>
      </c>
    </row>
    <row r="23" spans="1:8" x14ac:dyDescent="0.25">
      <c r="F23" s="21">
        <f>D3-H3</f>
        <v>350000</v>
      </c>
    </row>
    <row r="24" spans="1:8" ht="15.75" x14ac:dyDescent="0.25">
      <c r="A24" t="s">
        <v>8</v>
      </c>
      <c r="B24" s="9" t="s">
        <v>7</v>
      </c>
      <c r="C24" s="8">
        <f>D3*0.004</f>
        <v>1666</v>
      </c>
      <c r="F24" s="9" t="s">
        <v>13</v>
      </c>
      <c r="G24" s="16">
        <v>0.35</v>
      </c>
      <c r="H24" s="29">
        <f>-(F25*0.35)</f>
        <v>-37811.899999999994</v>
      </c>
    </row>
    <row r="25" spans="1:8" ht="15.75" thickBot="1" x14ac:dyDescent="0.3">
      <c r="F25" s="21">
        <f>H20</f>
        <v>108034</v>
      </c>
      <c r="H25" s="7"/>
    </row>
    <row r="26" spans="1:8" ht="15.75" x14ac:dyDescent="0.25">
      <c r="A26" t="s">
        <v>9</v>
      </c>
      <c r="B26" s="9" t="s">
        <v>7</v>
      </c>
      <c r="C26" s="10"/>
      <c r="G26" s="13" t="s">
        <v>14</v>
      </c>
      <c r="H26" s="6">
        <f>H20+H22+H24</f>
        <v>67772.100000000006</v>
      </c>
    </row>
    <row r="27" spans="1:8" ht="15.75" thickBot="1" x14ac:dyDescent="0.3">
      <c r="A27" s="16"/>
      <c r="B27" s="14"/>
      <c r="C27" s="7"/>
    </row>
    <row r="28" spans="1:8" x14ac:dyDescent="0.25">
      <c r="E28" t="s">
        <v>151</v>
      </c>
      <c r="H28" s="20">
        <f>H26*0.5</f>
        <v>33886.050000000003</v>
      </c>
    </row>
    <row r="29" spans="1:8" ht="15.75" x14ac:dyDescent="0.25">
      <c r="A29" t="s">
        <v>10</v>
      </c>
      <c r="C29" s="10">
        <f>C20-C22-C24-C26</f>
        <v>108034</v>
      </c>
      <c r="H29" s="18"/>
    </row>
    <row r="30" spans="1:8" x14ac:dyDescent="0.25">
      <c r="H30" s="3"/>
    </row>
    <row r="31" spans="1:8" x14ac:dyDescent="0.25">
      <c r="H31" s="18"/>
    </row>
  </sheetData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EF270-BC8F-4DCE-825A-9B89D91F8FA7}">
  <dimension ref="A1:H31"/>
  <sheetViews>
    <sheetView workbookViewId="0">
      <selection activeCell="J16" sqref="J1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506</v>
      </c>
    </row>
    <row r="3" spans="1:8" ht="21" x14ac:dyDescent="0.35">
      <c r="A3" s="2" t="s">
        <v>1</v>
      </c>
      <c r="D3" s="11">
        <v>166600</v>
      </c>
      <c r="F3" s="12" t="s">
        <v>3</v>
      </c>
      <c r="H3" s="11">
        <v>26600</v>
      </c>
    </row>
    <row r="4" spans="1:8" x14ac:dyDescent="0.25">
      <c r="A4" s="13" t="s">
        <v>32</v>
      </c>
      <c r="C4" s="26">
        <v>652</v>
      </c>
    </row>
    <row r="5" spans="1:8" ht="21" x14ac:dyDescent="0.35">
      <c r="A5" s="2" t="s">
        <v>2</v>
      </c>
    </row>
    <row r="7" spans="1:8" ht="18.75" x14ac:dyDescent="0.3">
      <c r="A7" s="5" t="s">
        <v>221</v>
      </c>
      <c r="D7" s="4">
        <v>106930</v>
      </c>
      <c r="E7" s="25"/>
      <c r="H7" s="4">
        <v>18670</v>
      </c>
    </row>
    <row r="8" spans="1:8" ht="18.75" x14ac:dyDescent="0.3">
      <c r="A8" s="5"/>
      <c r="C8" s="3"/>
      <c r="D8" s="28"/>
      <c r="E8" s="25"/>
      <c r="H8" s="28" t="s">
        <v>504</v>
      </c>
    </row>
    <row r="9" spans="1:8" ht="18.75" x14ac:dyDescent="0.3">
      <c r="A9" s="5"/>
      <c r="C9" s="3"/>
      <c r="D9" s="28"/>
      <c r="E9" s="25"/>
      <c r="H9" s="28"/>
    </row>
    <row r="10" spans="1:8" ht="19.5" thickBot="1" x14ac:dyDescent="0.35">
      <c r="A10" s="5"/>
      <c r="C10" s="3"/>
      <c r="D10" s="22"/>
      <c r="E10" s="25"/>
      <c r="H10" s="22"/>
    </row>
    <row r="11" spans="1:8" ht="18.75" customHeight="1" x14ac:dyDescent="0.3">
      <c r="D11" s="4">
        <f>SUM(D7:D10)</f>
        <v>106930</v>
      </c>
      <c r="H11" s="4">
        <f>SUM(H7:H10)</f>
        <v>18670</v>
      </c>
    </row>
    <row r="12" spans="1:8" ht="18.75" x14ac:dyDescent="0.3">
      <c r="A12" s="5"/>
      <c r="C12" s="3"/>
      <c r="D12" s="4"/>
      <c r="H12" s="4"/>
    </row>
    <row r="14" spans="1:8" ht="18.75" x14ac:dyDescent="0.3">
      <c r="A14" s="5"/>
      <c r="C14" s="3"/>
      <c r="D14" s="4"/>
      <c r="H14" s="4"/>
    </row>
    <row r="15" spans="1:8" ht="15.75" thickBot="1" x14ac:dyDescent="0.3">
      <c r="D15" s="7"/>
      <c r="H15" s="7"/>
    </row>
    <row r="17" spans="1:8" ht="18.75" x14ac:dyDescent="0.3">
      <c r="C17" t="s">
        <v>4</v>
      </c>
      <c r="D17" s="4">
        <f>D3-D11</f>
        <v>59670</v>
      </c>
      <c r="G17" t="s">
        <v>5</v>
      </c>
      <c r="H17" s="4">
        <f>H3-H11</f>
        <v>7930</v>
      </c>
    </row>
    <row r="20" spans="1:8" ht="15.75" x14ac:dyDescent="0.25">
      <c r="A20" t="s">
        <v>6</v>
      </c>
      <c r="C20" s="8">
        <f>D17</f>
        <v>59670</v>
      </c>
      <c r="E20" t="s">
        <v>10</v>
      </c>
      <c r="H20" s="6">
        <f>C29</f>
        <v>51073.599999999999</v>
      </c>
    </row>
    <row r="22" spans="1:8" ht="15.75" x14ac:dyDescent="0.25">
      <c r="A22" t="s">
        <v>5</v>
      </c>
      <c r="B22" s="9" t="s">
        <v>7</v>
      </c>
      <c r="C22" s="8">
        <f>H17</f>
        <v>7930</v>
      </c>
      <c r="E22" s="13" t="s">
        <v>11</v>
      </c>
      <c r="F22" s="9" t="s">
        <v>12</v>
      </c>
      <c r="G22" s="15" t="s">
        <v>17</v>
      </c>
      <c r="H22" s="3">
        <f>-(F23*0.007)</f>
        <v>-980</v>
      </c>
    </row>
    <row r="23" spans="1:8" x14ac:dyDescent="0.25">
      <c r="F23" s="21">
        <f>D3-H3</f>
        <v>140000</v>
      </c>
    </row>
    <row r="24" spans="1:8" ht="15.75" x14ac:dyDescent="0.25">
      <c r="A24" t="s">
        <v>8</v>
      </c>
      <c r="B24" s="9" t="s">
        <v>7</v>
      </c>
      <c r="C24" s="8">
        <f>D3*0.004</f>
        <v>666.4</v>
      </c>
      <c r="F24" s="9" t="s">
        <v>13</v>
      </c>
      <c r="G24" s="16">
        <v>0.35</v>
      </c>
      <c r="H24" s="29">
        <f>-(F25*0.35)</f>
        <v>-17875.759999999998</v>
      </c>
    </row>
    <row r="25" spans="1:8" ht="15.75" thickBot="1" x14ac:dyDescent="0.3">
      <c r="F25" s="21">
        <f>H20</f>
        <v>51073.599999999999</v>
      </c>
      <c r="H25" s="7"/>
    </row>
    <row r="26" spans="1:8" ht="15.75" x14ac:dyDescent="0.25">
      <c r="A26" t="s">
        <v>9</v>
      </c>
      <c r="B26" s="9" t="s">
        <v>7</v>
      </c>
      <c r="C26" s="10"/>
      <c r="G26" s="13" t="s">
        <v>14</v>
      </c>
      <c r="H26" s="6">
        <f>H20+H22+H24</f>
        <v>32217.84</v>
      </c>
    </row>
    <row r="27" spans="1:8" ht="15.75" thickBot="1" x14ac:dyDescent="0.3">
      <c r="A27" s="16"/>
      <c r="B27" s="14"/>
      <c r="C27" s="7"/>
    </row>
    <row r="28" spans="1:8" x14ac:dyDescent="0.25">
      <c r="E28" t="s">
        <v>151</v>
      </c>
      <c r="H28" s="20">
        <f>H26*0.5</f>
        <v>16108.92</v>
      </c>
    </row>
    <row r="29" spans="1:8" ht="15.75" x14ac:dyDescent="0.25">
      <c r="A29" t="s">
        <v>10</v>
      </c>
      <c r="C29" s="10">
        <f>C20-C22-C24-C26</f>
        <v>51073.599999999999</v>
      </c>
      <c r="H29" s="18"/>
    </row>
    <row r="30" spans="1:8" x14ac:dyDescent="0.25">
      <c r="H30" s="3"/>
    </row>
    <row r="31" spans="1:8" x14ac:dyDescent="0.25">
      <c r="H31" s="18"/>
    </row>
  </sheetData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69D07-A79B-4F9E-9C81-C8FDFE1F9A6D}">
  <dimension ref="A1:H32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488</v>
      </c>
    </row>
    <row r="3" spans="1:8" ht="21" x14ac:dyDescent="0.35">
      <c r="A3" s="2" t="s">
        <v>1</v>
      </c>
      <c r="D3" s="11">
        <v>483735</v>
      </c>
      <c r="F3" s="12" t="s">
        <v>3</v>
      </c>
      <c r="H3" s="11">
        <v>77235</v>
      </c>
    </row>
    <row r="4" spans="1:8" x14ac:dyDescent="0.25">
      <c r="A4" s="13" t="s">
        <v>32</v>
      </c>
      <c r="C4" s="26">
        <v>653</v>
      </c>
    </row>
    <row r="5" spans="1:8" ht="21" x14ac:dyDescent="0.35">
      <c r="A5" s="2" t="s">
        <v>2</v>
      </c>
    </row>
    <row r="7" spans="1:8" ht="18.75" x14ac:dyDescent="0.3">
      <c r="A7" s="5" t="s">
        <v>507</v>
      </c>
      <c r="D7" s="4">
        <v>95592</v>
      </c>
      <c r="E7" s="25"/>
      <c r="H7" s="4">
        <v>15263</v>
      </c>
    </row>
    <row r="8" spans="1:8" ht="18.75" x14ac:dyDescent="0.3">
      <c r="A8" s="5" t="s">
        <v>489</v>
      </c>
      <c r="C8" s="3"/>
      <c r="D8" s="28">
        <v>170218</v>
      </c>
      <c r="E8" s="25"/>
      <c r="H8" s="28">
        <v>27178</v>
      </c>
    </row>
    <row r="9" spans="1:8" ht="18.75" x14ac:dyDescent="0.3">
      <c r="A9" s="5" t="s">
        <v>510</v>
      </c>
      <c r="C9" s="3"/>
      <c r="D9" s="28">
        <v>18588</v>
      </c>
      <c r="E9" s="25"/>
      <c r="H9" s="28">
        <v>2968</v>
      </c>
    </row>
    <row r="10" spans="1:8" ht="18.75" x14ac:dyDescent="0.3">
      <c r="A10" s="5" t="s">
        <v>509</v>
      </c>
      <c r="C10" s="3"/>
      <c r="D10" s="28">
        <v>15470</v>
      </c>
      <c r="E10" s="25"/>
      <c r="H10" s="28">
        <v>2470</v>
      </c>
    </row>
    <row r="11" spans="1:8" ht="19.5" thickBot="1" x14ac:dyDescent="0.35">
      <c r="A11" s="5" t="s">
        <v>508</v>
      </c>
      <c r="C11" s="3"/>
      <c r="D11" s="22">
        <v>1900</v>
      </c>
      <c r="E11" s="25"/>
      <c r="H11" s="22">
        <v>303</v>
      </c>
    </row>
    <row r="12" spans="1:8" ht="18.75" customHeight="1" x14ac:dyDescent="0.3">
      <c r="D12" s="4">
        <f>SUM(D7:D11)</f>
        <v>301768</v>
      </c>
      <c r="H12" s="4">
        <f>SUM(H7:H11)</f>
        <v>48182</v>
      </c>
    </row>
    <row r="13" spans="1:8" ht="18.75" x14ac:dyDescent="0.3">
      <c r="A13" s="5"/>
      <c r="C13" s="3"/>
      <c r="D13" s="4"/>
      <c r="H13" s="4"/>
    </row>
    <row r="15" spans="1:8" ht="18.75" x14ac:dyDescent="0.3">
      <c r="A15" s="5"/>
      <c r="C15" s="3"/>
      <c r="D15" s="4"/>
      <c r="H15" s="4"/>
    </row>
    <row r="16" spans="1:8" ht="15.75" thickBot="1" x14ac:dyDescent="0.3">
      <c r="D16" s="7"/>
      <c r="H16" s="7"/>
    </row>
    <row r="18" spans="1:8" ht="18.75" x14ac:dyDescent="0.3">
      <c r="C18" t="s">
        <v>4</v>
      </c>
      <c r="D18" s="4">
        <f>D3-D12</f>
        <v>181967</v>
      </c>
      <c r="G18" t="s">
        <v>5</v>
      </c>
      <c r="H18" s="4">
        <f>H3-H12</f>
        <v>29053</v>
      </c>
    </row>
    <row r="21" spans="1:8" ht="15.75" x14ac:dyDescent="0.25">
      <c r="A21" t="s">
        <v>6</v>
      </c>
      <c r="C21" s="8">
        <f>D18</f>
        <v>181967</v>
      </c>
      <c r="E21" t="s">
        <v>10</v>
      </c>
      <c r="H21" s="6">
        <f>C30</f>
        <v>150979.06</v>
      </c>
    </row>
    <row r="23" spans="1:8" ht="15.75" x14ac:dyDescent="0.25">
      <c r="A23" t="s">
        <v>5</v>
      </c>
      <c r="B23" s="9" t="s">
        <v>7</v>
      </c>
      <c r="C23" s="8">
        <f>H18</f>
        <v>29053</v>
      </c>
      <c r="E23" s="13" t="s">
        <v>11</v>
      </c>
      <c r="F23" s="9" t="s">
        <v>12</v>
      </c>
      <c r="G23" s="15" t="s">
        <v>17</v>
      </c>
      <c r="H23" s="3">
        <f>-(F24*0.007)</f>
        <v>-2845.5</v>
      </c>
    </row>
    <row r="24" spans="1:8" x14ac:dyDescent="0.25">
      <c r="F24" s="21">
        <f>D3-H3</f>
        <v>406500</v>
      </c>
    </row>
    <row r="25" spans="1:8" ht="15.75" x14ac:dyDescent="0.25">
      <c r="A25" t="s">
        <v>8</v>
      </c>
      <c r="B25" s="9" t="s">
        <v>7</v>
      </c>
      <c r="C25" s="8">
        <f>D3*0.004</f>
        <v>1934.94</v>
      </c>
      <c r="F25" s="9" t="s">
        <v>13</v>
      </c>
      <c r="G25" s="16">
        <v>0.35</v>
      </c>
      <c r="H25" s="29">
        <f>-(F26*0.35)</f>
        <v>-52842.670999999995</v>
      </c>
    </row>
    <row r="26" spans="1:8" ht="15.75" thickBot="1" x14ac:dyDescent="0.3">
      <c r="F26" s="21">
        <f>H21</f>
        <v>150979.06</v>
      </c>
      <c r="H26" s="7"/>
    </row>
    <row r="27" spans="1:8" ht="15.75" x14ac:dyDescent="0.25">
      <c r="A27" t="s">
        <v>9</v>
      </c>
      <c r="B27" s="9" t="s">
        <v>7</v>
      </c>
      <c r="C27" s="10"/>
      <c r="G27" s="13" t="s">
        <v>14</v>
      </c>
      <c r="H27" s="6">
        <f>H21+H23+H25</f>
        <v>95290.888999999996</v>
      </c>
    </row>
    <row r="28" spans="1:8" ht="15.75" thickBot="1" x14ac:dyDescent="0.3">
      <c r="A28" s="16"/>
      <c r="B28" s="14"/>
      <c r="C28" s="7"/>
    </row>
    <row r="29" spans="1:8" x14ac:dyDescent="0.25">
      <c r="E29" t="s">
        <v>151</v>
      </c>
      <c r="H29" s="20">
        <f>H27*0.5</f>
        <v>47645.444499999998</v>
      </c>
    </row>
    <row r="30" spans="1:8" ht="15.75" x14ac:dyDescent="0.25">
      <c r="A30" t="s">
        <v>10</v>
      </c>
      <c r="C30" s="10">
        <f>C21-C23-C25-C27</f>
        <v>150979.06</v>
      </c>
      <c r="H30" s="18"/>
    </row>
    <row r="31" spans="1:8" x14ac:dyDescent="0.25">
      <c r="H31" s="3"/>
    </row>
    <row r="32" spans="1:8" x14ac:dyDescent="0.25">
      <c r="H32" s="18"/>
    </row>
  </sheetData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A4984-8892-43A3-9B79-8D648130B07E}">
  <dimension ref="A1:H32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511</v>
      </c>
    </row>
    <row r="3" spans="1:8" ht="21" x14ac:dyDescent="0.35">
      <c r="A3" s="2" t="s">
        <v>1</v>
      </c>
      <c r="D3" s="11">
        <v>299880</v>
      </c>
      <c r="F3" s="12" t="s">
        <v>3</v>
      </c>
      <c r="H3" s="11">
        <v>47880</v>
      </c>
    </row>
    <row r="4" spans="1:8" x14ac:dyDescent="0.25">
      <c r="A4" s="13" t="s">
        <v>32</v>
      </c>
      <c r="C4" s="26">
        <v>655</v>
      </c>
    </row>
    <row r="5" spans="1:8" ht="21" x14ac:dyDescent="0.35">
      <c r="A5" s="2" t="s">
        <v>2</v>
      </c>
    </row>
    <row r="7" spans="1:8" ht="18.75" x14ac:dyDescent="0.3">
      <c r="A7" s="5" t="s">
        <v>106</v>
      </c>
      <c r="D7" s="4">
        <v>166600</v>
      </c>
      <c r="E7" s="25"/>
      <c r="H7" s="4">
        <v>26600</v>
      </c>
    </row>
    <row r="8" spans="1:8" ht="18.75" x14ac:dyDescent="0.3">
      <c r="A8" s="5" t="s">
        <v>512</v>
      </c>
      <c r="C8" s="3"/>
      <c r="D8" s="28">
        <v>16922</v>
      </c>
      <c r="E8" s="25"/>
      <c r="H8" s="28">
        <v>2702</v>
      </c>
    </row>
    <row r="9" spans="1:8" ht="18.75" x14ac:dyDescent="0.3">
      <c r="A9" s="5" t="s">
        <v>513</v>
      </c>
      <c r="C9" s="3"/>
      <c r="D9" s="28">
        <v>12614</v>
      </c>
      <c r="E9" s="25"/>
      <c r="H9" s="28">
        <v>2014</v>
      </c>
    </row>
    <row r="10" spans="1:8" ht="18.75" x14ac:dyDescent="0.3">
      <c r="A10" s="5" t="s">
        <v>512</v>
      </c>
      <c r="C10" s="3"/>
      <c r="D10" s="28">
        <v>7245</v>
      </c>
      <c r="E10" s="25"/>
      <c r="H10" s="28">
        <v>1157</v>
      </c>
    </row>
    <row r="11" spans="1:8" ht="19.5" thickBot="1" x14ac:dyDescent="0.35">
      <c r="A11" s="5"/>
      <c r="C11" s="3"/>
      <c r="D11" s="22"/>
      <c r="E11" s="25"/>
      <c r="H11" s="22"/>
    </row>
    <row r="12" spans="1:8" ht="18.75" customHeight="1" x14ac:dyDescent="0.3">
      <c r="D12" s="4">
        <f>SUM(D7:D11)</f>
        <v>203381</v>
      </c>
      <c r="H12" s="4">
        <f>SUM(H7:H11)</f>
        <v>32473</v>
      </c>
    </row>
    <row r="13" spans="1:8" ht="18.75" x14ac:dyDescent="0.3">
      <c r="A13" s="5"/>
      <c r="C13" s="3"/>
      <c r="D13" s="4"/>
      <c r="H13" s="4"/>
    </row>
    <row r="15" spans="1:8" ht="18.75" x14ac:dyDescent="0.3">
      <c r="A15" s="5"/>
      <c r="C15" s="3"/>
      <c r="D15" s="4"/>
      <c r="H15" s="4"/>
    </row>
    <row r="16" spans="1:8" ht="15.75" thickBot="1" x14ac:dyDescent="0.3">
      <c r="D16" s="7"/>
      <c r="H16" s="7"/>
    </row>
    <row r="18" spans="1:8" ht="18.75" x14ac:dyDescent="0.3">
      <c r="C18" t="s">
        <v>4</v>
      </c>
      <c r="D18" s="4">
        <f>D3-D12</f>
        <v>96499</v>
      </c>
      <c r="G18" t="s">
        <v>5</v>
      </c>
      <c r="H18" s="4">
        <f>H3-H12</f>
        <v>15407</v>
      </c>
    </row>
    <row r="21" spans="1:8" ht="15.75" x14ac:dyDescent="0.25">
      <c r="A21" t="s">
        <v>6</v>
      </c>
      <c r="C21" s="8">
        <f>D18</f>
        <v>96499</v>
      </c>
      <c r="E21" t="s">
        <v>10</v>
      </c>
      <c r="H21" s="6">
        <f>C30</f>
        <v>79892.479999999996</v>
      </c>
    </row>
    <row r="23" spans="1:8" ht="15.75" x14ac:dyDescent="0.25">
      <c r="A23" t="s">
        <v>5</v>
      </c>
      <c r="B23" s="9" t="s">
        <v>7</v>
      </c>
      <c r="C23" s="8">
        <f>H18</f>
        <v>15407</v>
      </c>
      <c r="E23" s="13" t="s">
        <v>11</v>
      </c>
      <c r="F23" s="9" t="s">
        <v>12</v>
      </c>
      <c r="G23" s="15" t="s">
        <v>17</v>
      </c>
      <c r="H23" s="3">
        <f>-(F24*0.007)</f>
        <v>-1764</v>
      </c>
    </row>
    <row r="24" spans="1:8" x14ac:dyDescent="0.25">
      <c r="F24" s="21">
        <f>D3-H3</f>
        <v>252000</v>
      </c>
    </row>
    <row r="25" spans="1:8" ht="15.75" x14ac:dyDescent="0.25">
      <c r="A25" t="s">
        <v>8</v>
      </c>
      <c r="B25" s="9" t="s">
        <v>7</v>
      </c>
      <c r="C25" s="8">
        <f>D3*0.004</f>
        <v>1199.52</v>
      </c>
      <c r="F25" s="9" t="s">
        <v>13</v>
      </c>
      <c r="G25" s="16">
        <v>0.35</v>
      </c>
      <c r="H25" s="29">
        <f>-(F26*0.35)</f>
        <v>-27962.367999999999</v>
      </c>
    </row>
    <row r="26" spans="1:8" ht="15.75" thickBot="1" x14ac:dyDescent="0.3">
      <c r="F26" s="21">
        <f>H21</f>
        <v>79892.479999999996</v>
      </c>
      <c r="H26" s="7"/>
    </row>
    <row r="27" spans="1:8" ht="15.75" x14ac:dyDescent="0.25">
      <c r="A27" t="s">
        <v>9</v>
      </c>
      <c r="B27" s="9" t="s">
        <v>7</v>
      </c>
      <c r="C27" s="10"/>
      <c r="G27" s="13" t="s">
        <v>14</v>
      </c>
      <c r="H27" s="6">
        <f>H21+H23+H25</f>
        <v>50166.111999999994</v>
      </c>
    </row>
    <row r="28" spans="1:8" ht="15.75" thickBot="1" x14ac:dyDescent="0.3">
      <c r="A28" s="16"/>
      <c r="B28" s="14"/>
      <c r="C28" s="7"/>
    </row>
    <row r="29" spans="1:8" x14ac:dyDescent="0.25">
      <c r="E29" t="s">
        <v>151</v>
      </c>
      <c r="H29" s="20">
        <f>H27*0.5</f>
        <v>25083.055999999997</v>
      </c>
    </row>
    <row r="30" spans="1:8" ht="15.75" x14ac:dyDescent="0.25">
      <c r="A30" t="s">
        <v>10</v>
      </c>
      <c r="C30" s="10">
        <f>C21-C23-C25-C27</f>
        <v>79892.479999999996</v>
      </c>
      <c r="H30" s="18"/>
    </row>
    <row r="31" spans="1:8" x14ac:dyDescent="0.25">
      <c r="H31" s="3"/>
    </row>
    <row r="32" spans="1:8" x14ac:dyDescent="0.25">
      <c r="H32" s="18"/>
    </row>
  </sheetData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67657-16BB-4BA5-B8E3-7605389C16D7}">
  <dimension ref="A1:H32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514</v>
      </c>
    </row>
    <row r="3" spans="1:8" ht="21" x14ac:dyDescent="0.35">
      <c r="A3" s="2" t="s">
        <v>1</v>
      </c>
      <c r="D3" s="11">
        <v>345100</v>
      </c>
      <c r="F3" s="12" t="s">
        <v>3</v>
      </c>
      <c r="H3" s="11">
        <v>55100</v>
      </c>
    </row>
    <row r="4" spans="1:8" x14ac:dyDescent="0.25">
      <c r="A4" s="13" t="s">
        <v>32</v>
      </c>
      <c r="C4" s="26">
        <v>657</v>
      </c>
    </row>
    <row r="5" spans="1:8" ht="21" x14ac:dyDescent="0.35">
      <c r="A5" s="2" t="s">
        <v>2</v>
      </c>
    </row>
    <row r="7" spans="1:8" ht="18.75" x14ac:dyDescent="0.3">
      <c r="A7" s="5" t="s">
        <v>472</v>
      </c>
      <c r="D7" s="4">
        <v>132983</v>
      </c>
      <c r="E7" s="25"/>
      <c r="H7" s="4">
        <v>21253</v>
      </c>
    </row>
    <row r="8" spans="1:8" ht="18.75" x14ac:dyDescent="0.3">
      <c r="A8" s="5" t="s">
        <v>515</v>
      </c>
      <c r="C8" s="3"/>
      <c r="D8" s="28">
        <v>116620</v>
      </c>
      <c r="E8" s="25"/>
      <c r="H8" s="28">
        <v>18620</v>
      </c>
    </row>
    <row r="9" spans="1:8" ht="18.75" x14ac:dyDescent="0.3">
      <c r="A9" s="5"/>
      <c r="C9" s="3"/>
      <c r="D9" s="28"/>
      <c r="E9" s="25"/>
      <c r="H9" s="28"/>
    </row>
    <row r="10" spans="1:8" ht="18.75" x14ac:dyDescent="0.3">
      <c r="A10" s="5"/>
      <c r="C10" s="3"/>
      <c r="D10" s="28"/>
      <c r="E10" s="25"/>
      <c r="H10" s="28"/>
    </row>
    <row r="11" spans="1:8" ht="19.5" thickBot="1" x14ac:dyDescent="0.35">
      <c r="A11" s="5"/>
      <c r="C11" s="3"/>
      <c r="D11" s="22"/>
      <c r="E11" s="25"/>
      <c r="H11" s="22"/>
    </row>
    <row r="12" spans="1:8" ht="18.75" customHeight="1" x14ac:dyDescent="0.3">
      <c r="D12" s="4">
        <f>SUM(D7:D11)</f>
        <v>249603</v>
      </c>
      <c r="H12" s="4">
        <f>SUM(H7:H11)</f>
        <v>39873</v>
      </c>
    </row>
    <row r="13" spans="1:8" ht="18.75" x14ac:dyDescent="0.3">
      <c r="A13" s="5"/>
      <c r="C13" s="3"/>
      <c r="D13" s="4"/>
      <c r="H13" s="4"/>
    </row>
    <row r="15" spans="1:8" ht="18.75" x14ac:dyDescent="0.3">
      <c r="A15" s="5"/>
      <c r="C15" s="3"/>
      <c r="D15" s="4"/>
      <c r="H15" s="4"/>
    </row>
    <row r="16" spans="1:8" ht="15.75" thickBot="1" x14ac:dyDescent="0.3">
      <c r="D16" s="7"/>
      <c r="H16" s="7"/>
    </row>
    <row r="18" spans="1:8" ht="18.75" x14ac:dyDescent="0.3">
      <c r="C18" t="s">
        <v>4</v>
      </c>
      <c r="D18" s="4">
        <f>D3-D12</f>
        <v>95497</v>
      </c>
      <c r="G18" t="s">
        <v>5</v>
      </c>
      <c r="H18" s="4">
        <f>H3-H12</f>
        <v>15227</v>
      </c>
    </row>
    <row r="21" spans="1:8" ht="15.75" x14ac:dyDescent="0.25">
      <c r="A21" t="s">
        <v>6</v>
      </c>
      <c r="C21" s="8">
        <f>D18</f>
        <v>95497</v>
      </c>
      <c r="E21" t="s">
        <v>10</v>
      </c>
      <c r="H21" s="6">
        <f>C30</f>
        <v>78889.600000000006</v>
      </c>
    </row>
    <row r="23" spans="1:8" ht="15.75" x14ac:dyDescent="0.25">
      <c r="A23" t="s">
        <v>5</v>
      </c>
      <c r="B23" s="9" t="s">
        <v>7</v>
      </c>
      <c r="C23" s="8">
        <f>H18</f>
        <v>15227</v>
      </c>
      <c r="E23" s="13" t="s">
        <v>11</v>
      </c>
      <c r="F23" s="9" t="s">
        <v>12</v>
      </c>
      <c r="G23" s="15" t="s">
        <v>17</v>
      </c>
      <c r="H23" s="3">
        <f>-(F24*0.007)</f>
        <v>-2030</v>
      </c>
    </row>
    <row r="24" spans="1:8" x14ac:dyDescent="0.25">
      <c r="F24" s="21">
        <f>D3-H3</f>
        <v>290000</v>
      </c>
    </row>
    <row r="25" spans="1:8" ht="15.75" x14ac:dyDescent="0.25">
      <c r="A25" t="s">
        <v>8</v>
      </c>
      <c r="B25" s="9" t="s">
        <v>7</v>
      </c>
      <c r="C25" s="8">
        <f>D3*0.004</f>
        <v>1380.4</v>
      </c>
      <c r="F25" s="9" t="s">
        <v>13</v>
      </c>
      <c r="G25" s="16">
        <v>0.35</v>
      </c>
      <c r="H25" s="29">
        <f>-(F26*0.35)</f>
        <v>-27611.360000000001</v>
      </c>
    </row>
    <row r="26" spans="1:8" ht="15.75" thickBot="1" x14ac:dyDescent="0.3">
      <c r="F26" s="21">
        <f>H21</f>
        <v>78889.600000000006</v>
      </c>
      <c r="H26" s="7"/>
    </row>
    <row r="27" spans="1:8" ht="15.75" x14ac:dyDescent="0.25">
      <c r="A27" t="s">
        <v>9</v>
      </c>
      <c r="B27" s="9" t="s">
        <v>7</v>
      </c>
      <c r="C27" s="10"/>
      <c r="G27" s="13" t="s">
        <v>14</v>
      </c>
      <c r="H27" s="6">
        <f>H21+H23+H25</f>
        <v>49248.240000000005</v>
      </c>
    </row>
    <row r="28" spans="1:8" ht="15.75" thickBot="1" x14ac:dyDescent="0.3">
      <c r="A28" s="16"/>
      <c r="B28" s="14"/>
      <c r="C28" s="7"/>
    </row>
    <row r="29" spans="1:8" x14ac:dyDescent="0.25">
      <c r="E29" t="s">
        <v>151</v>
      </c>
      <c r="H29" s="20">
        <f>H27*0.5</f>
        <v>24624.120000000003</v>
      </c>
    </row>
    <row r="30" spans="1:8" ht="15.75" x14ac:dyDescent="0.25">
      <c r="A30" t="s">
        <v>10</v>
      </c>
      <c r="C30" s="10">
        <f>C21-C23-C25-C27</f>
        <v>78889.600000000006</v>
      </c>
      <c r="H30" s="18"/>
    </row>
    <row r="31" spans="1:8" x14ac:dyDescent="0.25">
      <c r="H31" s="3"/>
    </row>
    <row r="32" spans="1:8" x14ac:dyDescent="0.25">
      <c r="H32" s="18"/>
    </row>
  </sheetData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AA445-CF0F-452B-B506-99EE4DB9AC44}">
  <dimension ref="A1:H32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516</v>
      </c>
    </row>
    <row r="3" spans="1:8" ht="21" x14ac:dyDescent="0.35">
      <c r="A3" s="2" t="s">
        <v>1</v>
      </c>
      <c r="D3" s="11">
        <v>48904</v>
      </c>
      <c r="F3" s="12" t="s">
        <v>3</v>
      </c>
      <c r="H3" s="11">
        <v>7808</v>
      </c>
    </row>
    <row r="4" spans="1:8" x14ac:dyDescent="0.25">
      <c r="A4" s="13" t="s">
        <v>32</v>
      </c>
      <c r="C4" s="26">
        <v>658</v>
      </c>
    </row>
    <row r="5" spans="1:8" ht="21" x14ac:dyDescent="0.35">
      <c r="A5" s="2" t="s">
        <v>2</v>
      </c>
    </row>
    <row r="7" spans="1:8" ht="18.75" x14ac:dyDescent="0.3">
      <c r="A7" s="5" t="s">
        <v>517</v>
      </c>
      <c r="D7" s="4">
        <v>28317</v>
      </c>
      <c r="E7" s="25"/>
      <c r="H7" s="4">
        <v>4526</v>
      </c>
    </row>
    <row r="8" spans="1:8" ht="18.75" x14ac:dyDescent="0.3">
      <c r="A8" s="5"/>
      <c r="C8" s="3"/>
      <c r="D8" s="28"/>
      <c r="E8" s="25"/>
      <c r="H8" s="28"/>
    </row>
    <row r="9" spans="1:8" ht="18.75" x14ac:dyDescent="0.3">
      <c r="A9" s="5"/>
      <c r="C9" s="3"/>
      <c r="D9" s="28"/>
      <c r="E9" s="25"/>
      <c r="H9" s="28"/>
    </row>
    <row r="10" spans="1:8" ht="18.75" x14ac:dyDescent="0.3">
      <c r="A10" s="5"/>
      <c r="C10" s="3"/>
      <c r="D10" s="28"/>
      <c r="E10" s="25"/>
      <c r="H10" s="28"/>
    </row>
    <row r="11" spans="1:8" ht="19.5" thickBot="1" x14ac:dyDescent="0.35">
      <c r="A11" s="5"/>
      <c r="C11" s="3"/>
      <c r="D11" s="22"/>
      <c r="E11" s="25"/>
      <c r="H11" s="22"/>
    </row>
    <row r="12" spans="1:8" ht="18.75" customHeight="1" x14ac:dyDescent="0.3">
      <c r="D12" s="4">
        <f>SUM(D7:D11)</f>
        <v>28317</v>
      </c>
      <c r="H12" s="4">
        <f>SUM(H7:H11)</f>
        <v>4526</v>
      </c>
    </row>
    <row r="13" spans="1:8" ht="18.75" x14ac:dyDescent="0.3">
      <c r="A13" s="5"/>
      <c r="C13" s="3"/>
      <c r="D13" s="4"/>
      <c r="H13" s="4"/>
    </row>
    <row r="15" spans="1:8" ht="18.75" x14ac:dyDescent="0.3">
      <c r="A15" s="5"/>
      <c r="C15" s="3"/>
      <c r="D15" s="4"/>
      <c r="H15" s="4"/>
    </row>
    <row r="16" spans="1:8" ht="15.75" thickBot="1" x14ac:dyDescent="0.3">
      <c r="D16" s="7"/>
      <c r="H16" s="7"/>
    </row>
    <row r="18" spans="1:8" ht="18.75" x14ac:dyDescent="0.3">
      <c r="C18" t="s">
        <v>4</v>
      </c>
      <c r="D18" s="4">
        <f>D3-D12</f>
        <v>20587</v>
      </c>
      <c r="G18" t="s">
        <v>5</v>
      </c>
      <c r="H18" s="4">
        <f>H3-H12</f>
        <v>3282</v>
      </c>
    </row>
    <row r="21" spans="1:8" ht="15.75" x14ac:dyDescent="0.25">
      <c r="A21" t="s">
        <v>6</v>
      </c>
      <c r="C21" s="8">
        <f>D18</f>
        <v>20587</v>
      </c>
      <c r="E21" t="s">
        <v>10</v>
      </c>
      <c r="H21" s="6">
        <f>C30</f>
        <v>17109.383999999998</v>
      </c>
    </row>
    <row r="23" spans="1:8" ht="15.75" x14ac:dyDescent="0.25">
      <c r="A23" t="s">
        <v>5</v>
      </c>
      <c r="B23" s="9" t="s">
        <v>7</v>
      </c>
      <c r="C23" s="8">
        <f>H18</f>
        <v>3282</v>
      </c>
      <c r="E23" s="13" t="s">
        <v>11</v>
      </c>
      <c r="F23" s="9" t="s">
        <v>12</v>
      </c>
      <c r="G23" s="15" t="s">
        <v>17</v>
      </c>
      <c r="H23" s="3">
        <f>-(F24*0.007)</f>
        <v>-287.67200000000003</v>
      </c>
    </row>
    <row r="24" spans="1:8" x14ac:dyDescent="0.25">
      <c r="F24" s="21">
        <f>D3-H3</f>
        <v>41096</v>
      </c>
    </row>
    <row r="25" spans="1:8" ht="15.75" x14ac:dyDescent="0.25">
      <c r="A25" t="s">
        <v>8</v>
      </c>
      <c r="B25" s="9" t="s">
        <v>7</v>
      </c>
      <c r="C25" s="8">
        <f>D3*0.004</f>
        <v>195.61600000000001</v>
      </c>
      <c r="F25" s="9" t="s">
        <v>13</v>
      </c>
      <c r="G25" s="16">
        <v>0.35</v>
      </c>
      <c r="H25" s="29">
        <f>-(F26*0.35)</f>
        <v>-5988.2843999999986</v>
      </c>
    </row>
    <row r="26" spans="1:8" ht="15.75" thickBot="1" x14ac:dyDescent="0.3">
      <c r="F26" s="21">
        <f>H21</f>
        <v>17109.383999999998</v>
      </c>
      <c r="H26" s="7"/>
    </row>
    <row r="27" spans="1:8" ht="15.75" x14ac:dyDescent="0.25">
      <c r="A27" t="s">
        <v>9</v>
      </c>
      <c r="B27" s="9" t="s">
        <v>7</v>
      </c>
      <c r="C27" s="10"/>
      <c r="G27" s="13" t="s">
        <v>14</v>
      </c>
      <c r="H27" s="6">
        <f>H21+H23+H25</f>
        <v>10833.427600000001</v>
      </c>
    </row>
    <row r="28" spans="1:8" ht="15.75" thickBot="1" x14ac:dyDescent="0.3">
      <c r="A28" s="16"/>
      <c r="B28" s="14"/>
      <c r="C28" s="7"/>
    </row>
    <row r="29" spans="1:8" x14ac:dyDescent="0.25">
      <c r="E29" t="s">
        <v>151</v>
      </c>
      <c r="H29" s="20">
        <f>H27*0.5</f>
        <v>5416.7138000000004</v>
      </c>
    </row>
    <row r="30" spans="1:8" ht="15.75" x14ac:dyDescent="0.25">
      <c r="A30" t="s">
        <v>10</v>
      </c>
      <c r="C30" s="10">
        <f>C21-C23-C25-C27</f>
        <v>17109.383999999998</v>
      </c>
      <c r="H30" s="18"/>
    </row>
    <row r="31" spans="1:8" x14ac:dyDescent="0.25">
      <c r="H31" s="3"/>
    </row>
    <row r="32" spans="1:8" x14ac:dyDescent="0.25">
      <c r="H32" s="18"/>
    </row>
  </sheetData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1E119-49E9-495C-BD48-A911C5A24A69}">
  <dimension ref="A1:H32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518</v>
      </c>
    </row>
    <row r="3" spans="1:8" ht="21" x14ac:dyDescent="0.35">
      <c r="A3" s="2" t="s">
        <v>1</v>
      </c>
      <c r="D3" s="11">
        <v>30464</v>
      </c>
      <c r="F3" s="12" t="s">
        <v>3</v>
      </c>
      <c r="H3" s="11">
        <v>4864</v>
      </c>
    </row>
    <row r="4" spans="1:8" x14ac:dyDescent="0.25">
      <c r="A4" s="13" t="s">
        <v>32</v>
      </c>
      <c r="C4" s="26">
        <v>659</v>
      </c>
    </row>
    <row r="5" spans="1:8" ht="21" x14ac:dyDescent="0.35">
      <c r="A5" s="2" t="s">
        <v>2</v>
      </c>
    </row>
    <row r="7" spans="1:8" ht="18.75" x14ac:dyDescent="0.3">
      <c r="A7" s="5" t="s">
        <v>393</v>
      </c>
      <c r="D7" s="4">
        <v>11994</v>
      </c>
      <c r="E7" s="25"/>
      <c r="H7" s="4">
        <f>(D7/1.19)*0.19</f>
        <v>1915.0084033613448</v>
      </c>
    </row>
    <row r="8" spans="1:8" ht="18.75" x14ac:dyDescent="0.3">
      <c r="A8" s="5"/>
      <c r="C8" s="3"/>
      <c r="D8" s="28"/>
      <c r="E8" s="25"/>
      <c r="H8" s="28"/>
    </row>
    <row r="9" spans="1:8" ht="18.75" x14ac:dyDescent="0.3">
      <c r="A9" s="5"/>
      <c r="C9" s="3"/>
      <c r="D9" s="28"/>
      <c r="E9" s="25"/>
      <c r="H9" s="28"/>
    </row>
    <row r="10" spans="1:8" ht="18.75" x14ac:dyDescent="0.3">
      <c r="A10" s="5"/>
      <c r="C10" s="3"/>
      <c r="D10" s="28"/>
      <c r="E10" s="25"/>
      <c r="H10" s="28"/>
    </row>
    <row r="11" spans="1:8" ht="19.5" thickBot="1" x14ac:dyDescent="0.35">
      <c r="A11" s="5"/>
      <c r="C11" s="3"/>
      <c r="D11" s="22"/>
      <c r="E11" s="25"/>
      <c r="H11" s="22"/>
    </row>
    <row r="12" spans="1:8" ht="18.75" customHeight="1" x14ac:dyDescent="0.3">
      <c r="D12" s="4">
        <f>SUM(D7:D11)</f>
        <v>11994</v>
      </c>
      <c r="H12" s="4">
        <f>SUM(H7:H11)</f>
        <v>1915.0084033613448</v>
      </c>
    </row>
    <row r="13" spans="1:8" ht="18.75" x14ac:dyDescent="0.3">
      <c r="A13" s="5"/>
      <c r="C13" s="3"/>
      <c r="D13" s="4"/>
      <c r="H13" s="4"/>
    </row>
    <row r="15" spans="1:8" ht="18.75" x14ac:dyDescent="0.3">
      <c r="A15" s="5"/>
      <c r="C15" s="3"/>
      <c r="D15" s="4"/>
      <c r="H15" s="4"/>
    </row>
    <row r="16" spans="1:8" ht="15.75" thickBot="1" x14ac:dyDescent="0.3">
      <c r="D16" s="7"/>
      <c r="H16" s="7"/>
    </row>
    <row r="18" spans="1:8" ht="18.75" x14ac:dyDescent="0.3">
      <c r="C18" t="s">
        <v>4</v>
      </c>
      <c r="D18" s="4">
        <f>D3-D12</f>
        <v>18470</v>
      </c>
      <c r="G18" t="s">
        <v>5</v>
      </c>
      <c r="H18" s="4">
        <f>H3-H12</f>
        <v>2948.9915966386552</v>
      </c>
    </row>
    <row r="21" spans="1:8" ht="15.75" x14ac:dyDescent="0.25">
      <c r="A21" t="s">
        <v>6</v>
      </c>
      <c r="C21" s="8">
        <f>D18</f>
        <v>18470</v>
      </c>
      <c r="E21" t="s">
        <v>10</v>
      </c>
      <c r="H21" s="6">
        <f>C30</f>
        <v>15399.152403361346</v>
      </c>
    </row>
    <row r="23" spans="1:8" ht="15.75" x14ac:dyDescent="0.25">
      <c r="A23" t="s">
        <v>5</v>
      </c>
      <c r="B23" s="9" t="s">
        <v>7</v>
      </c>
      <c r="C23" s="8">
        <f>H18</f>
        <v>2948.9915966386552</v>
      </c>
      <c r="E23" s="13" t="s">
        <v>11</v>
      </c>
      <c r="F23" s="9" t="s">
        <v>12</v>
      </c>
      <c r="G23" s="15" t="s">
        <v>17</v>
      </c>
      <c r="H23" s="3">
        <f>-(F24*0.007)</f>
        <v>-179.20000000000002</v>
      </c>
    </row>
    <row r="24" spans="1:8" x14ac:dyDescent="0.25">
      <c r="F24" s="21">
        <f>D3-H3</f>
        <v>25600</v>
      </c>
    </row>
    <row r="25" spans="1:8" ht="15.75" x14ac:dyDescent="0.25">
      <c r="A25" t="s">
        <v>8</v>
      </c>
      <c r="B25" s="9" t="s">
        <v>7</v>
      </c>
      <c r="C25" s="8">
        <f>D3*0.004</f>
        <v>121.85600000000001</v>
      </c>
      <c r="F25" s="9" t="s">
        <v>13</v>
      </c>
      <c r="G25" s="16">
        <v>0.35</v>
      </c>
      <c r="H25" s="29">
        <f>-(F26*0.35)</f>
        <v>-5389.7033411764705</v>
      </c>
    </row>
    <row r="26" spans="1:8" ht="15.75" thickBot="1" x14ac:dyDescent="0.3">
      <c r="F26" s="21">
        <f>H21</f>
        <v>15399.152403361346</v>
      </c>
      <c r="H26" s="7"/>
    </row>
    <row r="27" spans="1:8" ht="15.75" x14ac:dyDescent="0.25">
      <c r="A27" t="s">
        <v>9</v>
      </c>
      <c r="B27" s="9" t="s">
        <v>7</v>
      </c>
      <c r="C27" s="10"/>
      <c r="G27" s="13" t="s">
        <v>14</v>
      </c>
      <c r="H27" s="6">
        <f>H21+H23+H25</f>
        <v>9830.2490621848738</v>
      </c>
    </row>
    <row r="28" spans="1:8" ht="15.75" thickBot="1" x14ac:dyDescent="0.3">
      <c r="A28" s="16"/>
      <c r="B28" s="14"/>
      <c r="C28" s="7"/>
    </row>
    <row r="29" spans="1:8" x14ac:dyDescent="0.25">
      <c r="E29" t="s">
        <v>151</v>
      </c>
      <c r="H29" s="20">
        <f>H27*0.5</f>
        <v>4915.1245310924369</v>
      </c>
    </row>
    <row r="30" spans="1:8" ht="15.75" x14ac:dyDescent="0.25">
      <c r="A30" t="s">
        <v>10</v>
      </c>
      <c r="C30" s="10">
        <f>C21-C23-C25-C27</f>
        <v>15399.152403361346</v>
      </c>
      <c r="H30" s="18"/>
    </row>
    <row r="31" spans="1:8" x14ac:dyDescent="0.25">
      <c r="H31" s="3"/>
    </row>
    <row r="32" spans="1:8" x14ac:dyDescent="0.25">
      <c r="H32" s="18"/>
    </row>
  </sheetData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0E93B-1221-46F0-A9D3-AB608A976C38}">
  <dimension ref="A1:H32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519</v>
      </c>
    </row>
    <row r="3" spans="1:8" ht="21" x14ac:dyDescent="0.35">
      <c r="A3" s="2" t="s">
        <v>1</v>
      </c>
      <c r="D3" s="11">
        <v>83300</v>
      </c>
      <c r="F3" s="12" t="s">
        <v>3</v>
      </c>
      <c r="H3" s="4">
        <f>(D3/1.19)*0.19</f>
        <v>13300</v>
      </c>
    </row>
    <row r="4" spans="1:8" x14ac:dyDescent="0.25">
      <c r="A4" s="13" t="s">
        <v>32</v>
      </c>
      <c r="C4" s="26">
        <v>660</v>
      </c>
    </row>
    <row r="5" spans="1:8" ht="21" x14ac:dyDescent="0.35">
      <c r="A5" s="2" t="s">
        <v>2</v>
      </c>
    </row>
    <row r="7" spans="1:8" ht="18.75" x14ac:dyDescent="0.3">
      <c r="A7" s="5" t="s">
        <v>489</v>
      </c>
      <c r="D7" s="4">
        <v>54728</v>
      </c>
      <c r="E7" s="25"/>
      <c r="H7" s="4">
        <f>(D7/1.19)*0.19</f>
        <v>8738.0840336134461</v>
      </c>
    </row>
    <row r="8" spans="1:8" ht="18.75" x14ac:dyDescent="0.3">
      <c r="A8" s="5"/>
      <c r="C8" s="3"/>
      <c r="D8" s="28"/>
      <c r="E8" s="25"/>
      <c r="H8" s="28"/>
    </row>
    <row r="9" spans="1:8" ht="18.75" x14ac:dyDescent="0.3">
      <c r="A9" s="5"/>
      <c r="C9" s="3"/>
      <c r="D9" s="28"/>
      <c r="E9" s="25"/>
      <c r="H9" s="28"/>
    </row>
    <row r="10" spans="1:8" ht="18.75" x14ac:dyDescent="0.3">
      <c r="A10" s="5"/>
      <c r="C10" s="3"/>
      <c r="D10" s="28"/>
      <c r="E10" s="25"/>
      <c r="H10" s="28"/>
    </row>
    <row r="11" spans="1:8" ht="19.5" thickBot="1" x14ac:dyDescent="0.35">
      <c r="A11" s="5"/>
      <c r="C11" s="3"/>
      <c r="D11" s="22"/>
      <c r="E11" s="25"/>
      <c r="H11" s="22"/>
    </row>
    <row r="12" spans="1:8" ht="18.75" customHeight="1" x14ac:dyDescent="0.3">
      <c r="D12" s="4">
        <f>SUM(D7:D11)</f>
        <v>54728</v>
      </c>
      <c r="H12" s="4">
        <f>SUM(H7:H11)</f>
        <v>8738.0840336134461</v>
      </c>
    </row>
    <row r="13" spans="1:8" ht="18.75" x14ac:dyDescent="0.3">
      <c r="A13" s="5"/>
      <c r="C13" s="3"/>
      <c r="D13" s="4"/>
      <c r="H13" s="4"/>
    </row>
    <row r="15" spans="1:8" ht="18.75" x14ac:dyDescent="0.3">
      <c r="A15" s="5"/>
      <c r="C15" s="3"/>
      <c r="D15" s="4"/>
      <c r="H15" s="4"/>
    </row>
    <row r="16" spans="1:8" ht="15.75" thickBot="1" x14ac:dyDescent="0.3">
      <c r="D16" s="7"/>
      <c r="H16" s="7"/>
    </row>
    <row r="18" spans="1:8" ht="18.75" x14ac:dyDescent="0.3">
      <c r="C18" t="s">
        <v>4</v>
      </c>
      <c r="D18" s="4">
        <f>D3-D12</f>
        <v>28572</v>
      </c>
      <c r="G18" t="s">
        <v>5</v>
      </c>
      <c r="H18" s="4">
        <f>H3-H12</f>
        <v>4561.9159663865539</v>
      </c>
    </row>
    <row r="21" spans="1:8" ht="15.75" x14ac:dyDescent="0.25">
      <c r="A21" t="s">
        <v>6</v>
      </c>
      <c r="C21" s="8">
        <f>D18</f>
        <v>28572</v>
      </c>
      <c r="E21" t="s">
        <v>10</v>
      </c>
      <c r="H21" s="6">
        <f>C30</f>
        <v>23676.884033613445</v>
      </c>
    </row>
    <row r="23" spans="1:8" ht="15.75" x14ac:dyDescent="0.25">
      <c r="A23" t="s">
        <v>5</v>
      </c>
      <c r="B23" s="9" t="s">
        <v>7</v>
      </c>
      <c r="C23" s="8">
        <f>H18</f>
        <v>4561.9159663865539</v>
      </c>
      <c r="E23" s="13" t="s">
        <v>11</v>
      </c>
      <c r="F23" s="9" t="s">
        <v>12</v>
      </c>
      <c r="G23" s="15" t="s">
        <v>17</v>
      </c>
      <c r="H23" s="3">
        <f>-(F24*0.007)</f>
        <v>-490</v>
      </c>
    </row>
    <row r="24" spans="1:8" x14ac:dyDescent="0.25">
      <c r="F24" s="21">
        <f>D3-H3</f>
        <v>70000</v>
      </c>
    </row>
    <row r="25" spans="1:8" ht="15.75" x14ac:dyDescent="0.25">
      <c r="A25" t="s">
        <v>8</v>
      </c>
      <c r="B25" s="9" t="s">
        <v>7</v>
      </c>
      <c r="C25" s="8">
        <f>D3*0.004</f>
        <v>333.2</v>
      </c>
      <c r="F25" s="9" t="s">
        <v>13</v>
      </c>
      <c r="G25" s="16">
        <v>0.35</v>
      </c>
      <c r="H25" s="29">
        <f>-(F26*0.35)</f>
        <v>-8286.9094117647055</v>
      </c>
    </row>
    <row r="26" spans="1:8" ht="15.75" thickBot="1" x14ac:dyDescent="0.3">
      <c r="F26" s="21">
        <f>H21</f>
        <v>23676.884033613445</v>
      </c>
      <c r="H26" s="7"/>
    </row>
    <row r="27" spans="1:8" ht="15.75" x14ac:dyDescent="0.25">
      <c r="A27" t="s">
        <v>9</v>
      </c>
      <c r="B27" s="9" t="s">
        <v>7</v>
      </c>
      <c r="C27" s="10"/>
      <c r="G27" s="13" t="s">
        <v>14</v>
      </c>
      <c r="H27" s="6">
        <f>H21+H23+H25</f>
        <v>14899.97462184874</v>
      </c>
    </row>
    <row r="28" spans="1:8" ht="15.75" thickBot="1" x14ac:dyDescent="0.3">
      <c r="A28" s="16"/>
      <c r="B28" s="14"/>
      <c r="C28" s="7"/>
    </row>
    <row r="29" spans="1:8" x14ac:dyDescent="0.25">
      <c r="E29" t="s">
        <v>151</v>
      </c>
      <c r="H29" s="20">
        <f>H27*0.5</f>
        <v>7449.9873109243699</v>
      </c>
    </row>
    <row r="30" spans="1:8" ht="15.75" x14ac:dyDescent="0.25">
      <c r="A30" t="s">
        <v>10</v>
      </c>
      <c r="C30" s="10">
        <f>C21-C23-C25-C27</f>
        <v>23676.884033613445</v>
      </c>
      <c r="H30" s="18"/>
    </row>
    <row r="31" spans="1:8" x14ac:dyDescent="0.25">
      <c r="H31" s="3"/>
    </row>
    <row r="32" spans="1:8" x14ac:dyDescent="0.25">
      <c r="H32" s="18"/>
    </row>
  </sheetData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4989F-D082-48C1-BB40-1B2B0845B03B}">
  <dimension ref="A1:H27"/>
  <sheetViews>
    <sheetView workbookViewId="0">
      <selection activeCell="F27" sqref="F27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521</v>
      </c>
    </row>
    <row r="3" spans="1:8" ht="21" x14ac:dyDescent="0.35">
      <c r="A3" s="2" t="s">
        <v>1</v>
      </c>
      <c r="D3" s="11">
        <v>130000</v>
      </c>
      <c r="F3" s="12" t="s">
        <v>3</v>
      </c>
      <c r="H3" s="11">
        <f>(D3/1.19)*0.19</f>
        <v>20756.302521008405</v>
      </c>
    </row>
    <row r="4" spans="1:8" x14ac:dyDescent="0.25">
      <c r="A4" s="13" t="s">
        <v>32</v>
      </c>
      <c r="C4" s="26">
        <v>661</v>
      </c>
    </row>
    <row r="5" spans="1:8" ht="21" x14ac:dyDescent="0.35">
      <c r="A5" s="2" t="s">
        <v>2</v>
      </c>
    </row>
    <row r="7" spans="1:8" ht="18.75" x14ac:dyDescent="0.3">
      <c r="A7" s="5"/>
      <c r="D7" s="4"/>
      <c r="H7" s="4"/>
    </row>
    <row r="8" spans="1:8" ht="18.75" x14ac:dyDescent="0.3">
      <c r="A8" s="5" t="s">
        <v>522</v>
      </c>
      <c r="D8" s="4">
        <v>91630</v>
      </c>
      <c r="H8" s="4">
        <f>(D8/1.19)*0.19</f>
        <v>14630</v>
      </c>
    </row>
    <row r="9" spans="1:8" ht="19.5" thickBot="1" x14ac:dyDescent="0.35">
      <c r="A9" s="5"/>
      <c r="D9" s="30"/>
      <c r="E9" s="25"/>
      <c r="H9" s="30"/>
    </row>
    <row r="10" spans="1:8" ht="19.5" thickTop="1" x14ac:dyDescent="0.3">
      <c r="D10" s="4">
        <f>SUM(D7:D9)</f>
        <v>91630</v>
      </c>
      <c r="H10" s="31">
        <f>SUM(H7:H9)</f>
        <v>14630</v>
      </c>
    </row>
    <row r="12" spans="1:8" ht="18.75" x14ac:dyDescent="0.3">
      <c r="C12" t="s">
        <v>4</v>
      </c>
      <c r="D12" s="4">
        <f>D3-D10</f>
        <v>38370</v>
      </c>
      <c r="G12" t="s">
        <v>5</v>
      </c>
      <c r="H12" s="4">
        <f>H3-H10</f>
        <v>6126.3025210084052</v>
      </c>
    </row>
    <row r="14" spans="1:8" x14ac:dyDescent="0.25">
      <c r="G14" t="s">
        <v>523</v>
      </c>
    </row>
    <row r="15" spans="1:8" ht="15.75" x14ac:dyDescent="0.25">
      <c r="A15" t="s">
        <v>6</v>
      </c>
      <c r="C15" s="8">
        <f>D12</f>
        <v>38370</v>
      </c>
      <c r="E15" t="s">
        <v>10</v>
      </c>
      <c r="H15" s="6">
        <f>C24</f>
        <v>31723.697478991595</v>
      </c>
    </row>
    <row r="17" spans="1:8" ht="15.75" x14ac:dyDescent="0.25">
      <c r="A17" t="s">
        <v>5</v>
      </c>
      <c r="B17" s="9" t="s">
        <v>7</v>
      </c>
      <c r="C17" s="8">
        <f>H12</f>
        <v>6126.3025210084052</v>
      </c>
      <c r="E17" s="13" t="s">
        <v>11</v>
      </c>
      <c r="F17" s="9" t="s">
        <v>12</v>
      </c>
      <c r="G17" s="15" t="s">
        <v>17</v>
      </c>
      <c r="H17" s="3">
        <f>-(F18*0.0077)</f>
        <v>-841.17647058823536</v>
      </c>
    </row>
    <row r="18" spans="1:8" x14ac:dyDescent="0.25">
      <c r="F18" s="21">
        <f>D3-H3</f>
        <v>109243.6974789916</v>
      </c>
    </row>
    <row r="19" spans="1:8" ht="16.5" thickBot="1" x14ac:dyDescent="0.3">
      <c r="A19" t="s">
        <v>8</v>
      </c>
      <c r="B19" s="9" t="s">
        <v>7</v>
      </c>
      <c r="C19" s="8">
        <f>D3*0.004</f>
        <v>520</v>
      </c>
      <c r="F19" s="9" t="s">
        <v>13</v>
      </c>
      <c r="G19" s="16">
        <v>0.35</v>
      </c>
      <c r="H19" s="17">
        <f>-(F20*0.35)</f>
        <v>-11103.294117647058</v>
      </c>
    </row>
    <row r="20" spans="1:8" x14ac:dyDescent="0.25">
      <c r="F20" s="21">
        <f>H15</f>
        <v>31723.697478991595</v>
      </c>
    </row>
    <row r="21" spans="1:8" ht="15.75" x14ac:dyDescent="0.25">
      <c r="A21" t="s">
        <v>9</v>
      </c>
      <c r="B21" s="9" t="s">
        <v>7</v>
      </c>
      <c r="C21" s="10"/>
      <c r="G21" s="13" t="s">
        <v>14</v>
      </c>
      <c r="H21" s="6">
        <f>H15+H17+H19</f>
        <v>19779.226890756305</v>
      </c>
    </row>
    <row r="22" spans="1:8" ht="15.75" thickBot="1" x14ac:dyDescent="0.3">
      <c r="A22" s="16"/>
      <c r="B22" s="14"/>
      <c r="C22" s="7"/>
    </row>
    <row r="23" spans="1:8" x14ac:dyDescent="0.25">
      <c r="E23" t="s">
        <v>149</v>
      </c>
      <c r="H23" s="20">
        <f>H21*0.4</f>
        <v>7911.6907563025225</v>
      </c>
    </row>
    <row r="24" spans="1:8" ht="15.75" x14ac:dyDescent="0.25">
      <c r="A24" t="s">
        <v>10</v>
      </c>
      <c r="C24" s="10">
        <f>C15-C17-C19-C21</f>
        <v>31723.697478991595</v>
      </c>
      <c r="H24" s="18"/>
    </row>
    <row r="25" spans="1:8" x14ac:dyDescent="0.25">
      <c r="H25" s="3"/>
    </row>
    <row r="26" spans="1:8" x14ac:dyDescent="0.25">
      <c r="H26" s="18"/>
    </row>
    <row r="27" spans="1:8" x14ac:dyDescent="0.25">
      <c r="G27" t="s">
        <v>181</v>
      </c>
    </row>
  </sheetData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1CF3D-8FDE-4BF2-87AB-58E90A2AD662}">
  <dimension ref="A1:H32"/>
  <sheetViews>
    <sheetView workbookViewId="0">
      <selection activeCell="C4" sqref="C4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520</v>
      </c>
    </row>
    <row r="3" spans="1:8" ht="21" x14ac:dyDescent="0.35">
      <c r="A3" s="2" t="s">
        <v>1</v>
      </c>
      <c r="D3" s="11">
        <v>564060</v>
      </c>
      <c r="F3" s="12" t="s">
        <v>3</v>
      </c>
      <c r="H3" s="4">
        <f>(D3/1.19)*0.19</f>
        <v>90060</v>
      </c>
    </row>
    <row r="4" spans="1:8" x14ac:dyDescent="0.25">
      <c r="A4" s="13" t="s">
        <v>32</v>
      </c>
      <c r="C4" s="26">
        <v>662</v>
      </c>
    </row>
    <row r="5" spans="1:8" ht="21" x14ac:dyDescent="0.35">
      <c r="A5" s="2" t="s">
        <v>2</v>
      </c>
    </row>
    <row r="7" spans="1:8" ht="18.75" x14ac:dyDescent="0.3">
      <c r="A7" s="5" t="s">
        <v>322</v>
      </c>
      <c r="D7" s="4">
        <v>390120</v>
      </c>
      <c r="E7" s="25"/>
      <c r="H7" s="4">
        <f>(D7/1.19)*0.19</f>
        <v>62288.067226890758</v>
      </c>
    </row>
    <row r="8" spans="1:8" ht="18.75" x14ac:dyDescent="0.3">
      <c r="A8" s="5"/>
      <c r="C8" s="3"/>
      <c r="D8" s="28"/>
      <c r="E8" s="25"/>
      <c r="H8" s="28"/>
    </row>
    <row r="9" spans="1:8" ht="18.75" x14ac:dyDescent="0.3">
      <c r="A9" s="5"/>
      <c r="C9" s="3"/>
      <c r="D9" s="28"/>
      <c r="E9" s="25"/>
      <c r="H9" s="28"/>
    </row>
    <row r="10" spans="1:8" ht="18.75" x14ac:dyDescent="0.3">
      <c r="A10" s="5"/>
      <c r="C10" s="3"/>
      <c r="D10" s="28"/>
      <c r="E10" s="25"/>
      <c r="H10" s="28"/>
    </row>
    <row r="11" spans="1:8" ht="19.5" thickBot="1" x14ac:dyDescent="0.35">
      <c r="A11" s="5"/>
      <c r="C11" s="3"/>
      <c r="D11" s="22"/>
      <c r="E11" s="25"/>
      <c r="H11" s="22"/>
    </row>
    <row r="12" spans="1:8" ht="18.75" customHeight="1" x14ac:dyDescent="0.3">
      <c r="D12" s="4">
        <f>SUM(D7:D11)</f>
        <v>390120</v>
      </c>
      <c r="H12" s="4">
        <f>SUM(H7:H11)</f>
        <v>62288.067226890758</v>
      </c>
    </row>
    <row r="13" spans="1:8" ht="18.75" x14ac:dyDescent="0.3">
      <c r="A13" s="5"/>
      <c r="C13" s="3"/>
      <c r="D13" s="4"/>
      <c r="H13" s="4"/>
    </row>
    <row r="15" spans="1:8" ht="18.75" x14ac:dyDescent="0.3">
      <c r="A15" s="5"/>
      <c r="C15" s="3"/>
      <c r="D15" s="4"/>
      <c r="H15" s="4"/>
    </row>
    <row r="16" spans="1:8" ht="15.75" thickBot="1" x14ac:dyDescent="0.3">
      <c r="D16" s="7"/>
      <c r="H16" s="7"/>
    </row>
    <row r="18" spans="1:8" ht="18.75" x14ac:dyDescent="0.3">
      <c r="C18" t="s">
        <v>4</v>
      </c>
      <c r="D18" s="4">
        <f>D3-D12</f>
        <v>173940</v>
      </c>
      <c r="G18" t="s">
        <v>5</v>
      </c>
      <c r="H18" s="4">
        <f>H3-H12</f>
        <v>27771.932773109242</v>
      </c>
    </row>
    <row r="21" spans="1:8" ht="15.75" x14ac:dyDescent="0.25">
      <c r="A21" t="s">
        <v>6</v>
      </c>
      <c r="C21" s="8">
        <f>D18</f>
        <v>173940</v>
      </c>
      <c r="E21" t="s">
        <v>10</v>
      </c>
      <c r="H21" s="6">
        <f>C30</f>
        <v>143911.82722689077</v>
      </c>
    </row>
    <row r="23" spans="1:8" ht="15.75" x14ac:dyDescent="0.25">
      <c r="A23" t="s">
        <v>5</v>
      </c>
      <c r="B23" s="9" t="s">
        <v>7</v>
      </c>
      <c r="C23" s="8">
        <f>H18</f>
        <v>27771.932773109242</v>
      </c>
      <c r="E23" s="13" t="s">
        <v>11</v>
      </c>
      <c r="F23" s="9" t="s">
        <v>12</v>
      </c>
      <c r="G23" s="15" t="s">
        <v>17</v>
      </c>
      <c r="H23" s="3">
        <f>-(F24*0.007)</f>
        <v>-3318</v>
      </c>
    </row>
    <row r="24" spans="1:8" x14ac:dyDescent="0.25">
      <c r="F24" s="21">
        <f>D3-H3</f>
        <v>474000</v>
      </c>
    </row>
    <row r="25" spans="1:8" ht="15.75" x14ac:dyDescent="0.25">
      <c r="A25" t="s">
        <v>8</v>
      </c>
      <c r="B25" s="9" t="s">
        <v>7</v>
      </c>
      <c r="C25" s="8">
        <f>D3*0.004</f>
        <v>2256.2400000000002</v>
      </c>
      <c r="F25" s="9" t="s">
        <v>13</v>
      </c>
      <c r="G25" s="16">
        <v>0.35</v>
      </c>
      <c r="H25" s="29">
        <f>-(F26*0.35)</f>
        <v>-50369.139529411768</v>
      </c>
    </row>
    <row r="26" spans="1:8" ht="15.75" thickBot="1" x14ac:dyDescent="0.3">
      <c r="F26" s="21">
        <f>H21</f>
        <v>143911.82722689077</v>
      </c>
      <c r="H26" s="7"/>
    </row>
    <row r="27" spans="1:8" ht="15.75" x14ac:dyDescent="0.25">
      <c r="A27" t="s">
        <v>9</v>
      </c>
      <c r="B27" s="9" t="s">
        <v>7</v>
      </c>
      <c r="C27" s="10"/>
      <c r="G27" s="13" t="s">
        <v>14</v>
      </c>
      <c r="H27" s="6">
        <f>H21+H23+H25</f>
        <v>90224.687697479007</v>
      </c>
    </row>
    <row r="28" spans="1:8" ht="15.75" thickBot="1" x14ac:dyDescent="0.3">
      <c r="A28" s="16"/>
      <c r="B28" s="14"/>
      <c r="C28" s="7"/>
    </row>
    <row r="29" spans="1:8" x14ac:dyDescent="0.25">
      <c r="E29" t="s">
        <v>151</v>
      </c>
      <c r="H29" s="20">
        <f>H27*0.5</f>
        <v>45112.343848739503</v>
      </c>
    </row>
    <row r="30" spans="1:8" ht="15.75" x14ac:dyDescent="0.25">
      <c r="A30" t="s">
        <v>10</v>
      </c>
      <c r="C30" s="10">
        <f>C21-C23-C25-C27</f>
        <v>143911.82722689077</v>
      </c>
      <c r="H30" s="18"/>
    </row>
    <row r="31" spans="1:8" x14ac:dyDescent="0.25">
      <c r="H31" s="3"/>
    </row>
    <row r="32" spans="1:8" x14ac:dyDescent="0.25">
      <c r="H32" s="18"/>
    </row>
  </sheetData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D9433-E53A-4B83-8BC8-46CDAB81176F}">
  <dimension ref="A1:H32"/>
  <sheetViews>
    <sheetView workbookViewId="0">
      <selection activeCell="C5" sqref="C5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524</v>
      </c>
    </row>
    <row r="3" spans="1:8" ht="21" x14ac:dyDescent="0.35">
      <c r="A3" s="2" t="s">
        <v>1</v>
      </c>
      <c r="D3" s="11">
        <v>387940</v>
      </c>
      <c r="F3" s="12" t="s">
        <v>3</v>
      </c>
      <c r="H3" s="4">
        <f>(D3/1.19)*0.19</f>
        <v>61940</v>
      </c>
    </row>
    <row r="4" spans="1:8" x14ac:dyDescent="0.25">
      <c r="A4" s="13" t="s">
        <v>32</v>
      </c>
      <c r="C4" s="26">
        <v>664</v>
      </c>
    </row>
    <row r="5" spans="1:8" ht="21" x14ac:dyDescent="0.35">
      <c r="A5" s="2" t="s">
        <v>2</v>
      </c>
    </row>
    <row r="7" spans="1:8" ht="18.75" x14ac:dyDescent="0.3">
      <c r="A7" s="5" t="s">
        <v>525</v>
      </c>
      <c r="D7" s="4">
        <v>256362</v>
      </c>
      <c r="E7" s="25"/>
      <c r="H7" s="4">
        <f>(D7/1.19)*0.19</f>
        <v>40931.747899159665</v>
      </c>
    </row>
    <row r="8" spans="1:8" ht="18.75" x14ac:dyDescent="0.3">
      <c r="A8" s="5"/>
      <c r="C8" s="3"/>
      <c r="D8" s="28"/>
      <c r="E8" s="25"/>
      <c r="H8" s="28"/>
    </row>
    <row r="9" spans="1:8" ht="18.75" x14ac:dyDescent="0.3">
      <c r="A9" s="5"/>
      <c r="C9" s="3"/>
      <c r="D9" s="28"/>
      <c r="E9" s="25"/>
      <c r="H9" s="28"/>
    </row>
    <row r="10" spans="1:8" ht="18.75" x14ac:dyDescent="0.3">
      <c r="A10" s="5"/>
      <c r="C10" s="3"/>
      <c r="D10" s="28"/>
      <c r="E10" s="25"/>
      <c r="H10" s="28"/>
    </row>
    <row r="11" spans="1:8" ht="19.5" thickBot="1" x14ac:dyDescent="0.35">
      <c r="A11" s="5"/>
      <c r="C11" s="3"/>
      <c r="D11" s="22"/>
      <c r="E11" s="25"/>
      <c r="H11" s="22"/>
    </row>
    <row r="12" spans="1:8" ht="18.75" customHeight="1" x14ac:dyDescent="0.3">
      <c r="D12" s="4">
        <f>SUM(D7:D11)</f>
        <v>256362</v>
      </c>
      <c r="H12" s="4">
        <f>SUM(H7:H11)</f>
        <v>40931.747899159665</v>
      </c>
    </row>
    <row r="13" spans="1:8" ht="18.75" x14ac:dyDescent="0.3">
      <c r="A13" s="5"/>
      <c r="C13" s="3"/>
      <c r="D13" s="4"/>
      <c r="H13" s="4"/>
    </row>
    <row r="15" spans="1:8" ht="18.75" x14ac:dyDescent="0.3">
      <c r="A15" s="5"/>
      <c r="C15" s="3"/>
      <c r="D15" s="4"/>
      <c r="H15" s="4"/>
    </row>
    <row r="16" spans="1:8" ht="15.75" thickBot="1" x14ac:dyDescent="0.3">
      <c r="D16" s="7"/>
      <c r="H16" s="7"/>
    </row>
    <row r="18" spans="1:8" ht="18.75" x14ac:dyDescent="0.3">
      <c r="C18" t="s">
        <v>4</v>
      </c>
      <c r="D18" s="4">
        <f>D3-D12</f>
        <v>131578</v>
      </c>
      <c r="G18" t="s">
        <v>5</v>
      </c>
      <c r="H18" s="4">
        <f>H3-H12</f>
        <v>21008.252100840335</v>
      </c>
    </row>
    <row r="21" spans="1:8" ht="15.75" x14ac:dyDescent="0.25">
      <c r="A21" t="s">
        <v>6</v>
      </c>
      <c r="C21" s="8">
        <f>D18</f>
        <v>131578</v>
      </c>
      <c r="E21" t="s">
        <v>10</v>
      </c>
      <c r="H21" s="6">
        <f>C30</f>
        <v>109017.98789915968</v>
      </c>
    </row>
    <row r="23" spans="1:8" ht="15.75" x14ac:dyDescent="0.25">
      <c r="A23" t="s">
        <v>5</v>
      </c>
      <c r="B23" s="9" t="s">
        <v>7</v>
      </c>
      <c r="C23" s="8">
        <f>H18</f>
        <v>21008.252100840335</v>
      </c>
      <c r="E23" s="13" t="s">
        <v>11</v>
      </c>
      <c r="F23" s="9" t="s">
        <v>12</v>
      </c>
      <c r="G23" s="15" t="s">
        <v>17</v>
      </c>
      <c r="H23" s="3">
        <f>-(F24*0.007)</f>
        <v>-2282</v>
      </c>
    </row>
    <row r="24" spans="1:8" x14ac:dyDescent="0.25">
      <c r="F24" s="21">
        <f>D3-H3</f>
        <v>326000</v>
      </c>
    </row>
    <row r="25" spans="1:8" ht="15.75" x14ac:dyDescent="0.25">
      <c r="A25" t="s">
        <v>8</v>
      </c>
      <c r="B25" s="9" t="s">
        <v>7</v>
      </c>
      <c r="C25" s="8">
        <f>D3*0.004</f>
        <v>1551.76</v>
      </c>
      <c r="F25" s="9" t="s">
        <v>13</v>
      </c>
      <c r="G25" s="16">
        <v>0.35</v>
      </c>
      <c r="H25" s="29">
        <f>-(F26*0.35)</f>
        <v>-38156.295764705887</v>
      </c>
    </row>
    <row r="26" spans="1:8" ht="15.75" thickBot="1" x14ac:dyDescent="0.3">
      <c r="F26" s="21">
        <f>H21</f>
        <v>109017.98789915968</v>
      </c>
      <c r="H26" s="7"/>
    </row>
    <row r="27" spans="1:8" ht="15.75" x14ac:dyDescent="0.25">
      <c r="A27" t="s">
        <v>9</v>
      </c>
      <c r="B27" s="9" t="s">
        <v>7</v>
      </c>
      <c r="C27" s="10"/>
      <c r="G27" s="13" t="s">
        <v>14</v>
      </c>
      <c r="H27" s="6">
        <f>H21+H23+H25</f>
        <v>68579.692134453799</v>
      </c>
    </row>
    <row r="28" spans="1:8" ht="15.75" thickBot="1" x14ac:dyDescent="0.3">
      <c r="A28" s="16"/>
      <c r="B28" s="14"/>
      <c r="C28" s="7"/>
    </row>
    <row r="29" spans="1:8" x14ac:dyDescent="0.25">
      <c r="E29" t="s">
        <v>151</v>
      </c>
      <c r="H29" s="20">
        <f>H27*0.5</f>
        <v>34289.846067226899</v>
      </c>
    </row>
    <row r="30" spans="1:8" ht="15.75" x14ac:dyDescent="0.25">
      <c r="A30" t="s">
        <v>10</v>
      </c>
      <c r="C30" s="10">
        <f>C21-C23-C25-C27</f>
        <v>109017.98789915968</v>
      </c>
      <c r="H30" s="18"/>
    </row>
    <row r="31" spans="1:8" x14ac:dyDescent="0.25">
      <c r="H31" s="3"/>
    </row>
    <row r="32" spans="1:8" x14ac:dyDescent="0.25">
      <c r="H32" s="18"/>
    </row>
  </sheetData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91EE9-05D0-4A2E-9C00-EBE496B77F09}">
  <dimension ref="A1:H32"/>
  <sheetViews>
    <sheetView workbookViewId="0">
      <selection activeCell="C5" sqref="C5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526</v>
      </c>
    </row>
    <row r="3" spans="1:8" ht="21" x14ac:dyDescent="0.35">
      <c r="A3" s="2" t="s">
        <v>1</v>
      </c>
      <c r="D3" s="11">
        <v>311875</v>
      </c>
      <c r="F3" s="12" t="s">
        <v>3</v>
      </c>
      <c r="H3" s="4">
        <f>(D3/1.19)*0.19</f>
        <v>49795.168067226892</v>
      </c>
    </row>
    <row r="4" spans="1:8" x14ac:dyDescent="0.25">
      <c r="A4" s="13" t="s">
        <v>32</v>
      </c>
      <c r="C4" s="26">
        <v>666</v>
      </c>
    </row>
    <row r="5" spans="1:8" ht="21" x14ac:dyDescent="0.35">
      <c r="A5" s="2" t="s">
        <v>2</v>
      </c>
    </row>
    <row r="7" spans="1:8" ht="18.75" x14ac:dyDescent="0.3">
      <c r="A7" s="5" t="s">
        <v>322</v>
      </c>
      <c r="D7" s="4">
        <v>194350</v>
      </c>
      <c r="E7" s="25"/>
      <c r="H7" s="4">
        <f>(D7/1.19)*0.19</f>
        <v>31030.672268907561</v>
      </c>
    </row>
    <row r="8" spans="1:8" ht="18.75" x14ac:dyDescent="0.3">
      <c r="A8" s="5"/>
      <c r="C8" s="3"/>
      <c r="D8" s="28"/>
      <c r="E8" s="25"/>
      <c r="H8" s="28"/>
    </row>
    <row r="9" spans="1:8" ht="18.75" x14ac:dyDescent="0.3">
      <c r="A9" s="5"/>
      <c r="C9" s="3"/>
      <c r="D9" s="28"/>
      <c r="E9" s="25"/>
      <c r="H9" s="28"/>
    </row>
    <row r="10" spans="1:8" ht="18.75" x14ac:dyDescent="0.3">
      <c r="A10" s="5"/>
      <c r="C10" s="3"/>
      <c r="D10" s="28"/>
      <c r="E10" s="25"/>
      <c r="H10" s="28"/>
    </row>
    <row r="11" spans="1:8" ht="19.5" thickBot="1" x14ac:dyDescent="0.35">
      <c r="A11" s="5"/>
      <c r="C11" s="3"/>
      <c r="D11" s="22"/>
      <c r="E11" s="25"/>
      <c r="H11" s="22"/>
    </row>
    <row r="12" spans="1:8" ht="18.75" customHeight="1" x14ac:dyDescent="0.3">
      <c r="D12" s="4">
        <f>SUM(D7:D11)</f>
        <v>194350</v>
      </c>
      <c r="H12" s="4">
        <f>SUM(H7:H11)</f>
        <v>31030.672268907561</v>
      </c>
    </row>
    <row r="13" spans="1:8" ht="18.75" x14ac:dyDescent="0.3">
      <c r="A13" s="5"/>
      <c r="C13" s="3"/>
      <c r="D13" s="4"/>
      <c r="H13" s="4"/>
    </row>
    <row r="15" spans="1:8" ht="18.75" x14ac:dyDescent="0.3">
      <c r="A15" s="5"/>
      <c r="C15" s="3"/>
      <c r="D15" s="4"/>
      <c r="H15" s="4"/>
    </row>
    <row r="16" spans="1:8" ht="15.75" thickBot="1" x14ac:dyDescent="0.3">
      <c r="D16" s="7"/>
      <c r="H16" s="7"/>
    </row>
    <row r="18" spans="1:8" ht="18.75" x14ac:dyDescent="0.3">
      <c r="C18" t="s">
        <v>4</v>
      </c>
      <c r="D18" s="4">
        <f>D3-D12</f>
        <v>117525</v>
      </c>
      <c r="G18" t="s">
        <v>5</v>
      </c>
      <c r="H18" s="4">
        <f>H3-H12</f>
        <v>18764.495798319331</v>
      </c>
    </row>
    <row r="21" spans="1:8" ht="15.75" x14ac:dyDescent="0.25">
      <c r="A21" t="s">
        <v>6</v>
      </c>
      <c r="C21" s="8">
        <f>D18</f>
        <v>117525</v>
      </c>
      <c r="E21" t="s">
        <v>10</v>
      </c>
      <c r="H21" s="6">
        <f>C30</f>
        <v>97513.004201680669</v>
      </c>
    </row>
    <row r="23" spans="1:8" ht="15.75" x14ac:dyDescent="0.25">
      <c r="A23" t="s">
        <v>5</v>
      </c>
      <c r="B23" s="9" t="s">
        <v>7</v>
      </c>
      <c r="C23" s="8">
        <f>H18</f>
        <v>18764.495798319331</v>
      </c>
      <c r="E23" s="13" t="s">
        <v>11</v>
      </c>
      <c r="F23" s="9" t="s">
        <v>12</v>
      </c>
      <c r="G23" s="15" t="s">
        <v>17</v>
      </c>
      <c r="H23" s="3">
        <f>-(F24*0.007)</f>
        <v>-1834.5588235294119</v>
      </c>
    </row>
    <row r="24" spans="1:8" x14ac:dyDescent="0.25">
      <c r="F24" s="21">
        <f>D3-H3</f>
        <v>262079.83193277312</v>
      </c>
    </row>
    <row r="25" spans="1:8" ht="15.75" x14ac:dyDescent="0.25">
      <c r="A25" t="s">
        <v>8</v>
      </c>
      <c r="B25" s="9" t="s">
        <v>7</v>
      </c>
      <c r="C25" s="8">
        <f>D3*0.004</f>
        <v>1247.5</v>
      </c>
      <c r="F25" s="9" t="s">
        <v>13</v>
      </c>
      <c r="G25" s="16">
        <v>0.35</v>
      </c>
      <c r="H25" s="29">
        <f>-(F26*0.35)</f>
        <v>-34129.551470588231</v>
      </c>
    </row>
    <row r="26" spans="1:8" ht="15.75" thickBot="1" x14ac:dyDescent="0.3">
      <c r="F26" s="21">
        <f>H21</f>
        <v>97513.004201680669</v>
      </c>
      <c r="H26" s="7"/>
    </row>
    <row r="27" spans="1:8" ht="15.75" x14ac:dyDescent="0.25">
      <c r="A27" t="s">
        <v>9</v>
      </c>
      <c r="B27" s="9" t="s">
        <v>7</v>
      </c>
      <c r="C27" s="10"/>
      <c r="G27" s="13" t="s">
        <v>14</v>
      </c>
      <c r="H27" s="6">
        <f>H21+H23+H25</f>
        <v>61548.893907563026</v>
      </c>
    </row>
    <row r="28" spans="1:8" ht="15.75" thickBot="1" x14ac:dyDescent="0.3">
      <c r="A28" s="16"/>
      <c r="B28" s="14"/>
      <c r="C28" s="7"/>
    </row>
    <row r="29" spans="1:8" x14ac:dyDescent="0.25">
      <c r="E29" t="s">
        <v>151</v>
      </c>
      <c r="H29" s="20">
        <f>H27*0.5</f>
        <v>30774.446953781513</v>
      </c>
    </row>
    <row r="30" spans="1:8" ht="15.75" x14ac:dyDescent="0.25">
      <c r="A30" t="s">
        <v>10</v>
      </c>
      <c r="C30" s="10">
        <f>C21-C23-C25-C27</f>
        <v>97513.004201680669</v>
      </c>
      <c r="H30" s="18"/>
    </row>
    <row r="31" spans="1:8" x14ac:dyDescent="0.25">
      <c r="H31" s="3"/>
    </row>
    <row r="32" spans="1:8" x14ac:dyDescent="0.25">
      <c r="H32" s="18"/>
    </row>
  </sheetData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90AFB-CA8C-454D-BDB4-7D779C70C245}">
  <dimension ref="A1:H32"/>
  <sheetViews>
    <sheetView workbookViewId="0">
      <selection activeCell="C5" sqref="C5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527</v>
      </c>
    </row>
    <row r="3" spans="1:8" ht="21" x14ac:dyDescent="0.35">
      <c r="A3" s="2" t="s">
        <v>1</v>
      </c>
      <c r="D3" s="11">
        <v>435540</v>
      </c>
      <c r="F3" s="12" t="s">
        <v>3</v>
      </c>
      <c r="H3" s="4">
        <f>(D3/1.19)*0.19</f>
        <v>69540</v>
      </c>
    </row>
    <row r="4" spans="1:8" x14ac:dyDescent="0.25">
      <c r="A4" s="13" t="s">
        <v>32</v>
      </c>
      <c r="C4" s="26">
        <v>668</v>
      </c>
    </row>
    <row r="5" spans="1:8" ht="21" x14ac:dyDescent="0.35">
      <c r="A5" s="2" t="s">
        <v>2</v>
      </c>
    </row>
    <row r="7" spans="1:8" ht="18.75" x14ac:dyDescent="0.3">
      <c r="A7" s="5" t="s">
        <v>185</v>
      </c>
      <c r="D7" s="4">
        <v>298441</v>
      </c>
      <c r="E7" s="25"/>
      <c r="H7" s="4">
        <f>(D7/1.19)*0.19</f>
        <v>47650.243697478996</v>
      </c>
    </row>
    <row r="8" spans="1:8" ht="18.75" x14ac:dyDescent="0.3">
      <c r="A8" s="5"/>
      <c r="C8" s="3"/>
      <c r="D8" s="28"/>
      <c r="E8" s="25"/>
      <c r="H8" s="28"/>
    </row>
    <row r="9" spans="1:8" ht="18.75" x14ac:dyDescent="0.3">
      <c r="A9" s="5"/>
      <c r="C9" s="3"/>
      <c r="D9" s="28"/>
      <c r="E9" s="25"/>
      <c r="H9" s="28"/>
    </row>
    <row r="10" spans="1:8" ht="18.75" x14ac:dyDescent="0.3">
      <c r="A10" s="5"/>
      <c r="C10" s="3"/>
      <c r="D10" s="28"/>
      <c r="E10" s="25"/>
      <c r="H10" s="28"/>
    </row>
    <row r="11" spans="1:8" ht="19.5" thickBot="1" x14ac:dyDescent="0.35">
      <c r="A11" s="5"/>
      <c r="C11" s="3"/>
      <c r="D11" s="22"/>
      <c r="E11" s="25"/>
      <c r="H11" s="22"/>
    </row>
    <row r="12" spans="1:8" ht="18.75" customHeight="1" x14ac:dyDescent="0.3">
      <c r="D12" s="4">
        <f>SUM(D7:D11)</f>
        <v>298441</v>
      </c>
      <c r="H12" s="4">
        <f>SUM(H7:H11)</f>
        <v>47650.243697478996</v>
      </c>
    </row>
    <row r="13" spans="1:8" ht="18.75" x14ac:dyDescent="0.3">
      <c r="A13" s="5"/>
      <c r="C13" s="3"/>
      <c r="D13" s="4"/>
      <c r="H13" s="4"/>
    </row>
    <row r="15" spans="1:8" ht="18.75" x14ac:dyDescent="0.3">
      <c r="A15" s="5"/>
      <c r="C15" s="3"/>
      <c r="D15" s="4"/>
      <c r="H15" s="4"/>
    </row>
    <row r="16" spans="1:8" ht="15.75" thickBot="1" x14ac:dyDescent="0.3">
      <c r="D16" s="7"/>
      <c r="H16" s="7"/>
    </row>
    <row r="18" spans="1:8" ht="18.75" x14ac:dyDescent="0.3">
      <c r="C18" t="s">
        <v>4</v>
      </c>
      <c r="D18" s="4">
        <f>D3-D12</f>
        <v>137099</v>
      </c>
      <c r="G18" t="s">
        <v>5</v>
      </c>
      <c r="H18" s="4">
        <f>H3-H12</f>
        <v>21889.756302521004</v>
      </c>
    </row>
    <row r="21" spans="1:8" ht="15.75" x14ac:dyDescent="0.25">
      <c r="A21" t="s">
        <v>6</v>
      </c>
      <c r="C21" s="8">
        <f>D18</f>
        <v>137099</v>
      </c>
      <c r="E21" t="s">
        <v>10</v>
      </c>
      <c r="H21" s="6">
        <f>C30</f>
        <v>113467.08369747899</v>
      </c>
    </row>
    <row r="23" spans="1:8" ht="15.75" x14ac:dyDescent="0.25">
      <c r="A23" t="s">
        <v>5</v>
      </c>
      <c r="B23" s="9" t="s">
        <v>7</v>
      </c>
      <c r="C23" s="8">
        <f>H18</f>
        <v>21889.756302521004</v>
      </c>
      <c r="E23" s="13" t="s">
        <v>11</v>
      </c>
      <c r="F23" s="9" t="s">
        <v>12</v>
      </c>
      <c r="G23" s="15" t="s">
        <v>17</v>
      </c>
      <c r="H23" s="3">
        <f>-(F24*0.007)</f>
        <v>-2562</v>
      </c>
    </row>
    <row r="24" spans="1:8" x14ac:dyDescent="0.25">
      <c r="F24" s="21">
        <f>D3-H3</f>
        <v>366000</v>
      </c>
    </row>
    <row r="25" spans="1:8" ht="15.75" x14ac:dyDescent="0.25">
      <c r="A25" t="s">
        <v>8</v>
      </c>
      <c r="B25" s="9" t="s">
        <v>7</v>
      </c>
      <c r="C25" s="8">
        <f>D3*0.004</f>
        <v>1742.16</v>
      </c>
      <c r="F25" s="9" t="s">
        <v>13</v>
      </c>
      <c r="G25" s="16">
        <v>0.35</v>
      </c>
      <c r="H25" s="29">
        <f>-(F26*0.35)</f>
        <v>-39713.479294117642</v>
      </c>
    </row>
    <row r="26" spans="1:8" ht="15.75" thickBot="1" x14ac:dyDescent="0.3">
      <c r="F26" s="21">
        <f>H21</f>
        <v>113467.08369747899</v>
      </c>
      <c r="H26" s="7"/>
    </row>
    <row r="27" spans="1:8" ht="15.75" x14ac:dyDescent="0.25">
      <c r="A27" t="s">
        <v>9</v>
      </c>
      <c r="B27" s="9" t="s">
        <v>7</v>
      </c>
      <c r="C27" s="10"/>
      <c r="G27" s="13" t="s">
        <v>14</v>
      </c>
      <c r="H27" s="6">
        <f>H21+H23+H25</f>
        <v>71191.604403361343</v>
      </c>
    </row>
    <row r="28" spans="1:8" ht="15.75" thickBot="1" x14ac:dyDescent="0.3">
      <c r="A28" s="16"/>
      <c r="B28" s="14"/>
      <c r="C28" s="7"/>
    </row>
    <row r="29" spans="1:8" x14ac:dyDescent="0.25">
      <c r="E29" t="s">
        <v>151</v>
      </c>
      <c r="H29" s="20">
        <f>H27*0.5</f>
        <v>35595.802201680672</v>
      </c>
    </row>
    <row r="30" spans="1:8" ht="15.75" x14ac:dyDescent="0.25">
      <c r="A30" t="s">
        <v>10</v>
      </c>
      <c r="C30" s="10">
        <f>C21-C23-C25-C27</f>
        <v>113467.08369747899</v>
      </c>
      <c r="H30" s="18"/>
    </row>
    <row r="31" spans="1:8" x14ac:dyDescent="0.25">
      <c r="H31" s="3"/>
    </row>
    <row r="32" spans="1:8" x14ac:dyDescent="0.25">
      <c r="H32" s="18"/>
    </row>
  </sheetData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D95C9-54C6-492C-AE03-6FB239BE6BA0}">
  <dimension ref="A1:H32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518</v>
      </c>
    </row>
    <row r="3" spans="1:8" ht="21" x14ac:dyDescent="0.35">
      <c r="A3" s="2" t="s">
        <v>1</v>
      </c>
      <c r="D3" s="11">
        <v>74256</v>
      </c>
      <c r="F3" s="12" t="s">
        <v>3</v>
      </c>
      <c r="H3" s="4">
        <f>(D3/1.19)*0.19</f>
        <v>11856</v>
      </c>
    </row>
    <row r="4" spans="1:8" x14ac:dyDescent="0.25">
      <c r="A4" s="13" t="s">
        <v>32</v>
      </c>
      <c r="C4" s="26">
        <v>670</v>
      </c>
    </row>
    <row r="5" spans="1:8" ht="21" x14ac:dyDescent="0.35">
      <c r="A5" s="2" t="s">
        <v>2</v>
      </c>
    </row>
    <row r="7" spans="1:8" ht="18.75" x14ac:dyDescent="0.3">
      <c r="A7" s="5" t="s">
        <v>185</v>
      </c>
      <c r="D7" s="4">
        <v>60144</v>
      </c>
      <c r="E7" s="25"/>
      <c r="H7" s="4">
        <f>(D7/1.19)*0.19</f>
        <v>9602.8235294117658</v>
      </c>
    </row>
    <row r="8" spans="1:8" ht="18.75" x14ac:dyDescent="0.3">
      <c r="A8" s="5"/>
      <c r="C8" s="3"/>
      <c r="D8" s="32" t="s">
        <v>528</v>
      </c>
      <c r="E8" s="25"/>
      <c r="H8" s="28"/>
    </row>
    <row r="9" spans="1:8" ht="18.75" x14ac:dyDescent="0.3">
      <c r="A9" s="5"/>
      <c r="C9" s="3"/>
      <c r="D9" s="28"/>
      <c r="E9" s="25"/>
      <c r="H9" s="28"/>
    </row>
    <row r="10" spans="1:8" ht="18.75" x14ac:dyDescent="0.3">
      <c r="A10" s="5"/>
      <c r="C10" s="3"/>
      <c r="D10" s="28"/>
      <c r="E10" s="25"/>
      <c r="H10" s="28"/>
    </row>
    <row r="11" spans="1:8" ht="19.5" thickBot="1" x14ac:dyDescent="0.35">
      <c r="A11" s="5"/>
      <c r="C11" s="3"/>
      <c r="D11" s="22"/>
      <c r="E11" s="25"/>
      <c r="H11" s="22"/>
    </row>
    <row r="12" spans="1:8" ht="18.75" customHeight="1" x14ac:dyDescent="0.3">
      <c r="D12" s="4">
        <f>SUM(D7:D11)</f>
        <v>60144</v>
      </c>
      <c r="H12" s="4">
        <f>SUM(H7:H11)</f>
        <v>9602.8235294117658</v>
      </c>
    </row>
    <row r="13" spans="1:8" ht="18.75" x14ac:dyDescent="0.3">
      <c r="A13" s="5"/>
      <c r="C13" s="3"/>
      <c r="D13" s="4"/>
      <c r="H13" s="4"/>
    </row>
    <row r="15" spans="1:8" ht="18.75" x14ac:dyDescent="0.3">
      <c r="A15" s="5"/>
      <c r="C15" s="3"/>
      <c r="D15" s="4"/>
      <c r="H15" s="4"/>
    </row>
    <row r="16" spans="1:8" ht="15.75" thickBot="1" x14ac:dyDescent="0.3">
      <c r="D16" s="7"/>
      <c r="H16" s="7"/>
    </row>
    <row r="18" spans="1:8" ht="18.75" x14ac:dyDescent="0.3">
      <c r="C18" t="s">
        <v>4</v>
      </c>
      <c r="D18" s="4">
        <f>D3-D12</f>
        <v>14112</v>
      </c>
      <c r="G18" t="s">
        <v>5</v>
      </c>
      <c r="H18" s="4">
        <f>H3-H12</f>
        <v>2253.1764705882342</v>
      </c>
    </row>
    <row r="21" spans="1:8" ht="15.75" x14ac:dyDescent="0.25">
      <c r="A21" t="s">
        <v>6</v>
      </c>
      <c r="C21" s="8">
        <f>D18</f>
        <v>14112</v>
      </c>
      <c r="E21" t="s">
        <v>10</v>
      </c>
      <c r="H21" s="6">
        <f>C30</f>
        <v>11561.799529411766</v>
      </c>
    </row>
    <row r="23" spans="1:8" ht="15.75" x14ac:dyDescent="0.25">
      <c r="A23" t="s">
        <v>5</v>
      </c>
      <c r="B23" s="9" t="s">
        <v>7</v>
      </c>
      <c r="C23" s="8">
        <f>H18</f>
        <v>2253.1764705882342</v>
      </c>
      <c r="E23" s="13" t="s">
        <v>11</v>
      </c>
      <c r="F23" s="9" t="s">
        <v>12</v>
      </c>
      <c r="G23" s="15" t="s">
        <v>17</v>
      </c>
      <c r="H23" s="3">
        <f>-(F24*0.007)</f>
        <v>-436.8</v>
      </c>
    </row>
    <row r="24" spans="1:8" x14ac:dyDescent="0.25">
      <c r="F24" s="21">
        <f>D3-H3</f>
        <v>62400</v>
      </c>
    </row>
    <row r="25" spans="1:8" ht="15.75" x14ac:dyDescent="0.25">
      <c r="A25" t="s">
        <v>8</v>
      </c>
      <c r="B25" s="9" t="s">
        <v>7</v>
      </c>
      <c r="C25" s="8">
        <f>D3*0.004</f>
        <v>297.024</v>
      </c>
      <c r="F25" s="9" t="s">
        <v>13</v>
      </c>
      <c r="G25" s="16">
        <v>0.35</v>
      </c>
      <c r="H25" s="29">
        <f>-(F26*0.35)</f>
        <v>-4046.629835294118</v>
      </c>
    </row>
    <row r="26" spans="1:8" ht="15.75" thickBot="1" x14ac:dyDescent="0.3">
      <c r="F26" s="21">
        <f>H21</f>
        <v>11561.799529411766</v>
      </c>
      <c r="H26" s="7"/>
    </row>
    <row r="27" spans="1:8" ht="15.75" x14ac:dyDescent="0.25">
      <c r="A27" t="s">
        <v>9</v>
      </c>
      <c r="B27" s="9" t="s">
        <v>7</v>
      </c>
      <c r="C27" s="10"/>
      <c r="G27" s="13" t="s">
        <v>14</v>
      </c>
      <c r="H27" s="6">
        <f>H21+H23+H25</f>
        <v>7078.3696941176495</v>
      </c>
    </row>
    <row r="28" spans="1:8" ht="15.75" thickBot="1" x14ac:dyDescent="0.3">
      <c r="A28" s="16"/>
      <c r="B28" s="14"/>
      <c r="C28" s="7"/>
    </row>
    <row r="29" spans="1:8" x14ac:dyDescent="0.25">
      <c r="E29" t="s">
        <v>151</v>
      </c>
      <c r="H29" s="20">
        <f>H27*0.5</f>
        <v>3539.1848470588247</v>
      </c>
    </row>
    <row r="30" spans="1:8" ht="15.75" x14ac:dyDescent="0.25">
      <c r="A30" t="s">
        <v>10</v>
      </c>
      <c r="C30" s="10">
        <f>C21-C23-C25-C27</f>
        <v>11561.799529411766</v>
      </c>
      <c r="H30" s="18"/>
    </row>
    <row r="31" spans="1:8" x14ac:dyDescent="0.25">
      <c r="H31" s="3"/>
    </row>
    <row r="32" spans="1:8" x14ac:dyDescent="0.25">
      <c r="H32" s="18"/>
    </row>
  </sheetData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98950-AFFB-4BF7-BC4E-5EEEC23F6010}">
  <dimension ref="A1:H32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529</v>
      </c>
    </row>
    <row r="3" spans="1:8" ht="21" x14ac:dyDescent="0.35">
      <c r="A3" s="2" t="s">
        <v>1</v>
      </c>
      <c r="D3" s="11">
        <v>33001</v>
      </c>
      <c r="F3" s="12" t="s">
        <v>3</v>
      </c>
      <c r="H3" s="4">
        <f>(D3/1.19)*0.19</f>
        <v>5269.0672268907565</v>
      </c>
    </row>
    <row r="4" spans="1:8" x14ac:dyDescent="0.25">
      <c r="A4" s="13" t="s">
        <v>32</v>
      </c>
      <c r="C4" s="26">
        <v>673</v>
      </c>
    </row>
    <row r="5" spans="1:8" ht="21" x14ac:dyDescent="0.35">
      <c r="A5" s="2" t="s">
        <v>2</v>
      </c>
    </row>
    <row r="7" spans="1:8" ht="18.75" x14ac:dyDescent="0.3">
      <c r="A7" s="5" t="s">
        <v>185</v>
      </c>
      <c r="D7" s="4">
        <v>13212</v>
      </c>
      <c r="E7" s="25"/>
      <c r="H7" s="4">
        <f>(D7/1.19)*0.19</f>
        <v>2109.4789915966389</v>
      </c>
    </row>
    <row r="8" spans="1:8" ht="18.75" x14ac:dyDescent="0.3">
      <c r="A8" s="5"/>
      <c r="C8" s="3"/>
      <c r="D8" s="32" t="s">
        <v>528</v>
      </c>
      <c r="E8" s="25"/>
      <c r="H8" s="28"/>
    </row>
    <row r="9" spans="1:8" ht="18.75" x14ac:dyDescent="0.3">
      <c r="A9" s="5"/>
      <c r="C9" s="3"/>
      <c r="D9" s="28"/>
      <c r="E9" s="25"/>
      <c r="H9" s="28"/>
    </row>
    <row r="10" spans="1:8" ht="18.75" x14ac:dyDescent="0.3">
      <c r="A10" s="5"/>
      <c r="C10" s="3"/>
      <c r="D10" s="28"/>
      <c r="E10" s="25"/>
      <c r="H10" s="28"/>
    </row>
    <row r="11" spans="1:8" ht="19.5" thickBot="1" x14ac:dyDescent="0.35">
      <c r="A11" s="5"/>
      <c r="C11" s="3"/>
      <c r="D11" s="22"/>
      <c r="E11" s="25"/>
      <c r="H11" s="22"/>
    </row>
    <row r="12" spans="1:8" ht="18.75" customHeight="1" x14ac:dyDescent="0.3">
      <c r="D12" s="4">
        <f>SUM(D7:D11)</f>
        <v>13212</v>
      </c>
      <c r="H12" s="4">
        <f>SUM(H7:H11)</f>
        <v>2109.4789915966389</v>
      </c>
    </row>
    <row r="13" spans="1:8" ht="18.75" x14ac:dyDescent="0.3">
      <c r="A13" s="5"/>
      <c r="C13" s="3"/>
      <c r="D13" s="4"/>
      <c r="H13" s="4"/>
    </row>
    <row r="15" spans="1:8" ht="18.75" x14ac:dyDescent="0.3">
      <c r="A15" s="5"/>
      <c r="C15" s="3"/>
      <c r="D15" s="4"/>
      <c r="H15" s="4"/>
    </row>
    <row r="16" spans="1:8" ht="15.75" thickBot="1" x14ac:dyDescent="0.3">
      <c r="D16" s="7"/>
      <c r="H16" s="7"/>
    </row>
    <row r="18" spans="1:8" ht="18.75" x14ac:dyDescent="0.3">
      <c r="C18" t="s">
        <v>4</v>
      </c>
      <c r="D18" s="4">
        <f>D3-D12</f>
        <v>19789</v>
      </c>
      <c r="G18" t="s">
        <v>5</v>
      </c>
      <c r="H18" s="4">
        <f>H3-H12</f>
        <v>3159.5882352941176</v>
      </c>
    </row>
    <row r="21" spans="1:8" ht="15.75" x14ac:dyDescent="0.25">
      <c r="A21" t="s">
        <v>6</v>
      </c>
      <c r="C21" s="8">
        <f>D18</f>
        <v>19789</v>
      </c>
      <c r="E21" t="s">
        <v>10</v>
      </c>
      <c r="H21" s="6">
        <f>C30</f>
        <v>16497.40776470588</v>
      </c>
    </row>
    <row r="23" spans="1:8" ht="15.75" x14ac:dyDescent="0.25">
      <c r="A23" t="s">
        <v>5</v>
      </c>
      <c r="B23" s="9" t="s">
        <v>7</v>
      </c>
      <c r="C23" s="8">
        <f>H18</f>
        <v>3159.5882352941176</v>
      </c>
      <c r="E23" s="13" t="s">
        <v>11</v>
      </c>
      <c r="F23" s="9" t="s">
        <v>12</v>
      </c>
      <c r="G23" s="15" t="s">
        <v>17</v>
      </c>
      <c r="H23" s="3">
        <f>-(F24*0.007)</f>
        <v>-194.12352941176471</v>
      </c>
    </row>
    <row r="24" spans="1:8" x14ac:dyDescent="0.25">
      <c r="F24" s="21">
        <f>D3-H3</f>
        <v>27731.932773109242</v>
      </c>
    </row>
    <row r="25" spans="1:8" ht="15.75" x14ac:dyDescent="0.25">
      <c r="A25" t="s">
        <v>8</v>
      </c>
      <c r="B25" s="9" t="s">
        <v>7</v>
      </c>
      <c r="C25" s="8">
        <f>D3*0.004</f>
        <v>132.00399999999999</v>
      </c>
      <c r="F25" s="9" t="s">
        <v>13</v>
      </c>
      <c r="G25" s="16">
        <v>0.35</v>
      </c>
      <c r="H25" s="29">
        <f>-(F26*0.35)</f>
        <v>-5774.0927176470577</v>
      </c>
    </row>
    <row r="26" spans="1:8" ht="15.75" thickBot="1" x14ac:dyDescent="0.3">
      <c r="F26" s="21">
        <f>H21</f>
        <v>16497.40776470588</v>
      </c>
      <c r="H26" s="7"/>
    </row>
    <row r="27" spans="1:8" ht="15.75" x14ac:dyDescent="0.25">
      <c r="A27" t="s">
        <v>9</v>
      </c>
      <c r="B27" s="9" t="s">
        <v>7</v>
      </c>
      <c r="C27" s="10"/>
      <c r="G27" s="13" t="s">
        <v>14</v>
      </c>
      <c r="H27" s="6">
        <f>H21+H23+H25</f>
        <v>10529.191517647057</v>
      </c>
    </row>
    <row r="28" spans="1:8" ht="15.75" thickBot="1" x14ac:dyDescent="0.3">
      <c r="A28" s="16"/>
      <c r="B28" s="14"/>
      <c r="C28" s="7"/>
    </row>
    <row r="29" spans="1:8" x14ac:dyDescent="0.25">
      <c r="E29" t="s">
        <v>151</v>
      </c>
      <c r="H29" s="20">
        <f>H27*0.5</f>
        <v>5264.5957588235287</v>
      </c>
    </row>
    <row r="30" spans="1:8" ht="15.75" x14ac:dyDescent="0.25">
      <c r="A30" t="s">
        <v>10</v>
      </c>
      <c r="C30" s="10">
        <f>C21-C23-C25-C27</f>
        <v>16497.40776470588</v>
      </c>
      <c r="H30" s="18"/>
    </row>
    <row r="31" spans="1:8" x14ac:dyDescent="0.25">
      <c r="H31" s="3"/>
    </row>
    <row r="32" spans="1:8" x14ac:dyDescent="0.25">
      <c r="H32" s="18"/>
    </row>
  </sheetData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9650F-C559-4E09-84C2-1B6B78DBD0CE}">
  <dimension ref="A1:H32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529</v>
      </c>
    </row>
    <row r="3" spans="1:8" ht="21" x14ac:dyDescent="0.35">
      <c r="A3" s="2" t="s">
        <v>1</v>
      </c>
      <c r="D3" s="11">
        <v>99008</v>
      </c>
      <c r="F3" s="12" t="s">
        <v>3</v>
      </c>
      <c r="H3" s="4">
        <f>(D3/1.19)*0.19</f>
        <v>15808</v>
      </c>
    </row>
    <row r="4" spans="1:8" x14ac:dyDescent="0.25">
      <c r="A4" s="13" t="s">
        <v>32</v>
      </c>
      <c r="C4" s="26">
        <v>674</v>
      </c>
    </row>
    <row r="5" spans="1:8" ht="21" x14ac:dyDescent="0.35">
      <c r="A5" s="2" t="s">
        <v>2</v>
      </c>
    </row>
    <row r="7" spans="1:8" ht="18.75" x14ac:dyDescent="0.3">
      <c r="A7" s="5" t="s">
        <v>185</v>
      </c>
      <c r="D7" s="4">
        <v>39636</v>
      </c>
      <c r="E7" s="25"/>
      <c r="H7" s="4">
        <f>(D7/1.19)*0.19</f>
        <v>6328.4369747899173</v>
      </c>
    </row>
    <row r="8" spans="1:8" ht="18.75" x14ac:dyDescent="0.3">
      <c r="A8" s="5"/>
      <c r="C8" s="3"/>
      <c r="D8" s="32" t="s">
        <v>528</v>
      </c>
      <c r="E8" s="25"/>
      <c r="H8" s="28"/>
    </row>
    <row r="9" spans="1:8" ht="18.75" x14ac:dyDescent="0.3">
      <c r="A9" s="5"/>
      <c r="C9" s="3"/>
      <c r="D9" s="28"/>
      <c r="E9" s="25"/>
      <c r="H9" s="28"/>
    </row>
    <row r="10" spans="1:8" ht="18.75" x14ac:dyDescent="0.3">
      <c r="A10" s="5"/>
      <c r="C10" s="3"/>
      <c r="D10" s="28"/>
      <c r="E10" s="25"/>
      <c r="H10" s="28"/>
    </row>
    <row r="11" spans="1:8" ht="19.5" thickBot="1" x14ac:dyDescent="0.35">
      <c r="A11" s="5"/>
      <c r="C11" s="3"/>
      <c r="D11" s="22"/>
      <c r="E11" s="25"/>
      <c r="H11" s="22"/>
    </row>
    <row r="12" spans="1:8" ht="18.75" customHeight="1" x14ac:dyDescent="0.3">
      <c r="D12" s="4">
        <f>SUM(D7:D11)</f>
        <v>39636</v>
      </c>
      <c r="H12" s="4">
        <f>SUM(H7:H11)</f>
        <v>6328.4369747899173</v>
      </c>
    </row>
    <row r="13" spans="1:8" ht="18.75" x14ac:dyDescent="0.3">
      <c r="A13" s="5"/>
      <c r="C13" s="3"/>
      <c r="D13" s="4"/>
      <c r="H13" s="4"/>
    </row>
    <row r="15" spans="1:8" ht="18.75" x14ac:dyDescent="0.3">
      <c r="A15" s="5"/>
      <c r="C15" s="3"/>
      <c r="D15" s="4"/>
      <c r="H15" s="4"/>
    </row>
    <row r="16" spans="1:8" ht="15.75" thickBot="1" x14ac:dyDescent="0.3">
      <c r="D16" s="7"/>
      <c r="H16" s="7"/>
    </row>
    <row r="18" spans="1:8" ht="18.75" x14ac:dyDescent="0.3">
      <c r="C18" t="s">
        <v>4</v>
      </c>
      <c r="D18" s="4">
        <f>D3-D12</f>
        <v>59372</v>
      </c>
      <c r="G18" t="s">
        <v>5</v>
      </c>
      <c r="H18" s="4">
        <f>H3-H12</f>
        <v>9479.5630252100818</v>
      </c>
    </row>
    <row r="21" spans="1:8" ht="15.75" x14ac:dyDescent="0.25">
      <c r="A21" t="s">
        <v>6</v>
      </c>
      <c r="C21" s="8">
        <f>D18</f>
        <v>59372</v>
      </c>
      <c r="E21" t="s">
        <v>10</v>
      </c>
      <c r="H21" s="6">
        <f>C30</f>
        <v>49496.404974789919</v>
      </c>
    </row>
    <row r="23" spans="1:8" ht="15.75" x14ac:dyDescent="0.25">
      <c r="A23" t="s">
        <v>5</v>
      </c>
      <c r="B23" s="9" t="s">
        <v>7</v>
      </c>
      <c r="C23" s="8">
        <f>H18</f>
        <v>9479.5630252100818</v>
      </c>
      <c r="E23" s="13" t="s">
        <v>11</v>
      </c>
      <c r="F23" s="9" t="s">
        <v>12</v>
      </c>
      <c r="G23" s="15" t="s">
        <v>17</v>
      </c>
      <c r="H23" s="3">
        <f>-(F24*0.007)</f>
        <v>-582.4</v>
      </c>
    </row>
    <row r="24" spans="1:8" x14ac:dyDescent="0.25">
      <c r="F24" s="21">
        <f>D3-H3</f>
        <v>83200</v>
      </c>
    </row>
    <row r="25" spans="1:8" ht="15.75" x14ac:dyDescent="0.25">
      <c r="A25" t="s">
        <v>8</v>
      </c>
      <c r="B25" s="9" t="s">
        <v>7</v>
      </c>
      <c r="C25" s="8">
        <f>D3*0.004</f>
        <v>396.03199999999998</v>
      </c>
      <c r="F25" s="9" t="s">
        <v>13</v>
      </c>
      <c r="G25" s="16">
        <v>0.35</v>
      </c>
      <c r="H25" s="29">
        <f>-(F26*0.35)</f>
        <v>-17323.741741176469</v>
      </c>
    </row>
    <row r="26" spans="1:8" ht="15.75" thickBot="1" x14ac:dyDescent="0.3">
      <c r="F26" s="21">
        <f>H21</f>
        <v>49496.404974789919</v>
      </c>
      <c r="H26" s="7"/>
    </row>
    <row r="27" spans="1:8" ht="15.75" x14ac:dyDescent="0.25">
      <c r="A27" t="s">
        <v>9</v>
      </c>
      <c r="B27" s="9" t="s">
        <v>7</v>
      </c>
      <c r="C27" s="10"/>
      <c r="G27" s="13" t="s">
        <v>14</v>
      </c>
      <c r="H27" s="6">
        <f>H21+H23+H25</f>
        <v>31590.263233613448</v>
      </c>
    </row>
    <row r="28" spans="1:8" ht="15.75" thickBot="1" x14ac:dyDescent="0.3">
      <c r="A28" s="16"/>
      <c r="B28" s="14"/>
      <c r="C28" s="7"/>
    </row>
    <row r="29" spans="1:8" x14ac:dyDescent="0.25">
      <c r="E29" t="s">
        <v>151</v>
      </c>
      <c r="H29" s="20">
        <f>H27*0.5</f>
        <v>15795.131616806724</v>
      </c>
    </row>
    <row r="30" spans="1:8" ht="15.75" x14ac:dyDescent="0.25">
      <c r="A30" t="s">
        <v>10</v>
      </c>
      <c r="C30" s="10">
        <f>C21-C23-C25-C27</f>
        <v>49496.404974789919</v>
      </c>
      <c r="H30" s="18"/>
    </row>
    <row r="31" spans="1:8" x14ac:dyDescent="0.25">
      <c r="H31" s="3"/>
    </row>
    <row r="32" spans="1:8" x14ac:dyDescent="0.25">
      <c r="H32" s="18"/>
    </row>
  </sheetData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8B0EF-EDC8-40B8-B8F7-696176408913}">
  <dimension ref="A1:H32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530</v>
      </c>
    </row>
    <row r="3" spans="1:8" ht="21" x14ac:dyDescent="0.35">
      <c r="A3" s="2" t="s">
        <v>1</v>
      </c>
      <c r="D3" s="11">
        <v>283220</v>
      </c>
      <c r="F3" s="12" t="s">
        <v>3</v>
      </c>
      <c r="H3" s="4">
        <f>(D3/1.19)*0.19</f>
        <v>45220</v>
      </c>
    </row>
    <row r="4" spans="1:8" x14ac:dyDescent="0.25">
      <c r="A4" s="13" t="s">
        <v>32</v>
      </c>
      <c r="C4" s="26">
        <v>677</v>
      </c>
    </row>
    <row r="5" spans="1:8" ht="21" x14ac:dyDescent="0.35">
      <c r="A5" s="2" t="s">
        <v>2</v>
      </c>
    </row>
    <row r="7" spans="1:8" ht="18.75" x14ac:dyDescent="0.3">
      <c r="A7" s="5" t="s">
        <v>185</v>
      </c>
      <c r="D7" s="4">
        <v>207662</v>
      </c>
      <c r="E7" s="25"/>
      <c r="H7" s="4">
        <f>(D7/1.19)*0.19</f>
        <v>33156.117647058825</v>
      </c>
    </row>
    <row r="8" spans="1:8" ht="18.75" x14ac:dyDescent="0.3">
      <c r="A8" s="5"/>
      <c r="C8" s="3"/>
      <c r="D8" s="32" t="s">
        <v>528</v>
      </c>
      <c r="E8" s="25"/>
      <c r="H8" s="28"/>
    </row>
    <row r="9" spans="1:8" ht="18.75" x14ac:dyDescent="0.3">
      <c r="A9" s="5"/>
      <c r="C9" s="3"/>
      <c r="D9" s="28"/>
      <c r="E9" s="25"/>
      <c r="H9" s="28"/>
    </row>
    <row r="10" spans="1:8" ht="18.75" x14ac:dyDescent="0.3">
      <c r="A10" s="5"/>
      <c r="C10" s="3"/>
      <c r="D10" s="28"/>
      <c r="E10" s="25"/>
      <c r="H10" s="28"/>
    </row>
    <row r="11" spans="1:8" ht="19.5" thickBot="1" x14ac:dyDescent="0.35">
      <c r="A11" s="5"/>
      <c r="C11" s="3"/>
      <c r="D11" s="22"/>
      <c r="E11" s="25"/>
      <c r="H11" s="22"/>
    </row>
    <row r="12" spans="1:8" ht="18.75" customHeight="1" x14ac:dyDescent="0.3">
      <c r="D12" s="4">
        <f>SUM(D7:D11)</f>
        <v>207662</v>
      </c>
      <c r="H12" s="4">
        <f>SUM(H7:H11)</f>
        <v>33156.117647058825</v>
      </c>
    </row>
    <row r="13" spans="1:8" ht="18.75" x14ac:dyDescent="0.3">
      <c r="A13" s="5"/>
      <c r="C13" s="3"/>
      <c r="D13" s="4"/>
      <c r="H13" s="4"/>
    </row>
    <row r="15" spans="1:8" ht="18.75" x14ac:dyDescent="0.3">
      <c r="A15" s="5"/>
      <c r="C15" s="3"/>
      <c r="D15" s="4"/>
      <c r="H15" s="4"/>
    </row>
    <row r="16" spans="1:8" ht="15.75" thickBot="1" x14ac:dyDescent="0.3">
      <c r="D16" s="7"/>
      <c r="H16" s="7"/>
    </row>
    <row r="18" spans="1:8" ht="18.75" x14ac:dyDescent="0.3">
      <c r="C18" t="s">
        <v>4</v>
      </c>
      <c r="D18" s="4">
        <f>D3-D12</f>
        <v>75558</v>
      </c>
      <c r="G18" t="s">
        <v>5</v>
      </c>
      <c r="H18" s="4">
        <f>H3-H12</f>
        <v>12063.882352941175</v>
      </c>
    </row>
    <row r="21" spans="1:8" ht="15.75" x14ac:dyDescent="0.25">
      <c r="A21" t="s">
        <v>6</v>
      </c>
      <c r="C21" s="8">
        <f>D18</f>
        <v>75558</v>
      </c>
      <c r="E21" t="s">
        <v>10</v>
      </c>
      <c r="H21" s="6">
        <f>C30</f>
        <v>62361.237647058828</v>
      </c>
    </row>
    <row r="23" spans="1:8" ht="15.75" x14ac:dyDescent="0.25">
      <c r="A23" t="s">
        <v>5</v>
      </c>
      <c r="B23" s="9" t="s">
        <v>7</v>
      </c>
      <c r="C23" s="8">
        <f>H18</f>
        <v>12063.882352941175</v>
      </c>
      <c r="E23" s="13" t="s">
        <v>11</v>
      </c>
      <c r="F23" s="9" t="s">
        <v>12</v>
      </c>
      <c r="G23" s="15" t="s">
        <v>17</v>
      </c>
      <c r="H23" s="3">
        <f>-(F24*0.007)</f>
        <v>-1666</v>
      </c>
    </row>
    <row r="24" spans="1:8" x14ac:dyDescent="0.25">
      <c r="F24" s="21">
        <f>D3-H3</f>
        <v>238000</v>
      </c>
    </row>
    <row r="25" spans="1:8" ht="15.75" x14ac:dyDescent="0.25">
      <c r="A25" t="s">
        <v>8</v>
      </c>
      <c r="B25" s="9" t="s">
        <v>7</v>
      </c>
      <c r="C25" s="8">
        <f>D3*0.004</f>
        <v>1132.8800000000001</v>
      </c>
      <c r="F25" s="9" t="s">
        <v>13</v>
      </c>
      <c r="G25" s="16">
        <v>0.35</v>
      </c>
      <c r="H25" s="29">
        <f>-(F26*0.35)</f>
        <v>-21826.433176470589</v>
      </c>
    </row>
    <row r="26" spans="1:8" ht="15.75" thickBot="1" x14ac:dyDescent="0.3">
      <c r="F26" s="21">
        <f>H21</f>
        <v>62361.237647058828</v>
      </c>
      <c r="H26" s="7"/>
    </row>
    <row r="27" spans="1:8" ht="15.75" x14ac:dyDescent="0.25">
      <c r="A27" t="s">
        <v>9</v>
      </c>
      <c r="B27" s="9" t="s">
        <v>7</v>
      </c>
      <c r="C27" s="10"/>
      <c r="G27" s="13" t="s">
        <v>14</v>
      </c>
      <c r="H27" s="6">
        <f>H21+H23+H25</f>
        <v>38868.804470588235</v>
      </c>
    </row>
    <row r="28" spans="1:8" ht="15.75" thickBot="1" x14ac:dyDescent="0.3">
      <c r="A28" s="16"/>
      <c r="B28" s="14"/>
      <c r="C28" s="7"/>
    </row>
    <row r="29" spans="1:8" x14ac:dyDescent="0.25">
      <c r="E29" t="s">
        <v>151</v>
      </c>
      <c r="H29" s="20">
        <f>H27*0.5</f>
        <v>19434.402235294117</v>
      </c>
    </row>
    <row r="30" spans="1:8" ht="15.75" x14ac:dyDescent="0.25">
      <c r="A30" t="s">
        <v>10</v>
      </c>
      <c r="C30" s="10">
        <f>C21-C23-C25-C27</f>
        <v>62361.237647058828</v>
      </c>
      <c r="H30" s="18"/>
    </row>
    <row r="31" spans="1:8" x14ac:dyDescent="0.25">
      <c r="H31" s="3"/>
    </row>
    <row r="32" spans="1:8" x14ac:dyDescent="0.25">
      <c r="H32" s="18"/>
    </row>
  </sheetData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F9BB0-91C0-4723-A5B4-BFAE2C18E64D}">
  <dimension ref="A1:H32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530</v>
      </c>
    </row>
    <row r="3" spans="1:8" ht="21" x14ac:dyDescent="0.35">
      <c r="A3" s="2" t="s">
        <v>1</v>
      </c>
      <c r="D3" s="11">
        <v>686630</v>
      </c>
      <c r="F3" s="12" t="s">
        <v>3</v>
      </c>
      <c r="H3" s="4">
        <f>(D3/1.19)*0.19</f>
        <v>109630</v>
      </c>
    </row>
    <row r="4" spans="1:8" x14ac:dyDescent="0.25">
      <c r="A4" s="13" t="s">
        <v>32</v>
      </c>
      <c r="C4" s="26">
        <v>679</v>
      </c>
    </row>
    <row r="5" spans="1:8" ht="21" x14ac:dyDescent="0.35">
      <c r="A5" s="2" t="s">
        <v>2</v>
      </c>
    </row>
    <row r="7" spans="1:8" ht="18.75" x14ac:dyDescent="0.3">
      <c r="A7" s="5" t="s">
        <v>185</v>
      </c>
      <c r="D7" s="4">
        <v>427489</v>
      </c>
      <c r="E7" s="25"/>
      <c r="H7" s="4">
        <f>(D7/1.19)*0.19</f>
        <v>68254.546218487405</v>
      </c>
    </row>
    <row r="8" spans="1:8" ht="18.75" x14ac:dyDescent="0.3">
      <c r="A8" s="5"/>
      <c r="C8" s="3"/>
      <c r="D8" s="32" t="s">
        <v>528</v>
      </c>
      <c r="E8" s="25"/>
      <c r="H8" s="28"/>
    </row>
    <row r="9" spans="1:8" ht="18.75" x14ac:dyDescent="0.3">
      <c r="A9" s="5"/>
      <c r="C9" s="3"/>
      <c r="D9" s="28"/>
      <c r="E9" s="25"/>
      <c r="H9" s="28"/>
    </row>
    <row r="10" spans="1:8" ht="18.75" x14ac:dyDescent="0.3">
      <c r="A10" s="5"/>
      <c r="C10" s="3"/>
      <c r="D10" s="28"/>
      <c r="E10" s="25"/>
      <c r="H10" s="28"/>
    </row>
    <row r="11" spans="1:8" ht="19.5" thickBot="1" x14ac:dyDescent="0.35">
      <c r="A11" s="5"/>
      <c r="C11" s="3"/>
      <c r="D11" s="22"/>
      <c r="E11" s="25"/>
      <c r="H11" s="22"/>
    </row>
    <row r="12" spans="1:8" ht="18.75" customHeight="1" x14ac:dyDescent="0.3">
      <c r="D12" s="4">
        <f>SUM(D7:D11)</f>
        <v>427489</v>
      </c>
      <c r="H12" s="4">
        <f>SUM(H7:H11)</f>
        <v>68254.546218487405</v>
      </c>
    </row>
    <row r="13" spans="1:8" ht="18.75" x14ac:dyDescent="0.3">
      <c r="A13" s="5"/>
      <c r="C13" s="3"/>
      <c r="D13" s="4"/>
      <c r="H13" s="4"/>
    </row>
    <row r="15" spans="1:8" ht="18.75" x14ac:dyDescent="0.3">
      <c r="A15" s="5"/>
      <c r="C15" s="3"/>
      <c r="D15" s="4"/>
      <c r="H15" s="4"/>
    </row>
    <row r="16" spans="1:8" ht="15.75" thickBot="1" x14ac:dyDescent="0.3">
      <c r="D16" s="7"/>
      <c r="H16" s="7"/>
    </row>
    <row r="18" spans="1:8" ht="18.75" x14ac:dyDescent="0.3">
      <c r="C18" t="s">
        <v>4</v>
      </c>
      <c r="D18" s="4">
        <f>D3-D12</f>
        <v>259141</v>
      </c>
      <c r="G18" t="s">
        <v>5</v>
      </c>
      <c r="H18" s="4">
        <f>H3-H12</f>
        <v>41375.453781512595</v>
      </c>
    </row>
    <row r="21" spans="1:8" ht="15.75" x14ac:dyDescent="0.25">
      <c r="A21" t="s">
        <v>6</v>
      </c>
      <c r="C21" s="8">
        <f>D18</f>
        <v>259141</v>
      </c>
      <c r="E21" t="s">
        <v>10</v>
      </c>
      <c r="H21" s="6">
        <f>C30</f>
        <v>215019.02621848742</v>
      </c>
    </row>
    <row r="23" spans="1:8" ht="15.75" x14ac:dyDescent="0.25">
      <c r="A23" t="s">
        <v>5</v>
      </c>
      <c r="B23" s="9" t="s">
        <v>7</v>
      </c>
      <c r="C23" s="8">
        <f>H18</f>
        <v>41375.453781512595</v>
      </c>
      <c r="E23" s="13" t="s">
        <v>11</v>
      </c>
      <c r="F23" s="9" t="s">
        <v>12</v>
      </c>
      <c r="G23" s="15" t="s">
        <v>17</v>
      </c>
      <c r="H23" s="3">
        <f>-(F24*0.007)</f>
        <v>-4039</v>
      </c>
    </row>
    <row r="24" spans="1:8" x14ac:dyDescent="0.25">
      <c r="F24" s="21">
        <f>D3-H3</f>
        <v>577000</v>
      </c>
    </row>
    <row r="25" spans="1:8" ht="15.75" x14ac:dyDescent="0.25">
      <c r="A25" t="s">
        <v>8</v>
      </c>
      <c r="B25" s="9" t="s">
        <v>7</v>
      </c>
      <c r="C25" s="8">
        <f>D3*0.004</f>
        <v>2746.52</v>
      </c>
      <c r="F25" s="9" t="s">
        <v>13</v>
      </c>
      <c r="G25" s="16">
        <v>0.35</v>
      </c>
      <c r="H25" s="29">
        <f>-(F26*0.35)</f>
        <v>-75256.659176470595</v>
      </c>
    </row>
    <row r="26" spans="1:8" ht="15.75" thickBot="1" x14ac:dyDescent="0.3">
      <c r="F26" s="21">
        <f>H21</f>
        <v>215019.02621848742</v>
      </c>
      <c r="H26" s="7"/>
    </row>
    <row r="27" spans="1:8" ht="15.75" x14ac:dyDescent="0.25">
      <c r="A27" t="s">
        <v>9</v>
      </c>
      <c r="B27" s="9" t="s">
        <v>7</v>
      </c>
      <c r="C27" s="10"/>
      <c r="G27" s="13" t="s">
        <v>14</v>
      </c>
      <c r="H27" s="6">
        <f>H21+H23+H25</f>
        <v>135723.36704201682</v>
      </c>
    </row>
    <row r="28" spans="1:8" ht="15.75" thickBot="1" x14ac:dyDescent="0.3">
      <c r="A28" s="16"/>
      <c r="B28" s="14"/>
      <c r="C28" s="7"/>
    </row>
    <row r="29" spans="1:8" x14ac:dyDescent="0.25">
      <c r="E29" t="s">
        <v>151</v>
      </c>
      <c r="H29" s="20">
        <f>H27*0.5</f>
        <v>67861.68352100841</v>
      </c>
    </row>
    <row r="30" spans="1:8" ht="15.75" x14ac:dyDescent="0.25">
      <c r="A30" t="s">
        <v>10</v>
      </c>
      <c r="C30" s="10">
        <f>C21-C23-C25-C27</f>
        <v>215019.02621848742</v>
      </c>
      <c r="H30" s="18"/>
    </row>
    <row r="31" spans="1:8" x14ac:dyDescent="0.25">
      <c r="H31" s="3"/>
    </row>
    <row r="32" spans="1:8" x14ac:dyDescent="0.25">
      <c r="H32" s="18"/>
    </row>
  </sheetData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A0621-305F-400E-8D31-8C87B26E8260}">
  <dimension ref="A1:H32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531</v>
      </c>
    </row>
    <row r="3" spans="1:8" ht="21" x14ac:dyDescent="0.35">
      <c r="A3" s="2" t="s">
        <v>1</v>
      </c>
      <c r="D3" s="11">
        <v>697173</v>
      </c>
      <c r="F3" s="12" t="s">
        <v>3</v>
      </c>
      <c r="H3" s="4">
        <f>(D3/1.19)*0.19</f>
        <v>111313.33613445378</v>
      </c>
    </row>
    <row r="4" spans="1:8" x14ac:dyDescent="0.25">
      <c r="A4" s="13" t="s">
        <v>32</v>
      </c>
      <c r="C4" s="26">
        <v>682</v>
      </c>
    </row>
    <row r="5" spans="1:8" ht="21" x14ac:dyDescent="0.35">
      <c r="A5" s="2" t="s">
        <v>2</v>
      </c>
    </row>
    <row r="7" spans="1:8" ht="18.75" x14ac:dyDescent="0.3">
      <c r="A7" s="5" t="s">
        <v>185</v>
      </c>
      <c r="D7" s="4">
        <v>196753</v>
      </c>
      <c r="E7" s="25"/>
      <c r="H7" s="4">
        <f>(D7/1.19)*0.19</f>
        <v>31414.34453781513</v>
      </c>
    </row>
    <row r="8" spans="1:8" ht="18.75" x14ac:dyDescent="0.3">
      <c r="A8" s="5" t="s">
        <v>532</v>
      </c>
      <c r="C8" s="3"/>
      <c r="D8" s="32">
        <v>250452</v>
      </c>
      <c r="E8" s="25"/>
      <c r="H8" s="4">
        <f>(D8/1.19)*0.19</f>
        <v>39988.134453781517</v>
      </c>
    </row>
    <row r="9" spans="1:8" ht="18.75" x14ac:dyDescent="0.3">
      <c r="A9" s="5"/>
      <c r="C9" s="3"/>
      <c r="D9" s="28"/>
      <c r="E9" s="25"/>
      <c r="H9" s="28"/>
    </row>
    <row r="10" spans="1:8" ht="18.75" x14ac:dyDescent="0.3">
      <c r="A10" s="5"/>
      <c r="C10" s="3"/>
      <c r="D10" s="28"/>
      <c r="E10" s="25"/>
      <c r="H10" s="28"/>
    </row>
    <row r="11" spans="1:8" ht="19.5" thickBot="1" x14ac:dyDescent="0.35">
      <c r="A11" s="5"/>
      <c r="C11" s="3"/>
      <c r="D11" s="22"/>
      <c r="E11" s="25"/>
      <c r="H11" s="22"/>
    </row>
    <row r="12" spans="1:8" ht="18.75" customHeight="1" x14ac:dyDescent="0.3">
      <c r="D12" s="4">
        <f>SUM(D7:D11)</f>
        <v>447205</v>
      </c>
      <c r="H12" s="4">
        <f>SUM(H7:H11)</f>
        <v>71402.478991596639</v>
      </c>
    </row>
    <row r="13" spans="1:8" ht="18.75" x14ac:dyDescent="0.3">
      <c r="A13" s="5"/>
      <c r="C13" s="3"/>
      <c r="D13" s="4"/>
      <c r="H13" s="4"/>
    </row>
    <row r="15" spans="1:8" ht="18.75" x14ac:dyDescent="0.3">
      <c r="A15" s="5"/>
      <c r="C15" s="3"/>
      <c r="D15" s="4"/>
      <c r="H15" s="4"/>
    </row>
    <row r="16" spans="1:8" ht="15.75" thickBot="1" x14ac:dyDescent="0.3">
      <c r="D16" s="7"/>
      <c r="H16" s="7"/>
    </row>
    <row r="18" spans="1:8" ht="18.75" x14ac:dyDescent="0.3">
      <c r="C18" t="s">
        <v>4</v>
      </c>
      <c r="D18" s="4">
        <f>D3-D12</f>
        <v>249968</v>
      </c>
      <c r="G18" t="s">
        <v>5</v>
      </c>
      <c r="H18" s="4">
        <f>H3-H12</f>
        <v>39910.857142857145</v>
      </c>
    </row>
    <row r="21" spans="1:8" ht="15.75" x14ac:dyDescent="0.25">
      <c r="A21" t="s">
        <v>6</v>
      </c>
      <c r="C21" s="8">
        <f>D18</f>
        <v>249968</v>
      </c>
      <c r="E21" t="s">
        <v>10</v>
      </c>
      <c r="H21" s="6">
        <f>C30</f>
        <v>207268.45085714283</v>
      </c>
    </row>
    <row r="23" spans="1:8" ht="15.75" x14ac:dyDescent="0.25">
      <c r="A23" t="s">
        <v>5</v>
      </c>
      <c r="B23" s="9" t="s">
        <v>7</v>
      </c>
      <c r="C23" s="8">
        <f>H18</f>
        <v>39910.857142857145</v>
      </c>
      <c r="E23" s="13" t="s">
        <v>11</v>
      </c>
      <c r="F23" s="9" t="s">
        <v>12</v>
      </c>
      <c r="G23" s="15" t="s">
        <v>17</v>
      </c>
      <c r="H23" s="3">
        <f>-(F24*0.007)</f>
        <v>-4101.017647058824</v>
      </c>
    </row>
    <row r="24" spans="1:8" x14ac:dyDescent="0.25">
      <c r="F24" s="21">
        <f>D3-H3</f>
        <v>585859.66386554623</v>
      </c>
    </row>
    <row r="25" spans="1:8" ht="15.75" x14ac:dyDescent="0.25">
      <c r="A25" t="s">
        <v>8</v>
      </c>
      <c r="B25" s="9" t="s">
        <v>7</v>
      </c>
      <c r="C25" s="8">
        <f>D3*0.004</f>
        <v>2788.692</v>
      </c>
      <c r="F25" s="9" t="s">
        <v>13</v>
      </c>
      <c r="G25" s="16">
        <v>0.35</v>
      </c>
      <c r="H25" s="29">
        <f>-(F26*0.35)</f>
        <v>-72543.957799999989</v>
      </c>
    </row>
    <row r="26" spans="1:8" ht="15.75" thickBot="1" x14ac:dyDescent="0.3">
      <c r="F26" s="21">
        <f>H21</f>
        <v>207268.45085714283</v>
      </c>
      <c r="H26" s="7"/>
    </row>
    <row r="27" spans="1:8" ht="15.75" x14ac:dyDescent="0.25">
      <c r="A27" t="s">
        <v>9</v>
      </c>
      <c r="B27" s="9" t="s">
        <v>7</v>
      </c>
      <c r="C27" s="10"/>
      <c r="G27" s="13" t="s">
        <v>14</v>
      </c>
      <c r="H27" s="6">
        <f>H21+H23+H25</f>
        <v>130623.47541008402</v>
      </c>
    </row>
    <row r="28" spans="1:8" ht="15.75" thickBot="1" x14ac:dyDescent="0.3">
      <c r="A28" s="16"/>
      <c r="B28" s="14"/>
      <c r="C28" s="7"/>
    </row>
    <row r="29" spans="1:8" x14ac:dyDescent="0.25">
      <c r="E29" t="s">
        <v>151</v>
      </c>
      <c r="H29" s="20">
        <f>H27*0.5</f>
        <v>65311.737705042011</v>
      </c>
    </row>
    <row r="30" spans="1:8" ht="15.75" x14ac:dyDescent="0.25">
      <c r="A30" t="s">
        <v>10</v>
      </c>
      <c r="C30" s="10">
        <f>C21-C23-C25-C27</f>
        <v>207268.45085714283</v>
      </c>
      <c r="H30" s="18"/>
    </row>
    <row r="31" spans="1:8" x14ac:dyDescent="0.25">
      <c r="H31" s="3"/>
    </row>
    <row r="32" spans="1:8" x14ac:dyDescent="0.25">
      <c r="H32" s="18"/>
    </row>
  </sheetData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5C513-D97D-475C-886F-216A2A594E5C}">
  <dimension ref="A1:H32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533</v>
      </c>
    </row>
    <row r="3" spans="1:8" ht="21" x14ac:dyDescent="0.35">
      <c r="A3" s="2" t="s">
        <v>1</v>
      </c>
      <c r="D3" s="11">
        <v>547400</v>
      </c>
      <c r="F3" s="12" t="s">
        <v>3</v>
      </c>
      <c r="H3" s="4">
        <f>(D3/1.19)*0.19</f>
        <v>87400</v>
      </c>
    </row>
    <row r="4" spans="1:8" x14ac:dyDescent="0.25">
      <c r="A4" s="13" t="s">
        <v>32</v>
      </c>
      <c r="C4" s="26">
        <v>684</v>
      </c>
    </row>
    <row r="5" spans="1:8" ht="21" x14ac:dyDescent="0.35">
      <c r="A5" s="2" t="s">
        <v>2</v>
      </c>
    </row>
    <row r="7" spans="1:8" ht="18.75" x14ac:dyDescent="0.3">
      <c r="A7" s="5" t="s">
        <v>376</v>
      </c>
      <c r="D7" s="4">
        <v>416500</v>
      </c>
      <c r="E7" s="25"/>
      <c r="H7" s="4">
        <f>(D7/1.19)*0.19</f>
        <v>66500</v>
      </c>
    </row>
    <row r="8" spans="1:8" ht="18.75" x14ac:dyDescent="0.3">
      <c r="A8" s="5"/>
      <c r="C8" s="3"/>
      <c r="D8" s="32"/>
      <c r="E8" s="25"/>
      <c r="H8" s="4"/>
    </row>
    <row r="9" spans="1:8" ht="18.75" x14ac:dyDescent="0.3">
      <c r="A9" s="5"/>
      <c r="C9" s="3"/>
      <c r="D9" s="28"/>
      <c r="E9" s="25"/>
      <c r="H9" s="28"/>
    </row>
    <row r="10" spans="1:8" ht="18.75" x14ac:dyDescent="0.3">
      <c r="A10" s="5"/>
      <c r="C10" s="3"/>
      <c r="D10" s="28"/>
      <c r="E10" s="25"/>
      <c r="H10" s="28"/>
    </row>
    <row r="11" spans="1:8" ht="19.5" thickBot="1" x14ac:dyDescent="0.35">
      <c r="A11" s="5"/>
      <c r="C11" s="3"/>
      <c r="D11" s="22"/>
      <c r="E11" s="25"/>
      <c r="H11" s="22"/>
    </row>
    <row r="12" spans="1:8" ht="18.75" customHeight="1" x14ac:dyDescent="0.3">
      <c r="D12" s="4">
        <f>SUM(D7:D11)</f>
        <v>416500</v>
      </c>
      <c r="H12" s="4">
        <f>SUM(H7:H11)</f>
        <v>66500</v>
      </c>
    </row>
    <row r="13" spans="1:8" ht="18.75" x14ac:dyDescent="0.3">
      <c r="A13" s="5"/>
      <c r="C13" s="3"/>
      <c r="D13" s="4"/>
      <c r="H13" s="4"/>
    </row>
    <row r="15" spans="1:8" ht="18.75" x14ac:dyDescent="0.3">
      <c r="A15" s="5"/>
      <c r="C15" s="3"/>
      <c r="D15" s="4"/>
      <c r="H15" s="4"/>
    </row>
    <row r="16" spans="1:8" ht="15.75" thickBot="1" x14ac:dyDescent="0.3">
      <c r="D16" s="7"/>
      <c r="H16" s="7"/>
    </row>
    <row r="18" spans="1:8" ht="18.75" x14ac:dyDescent="0.3">
      <c r="C18" t="s">
        <v>4</v>
      </c>
      <c r="D18" s="4">
        <f>D3-D12</f>
        <v>130900</v>
      </c>
      <c r="G18" t="s">
        <v>5</v>
      </c>
      <c r="H18" s="4">
        <f>H3-H12</f>
        <v>20900</v>
      </c>
    </row>
    <row r="21" spans="1:8" ht="15.75" x14ac:dyDescent="0.25">
      <c r="A21" t="s">
        <v>6</v>
      </c>
      <c r="C21" s="8">
        <f>D18</f>
        <v>130900</v>
      </c>
      <c r="E21" t="s">
        <v>10</v>
      </c>
      <c r="H21" s="6">
        <f>C30</f>
        <v>107810.4</v>
      </c>
    </row>
    <row r="23" spans="1:8" ht="15.75" x14ac:dyDescent="0.25">
      <c r="A23" t="s">
        <v>5</v>
      </c>
      <c r="B23" s="9" t="s">
        <v>7</v>
      </c>
      <c r="C23" s="8">
        <f>H18</f>
        <v>20900</v>
      </c>
      <c r="E23" s="13" t="s">
        <v>11</v>
      </c>
      <c r="F23" s="9" t="s">
        <v>12</v>
      </c>
      <c r="G23" s="15" t="s">
        <v>17</v>
      </c>
      <c r="H23" s="3">
        <f>-(F24*0.007)</f>
        <v>-3220</v>
      </c>
    </row>
    <row r="24" spans="1:8" x14ac:dyDescent="0.25">
      <c r="F24" s="21">
        <f>D3-H3</f>
        <v>460000</v>
      </c>
    </row>
    <row r="25" spans="1:8" ht="15.75" x14ac:dyDescent="0.25">
      <c r="A25" t="s">
        <v>8</v>
      </c>
      <c r="B25" s="9" t="s">
        <v>7</v>
      </c>
      <c r="C25" s="8">
        <f>D3*0.004</f>
        <v>2189.6</v>
      </c>
      <c r="F25" s="9" t="s">
        <v>13</v>
      </c>
      <c r="G25" s="16">
        <v>0.35</v>
      </c>
      <c r="H25" s="29">
        <f>-(F26*0.35)</f>
        <v>-37733.639999999992</v>
      </c>
    </row>
    <row r="26" spans="1:8" ht="15.75" thickBot="1" x14ac:dyDescent="0.3">
      <c r="F26" s="21">
        <f>H21</f>
        <v>107810.4</v>
      </c>
      <c r="H26" s="7"/>
    </row>
    <row r="27" spans="1:8" ht="15.75" x14ac:dyDescent="0.25">
      <c r="A27" t="s">
        <v>9</v>
      </c>
      <c r="B27" s="9" t="s">
        <v>7</v>
      </c>
      <c r="C27" s="10"/>
      <c r="G27" s="13" t="s">
        <v>14</v>
      </c>
      <c r="H27" s="6">
        <f>H21+H23+H25</f>
        <v>66856.760000000009</v>
      </c>
    </row>
    <row r="28" spans="1:8" ht="15.75" thickBot="1" x14ac:dyDescent="0.3">
      <c r="A28" s="16"/>
      <c r="B28" s="14"/>
      <c r="C28" s="7"/>
    </row>
    <row r="29" spans="1:8" x14ac:dyDescent="0.25">
      <c r="E29" t="s">
        <v>151</v>
      </c>
      <c r="H29" s="20">
        <f>H27*0.5</f>
        <v>33428.380000000005</v>
      </c>
    </row>
    <row r="30" spans="1:8" ht="15.75" x14ac:dyDescent="0.25">
      <c r="A30" t="s">
        <v>10</v>
      </c>
      <c r="C30" s="10">
        <f>C21-C23-C25-C27</f>
        <v>107810.4</v>
      </c>
      <c r="H30" s="18"/>
    </row>
    <row r="31" spans="1:8" x14ac:dyDescent="0.25">
      <c r="H31" s="3"/>
    </row>
    <row r="32" spans="1:8" x14ac:dyDescent="0.25">
      <c r="H32" s="18"/>
    </row>
  </sheetData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EF309-CEC0-435D-9703-557BD4ABB1F1}">
  <dimension ref="A1:H32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534</v>
      </c>
    </row>
    <row r="3" spans="1:8" ht="21" x14ac:dyDescent="0.35">
      <c r="A3" s="2" t="s">
        <v>1</v>
      </c>
      <c r="D3" s="11">
        <v>29512</v>
      </c>
      <c r="F3" s="12" t="s">
        <v>3</v>
      </c>
      <c r="H3" s="4">
        <f>(D3/1.19)*0.19</f>
        <v>4712</v>
      </c>
    </row>
    <row r="4" spans="1:8" x14ac:dyDescent="0.25">
      <c r="A4" s="13" t="s">
        <v>32</v>
      </c>
      <c r="C4" s="26">
        <v>685</v>
      </c>
    </row>
    <row r="5" spans="1:8" ht="21" x14ac:dyDescent="0.35">
      <c r="A5" s="2" t="s">
        <v>2</v>
      </c>
    </row>
    <row r="7" spans="1:8" ht="18.75" x14ac:dyDescent="0.3">
      <c r="A7" s="5" t="s">
        <v>185</v>
      </c>
      <c r="D7" s="4">
        <v>19040</v>
      </c>
      <c r="E7" s="25"/>
      <c r="H7" s="4">
        <f>(D7/1.19)*0.19</f>
        <v>3040</v>
      </c>
    </row>
    <row r="8" spans="1:8" ht="18.75" x14ac:dyDescent="0.3">
      <c r="A8" s="5"/>
      <c r="C8" s="3"/>
      <c r="D8" s="32"/>
      <c r="E8" s="25"/>
      <c r="H8" s="4"/>
    </row>
    <row r="9" spans="1:8" ht="18.75" x14ac:dyDescent="0.3">
      <c r="A9" s="5"/>
      <c r="C9" s="3"/>
      <c r="D9" s="28"/>
      <c r="E9" s="25"/>
      <c r="H9" s="28"/>
    </row>
    <row r="10" spans="1:8" ht="18.75" x14ac:dyDescent="0.3">
      <c r="A10" s="5"/>
      <c r="C10" s="3"/>
      <c r="D10" s="28"/>
      <c r="E10" s="25"/>
      <c r="H10" s="28"/>
    </row>
    <row r="11" spans="1:8" ht="19.5" thickBot="1" x14ac:dyDescent="0.35">
      <c r="A11" s="5"/>
      <c r="C11" s="3"/>
      <c r="D11" s="22"/>
      <c r="E11" s="25"/>
      <c r="H11" s="22"/>
    </row>
    <row r="12" spans="1:8" ht="18.75" customHeight="1" x14ac:dyDescent="0.3">
      <c r="D12" s="4">
        <f>SUM(D7:D11)</f>
        <v>19040</v>
      </c>
      <c r="H12" s="4">
        <f>SUM(H7:H11)</f>
        <v>3040</v>
      </c>
    </row>
    <row r="13" spans="1:8" ht="18.75" x14ac:dyDescent="0.3">
      <c r="A13" s="5"/>
      <c r="C13" s="3"/>
      <c r="D13" s="4"/>
      <c r="H13" s="4"/>
    </row>
    <row r="15" spans="1:8" ht="18.75" x14ac:dyDescent="0.3">
      <c r="A15" s="5"/>
      <c r="C15" s="3"/>
      <c r="D15" s="4"/>
      <c r="H15" s="4"/>
    </row>
    <row r="16" spans="1:8" ht="15.75" thickBot="1" x14ac:dyDescent="0.3">
      <c r="D16" s="7"/>
      <c r="H16" s="7"/>
    </row>
    <row r="18" spans="1:8" ht="18.75" x14ac:dyDescent="0.3">
      <c r="C18" t="s">
        <v>4</v>
      </c>
      <c r="D18" s="4">
        <f>D3-D12</f>
        <v>10472</v>
      </c>
      <c r="G18" t="s">
        <v>5</v>
      </c>
      <c r="H18" s="4">
        <f>H3-H12</f>
        <v>1672</v>
      </c>
    </row>
    <row r="21" spans="1:8" ht="15.75" x14ac:dyDescent="0.25">
      <c r="A21" t="s">
        <v>6</v>
      </c>
      <c r="C21" s="8">
        <f>D18</f>
        <v>10472</v>
      </c>
      <c r="E21" t="s">
        <v>10</v>
      </c>
      <c r="H21" s="6">
        <f>C30</f>
        <v>8681.9519999999993</v>
      </c>
    </row>
    <row r="23" spans="1:8" ht="15.75" x14ac:dyDescent="0.25">
      <c r="A23" t="s">
        <v>5</v>
      </c>
      <c r="B23" s="9" t="s">
        <v>7</v>
      </c>
      <c r="C23" s="8">
        <f>H18</f>
        <v>1672</v>
      </c>
      <c r="E23" s="13" t="s">
        <v>11</v>
      </c>
      <c r="F23" s="9" t="s">
        <v>12</v>
      </c>
      <c r="G23" s="15" t="s">
        <v>17</v>
      </c>
      <c r="H23" s="3">
        <f>-(F24*0.007)</f>
        <v>-173.6</v>
      </c>
    </row>
    <row r="24" spans="1:8" x14ac:dyDescent="0.25">
      <c r="F24" s="21">
        <f>D3-H3</f>
        <v>24800</v>
      </c>
    </row>
    <row r="25" spans="1:8" ht="15.75" x14ac:dyDescent="0.25">
      <c r="A25" t="s">
        <v>8</v>
      </c>
      <c r="B25" s="9" t="s">
        <v>7</v>
      </c>
      <c r="C25" s="8">
        <f>D3*0.004</f>
        <v>118.048</v>
      </c>
      <c r="F25" s="9" t="s">
        <v>13</v>
      </c>
      <c r="G25" s="16">
        <v>0.35</v>
      </c>
      <c r="H25" s="29">
        <f>-(F26*0.35)</f>
        <v>-3038.6831999999995</v>
      </c>
    </row>
    <row r="26" spans="1:8" ht="15.75" thickBot="1" x14ac:dyDescent="0.3">
      <c r="F26" s="21">
        <f>H21</f>
        <v>8681.9519999999993</v>
      </c>
      <c r="H26" s="7"/>
    </row>
    <row r="27" spans="1:8" ht="15.75" x14ac:dyDescent="0.25">
      <c r="A27" t="s">
        <v>9</v>
      </c>
      <c r="B27" s="9" t="s">
        <v>7</v>
      </c>
      <c r="C27" s="10"/>
      <c r="G27" s="13" t="s">
        <v>14</v>
      </c>
      <c r="H27" s="6">
        <f>H21+H23+H25</f>
        <v>5469.6687999999995</v>
      </c>
    </row>
    <row r="28" spans="1:8" ht="15.75" thickBot="1" x14ac:dyDescent="0.3">
      <c r="A28" s="16"/>
      <c r="B28" s="14"/>
      <c r="C28" s="7"/>
    </row>
    <row r="29" spans="1:8" x14ac:dyDescent="0.25">
      <c r="E29" t="s">
        <v>151</v>
      </c>
      <c r="H29" s="20">
        <f>H27*0.5</f>
        <v>2734.8343999999997</v>
      </c>
    </row>
    <row r="30" spans="1:8" ht="15.75" x14ac:dyDescent="0.25">
      <c r="A30" t="s">
        <v>10</v>
      </c>
      <c r="C30" s="10">
        <f>C21-C23-C25-C27</f>
        <v>8681.9519999999993</v>
      </c>
      <c r="H30" s="18"/>
    </row>
    <row r="31" spans="1:8" x14ac:dyDescent="0.25">
      <c r="H31" s="3"/>
    </row>
    <row r="32" spans="1:8" x14ac:dyDescent="0.25">
      <c r="H32" s="18"/>
    </row>
  </sheetData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81D10-702C-40A1-97F9-CF39912BBD88}">
  <dimension ref="A1:H32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535</v>
      </c>
    </row>
    <row r="3" spans="1:8" ht="21" x14ac:dyDescent="0.35">
      <c r="A3" s="2" t="s">
        <v>1</v>
      </c>
      <c r="D3" s="11">
        <v>7176055</v>
      </c>
      <c r="F3" s="12" t="s">
        <v>3</v>
      </c>
      <c r="H3" s="4">
        <v>1170344</v>
      </c>
    </row>
    <row r="4" spans="1:8" x14ac:dyDescent="0.25">
      <c r="A4" s="13" t="s">
        <v>32</v>
      </c>
      <c r="C4" s="26">
        <v>686</v>
      </c>
    </row>
    <row r="5" spans="1:8" ht="21" x14ac:dyDescent="0.35">
      <c r="A5" s="2" t="s">
        <v>2</v>
      </c>
      <c r="C5" t="s">
        <v>35</v>
      </c>
    </row>
    <row r="7" spans="1:8" ht="18.75" x14ac:dyDescent="0.3">
      <c r="A7" s="5" t="s">
        <v>408</v>
      </c>
      <c r="D7" s="4">
        <v>5031301</v>
      </c>
      <c r="E7" s="25"/>
      <c r="H7" s="4">
        <f>(D7/1.19)*0.19</f>
        <v>803316.96638655465</v>
      </c>
    </row>
    <row r="8" spans="1:8" ht="18.75" x14ac:dyDescent="0.3">
      <c r="A8" s="5" t="s">
        <v>536</v>
      </c>
      <c r="C8" s="3"/>
      <c r="D8" s="32">
        <v>100000</v>
      </c>
      <c r="E8" s="25"/>
      <c r="H8" s="4"/>
    </row>
    <row r="9" spans="1:8" ht="18.75" x14ac:dyDescent="0.3">
      <c r="A9" s="5" t="s">
        <v>141</v>
      </c>
      <c r="C9" s="3"/>
      <c r="D9" s="28">
        <v>160000</v>
      </c>
      <c r="E9" s="25"/>
      <c r="H9" s="28"/>
    </row>
    <row r="10" spans="1:8" ht="18.75" x14ac:dyDescent="0.3">
      <c r="A10" s="5"/>
      <c r="C10" s="3"/>
      <c r="D10" s="28"/>
      <c r="E10" s="25"/>
      <c r="H10" s="28"/>
    </row>
    <row r="11" spans="1:8" ht="19.5" thickBot="1" x14ac:dyDescent="0.35">
      <c r="A11" s="5"/>
      <c r="C11" s="3"/>
      <c r="D11" s="22"/>
      <c r="E11" s="25"/>
      <c r="H11" s="22"/>
    </row>
    <row r="12" spans="1:8" ht="18.75" customHeight="1" x14ac:dyDescent="0.3">
      <c r="D12" s="4">
        <f>SUM(D7:D11)</f>
        <v>5291301</v>
      </c>
      <c r="H12" s="4">
        <f>SUM(H7:H11)</f>
        <v>803316.96638655465</v>
      </c>
    </row>
    <row r="13" spans="1:8" ht="18.75" x14ac:dyDescent="0.3">
      <c r="A13" s="5"/>
      <c r="C13" s="3"/>
      <c r="D13" s="4"/>
      <c r="H13" s="4"/>
    </row>
    <row r="15" spans="1:8" ht="18.75" x14ac:dyDescent="0.3">
      <c r="A15" s="5"/>
      <c r="C15" s="3"/>
      <c r="D15" s="4"/>
      <c r="H15" s="4"/>
    </row>
    <row r="16" spans="1:8" ht="15.75" thickBot="1" x14ac:dyDescent="0.3">
      <c r="D16" s="7"/>
      <c r="H16" s="7"/>
    </row>
    <row r="18" spans="1:8" ht="18.75" x14ac:dyDescent="0.3">
      <c r="C18" t="s">
        <v>4</v>
      </c>
      <c r="D18" s="4">
        <f>D3-D12</f>
        <v>1884754</v>
      </c>
      <c r="G18" t="s">
        <v>5</v>
      </c>
      <c r="H18" s="4">
        <f>H3-H12</f>
        <v>367027.03361344535</v>
      </c>
    </row>
    <row r="21" spans="1:8" ht="15.75" x14ac:dyDescent="0.25">
      <c r="A21" t="s">
        <v>6</v>
      </c>
      <c r="C21" s="8">
        <f>D18</f>
        <v>1884754</v>
      </c>
      <c r="E21" t="s">
        <v>10</v>
      </c>
      <c r="H21" s="6">
        <f>C30</f>
        <v>1489022.7463865548</v>
      </c>
    </row>
    <row r="23" spans="1:8" ht="15.75" x14ac:dyDescent="0.25">
      <c r="A23" t="s">
        <v>5</v>
      </c>
      <c r="B23" s="9" t="s">
        <v>7</v>
      </c>
      <c r="C23" s="8">
        <f>H18</f>
        <v>367027.03361344535</v>
      </c>
      <c r="E23" s="13" t="s">
        <v>11</v>
      </c>
      <c r="F23" s="9" t="s">
        <v>12</v>
      </c>
      <c r="G23" s="15" t="s">
        <v>17</v>
      </c>
      <c r="H23" s="3">
        <f>-(F24*0.007)</f>
        <v>-43117.928</v>
      </c>
    </row>
    <row r="24" spans="1:8" x14ac:dyDescent="0.25">
      <c r="F24" s="21">
        <v>6159704</v>
      </c>
    </row>
    <row r="25" spans="1:8" ht="15.75" x14ac:dyDescent="0.25">
      <c r="A25" t="s">
        <v>8</v>
      </c>
      <c r="B25" s="9" t="s">
        <v>7</v>
      </c>
      <c r="C25" s="8">
        <f>D3*0.004</f>
        <v>28704.22</v>
      </c>
      <c r="F25" s="9" t="s">
        <v>13</v>
      </c>
      <c r="G25" s="16">
        <v>0.35</v>
      </c>
      <c r="H25" s="29">
        <f>-(F26*0.35)</f>
        <v>-521157.96123529412</v>
      </c>
    </row>
    <row r="26" spans="1:8" ht="15.75" thickBot="1" x14ac:dyDescent="0.3">
      <c r="F26" s="21">
        <f>H21</f>
        <v>1489022.7463865548</v>
      </c>
      <c r="H26" s="7"/>
    </row>
    <row r="27" spans="1:8" ht="15.75" x14ac:dyDescent="0.25">
      <c r="A27" t="s">
        <v>9</v>
      </c>
      <c r="B27" s="9" t="s">
        <v>7</v>
      </c>
      <c r="C27" s="10"/>
      <c r="G27" s="13" t="s">
        <v>14</v>
      </c>
      <c r="H27" s="6">
        <f>H21+H23+H25</f>
        <v>924746.8571512606</v>
      </c>
    </row>
    <row r="28" spans="1:8" ht="15.75" thickBot="1" x14ac:dyDescent="0.3">
      <c r="A28" s="16"/>
      <c r="B28" s="14"/>
      <c r="C28" s="7"/>
    </row>
    <row r="29" spans="1:8" x14ac:dyDescent="0.25">
      <c r="E29" t="s">
        <v>151</v>
      </c>
      <c r="H29" s="20">
        <f>H27*0.5</f>
        <v>462373.4285756303</v>
      </c>
    </row>
    <row r="30" spans="1:8" ht="15.75" x14ac:dyDescent="0.25">
      <c r="A30" t="s">
        <v>10</v>
      </c>
      <c r="C30" s="10">
        <f>C21-C23-C25-C27</f>
        <v>1489022.7463865548</v>
      </c>
      <c r="H30" s="18"/>
    </row>
    <row r="31" spans="1:8" x14ac:dyDescent="0.25">
      <c r="H31" s="3"/>
    </row>
    <row r="32" spans="1:8" x14ac:dyDescent="0.25">
      <c r="H32" s="18"/>
    </row>
  </sheetData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23653-B53D-4823-80BB-F3DCCD262BB5}">
  <dimension ref="A1:H32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537</v>
      </c>
    </row>
    <row r="3" spans="1:8" ht="21" x14ac:dyDescent="0.35">
      <c r="A3" s="2" t="s">
        <v>1</v>
      </c>
      <c r="D3" s="11">
        <v>440300</v>
      </c>
      <c r="F3" s="12" t="s">
        <v>3</v>
      </c>
      <c r="H3" s="4">
        <f>(D3/1.19)*0.19</f>
        <v>70300</v>
      </c>
    </row>
    <row r="4" spans="1:8" x14ac:dyDescent="0.25">
      <c r="A4" s="13" t="s">
        <v>32</v>
      </c>
      <c r="C4" s="26">
        <v>687</v>
      </c>
    </row>
    <row r="5" spans="1:8" ht="21" x14ac:dyDescent="0.35">
      <c r="A5" s="2" t="s">
        <v>2</v>
      </c>
    </row>
    <row r="7" spans="1:8" ht="18.75" x14ac:dyDescent="0.3">
      <c r="A7" s="5" t="s">
        <v>343</v>
      </c>
      <c r="D7" s="4">
        <v>310809</v>
      </c>
      <c r="E7" s="25"/>
      <c r="H7" s="4">
        <f>(D7/1.19)*0.19</f>
        <v>49624.966386554624</v>
      </c>
    </row>
    <row r="8" spans="1:8" ht="18.75" x14ac:dyDescent="0.3">
      <c r="A8" s="5"/>
      <c r="C8" s="3"/>
      <c r="D8" s="32"/>
      <c r="E8" s="25"/>
      <c r="H8" s="4"/>
    </row>
    <row r="9" spans="1:8" ht="18.75" x14ac:dyDescent="0.3">
      <c r="A9" s="5"/>
      <c r="C9" s="3"/>
      <c r="D9" s="28"/>
      <c r="E9" s="25"/>
      <c r="H9" s="28"/>
    </row>
    <row r="10" spans="1:8" ht="18.75" x14ac:dyDescent="0.3">
      <c r="A10" s="5"/>
      <c r="C10" s="3"/>
      <c r="D10" s="28"/>
      <c r="E10" s="25"/>
      <c r="H10" s="28"/>
    </row>
    <row r="11" spans="1:8" ht="19.5" thickBot="1" x14ac:dyDescent="0.35">
      <c r="A11" s="5"/>
      <c r="C11" s="3"/>
      <c r="D11" s="22"/>
      <c r="E11" s="25"/>
      <c r="H11" s="22"/>
    </row>
    <row r="12" spans="1:8" ht="18.75" customHeight="1" x14ac:dyDescent="0.3">
      <c r="D12" s="4">
        <f>SUM(D7:D11)</f>
        <v>310809</v>
      </c>
      <c r="H12" s="4">
        <f>SUM(H7:H11)</f>
        <v>49624.966386554624</v>
      </c>
    </row>
    <row r="13" spans="1:8" ht="18.75" x14ac:dyDescent="0.3">
      <c r="A13" s="5"/>
      <c r="C13" s="3"/>
      <c r="D13" s="4"/>
      <c r="H13" s="4"/>
    </row>
    <row r="15" spans="1:8" ht="18.75" x14ac:dyDescent="0.3">
      <c r="A15" s="5"/>
      <c r="C15" s="3"/>
      <c r="D15" s="4"/>
      <c r="H15" s="4"/>
    </row>
    <row r="16" spans="1:8" ht="15.75" thickBot="1" x14ac:dyDescent="0.3">
      <c r="D16" s="7"/>
      <c r="H16" s="7"/>
    </row>
    <row r="18" spans="1:8" ht="18.75" x14ac:dyDescent="0.3">
      <c r="C18" t="s">
        <v>4</v>
      </c>
      <c r="D18" s="4">
        <f>D3-D12</f>
        <v>129491</v>
      </c>
      <c r="G18" t="s">
        <v>5</v>
      </c>
      <c r="H18" s="4">
        <f>H3-H12</f>
        <v>20675.033613445376</v>
      </c>
    </row>
    <row r="21" spans="1:8" ht="15.75" x14ac:dyDescent="0.25">
      <c r="A21" t="s">
        <v>6</v>
      </c>
      <c r="C21" s="8">
        <f>D18</f>
        <v>129491</v>
      </c>
      <c r="E21" t="s">
        <v>10</v>
      </c>
      <c r="H21" s="6">
        <f>C30</f>
        <v>107054.76638655462</v>
      </c>
    </row>
    <row r="23" spans="1:8" ht="15.75" x14ac:dyDescent="0.25">
      <c r="A23" t="s">
        <v>5</v>
      </c>
      <c r="B23" s="9" t="s">
        <v>7</v>
      </c>
      <c r="C23" s="8">
        <f>H18</f>
        <v>20675.033613445376</v>
      </c>
      <c r="E23" s="13" t="s">
        <v>11</v>
      </c>
      <c r="F23" s="9" t="s">
        <v>12</v>
      </c>
      <c r="G23" s="15" t="s">
        <v>17</v>
      </c>
      <c r="H23" s="3">
        <f>-(F24*0.007)</f>
        <v>-2590</v>
      </c>
    </row>
    <row r="24" spans="1:8" x14ac:dyDescent="0.25">
      <c r="F24" s="21">
        <f>D3-H3</f>
        <v>370000</v>
      </c>
    </row>
    <row r="25" spans="1:8" ht="15.75" x14ac:dyDescent="0.25">
      <c r="A25" t="s">
        <v>8</v>
      </c>
      <c r="B25" s="9" t="s">
        <v>7</v>
      </c>
      <c r="C25" s="8">
        <f>D3*0.004</f>
        <v>1761.2</v>
      </c>
      <c r="F25" s="9" t="s">
        <v>13</v>
      </c>
      <c r="G25" s="16">
        <v>0.35</v>
      </c>
      <c r="H25" s="29">
        <f>-(F26*0.35)</f>
        <v>-37469.168235294113</v>
      </c>
    </row>
    <row r="26" spans="1:8" ht="15.75" thickBot="1" x14ac:dyDescent="0.3">
      <c r="F26" s="21">
        <f>H21</f>
        <v>107054.76638655462</v>
      </c>
      <c r="H26" s="7"/>
    </row>
    <row r="27" spans="1:8" ht="15.75" x14ac:dyDescent="0.25">
      <c r="A27" t="s">
        <v>9</v>
      </c>
      <c r="B27" s="9" t="s">
        <v>7</v>
      </c>
      <c r="C27" s="10"/>
      <c r="G27" s="13" t="s">
        <v>14</v>
      </c>
      <c r="H27" s="6">
        <f>H21+H23+H25</f>
        <v>66995.598151260507</v>
      </c>
    </row>
    <row r="28" spans="1:8" ht="15.75" thickBot="1" x14ac:dyDescent="0.3">
      <c r="A28" s="16"/>
      <c r="B28" s="14"/>
      <c r="C28" s="7"/>
    </row>
    <row r="29" spans="1:8" x14ac:dyDescent="0.25">
      <c r="E29" t="s">
        <v>151</v>
      </c>
      <c r="H29" s="20">
        <f>H27*0.5</f>
        <v>33497.799075630253</v>
      </c>
    </row>
    <row r="30" spans="1:8" ht="15.75" x14ac:dyDescent="0.25">
      <c r="A30" t="s">
        <v>10</v>
      </c>
      <c r="C30" s="10">
        <f>C21-C23-C25-C27</f>
        <v>107054.76638655462</v>
      </c>
      <c r="H30" s="18"/>
    </row>
    <row r="31" spans="1:8" x14ac:dyDescent="0.25">
      <c r="H31" s="3"/>
    </row>
    <row r="32" spans="1:8" x14ac:dyDescent="0.25">
      <c r="H32" s="18"/>
    </row>
  </sheetData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D24C4-0F8F-4F80-8D61-0315B04797AA}">
  <dimension ref="A1:H32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538</v>
      </c>
    </row>
    <row r="3" spans="1:8" ht="21" x14ac:dyDescent="0.35">
      <c r="A3" s="2" t="s">
        <v>1</v>
      </c>
      <c r="D3" s="11">
        <v>1856400</v>
      </c>
      <c r="F3" s="12" t="s">
        <v>3</v>
      </c>
      <c r="H3" s="4">
        <f>(D3/1.19)*0.19</f>
        <v>296400</v>
      </c>
    </row>
    <row r="4" spans="1:8" x14ac:dyDescent="0.25">
      <c r="A4" s="13" t="s">
        <v>32</v>
      </c>
      <c r="C4" s="26">
        <v>688</v>
      </c>
    </row>
    <row r="5" spans="1:8" ht="21" x14ac:dyDescent="0.35">
      <c r="A5" s="2" t="s">
        <v>2</v>
      </c>
    </row>
    <row r="7" spans="1:8" ht="18.75" x14ac:dyDescent="0.3">
      <c r="A7" s="5" t="s">
        <v>106</v>
      </c>
      <c r="D7" s="4">
        <v>691576</v>
      </c>
      <c r="E7" s="25"/>
      <c r="H7" s="4">
        <f>(D7/1.19)*0.19</f>
        <v>110419.6974789916</v>
      </c>
    </row>
    <row r="8" spans="1:8" ht="18.75" x14ac:dyDescent="0.3">
      <c r="A8" s="5" t="s">
        <v>539</v>
      </c>
      <c r="C8" s="3"/>
      <c r="D8" s="32">
        <v>691580</v>
      </c>
      <c r="E8" s="25"/>
      <c r="H8" s="4">
        <f>(D8/1.19)*0.19</f>
        <v>110420.33613445378</v>
      </c>
    </row>
    <row r="9" spans="1:8" ht="18.75" x14ac:dyDescent="0.3">
      <c r="A9" s="5" t="s">
        <v>540</v>
      </c>
      <c r="C9" s="3"/>
      <c r="D9" s="28">
        <v>30000</v>
      </c>
      <c r="E9" s="25"/>
      <c r="H9" s="28"/>
    </row>
    <row r="10" spans="1:8" ht="18.75" x14ac:dyDescent="0.3">
      <c r="A10" s="5"/>
      <c r="C10" s="3"/>
      <c r="D10" s="28"/>
      <c r="E10" s="25"/>
      <c r="H10" s="28"/>
    </row>
    <row r="11" spans="1:8" ht="19.5" thickBot="1" x14ac:dyDescent="0.35">
      <c r="A11" s="5"/>
      <c r="C11" s="3"/>
      <c r="D11" s="22"/>
      <c r="E11" s="25"/>
      <c r="H11" s="22"/>
    </row>
    <row r="12" spans="1:8" ht="18.75" customHeight="1" x14ac:dyDescent="0.3">
      <c r="D12" s="4">
        <f>SUM(D7:D11)</f>
        <v>1413156</v>
      </c>
      <c r="H12" s="4">
        <f>SUM(H7:H11)</f>
        <v>220840.03361344538</v>
      </c>
    </row>
    <row r="13" spans="1:8" ht="18.75" x14ac:dyDescent="0.3">
      <c r="A13" s="5"/>
      <c r="C13" s="3"/>
      <c r="D13" s="4"/>
      <c r="H13" s="4"/>
    </row>
    <row r="15" spans="1:8" ht="18.75" x14ac:dyDescent="0.3">
      <c r="A15" s="5"/>
      <c r="C15" s="3"/>
      <c r="D15" s="4"/>
      <c r="H15" s="4"/>
    </row>
    <row r="16" spans="1:8" ht="15.75" thickBot="1" x14ac:dyDescent="0.3">
      <c r="D16" s="7"/>
      <c r="H16" s="7"/>
    </row>
    <row r="18" spans="1:8" ht="18.75" x14ac:dyDescent="0.3">
      <c r="C18" t="s">
        <v>4</v>
      </c>
      <c r="D18" s="4">
        <f>D3-D12</f>
        <v>443244</v>
      </c>
      <c r="G18" t="s">
        <v>5</v>
      </c>
      <c r="H18" s="4">
        <f>H3-H12</f>
        <v>75559.966386554617</v>
      </c>
    </row>
    <row r="21" spans="1:8" ht="15.75" x14ac:dyDescent="0.25">
      <c r="A21" t="s">
        <v>6</v>
      </c>
      <c r="C21" s="8">
        <f>D18</f>
        <v>443244</v>
      </c>
      <c r="E21" t="s">
        <v>10</v>
      </c>
      <c r="H21" s="6">
        <f>C30</f>
        <v>360258.43361344538</v>
      </c>
    </row>
    <row r="23" spans="1:8" ht="15.75" x14ac:dyDescent="0.25">
      <c r="A23" t="s">
        <v>5</v>
      </c>
      <c r="B23" s="9" t="s">
        <v>7</v>
      </c>
      <c r="C23" s="8">
        <f>H18</f>
        <v>75559.966386554617</v>
      </c>
      <c r="E23" s="13" t="s">
        <v>11</v>
      </c>
      <c r="F23" s="9" t="s">
        <v>12</v>
      </c>
      <c r="G23" s="15" t="s">
        <v>17</v>
      </c>
      <c r="H23" s="3">
        <f>-(F24*0.007)</f>
        <v>-10920</v>
      </c>
    </row>
    <row r="24" spans="1:8" x14ac:dyDescent="0.25">
      <c r="F24" s="21">
        <f>D3-H3</f>
        <v>1560000</v>
      </c>
    </row>
    <row r="25" spans="1:8" ht="15.75" x14ac:dyDescent="0.25">
      <c r="A25" t="s">
        <v>8</v>
      </c>
      <c r="B25" s="9" t="s">
        <v>7</v>
      </c>
      <c r="C25" s="8">
        <f>D3*0.004</f>
        <v>7425.6</v>
      </c>
      <c r="F25" s="9" t="s">
        <v>13</v>
      </c>
      <c r="G25" s="16">
        <v>0.35</v>
      </c>
      <c r="H25" s="29">
        <f>-(F26*0.35)</f>
        <v>-126090.45176470587</v>
      </c>
    </row>
    <row r="26" spans="1:8" ht="15.75" thickBot="1" x14ac:dyDescent="0.3">
      <c r="F26" s="21">
        <f>H21</f>
        <v>360258.43361344538</v>
      </c>
      <c r="H26" s="7"/>
    </row>
    <row r="27" spans="1:8" ht="15.75" x14ac:dyDescent="0.25">
      <c r="A27" t="s">
        <v>9</v>
      </c>
      <c r="B27" s="9" t="s">
        <v>7</v>
      </c>
      <c r="C27" s="10"/>
      <c r="G27" s="13" t="s">
        <v>14</v>
      </c>
      <c r="H27" s="6">
        <f>H21+H23+H25</f>
        <v>223247.9818487395</v>
      </c>
    </row>
    <row r="28" spans="1:8" ht="15.75" thickBot="1" x14ac:dyDescent="0.3">
      <c r="A28" s="16"/>
      <c r="B28" s="14"/>
      <c r="C28" s="7"/>
    </row>
    <row r="29" spans="1:8" x14ac:dyDescent="0.25">
      <c r="E29" t="s">
        <v>151</v>
      </c>
      <c r="H29" s="20">
        <f>H27*0.5</f>
        <v>111623.99092436975</v>
      </c>
    </row>
    <row r="30" spans="1:8" ht="15.75" x14ac:dyDescent="0.25">
      <c r="A30" t="s">
        <v>10</v>
      </c>
      <c r="C30" s="10">
        <f>C21-C23-C25-C27</f>
        <v>360258.43361344538</v>
      </c>
      <c r="H30" s="18"/>
    </row>
    <row r="31" spans="1:8" x14ac:dyDescent="0.25">
      <c r="H31" s="3"/>
    </row>
    <row r="32" spans="1:8" x14ac:dyDescent="0.25">
      <c r="H32" s="18"/>
    </row>
  </sheetData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FBBE9-20E5-447B-94FD-2A249FB15ED8}">
  <dimension ref="A1:H32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537</v>
      </c>
    </row>
    <row r="3" spans="1:8" ht="21" x14ac:dyDescent="0.35">
      <c r="A3" s="2" t="s">
        <v>1</v>
      </c>
      <c r="D3" s="11">
        <v>190400</v>
      </c>
      <c r="F3" s="12" t="s">
        <v>3</v>
      </c>
      <c r="H3" s="4">
        <f>(D3/1.19)*0.19</f>
        <v>30400</v>
      </c>
    </row>
    <row r="4" spans="1:8" x14ac:dyDescent="0.25">
      <c r="A4" s="13" t="s">
        <v>32</v>
      </c>
      <c r="C4" s="26">
        <v>689</v>
      </c>
    </row>
    <row r="5" spans="1:8" ht="21" x14ac:dyDescent="0.35">
      <c r="A5" s="2" t="s">
        <v>2</v>
      </c>
    </row>
    <row r="7" spans="1:8" ht="18.75" x14ac:dyDescent="0.3">
      <c r="A7" s="5" t="s">
        <v>484</v>
      </c>
      <c r="D7" s="4">
        <v>123963</v>
      </c>
      <c r="E7" s="25"/>
      <c r="H7" s="4">
        <f>(D7/1.19)*0.19</f>
        <v>19792.411764705885</v>
      </c>
    </row>
    <row r="8" spans="1:8" ht="18.75" x14ac:dyDescent="0.3">
      <c r="A8" s="5"/>
      <c r="C8" s="3"/>
      <c r="D8" s="32"/>
      <c r="E8" s="25"/>
      <c r="H8" s="4"/>
    </row>
    <row r="9" spans="1:8" ht="18.75" x14ac:dyDescent="0.3">
      <c r="A9" s="5"/>
      <c r="C9" s="3"/>
      <c r="D9" s="28"/>
      <c r="E9" s="25"/>
      <c r="H9" s="28"/>
    </row>
    <row r="10" spans="1:8" ht="18.75" x14ac:dyDescent="0.3">
      <c r="A10" s="5"/>
      <c r="C10" s="3"/>
      <c r="D10" s="28"/>
      <c r="E10" s="25"/>
      <c r="H10" s="28"/>
    </row>
    <row r="11" spans="1:8" ht="19.5" thickBot="1" x14ac:dyDescent="0.35">
      <c r="A11" s="5"/>
      <c r="C11" s="3"/>
      <c r="D11" s="22"/>
      <c r="E11" s="25"/>
      <c r="H11" s="22"/>
    </row>
    <row r="12" spans="1:8" ht="18.75" customHeight="1" x14ac:dyDescent="0.3">
      <c r="D12" s="4">
        <f>SUM(D7:D11)</f>
        <v>123963</v>
      </c>
      <c r="H12" s="4">
        <f>SUM(H7:H11)</f>
        <v>19792.411764705885</v>
      </c>
    </row>
    <row r="13" spans="1:8" ht="18.75" x14ac:dyDescent="0.3">
      <c r="A13" s="5"/>
      <c r="C13" s="3"/>
      <c r="D13" s="4"/>
      <c r="H13" s="4"/>
    </row>
    <row r="15" spans="1:8" ht="18.75" x14ac:dyDescent="0.3">
      <c r="A15" s="5"/>
      <c r="C15" s="3"/>
      <c r="D15" s="4"/>
      <c r="H15" s="4"/>
    </row>
    <row r="16" spans="1:8" ht="15.75" thickBot="1" x14ac:dyDescent="0.3">
      <c r="D16" s="7"/>
      <c r="H16" s="7"/>
    </row>
    <row r="18" spans="1:8" ht="18.75" x14ac:dyDescent="0.3">
      <c r="C18" t="s">
        <v>4</v>
      </c>
      <c r="D18" s="4">
        <f>D3-D12</f>
        <v>66437</v>
      </c>
      <c r="G18" t="s">
        <v>5</v>
      </c>
      <c r="H18" s="4">
        <f>H3-H12</f>
        <v>10607.588235294115</v>
      </c>
    </row>
    <row r="21" spans="1:8" ht="15.75" x14ac:dyDescent="0.25">
      <c r="A21" t="s">
        <v>6</v>
      </c>
      <c r="C21" s="8">
        <f>D18</f>
        <v>66437</v>
      </c>
      <c r="E21" t="s">
        <v>10</v>
      </c>
      <c r="H21" s="6">
        <f>C30</f>
        <v>55067.81176470589</v>
      </c>
    </row>
    <row r="23" spans="1:8" ht="15.75" x14ac:dyDescent="0.25">
      <c r="A23" t="s">
        <v>5</v>
      </c>
      <c r="B23" s="9" t="s">
        <v>7</v>
      </c>
      <c r="C23" s="8">
        <f>H18</f>
        <v>10607.588235294115</v>
      </c>
      <c r="E23" s="13" t="s">
        <v>11</v>
      </c>
      <c r="F23" s="9" t="s">
        <v>12</v>
      </c>
      <c r="G23" s="15" t="s">
        <v>17</v>
      </c>
      <c r="H23" s="3">
        <f>-(F24*0.007)</f>
        <v>-1120</v>
      </c>
    </row>
    <row r="24" spans="1:8" x14ac:dyDescent="0.25">
      <c r="F24" s="21">
        <f>D3-H3</f>
        <v>160000</v>
      </c>
    </row>
    <row r="25" spans="1:8" ht="15.75" x14ac:dyDescent="0.25">
      <c r="A25" t="s">
        <v>8</v>
      </c>
      <c r="B25" s="9" t="s">
        <v>7</v>
      </c>
      <c r="C25" s="8">
        <f>D3*0.004</f>
        <v>761.6</v>
      </c>
      <c r="F25" s="9" t="s">
        <v>13</v>
      </c>
      <c r="G25" s="16">
        <v>0.35</v>
      </c>
      <c r="H25" s="29">
        <f>-(F26*0.35)</f>
        <v>-19273.734117647062</v>
      </c>
    </row>
    <row r="26" spans="1:8" ht="15.75" thickBot="1" x14ac:dyDescent="0.3">
      <c r="F26" s="21">
        <f>H21</f>
        <v>55067.81176470589</v>
      </c>
      <c r="H26" s="7"/>
    </row>
    <row r="27" spans="1:8" ht="15.75" x14ac:dyDescent="0.25">
      <c r="A27" t="s">
        <v>9</v>
      </c>
      <c r="B27" s="9" t="s">
        <v>7</v>
      </c>
      <c r="C27" s="10"/>
      <c r="G27" s="13" t="s">
        <v>14</v>
      </c>
      <c r="H27" s="6">
        <f>H21+H23+H25</f>
        <v>34674.077647058832</v>
      </c>
    </row>
    <row r="28" spans="1:8" ht="15.75" thickBot="1" x14ac:dyDescent="0.3">
      <c r="A28" s="16"/>
      <c r="B28" s="14"/>
      <c r="C28" s="7"/>
    </row>
    <row r="29" spans="1:8" x14ac:dyDescent="0.25">
      <c r="E29" t="s">
        <v>151</v>
      </c>
      <c r="H29" s="20">
        <f>H27*0.5</f>
        <v>17337.038823529416</v>
      </c>
    </row>
    <row r="30" spans="1:8" ht="15.75" x14ac:dyDescent="0.25">
      <c r="A30" t="s">
        <v>10</v>
      </c>
      <c r="C30" s="10">
        <f>C21-C23-C25-C27</f>
        <v>55067.81176470589</v>
      </c>
      <c r="H30" s="18"/>
    </row>
    <row r="31" spans="1:8" x14ac:dyDescent="0.25">
      <c r="H31" s="3"/>
    </row>
    <row r="32" spans="1:8" x14ac:dyDescent="0.25">
      <c r="H32" s="18"/>
    </row>
  </sheetData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DA60C-8915-420F-BFA6-C5E6DE7091B3}">
  <dimension ref="A1:H32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541</v>
      </c>
    </row>
    <row r="3" spans="1:8" ht="21" x14ac:dyDescent="0.35">
      <c r="A3" s="2" t="s">
        <v>1</v>
      </c>
      <c r="D3" s="11">
        <v>130662</v>
      </c>
      <c r="F3" s="12" t="s">
        <v>3</v>
      </c>
      <c r="H3" s="4">
        <f>(D3/1.19)*0.19</f>
        <v>20862</v>
      </c>
    </row>
    <row r="4" spans="1:8" x14ac:dyDescent="0.25">
      <c r="A4" s="13" t="s">
        <v>32</v>
      </c>
      <c r="C4" s="26">
        <v>690</v>
      </c>
    </row>
    <row r="5" spans="1:8" ht="21" x14ac:dyDescent="0.35">
      <c r="A5" s="2" t="s">
        <v>2</v>
      </c>
    </row>
    <row r="7" spans="1:8" ht="18.75" x14ac:dyDescent="0.3">
      <c r="A7" s="5" t="s">
        <v>542</v>
      </c>
      <c r="D7" s="4">
        <v>90414</v>
      </c>
      <c r="E7" s="25"/>
      <c r="H7" s="4">
        <f>(D7/1.19)*0.19</f>
        <v>14435.848739495799</v>
      </c>
    </row>
    <row r="8" spans="1:8" ht="18.75" x14ac:dyDescent="0.3">
      <c r="A8" s="5"/>
      <c r="C8" s="3"/>
      <c r="D8" s="32"/>
      <c r="E8" s="25"/>
      <c r="H8" s="4"/>
    </row>
    <row r="9" spans="1:8" ht="18.75" x14ac:dyDescent="0.3">
      <c r="A9" s="5"/>
      <c r="C9" s="3"/>
      <c r="D9" s="28"/>
      <c r="E9" s="25"/>
      <c r="H9" s="28"/>
    </row>
    <row r="10" spans="1:8" ht="18.75" x14ac:dyDescent="0.3">
      <c r="A10" s="5"/>
      <c r="C10" s="3"/>
      <c r="D10" s="28"/>
      <c r="E10" s="25"/>
      <c r="H10" s="28"/>
    </row>
    <row r="11" spans="1:8" ht="19.5" thickBot="1" x14ac:dyDescent="0.35">
      <c r="A11" s="5"/>
      <c r="C11" s="3"/>
      <c r="D11" s="22"/>
      <c r="E11" s="25"/>
      <c r="H11" s="22"/>
    </row>
    <row r="12" spans="1:8" ht="18.75" customHeight="1" x14ac:dyDescent="0.3">
      <c r="D12" s="4">
        <f>SUM(D7:D11)</f>
        <v>90414</v>
      </c>
      <c r="H12" s="4">
        <f>SUM(H7:H11)</f>
        <v>14435.848739495799</v>
      </c>
    </row>
    <row r="13" spans="1:8" ht="18.75" x14ac:dyDescent="0.3">
      <c r="A13" s="5"/>
      <c r="C13" s="3"/>
      <c r="D13" s="4"/>
      <c r="H13" s="4"/>
    </row>
    <row r="15" spans="1:8" ht="18.75" x14ac:dyDescent="0.3">
      <c r="A15" s="5"/>
      <c r="C15" s="3"/>
      <c r="D15" s="4"/>
      <c r="H15" s="4"/>
    </row>
    <row r="16" spans="1:8" ht="15.75" thickBot="1" x14ac:dyDescent="0.3">
      <c r="D16" s="7"/>
      <c r="H16" s="7"/>
    </row>
    <row r="18" spans="1:8" ht="18.75" x14ac:dyDescent="0.3">
      <c r="C18" t="s">
        <v>4</v>
      </c>
      <c r="D18" s="4">
        <f>D3-D12</f>
        <v>40248</v>
      </c>
      <c r="G18" t="s">
        <v>5</v>
      </c>
      <c r="H18" s="4">
        <f>H3-H12</f>
        <v>6426.1512605042008</v>
      </c>
    </row>
    <row r="21" spans="1:8" ht="15.75" x14ac:dyDescent="0.25">
      <c r="A21" t="s">
        <v>6</v>
      </c>
      <c r="C21" s="8">
        <f>D18</f>
        <v>40248</v>
      </c>
      <c r="E21" t="s">
        <v>10</v>
      </c>
      <c r="H21" s="6">
        <f>C30</f>
        <v>33299.200739495798</v>
      </c>
    </row>
    <row r="23" spans="1:8" ht="15.75" x14ac:dyDescent="0.25">
      <c r="A23" t="s">
        <v>5</v>
      </c>
      <c r="B23" s="9" t="s">
        <v>7</v>
      </c>
      <c r="C23" s="8">
        <f>H18</f>
        <v>6426.1512605042008</v>
      </c>
      <c r="E23" s="13" t="s">
        <v>11</v>
      </c>
      <c r="F23" s="9" t="s">
        <v>12</v>
      </c>
      <c r="G23" s="15" t="s">
        <v>17</v>
      </c>
      <c r="H23" s="3">
        <f>-(F24*0.007)</f>
        <v>-768.6</v>
      </c>
    </row>
    <row r="24" spans="1:8" x14ac:dyDescent="0.25">
      <c r="F24" s="21">
        <f>D3-H3</f>
        <v>109800</v>
      </c>
    </row>
    <row r="25" spans="1:8" ht="15.75" x14ac:dyDescent="0.25">
      <c r="A25" t="s">
        <v>8</v>
      </c>
      <c r="B25" s="9" t="s">
        <v>7</v>
      </c>
      <c r="C25" s="8">
        <f>D3*0.004</f>
        <v>522.64800000000002</v>
      </c>
      <c r="F25" s="9" t="s">
        <v>13</v>
      </c>
      <c r="G25" s="16">
        <v>0.35</v>
      </c>
      <c r="H25" s="29">
        <f>-(F26*0.35)</f>
        <v>-11654.720258823529</v>
      </c>
    </row>
    <row r="26" spans="1:8" ht="15.75" thickBot="1" x14ac:dyDescent="0.3">
      <c r="F26" s="21">
        <f>H21</f>
        <v>33299.200739495798</v>
      </c>
      <c r="H26" s="7"/>
    </row>
    <row r="27" spans="1:8" ht="15.75" x14ac:dyDescent="0.25">
      <c r="A27" t="s">
        <v>9</v>
      </c>
      <c r="B27" s="9" t="s">
        <v>7</v>
      </c>
      <c r="C27" s="10"/>
      <c r="G27" s="13" t="s">
        <v>14</v>
      </c>
      <c r="H27" s="6">
        <f>H21+H23+H25</f>
        <v>20875.880480672269</v>
      </c>
    </row>
    <row r="28" spans="1:8" ht="15.75" thickBot="1" x14ac:dyDescent="0.3">
      <c r="A28" s="16"/>
      <c r="B28" s="14"/>
      <c r="C28" s="7"/>
    </row>
    <row r="29" spans="1:8" x14ac:dyDescent="0.25">
      <c r="E29" t="s">
        <v>151</v>
      </c>
      <c r="H29" s="20">
        <f>H27*0.5</f>
        <v>10437.940240336135</v>
      </c>
    </row>
    <row r="30" spans="1:8" ht="15.75" x14ac:dyDescent="0.25">
      <c r="A30" t="s">
        <v>10</v>
      </c>
      <c r="C30" s="10">
        <f>C21-C23-C25-C27</f>
        <v>33299.200739495798</v>
      </c>
      <c r="H30" s="18"/>
    </row>
    <row r="31" spans="1:8" x14ac:dyDescent="0.25">
      <c r="H31" s="3"/>
    </row>
    <row r="32" spans="1:8" x14ac:dyDescent="0.25">
      <c r="H32" s="18"/>
    </row>
  </sheetData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570A4-6BAA-44C2-B1DE-10F2A2D8F55A}">
  <dimension ref="A1:H32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531</v>
      </c>
    </row>
    <row r="3" spans="1:8" ht="21" x14ac:dyDescent="0.35">
      <c r="A3" s="2" t="s">
        <v>1</v>
      </c>
      <c r="D3" s="11">
        <v>76160</v>
      </c>
      <c r="F3" s="12" t="s">
        <v>3</v>
      </c>
      <c r="H3" s="4">
        <f>(D3/1.19)*0.19</f>
        <v>12160</v>
      </c>
    </row>
    <row r="4" spans="1:8" x14ac:dyDescent="0.25">
      <c r="A4" s="13" t="s">
        <v>32</v>
      </c>
      <c r="C4" s="26">
        <v>691</v>
      </c>
    </row>
    <row r="5" spans="1:8" ht="21" x14ac:dyDescent="0.35">
      <c r="A5" s="2" t="s">
        <v>2</v>
      </c>
    </row>
    <row r="7" spans="1:8" ht="18.75" x14ac:dyDescent="0.3">
      <c r="A7" s="5" t="s">
        <v>542</v>
      </c>
      <c r="D7" s="4">
        <v>14863</v>
      </c>
      <c r="E7" s="25"/>
      <c r="H7" s="4">
        <f>(D7/1.19)*0.19</f>
        <v>2373.0840336134456</v>
      </c>
    </row>
    <row r="8" spans="1:8" ht="18.75" x14ac:dyDescent="0.3">
      <c r="A8" s="5"/>
      <c r="C8" s="3"/>
      <c r="D8" s="32"/>
      <c r="E8" s="25"/>
      <c r="H8" s="4"/>
    </row>
    <row r="9" spans="1:8" ht="18.75" x14ac:dyDescent="0.3">
      <c r="A9" s="5"/>
      <c r="C9" s="3"/>
      <c r="D9" s="28"/>
      <c r="E9" s="25"/>
      <c r="H9" s="28"/>
    </row>
    <row r="10" spans="1:8" ht="18.75" x14ac:dyDescent="0.3">
      <c r="A10" s="5"/>
      <c r="C10" s="3"/>
      <c r="D10" s="28"/>
      <c r="E10" s="25"/>
      <c r="H10" s="28"/>
    </row>
    <row r="11" spans="1:8" ht="19.5" thickBot="1" x14ac:dyDescent="0.35">
      <c r="A11" s="5"/>
      <c r="C11" s="3"/>
      <c r="D11" s="22"/>
      <c r="E11" s="25"/>
      <c r="H11" s="22"/>
    </row>
    <row r="12" spans="1:8" ht="18.75" customHeight="1" x14ac:dyDescent="0.3">
      <c r="D12" s="4">
        <f>SUM(D7:D11)</f>
        <v>14863</v>
      </c>
      <c r="H12" s="4">
        <f>SUM(H7:H11)</f>
        <v>2373.0840336134456</v>
      </c>
    </row>
    <row r="13" spans="1:8" ht="18.75" x14ac:dyDescent="0.3">
      <c r="A13" s="5"/>
      <c r="C13" s="3"/>
      <c r="D13" s="4"/>
      <c r="H13" s="4"/>
    </row>
    <row r="15" spans="1:8" ht="18.75" x14ac:dyDescent="0.3">
      <c r="A15" s="5"/>
      <c r="C15" s="3"/>
      <c r="D15" s="4"/>
      <c r="H15" s="4"/>
    </row>
    <row r="16" spans="1:8" ht="15.75" thickBot="1" x14ac:dyDescent="0.3">
      <c r="D16" s="7"/>
      <c r="H16" s="7"/>
    </row>
    <row r="18" spans="1:8" ht="18.75" x14ac:dyDescent="0.3">
      <c r="C18" t="s">
        <v>4</v>
      </c>
      <c r="D18" s="4">
        <f>D3-D12</f>
        <v>61297</v>
      </c>
      <c r="G18" t="s">
        <v>5</v>
      </c>
      <c r="H18" s="4">
        <f>H3-H12</f>
        <v>9786.9159663865539</v>
      </c>
    </row>
    <row r="21" spans="1:8" ht="15.75" x14ac:dyDescent="0.25">
      <c r="A21" t="s">
        <v>6</v>
      </c>
      <c r="C21" s="8">
        <f>D18</f>
        <v>61297</v>
      </c>
      <c r="E21" t="s">
        <v>10</v>
      </c>
      <c r="H21" s="6">
        <f>C30</f>
        <v>51205.444033613443</v>
      </c>
    </row>
    <row r="23" spans="1:8" ht="15.75" x14ac:dyDescent="0.25">
      <c r="A23" t="s">
        <v>5</v>
      </c>
      <c r="B23" s="9" t="s">
        <v>7</v>
      </c>
      <c r="C23" s="8">
        <f>H18</f>
        <v>9786.9159663865539</v>
      </c>
      <c r="E23" s="13" t="s">
        <v>11</v>
      </c>
      <c r="F23" s="9" t="s">
        <v>12</v>
      </c>
      <c r="G23" s="15" t="s">
        <v>17</v>
      </c>
      <c r="H23" s="3">
        <f>-(F24*0.007)</f>
        <v>-448</v>
      </c>
    </row>
    <row r="24" spans="1:8" x14ac:dyDescent="0.25">
      <c r="F24" s="21">
        <f>D3-H3</f>
        <v>64000</v>
      </c>
    </row>
    <row r="25" spans="1:8" ht="15.75" x14ac:dyDescent="0.25">
      <c r="A25" t="s">
        <v>8</v>
      </c>
      <c r="B25" s="9" t="s">
        <v>7</v>
      </c>
      <c r="C25" s="8">
        <f>D3*0.004</f>
        <v>304.64</v>
      </c>
      <c r="F25" s="9" t="s">
        <v>13</v>
      </c>
      <c r="G25" s="16">
        <v>0.35</v>
      </c>
      <c r="H25" s="29">
        <f>-(F26*0.35)</f>
        <v>-17921.905411764703</v>
      </c>
    </row>
    <row r="26" spans="1:8" ht="15.75" thickBot="1" x14ac:dyDescent="0.3">
      <c r="F26" s="21">
        <f>H21</f>
        <v>51205.444033613443</v>
      </c>
      <c r="H26" s="7"/>
    </row>
    <row r="27" spans="1:8" ht="15.75" x14ac:dyDescent="0.25">
      <c r="A27" t="s">
        <v>9</v>
      </c>
      <c r="B27" s="9" t="s">
        <v>7</v>
      </c>
      <c r="C27" s="10"/>
      <c r="G27" s="13" t="s">
        <v>14</v>
      </c>
      <c r="H27" s="6">
        <f>H21+H23+H25</f>
        <v>32835.53862184874</v>
      </c>
    </row>
    <row r="28" spans="1:8" ht="15.75" thickBot="1" x14ac:dyDescent="0.3">
      <c r="A28" s="16"/>
      <c r="B28" s="14"/>
      <c r="C28" s="7"/>
    </row>
    <row r="29" spans="1:8" x14ac:dyDescent="0.25">
      <c r="E29" t="s">
        <v>151</v>
      </c>
      <c r="H29" s="20">
        <f>H27*0.5</f>
        <v>16417.76931092437</v>
      </c>
    </row>
    <row r="30" spans="1:8" ht="15.75" x14ac:dyDescent="0.25">
      <c r="A30" t="s">
        <v>10</v>
      </c>
      <c r="C30" s="10">
        <f>C21-C23-C25-C27</f>
        <v>51205.444033613443</v>
      </c>
      <c r="H30" s="18"/>
    </row>
    <row r="31" spans="1:8" x14ac:dyDescent="0.25">
      <c r="H31" s="3"/>
    </row>
    <row r="32" spans="1:8" x14ac:dyDescent="0.25">
      <c r="H32" s="18"/>
    </row>
  </sheetData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EC743-64C7-46B6-85AD-3DCBB785A706}">
  <dimension ref="A1:J32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10" ht="23.25" x14ac:dyDescent="0.35">
      <c r="A1" s="1" t="s">
        <v>518</v>
      </c>
    </row>
    <row r="3" spans="1:10" ht="21" x14ac:dyDescent="0.35">
      <c r="A3" s="2" t="s">
        <v>1</v>
      </c>
      <c r="D3" s="11">
        <v>85680</v>
      </c>
      <c r="F3" s="12" t="s">
        <v>3</v>
      </c>
      <c r="H3" s="4">
        <f>(D3/1.19)*0.19</f>
        <v>13680</v>
      </c>
    </row>
    <row r="4" spans="1:10" x14ac:dyDescent="0.25">
      <c r="A4" s="13" t="s">
        <v>32</v>
      </c>
      <c r="C4" s="26">
        <v>693</v>
      </c>
    </row>
    <row r="5" spans="1:10" ht="21" x14ac:dyDescent="0.35">
      <c r="A5" s="2" t="s">
        <v>2</v>
      </c>
    </row>
    <row r="7" spans="1:10" ht="18.75" x14ac:dyDescent="0.3">
      <c r="A7" s="5" t="s">
        <v>542</v>
      </c>
      <c r="D7" s="4">
        <v>57920</v>
      </c>
      <c r="E7" s="25"/>
      <c r="H7" s="4">
        <f>(D7/1.19)*0.19</f>
        <v>9247.7310924369758</v>
      </c>
    </row>
    <row r="8" spans="1:10" ht="18.75" x14ac:dyDescent="0.3">
      <c r="A8" s="5"/>
      <c r="C8" s="3"/>
      <c r="D8" s="32"/>
      <c r="E8" s="25"/>
      <c r="H8" s="4"/>
    </row>
    <row r="9" spans="1:10" ht="18.75" x14ac:dyDescent="0.3">
      <c r="A9" s="5"/>
      <c r="C9" s="3"/>
      <c r="D9" s="28"/>
      <c r="E9" s="25"/>
      <c r="H9" s="28"/>
    </row>
    <row r="10" spans="1:10" ht="18.75" x14ac:dyDescent="0.3">
      <c r="A10" s="5"/>
      <c r="C10" s="3"/>
      <c r="D10" s="28"/>
      <c r="E10" s="25"/>
      <c r="H10" s="28"/>
    </row>
    <row r="11" spans="1:10" ht="19.5" thickBot="1" x14ac:dyDescent="0.35">
      <c r="A11" s="5"/>
      <c r="C11" s="3"/>
      <c r="D11" s="22"/>
      <c r="E11" s="25"/>
      <c r="H11" s="22"/>
    </row>
    <row r="12" spans="1:10" ht="18.75" customHeight="1" x14ac:dyDescent="0.3">
      <c r="D12" s="4">
        <f>SUM(D7:D11)</f>
        <v>57920</v>
      </c>
      <c r="H12" s="4">
        <f>SUM(H7:H11)</f>
        <v>9247.7310924369758</v>
      </c>
    </row>
    <row r="13" spans="1:10" ht="18.75" x14ac:dyDescent="0.3">
      <c r="A13" s="5"/>
      <c r="C13" s="3"/>
      <c r="D13" s="4"/>
      <c r="H13" s="4"/>
      <c r="J13" t="s">
        <v>543</v>
      </c>
    </row>
    <row r="15" spans="1:10" ht="18.75" x14ac:dyDescent="0.3">
      <c r="A15" s="5"/>
      <c r="C15" s="3"/>
      <c r="D15" s="4"/>
      <c r="H15" s="4"/>
    </row>
    <row r="16" spans="1:10" ht="15.75" thickBot="1" x14ac:dyDescent="0.3">
      <c r="D16" s="7"/>
      <c r="H16" s="7"/>
    </row>
    <row r="18" spans="1:8" ht="18.75" x14ac:dyDescent="0.3">
      <c r="C18" t="s">
        <v>4</v>
      </c>
      <c r="D18" s="4">
        <f>D3-D12</f>
        <v>27760</v>
      </c>
      <c r="G18" t="s">
        <v>5</v>
      </c>
      <c r="H18" s="4">
        <f>H3-H12</f>
        <v>4432.2689075630242</v>
      </c>
    </row>
    <row r="21" spans="1:8" ht="15.75" x14ac:dyDescent="0.25">
      <c r="A21" t="s">
        <v>6</v>
      </c>
      <c r="C21" s="8">
        <f>D18</f>
        <v>27760</v>
      </c>
      <c r="E21" t="s">
        <v>10</v>
      </c>
      <c r="H21" s="6">
        <f>C30</f>
        <v>22985.011092436973</v>
      </c>
    </row>
    <row r="23" spans="1:8" ht="15.75" x14ac:dyDescent="0.25">
      <c r="A23" t="s">
        <v>5</v>
      </c>
      <c r="B23" s="9" t="s">
        <v>7</v>
      </c>
      <c r="C23" s="8">
        <f>H18</f>
        <v>4432.2689075630242</v>
      </c>
      <c r="E23" s="13" t="s">
        <v>11</v>
      </c>
      <c r="F23" s="9" t="s">
        <v>12</v>
      </c>
      <c r="G23" s="15" t="s">
        <v>17</v>
      </c>
      <c r="H23" s="3">
        <f>-(F24*0.007)</f>
        <v>-504</v>
      </c>
    </row>
    <row r="24" spans="1:8" x14ac:dyDescent="0.25">
      <c r="F24" s="21">
        <f>D3-H3</f>
        <v>72000</v>
      </c>
    </row>
    <row r="25" spans="1:8" ht="15.75" x14ac:dyDescent="0.25">
      <c r="A25" t="s">
        <v>8</v>
      </c>
      <c r="B25" s="9" t="s">
        <v>7</v>
      </c>
      <c r="C25" s="8">
        <f>D3*0.004</f>
        <v>342.72</v>
      </c>
      <c r="F25" s="9" t="s">
        <v>13</v>
      </c>
      <c r="G25" s="16">
        <v>0.35</v>
      </c>
      <c r="H25" s="29">
        <f>-(F26*0.35)</f>
        <v>-8044.7538823529403</v>
      </c>
    </row>
    <row r="26" spans="1:8" ht="15.75" thickBot="1" x14ac:dyDescent="0.3">
      <c r="F26" s="21">
        <f>H21</f>
        <v>22985.011092436973</v>
      </c>
      <c r="H26" s="7"/>
    </row>
    <row r="27" spans="1:8" ht="15.75" x14ac:dyDescent="0.25">
      <c r="A27" t="s">
        <v>9</v>
      </c>
      <c r="B27" s="9" t="s">
        <v>7</v>
      </c>
      <c r="C27" s="10"/>
      <c r="G27" s="13" t="s">
        <v>14</v>
      </c>
      <c r="H27" s="6">
        <f>H21+H23+H25</f>
        <v>14436.257210084033</v>
      </c>
    </row>
    <row r="28" spans="1:8" ht="15.75" thickBot="1" x14ac:dyDescent="0.3">
      <c r="A28" s="16"/>
      <c r="B28" s="14"/>
      <c r="C28" s="7"/>
    </row>
    <row r="29" spans="1:8" x14ac:dyDescent="0.25">
      <c r="E29" t="s">
        <v>151</v>
      </c>
      <c r="H29" s="20">
        <f>H27*0.5</f>
        <v>7218.1286050420167</v>
      </c>
    </row>
    <row r="30" spans="1:8" ht="15.75" x14ac:dyDescent="0.25">
      <c r="A30" t="s">
        <v>10</v>
      </c>
      <c r="C30" s="10">
        <f>C21-C23-C25-C27</f>
        <v>22985.011092436973</v>
      </c>
      <c r="H30" s="18"/>
    </row>
    <row r="31" spans="1:8" x14ac:dyDescent="0.25">
      <c r="H31" s="3"/>
    </row>
    <row r="32" spans="1:8" x14ac:dyDescent="0.25">
      <c r="H32" s="18"/>
    </row>
  </sheetData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8CCA0-4F8E-4E40-B26D-CF969C001EAC}">
  <dimension ref="A1:J32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10" ht="23.25" x14ac:dyDescent="0.35">
      <c r="A1" s="1" t="s">
        <v>544</v>
      </c>
    </row>
    <row r="3" spans="1:10" ht="21" x14ac:dyDescent="0.35">
      <c r="A3" s="2" t="s">
        <v>1</v>
      </c>
      <c r="D3" s="11">
        <v>190400</v>
      </c>
      <c r="F3" s="12" t="s">
        <v>3</v>
      </c>
      <c r="H3" s="4">
        <f>(D3/1.19)*0.19</f>
        <v>30400</v>
      </c>
    </row>
    <row r="4" spans="1:10" x14ac:dyDescent="0.25">
      <c r="A4" s="13" t="s">
        <v>32</v>
      </c>
      <c r="C4" s="26">
        <v>694</v>
      </c>
    </row>
    <row r="5" spans="1:10" ht="21" x14ac:dyDescent="0.35">
      <c r="A5" s="2" t="s">
        <v>2</v>
      </c>
    </row>
    <row r="7" spans="1:10" ht="18.75" x14ac:dyDescent="0.3">
      <c r="A7" s="5" t="s">
        <v>545</v>
      </c>
      <c r="D7" s="4">
        <v>97000</v>
      </c>
      <c r="E7" s="25"/>
      <c r="H7" s="4"/>
    </row>
    <row r="8" spans="1:10" ht="18.75" x14ac:dyDescent="0.3">
      <c r="A8" s="5"/>
      <c r="C8" s="3"/>
      <c r="D8" s="32"/>
      <c r="E8" s="25"/>
      <c r="H8" s="4"/>
    </row>
    <row r="9" spans="1:10" ht="18.75" x14ac:dyDescent="0.3">
      <c r="A9" s="5"/>
      <c r="C9" s="3"/>
      <c r="D9" s="28"/>
      <c r="E9" s="25"/>
      <c r="H9" s="28"/>
    </row>
    <row r="10" spans="1:10" ht="18.75" x14ac:dyDescent="0.3">
      <c r="A10" s="5"/>
      <c r="C10" s="3"/>
      <c r="D10" s="28"/>
      <c r="E10" s="25"/>
      <c r="H10" s="28"/>
    </row>
    <row r="11" spans="1:10" ht="19.5" thickBot="1" x14ac:dyDescent="0.35">
      <c r="A11" s="5"/>
      <c r="C11" s="3"/>
      <c r="D11" s="22"/>
      <c r="E11" s="25"/>
      <c r="H11" s="22"/>
    </row>
    <row r="12" spans="1:10" ht="18.75" customHeight="1" x14ac:dyDescent="0.3">
      <c r="D12" s="4">
        <f>SUM(D7:D11)</f>
        <v>97000</v>
      </c>
      <c r="H12" s="4">
        <f>SUM(H7:H11)</f>
        <v>0</v>
      </c>
    </row>
    <row r="13" spans="1:10" ht="18.75" x14ac:dyDescent="0.3">
      <c r="A13" s="5"/>
      <c r="C13" s="3"/>
      <c r="D13" s="4"/>
      <c r="H13" s="4"/>
      <c r="J13" t="s">
        <v>543</v>
      </c>
    </row>
    <row r="15" spans="1:10" ht="18.75" x14ac:dyDescent="0.3">
      <c r="A15" s="5"/>
      <c r="C15" s="3"/>
      <c r="D15" s="4"/>
      <c r="H15" s="4"/>
    </row>
    <row r="16" spans="1:10" ht="15.75" thickBot="1" x14ac:dyDescent="0.3">
      <c r="D16" s="7"/>
      <c r="H16" s="7"/>
    </row>
    <row r="18" spans="1:8" ht="18.75" x14ac:dyDescent="0.3">
      <c r="C18" t="s">
        <v>4</v>
      </c>
      <c r="D18" s="4">
        <f>D3-D12</f>
        <v>93400</v>
      </c>
      <c r="G18" t="s">
        <v>5</v>
      </c>
      <c r="H18" s="4">
        <f>H3-H12</f>
        <v>30400</v>
      </c>
    </row>
    <row r="21" spans="1:8" ht="15.75" x14ac:dyDescent="0.25">
      <c r="A21" t="s">
        <v>6</v>
      </c>
      <c r="C21" s="8">
        <f>D18</f>
        <v>93400</v>
      </c>
      <c r="E21" t="s">
        <v>10</v>
      </c>
      <c r="H21" s="6">
        <f>C30</f>
        <v>62238.400000000001</v>
      </c>
    </row>
    <row r="23" spans="1:8" ht="15.75" x14ac:dyDescent="0.25">
      <c r="A23" t="s">
        <v>5</v>
      </c>
      <c r="B23" s="9" t="s">
        <v>7</v>
      </c>
      <c r="C23" s="8">
        <f>H18</f>
        <v>30400</v>
      </c>
      <c r="E23" s="13" t="s">
        <v>11</v>
      </c>
      <c r="F23" s="9" t="s">
        <v>12</v>
      </c>
      <c r="G23" s="15" t="s">
        <v>17</v>
      </c>
      <c r="H23" s="3">
        <f>-(F24*0.007)</f>
        <v>-1120</v>
      </c>
    </row>
    <row r="24" spans="1:8" x14ac:dyDescent="0.25">
      <c r="F24" s="21">
        <f>D3-H3</f>
        <v>160000</v>
      </c>
    </row>
    <row r="25" spans="1:8" ht="15.75" x14ac:dyDescent="0.25">
      <c r="A25" t="s">
        <v>8</v>
      </c>
      <c r="B25" s="9" t="s">
        <v>7</v>
      </c>
      <c r="C25" s="8">
        <f>D3*0.004</f>
        <v>761.6</v>
      </c>
      <c r="F25" s="9" t="s">
        <v>13</v>
      </c>
      <c r="G25" s="16">
        <v>0.35</v>
      </c>
      <c r="H25" s="29">
        <f>-(F26*0.35)</f>
        <v>-21783.439999999999</v>
      </c>
    </row>
    <row r="26" spans="1:8" ht="15.75" thickBot="1" x14ac:dyDescent="0.3">
      <c r="F26" s="21">
        <f>H21</f>
        <v>62238.400000000001</v>
      </c>
      <c r="H26" s="7"/>
    </row>
    <row r="27" spans="1:8" ht="15.75" x14ac:dyDescent="0.25">
      <c r="A27" t="s">
        <v>9</v>
      </c>
      <c r="B27" s="9" t="s">
        <v>7</v>
      </c>
      <c r="C27" s="10"/>
      <c r="G27" s="13" t="s">
        <v>14</v>
      </c>
      <c r="H27" s="6">
        <f>H21+H23+H25</f>
        <v>39334.960000000006</v>
      </c>
    </row>
    <row r="28" spans="1:8" ht="15.75" thickBot="1" x14ac:dyDescent="0.3">
      <c r="A28" s="16"/>
      <c r="B28" s="14"/>
      <c r="C28" s="7"/>
    </row>
    <row r="29" spans="1:8" x14ac:dyDescent="0.25">
      <c r="E29" t="s">
        <v>151</v>
      </c>
      <c r="H29" s="20">
        <f>H27*0.5</f>
        <v>19667.480000000003</v>
      </c>
    </row>
    <row r="30" spans="1:8" ht="15.75" x14ac:dyDescent="0.25">
      <c r="A30" t="s">
        <v>10</v>
      </c>
      <c r="C30" s="10">
        <f>C21-C23-C25-C27</f>
        <v>62238.400000000001</v>
      </c>
      <c r="H30" s="18"/>
    </row>
    <row r="31" spans="1:8" x14ac:dyDescent="0.25">
      <c r="H31" s="3"/>
    </row>
    <row r="32" spans="1:8" x14ac:dyDescent="0.25">
      <c r="H32" s="18"/>
    </row>
  </sheetData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06713-DC7C-4710-ADBB-5A89442C378E}">
  <dimension ref="A1:J32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10" ht="23.25" x14ac:dyDescent="0.35">
      <c r="A1" s="1" t="s">
        <v>546</v>
      </c>
    </row>
    <row r="3" spans="1:10" ht="21" x14ac:dyDescent="0.35">
      <c r="A3" s="2" t="s">
        <v>1</v>
      </c>
      <c r="D3" s="11">
        <v>48195</v>
      </c>
      <c r="F3" s="12" t="s">
        <v>3</v>
      </c>
      <c r="H3" s="4">
        <f>(D3/1.19)*0.19</f>
        <v>7695</v>
      </c>
    </row>
    <row r="4" spans="1:10" x14ac:dyDescent="0.25">
      <c r="A4" s="13" t="s">
        <v>32</v>
      </c>
      <c r="C4" s="26">
        <v>695</v>
      </c>
    </row>
    <row r="5" spans="1:10" ht="21" x14ac:dyDescent="0.35">
      <c r="A5" s="2" t="s">
        <v>2</v>
      </c>
    </row>
    <row r="7" spans="1:10" ht="18.75" x14ac:dyDescent="0.3">
      <c r="A7" s="5" t="s">
        <v>221</v>
      </c>
      <c r="D7" s="4">
        <v>27000</v>
      </c>
      <c r="E7" s="25"/>
      <c r="H7" s="4"/>
    </row>
    <row r="8" spans="1:10" ht="18.75" x14ac:dyDescent="0.3">
      <c r="A8" s="5"/>
      <c r="C8" s="3"/>
      <c r="D8" s="32"/>
      <c r="E8" s="25"/>
      <c r="H8" s="4"/>
    </row>
    <row r="9" spans="1:10" ht="18.75" x14ac:dyDescent="0.3">
      <c r="A9" s="5"/>
      <c r="C9" s="3"/>
      <c r="D9" s="28"/>
      <c r="E9" s="25"/>
      <c r="H9" s="28"/>
    </row>
    <row r="10" spans="1:10" ht="18.75" x14ac:dyDescent="0.3">
      <c r="A10" s="5"/>
      <c r="C10" s="3"/>
      <c r="D10" s="28"/>
      <c r="E10" s="25"/>
      <c r="H10" s="28"/>
    </row>
    <row r="11" spans="1:10" ht="19.5" thickBot="1" x14ac:dyDescent="0.35">
      <c r="A11" s="5"/>
      <c r="C11" s="3"/>
      <c r="D11" s="22"/>
      <c r="E11" s="25"/>
      <c r="H11" s="22"/>
    </row>
    <row r="12" spans="1:10" ht="18.75" customHeight="1" x14ac:dyDescent="0.3">
      <c r="D12" s="4">
        <f>SUM(D7:D11)</f>
        <v>27000</v>
      </c>
      <c r="H12" s="4">
        <f>SUM(H7:H11)</f>
        <v>0</v>
      </c>
    </row>
    <row r="13" spans="1:10" ht="18.75" x14ac:dyDescent="0.3">
      <c r="A13" s="5"/>
      <c r="C13" s="3"/>
      <c r="D13" s="4"/>
      <c r="H13" s="4"/>
      <c r="J13" t="s">
        <v>543</v>
      </c>
    </row>
    <row r="15" spans="1:10" ht="18.75" x14ac:dyDescent="0.3">
      <c r="A15" s="5"/>
      <c r="C15" s="3"/>
      <c r="D15" s="4"/>
      <c r="H15" s="4"/>
    </row>
    <row r="16" spans="1:10" ht="15.75" thickBot="1" x14ac:dyDescent="0.3">
      <c r="D16" s="7"/>
      <c r="H16" s="7"/>
    </row>
    <row r="18" spans="1:8" ht="18.75" x14ac:dyDescent="0.3">
      <c r="C18" t="s">
        <v>4</v>
      </c>
      <c r="D18" s="4">
        <f>D3-D12</f>
        <v>21195</v>
      </c>
      <c r="G18" t="s">
        <v>5</v>
      </c>
      <c r="H18" s="4">
        <f>H3-H12</f>
        <v>7695</v>
      </c>
    </row>
    <row r="21" spans="1:8" ht="15.75" x14ac:dyDescent="0.25">
      <c r="A21" t="s">
        <v>6</v>
      </c>
      <c r="C21" s="8">
        <f>D18</f>
        <v>21195</v>
      </c>
      <c r="E21" t="s">
        <v>10</v>
      </c>
      <c r="H21" s="6">
        <f>C30</f>
        <v>13307.22</v>
      </c>
    </row>
    <row r="23" spans="1:8" ht="15.75" x14ac:dyDescent="0.25">
      <c r="A23" t="s">
        <v>5</v>
      </c>
      <c r="B23" s="9" t="s">
        <v>7</v>
      </c>
      <c r="C23" s="8">
        <f>H18</f>
        <v>7695</v>
      </c>
      <c r="E23" s="13" t="s">
        <v>11</v>
      </c>
      <c r="F23" s="9" t="s">
        <v>12</v>
      </c>
      <c r="G23" s="15" t="s">
        <v>17</v>
      </c>
      <c r="H23" s="3">
        <f>-(F24*0.007)</f>
        <v>-283.5</v>
      </c>
    </row>
    <row r="24" spans="1:8" x14ac:dyDescent="0.25">
      <c r="F24" s="21">
        <f>D3-H3</f>
        <v>40500</v>
      </c>
    </row>
    <row r="25" spans="1:8" ht="15.75" x14ac:dyDescent="0.25">
      <c r="A25" t="s">
        <v>8</v>
      </c>
      <c r="B25" s="9" t="s">
        <v>7</v>
      </c>
      <c r="C25" s="8">
        <f>D3*0.004</f>
        <v>192.78</v>
      </c>
      <c r="F25" s="9" t="s">
        <v>13</v>
      </c>
      <c r="G25" s="16">
        <v>0.35</v>
      </c>
      <c r="H25" s="29">
        <f>-(F26*0.35)</f>
        <v>-4657.5269999999991</v>
      </c>
    </row>
    <row r="26" spans="1:8" ht="15.75" thickBot="1" x14ac:dyDescent="0.3">
      <c r="F26" s="21">
        <f>H21</f>
        <v>13307.22</v>
      </c>
      <c r="H26" s="7"/>
    </row>
    <row r="27" spans="1:8" ht="15.75" x14ac:dyDescent="0.25">
      <c r="A27" t="s">
        <v>9</v>
      </c>
      <c r="B27" s="9" t="s">
        <v>7</v>
      </c>
      <c r="C27" s="10"/>
      <c r="G27" s="13" t="s">
        <v>14</v>
      </c>
      <c r="H27" s="6">
        <f>H21+H23+H25</f>
        <v>8366.1929999999993</v>
      </c>
    </row>
    <row r="28" spans="1:8" ht="15.75" thickBot="1" x14ac:dyDescent="0.3">
      <c r="A28" s="16"/>
      <c r="B28" s="14"/>
      <c r="C28" s="7"/>
    </row>
    <row r="29" spans="1:8" x14ac:dyDescent="0.25">
      <c r="E29" t="s">
        <v>151</v>
      </c>
      <c r="H29" s="20">
        <f>H27*0.5</f>
        <v>4183.0964999999997</v>
      </c>
    </row>
    <row r="30" spans="1:8" ht="15.75" x14ac:dyDescent="0.25">
      <c r="A30" t="s">
        <v>10</v>
      </c>
      <c r="C30" s="10">
        <f>C21-C23-C25-C27</f>
        <v>13307.22</v>
      </c>
      <c r="H30" s="18"/>
    </row>
    <row r="31" spans="1:8" x14ac:dyDescent="0.25">
      <c r="H31" s="3"/>
    </row>
    <row r="32" spans="1:8" x14ac:dyDescent="0.25">
      <c r="H32" s="18"/>
    </row>
  </sheetData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F90F3-53B7-4577-8F5F-B91CC2CE23F7}">
  <dimension ref="A1:J32"/>
  <sheetViews>
    <sheetView workbookViewId="0">
      <selection activeCell="C4" sqref="C4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10" ht="23.25" x14ac:dyDescent="0.35">
      <c r="A1" s="1" t="s">
        <v>547</v>
      </c>
    </row>
    <row r="3" spans="1:10" ht="21" x14ac:dyDescent="0.35">
      <c r="A3" s="2" t="s">
        <v>1</v>
      </c>
      <c r="D3" s="11">
        <v>3435795</v>
      </c>
      <c r="F3" s="12" t="s">
        <v>3</v>
      </c>
      <c r="H3" s="4">
        <v>560344</v>
      </c>
    </row>
    <row r="4" spans="1:10" x14ac:dyDescent="0.25">
      <c r="A4" s="13" t="s">
        <v>32</v>
      </c>
      <c r="C4" s="26">
        <v>697</v>
      </c>
    </row>
    <row r="5" spans="1:10" ht="21" x14ac:dyDescent="0.35">
      <c r="A5" s="2" t="s">
        <v>2</v>
      </c>
    </row>
    <row r="7" spans="1:10" ht="18.75" x14ac:dyDescent="0.3">
      <c r="A7" s="5" t="s">
        <v>224</v>
      </c>
      <c r="D7" s="4">
        <v>2806258</v>
      </c>
      <c r="E7" s="25"/>
      <c r="H7" s="4">
        <f>(D7/1.19)*0.19</f>
        <v>448058</v>
      </c>
    </row>
    <row r="8" spans="1:10" ht="18.75" x14ac:dyDescent="0.3">
      <c r="A8" s="5"/>
      <c r="C8" s="3"/>
      <c r="D8" s="32"/>
      <c r="E8" s="25"/>
      <c r="H8" s="4">
        <v>0</v>
      </c>
    </row>
    <row r="9" spans="1:10" ht="18.75" x14ac:dyDescent="0.3">
      <c r="A9" s="5"/>
      <c r="C9" s="3"/>
      <c r="D9" s="28"/>
      <c r="E9" s="25"/>
      <c r="H9" s="4">
        <v>0</v>
      </c>
    </row>
    <row r="10" spans="1:10" ht="18.75" x14ac:dyDescent="0.3">
      <c r="A10" s="5"/>
      <c r="C10" s="3"/>
      <c r="D10" s="28"/>
      <c r="E10" s="25"/>
      <c r="H10" s="4">
        <v>0</v>
      </c>
    </row>
    <row r="11" spans="1:10" ht="19.5" thickBot="1" x14ac:dyDescent="0.35">
      <c r="A11" s="5"/>
      <c r="C11" s="3"/>
      <c r="D11" s="22"/>
      <c r="E11" s="25"/>
      <c r="H11" s="22">
        <v>0</v>
      </c>
    </row>
    <row r="12" spans="1:10" ht="18.75" customHeight="1" x14ac:dyDescent="0.3">
      <c r="D12" s="4">
        <f>SUM(D7:D11)</f>
        <v>2806258</v>
      </c>
      <c r="H12" s="4">
        <f>SUM(H7:H11)</f>
        <v>448058</v>
      </c>
    </row>
    <row r="13" spans="1:10" ht="18.75" x14ac:dyDescent="0.3">
      <c r="A13" s="5"/>
      <c r="C13" s="3"/>
      <c r="D13" s="4"/>
      <c r="H13" s="4"/>
      <c r="J13" t="s">
        <v>543</v>
      </c>
    </row>
    <row r="15" spans="1:10" ht="18.75" x14ac:dyDescent="0.3">
      <c r="A15" s="5"/>
      <c r="C15" s="3"/>
      <c r="D15" s="4"/>
      <c r="H15" s="4"/>
    </row>
    <row r="16" spans="1:10" ht="15.75" thickBot="1" x14ac:dyDescent="0.3">
      <c r="D16" s="7"/>
      <c r="H16" s="7"/>
    </row>
    <row r="18" spans="1:8" ht="18.75" x14ac:dyDescent="0.3">
      <c r="C18" t="s">
        <v>4</v>
      </c>
      <c r="D18" s="4">
        <f>D3-D12</f>
        <v>629537</v>
      </c>
      <c r="G18" t="s">
        <v>5</v>
      </c>
      <c r="H18" s="4">
        <f>H3-H12</f>
        <v>112286</v>
      </c>
    </row>
    <row r="21" spans="1:8" ht="15.75" x14ac:dyDescent="0.25">
      <c r="A21" t="s">
        <v>6</v>
      </c>
      <c r="C21" s="8">
        <f>D18</f>
        <v>629537</v>
      </c>
      <c r="E21" t="s">
        <v>10</v>
      </c>
      <c r="H21" s="6">
        <f>C30</f>
        <v>503507.82</v>
      </c>
    </row>
    <row r="23" spans="1:8" ht="15.75" x14ac:dyDescent="0.25">
      <c r="A23" t="s">
        <v>5</v>
      </c>
      <c r="B23" s="9" t="s">
        <v>7</v>
      </c>
      <c r="C23" s="8">
        <f>H18</f>
        <v>112286</v>
      </c>
      <c r="E23" s="13" t="s">
        <v>11</v>
      </c>
      <c r="F23" s="9" t="s">
        <v>12</v>
      </c>
      <c r="G23" s="15" t="s">
        <v>17</v>
      </c>
      <c r="H23" s="3">
        <f>-(F24*0.007)</f>
        <v>-20644.260000000002</v>
      </c>
    </row>
    <row r="24" spans="1:8" x14ac:dyDescent="0.25">
      <c r="F24" s="21">
        <v>2949180</v>
      </c>
    </row>
    <row r="25" spans="1:8" ht="15.75" x14ac:dyDescent="0.25">
      <c r="A25" t="s">
        <v>8</v>
      </c>
      <c r="B25" s="9" t="s">
        <v>7</v>
      </c>
      <c r="C25" s="8">
        <f>D3*0.004</f>
        <v>13743.18</v>
      </c>
      <c r="F25" s="9" t="s">
        <v>181</v>
      </c>
      <c r="G25" s="16">
        <v>0.35</v>
      </c>
      <c r="H25" s="29">
        <f>-(F26*0.35)</f>
        <v>-176227.73699999999</v>
      </c>
    </row>
    <row r="26" spans="1:8" ht="15.75" thickBot="1" x14ac:dyDescent="0.3">
      <c r="F26" s="21">
        <f>H21</f>
        <v>503507.82</v>
      </c>
      <c r="H26" s="7"/>
    </row>
    <row r="27" spans="1:8" ht="15.75" x14ac:dyDescent="0.25">
      <c r="A27" t="s">
        <v>9</v>
      </c>
      <c r="B27" s="9" t="s">
        <v>7</v>
      </c>
      <c r="C27" s="10"/>
      <c r="G27" s="13" t="s">
        <v>14</v>
      </c>
      <c r="H27" s="6">
        <f>H21+H23+H25</f>
        <v>306635.82299999997</v>
      </c>
    </row>
    <row r="28" spans="1:8" ht="15.75" thickBot="1" x14ac:dyDescent="0.3">
      <c r="A28" s="16"/>
      <c r="B28" s="14"/>
      <c r="C28" s="7"/>
    </row>
    <row r="29" spans="1:8" x14ac:dyDescent="0.25">
      <c r="E29" t="s">
        <v>151</v>
      </c>
      <c r="H29" s="20">
        <f>H27*0.5</f>
        <v>153317.91149999999</v>
      </c>
    </row>
    <row r="30" spans="1:8" ht="15.75" x14ac:dyDescent="0.25">
      <c r="A30" t="s">
        <v>10</v>
      </c>
      <c r="C30" s="10">
        <f>C21-C23-C25-C27</f>
        <v>503507.82</v>
      </c>
      <c r="H30" s="18"/>
    </row>
    <row r="31" spans="1:8" x14ac:dyDescent="0.25">
      <c r="H31" s="3"/>
    </row>
    <row r="32" spans="1:8" x14ac:dyDescent="0.25">
      <c r="H32" s="18"/>
    </row>
  </sheetData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FF3F0-2749-46CA-AFE1-3293AD873EF8}">
  <dimension ref="A1:H32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548</v>
      </c>
    </row>
    <row r="3" spans="1:8" ht="21" x14ac:dyDescent="0.35">
      <c r="A3" s="2" t="s">
        <v>1</v>
      </c>
      <c r="D3" s="11">
        <v>71400</v>
      </c>
      <c r="F3" s="12" t="s">
        <v>3</v>
      </c>
      <c r="H3" s="4">
        <f>(D3/1.19)*0.19</f>
        <v>11400</v>
      </c>
    </row>
    <row r="4" spans="1:8" x14ac:dyDescent="0.25">
      <c r="A4" s="13" t="s">
        <v>32</v>
      </c>
      <c r="C4" s="26">
        <v>700</v>
      </c>
    </row>
    <row r="5" spans="1:8" ht="21" x14ac:dyDescent="0.35">
      <c r="A5" s="2" t="s">
        <v>2</v>
      </c>
    </row>
    <row r="7" spans="1:8" ht="18.75" x14ac:dyDescent="0.3">
      <c r="A7" s="5" t="s">
        <v>408</v>
      </c>
      <c r="D7" s="4">
        <v>48455</v>
      </c>
      <c r="E7" s="25"/>
      <c r="H7" s="4">
        <f>(D7/1.19)*0.19</f>
        <v>7736.5126050420176</v>
      </c>
    </row>
    <row r="8" spans="1:8" ht="18.75" x14ac:dyDescent="0.3">
      <c r="A8" s="5"/>
      <c r="C8" s="3"/>
      <c r="D8" s="32"/>
      <c r="E8" s="25"/>
      <c r="H8" s="4"/>
    </row>
    <row r="9" spans="1:8" ht="18.75" x14ac:dyDescent="0.3">
      <c r="A9" s="5"/>
      <c r="C9" s="3"/>
      <c r="D9" s="28"/>
      <c r="E9" s="25"/>
      <c r="H9" s="28"/>
    </row>
    <row r="10" spans="1:8" ht="18.75" x14ac:dyDescent="0.3">
      <c r="A10" s="5"/>
      <c r="C10" s="3"/>
      <c r="D10" s="28"/>
      <c r="E10" s="25"/>
      <c r="H10" s="28"/>
    </row>
    <row r="11" spans="1:8" ht="19.5" thickBot="1" x14ac:dyDescent="0.35">
      <c r="A11" s="5"/>
      <c r="C11" s="3"/>
      <c r="D11" s="22"/>
      <c r="E11" s="25"/>
      <c r="H11" s="22"/>
    </row>
    <row r="12" spans="1:8" ht="18.75" customHeight="1" x14ac:dyDescent="0.3">
      <c r="D12" s="4">
        <f>SUM(D7:D11)</f>
        <v>48455</v>
      </c>
      <c r="H12" s="4">
        <f>SUM(H7:H11)</f>
        <v>7736.5126050420176</v>
      </c>
    </row>
    <row r="13" spans="1:8" ht="18.75" x14ac:dyDescent="0.3">
      <c r="A13" s="5"/>
      <c r="C13" s="3"/>
      <c r="D13" s="4"/>
      <c r="H13" s="4"/>
    </row>
    <row r="15" spans="1:8" ht="18.75" x14ac:dyDescent="0.3">
      <c r="A15" s="5"/>
      <c r="C15" s="3"/>
      <c r="D15" s="4"/>
      <c r="H15" s="4"/>
    </row>
    <row r="16" spans="1:8" ht="15.75" thickBot="1" x14ac:dyDescent="0.3">
      <c r="D16" s="7"/>
      <c r="H16" s="7"/>
    </row>
    <row r="18" spans="1:8" ht="18.75" x14ac:dyDescent="0.3">
      <c r="C18" t="s">
        <v>4</v>
      </c>
      <c r="D18" s="4">
        <f>D3-D12</f>
        <v>22945</v>
      </c>
      <c r="G18" t="s">
        <v>5</v>
      </c>
      <c r="H18" s="4">
        <f>H3-H12</f>
        <v>3663.4873949579824</v>
      </c>
    </row>
    <row r="21" spans="1:8" ht="15.75" x14ac:dyDescent="0.25">
      <c r="A21" t="s">
        <v>6</v>
      </c>
      <c r="C21" s="8">
        <f>D18</f>
        <v>22945</v>
      </c>
      <c r="E21" t="s">
        <v>10</v>
      </c>
      <c r="H21" s="6">
        <f>C30</f>
        <v>18995.91260504202</v>
      </c>
    </row>
    <row r="23" spans="1:8" ht="15.75" x14ac:dyDescent="0.25">
      <c r="A23" t="s">
        <v>5</v>
      </c>
      <c r="B23" s="9" t="s">
        <v>7</v>
      </c>
      <c r="C23" s="8">
        <f>H18</f>
        <v>3663.4873949579824</v>
      </c>
      <c r="E23" s="13" t="s">
        <v>11</v>
      </c>
      <c r="F23" s="9" t="s">
        <v>181</v>
      </c>
      <c r="G23" s="15" t="s">
        <v>17</v>
      </c>
      <c r="H23" s="3">
        <f>-(F24*0.007)</f>
        <v>-420</v>
      </c>
    </row>
    <row r="24" spans="1:8" x14ac:dyDescent="0.25">
      <c r="F24" s="21">
        <f>D3-H3</f>
        <v>60000</v>
      </c>
    </row>
    <row r="25" spans="1:8" ht="15.75" x14ac:dyDescent="0.25">
      <c r="A25" t="s">
        <v>8</v>
      </c>
      <c r="B25" s="9" t="s">
        <v>7</v>
      </c>
      <c r="C25" s="8">
        <f>D3*0.004</f>
        <v>285.60000000000002</v>
      </c>
      <c r="F25" s="9" t="s">
        <v>13</v>
      </c>
      <c r="G25" s="16">
        <v>0.35</v>
      </c>
      <c r="H25" s="29">
        <f>-(F26*0.35)</f>
        <v>-6648.5694117647063</v>
      </c>
    </row>
    <row r="26" spans="1:8" ht="15.75" thickBot="1" x14ac:dyDescent="0.3">
      <c r="F26" s="21">
        <f>H21</f>
        <v>18995.91260504202</v>
      </c>
      <c r="H26" s="7"/>
    </row>
    <row r="27" spans="1:8" ht="15.75" x14ac:dyDescent="0.25">
      <c r="A27" t="s">
        <v>9</v>
      </c>
      <c r="B27" s="9" t="s">
        <v>7</v>
      </c>
      <c r="C27" s="10"/>
      <c r="G27" s="13" t="s">
        <v>14</v>
      </c>
      <c r="H27" s="6">
        <f>H21+H23+H25</f>
        <v>11927.343193277313</v>
      </c>
    </row>
    <row r="28" spans="1:8" ht="15.75" thickBot="1" x14ac:dyDescent="0.3">
      <c r="A28" s="16"/>
      <c r="B28" s="14"/>
      <c r="C28" s="7"/>
    </row>
    <row r="29" spans="1:8" x14ac:dyDescent="0.25">
      <c r="E29" t="s">
        <v>151</v>
      </c>
      <c r="H29" s="20">
        <f>H27*0.5</f>
        <v>5963.6715966386564</v>
      </c>
    </row>
    <row r="30" spans="1:8" ht="15.75" x14ac:dyDescent="0.25">
      <c r="A30" t="s">
        <v>10</v>
      </c>
      <c r="C30" s="10">
        <f>C21-C23-C25-C27</f>
        <v>18995.91260504202</v>
      </c>
      <c r="H30" s="18"/>
    </row>
    <row r="31" spans="1:8" x14ac:dyDescent="0.25">
      <c r="H31" s="3"/>
    </row>
    <row r="32" spans="1:8" x14ac:dyDescent="0.25">
      <c r="H32" s="18"/>
    </row>
  </sheetData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19C9D-2B31-4213-AE09-EDA2472655AC}">
  <dimension ref="A1:H32"/>
  <sheetViews>
    <sheetView workbookViewId="0">
      <selection activeCell="C5" sqref="C5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549</v>
      </c>
    </row>
    <row r="3" spans="1:8" ht="21" x14ac:dyDescent="0.35">
      <c r="A3" s="2" t="s">
        <v>1</v>
      </c>
      <c r="D3" s="11">
        <v>346290</v>
      </c>
      <c r="F3" s="12" t="s">
        <v>3</v>
      </c>
      <c r="H3" s="4">
        <f>(D3/1.19)*0.19</f>
        <v>55290</v>
      </c>
    </row>
    <row r="4" spans="1:8" x14ac:dyDescent="0.25">
      <c r="A4" s="13" t="s">
        <v>32</v>
      </c>
      <c r="C4" s="26">
        <v>701</v>
      </c>
    </row>
    <row r="5" spans="1:8" ht="21" x14ac:dyDescent="0.35">
      <c r="A5" s="2" t="s">
        <v>2</v>
      </c>
    </row>
    <row r="7" spans="1:8" ht="18.75" x14ac:dyDescent="0.3">
      <c r="A7" s="5" t="s">
        <v>221</v>
      </c>
      <c r="D7" s="4">
        <v>122706</v>
      </c>
      <c r="E7" s="25"/>
      <c r="H7" s="4">
        <f>(D7/1.19)*0.19</f>
        <v>19591.714285714286</v>
      </c>
    </row>
    <row r="8" spans="1:8" ht="18.75" x14ac:dyDescent="0.3">
      <c r="A8" s="5" t="s">
        <v>408</v>
      </c>
      <c r="C8" s="3"/>
      <c r="D8" s="32">
        <v>10781</v>
      </c>
      <c r="E8" s="25"/>
      <c r="H8" s="4"/>
    </row>
    <row r="9" spans="1:8" ht="18.75" x14ac:dyDescent="0.3">
      <c r="A9" s="5"/>
      <c r="C9" s="3"/>
      <c r="D9" s="28"/>
      <c r="E9" s="25"/>
      <c r="H9" s="28"/>
    </row>
    <row r="10" spans="1:8" ht="18.75" x14ac:dyDescent="0.3">
      <c r="A10" s="5"/>
      <c r="C10" s="3"/>
      <c r="D10" s="28"/>
      <c r="E10" s="25"/>
      <c r="H10" s="28"/>
    </row>
    <row r="11" spans="1:8" ht="19.5" thickBot="1" x14ac:dyDescent="0.35">
      <c r="A11" s="5"/>
      <c r="C11" s="3"/>
      <c r="D11" s="22"/>
      <c r="E11" s="25"/>
      <c r="H11" s="22"/>
    </row>
    <row r="12" spans="1:8" ht="18.75" customHeight="1" x14ac:dyDescent="0.3">
      <c r="D12" s="4">
        <f>SUM(D7:D11)</f>
        <v>133487</v>
      </c>
      <c r="H12" s="4">
        <f>SUM(H7:H11)</f>
        <v>19591.714285714286</v>
      </c>
    </row>
    <row r="13" spans="1:8" ht="18.75" x14ac:dyDescent="0.3">
      <c r="A13" s="5"/>
      <c r="C13" s="3"/>
      <c r="D13" s="4"/>
      <c r="H13" s="4"/>
    </row>
    <row r="15" spans="1:8" ht="18.75" x14ac:dyDescent="0.3">
      <c r="A15" s="5"/>
      <c r="C15" s="3"/>
      <c r="D15" s="4"/>
      <c r="H15" s="4"/>
    </row>
    <row r="16" spans="1:8" ht="15.75" thickBot="1" x14ac:dyDescent="0.3">
      <c r="D16" s="7"/>
      <c r="H16" s="7"/>
    </row>
    <row r="18" spans="1:8" ht="18.75" x14ac:dyDescent="0.3">
      <c r="C18" t="s">
        <v>4</v>
      </c>
      <c r="D18" s="4">
        <f>D3-D12</f>
        <v>212803</v>
      </c>
      <c r="G18" t="s">
        <v>5</v>
      </c>
      <c r="H18" s="4">
        <f>H3-H12</f>
        <v>35698.28571428571</v>
      </c>
    </row>
    <row r="21" spans="1:8" ht="15.75" x14ac:dyDescent="0.25">
      <c r="A21" t="s">
        <v>6</v>
      </c>
      <c r="C21" s="8">
        <f>D18</f>
        <v>212803</v>
      </c>
      <c r="E21" t="s">
        <v>10</v>
      </c>
      <c r="H21" s="6">
        <f>C30</f>
        <v>175719.55428571429</v>
      </c>
    </row>
    <row r="23" spans="1:8" ht="15.75" x14ac:dyDescent="0.25">
      <c r="A23" t="s">
        <v>5</v>
      </c>
      <c r="B23" s="9" t="s">
        <v>7</v>
      </c>
      <c r="C23" s="8">
        <f>H18</f>
        <v>35698.28571428571</v>
      </c>
      <c r="E23" s="13" t="s">
        <v>11</v>
      </c>
      <c r="F23" s="9" t="s">
        <v>181</v>
      </c>
      <c r="G23" s="15" t="s">
        <v>17</v>
      </c>
      <c r="H23" s="3">
        <f>-(F24*0.007)</f>
        <v>-2037</v>
      </c>
    </row>
    <row r="24" spans="1:8" x14ac:dyDescent="0.25">
      <c r="F24" s="21">
        <f>D3-H3</f>
        <v>291000</v>
      </c>
    </row>
    <row r="25" spans="1:8" ht="15.75" x14ac:dyDescent="0.25">
      <c r="A25" t="s">
        <v>8</v>
      </c>
      <c r="B25" s="9" t="s">
        <v>7</v>
      </c>
      <c r="C25" s="8">
        <f>D3*0.004</f>
        <v>1385.16</v>
      </c>
      <c r="F25" s="9" t="s">
        <v>13</v>
      </c>
      <c r="G25" s="16">
        <v>0.35</v>
      </c>
      <c r="H25" s="29">
        <f>-(F26*0.35)</f>
        <v>-61501.843999999997</v>
      </c>
    </row>
    <row r="26" spans="1:8" ht="15.75" thickBot="1" x14ac:dyDescent="0.3">
      <c r="F26" s="21">
        <f>H21</f>
        <v>175719.55428571429</v>
      </c>
      <c r="H26" s="7"/>
    </row>
    <row r="27" spans="1:8" ht="15.75" x14ac:dyDescent="0.25">
      <c r="A27" t="s">
        <v>9</v>
      </c>
      <c r="B27" s="9" t="s">
        <v>7</v>
      </c>
      <c r="C27" s="10"/>
      <c r="G27" s="13" t="s">
        <v>14</v>
      </c>
      <c r="H27" s="6">
        <f>H21+H23+H25</f>
        <v>112180.71028571429</v>
      </c>
    </row>
    <row r="28" spans="1:8" ht="15.75" thickBot="1" x14ac:dyDescent="0.3">
      <c r="A28" s="16"/>
      <c r="B28" s="14"/>
      <c r="C28" s="7"/>
    </row>
    <row r="29" spans="1:8" x14ac:dyDescent="0.25">
      <c r="E29" t="s">
        <v>151</v>
      </c>
      <c r="H29" s="20">
        <f>H27*0.5</f>
        <v>56090.355142857145</v>
      </c>
    </row>
    <row r="30" spans="1:8" ht="15.75" x14ac:dyDescent="0.25">
      <c r="A30" t="s">
        <v>10</v>
      </c>
      <c r="C30" s="10">
        <f>C21-C23-C25-C27</f>
        <v>175719.55428571429</v>
      </c>
      <c r="H30" s="18"/>
    </row>
    <row r="31" spans="1:8" x14ac:dyDescent="0.25">
      <c r="H31" s="3"/>
    </row>
    <row r="32" spans="1:8" x14ac:dyDescent="0.25">
      <c r="H32" s="18"/>
    </row>
  </sheetData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B0AC1-B627-488C-8F8D-61FC77EA6A85}">
  <dimension ref="A1:H32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550</v>
      </c>
    </row>
    <row r="3" spans="1:8" ht="21" x14ac:dyDescent="0.35">
      <c r="A3" s="2" t="s">
        <v>1</v>
      </c>
      <c r="D3" s="11">
        <v>92820</v>
      </c>
      <c r="F3" s="12" t="s">
        <v>3</v>
      </c>
      <c r="H3" s="4">
        <f>(D3/1.19)*0.19</f>
        <v>14820</v>
      </c>
    </row>
    <row r="4" spans="1:8" x14ac:dyDescent="0.25">
      <c r="A4" s="13" t="s">
        <v>32</v>
      </c>
      <c r="C4" s="26">
        <v>702</v>
      </c>
    </row>
    <row r="5" spans="1:8" ht="21" x14ac:dyDescent="0.35">
      <c r="A5" s="2" t="s">
        <v>2</v>
      </c>
    </row>
    <row r="7" spans="1:8" ht="18.75" x14ac:dyDescent="0.3">
      <c r="A7" s="5" t="s">
        <v>221</v>
      </c>
      <c r="D7" s="4">
        <v>69447</v>
      </c>
      <c r="E7" s="25"/>
      <c r="H7" s="4">
        <f>(D7/1.19)*0.19</f>
        <v>11088.176470588236</v>
      </c>
    </row>
    <row r="8" spans="1:8" ht="18.75" x14ac:dyDescent="0.3">
      <c r="A8" s="5"/>
      <c r="C8" s="3"/>
      <c r="D8" s="32"/>
      <c r="E8" s="25"/>
      <c r="H8" s="4"/>
    </row>
    <row r="9" spans="1:8" ht="18.75" x14ac:dyDescent="0.3">
      <c r="A9" s="5"/>
      <c r="C9" s="3"/>
      <c r="D9" s="28"/>
      <c r="E9" s="25"/>
      <c r="H9" s="28"/>
    </row>
    <row r="10" spans="1:8" ht="18.75" x14ac:dyDescent="0.3">
      <c r="A10" s="5"/>
      <c r="C10" s="3"/>
      <c r="D10" s="28"/>
      <c r="E10" s="25"/>
      <c r="H10" s="28"/>
    </row>
    <row r="11" spans="1:8" ht="19.5" thickBot="1" x14ac:dyDescent="0.35">
      <c r="A11" s="5"/>
      <c r="C11" s="3"/>
      <c r="D11" s="22"/>
      <c r="E11" s="25"/>
      <c r="H11" s="22"/>
    </row>
    <row r="12" spans="1:8" ht="18.75" customHeight="1" x14ac:dyDescent="0.3">
      <c r="D12" s="4">
        <f>SUM(D7:D11)</f>
        <v>69447</v>
      </c>
      <c r="H12" s="4">
        <f>SUM(H7:H11)</f>
        <v>11088.176470588236</v>
      </c>
    </row>
    <row r="13" spans="1:8" ht="18.75" x14ac:dyDescent="0.3">
      <c r="A13" s="5"/>
      <c r="C13" s="3"/>
      <c r="D13" s="4"/>
      <c r="H13" s="4"/>
    </row>
    <row r="15" spans="1:8" ht="18.75" x14ac:dyDescent="0.3">
      <c r="A15" s="5"/>
      <c r="C15" s="3"/>
      <c r="D15" s="4"/>
      <c r="H15" s="4"/>
    </row>
    <row r="16" spans="1:8" ht="15.75" thickBot="1" x14ac:dyDescent="0.3">
      <c r="D16" s="7"/>
      <c r="H16" s="7"/>
    </row>
    <row r="18" spans="1:8" ht="18.75" x14ac:dyDescent="0.3">
      <c r="C18" t="s">
        <v>4</v>
      </c>
      <c r="D18" s="4">
        <f>D3-D12</f>
        <v>23373</v>
      </c>
      <c r="G18" t="s">
        <v>5</v>
      </c>
      <c r="H18" s="4">
        <f>H3-H12</f>
        <v>3731.823529411764</v>
      </c>
    </row>
    <row r="21" spans="1:8" ht="15.75" x14ac:dyDescent="0.25">
      <c r="A21" t="s">
        <v>6</v>
      </c>
      <c r="C21" s="8">
        <f>D18</f>
        <v>23373</v>
      </c>
      <c r="E21" t="s">
        <v>10</v>
      </c>
      <c r="H21" s="6">
        <f>C30</f>
        <v>19269.896470588239</v>
      </c>
    </row>
    <row r="23" spans="1:8" ht="15.75" x14ac:dyDescent="0.25">
      <c r="A23" t="s">
        <v>5</v>
      </c>
      <c r="B23" s="9" t="s">
        <v>7</v>
      </c>
      <c r="C23" s="8">
        <f>H18</f>
        <v>3731.823529411764</v>
      </c>
      <c r="E23" s="13" t="s">
        <v>11</v>
      </c>
      <c r="F23" s="9" t="s">
        <v>181</v>
      </c>
      <c r="G23" s="15" t="s">
        <v>17</v>
      </c>
      <c r="H23" s="3">
        <f>-(F24*0.007)</f>
        <v>-546</v>
      </c>
    </row>
    <row r="24" spans="1:8" x14ac:dyDescent="0.25">
      <c r="F24" s="21">
        <f>D3-H3</f>
        <v>78000</v>
      </c>
    </row>
    <row r="25" spans="1:8" ht="15.75" x14ac:dyDescent="0.25">
      <c r="A25" t="s">
        <v>8</v>
      </c>
      <c r="B25" s="9" t="s">
        <v>7</v>
      </c>
      <c r="C25" s="8">
        <f>D3*0.004</f>
        <v>371.28000000000003</v>
      </c>
      <c r="F25" s="9" t="s">
        <v>13</v>
      </c>
      <c r="G25" s="16">
        <v>0.35</v>
      </c>
      <c r="H25" s="29">
        <f>-(F26*0.35)</f>
        <v>-6744.4637647058835</v>
      </c>
    </row>
    <row r="26" spans="1:8" ht="15.75" thickBot="1" x14ac:dyDescent="0.3">
      <c r="F26" s="21">
        <f>H21</f>
        <v>19269.896470588239</v>
      </c>
      <c r="H26" s="7"/>
    </row>
    <row r="27" spans="1:8" ht="15.75" x14ac:dyDescent="0.25">
      <c r="A27" t="s">
        <v>9</v>
      </c>
      <c r="B27" s="9" t="s">
        <v>7</v>
      </c>
      <c r="C27" s="10"/>
      <c r="G27" s="13" t="s">
        <v>14</v>
      </c>
      <c r="H27" s="6">
        <f>H21+H23+H25</f>
        <v>11979.432705882355</v>
      </c>
    </row>
    <row r="28" spans="1:8" ht="15.75" thickBot="1" x14ac:dyDescent="0.3">
      <c r="A28" s="16"/>
      <c r="B28" s="14"/>
      <c r="C28" s="7"/>
    </row>
    <row r="29" spans="1:8" x14ac:dyDescent="0.25">
      <c r="E29" t="s">
        <v>151</v>
      </c>
      <c r="H29" s="20">
        <f>H27*0.5</f>
        <v>5989.7163529411773</v>
      </c>
    </row>
    <row r="30" spans="1:8" ht="15.75" x14ac:dyDescent="0.25">
      <c r="A30" t="s">
        <v>10</v>
      </c>
      <c r="C30" s="10">
        <f>C21-C23-C25-C27</f>
        <v>19269.896470588239</v>
      </c>
      <c r="H30" s="18"/>
    </row>
    <row r="31" spans="1:8" x14ac:dyDescent="0.25">
      <c r="H31" s="3"/>
    </row>
    <row r="32" spans="1:8" x14ac:dyDescent="0.25">
      <c r="H32" s="18"/>
    </row>
  </sheetData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76345-EDEE-493B-8CD5-22F1AD5E6FA0}">
  <dimension ref="A1:H32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551</v>
      </c>
    </row>
    <row r="3" spans="1:8" ht="21" x14ac:dyDescent="0.35">
      <c r="A3" s="2" t="s">
        <v>1</v>
      </c>
      <c r="D3" s="11">
        <v>1279250</v>
      </c>
      <c r="F3" s="12" t="s">
        <v>3</v>
      </c>
      <c r="H3" s="4">
        <f>(D3/1.19)*0.19</f>
        <v>204250</v>
      </c>
    </row>
    <row r="4" spans="1:8" x14ac:dyDescent="0.25">
      <c r="A4" s="13" t="s">
        <v>32</v>
      </c>
      <c r="C4" s="26">
        <v>703</v>
      </c>
    </row>
    <row r="5" spans="1:8" ht="21" x14ac:dyDescent="0.35">
      <c r="A5" s="2" t="s">
        <v>2</v>
      </c>
    </row>
    <row r="7" spans="1:8" ht="18.75" x14ac:dyDescent="0.3">
      <c r="A7" s="5" t="s">
        <v>343</v>
      </c>
      <c r="D7" s="4">
        <v>190102</v>
      </c>
      <c r="E7" s="25"/>
      <c r="H7" s="4">
        <f>(D7/1.19)*0.19</f>
        <v>30352.42016806723</v>
      </c>
    </row>
    <row r="8" spans="1:8" ht="18.75" x14ac:dyDescent="0.3">
      <c r="A8" s="5" t="s">
        <v>552</v>
      </c>
      <c r="C8" s="3"/>
      <c r="D8" s="32">
        <v>35700</v>
      </c>
      <c r="E8" s="25"/>
      <c r="H8" s="4">
        <f>(D8/1.19)*0.19</f>
        <v>5700</v>
      </c>
    </row>
    <row r="9" spans="1:8" ht="18.75" x14ac:dyDescent="0.3">
      <c r="A9" s="5" t="s">
        <v>89</v>
      </c>
      <c r="C9" s="3"/>
      <c r="D9" s="28">
        <v>330000</v>
      </c>
      <c r="E9" s="25"/>
      <c r="H9" s="28"/>
    </row>
    <row r="10" spans="1:8" ht="18.75" x14ac:dyDescent="0.3">
      <c r="A10" s="5" t="s">
        <v>553</v>
      </c>
      <c r="C10" s="3"/>
      <c r="D10" s="28">
        <v>180000</v>
      </c>
      <c r="E10" s="25"/>
      <c r="H10" s="28"/>
    </row>
    <row r="11" spans="1:8" ht="19.5" thickBot="1" x14ac:dyDescent="0.35">
      <c r="A11" s="5"/>
      <c r="C11" s="3"/>
      <c r="D11" s="22"/>
      <c r="E11" s="25"/>
      <c r="H11" s="22"/>
    </row>
    <row r="12" spans="1:8" ht="18.75" customHeight="1" x14ac:dyDescent="0.3">
      <c r="D12" s="4">
        <f>SUM(D7:D11)</f>
        <v>735802</v>
      </c>
      <c r="H12" s="4">
        <f>SUM(H7:H11)</f>
        <v>36052.420168067227</v>
      </c>
    </row>
    <row r="13" spans="1:8" ht="18.75" x14ac:dyDescent="0.3">
      <c r="A13" s="5"/>
      <c r="C13" s="3"/>
      <c r="D13" s="4"/>
      <c r="H13" s="4"/>
    </row>
    <row r="15" spans="1:8" ht="18.75" x14ac:dyDescent="0.3">
      <c r="A15" s="5"/>
      <c r="C15" s="3"/>
      <c r="D15" s="4"/>
      <c r="H15" s="4"/>
    </row>
    <row r="16" spans="1:8" ht="15.75" thickBot="1" x14ac:dyDescent="0.3">
      <c r="D16" s="7"/>
      <c r="H16" s="7"/>
    </row>
    <row r="18" spans="1:8" ht="18.75" x14ac:dyDescent="0.3">
      <c r="C18" t="s">
        <v>4</v>
      </c>
      <c r="D18" s="4">
        <f>D3-D12</f>
        <v>543448</v>
      </c>
      <c r="G18" t="s">
        <v>5</v>
      </c>
      <c r="H18" s="4">
        <f>H3-H12</f>
        <v>168197.57983193279</v>
      </c>
    </row>
    <row r="21" spans="1:8" ht="15.75" x14ac:dyDescent="0.25">
      <c r="A21" t="s">
        <v>6</v>
      </c>
      <c r="C21" s="8">
        <f>D18</f>
        <v>543448</v>
      </c>
      <c r="E21" t="s">
        <v>10</v>
      </c>
      <c r="H21" s="6">
        <f>C30</f>
        <v>370133.42016806721</v>
      </c>
    </row>
    <row r="23" spans="1:8" ht="15.75" x14ac:dyDescent="0.25">
      <c r="A23" t="s">
        <v>5</v>
      </c>
      <c r="B23" s="9" t="s">
        <v>7</v>
      </c>
      <c r="C23" s="8">
        <f>H18</f>
        <v>168197.57983193279</v>
      </c>
      <c r="E23" s="13" t="s">
        <v>11</v>
      </c>
      <c r="F23" s="9" t="s">
        <v>181</v>
      </c>
      <c r="G23" s="15" t="s">
        <v>17</v>
      </c>
      <c r="H23" s="3">
        <f>-(F24*0.007)</f>
        <v>-7525</v>
      </c>
    </row>
    <row r="24" spans="1:8" x14ac:dyDescent="0.25">
      <c r="F24" s="21">
        <f>D3-H3</f>
        <v>1075000</v>
      </c>
    </row>
    <row r="25" spans="1:8" ht="15.75" x14ac:dyDescent="0.25">
      <c r="A25" t="s">
        <v>8</v>
      </c>
      <c r="B25" s="9" t="s">
        <v>7</v>
      </c>
      <c r="C25" s="8">
        <f>D3*0.004</f>
        <v>5117</v>
      </c>
      <c r="F25" s="9" t="s">
        <v>13</v>
      </c>
      <c r="G25" s="16">
        <v>0.35</v>
      </c>
      <c r="H25" s="29">
        <f>-(F26*0.35)</f>
        <v>-129546.69705882351</v>
      </c>
    </row>
    <row r="26" spans="1:8" ht="15.75" thickBot="1" x14ac:dyDescent="0.3">
      <c r="F26" s="21">
        <f>H21</f>
        <v>370133.42016806721</v>
      </c>
      <c r="H26" s="7"/>
    </row>
    <row r="27" spans="1:8" ht="15.75" x14ac:dyDescent="0.25">
      <c r="A27" t="s">
        <v>9</v>
      </c>
      <c r="B27" s="9" t="s">
        <v>7</v>
      </c>
      <c r="C27" s="10"/>
      <c r="G27" s="13" t="s">
        <v>14</v>
      </c>
      <c r="H27" s="6">
        <f>H21+H23+H25</f>
        <v>233061.7231092437</v>
      </c>
    </row>
    <row r="28" spans="1:8" ht="15.75" thickBot="1" x14ac:dyDescent="0.3">
      <c r="A28" s="16"/>
      <c r="B28" s="14"/>
      <c r="C28" s="7"/>
    </row>
    <row r="29" spans="1:8" x14ac:dyDescent="0.25">
      <c r="E29" t="s">
        <v>151</v>
      </c>
      <c r="H29" s="20">
        <f>H27*0.5</f>
        <v>116530.86155462185</v>
      </c>
    </row>
    <row r="30" spans="1:8" ht="15.75" x14ac:dyDescent="0.25">
      <c r="A30" t="s">
        <v>10</v>
      </c>
      <c r="C30" s="10">
        <f>C21-C23-C25-C27</f>
        <v>370133.42016806721</v>
      </c>
      <c r="H30" s="18"/>
    </row>
    <row r="31" spans="1:8" x14ac:dyDescent="0.25">
      <c r="H31" s="3"/>
    </row>
    <row r="32" spans="1:8" x14ac:dyDescent="0.25">
      <c r="H32" s="18"/>
    </row>
  </sheetData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DE100-C786-4502-9609-E2FB64D0EA01}">
  <dimension ref="A1:H32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551</v>
      </c>
    </row>
    <row r="3" spans="1:8" ht="21" x14ac:dyDescent="0.35">
      <c r="A3" s="2" t="s">
        <v>1</v>
      </c>
      <c r="D3" s="11">
        <v>749700</v>
      </c>
      <c r="F3" s="12" t="s">
        <v>3</v>
      </c>
      <c r="H3" s="4">
        <f>(D3/1.19)*0.19</f>
        <v>119700</v>
      </c>
    </row>
    <row r="4" spans="1:8" x14ac:dyDescent="0.25">
      <c r="A4" s="13" t="s">
        <v>32</v>
      </c>
      <c r="C4" s="26">
        <v>704</v>
      </c>
    </row>
    <row r="5" spans="1:8" ht="21" x14ac:dyDescent="0.35">
      <c r="A5" s="2" t="s">
        <v>2</v>
      </c>
    </row>
    <row r="7" spans="1:8" ht="18.75" x14ac:dyDescent="0.3">
      <c r="A7" s="5" t="s">
        <v>108</v>
      </c>
      <c r="D7" s="4">
        <v>583100</v>
      </c>
      <c r="E7" s="25"/>
      <c r="H7" s="4">
        <f>(D7/1.19)*0.19</f>
        <v>93100</v>
      </c>
    </row>
    <row r="8" spans="1:8" ht="18.75" x14ac:dyDescent="0.3">
      <c r="A8" s="5"/>
      <c r="C8" s="3"/>
      <c r="D8" s="32"/>
      <c r="E8" s="25"/>
      <c r="H8" s="4"/>
    </row>
    <row r="9" spans="1:8" ht="18.75" x14ac:dyDescent="0.3">
      <c r="A9" s="5"/>
      <c r="C9" s="3"/>
      <c r="D9" s="28"/>
      <c r="E9" s="25"/>
      <c r="H9" s="28"/>
    </row>
    <row r="10" spans="1:8" ht="18.75" x14ac:dyDescent="0.3">
      <c r="A10" s="5"/>
      <c r="C10" s="3"/>
      <c r="D10" s="28"/>
      <c r="E10" s="25"/>
      <c r="H10" s="28"/>
    </row>
    <row r="11" spans="1:8" ht="19.5" thickBot="1" x14ac:dyDescent="0.35">
      <c r="A11" s="5"/>
      <c r="C11" s="3"/>
      <c r="D11" s="22"/>
      <c r="E11" s="25"/>
      <c r="H11" s="22"/>
    </row>
    <row r="12" spans="1:8" ht="18.75" customHeight="1" x14ac:dyDescent="0.3">
      <c r="D12" s="4">
        <f>SUM(D7:D11)</f>
        <v>583100</v>
      </c>
      <c r="H12" s="4">
        <f>SUM(H7:H11)</f>
        <v>93100</v>
      </c>
    </row>
    <row r="13" spans="1:8" ht="18.75" x14ac:dyDescent="0.3">
      <c r="A13" s="5"/>
      <c r="C13" s="3"/>
      <c r="D13" s="4"/>
      <c r="H13" s="4"/>
    </row>
    <row r="15" spans="1:8" ht="18.75" x14ac:dyDescent="0.3">
      <c r="A15" s="5"/>
      <c r="C15" s="3"/>
      <c r="D15" s="4"/>
      <c r="H15" s="4"/>
    </row>
    <row r="16" spans="1:8" ht="15.75" thickBot="1" x14ac:dyDescent="0.3">
      <c r="D16" s="7"/>
      <c r="H16" s="7"/>
    </row>
    <row r="18" spans="1:8" ht="18.75" x14ac:dyDescent="0.3">
      <c r="C18" t="s">
        <v>4</v>
      </c>
      <c r="D18" s="4">
        <f>D3-D12</f>
        <v>166600</v>
      </c>
      <c r="G18" t="s">
        <v>5</v>
      </c>
      <c r="H18" s="4">
        <f>H3-H12</f>
        <v>26600</v>
      </c>
    </row>
    <row r="21" spans="1:8" ht="15.75" x14ac:dyDescent="0.25">
      <c r="A21" t="s">
        <v>6</v>
      </c>
      <c r="C21" s="8">
        <f>D18</f>
        <v>166600</v>
      </c>
      <c r="E21" t="s">
        <v>10</v>
      </c>
      <c r="H21" s="6">
        <f>C30</f>
        <v>137001.20000000001</v>
      </c>
    </row>
    <row r="23" spans="1:8" ht="15.75" x14ac:dyDescent="0.25">
      <c r="A23" t="s">
        <v>5</v>
      </c>
      <c r="B23" s="9" t="s">
        <v>7</v>
      </c>
      <c r="C23" s="8">
        <f>H18</f>
        <v>26600</v>
      </c>
      <c r="E23" s="13" t="s">
        <v>11</v>
      </c>
      <c r="F23" s="9" t="s">
        <v>181</v>
      </c>
      <c r="G23" s="15" t="s">
        <v>17</v>
      </c>
      <c r="H23" s="3">
        <f>-(F24*0.007)</f>
        <v>-4410</v>
      </c>
    </row>
    <row r="24" spans="1:8" x14ac:dyDescent="0.25">
      <c r="F24" s="21">
        <f>D3-H3</f>
        <v>630000</v>
      </c>
    </row>
    <row r="25" spans="1:8" ht="15.75" x14ac:dyDescent="0.25">
      <c r="A25" t="s">
        <v>8</v>
      </c>
      <c r="B25" s="9" t="s">
        <v>7</v>
      </c>
      <c r="C25" s="8">
        <f>D3*0.004</f>
        <v>2998.8</v>
      </c>
      <c r="F25" s="9" t="s">
        <v>13</v>
      </c>
      <c r="G25" s="16">
        <v>0.35</v>
      </c>
      <c r="H25" s="29">
        <f>-(F26*0.35)</f>
        <v>-47950.42</v>
      </c>
    </row>
    <row r="26" spans="1:8" ht="15.75" thickBot="1" x14ac:dyDescent="0.3">
      <c r="F26" s="21">
        <f>H21</f>
        <v>137001.20000000001</v>
      </c>
      <c r="H26" s="7"/>
    </row>
    <row r="27" spans="1:8" ht="15.75" x14ac:dyDescent="0.25">
      <c r="A27" t="s">
        <v>9</v>
      </c>
      <c r="B27" s="9" t="s">
        <v>7</v>
      </c>
      <c r="C27" s="10"/>
      <c r="G27" s="13" t="s">
        <v>14</v>
      </c>
      <c r="H27" s="6">
        <f>H21+H23+H25</f>
        <v>84640.780000000013</v>
      </c>
    </row>
    <row r="28" spans="1:8" ht="15.75" thickBot="1" x14ac:dyDescent="0.3">
      <c r="A28" s="16"/>
      <c r="B28" s="14"/>
      <c r="C28" s="7"/>
    </row>
    <row r="29" spans="1:8" x14ac:dyDescent="0.25">
      <c r="E29" t="s">
        <v>151</v>
      </c>
      <c r="H29" s="20">
        <f>H27*0.5</f>
        <v>42320.390000000007</v>
      </c>
    </row>
    <row r="30" spans="1:8" ht="15.75" x14ac:dyDescent="0.25">
      <c r="A30" t="s">
        <v>10</v>
      </c>
      <c r="C30" s="10">
        <f>C21-C23-C25-C27</f>
        <v>137001.20000000001</v>
      </c>
      <c r="H30" s="18"/>
    </row>
    <row r="31" spans="1:8" x14ac:dyDescent="0.25">
      <c r="H31" s="3"/>
    </row>
    <row r="32" spans="1:8" x14ac:dyDescent="0.25">
      <c r="H32" s="18"/>
    </row>
  </sheetData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1AAF8-1486-4239-A295-9BD0BF88C37E}">
  <dimension ref="A1:H32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551</v>
      </c>
    </row>
    <row r="3" spans="1:8" ht="21" x14ac:dyDescent="0.35">
      <c r="A3" s="2" t="s">
        <v>1</v>
      </c>
      <c r="D3" s="11">
        <v>176120</v>
      </c>
      <c r="F3" s="12" t="s">
        <v>3</v>
      </c>
      <c r="H3" s="4">
        <f>(D3/1.19)*0.19</f>
        <v>28120</v>
      </c>
    </row>
    <row r="4" spans="1:8" x14ac:dyDescent="0.25">
      <c r="A4" s="13" t="s">
        <v>32</v>
      </c>
      <c r="C4" s="26">
        <v>705</v>
      </c>
    </row>
    <row r="5" spans="1:8" ht="21" x14ac:dyDescent="0.35">
      <c r="A5" s="2" t="s">
        <v>2</v>
      </c>
    </row>
    <row r="7" spans="1:8" ht="18.75" x14ac:dyDescent="0.3">
      <c r="A7" s="5" t="s">
        <v>106</v>
      </c>
      <c r="D7" s="4">
        <v>134470</v>
      </c>
      <c r="E7" s="25"/>
      <c r="H7" s="4">
        <f>(D7/1.19)*0.19</f>
        <v>21470</v>
      </c>
    </row>
    <row r="8" spans="1:8" ht="18.75" x14ac:dyDescent="0.3">
      <c r="A8" s="5"/>
      <c r="C8" s="3"/>
      <c r="D8" s="32"/>
      <c r="E8" s="25"/>
      <c r="H8" s="4"/>
    </row>
    <row r="9" spans="1:8" ht="18.75" x14ac:dyDescent="0.3">
      <c r="A9" s="5"/>
      <c r="C9" s="3"/>
      <c r="D9" s="28"/>
      <c r="E9" s="25"/>
      <c r="H9" s="28"/>
    </row>
    <row r="10" spans="1:8" ht="18.75" x14ac:dyDescent="0.3">
      <c r="A10" s="5"/>
      <c r="C10" s="3"/>
      <c r="D10" s="28"/>
      <c r="E10" s="25"/>
      <c r="H10" s="28"/>
    </row>
    <row r="11" spans="1:8" ht="19.5" thickBot="1" x14ac:dyDescent="0.35">
      <c r="A11" s="5"/>
      <c r="C11" s="3"/>
      <c r="D11" s="22"/>
      <c r="E11" s="25"/>
      <c r="H11" s="22"/>
    </row>
    <row r="12" spans="1:8" ht="18.75" customHeight="1" x14ac:dyDescent="0.3">
      <c r="D12" s="4">
        <f>SUM(D7:D11)</f>
        <v>134470</v>
      </c>
      <c r="H12" s="4">
        <f>SUM(H7:H11)</f>
        <v>21470</v>
      </c>
    </row>
    <row r="13" spans="1:8" ht="18.75" x14ac:dyDescent="0.3">
      <c r="A13" s="5"/>
      <c r="C13" s="3"/>
      <c r="D13" s="4"/>
      <c r="H13" s="4"/>
    </row>
    <row r="15" spans="1:8" ht="18.75" x14ac:dyDescent="0.3">
      <c r="A15" s="5"/>
      <c r="C15" s="3"/>
      <c r="D15" s="4"/>
      <c r="H15" s="4"/>
    </row>
    <row r="16" spans="1:8" ht="15.75" thickBot="1" x14ac:dyDescent="0.3">
      <c r="D16" s="7"/>
      <c r="H16" s="7"/>
    </row>
    <row r="18" spans="1:8" ht="18.75" x14ac:dyDescent="0.3">
      <c r="C18" t="s">
        <v>4</v>
      </c>
      <c r="D18" s="4">
        <f>D3-D12</f>
        <v>41650</v>
      </c>
      <c r="G18" t="s">
        <v>5</v>
      </c>
      <c r="H18" s="4">
        <f>H3-H12</f>
        <v>6650</v>
      </c>
    </row>
    <row r="21" spans="1:8" ht="15.75" x14ac:dyDescent="0.25">
      <c r="A21" t="s">
        <v>6</v>
      </c>
      <c r="C21" s="8">
        <f>D18</f>
        <v>41650</v>
      </c>
      <c r="E21" t="s">
        <v>10</v>
      </c>
      <c r="H21" s="6">
        <f>C30</f>
        <v>34295.519999999997</v>
      </c>
    </row>
    <row r="23" spans="1:8" ht="15.75" x14ac:dyDescent="0.25">
      <c r="A23" t="s">
        <v>5</v>
      </c>
      <c r="B23" s="9" t="s">
        <v>7</v>
      </c>
      <c r="C23" s="8">
        <f>H18</f>
        <v>6650</v>
      </c>
      <c r="E23" s="13" t="s">
        <v>11</v>
      </c>
      <c r="F23" s="9" t="s">
        <v>181</v>
      </c>
      <c r="G23" s="15" t="s">
        <v>17</v>
      </c>
      <c r="H23" s="3">
        <f>-(F24*0.007)</f>
        <v>-1036</v>
      </c>
    </row>
    <row r="24" spans="1:8" x14ac:dyDescent="0.25">
      <c r="F24" s="21">
        <f>D3-H3</f>
        <v>148000</v>
      </c>
    </row>
    <row r="25" spans="1:8" ht="15.75" x14ac:dyDescent="0.25">
      <c r="A25" t="s">
        <v>8</v>
      </c>
      <c r="B25" s="9" t="s">
        <v>7</v>
      </c>
      <c r="C25" s="8">
        <f>D3*0.004</f>
        <v>704.48</v>
      </c>
      <c r="F25" s="9" t="s">
        <v>13</v>
      </c>
      <c r="G25" s="16">
        <v>0.35</v>
      </c>
      <c r="H25" s="29">
        <f>-(F26*0.35)</f>
        <v>-12003.431999999999</v>
      </c>
    </row>
    <row r="26" spans="1:8" ht="15.75" thickBot="1" x14ac:dyDescent="0.3">
      <c r="F26" s="21">
        <f>H21</f>
        <v>34295.519999999997</v>
      </c>
      <c r="H26" s="7"/>
    </row>
    <row r="27" spans="1:8" ht="15.75" x14ac:dyDescent="0.25">
      <c r="A27" t="s">
        <v>9</v>
      </c>
      <c r="B27" s="9" t="s">
        <v>7</v>
      </c>
      <c r="C27" s="10"/>
      <c r="G27" s="13" t="s">
        <v>14</v>
      </c>
      <c r="H27" s="6">
        <f>H21+H23+H25</f>
        <v>21256.087999999996</v>
      </c>
    </row>
    <row r="28" spans="1:8" ht="15.75" thickBot="1" x14ac:dyDescent="0.3">
      <c r="A28" s="16"/>
      <c r="B28" s="14"/>
      <c r="C28" s="7"/>
    </row>
    <row r="29" spans="1:8" x14ac:dyDescent="0.25">
      <c r="E29" t="s">
        <v>151</v>
      </c>
      <c r="H29" s="20">
        <f>H27*0.5</f>
        <v>10628.043999999998</v>
      </c>
    </row>
    <row r="30" spans="1:8" ht="15.75" x14ac:dyDescent="0.25">
      <c r="A30" t="s">
        <v>10</v>
      </c>
      <c r="C30" s="10">
        <f>C21-C23-C25-C27</f>
        <v>34295.519999999997</v>
      </c>
      <c r="H30" s="18"/>
    </row>
    <row r="31" spans="1:8" x14ac:dyDescent="0.25">
      <c r="H31" s="3"/>
    </row>
    <row r="32" spans="1:8" x14ac:dyDescent="0.25">
      <c r="H32" s="18"/>
    </row>
  </sheetData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AD38F-264A-4397-9B4C-367DC92B4DB8}">
  <dimension ref="A1:H32"/>
  <sheetViews>
    <sheetView workbookViewId="0">
      <selection activeCell="K15" sqref="K15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518</v>
      </c>
    </row>
    <row r="3" spans="1:8" ht="21" x14ac:dyDescent="0.35">
      <c r="A3" s="2" t="s">
        <v>1</v>
      </c>
      <c r="D3" s="11">
        <v>134589</v>
      </c>
      <c r="F3" s="12" t="s">
        <v>3</v>
      </c>
      <c r="H3" s="4">
        <f>(D3/1.19)*0.19</f>
        <v>21489</v>
      </c>
    </row>
    <row r="4" spans="1:8" x14ac:dyDescent="0.25">
      <c r="A4" s="13" t="s">
        <v>32</v>
      </c>
      <c r="C4" s="26">
        <v>706</v>
      </c>
    </row>
    <row r="5" spans="1:8" ht="21" x14ac:dyDescent="0.35">
      <c r="A5" s="2" t="s">
        <v>2</v>
      </c>
    </row>
    <row r="7" spans="1:8" ht="18.75" x14ac:dyDescent="0.3">
      <c r="A7" s="5" t="s">
        <v>343</v>
      </c>
      <c r="D7" s="4">
        <v>98758</v>
      </c>
      <c r="E7" s="25"/>
      <c r="H7" s="4">
        <f>(D7/1.19)*0.19</f>
        <v>15768.084033613446</v>
      </c>
    </row>
    <row r="8" spans="1:8" ht="18.75" x14ac:dyDescent="0.3">
      <c r="A8" s="5"/>
      <c r="C8" s="3"/>
      <c r="D8" s="32"/>
      <c r="E8" s="25"/>
      <c r="H8" s="4"/>
    </row>
    <row r="9" spans="1:8" ht="18.75" x14ac:dyDescent="0.3">
      <c r="A9" s="5"/>
      <c r="C9" s="3"/>
      <c r="D9" s="28"/>
      <c r="E9" s="25"/>
      <c r="H9" s="28"/>
    </row>
    <row r="10" spans="1:8" ht="18.75" x14ac:dyDescent="0.3">
      <c r="A10" s="5"/>
      <c r="C10" s="3"/>
      <c r="D10" s="28"/>
      <c r="E10" s="25"/>
      <c r="H10" s="28"/>
    </row>
    <row r="11" spans="1:8" ht="19.5" thickBot="1" x14ac:dyDescent="0.35">
      <c r="A11" s="5"/>
      <c r="C11" s="3"/>
      <c r="D11" s="22"/>
      <c r="E11" s="25"/>
      <c r="H11" s="22"/>
    </row>
    <row r="12" spans="1:8" ht="18.75" customHeight="1" x14ac:dyDescent="0.3">
      <c r="D12" s="4">
        <f>SUM(D7:D11)</f>
        <v>98758</v>
      </c>
      <c r="H12" s="4">
        <f>SUM(H7:H11)</f>
        <v>15768.084033613446</v>
      </c>
    </row>
    <row r="13" spans="1:8" ht="18.75" x14ac:dyDescent="0.3">
      <c r="A13" s="5"/>
      <c r="C13" s="3"/>
      <c r="D13" s="4"/>
      <c r="H13" s="4"/>
    </row>
    <row r="15" spans="1:8" ht="18.75" x14ac:dyDescent="0.3">
      <c r="A15" s="5"/>
      <c r="C15" s="3"/>
      <c r="D15" s="4"/>
      <c r="H15" s="4"/>
    </row>
    <row r="16" spans="1:8" ht="15.75" thickBot="1" x14ac:dyDescent="0.3">
      <c r="D16" s="7"/>
      <c r="H16" s="7"/>
    </row>
    <row r="18" spans="1:8" ht="18.75" x14ac:dyDescent="0.3">
      <c r="C18" t="s">
        <v>4</v>
      </c>
      <c r="D18" s="4">
        <f>D3-D12</f>
        <v>35831</v>
      </c>
      <c r="G18" t="s">
        <v>5</v>
      </c>
      <c r="H18" s="4">
        <f>H3-H12</f>
        <v>5720.9159663865539</v>
      </c>
    </row>
    <row r="21" spans="1:8" ht="15.75" x14ac:dyDescent="0.25">
      <c r="A21" t="s">
        <v>6</v>
      </c>
      <c r="C21" s="8">
        <f>D18</f>
        <v>35831</v>
      </c>
      <c r="E21" t="s">
        <v>10</v>
      </c>
      <c r="H21" s="6">
        <f>C30</f>
        <v>29571.728033613446</v>
      </c>
    </row>
    <row r="23" spans="1:8" ht="15.75" x14ac:dyDescent="0.25">
      <c r="A23" t="s">
        <v>5</v>
      </c>
      <c r="B23" s="9" t="s">
        <v>7</v>
      </c>
      <c r="C23" s="8">
        <f>H18</f>
        <v>5720.9159663865539</v>
      </c>
      <c r="E23" s="13" t="s">
        <v>11</v>
      </c>
      <c r="F23" s="9" t="s">
        <v>181</v>
      </c>
      <c r="G23" s="15" t="s">
        <v>17</v>
      </c>
      <c r="H23" s="3">
        <f>-(F24*0.007)</f>
        <v>-791.7</v>
      </c>
    </row>
    <row r="24" spans="1:8" x14ac:dyDescent="0.25">
      <c r="F24" s="21">
        <f>D3-H3</f>
        <v>113100</v>
      </c>
    </row>
    <row r="25" spans="1:8" ht="15.75" x14ac:dyDescent="0.25">
      <c r="A25" t="s">
        <v>8</v>
      </c>
      <c r="B25" s="9" t="s">
        <v>7</v>
      </c>
      <c r="C25" s="8">
        <f>D3*0.004</f>
        <v>538.35599999999999</v>
      </c>
      <c r="F25" s="9" t="s">
        <v>13</v>
      </c>
      <c r="G25" s="16">
        <v>0.35</v>
      </c>
      <c r="H25" s="29">
        <f>-(F26*0.35)</f>
        <v>-10350.104811764706</v>
      </c>
    </row>
    <row r="26" spans="1:8" ht="15.75" thickBot="1" x14ac:dyDescent="0.3">
      <c r="F26" s="21">
        <f>H21</f>
        <v>29571.728033613446</v>
      </c>
      <c r="H26" s="7"/>
    </row>
    <row r="27" spans="1:8" ht="15.75" x14ac:dyDescent="0.25">
      <c r="A27" t="s">
        <v>9</v>
      </c>
      <c r="B27" s="9" t="s">
        <v>7</v>
      </c>
      <c r="C27" s="10"/>
      <c r="G27" s="13" t="s">
        <v>14</v>
      </c>
      <c r="H27" s="6">
        <f>H21+H23+H25</f>
        <v>18429.923221848738</v>
      </c>
    </row>
    <row r="28" spans="1:8" ht="15.75" thickBot="1" x14ac:dyDescent="0.3">
      <c r="A28" s="16"/>
      <c r="B28" s="14"/>
      <c r="C28" s="7"/>
    </row>
    <row r="29" spans="1:8" x14ac:dyDescent="0.25">
      <c r="E29" t="s">
        <v>151</v>
      </c>
      <c r="H29" s="20">
        <f>H27*0.5</f>
        <v>9214.9616109243689</v>
      </c>
    </row>
    <row r="30" spans="1:8" ht="15.75" x14ac:dyDescent="0.25">
      <c r="A30" t="s">
        <v>10</v>
      </c>
      <c r="C30" s="10">
        <f>C21-C23-C25-C27</f>
        <v>29571.728033613446</v>
      </c>
      <c r="H30" s="18"/>
    </row>
    <row r="31" spans="1:8" x14ac:dyDescent="0.25">
      <c r="H31" s="3"/>
    </row>
    <row r="32" spans="1:8" x14ac:dyDescent="0.25">
      <c r="H32" s="18"/>
    </row>
  </sheetData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98A70-3E0B-43F0-A2FB-504BAE6C662B}">
  <dimension ref="A1:H32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490</v>
      </c>
    </row>
    <row r="3" spans="1:8" ht="21" x14ac:dyDescent="0.35">
      <c r="A3" s="2" t="s">
        <v>1</v>
      </c>
      <c r="D3" s="11">
        <v>583100</v>
      </c>
      <c r="F3" s="12" t="s">
        <v>3</v>
      </c>
      <c r="H3" s="4">
        <f>(D3/1.19)*0.19</f>
        <v>93100</v>
      </c>
    </row>
    <row r="4" spans="1:8" x14ac:dyDescent="0.25">
      <c r="A4" s="13" t="s">
        <v>32</v>
      </c>
      <c r="C4" s="26">
        <v>707</v>
      </c>
    </row>
    <row r="5" spans="1:8" ht="21" x14ac:dyDescent="0.35">
      <c r="A5" s="2" t="s">
        <v>2</v>
      </c>
    </row>
    <row r="7" spans="1:8" ht="18.75" x14ac:dyDescent="0.3">
      <c r="A7" s="5" t="s">
        <v>472</v>
      </c>
      <c r="D7" s="4">
        <v>419083</v>
      </c>
      <c r="E7" s="25"/>
      <c r="H7" s="4">
        <f>(D7/1.19)*0.19</f>
        <v>66912.411764705888</v>
      </c>
    </row>
    <row r="8" spans="1:8" ht="18.75" x14ac:dyDescent="0.3">
      <c r="A8" s="5"/>
      <c r="C8" s="3"/>
      <c r="D8" s="32"/>
      <c r="E8" s="25"/>
      <c r="H8" s="4"/>
    </row>
    <row r="9" spans="1:8" ht="18.75" x14ac:dyDescent="0.3">
      <c r="A9" s="5"/>
      <c r="C9" s="3"/>
      <c r="D9" s="28"/>
      <c r="E9" s="25"/>
      <c r="H9" s="28"/>
    </row>
    <row r="10" spans="1:8" ht="18.75" x14ac:dyDescent="0.3">
      <c r="A10" s="5"/>
      <c r="C10" s="3"/>
      <c r="D10" s="28"/>
      <c r="E10" s="25"/>
      <c r="H10" s="28"/>
    </row>
    <row r="11" spans="1:8" ht="19.5" thickBot="1" x14ac:dyDescent="0.35">
      <c r="A11" s="5"/>
      <c r="C11" s="3"/>
      <c r="D11" s="22"/>
      <c r="E11" s="25"/>
      <c r="H11" s="22"/>
    </row>
    <row r="12" spans="1:8" ht="18.75" customHeight="1" x14ac:dyDescent="0.3">
      <c r="D12" s="4">
        <f>SUM(D7:D11)</f>
        <v>419083</v>
      </c>
      <c r="H12" s="4">
        <f>SUM(H7:H11)</f>
        <v>66912.411764705888</v>
      </c>
    </row>
    <row r="13" spans="1:8" ht="18.75" x14ac:dyDescent="0.3">
      <c r="A13" s="5"/>
      <c r="C13" s="3"/>
      <c r="D13" s="4"/>
      <c r="H13" s="4"/>
    </row>
    <row r="15" spans="1:8" ht="18.75" x14ac:dyDescent="0.3">
      <c r="A15" s="5"/>
      <c r="C15" s="3"/>
      <c r="D15" s="4"/>
      <c r="H15" s="4"/>
    </row>
    <row r="16" spans="1:8" ht="15.75" thickBot="1" x14ac:dyDescent="0.3">
      <c r="D16" s="7"/>
      <c r="H16" s="7"/>
    </row>
    <row r="18" spans="1:8" ht="18.75" x14ac:dyDescent="0.3">
      <c r="C18" t="s">
        <v>4</v>
      </c>
      <c r="D18" s="4">
        <f>D3-D12</f>
        <v>164017</v>
      </c>
      <c r="G18" t="s">
        <v>5</v>
      </c>
      <c r="H18" s="4">
        <f>H3-H12</f>
        <v>26187.588235294112</v>
      </c>
    </row>
    <row r="21" spans="1:8" ht="15.75" x14ac:dyDescent="0.25">
      <c r="A21" t="s">
        <v>6</v>
      </c>
      <c r="C21" s="8">
        <f>D18</f>
        <v>164017</v>
      </c>
      <c r="E21" t="s">
        <v>10</v>
      </c>
      <c r="H21" s="6">
        <f>C30</f>
        <v>135497.01176470591</v>
      </c>
    </row>
    <row r="23" spans="1:8" ht="15.75" x14ac:dyDescent="0.25">
      <c r="A23" t="s">
        <v>5</v>
      </c>
      <c r="B23" s="9" t="s">
        <v>7</v>
      </c>
      <c r="C23" s="8">
        <f>H18</f>
        <v>26187.588235294112</v>
      </c>
      <c r="E23" s="13" t="s">
        <v>11</v>
      </c>
      <c r="F23" s="9" t="s">
        <v>181</v>
      </c>
      <c r="G23" s="15" t="s">
        <v>17</v>
      </c>
      <c r="H23" s="3">
        <f>-(F24*0.007)</f>
        <v>-3430</v>
      </c>
    </row>
    <row r="24" spans="1:8" x14ac:dyDescent="0.25">
      <c r="F24" s="21">
        <f>D3-H3</f>
        <v>490000</v>
      </c>
    </row>
    <row r="25" spans="1:8" ht="15.75" x14ac:dyDescent="0.25">
      <c r="A25" t="s">
        <v>8</v>
      </c>
      <c r="B25" s="9" t="s">
        <v>7</v>
      </c>
      <c r="C25" s="8">
        <f>D3*0.004</f>
        <v>2332.4</v>
      </c>
      <c r="F25" s="9" t="s">
        <v>13</v>
      </c>
      <c r="G25" s="16">
        <v>0.35</v>
      </c>
      <c r="H25" s="29">
        <f>-(F26*0.35)</f>
        <v>-47423.954117647067</v>
      </c>
    </row>
    <row r="26" spans="1:8" ht="15.75" thickBot="1" x14ac:dyDescent="0.3">
      <c r="F26" s="21">
        <f>H21</f>
        <v>135497.01176470591</v>
      </c>
      <c r="H26" s="7"/>
    </row>
    <row r="27" spans="1:8" ht="15.75" x14ac:dyDescent="0.25">
      <c r="A27" t="s">
        <v>9</v>
      </c>
      <c r="B27" s="9" t="s">
        <v>7</v>
      </c>
      <c r="C27" s="10"/>
      <c r="G27" s="13" t="s">
        <v>14</v>
      </c>
      <c r="H27" s="6">
        <f>H21+H23+H25</f>
        <v>84643.057647058842</v>
      </c>
    </row>
    <row r="28" spans="1:8" ht="15.75" thickBot="1" x14ac:dyDescent="0.3">
      <c r="A28" s="16"/>
      <c r="B28" s="14"/>
      <c r="C28" s="7"/>
    </row>
    <row r="29" spans="1:8" x14ac:dyDescent="0.25">
      <c r="E29" t="s">
        <v>151</v>
      </c>
      <c r="H29" s="20">
        <f>H27*0.5</f>
        <v>42321.528823529421</v>
      </c>
    </row>
    <row r="30" spans="1:8" ht="15.75" x14ac:dyDescent="0.25">
      <c r="A30" t="s">
        <v>10</v>
      </c>
      <c r="C30" s="10">
        <f>C21-C23-C25-C27</f>
        <v>135497.01176470591</v>
      </c>
      <c r="H30" s="18"/>
    </row>
    <row r="31" spans="1:8" x14ac:dyDescent="0.25">
      <c r="H31" s="3"/>
    </row>
    <row r="32" spans="1:8" x14ac:dyDescent="0.25">
      <c r="H32" s="18"/>
    </row>
  </sheetData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21111-9A9A-43F0-B01D-7D547EAA530E}">
  <dimension ref="A1:H32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554</v>
      </c>
    </row>
    <row r="3" spans="1:8" ht="21" x14ac:dyDescent="0.35">
      <c r="A3" s="2" t="s">
        <v>1</v>
      </c>
      <c r="D3" s="11">
        <v>15764823</v>
      </c>
      <c r="F3" s="12" t="s">
        <v>3</v>
      </c>
      <c r="H3" s="4">
        <f>(D3/1.19)*0.19</f>
        <v>2517072.5798319331</v>
      </c>
    </row>
    <row r="4" spans="1:8" x14ac:dyDescent="0.25">
      <c r="A4" s="13" t="s">
        <v>32</v>
      </c>
      <c r="C4" s="26">
        <v>708</v>
      </c>
    </row>
    <row r="5" spans="1:8" ht="21" x14ac:dyDescent="0.35">
      <c r="A5" s="2" t="s">
        <v>2</v>
      </c>
    </row>
    <row r="7" spans="1:8" ht="18.75" x14ac:dyDescent="0.3">
      <c r="A7" s="5" t="s">
        <v>106</v>
      </c>
      <c r="D7" s="4">
        <v>6056712</v>
      </c>
      <c r="E7" s="25"/>
      <c r="H7" s="4">
        <f>(D7/1.19)*0.19</f>
        <v>967038.05042016809</v>
      </c>
    </row>
    <row r="8" spans="1:8" ht="18.75" x14ac:dyDescent="0.3">
      <c r="A8" s="5" t="s">
        <v>555</v>
      </c>
      <c r="C8" s="3"/>
      <c r="D8" s="32">
        <v>7104300</v>
      </c>
      <c r="E8" s="25"/>
      <c r="H8" s="4">
        <f>(D8/1.19)*0.19</f>
        <v>1134300</v>
      </c>
    </row>
    <row r="9" spans="1:8" ht="18.75" x14ac:dyDescent="0.3">
      <c r="A9" s="5" t="s">
        <v>141</v>
      </c>
      <c r="C9" s="3"/>
      <c r="D9" s="28">
        <v>80000</v>
      </c>
      <c r="E9" s="25"/>
      <c r="H9" s="28"/>
    </row>
    <row r="10" spans="1:8" ht="18.75" x14ac:dyDescent="0.3">
      <c r="A10" s="5"/>
      <c r="C10" s="3"/>
      <c r="D10" s="28"/>
      <c r="E10" s="25"/>
      <c r="H10" s="28"/>
    </row>
    <row r="11" spans="1:8" ht="19.5" thickBot="1" x14ac:dyDescent="0.35">
      <c r="A11" s="5"/>
      <c r="C11" s="3"/>
      <c r="D11" s="22"/>
      <c r="E11" s="25"/>
      <c r="H11" s="22"/>
    </row>
    <row r="12" spans="1:8" ht="18.75" customHeight="1" x14ac:dyDescent="0.3">
      <c r="D12" s="4">
        <f>SUM(D7:D11)</f>
        <v>13241012</v>
      </c>
      <c r="H12" s="4">
        <f>SUM(H7:H11)</f>
        <v>2101338.0504201679</v>
      </c>
    </row>
    <row r="13" spans="1:8" ht="18.75" x14ac:dyDescent="0.3">
      <c r="A13" s="5"/>
      <c r="C13" s="3"/>
      <c r="D13" s="4"/>
      <c r="H13" s="4"/>
    </row>
    <row r="15" spans="1:8" ht="18.75" x14ac:dyDescent="0.3">
      <c r="A15" s="5"/>
      <c r="C15" s="3"/>
      <c r="D15" s="4"/>
      <c r="H15" s="4"/>
    </row>
    <row r="16" spans="1:8" ht="15.75" thickBot="1" x14ac:dyDescent="0.3">
      <c r="D16" s="7"/>
      <c r="H16" s="7"/>
    </row>
    <row r="18" spans="1:8" ht="18.75" x14ac:dyDescent="0.3">
      <c r="C18" t="s">
        <v>4</v>
      </c>
      <c r="D18" s="4">
        <f>D3-D12</f>
        <v>2523811</v>
      </c>
      <c r="G18" t="s">
        <v>5</v>
      </c>
      <c r="H18" s="4">
        <f>H3-H12</f>
        <v>415734.52941176528</v>
      </c>
    </row>
    <row r="21" spans="1:8" ht="15.75" x14ac:dyDescent="0.25">
      <c r="A21" t="s">
        <v>6</v>
      </c>
      <c r="C21" s="8">
        <f>D18</f>
        <v>2523811</v>
      </c>
      <c r="E21" t="s">
        <v>10</v>
      </c>
      <c r="H21" s="6">
        <f>C30</f>
        <v>2045017.1785882348</v>
      </c>
    </row>
    <row r="23" spans="1:8" ht="15.75" x14ac:dyDescent="0.25">
      <c r="A23" t="s">
        <v>5</v>
      </c>
      <c r="B23" s="9" t="s">
        <v>7</v>
      </c>
      <c r="C23" s="8">
        <f>H18</f>
        <v>415734.52941176528</v>
      </c>
      <c r="E23" s="13" t="s">
        <v>11</v>
      </c>
      <c r="F23" s="9" t="s">
        <v>181</v>
      </c>
      <c r="G23" s="15" t="s">
        <v>17</v>
      </c>
      <c r="H23" s="3">
        <f>-(F24*0.007)</f>
        <v>-92734.25294117647</v>
      </c>
    </row>
    <row r="24" spans="1:8" x14ac:dyDescent="0.25">
      <c r="F24" s="21">
        <f>D3-H3</f>
        <v>13247750.420168066</v>
      </c>
    </row>
    <row r="25" spans="1:8" ht="15.75" x14ac:dyDescent="0.25">
      <c r="A25" t="s">
        <v>8</v>
      </c>
      <c r="B25" s="9" t="s">
        <v>7</v>
      </c>
      <c r="C25" s="8">
        <f>D3*0.004</f>
        <v>63059.292000000001</v>
      </c>
      <c r="F25" s="9" t="s">
        <v>13</v>
      </c>
      <c r="G25" s="16">
        <v>0.35</v>
      </c>
      <c r="H25" s="29">
        <f>-(F26*0.35)</f>
        <v>-715756.01250588219</v>
      </c>
    </row>
    <row r="26" spans="1:8" ht="15.75" thickBot="1" x14ac:dyDescent="0.3">
      <c r="F26" s="21">
        <f>H21</f>
        <v>2045017.1785882348</v>
      </c>
      <c r="H26" s="7"/>
    </row>
    <row r="27" spans="1:8" ht="15.75" x14ac:dyDescent="0.25">
      <c r="A27" t="s">
        <v>9</v>
      </c>
      <c r="B27" s="9" t="s">
        <v>7</v>
      </c>
      <c r="C27" s="10"/>
      <c r="G27" s="13" t="s">
        <v>14</v>
      </c>
      <c r="H27" s="6">
        <f>H21+H23+H25</f>
        <v>1236526.9131411761</v>
      </c>
    </row>
    <row r="28" spans="1:8" ht="15.75" thickBot="1" x14ac:dyDescent="0.3">
      <c r="A28" s="16"/>
      <c r="B28" s="14"/>
      <c r="C28" s="7"/>
    </row>
    <row r="29" spans="1:8" x14ac:dyDescent="0.25">
      <c r="E29" t="s">
        <v>151</v>
      </c>
      <c r="H29" s="20">
        <f>H27*0.5</f>
        <v>618263.45657058805</v>
      </c>
    </row>
    <row r="30" spans="1:8" ht="15.75" x14ac:dyDescent="0.25">
      <c r="A30" t="s">
        <v>10</v>
      </c>
      <c r="C30" s="10">
        <f>C21-C23-C25-C27</f>
        <v>2045017.1785882348</v>
      </c>
      <c r="H30" s="18"/>
    </row>
    <row r="31" spans="1:8" x14ac:dyDescent="0.25">
      <c r="H31" s="3"/>
    </row>
    <row r="32" spans="1:8" x14ac:dyDescent="0.25">
      <c r="H32" s="18"/>
    </row>
  </sheetData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D39E1-1A26-4F8E-83A6-47B03D24B047}">
  <dimension ref="A1:H32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556</v>
      </c>
    </row>
    <row r="3" spans="1:8" ht="21" x14ac:dyDescent="0.35">
      <c r="A3" s="2" t="s">
        <v>1</v>
      </c>
      <c r="D3" s="11">
        <v>178500</v>
      </c>
      <c r="F3" s="12" t="s">
        <v>3</v>
      </c>
      <c r="H3" s="4">
        <f>(D3/1.19)*0.19</f>
        <v>28500</v>
      </c>
    </row>
    <row r="4" spans="1:8" x14ac:dyDescent="0.25">
      <c r="A4" s="13" t="s">
        <v>32</v>
      </c>
      <c r="C4" s="26">
        <v>713</v>
      </c>
    </row>
    <row r="5" spans="1:8" ht="21" x14ac:dyDescent="0.35">
      <c r="A5" s="2" t="s">
        <v>2</v>
      </c>
    </row>
    <row r="7" spans="1:8" ht="18.75" x14ac:dyDescent="0.3">
      <c r="A7" s="5" t="s">
        <v>557</v>
      </c>
      <c r="D7" s="4">
        <v>90000</v>
      </c>
      <c r="E7" s="25"/>
      <c r="H7" s="4"/>
    </row>
    <row r="8" spans="1:8" ht="18.75" x14ac:dyDescent="0.3">
      <c r="A8" s="5"/>
      <c r="C8" s="3"/>
      <c r="D8" s="32"/>
      <c r="E8" s="25"/>
      <c r="H8" s="4"/>
    </row>
    <row r="9" spans="1:8" ht="18.75" x14ac:dyDescent="0.3">
      <c r="A9" s="5"/>
      <c r="C9" s="3"/>
      <c r="D9" s="28"/>
      <c r="E9" s="25"/>
      <c r="H9" s="28"/>
    </row>
    <row r="10" spans="1:8" ht="18.75" x14ac:dyDescent="0.3">
      <c r="A10" s="5"/>
      <c r="C10" s="3"/>
      <c r="D10" s="28"/>
      <c r="E10" s="25"/>
      <c r="H10" s="28"/>
    </row>
    <row r="11" spans="1:8" ht="19.5" thickBot="1" x14ac:dyDescent="0.35">
      <c r="A11" s="5"/>
      <c r="C11" s="3"/>
      <c r="D11" s="22"/>
      <c r="E11" s="25"/>
      <c r="H11" s="22"/>
    </row>
    <row r="12" spans="1:8" ht="18.75" customHeight="1" x14ac:dyDescent="0.3">
      <c r="D12" s="4">
        <f>SUM(D7:D11)</f>
        <v>90000</v>
      </c>
      <c r="H12" s="4">
        <f>SUM(H7:H11)</f>
        <v>0</v>
      </c>
    </row>
    <row r="13" spans="1:8" ht="18.75" x14ac:dyDescent="0.3">
      <c r="A13" s="5"/>
      <c r="C13" s="3"/>
      <c r="D13" s="4"/>
      <c r="H13" s="4"/>
    </row>
    <row r="15" spans="1:8" ht="18.75" x14ac:dyDescent="0.3">
      <c r="A15" s="5"/>
      <c r="C15" s="3"/>
      <c r="D15" s="4"/>
      <c r="H15" s="4"/>
    </row>
    <row r="16" spans="1:8" ht="15.75" thickBot="1" x14ac:dyDescent="0.3">
      <c r="D16" s="7"/>
      <c r="H16" s="7"/>
    </row>
    <row r="18" spans="1:8" ht="18.75" x14ac:dyDescent="0.3">
      <c r="C18" t="s">
        <v>4</v>
      </c>
      <c r="D18" s="4">
        <f>D3-D12</f>
        <v>88500</v>
      </c>
      <c r="G18" t="s">
        <v>5</v>
      </c>
      <c r="H18" s="4">
        <f>H3-H12</f>
        <v>28500</v>
      </c>
    </row>
    <row r="21" spans="1:8" ht="15.75" x14ac:dyDescent="0.25">
      <c r="A21" t="s">
        <v>6</v>
      </c>
      <c r="C21" s="8">
        <f>D18</f>
        <v>88500</v>
      </c>
      <c r="E21" t="s">
        <v>10</v>
      </c>
      <c r="H21" s="6">
        <f>C30</f>
        <v>59286</v>
      </c>
    </row>
    <row r="23" spans="1:8" ht="15.75" x14ac:dyDescent="0.25">
      <c r="A23" t="s">
        <v>5</v>
      </c>
      <c r="B23" s="9" t="s">
        <v>7</v>
      </c>
      <c r="C23" s="8">
        <f>H18</f>
        <v>28500</v>
      </c>
      <c r="E23" s="13" t="s">
        <v>11</v>
      </c>
      <c r="F23" s="9" t="s">
        <v>181</v>
      </c>
      <c r="G23" s="15" t="s">
        <v>17</v>
      </c>
      <c r="H23" s="3">
        <f>-(F24*0.007)</f>
        <v>-1050</v>
      </c>
    </row>
    <row r="24" spans="1:8" x14ac:dyDescent="0.25">
      <c r="F24" s="21">
        <f>D3-H3</f>
        <v>150000</v>
      </c>
    </row>
    <row r="25" spans="1:8" ht="15.75" x14ac:dyDescent="0.25">
      <c r="A25" t="s">
        <v>8</v>
      </c>
      <c r="B25" s="9" t="s">
        <v>7</v>
      </c>
      <c r="C25" s="8">
        <f>D3*0.004</f>
        <v>714</v>
      </c>
      <c r="F25" s="9" t="s">
        <v>13</v>
      </c>
      <c r="G25" s="16">
        <v>0.35</v>
      </c>
      <c r="H25" s="29">
        <f>-(F26*0.35)</f>
        <v>-20750.099999999999</v>
      </c>
    </row>
    <row r="26" spans="1:8" ht="15.75" thickBot="1" x14ac:dyDescent="0.3">
      <c r="F26" s="21">
        <f>H21</f>
        <v>59286</v>
      </c>
      <c r="H26" s="7"/>
    </row>
    <row r="27" spans="1:8" ht="15.75" x14ac:dyDescent="0.25">
      <c r="A27" t="s">
        <v>9</v>
      </c>
      <c r="B27" s="9" t="s">
        <v>7</v>
      </c>
      <c r="C27" s="10"/>
      <c r="G27" s="13" t="s">
        <v>14</v>
      </c>
      <c r="H27" s="6">
        <f>H21+H23+H25</f>
        <v>37485.9</v>
      </c>
    </row>
    <row r="28" spans="1:8" ht="15.75" thickBot="1" x14ac:dyDescent="0.3">
      <c r="A28" s="16"/>
      <c r="B28" s="14"/>
      <c r="C28" s="7"/>
    </row>
    <row r="29" spans="1:8" x14ac:dyDescent="0.25">
      <c r="E29" t="s">
        <v>151</v>
      </c>
      <c r="H29" s="20">
        <f>H27*0.5</f>
        <v>18742.95</v>
      </c>
    </row>
    <row r="30" spans="1:8" ht="15.75" x14ac:dyDescent="0.25">
      <c r="A30" t="s">
        <v>10</v>
      </c>
      <c r="C30" s="10">
        <f>C21-C23-C25-C27</f>
        <v>59286</v>
      </c>
      <c r="H30" s="18"/>
    </row>
    <row r="31" spans="1:8" x14ac:dyDescent="0.25">
      <c r="H31" s="3"/>
    </row>
    <row r="32" spans="1:8" x14ac:dyDescent="0.25">
      <c r="H32" s="18"/>
    </row>
  </sheetData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1ED97-D243-485F-8CB6-C0BFCD942DB3}">
  <dimension ref="A1:H32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558</v>
      </c>
    </row>
    <row r="3" spans="1:8" ht="21" x14ac:dyDescent="0.35">
      <c r="A3" s="2" t="s">
        <v>1</v>
      </c>
      <c r="D3" s="11">
        <v>34510</v>
      </c>
      <c r="F3" s="12" t="s">
        <v>3</v>
      </c>
      <c r="H3" s="4">
        <f>(D3/1.19)*0.19</f>
        <v>5510</v>
      </c>
    </row>
    <row r="4" spans="1:8" x14ac:dyDescent="0.25">
      <c r="A4" s="13" t="s">
        <v>32</v>
      </c>
      <c r="C4" s="26">
        <v>715</v>
      </c>
    </row>
    <row r="5" spans="1:8" ht="21" x14ac:dyDescent="0.35">
      <c r="A5" s="2" t="s">
        <v>2</v>
      </c>
    </row>
    <row r="7" spans="1:8" ht="18.75" x14ac:dyDescent="0.3">
      <c r="A7" s="5" t="s">
        <v>517</v>
      </c>
      <c r="D7" s="4">
        <v>10625</v>
      </c>
      <c r="E7" s="25"/>
      <c r="H7" s="4">
        <f>(D7/1.19)*0.19</f>
        <v>1696.4285714285716</v>
      </c>
    </row>
    <row r="8" spans="1:8" ht="18.75" x14ac:dyDescent="0.3">
      <c r="A8" s="5"/>
      <c r="C8" s="3"/>
      <c r="D8" s="32"/>
      <c r="E8" s="25"/>
      <c r="H8" s="4"/>
    </row>
    <row r="9" spans="1:8" ht="18.75" x14ac:dyDescent="0.3">
      <c r="A9" s="5"/>
      <c r="C9" s="3"/>
      <c r="D9" s="28"/>
      <c r="E9" s="25"/>
      <c r="H9" s="28"/>
    </row>
    <row r="10" spans="1:8" ht="18.75" x14ac:dyDescent="0.3">
      <c r="A10" s="5"/>
      <c r="C10" s="3"/>
      <c r="D10" s="28"/>
      <c r="E10" s="25"/>
      <c r="H10" s="28"/>
    </row>
    <row r="11" spans="1:8" ht="19.5" thickBot="1" x14ac:dyDescent="0.35">
      <c r="A11" s="5"/>
      <c r="C11" s="3"/>
      <c r="D11" s="22"/>
      <c r="E11" s="25"/>
      <c r="H11" s="22"/>
    </row>
    <row r="12" spans="1:8" ht="18.75" customHeight="1" x14ac:dyDescent="0.3">
      <c r="D12" s="4">
        <f>SUM(D7:D11)</f>
        <v>10625</v>
      </c>
      <c r="H12" s="4">
        <f>SUM(H7:H11)</f>
        <v>1696.4285714285716</v>
      </c>
    </row>
    <row r="13" spans="1:8" ht="18.75" x14ac:dyDescent="0.3">
      <c r="A13" s="5"/>
      <c r="C13" s="3"/>
      <c r="D13" s="4"/>
      <c r="H13" s="4"/>
    </row>
    <row r="15" spans="1:8" ht="18.75" x14ac:dyDescent="0.3">
      <c r="A15" s="5"/>
      <c r="C15" s="3"/>
      <c r="D15" s="4"/>
      <c r="H15" s="4"/>
    </row>
    <row r="16" spans="1:8" ht="15.75" thickBot="1" x14ac:dyDescent="0.3">
      <c r="D16" s="7"/>
      <c r="H16" s="7"/>
    </row>
    <row r="18" spans="1:8" ht="18.75" x14ac:dyDescent="0.3">
      <c r="C18" t="s">
        <v>4</v>
      </c>
      <c r="D18" s="4">
        <f>D3-D12</f>
        <v>23885</v>
      </c>
      <c r="G18" t="s">
        <v>5</v>
      </c>
      <c r="H18" s="4">
        <f>H3-H12</f>
        <v>3813.5714285714284</v>
      </c>
    </row>
    <row r="21" spans="1:8" ht="15.75" x14ac:dyDescent="0.25">
      <c r="A21" t="s">
        <v>6</v>
      </c>
      <c r="C21" s="8">
        <f>D18</f>
        <v>23885</v>
      </c>
      <c r="E21" t="s">
        <v>10</v>
      </c>
      <c r="H21" s="6">
        <f>C30</f>
        <v>19933.388571428572</v>
      </c>
    </row>
    <row r="23" spans="1:8" ht="15.75" x14ac:dyDescent="0.25">
      <c r="A23" t="s">
        <v>5</v>
      </c>
      <c r="B23" s="9" t="s">
        <v>7</v>
      </c>
      <c r="C23" s="8">
        <f>H18</f>
        <v>3813.5714285714284</v>
      </c>
      <c r="E23" s="13" t="s">
        <v>11</v>
      </c>
      <c r="F23" s="9" t="s">
        <v>181</v>
      </c>
      <c r="G23" s="15" t="s">
        <v>17</v>
      </c>
      <c r="H23" s="3">
        <f>-(F24*0.007)</f>
        <v>-203</v>
      </c>
    </row>
    <row r="24" spans="1:8" x14ac:dyDescent="0.25">
      <c r="F24" s="21">
        <f>D3-H3</f>
        <v>29000</v>
      </c>
    </row>
    <row r="25" spans="1:8" ht="15.75" x14ac:dyDescent="0.25">
      <c r="A25" t="s">
        <v>8</v>
      </c>
      <c r="B25" s="9" t="s">
        <v>7</v>
      </c>
      <c r="C25" s="8">
        <f>D3*0.004</f>
        <v>138.04</v>
      </c>
      <c r="F25" s="9" t="s">
        <v>13</v>
      </c>
      <c r="G25" s="16">
        <v>0.35</v>
      </c>
      <c r="H25" s="29">
        <f>-(F26*0.35)</f>
        <v>-6976.6859999999997</v>
      </c>
    </row>
    <row r="26" spans="1:8" ht="15.75" thickBot="1" x14ac:dyDescent="0.3">
      <c r="F26" s="21">
        <f>H21</f>
        <v>19933.388571428572</v>
      </c>
      <c r="H26" s="7"/>
    </row>
    <row r="27" spans="1:8" ht="15.75" x14ac:dyDescent="0.25">
      <c r="A27" t="s">
        <v>9</v>
      </c>
      <c r="B27" s="9" t="s">
        <v>7</v>
      </c>
      <c r="C27" s="10"/>
      <c r="G27" s="13" t="s">
        <v>14</v>
      </c>
      <c r="H27" s="6">
        <f>H21+H23+H25</f>
        <v>12753.702571428572</v>
      </c>
    </row>
    <row r="28" spans="1:8" ht="15.75" thickBot="1" x14ac:dyDescent="0.3">
      <c r="A28" s="16"/>
      <c r="B28" s="14"/>
      <c r="C28" s="7"/>
    </row>
    <row r="29" spans="1:8" x14ac:dyDescent="0.25">
      <c r="E29" t="s">
        <v>151</v>
      </c>
      <c r="H29" s="20">
        <f>H27*0.5</f>
        <v>6376.851285714286</v>
      </c>
    </row>
    <row r="30" spans="1:8" ht="15.75" x14ac:dyDescent="0.25">
      <c r="A30" t="s">
        <v>10</v>
      </c>
      <c r="C30" s="10">
        <f>C21-C23-C25-C27</f>
        <v>19933.388571428572</v>
      </c>
      <c r="H30" s="18"/>
    </row>
    <row r="31" spans="1:8" x14ac:dyDescent="0.25">
      <c r="H31" s="3"/>
    </row>
    <row r="32" spans="1:8" x14ac:dyDescent="0.25">
      <c r="H32" s="18"/>
    </row>
  </sheetData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BFDA6-8A2E-4160-8707-ABF3BD2B6C97}">
  <dimension ref="A1:H32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559</v>
      </c>
    </row>
    <row r="3" spans="1:8" ht="21" x14ac:dyDescent="0.35">
      <c r="A3" s="2" t="s">
        <v>1</v>
      </c>
      <c r="D3" s="11">
        <v>130900</v>
      </c>
      <c r="F3" s="12" t="s">
        <v>3</v>
      </c>
      <c r="H3" s="4">
        <f>(D3/1.19)*0.19</f>
        <v>20900</v>
      </c>
    </row>
    <row r="4" spans="1:8" x14ac:dyDescent="0.25">
      <c r="A4" s="13" t="s">
        <v>32</v>
      </c>
      <c r="C4" s="26">
        <v>717</v>
      </c>
    </row>
    <row r="5" spans="1:8" ht="21" x14ac:dyDescent="0.35">
      <c r="A5" s="2" t="s">
        <v>2</v>
      </c>
    </row>
    <row r="7" spans="1:8" ht="18.75" x14ac:dyDescent="0.3">
      <c r="A7" s="5" t="s">
        <v>185</v>
      </c>
      <c r="D7" s="4">
        <v>70193</v>
      </c>
      <c r="E7" s="25"/>
      <c r="H7" s="4">
        <f>(D7/1.19)*0.19</f>
        <v>11207.285714285716</v>
      </c>
    </row>
    <row r="8" spans="1:8" ht="18.75" x14ac:dyDescent="0.3">
      <c r="A8" s="5"/>
      <c r="C8" s="3"/>
      <c r="D8" s="32"/>
      <c r="E8" s="25"/>
      <c r="H8" s="4"/>
    </row>
    <row r="9" spans="1:8" ht="18.75" x14ac:dyDescent="0.3">
      <c r="A9" s="5"/>
      <c r="C9" s="3"/>
      <c r="D9" s="28"/>
      <c r="E9" s="25"/>
      <c r="H9" s="28"/>
    </row>
    <row r="10" spans="1:8" ht="18.75" x14ac:dyDescent="0.3">
      <c r="A10" s="5"/>
      <c r="C10" s="3"/>
      <c r="D10" s="28"/>
      <c r="E10" s="25"/>
      <c r="H10" s="28"/>
    </row>
    <row r="11" spans="1:8" ht="19.5" thickBot="1" x14ac:dyDescent="0.35">
      <c r="A11" s="5"/>
      <c r="C11" s="3"/>
      <c r="D11" s="22"/>
      <c r="E11" s="25"/>
      <c r="H11" s="22"/>
    </row>
    <row r="12" spans="1:8" ht="18.75" customHeight="1" x14ac:dyDescent="0.3">
      <c r="D12" s="4">
        <f>SUM(D7:D11)</f>
        <v>70193</v>
      </c>
      <c r="H12" s="4">
        <f>SUM(H7:H11)</f>
        <v>11207.285714285716</v>
      </c>
    </row>
    <row r="13" spans="1:8" ht="18.75" x14ac:dyDescent="0.3">
      <c r="A13" s="5"/>
      <c r="C13" s="3"/>
      <c r="D13" s="4"/>
      <c r="H13" s="4"/>
    </row>
    <row r="15" spans="1:8" ht="18.75" x14ac:dyDescent="0.3">
      <c r="A15" s="5"/>
      <c r="C15" s="3"/>
      <c r="D15" s="4"/>
      <c r="H15" s="4"/>
    </row>
    <row r="16" spans="1:8" ht="15.75" thickBot="1" x14ac:dyDescent="0.3">
      <c r="D16" s="7"/>
      <c r="H16" s="7"/>
    </row>
    <row r="18" spans="1:8" ht="18.75" x14ac:dyDescent="0.3">
      <c r="C18" t="s">
        <v>4</v>
      </c>
      <c r="D18" s="4">
        <f>D3-D12</f>
        <v>60707</v>
      </c>
      <c r="G18" t="s">
        <v>5</v>
      </c>
      <c r="H18" s="4">
        <f>H3-H12</f>
        <v>9692.7142857142844</v>
      </c>
    </row>
    <row r="21" spans="1:8" ht="15.75" x14ac:dyDescent="0.25">
      <c r="A21" t="s">
        <v>6</v>
      </c>
      <c r="C21" s="8">
        <f>D18</f>
        <v>60707</v>
      </c>
      <c r="E21" t="s">
        <v>10</v>
      </c>
      <c r="H21" s="6">
        <f>C30</f>
        <v>50490.685714285719</v>
      </c>
    </row>
    <row r="23" spans="1:8" ht="15.75" x14ac:dyDescent="0.25">
      <c r="A23" t="s">
        <v>5</v>
      </c>
      <c r="B23" s="9" t="s">
        <v>7</v>
      </c>
      <c r="C23" s="8">
        <f>H18</f>
        <v>9692.7142857142844</v>
      </c>
      <c r="E23" s="13" t="s">
        <v>11</v>
      </c>
      <c r="F23" s="9" t="s">
        <v>181</v>
      </c>
      <c r="G23" s="15" t="s">
        <v>17</v>
      </c>
      <c r="H23" s="3">
        <f>-(F24*0.007)</f>
        <v>-770</v>
      </c>
    </row>
    <row r="24" spans="1:8" x14ac:dyDescent="0.25">
      <c r="F24" s="21">
        <f>D3-H3</f>
        <v>110000</v>
      </c>
    </row>
    <row r="25" spans="1:8" ht="15.75" x14ac:dyDescent="0.25">
      <c r="A25" t="s">
        <v>8</v>
      </c>
      <c r="B25" s="9" t="s">
        <v>7</v>
      </c>
      <c r="C25" s="8">
        <f>D3*0.004</f>
        <v>523.6</v>
      </c>
      <c r="F25" s="9" t="s">
        <v>13</v>
      </c>
      <c r="G25" s="16">
        <v>0.35</v>
      </c>
      <c r="H25" s="29">
        <f>-(F26*0.35)</f>
        <v>-17671.740000000002</v>
      </c>
    </row>
    <row r="26" spans="1:8" ht="15.75" thickBot="1" x14ac:dyDescent="0.3">
      <c r="F26" s="21">
        <f>H21</f>
        <v>50490.685714285719</v>
      </c>
      <c r="H26" s="7"/>
    </row>
    <row r="27" spans="1:8" ht="15.75" x14ac:dyDescent="0.25">
      <c r="A27" t="s">
        <v>9</v>
      </c>
      <c r="B27" s="9" t="s">
        <v>7</v>
      </c>
      <c r="C27" s="10"/>
      <c r="G27" s="13" t="s">
        <v>14</v>
      </c>
      <c r="H27" s="6">
        <f>H21+H23+H25</f>
        <v>32048.945714285717</v>
      </c>
    </row>
    <row r="28" spans="1:8" ht="15.75" thickBot="1" x14ac:dyDescent="0.3">
      <c r="A28" s="16"/>
      <c r="B28" s="14"/>
      <c r="C28" s="7"/>
    </row>
    <row r="29" spans="1:8" x14ac:dyDescent="0.25">
      <c r="E29" t="s">
        <v>151</v>
      </c>
      <c r="H29" s="20">
        <f>H27*0.5</f>
        <v>16024.472857142859</v>
      </c>
    </row>
    <row r="30" spans="1:8" ht="15.75" x14ac:dyDescent="0.25">
      <c r="A30" t="s">
        <v>10</v>
      </c>
      <c r="C30" s="10">
        <f>C21-C23-C25-C27</f>
        <v>50490.685714285719</v>
      </c>
      <c r="H30" s="18"/>
    </row>
    <row r="31" spans="1:8" x14ac:dyDescent="0.25">
      <c r="H31" s="3"/>
    </row>
    <row r="32" spans="1:8" x14ac:dyDescent="0.25">
      <c r="H32" s="18"/>
    </row>
  </sheetData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2D10A-3CF1-4C0D-9E2D-3FF681DA6300}">
  <dimension ref="A1:H32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560</v>
      </c>
    </row>
    <row r="3" spans="1:8" ht="21" x14ac:dyDescent="0.35">
      <c r="A3" s="2" t="s">
        <v>1</v>
      </c>
      <c r="D3" s="11">
        <v>322014</v>
      </c>
      <c r="F3" s="12" t="s">
        <v>3</v>
      </c>
      <c r="H3" s="4">
        <f>(D3/1.19)*0.19</f>
        <v>51414</v>
      </c>
    </row>
    <row r="4" spans="1:8" x14ac:dyDescent="0.25">
      <c r="A4" s="13" t="s">
        <v>32</v>
      </c>
      <c r="C4" s="26">
        <v>718</v>
      </c>
    </row>
    <row r="5" spans="1:8" ht="21" x14ac:dyDescent="0.35">
      <c r="A5" s="2" t="s">
        <v>2</v>
      </c>
    </row>
    <row r="7" spans="1:8" ht="18.75" x14ac:dyDescent="0.3">
      <c r="A7" s="5" t="s">
        <v>185</v>
      </c>
      <c r="D7" s="4">
        <v>191765</v>
      </c>
      <c r="E7" s="25"/>
      <c r="H7" s="4">
        <f>(D7/1.19)*0.19</f>
        <v>30617.941176470591</v>
      </c>
    </row>
    <row r="8" spans="1:8" ht="18.75" x14ac:dyDescent="0.3">
      <c r="A8" s="5"/>
      <c r="C8" s="3"/>
      <c r="D8" s="32"/>
      <c r="E8" s="25"/>
      <c r="H8" s="4"/>
    </row>
    <row r="9" spans="1:8" ht="18.75" x14ac:dyDescent="0.3">
      <c r="A9" s="5"/>
      <c r="C9" s="3"/>
      <c r="D9" s="28"/>
      <c r="E9" s="25"/>
      <c r="H9" s="28"/>
    </row>
    <row r="10" spans="1:8" ht="18.75" x14ac:dyDescent="0.3">
      <c r="A10" s="5"/>
      <c r="C10" s="3"/>
      <c r="D10" s="28"/>
      <c r="E10" s="25"/>
      <c r="H10" s="28"/>
    </row>
    <row r="11" spans="1:8" ht="19.5" thickBot="1" x14ac:dyDescent="0.35">
      <c r="A11" s="5"/>
      <c r="C11" s="3"/>
      <c r="D11" s="22"/>
      <c r="E11" s="25"/>
      <c r="H11" s="22"/>
    </row>
    <row r="12" spans="1:8" ht="18.75" customHeight="1" x14ac:dyDescent="0.3">
      <c r="D12" s="4">
        <f>SUM(D7:D11)</f>
        <v>191765</v>
      </c>
      <c r="H12" s="4">
        <f>SUM(H7:H11)</f>
        <v>30617.941176470591</v>
      </c>
    </row>
    <row r="13" spans="1:8" ht="18.75" x14ac:dyDescent="0.3">
      <c r="A13" s="5"/>
      <c r="C13" s="3"/>
      <c r="D13" s="4"/>
      <c r="H13" s="4"/>
    </row>
    <row r="15" spans="1:8" ht="18.75" x14ac:dyDescent="0.3">
      <c r="A15" s="5"/>
      <c r="C15" s="3"/>
      <c r="D15" s="4"/>
      <c r="H15" s="4"/>
    </row>
    <row r="16" spans="1:8" ht="15.75" thickBot="1" x14ac:dyDescent="0.3">
      <c r="D16" s="7"/>
      <c r="H16" s="7"/>
    </row>
    <row r="18" spans="1:8" ht="18.75" x14ac:dyDescent="0.3">
      <c r="C18" t="s">
        <v>4</v>
      </c>
      <c r="D18" s="4">
        <f>D3-D12</f>
        <v>130249</v>
      </c>
      <c r="G18" t="s">
        <v>5</v>
      </c>
      <c r="H18" s="4">
        <f>H3-H12</f>
        <v>20796.058823529409</v>
      </c>
    </row>
    <row r="21" spans="1:8" ht="15.75" x14ac:dyDescent="0.25">
      <c r="A21" t="s">
        <v>6</v>
      </c>
      <c r="C21" s="8">
        <f>D18</f>
        <v>130249</v>
      </c>
      <c r="E21" t="s">
        <v>10</v>
      </c>
      <c r="H21" s="6">
        <f>C30</f>
        <v>108164.88517647059</v>
      </c>
    </row>
    <row r="23" spans="1:8" ht="15.75" x14ac:dyDescent="0.25">
      <c r="A23" t="s">
        <v>5</v>
      </c>
      <c r="B23" s="9" t="s">
        <v>7</v>
      </c>
      <c r="C23" s="8">
        <f>H18</f>
        <v>20796.058823529409</v>
      </c>
      <c r="E23" s="13" t="s">
        <v>11</v>
      </c>
      <c r="F23" s="9" t="s">
        <v>181</v>
      </c>
      <c r="G23" s="15" t="s">
        <v>17</v>
      </c>
      <c r="H23" s="3">
        <f>-(F24*0.007)</f>
        <v>-1894.2</v>
      </c>
    </row>
    <row r="24" spans="1:8" x14ac:dyDescent="0.25">
      <c r="F24" s="21">
        <f>D3-H3</f>
        <v>270600</v>
      </c>
    </row>
    <row r="25" spans="1:8" ht="15.75" x14ac:dyDescent="0.25">
      <c r="A25" t="s">
        <v>8</v>
      </c>
      <c r="B25" s="9" t="s">
        <v>7</v>
      </c>
      <c r="C25" s="8">
        <f>D3*0.004</f>
        <v>1288.056</v>
      </c>
      <c r="F25" s="9" t="s">
        <v>13</v>
      </c>
      <c r="G25" s="16">
        <v>0.35</v>
      </c>
      <c r="H25" s="29">
        <f>-(F26*0.35)</f>
        <v>-37857.709811764704</v>
      </c>
    </row>
    <row r="26" spans="1:8" ht="15.75" thickBot="1" x14ac:dyDescent="0.3">
      <c r="F26" s="21">
        <f>H21</f>
        <v>108164.88517647059</v>
      </c>
      <c r="H26" s="7"/>
    </row>
    <row r="27" spans="1:8" ht="15.75" x14ac:dyDescent="0.25">
      <c r="A27" t="s">
        <v>9</v>
      </c>
      <c r="B27" s="9" t="s">
        <v>7</v>
      </c>
      <c r="C27" s="10"/>
      <c r="G27" s="13" t="s">
        <v>14</v>
      </c>
      <c r="H27" s="6">
        <f>H21+H23+H25</f>
        <v>68412.975364705897</v>
      </c>
    </row>
    <row r="28" spans="1:8" ht="15.75" thickBot="1" x14ac:dyDescent="0.3">
      <c r="A28" s="16"/>
      <c r="B28" s="14"/>
      <c r="C28" s="7"/>
    </row>
    <row r="29" spans="1:8" x14ac:dyDescent="0.25">
      <c r="E29" t="s">
        <v>151</v>
      </c>
      <c r="H29" s="20">
        <f>H27*0.5</f>
        <v>34206.487682352948</v>
      </c>
    </row>
    <row r="30" spans="1:8" ht="15.75" x14ac:dyDescent="0.25">
      <c r="A30" t="s">
        <v>10</v>
      </c>
      <c r="C30" s="10">
        <f>C21-C23-C25-C27</f>
        <v>108164.88517647059</v>
      </c>
      <c r="H30" s="18"/>
    </row>
    <row r="31" spans="1:8" x14ac:dyDescent="0.25">
      <c r="H31" s="3"/>
    </row>
    <row r="32" spans="1:8" x14ac:dyDescent="0.25">
      <c r="H32" s="18"/>
    </row>
  </sheetData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AFEEB-1C8F-475A-A00C-C700F53DCDD1}">
  <dimension ref="A1:H32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561</v>
      </c>
    </row>
    <row r="3" spans="1:8" ht="21" x14ac:dyDescent="0.35">
      <c r="A3" s="2" t="s">
        <v>1</v>
      </c>
      <c r="D3" s="11">
        <v>23800</v>
      </c>
      <c r="F3" s="12" t="s">
        <v>3</v>
      </c>
      <c r="H3" s="4">
        <f>(D3/1.19)*0.19</f>
        <v>3800</v>
      </c>
    </row>
    <row r="4" spans="1:8" x14ac:dyDescent="0.25">
      <c r="A4" s="13" t="s">
        <v>32</v>
      </c>
      <c r="C4" s="26">
        <v>724</v>
      </c>
    </row>
    <row r="5" spans="1:8" ht="21" x14ac:dyDescent="0.35">
      <c r="A5" s="2" t="s">
        <v>2</v>
      </c>
    </row>
    <row r="7" spans="1:8" ht="18.75" x14ac:dyDescent="0.3">
      <c r="A7" s="5" t="s">
        <v>185</v>
      </c>
      <c r="D7" s="4">
        <v>6817</v>
      </c>
      <c r="E7" s="25"/>
      <c r="H7" s="4">
        <f>(D7/1.19)*0.19</f>
        <v>1088.4285714285713</v>
      </c>
    </row>
    <row r="8" spans="1:8" ht="18.75" x14ac:dyDescent="0.3">
      <c r="A8" s="5"/>
      <c r="C8" s="3"/>
      <c r="D8" s="32"/>
      <c r="E8" s="25"/>
      <c r="H8" s="4"/>
    </row>
    <row r="9" spans="1:8" ht="18.75" x14ac:dyDescent="0.3">
      <c r="A9" s="5"/>
      <c r="C9" s="3"/>
      <c r="D9" s="28"/>
      <c r="E9" s="25"/>
      <c r="H9" s="28"/>
    </row>
    <row r="10" spans="1:8" ht="18.75" x14ac:dyDescent="0.3">
      <c r="A10" s="5"/>
      <c r="C10" s="3"/>
      <c r="D10" s="28"/>
      <c r="E10" s="25"/>
      <c r="H10" s="28"/>
    </row>
    <row r="11" spans="1:8" ht="19.5" thickBot="1" x14ac:dyDescent="0.35">
      <c r="A11" s="5"/>
      <c r="C11" s="3"/>
      <c r="D11" s="22"/>
      <c r="E11" s="25"/>
      <c r="H11" s="22"/>
    </row>
    <row r="12" spans="1:8" ht="18.75" customHeight="1" x14ac:dyDescent="0.3">
      <c r="D12" s="4">
        <f>SUM(D7:D11)</f>
        <v>6817</v>
      </c>
      <c r="H12" s="4">
        <f>SUM(H7:H11)</f>
        <v>1088.4285714285713</v>
      </c>
    </row>
    <row r="13" spans="1:8" ht="18.75" x14ac:dyDescent="0.3">
      <c r="A13" s="5"/>
      <c r="C13" s="3"/>
      <c r="D13" s="4"/>
      <c r="H13" s="4"/>
    </row>
    <row r="15" spans="1:8" ht="18.75" x14ac:dyDescent="0.3">
      <c r="A15" s="5"/>
      <c r="C15" s="3"/>
      <c r="D15" s="4"/>
      <c r="H15" s="4"/>
    </row>
    <row r="16" spans="1:8" ht="15.75" thickBot="1" x14ac:dyDescent="0.3">
      <c r="D16" s="7"/>
      <c r="H16" s="7"/>
    </row>
    <row r="18" spans="1:8" ht="18.75" x14ac:dyDescent="0.3">
      <c r="C18" t="s">
        <v>4</v>
      </c>
      <c r="D18" s="4">
        <f>D3-D12</f>
        <v>16983</v>
      </c>
      <c r="G18" t="s">
        <v>5</v>
      </c>
      <c r="H18" s="4">
        <f>H3-H12</f>
        <v>2711.5714285714284</v>
      </c>
    </row>
    <row r="21" spans="1:8" ht="15.75" x14ac:dyDescent="0.25">
      <c r="A21" t="s">
        <v>6</v>
      </c>
      <c r="C21" s="8">
        <f>D18</f>
        <v>16983</v>
      </c>
      <c r="E21" t="s">
        <v>10</v>
      </c>
      <c r="H21" s="6">
        <f>C30</f>
        <v>14176.228571428572</v>
      </c>
    </row>
    <row r="23" spans="1:8" ht="15.75" x14ac:dyDescent="0.25">
      <c r="A23" t="s">
        <v>5</v>
      </c>
      <c r="B23" s="9" t="s">
        <v>7</v>
      </c>
      <c r="C23" s="8">
        <f>H18</f>
        <v>2711.5714285714284</v>
      </c>
      <c r="E23" s="13" t="s">
        <v>11</v>
      </c>
      <c r="F23" s="9" t="s">
        <v>181</v>
      </c>
      <c r="G23" s="15" t="s">
        <v>17</v>
      </c>
      <c r="H23" s="3">
        <f>-(F24*0.007)</f>
        <v>-140</v>
      </c>
    </row>
    <row r="24" spans="1:8" x14ac:dyDescent="0.25">
      <c r="F24" s="21">
        <f>D3-H3</f>
        <v>20000</v>
      </c>
    </row>
    <row r="25" spans="1:8" ht="15.75" x14ac:dyDescent="0.25">
      <c r="A25" t="s">
        <v>8</v>
      </c>
      <c r="B25" s="9" t="s">
        <v>7</v>
      </c>
      <c r="C25" s="8">
        <f>D3*0.004</f>
        <v>95.2</v>
      </c>
      <c r="F25" s="9" t="s">
        <v>13</v>
      </c>
      <c r="G25" s="16">
        <v>0.35</v>
      </c>
      <c r="H25" s="29">
        <f>-(F26*0.35)</f>
        <v>-4961.6799999999994</v>
      </c>
    </row>
    <row r="26" spans="1:8" ht="15.75" thickBot="1" x14ac:dyDescent="0.3">
      <c r="F26" s="21">
        <f>H21</f>
        <v>14176.228571428572</v>
      </c>
      <c r="H26" s="7"/>
    </row>
    <row r="27" spans="1:8" ht="15.75" x14ac:dyDescent="0.25">
      <c r="A27" t="s">
        <v>9</v>
      </c>
      <c r="B27" s="9" t="s">
        <v>7</v>
      </c>
      <c r="C27" s="10"/>
      <c r="G27" s="13" t="s">
        <v>14</v>
      </c>
      <c r="H27" s="6">
        <f>H21+H23+H25</f>
        <v>9074.5485714285714</v>
      </c>
    </row>
    <row r="28" spans="1:8" ht="15.75" thickBot="1" x14ac:dyDescent="0.3">
      <c r="A28" s="16"/>
      <c r="B28" s="14"/>
      <c r="C28" s="7"/>
    </row>
    <row r="29" spans="1:8" x14ac:dyDescent="0.25">
      <c r="E29" t="s">
        <v>151</v>
      </c>
      <c r="H29" s="20">
        <f>H27*0.5</f>
        <v>4537.2742857142857</v>
      </c>
    </row>
    <row r="30" spans="1:8" ht="15.75" x14ac:dyDescent="0.25">
      <c r="A30" t="s">
        <v>10</v>
      </c>
      <c r="C30" s="10">
        <f>C21-C23-C25-C27</f>
        <v>14176.228571428572</v>
      </c>
      <c r="H30" s="18"/>
    </row>
    <row r="31" spans="1:8" x14ac:dyDescent="0.25">
      <c r="H31" s="3"/>
    </row>
    <row r="32" spans="1:8" x14ac:dyDescent="0.25">
      <c r="H32" s="18"/>
    </row>
  </sheetData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75BD6-E9E4-4E35-A24D-CBC7A6C37394}">
  <dimension ref="A1:H32"/>
  <sheetViews>
    <sheetView workbookViewId="0">
      <selection activeCell="C5" sqref="C5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562</v>
      </c>
    </row>
    <row r="3" spans="1:8" ht="21" x14ac:dyDescent="0.35">
      <c r="A3" s="2" t="s">
        <v>1</v>
      </c>
      <c r="D3" s="11">
        <v>333200</v>
      </c>
      <c r="F3" s="12" t="s">
        <v>3</v>
      </c>
      <c r="H3" s="4">
        <f>(D3/1.19)*0.19</f>
        <v>53200</v>
      </c>
    </row>
    <row r="4" spans="1:8" x14ac:dyDescent="0.25">
      <c r="A4" s="13" t="s">
        <v>32</v>
      </c>
      <c r="C4" s="26">
        <v>725</v>
      </c>
    </row>
    <row r="5" spans="1:8" ht="21" x14ac:dyDescent="0.35">
      <c r="A5" s="2" t="s">
        <v>2</v>
      </c>
    </row>
    <row r="7" spans="1:8" ht="18.75" x14ac:dyDescent="0.3">
      <c r="A7" s="5" t="s">
        <v>185</v>
      </c>
      <c r="D7" s="4">
        <v>235270</v>
      </c>
      <c r="E7" s="25"/>
      <c r="H7" s="4">
        <f>(D7/1.19)*0.19</f>
        <v>37564.117647058825</v>
      </c>
    </row>
    <row r="8" spans="1:8" ht="18.75" x14ac:dyDescent="0.3">
      <c r="A8" s="5"/>
      <c r="C8" s="3"/>
      <c r="D8" s="32"/>
      <c r="E8" s="25"/>
      <c r="H8" s="4"/>
    </row>
    <row r="9" spans="1:8" ht="18.75" x14ac:dyDescent="0.3">
      <c r="A9" s="5"/>
      <c r="C9" s="3"/>
      <c r="D9" s="28"/>
      <c r="E9" s="25"/>
      <c r="H9" s="28"/>
    </row>
    <row r="10" spans="1:8" ht="18.75" x14ac:dyDescent="0.3">
      <c r="A10" s="5"/>
      <c r="C10" s="3"/>
      <c r="D10" s="28"/>
      <c r="E10" s="25"/>
      <c r="H10" s="28"/>
    </row>
    <row r="11" spans="1:8" ht="19.5" thickBot="1" x14ac:dyDescent="0.35">
      <c r="A11" s="5"/>
      <c r="C11" s="3"/>
      <c r="D11" s="22"/>
      <c r="E11" s="25"/>
      <c r="H11" s="22"/>
    </row>
    <row r="12" spans="1:8" ht="18.75" customHeight="1" x14ac:dyDescent="0.3">
      <c r="D12" s="4">
        <f>SUM(D7:D11)</f>
        <v>235270</v>
      </c>
      <c r="H12" s="4">
        <f>SUM(H7:H11)</f>
        <v>37564.117647058825</v>
      </c>
    </row>
    <row r="13" spans="1:8" ht="18.75" x14ac:dyDescent="0.3">
      <c r="A13" s="5"/>
      <c r="C13" s="3"/>
      <c r="D13" s="4"/>
      <c r="H13" s="4"/>
    </row>
    <row r="15" spans="1:8" ht="18.75" x14ac:dyDescent="0.3">
      <c r="A15" s="5"/>
      <c r="C15" s="3"/>
      <c r="D15" s="4"/>
      <c r="H15" s="4"/>
    </row>
    <row r="16" spans="1:8" ht="15.75" thickBot="1" x14ac:dyDescent="0.3">
      <c r="D16" s="7"/>
      <c r="H16" s="7"/>
    </row>
    <row r="18" spans="1:8" ht="18.75" x14ac:dyDescent="0.3">
      <c r="C18" t="s">
        <v>4</v>
      </c>
      <c r="D18" s="4">
        <f>D3-D12</f>
        <v>97930</v>
      </c>
      <c r="G18" t="s">
        <v>5</v>
      </c>
      <c r="H18" s="4">
        <f>H3-H12</f>
        <v>15635.882352941175</v>
      </c>
    </row>
    <row r="21" spans="1:8" ht="15.75" x14ac:dyDescent="0.25">
      <c r="A21" t="s">
        <v>6</v>
      </c>
      <c r="C21" s="8">
        <f>D18</f>
        <v>97930</v>
      </c>
      <c r="E21" t="s">
        <v>10</v>
      </c>
      <c r="H21" s="6">
        <f>C30</f>
        <v>80961.317647058822</v>
      </c>
    </row>
    <row r="23" spans="1:8" ht="15.75" x14ac:dyDescent="0.25">
      <c r="A23" t="s">
        <v>5</v>
      </c>
      <c r="B23" s="9" t="s">
        <v>7</v>
      </c>
      <c r="C23" s="8">
        <f>H18</f>
        <v>15635.882352941175</v>
      </c>
      <c r="E23" s="13" t="s">
        <v>11</v>
      </c>
      <c r="F23" s="9" t="s">
        <v>181</v>
      </c>
      <c r="G23" s="15" t="s">
        <v>17</v>
      </c>
      <c r="H23" s="3">
        <f>-(F24*0.007)</f>
        <v>-1960</v>
      </c>
    </row>
    <row r="24" spans="1:8" x14ac:dyDescent="0.25">
      <c r="F24" s="21">
        <f>D3-H3</f>
        <v>280000</v>
      </c>
    </row>
    <row r="25" spans="1:8" ht="15.75" x14ac:dyDescent="0.25">
      <c r="A25" t="s">
        <v>8</v>
      </c>
      <c r="B25" s="9" t="s">
        <v>7</v>
      </c>
      <c r="C25" s="8">
        <f>D3*0.004</f>
        <v>1332.8</v>
      </c>
      <c r="F25" s="9" t="s">
        <v>13</v>
      </c>
      <c r="G25" s="16">
        <v>0.35</v>
      </c>
      <c r="H25" s="29">
        <f>-(F26*0.35)</f>
        <v>-28336.461176470588</v>
      </c>
    </row>
    <row r="26" spans="1:8" ht="15.75" thickBot="1" x14ac:dyDescent="0.3">
      <c r="F26" s="21">
        <f>H21</f>
        <v>80961.317647058822</v>
      </c>
      <c r="H26" s="7"/>
    </row>
    <row r="27" spans="1:8" ht="15.75" x14ac:dyDescent="0.25">
      <c r="A27" t="s">
        <v>9</v>
      </c>
      <c r="B27" s="9" t="s">
        <v>7</v>
      </c>
      <c r="C27" s="10"/>
      <c r="G27" s="13" t="s">
        <v>14</v>
      </c>
      <c r="H27" s="6">
        <f>H21+H23+H25</f>
        <v>50664.856470588231</v>
      </c>
    </row>
    <row r="28" spans="1:8" ht="15.75" thickBot="1" x14ac:dyDescent="0.3">
      <c r="A28" s="16"/>
      <c r="B28" s="14"/>
      <c r="C28" s="7"/>
    </row>
    <row r="29" spans="1:8" x14ac:dyDescent="0.25">
      <c r="E29" t="s">
        <v>151</v>
      </c>
      <c r="H29" s="20">
        <f>H27*0.5</f>
        <v>25332.428235294115</v>
      </c>
    </row>
    <row r="30" spans="1:8" ht="15.75" x14ac:dyDescent="0.25">
      <c r="A30" t="s">
        <v>10</v>
      </c>
      <c r="C30" s="10">
        <f>C21-C23-C25-C27</f>
        <v>80961.317647058822</v>
      </c>
      <c r="H30" s="18"/>
    </row>
    <row r="31" spans="1:8" x14ac:dyDescent="0.25">
      <c r="H31" s="3"/>
    </row>
    <row r="32" spans="1:8" x14ac:dyDescent="0.25">
      <c r="H32" s="18"/>
    </row>
  </sheetData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1A4BF-B5E6-4AB4-952C-78EFF2FB2C83}">
  <dimension ref="A1:H32"/>
  <sheetViews>
    <sheetView workbookViewId="0">
      <selection sqref="A1:XFD1048576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563</v>
      </c>
    </row>
    <row r="3" spans="1:8" ht="21" x14ac:dyDescent="0.35">
      <c r="A3" s="2" t="s">
        <v>1</v>
      </c>
      <c r="D3" s="11">
        <v>47838</v>
      </c>
      <c r="F3" s="12" t="s">
        <v>3</v>
      </c>
      <c r="H3" s="4">
        <f>(D3/1.19)*0.19</f>
        <v>7638</v>
      </c>
    </row>
    <row r="4" spans="1:8" x14ac:dyDescent="0.25">
      <c r="A4" s="13" t="s">
        <v>32</v>
      </c>
      <c r="C4" s="26">
        <v>727</v>
      </c>
    </row>
    <row r="5" spans="1:8" ht="21" x14ac:dyDescent="0.35">
      <c r="A5" s="2" t="s">
        <v>2</v>
      </c>
    </row>
    <row r="7" spans="1:8" ht="18.75" x14ac:dyDescent="0.3">
      <c r="A7" s="5" t="s">
        <v>185</v>
      </c>
      <c r="D7" s="4">
        <v>31848</v>
      </c>
      <c r="E7" s="25"/>
      <c r="H7" s="4">
        <f>(D7/1.19)*0.19</f>
        <v>5084.9747899159665</v>
      </c>
    </row>
    <row r="8" spans="1:8" ht="18.75" x14ac:dyDescent="0.3">
      <c r="A8" s="5"/>
      <c r="C8" s="3"/>
      <c r="D8" s="32"/>
      <c r="E8" s="25"/>
      <c r="H8" s="4"/>
    </row>
    <row r="9" spans="1:8" ht="18.75" x14ac:dyDescent="0.3">
      <c r="A9" s="5"/>
      <c r="C9" s="3"/>
      <c r="D9" s="28"/>
      <c r="E9" s="25"/>
      <c r="H9" s="28"/>
    </row>
    <row r="10" spans="1:8" ht="18.75" x14ac:dyDescent="0.3">
      <c r="A10" s="5"/>
      <c r="C10" s="3"/>
      <c r="D10" s="28"/>
      <c r="E10" s="25"/>
      <c r="H10" s="28"/>
    </row>
    <row r="11" spans="1:8" ht="19.5" thickBot="1" x14ac:dyDescent="0.35">
      <c r="A11" s="5"/>
      <c r="C11" s="3"/>
      <c r="D11" s="22"/>
      <c r="E11" s="25"/>
      <c r="H11" s="22"/>
    </row>
    <row r="12" spans="1:8" ht="18.75" customHeight="1" x14ac:dyDescent="0.3">
      <c r="D12" s="4">
        <f>SUM(D7:D11)</f>
        <v>31848</v>
      </c>
      <c r="H12" s="4">
        <f>SUM(H7:H11)</f>
        <v>5084.9747899159665</v>
      </c>
    </row>
    <row r="13" spans="1:8" ht="18.75" x14ac:dyDescent="0.3">
      <c r="A13" s="5"/>
      <c r="C13" s="3"/>
      <c r="D13" s="4"/>
      <c r="H13" s="4"/>
    </row>
    <row r="15" spans="1:8" ht="18.75" x14ac:dyDescent="0.3">
      <c r="A15" s="5"/>
      <c r="C15" s="3"/>
      <c r="D15" s="4"/>
      <c r="H15" s="4"/>
    </row>
    <row r="16" spans="1:8" ht="15.75" thickBot="1" x14ac:dyDescent="0.3">
      <c r="D16" s="7"/>
      <c r="H16" s="7"/>
    </row>
    <row r="18" spans="1:8" ht="18.75" x14ac:dyDescent="0.3">
      <c r="C18" t="s">
        <v>4</v>
      </c>
      <c r="D18" s="4">
        <f>D3-D12</f>
        <v>15990</v>
      </c>
      <c r="G18" t="s">
        <v>5</v>
      </c>
      <c r="H18" s="4">
        <f>H3-H12</f>
        <v>2553.0252100840335</v>
      </c>
    </row>
    <row r="21" spans="1:8" ht="15.75" x14ac:dyDescent="0.25">
      <c r="A21" t="s">
        <v>6</v>
      </c>
      <c r="C21" s="8">
        <f>D18</f>
        <v>15990</v>
      </c>
      <c r="E21" t="s">
        <v>10</v>
      </c>
      <c r="H21" s="6">
        <f>C30</f>
        <v>13245.622789915966</v>
      </c>
    </row>
    <row r="23" spans="1:8" ht="15.75" x14ac:dyDescent="0.25">
      <c r="A23" t="s">
        <v>5</v>
      </c>
      <c r="B23" s="9" t="s">
        <v>7</v>
      </c>
      <c r="C23" s="8">
        <f>H18</f>
        <v>2553.0252100840335</v>
      </c>
      <c r="E23" s="13" t="s">
        <v>11</v>
      </c>
      <c r="F23" s="9" t="s">
        <v>181</v>
      </c>
      <c r="G23" s="15" t="s">
        <v>17</v>
      </c>
      <c r="H23" s="3">
        <f>-(F24*0.007)</f>
        <v>-281.40000000000003</v>
      </c>
    </row>
    <row r="24" spans="1:8" x14ac:dyDescent="0.25">
      <c r="F24" s="21">
        <f>D3-H3</f>
        <v>40200</v>
      </c>
    </row>
    <row r="25" spans="1:8" ht="15.75" x14ac:dyDescent="0.25">
      <c r="A25" t="s">
        <v>8</v>
      </c>
      <c r="B25" s="9" t="s">
        <v>7</v>
      </c>
      <c r="C25" s="8">
        <f>D3*0.004</f>
        <v>191.352</v>
      </c>
      <c r="F25" s="9" t="s">
        <v>13</v>
      </c>
      <c r="G25" s="16">
        <v>0.35</v>
      </c>
      <c r="H25" s="29">
        <f>-(F26*0.35)</f>
        <v>-4635.9679764705879</v>
      </c>
    </row>
    <row r="26" spans="1:8" ht="15.75" thickBot="1" x14ac:dyDescent="0.3">
      <c r="F26" s="21">
        <f>H21</f>
        <v>13245.622789915966</v>
      </c>
      <c r="H26" s="7"/>
    </row>
    <row r="27" spans="1:8" ht="15.75" x14ac:dyDescent="0.25">
      <c r="A27" t="s">
        <v>9</v>
      </c>
      <c r="B27" s="9" t="s">
        <v>7</v>
      </c>
      <c r="C27" s="10"/>
      <c r="G27" s="13" t="s">
        <v>14</v>
      </c>
      <c r="H27" s="6">
        <f>H21+H23+H25</f>
        <v>8328.2548134453791</v>
      </c>
    </row>
    <row r="28" spans="1:8" ht="15.75" thickBot="1" x14ac:dyDescent="0.3">
      <c r="A28" s="16"/>
      <c r="B28" s="14"/>
      <c r="C28" s="7"/>
    </row>
    <row r="29" spans="1:8" x14ac:dyDescent="0.25">
      <c r="E29" t="s">
        <v>151</v>
      </c>
      <c r="H29" s="20">
        <f>H27*0.5</f>
        <v>4164.1274067226896</v>
      </c>
    </row>
    <row r="30" spans="1:8" ht="15.75" x14ac:dyDescent="0.25">
      <c r="A30" t="s">
        <v>10</v>
      </c>
      <c r="C30" s="10">
        <f>C21-C23-C25-C27</f>
        <v>13245.622789915966</v>
      </c>
      <c r="H30" s="18"/>
    </row>
    <row r="31" spans="1:8" x14ac:dyDescent="0.25">
      <c r="H31" s="3"/>
    </row>
    <row r="32" spans="1:8" x14ac:dyDescent="0.25">
      <c r="H32" s="18"/>
    </row>
  </sheetData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94942-5D63-4DCB-885D-30CFF8277962}">
  <dimension ref="A1:H32"/>
  <sheetViews>
    <sheetView workbookViewId="0">
      <selection sqref="A1:XFD1048576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564</v>
      </c>
    </row>
    <row r="3" spans="1:8" ht="21" x14ac:dyDescent="0.35">
      <c r="A3" s="2" t="s">
        <v>1</v>
      </c>
      <c r="D3" s="11">
        <v>23800</v>
      </c>
      <c r="F3" s="12" t="s">
        <v>3</v>
      </c>
      <c r="H3" s="4">
        <f>(D3/1.19)*0.19</f>
        <v>3800</v>
      </c>
    </row>
    <row r="4" spans="1:8" x14ac:dyDescent="0.25">
      <c r="A4" s="13" t="s">
        <v>32</v>
      </c>
      <c r="C4" s="26">
        <v>729</v>
      </c>
    </row>
    <row r="5" spans="1:8" ht="21" x14ac:dyDescent="0.35">
      <c r="A5" s="2" t="s">
        <v>2</v>
      </c>
    </row>
    <row r="7" spans="1:8" ht="18.75" x14ac:dyDescent="0.3">
      <c r="A7" s="5" t="s">
        <v>185</v>
      </c>
      <c r="D7" s="4">
        <v>13285</v>
      </c>
      <c r="E7" s="25"/>
      <c r="H7" s="4">
        <f>(D7/1.19)*0.19</f>
        <v>2121.1344537815125</v>
      </c>
    </row>
    <row r="8" spans="1:8" ht="18.75" x14ac:dyDescent="0.3">
      <c r="A8" s="5"/>
      <c r="C8" s="3"/>
      <c r="D8" s="32"/>
      <c r="E8" s="25"/>
      <c r="H8" s="4"/>
    </row>
    <row r="9" spans="1:8" ht="18.75" x14ac:dyDescent="0.3">
      <c r="A9" s="5"/>
      <c r="C9" s="3"/>
      <c r="D9" s="28"/>
      <c r="E9" s="25"/>
      <c r="H9" s="28"/>
    </row>
    <row r="10" spans="1:8" ht="18.75" x14ac:dyDescent="0.3">
      <c r="A10" s="5"/>
      <c r="C10" s="3"/>
      <c r="D10" s="28"/>
      <c r="E10" s="25"/>
      <c r="H10" s="28"/>
    </row>
    <row r="11" spans="1:8" ht="19.5" thickBot="1" x14ac:dyDescent="0.35">
      <c r="A11" s="5"/>
      <c r="C11" s="3"/>
      <c r="D11" s="22"/>
      <c r="E11" s="25"/>
      <c r="H11" s="22"/>
    </row>
    <row r="12" spans="1:8" ht="18.75" customHeight="1" x14ac:dyDescent="0.3">
      <c r="D12" s="4">
        <f>SUM(D7:D11)</f>
        <v>13285</v>
      </c>
      <c r="H12" s="4">
        <f>SUM(H7:H11)</f>
        <v>2121.1344537815125</v>
      </c>
    </row>
    <row r="13" spans="1:8" ht="18.75" x14ac:dyDescent="0.3">
      <c r="A13" s="5"/>
      <c r="C13" s="3"/>
      <c r="D13" s="4"/>
      <c r="H13" s="4"/>
    </row>
    <row r="15" spans="1:8" ht="18.75" x14ac:dyDescent="0.3">
      <c r="A15" s="5"/>
      <c r="C15" s="3"/>
      <c r="D15" s="4"/>
      <c r="H15" s="4"/>
    </row>
    <row r="16" spans="1:8" ht="15.75" thickBot="1" x14ac:dyDescent="0.3">
      <c r="D16" s="7"/>
      <c r="H16" s="7"/>
    </row>
    <row r="18" spans="1:8" ht="18.75" x14ac:dyDescent="0.3">
      <c r="C18" t="s">
        <v>4</v>
      </c>
      <c r="D18" s="4">
        <f>D3-D12</f>
        <v>10515</v>
      </c>
      <c r="G18" t="s">
        <v>5</v>
      </c>
      <c r="H18" s="4">
        <f>H3-H12</f>
        <v>1678.8655462184875</v>
      </c>
    </row>
    <row r="21" spans="1:8" ht="15.75" x14ac:dyDescent="0.25">
      <c r="A21" t="s">
        <v>6</v>
      </c>
      <c r="C21" s="8">
        <f>D18</f>
        <v>10515</v>
      </c>
      <c r="E21" t="s">
        <v>10</v>
      </c>
      <c r="H21" s="6">
        <f>C30</f>
        <v>8740.9344537815123</v>
      </c>
    </row>
    <row r="23" spans="1:8" ht="15.75" x14ac:dyDescent="0.25">
      <c r="A23" t="s">
        <v>5</v>
      </c>
      <c r="B23" s="9" t="s">
        <v>7</v>
      </c>
      <c r="C23" s="8">
        <f>H18</f>
        <v>1678.8655462184875</v>
      </c>
      <c r="E23" s="13" t="s">
        <v>11</v>
      </c>
      <c r="F23" s="9" t="s">
        <v>181</v>
      </c>
      <c r="G23" s="15" t="s">
        <v>17</v>
      </c>
      <c r="H23" s="3">
        <f>-(F24*0.007)</f>
        <v>-140</v>
      </c>
    </row>
    <row r="24" spans="1:8" x14ac:dyDescent="0.25">
      <c r="F24" s="21">
        <f>D3-H3</f>
        <v>20000</v>
      </c>
    </row>
    <row r="25" spans="1:8" ht="15.75" x14ac:dyDescent="0.25">
      <c r="A25" t="s">
        <v>8</v>
      </c>
      <c r="B25" s="9" t="s">
        <v>7</v>
      </c>
      <c r="C25" s="8">
        <f>D3*0.004</f>
        <v>95.2</v>
      </c>
      <c r="F25" s="9" t="s">
        <v>13</v>
      </c>
      <c r="G25" s="16">
        <v>0.35</v>
      </c>
      <c r="H25" s="29">
        <f>-(F26*0.35)</f>
        <v>-3059.3270588235291</v>
      </c>
    </row>
    <row r="26" spans="1:8" ht="15.75" thickBot="1" x14ac:dyDescent="0.3">
      <c r="F26" s="21">
        <f>H21</f>
        <v>8740.9344537815123</v>
      </c>
      <c r="H26" s="7"/>
    </row>
    <row r="27" spans="1:8" ht="15.75" x14ac:dyDescent="0.25">
      <c r="A27" t="s">
        <v>9</v>
      </c>
      <c r="B27" s="9" t="s">
        <v>7</v>
      </c>
      <c r="C27" s="10"/>
      <c r="G27" s="13" t="s">
        <v>14</v>
      </c>
      <c r="H27" s="6">
        <f>H21+H23+H25</f>
        <v>5541.6073949579832</v>
      </c>
    </row>
    <row r="28" spans="1:8" ht="15.75" thickBot="1" x14ac:dyDescent="0.3">
      <c r="A28" s="16"/>
      <c r="B28" s="14"/>
      <c r="C28" s="7"/>
    </row>
    <row r="29" spans="1:8" x14ac:dyDescent="0.25">
      <c r="E29" t="s">
        <v>151</v>
      </c>
      <c r="H29" s="20">
        <f>H27*0.5</f>
        <v>2770.8036974789916</v>
      </c>
    </row>
    <row r="30" spans="1:8" ht="15.75" x14ac:dyDescent="0.25">
      <c r="A30" t="s">
        <v>10</v>
      </c>
      <c r="C30" s="10">
        <f>C21-C23-C25-C27</f>
        <v>8740.9344537815123</v>
      </c>
      <c r="H30" s="18"/>
    </row>
    <row r="31" spans="1:8" x14ac:dyDescent="0.25">
      <c r="H31" s="3"/>
    </row>
    <row r="32" spans="1:8" x14ac:dyDescent="0.25">
      <c r="H32" s="18"/>
    </row>
  </sheetData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A533D-910A-454A-A95D-E0BE25A254CB}">
  <dimension ref="A1:H32"/>
  <sheetViews>
    <sheetView workbookViewId="0">
      <selection sqref="A1:XFD1048576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565</v>
      </c>
    </row>
    <row r="3" spans="1:8" ht="21" x14ac:dyDescent="0.35">
      <c r="A3" s="2" t="s">
        <v>1</v>
      </c>
      <c r="D3" s="11">
        <v>19998</v>
      </c>
      <c r="F3" s="12" t="s">
        <v>3</v>
      </c>
      <c r="H3" s="4">
        <f>(D3/1.19)*0.19</f>
        <v>3192.9579831932779</v>
      </c>
    </row>
    <row r="4" spans="1:8" x14ac:dyDescent="0.25">
      <c r="A4" s="13" t="s">
        <v>32</v>
      </c>
      <c r="C4" s="26">
        <v>729</v>
      </c>
    </row>
    <row r="5" spans="1:8" ht="21" x14ac:dyDescent="0.35">
      <c r="A5" s="2" t="s">
        <v>2</v>
      </c>
    </row>
    <row r="7" spans="1:8" ht="18.75" x14ac:dyDescent="0.3">
      <c r="A7" s="5" t="s">
        <v>185</v>
      </c>
      <c r="D7" s="4">
        <v>10625</v>
      </c>
      <c r="E7" s="25"/>
      <c r="H7" s="4">
        <f>(D7/1.19)*0.19</f>
        <v>1696.4285714285716</v>
      </c>
    </row>
    <row r="8" spans="1:8" ht="18.75" x14ac:dyDescent="0.3">
      <c r="A8" s="5"/>
      <c r="C8" s="3"/>
      <c r="D8" s="32"/>
      <c r="E8" s="25"/>
      <c r="H8" s="4"/>
    </row>
    <row r="9" spans="1:8" ht="18.75" x14ac:dyDescent="0.3">
      <c r="A9" s="5"/>
      <c r="C9" s="3"/>
      <c r="D9" s="28"/>
      <c r="E9" s="25"/>
      <c r="H9" s="28"/>
    </row>
    <row r="10" spans="1:8" ht="18.75" x14ac:dyDescent="0.3">
      <c r="A10" s="5"/>
      <c r="C10" s="3"/>
      <c r="D10" s="28"/>
      <c r="E10" s="25"/>
      <c r="H10" s="28"/>
    </row>
    <row r="11" spans="1:8" ht="19.5" thickBot="1" x14ac:dyDescent="0.35">
      <c r="A11" s="5"/>
      <c r="C11" s="3"/>
      <c r="D11" s="22"/>
      <c r="E11" s="25"/>
      <c r="H11" s="22"/>
    </row>
    <row r="12" spans="1:8" ht="18.75" customHeight="1" x14ac:dyDescent="0.3">
      <c r="D12" s="4">
        <f>SUM(D7:D11)</f>
        <v>10625</v>
      </c>
      <c r="H12" s="4">
        <f>SUM(H7:H11)</f>
        <v>1696.4285714285716</v>
      </c>
    </row>
    <row r="13" spans="1:8" ht="18.75" x14ac:dyDescent="0.3">
      <c r="A13" s="5"/>
      <c r="C13" s="3"/>
      <c r="D13" s="4"/>
      <c r="H13" s="4"/>
    </row>
    <row r="15" spans="1:8" ht="18.75" x14ac:dyDescent="0.3">
      <c r="A15" s="5"/>
      <c r="C15" s="3"/>
      <c r="D15" s="4"/>
      <c r="H15" s="4"/>
    </row>
    <row r="16" spans="1:8" ht="15.75" thickBot="1" x14ac:dyDescent="0.3">
      <c r="D16" s="7"/>
      <c r="H16" s="7"/>
    </row>
    <row r="18" spans="1:8" ht="18.75" x14ac:dyDescent="0.3">
      <c r="C18" t="s">
        <v>4</v>
      </c>
      <c r="D18" s="4">
        <f>D3-D12</f>
        <v>9373</v>
      </c>
      <c r="G18" t="s">
        <v>5</v>
      </c>
      <c r="H18" s="4">
        <f>H3-H12</f>
        <v>1496.5294117647063</v>
      </c>
    </row>
    <row r="21" spans="1:8" ht="15.75" x14ac:dyDescent="0.25">
      <c r="A21" t="s">
        <v>6</v>
      </c>
      <c r="C21" s="8">
        <f>D18</f>
        <v>9373</v>
      </c>
      <c r="E21" t="s">
        <v>10</v>
      </c>
      <c r="H21" s="6">
        <f>C30</f>
        <v>7796.4785882352935</v>
      </c>
    </row>
    <row r="23" spans="1:8" ht="15.75" x14ac:dyDescent="0.25">
      <c r="A23" t="s">
        <v>5</v>
      </c>
      <c r="B23" s="9" t="s">
        <v>7</v>
      </c>
      <c r="C23" s="8">
        <f>H18</f>
        <v>1496.5294117647063</v>
      </c>
      <c r="E23" s="13" t="s">
        <v>11</v>
      </c>
      <c r="F23" s="9" t="s">
        <v>181</v>
      </c>
      <c r="G23" s="15" t="s">
        <v>17</v>
      </c>
      <c r="H23" s="3">
        <f>-(F24*0.007)</f>
        <v>-117.63529411764705</v>
      </c>
    </row>
    <row r="24" spans="1:8" x14ac:dyDescent="0.25">
      <c r="F24" s="21">
        <f>D3-H3</f>
        <v>16805.042016806721</v>
      </c>
    </row>
    <row r="25" spans="1:8" ht="15.75" x14ac:dyDescent="0.25">
      <c r="A25" t="s">
        <v>8</v>
      </c>
      <c r="B25" s="9" t="s">
        <v>7</v>
      </c>
      <c r="C25" s="8">
        <f>D3*0.004</f>
        <v>79.992000000000004</v>
      </c>
      <c r="F25" s="9" t="s">
        <v>13</v>
      </c>
      <c r="G25" s="16">
        <v>0.35</v>
      </c>
      <c r="H25" s="29">
        <f>-(F26*0.35)</f>
        <v>-2728.7675058823525</v>
      </c>
    </row>
    <row r="26" spans="1:8" ht="15.75" thickBot="1" x14ac:dyDescent="0.3">
      <c r="F26" s="21">
        <f>H21</f>
        <v>7796.4785882352935</v>
      </c>
      <c r="H26" s="7"/>
    </row>
    <row r="27" spans="1:8" ht="15.75" x14ac:dyDescent="0.25">
      <c r="A27" t="s">
        <v>9</v>
      </c>
      <c r="B27" s="9" t="s">
        <v>7</v>
      </c>
      <c r="C27" s="10"/>
      <c r="G27" s="13" t="s">
        <v>14</v>
      </c>
      <c r="H27" s="6">
        <f>H21+H23+H25</f>
        <v>4950.0757882352937</v>
      </c>
    </row>
    <row r="28" spans="1:8" ht="15.75" thickBot="1" x14ac:dyDescent="0.3">
      <c r="A28" s="16"/>
      <c r="B28" s="14"/>
      <c r="C28" s="7"/>
    </row>
    <row r="29" spans="1:8" x14ac:dyDescent="0.25">
      <c r="E29" t="s">
        <v>151</v>
      </c>
      <c r="H29" s="20">
        <f>H27*0.5</f>
        <v>2475.0378941176468</v>
      </c>
    </row>
    <row r="30" spans="1:8" ht="15.75" x14ac:dyDescent="0.25">
      <c r="A30" t="s">
        <v>10</v>
      </c>
      <c r="C30" s="10">
        <f>C21-C23-C25-C27</f>
        <v>7796.4785882352935</v>
      </c>
      <c r="H30" s="18"/>
    </row>
    <row r="31" spans="1:8" x14ac:dyDescent="0.25">
      <c r="H31" s="3"/>
    </row>
    <row r="32" spans="1:8" x14ac:dyDescent="0.25">
      <c r="H32" s="18"/>
    </row>
  </sheetData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A07E9-544D-4582-833A-4B45DBC1006D}">
  <dimension ref="A1:H32"/>
  <sheetViews>
    <sheetView workbookViewId="0">
      <selection sqref="A1:XFD1048576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566</v>
      </c>
    </row>
    <row r="3" spans="1:8" ht="21" x14ac:dyDescent="0.35">
      <c r="A3" s="2" t="s">
        <v>1</v>
      </c>
      <c r="D3" s="11">
        <v>226100</v>
      </c>
      <c r="F3" s="12" t="s">
        <v>3</v>
      </c>
      <c r="H3" s="4">
        <f>(D3/1.19)*0.19</f>
        <v>36100</v>
      </c>
    </row>
    <row r="4" spans="1:8" x14ac:dyDescent="0.25">
      <c r="A4" s="13" t="s">
        <v>32</v>
      </c>
      <c r="C4" s="26">
        <v>733</v>
      </c>
    </row>
    <row r="5" spans="1:8" ht="21" x14ac:dyDescent="0.35">
      <c r="A5" s="2" t="s">
        <v>2</v>
      </c>
    </row>
    <row r="7" spans="1:8" ht="18.75" x14ac:dyDescent="0.3">
      <c r="A7" s="5" t="s">
        <v>476</v>
      </c>
      <c r="D7" s="4">
        <v>161320</v>
      </c>
      <c r="E7" s="25"/>
      <c r="H7" s="4">
        <f>(D7/1.19)*0.19</f>
        <v>25756.97478991597</v>
      </c>
    </row>
    <row r="8" spans="1:8" ht="18.75" x14ac:dyDescent="0.3">
      <c r="A8" s="5"/>
      <c r="C8" s="3"/>
      <c r="D8" s="32"/>
      <c r="E8" s="25"/>
      <c r="H8" s="4"/>
    </row>
    <row r="9" spans="1:8" ht="18.75" x14ac:dyDescent="0.3">
      <c r="A9" s="5"/>
      <c r="C9" s="3"/>
      <c r="D9" s="28"/>
      <c r="E9" s="25"/>
      <c r="H9" s="28"/>
    </row>
    <row r="10" spans="1:8" ht="18.75" x14ac:dyDescent="0.3">
      <c r="A10" s="5"/>
      <c r="C10" s="3"/>
      <c r="D10" s="28"/>
      <c r="E10" s="25"/>
      <c r="H10" s="28"/>
    </row>
    <row r="11" spans="1:8" ht="19.5" thickBot="1" x14ac:dyDescent="0.35">
      <c r="A11" s="5"/>
      <c r="C11" s="3"/>
      <c r="D11" s="22"/>
      <c r="E11" s="25"/>
      <c r="H11" s="22"/>
    </row>
    <row r="12" spans="1:8" ht="18.75" customHeight="1" x14ac:dyDescent="0.3">
      <c r="D12" s="4">
        <f>SUM(D7:D11)</f>
        <v>161320</v>
      </c>
      <c r="H12" s="4">
        <f>SUM(H7:H11)</f>
        <v>25756.97478991597</v>
      </c>
    </row>
    <row r="13" spans="1:8" ht="18.75" x14ac:dyDescent="0.3">
      <c r="A13" s="5"/>
      <c r="C13" s="3"/>
      <c r="D13" s="4"/>
      <c r="H13" s="4"/>
    </row>
    <row r="15" spans="1:8" ht="18.75" x14ac:dyDescent="0.3">
      <c r="A15" s="5"/>
      <c r="C15" s="3"/>
      <c r="D15" s="4"/>
      <c r="H15" s="4"/>
    </row>
    <row r="16" spans="1:8" ht="15.75" thickBot="1" x14ac:dyDescent="0.3">
      <c r="D16" s="7"/>
      <c r="H16" s="7"/>
    </row>
    <row r="18" spans="1:8" ht="18.75" x14ac:dyDescent="0.3">
      <c r="C18" t="s">
        <v>4</v>
      </c>
      <c r="D18" s="4">
        <f>D3-D12</f>
        <v>64780</v>
      </c>
      <c r="G18" t="s">
        <v>5</v>
      </c>
      <c r="H18" s="4">
        <f>H3-H12</f>
        <v>10343.02521008403</v>
      </c>
    </row>
    <row r="21" spans="1:8" ht="15.75" x14ac:dyDescent="0.25">
      <c r="A21" t="s">
        <v>6</v>
      </c>
      <c r="C21" s="8">
        <f>D18</f>
        <v>64780</v>
      </c>
      <c r="E21" t="s">
        <v>10</v>
      </c>
      <c r="H21" s="6">
        <f>C30</f>
        <v>53532.574789915969</v>
      </c>
    </row>
    <row r="23" spans="1:8" ht="15.75" x14ac:dyDescent="0.25">
      <c r="A23" t="s">
        <v>5</v>
      </c>
      <c r="B23" s="9" t="s">
        <v>7</v>
      </c>
      <c r="C23" s="8">
        <f>H18</f>
        <v>10343.02521008403</v>
      </c>
      <c r="E23" s="13" t="s">
        <v>11</v>
      </c>
      <c r="F23" s="9" t="s">
        <v>181</v>
      </c>
      <c r="G23" s="15" t="s">
        <v>17</v>
      </c>
      <c r="H23" s="3">
        <f>-(F24*0.007)</f>
        <v>-1330</v>
      </c>
    </row>
    <row r="24" spans="1:8" x14ac:dyDescent="0.25">
      <c r="F24" s="21">
        <f>D3-H3</f>
        <v>190000</v>
      </c>
    </row>
    <row r="25" spans="1:8" ht="15.75" x14ac:dyDescent="0.25">
      <c r="A25" t="s">
        <v>8</v>
      </c>
      <c r="B25" s="9" t="s">
        <v>7</v>
      </c>
      <c r="C25" s="8">
        <f>D3*0.004</f>
        <v>904.4</v>
      </c>
      <c r="F25" s="9" t="s">
        <v>13</v>
      </c>
      <c r="G25" s="16">
        <v>0.35</v>
      </c>
      <c r="H25" s="29">
        <f>-(F26*0.35)</f>
        <v>-18736.401176470587</v>
      </c>
    </row>
    <row r="26" spans="1:8" ht="15.75" thickBot="1" x14ac:dyDescent="0.3">
      <c r="F26" s="21">
        <f>H21</f>
        <v>53532.574789915969</v>
      </c>
      <c r="H26" s="7"/>
    </row>
    <row r="27" spans="1:8" ht="15.75" x14ac:dyDescent="0.25">
      <c r="A27" t="s">
        <v>9</v>
      </c>
      <c r="B27" s="9" t="s">
        <v>7</v>
      </c>
      <c r="C27" s="10"/>
      <c r="G27" s="13" t="s">
        <v>14</v>
      </c>
      <c r="H27" s="6">
        <f>H21+H23+H25</f>
        <v>33466.173613445382</v>
      </c>
    </row>
    <row r="28" spans="1:8" ht="15.75" thickBot="1" x14ac:dyDescent="0.3">
      <c r="A28" s="16"/>
      <c r="B28" s="14"/>
      <c r="C28" s="7"/>
    </row>
    <row r="29" spans="1:8" x14ac:dyDescent="0.25">
      <c r="E29" t="s">
        <v>151</v>
      </c>
      <c r="H29" s="20">
        <f>H27*0.5</f>
        <v>16733.086806722691</v>
      </c>
    </row>
    <row r="30" spans="1:8" ht="15.75" x14ac:dyDescent="0.25">
      <c r="A30" t="s">
        <v>10</v>
      </c>
      <c r="C30" s="10">
        <f>C21-C23-C25-C27</f>
        <v>53532.574789915969</v>
      </c>
      <c r="H30" s="18"/>
    </row>
    <row r="31" spans="1:8" x14ac:dyDescent="0.25">
      <c r="H31" s="3"/>
    </row>
    <row r="32" spans="1:8" x14ac:dyDescent="0.25">
      <c r="H32" s="18"/>
    </row>
  </sheetData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9824F-BD2D-4D98-B0B2-C71C08A229BF}">
  <dimension ref="A1:H32"/>
  <sheetViews>
    <sheetView workbookViewId="0">
      <selection sqref="A1:XFD1048576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567</v>
      </c>
    </row>
    <row r="3" spans="1:8" ht="21" x14ac:dyDescent="0.35">
      <c r="A3" s="2" t="s">
        <v>1</v>
      </c>
      <c r="D3" s="11">
        <v>86934</v>
      </c>
      <c r="F3" s="12" t="s">
        <v>3</v>
      </c>
      <c r="H3" s="4">
        <f>(D3/1.19)*0.19</f>
        <v>13880.218487394957</v>
      </c>
    </row>
    <row r="4" spans="1:8" x14ac:dyDescent="0.25">
      <c r="A4" s="13" t="s">
        <v>32</v>
      </c>
      <c r="C4" s="26">
        <v>734</v>
      </c>
    </row>
    <row r="5" spans="1:8" ht="21" x14ac:dyDescent="0.35">
      <c r="A5" s="2" t="s">
        <v>2</v>
      </c>
    </row>
    <row r="7" spans="1:8" ht="18.75" x14ac:dyDescent="0.3">
      <c r="A7" s="5" t="s">
        <v>476</v>
      </c>
      <c r="D7" s="4">
        <v>54661</v>
      </c>
      <c r="E7" s="25"/>
      <c r="H7" s="4">
        <f>(D7/1.19)*0.19</f>
        <v>8727.3865546218494</v>
      </c>
    </row>
    <row r="8" spans="1:8" ht="18.75" x14ac:dyDescent="0.3">
      <c r="A8" s="5"/>
      <c r="C8" s="3"/>
      <c r="D8" s="32"/>
      <c r="E8" s="25"/>
      <c r="H8" s="4"/>
    </row>
    <row r="9" spans="1:8" ht="18.75" x14ac:dyDescent="0.3">
      <c r="A9" s="5"/>
      <c r="C9" s="3"/>
      <c r="D9" s="28"/>
      <c r="E9" s="25"/>
      <c r="H9" s="28"/>
    </row>
    <row r="10" spans="1:8" ht="18.75" x14ac:dyDescent="0.3">
      <c r="A10" s="5"/>
      <c r="C10" s="3"/>
      <c r="D10" s="28"/>
      <c r="E10" s="25"/>
      <c r="H10" s="28"/>
    </row>
    <row r="11" spans="1:8" ht="19.5" thickBot="1" x14ac:dyDescent="0.35">
      <c r="A11" s="5"/>
      <c r="C11" s="3"/>
      <c r="D11" s="22"/>
      <c r="E11" s="25"/>
      <c r="H11" s="22"/>
    </row>
    <row r="12" spans="1:8" ht="18.75" customHeight="1" x14ac:dyDescent="0.3">
      <c r="D12" s="4">
        <f>SUM(D7:D11)</f>
        <v>54661</v>
      </c>
      <c r="H12" s="4">
        <f>SUM(H7:H11)</f>
        <v>8727.3865546218494</v>
      </c>
    </row>
    <row r="13" spans="1:8" ht="18.75" x14ac:dyDescent="0.3">
      <c r="A13" s="5"/>
      <c r="C13" s="3"/>
      <c r="D13" s="4"/>
      <c r="H13" s="4"/>
    </row>
    <row r="15" spans="1:8" ht="18.75" x14ac:dyDescent="0.3">
      <c r="A15" s="5"/>
      <c r="C15" s="3"/>
      <c r="D15" s="4"/>
      <c r="H15" s="4"/>
    </row>
    <row r="16" spans="1:8" ht="15.75" thickBot="1" x14ac:dyDescent="0.3">
      <c r="D16" s="7"/>
      <c r="H16" s="7"/>
    </row>
    <row r="18" spans="1:8" ht="18.75" x14ac:dyDescent="0.3">
      <c r="C18" t="s">
        <v>4</v>
      </c>
      <c r="D18" s="4">
        <f>D3-D12</f>
        <v>32273</v>
      </c>
      <c r="G18" t="s">
        <v>5</v>
      </c>
      <c r="H18" s="4">
        <f>H3-H12</f>
        <v>5152.8319327731078</v>
      </c>
    </row>
    <row r="21" spans="1:8" ht="15.75" x14ac:dyDescent="0.25">
      <c r="A21" t="s">
        <v>6</v>
      </c>
      <c r="C21" s="8">
        <f>D18</f>
        <v>32273</v>
      </c>
      <c r="E21" t="s">
        <v>10</v>
      </c>
      <c r="H21" s="6">
        <f>C30</f>
        <v>26772.432067226891</v>
      </c>
    </row>
    <row r="23" spans="1:8" ht="15.75" x14ac:dyDescent="0.25">
      <c r="A23" t="s">
        <v>5</v>
      </c>
      <c r="B23" s="9" t="s">
        <v>7</v>
      </c>
      <c r="C23" s="8">
        <f>H18</f>
        <v>5152.8319327731078</v>
      </c>
      <c r="E23" s="13" t="s">
        <v>11</v>
      </c>
      <c r="F23" s="9" t="s">
        <v>181</v>
      </c>
      <c r="G23" s="15" t="s">
        <v>17</v>
      </c>
      <c r="H23" s="3">
        <f>-(F24*0.007)</f>
        <v>-511.37647058823529</v>
      </c>
    </row>
    <row r="24" spans="1:8" x14ac:dyDescent="0.25">
      <c r="F24" s="21">
        <f>D3-H3</f>
        <v>73053.781512605041</v>
      </c>
    </row>
    <row r="25" spans="1:8" ht="15.75" x14ac:dyDescent="0.25">
      <c r="A25" t="s">
        <v>8</v>
      </c>
      <c r="B25" s="9" t="s">
        <v>7</v>
      </c>
      <c r="C25" s="8">
        <f>D3*0.004</f>
        <v>347.73599999999999</v>
      </c>
      <c r="F25" s="9" t="s">
        <v>13</v>
      </c>
      <c r="G25" s="16">
        <v>0.35</v>
      </c>
      <c r="H25" s="29">
        <f>-(F26*0.35)</f>
        <v>-9370.3512235294111</v>
      </c>
    </row>
    <row r="26" spans="1:8" ht="15.75" thickBot="1" x14ac:dyDescent="0.3">
      <c r="F26" s="21">
        <f>H21</f>
        <v>26772.432067226891</v>
      </c>
      <c r="H26" s="7"/>
    </row>
    <row r="27" spans="1:8" ht="15.75" x14ac:dyDescent="0.25">
      <c r="A27" t="s">
        <v>9</v>
      </c>
      <c r="B27" s="9" t="s">
        <v>7</v>
      </c>
      <c r="C27" s="10"/>
      <c r="G27" s="13" t="s">
        <v>14</v>
      </c>
      <c r="H27" s="6">
        <f>H21+H23+H25</f>
        <v>16890.704373109245</v>
      </c>
    </row>
    <row r="28" spans="1:8" ht="15.75" thickBot="1" x14ac:dyDescent="0.3">
      <c r="A28" s="16"/>
      <c r="B28" s="14"/>
      <c r="C28" s="7"/>
    </row>
    <row r="29" spans="1:8" x14ac:dyDescent="0.25">
      <c r="E29" t="s">
        <v>151</v>
      </c>
      <c r="H29" s="20">
        <f>H27*0.5</f>
        <v>8445.3521865546227</v>
      </c>
    </row>
    <row r="30" spans="1:8" ht="15.75" x14ac:dyDescent="0.25">
      <c r="A30" t="s">
        <v>10</v>
      </c>
      <c r="C30" s="10">
        <f>C21-C23-C25-C27</f>
        <v>26772.432067226891</v>
      </c>
      <c r="H30" s="18"/>
    </row>
    <row r="31" spans="1:8" x14ac:dyDescent="0.25">
      <c r="H31" s="3"/>
    </row>
    <row r="32" spans="1:8" x14ac:dyDescent="0.25">
      <c r="H32" s="18"/>
    </row>
  </sheetData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CCAB1-A18D-45DA-9555-0E299B6DEB62}">
  <dimension ref="A1:H32"/>
  <sheetViews>
    <sheetView topLeftCell="A4" workbookViewId="0">
      <selection activeCell="A4" sqref="A1:XFD1048576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568</v>
      </c>
    </row>
    <row r="3" spans="1:8" ht="21" x14ac:dyDescent="0.35">
      <c r="A3" s="2" t="s">
        <v>1</v>
      </c>
      <c r="D3" s="11">
        <v>176120</v>
      </c>
      <c r="F3" s="12" t="s">
        <v>3</v>
      </c>
      <c r="H3" s="4">
        <f>(D3/1.19)*0.19</f>
        <v>28120</v>
      </c>
    </row>
    <row r="4" spans="1:8" x14ac:dyDescent="0.25">
      <c r="A4" s="13" t="s">
        <v>32</v>
      </c>
      <c r="C4" s="26">
        <v>737</v>
      </c>
    </row>
    <row r="5" spans="1:8" ht="21" x14ac:dyDescent="0.35">
      <c r="A5" s="2" t="s">
        <v>2</v>
      </c>
    </row>
    <row r="7" spans="1:8" ht="18.75" x14ac:dyDescent="0.3">
      <c r="A7" s="5" t="s">
        <v>569</v>
      </c>
      <c r="D7" s="4">
        <v>133875</v>
      </c>
      <c r="E7" s="25"/>
      <c r="H7" s="4">
        <f>(D7/1.19)*0.19</f>
        <v>21375</v>
      </c>
    </row>
    <row r="8" spans="1:8" ht="18.75" x14ac:dyDescent="0.3">
      <c r="A8" s="5"/>
      <c r="C8" s="3"/>
      <c r="D8" s="32"/>
      <c r="E8" s="25"/>
      <c r="H8" s="4"/>
    </row>
    <row r="9" spans="1:8" ht="18.75" x14ac:dyDescent="0.3">
      <c r="A9" s="5"/>
      <c r="C9" s="3"/>
      <c r="D9" s="28"/>
      <c r="E9" s="25"/>
      <c r="H9" s="28"/>
    </row>
    <row r="10" spans="1:8" ht="18.75" x14ac:dyDescent="0.3">
      <c r="A10" s="5"/>
      <c r="C10" s="3"/>
      <c r="D10" s="28"/>
      <c r="E10" s="25"/>
      <c r="H10" s="28"/>
    </row>
    <row r="11" spans="1:8" ht="19.5" thickBot="1" x14ac:dyDescent="0.35">
      <c r="A11" s="5"/>
      <c r="C11" s="3"/>
      <c r="D11" s="22"/>
      <c r="E11" s="25"/>
      <c r="H11" s="22"/>
    </row>
    <row r="12" spans="1:8" ht="18.75" customHeight="1" x14ac:dyDescent="0.3">
      <c r="D12" s="4">
        <f>SUM(D7:D11)</f>
        <v>133875</v>
      </c>
      <c r="H12" s="4">
        <f>SUM(H7:H11)</f>
        <v>21375</v>
      </c>
    </row>
    <row r="13" spans="1:8" ht="18.75" x14ac:dyDescent="0.3">
      <c r="A13" s="5"/>
      <c r="C13" s="3"/>
      <c r="D13" s="4"/>
      <c r="H13" s="4"/>
    </row>
    <row r="15" spans="1:8" ht="18.75" x14ac:dyDescent="0.3">
      <c r="A15" s="5"/>
      <c r="C15" s="3"/>
      <c r="D15" s="4"/>
      <c r="H15" s="4"/>
    </row>
    <row r="16" spans="1:8" ht="15.75" thickBot="1" x14ac:dyDescent="0.3">
      <c r="D16" s="7"/>
      <c r="H16" s="7"/>
    </row>
    <row r="18" spans="1:8" ht="18.75" x14ac:dyDescent="0.3">
      <c r="C18" t="s">
        <v>4</v>
      </c>
      <c r="D18" s="4">
        <f>D3-D12</f>
        <v>42245</v>
      </c>
      <c r="G18" t="s">
        <v>5</v>
      </c>
      <c r="H18" s="4">
        <f>H3-H12</f>
        <v>6745</v>
      </c>
    </row>
    <row r="21" spans="1:8" ht="15.75" x14ac:dyDescent="0.25">
      <c r="A21" t="s">
        <v>6</v>
      </c>
      <c r="C21" s="8">
        <f>D18</f>
        <v>42245</v>
      </c>
      <c r="E21" t="s">
        <v>10</v>
      </c>
      <c r="H21" s="6">
        <f>C30</f>
        <v>34795.519999999997</v>
      </c>
    </row>
    <row r="23" spans="1:8" ht="15.75" x14ac:dyDescent="0.25">
      <c r="A23" t="s">
        <v>5</v>
      </c>
      <c r="B23" s="9" t="s">
        <v>7</v>
      </c>
      <c r="C23" s="8">
        <f>H18</f>
        <v>6745</v>
      </c>
      <c r="E23" s="13" t="s">
        <v>11</v>
      </c>
      <c r="F23" s="9" t="s">
        <v>181</v>
      </c>
      <c r="G23" s="15" t="s">
        <v>17</v>
      </c>
      <c r="H23" s="3">
        <f>-(F24*0.007)</f>
        <v>-1036</v>
      </c>
    </row>
    <row r="24" spans="1:8" x14ac:dyDescent="0.25">
      <c r="F24" s="21">
        <f>D3-H3</f>
        <v>148000</v>
      </c>
    </row>
    <row r="25" spans="1:8" ht="15.75" x14ac:dyDescent="0.25">
      <c r="A25" t="s">
        <v>8</v>
      </c>
      <c r="B25" s="9" t="s">
        <v>7</v>
      </c>
      <c r="C25" s="8">
        <f>D3*0.004</f>
        <v>704.48</v>
      </c>
      <c r="F25" s="9" t="s">
        <v>13</v>
      </c>
      <c r="G25" s="16">
        <v>0.35</v>
      </c>
      <c r="H25" s="29">
        <f>-(F26*0.35)</f>
        <v>-12178.431999999999</v>
      </c>
    </row>
    <row r="26" spans="1:8" ht="15.75" thickBot="1" x14ac:dyDescent="0.3">
      <c r="F26" s="21">
        <f>H21</f>
        <v>34795.519999999997</v>
      </c>
      <c r="H26" s="7"/>
    </row>
    <row r="27" spans="1:8" ht="15.75" x14ac:dyDescent="0.25">
      <c r="A27" t="s">
        <v>9</v>
      </c>
      <c r="B27" s="9" t="s">
        <v>7</v>
      </c>
      <c r="C27" s="10"/>
      <c r="G27" s="13" t="s">
        <v>14</v>
      </c>
      <c r="H27" s="6">
        <f>H21+H23+H25</f>
        <v>21581.087999999996</v>
      </c>
    </row>
    <row r="28" spans="1:8" ht="15.75" thickBot="1" x14ac:dyDescent="0.3">
      <c r="A28" s="16"/>
      <c r="B28" s="14"/>
      <c r="C28" s="7"/>
    </row>
    <row r="29" spans="1:8" x14ac:dyDescent="0.25">
      <c r="E29" t="s">
        <v>151</v>
      </c>
      <c r="H29" s="20">
        <f>H27*0.5</f>
        <v>10790.543999999998</v>
      </c>
    </row>
    <row r="30" spans="1:8" ht="15.75" x14ac:dyDescent="0.25">
      <c r="A30" t="s">
        <v>10</v>
      </c>
      <c r="C30" s="10">
        <f>C21-C23-C25-C27</f>
        <v>34795.519999999997</v>
      </c>
      <c r="H30" s="18"/>
    </row>
    <row r="31" spans="1:8" x14ac:dyDescent="0.25">
      <c r="H31" s="3"/>
    </row>
    <row r="32" spans="1:8" x14ac:dyDescent="0.25">
      <c r="H32" s="18"/>
    </row>
  </sheetData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B3CE1-F5FC-4B14-B4AF-CC1630E6BD2D}">
  <dimension ref="A1:H32"/>
  <sheetViews>
    <sheetView workbookViewId="0">
      <selection sqref="A1:XFD1048576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570</v>
      </c>
    </row>
    <row r="3" spans="1:8" ht="21" x14ac:dyDescent="0.35">
      <c r="A3" s="2" t="s">
        <v>1</v>
      </c>
      <c r="D3" s="11">
        <v>9520</v>
      </c>
      <c r="F3" s="12" t="s">
        <v>3</v>
      </c>
      <c r="H3" s="4">
        <f>(D3/1.19)*0.19</f>
        <v>1520</v>
      </c>
    </row>
    <row r="4" spans="1:8" x14ac:dyDescent="0.25">
      <c r="A4" s="13" t="s">
        <v>32</v>
      </c>
      <c r="C4" s="26">
        <v>742</v>
      </c>
    </row>
    <row r="5" spans="1:8" ht="21" x14ac:dyDescent="0.35">
      <c r="A5" s="2" t="s">
        <v>2</v>
      </c>
    </row>
    <row r="7" spans="1:8" ht="18.75" x14ac:dyDescent="0.3">
      <c r="A7" s="5" t="s">
        <v>221</v>
      </c>
      <c r="D7" s="4">
        <v>5000</v>
      </c>
      <c r="E7" s="25"/>
      <c r="H7" s="4">
        <f>(D7/1.19)*0.19</f>
        <v>798.31932773109247</v>
      </c>
    </row>
    <row r="8" spans="1:8" ht="18.75" x14ac:dyDescent="0.3">
      <c r="A8" s="5"/>
      <c r="C8" s="3"/>
      <c r="D8" s="32"/>
      <c r="E8" s="25"/>
      <c r="H8" s="4"/>
    </row>
    <row r="9" spans="1:8" ht="18.75" x14ac:dyDescent="0.3">
      <c r="A9" s="5"/>
      <c r="C9" s="3"/>
      <c r="D9" s="28"/>
      <c r="E9" s="25"/>
      <c r="H9" s="28"/>
    </row>
    <row r="10" spans="1:8" ht="18.75" x14ac:dyDescent="0.3">
      <c r="A10" s="5"/>
      <c r="C10" s="3"/>
      <c r="D10" s="28"/>
      <c r="E10" s="25"/>
      <c r="H10" s="28"/>
    </row>
    <row r="11" spans="1:8" ht="19.5" thickBot="1" x14ac:dyDescent="0.35">
      <c r="A11" s="5"/>
      <c r="C11" s="3"/>
      <c r="D11" s="22"/>
      <c r="E11" s="25"/>
      <c r="H11" s="22"/>
    </row>
    <row r="12" spans="1:8" ht="18.75" customHeight="1" x14ac:dyDescent="0.3">
      <c r="D12" s="4">
        <f>SUM(D7:D11)</f>
        <v>5000</v>
      </c>
      <c r="H12" s="4">
        <f>SUM(H7:H11)</f>
        <v>798.31932773109247</v>
      </c>
    </row>
    <row r="13" spans="1:8" ht="18.75" x14ac:dyDescent="0.3">
      <c r="A13" s="5"/>
      <c r="C13" s="3"/>
      <c r="D13" s="4"/>
      <c r="H13" s="4"/>
    </row>
    <row r="15" spans="1:8" ht="18.75" x14ac:dyDescent="0.3">
      <c r="A15" s="5"/>
      <c r="C15" s="3"/>
      <c r="D15" s="4"/>
      <c r="H15" s="4"/>
    </row>
    <row r="16" spans="1:8" ht="15.75" thickBot="1" x14ac:dyDescent="0.3">
      <c r="D16" s="7"/>
      <c r="H16" s="7"/>
    </row>
    <row r="18" spans="1:8" ht="18.75" x14ac:dyDescent="0.3">
      <c r="C18" t="s">
        <v>4</v>
      </c>
      <c r="D18" s="4">
        <f>D3-D12</f>
        <v>4520</v>
      </c>
      <c r="G18" t="s">
        <v>5</v>
      </c>
      <c r="H18" s="4">
        <f>H3-H12</f>
        <v>721.68067226890753</v>
      </c>
    </row>
    <row r="21" spans="1:8" ht="15.75" x14ac:dyDescent="0.25">
      <c r="A21" t="s">
        <v>6</v>
      </c>
      <c r="C21" s="8">
        <f>D18</f>
        <v>4520</v>
      </c>
      <c r="E21" t="s">
        <v>10</v>
      </c>
      <c r="H21" s="6">
        <f>C30</f>
        <v>3760.2393277310925</v>
      </c>
    </row>
    <row r="23" spans="1:8" ht="15.75" x14ac:dyDescent="0.25">
      <c r="A23" t="s">
        <v>5</v>
      </c>
      <c r="B23" s="9" t="s">
        <v>7</v>
      </c>
      <c r="C23" s="8">
        <f>H18</f>
        <v>721.68067226890753</v>
      </c>
      <c r="E23" s="13" t="s">
        <v>11</v>
      </c>
      <c r="F23" s="9" t="s">
        <v>181</v>
      </c>
      <c r="G23" s="15" t="s">
        <v>17</v>
      </c>
      <c r="H23" s="3">
        <f>-(F24*0.007)</f>
        <v>-56</v>
      </c>
    </row>
    <row r="24" spans="1:8" x14ac:dyDescent="0.25">
      <c r="F24" s="21">
        <f>D3-H3</f>
        <v>8000</v>
      </c>
    </row>
    <row r="25" spans="1:8" ht="15.75" x14ac:dyDescent="0.25">
      <c r="A25" t="s">
        <v>8</v>
      </c>
      <c r="B25" s="9" t="s">
        <v>7</v>
      </c>
      <c r="C25" s="8">
        <f>D3*0.004</f>
        <v>38.08</v>
      </c>
      <c r="F25" s="9" t="s">
        <v>13</v>
      </c>
      <c r="G25" s="16">
        <v>0.35</v>
      </c>
      <c r="H25" s="29">
        <f>-(F26*0.35)</f>
        <v>-1316.0837647058822</v>
      </c>
    </row>
    <row r="26" spans="1:8" ht="15.75" thickBot="1" x14ac:dyDescent="0.3">
      <c r="F26" s="21">
        <f>H21</f>
        <v>3760.2393277310925</v>
      </c>
      <c r="H26" s="7"/>
    </row>
    <row r="27" spans="1:8" ht="15.75" x14ac:dyDescent="0.25">
      <c r="A27" t="s">
        <v>9</v>
      </c>
      <c r="B27" s="9" t="s">
        <v>7</v>
      </c>
      <c r="C27" s="10"/>
      <c r="G27" s="13" t="s">
        <v>14</v>
      </c>
      <c r="H27" s="6">
        <f>H21+H23+H25</f>
        <v>2388.1555630252105</v>
      </c>
    </row>
    <row r="28" spans="1:8" ht="15.75" thickBot="1" x14ac:dyDescent="0.3">
      <c r="A28" s="16"/>
      <c r="B28" s="14"/>
      <c r="C28" s="7"/>
    </row>
    <row r="29" spans="1:8" x14ac:dyDescent="0.25">
      <c r="E29" t="s">
        <v>151</v>
      </c>
      <c r="H29" s="20">
        <f>H27*0.5</f>
        <v>1194.0777815126053</v>
      </c>
    </row>
    <row r="30" spans="1:8" ht="15.75" x14ac:dyDescent="0.25">
      <c r="A30" t="s">
        <v>10</v>
      </c>
      <c r="C30" s="10">
        <f>C21-C23-C25-C27</f>
        <v>3760.2393277310925</v>
      </c>
      <c r="H30" s="18"/>
    </row>
    <row r="31" spans="1:8" x14ac:dyDescent="0.25">
      <c r="H31" s="3"/>
    </row>
    <row r="32" spans="1:8" x14ac:dyDescent="0.25">
      <c r="H32" s="18"/>
    </row>
  </sheetData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D38DF-1ADC-429F-A74B-C4F2D5B57D46}">
  <dimension ref="A1:H32"/>
  <sheetViews>
    <sheetView workbookViewId="0">
      <selection sqref="A1:XFD1048576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571</v>
      </c>
    </row>
    <row r="3" spans="1:8" ht="21" x14ac:dyDescent="0.35">
      <c r="A3" s="2" t="s">
        <v>1</v>
      </c>
      <c r="D3" s="11">
        <v>464100</v>
      </c>
      <c r="F3" s="12" t="s">
        <v>3</v>
      </c>
      <c r="H3" s="4">
        <f>(D3/1.19)*0.19</f>
        <v>74100</v>
      </c>
    </row>
    <row r="4" spans="1:8" x14ac:dyDescent="0.25">
      <c r="A4" s="13" t="s">
        <v>32</v>
      </c>
      <c r="C4" s="26">
        <v>743</v>
      </c>
    </row>
    <row r="5" spans="1:8" ht="21" x14ac:dyDescent="0.35">
      <c r="A5" s="2" t="s">
        <v>2</v>
      </c>
    </row>
    <row r="7" spans="1:8" ht="18.75" x14ac:dyDescent="0.3">
      <c r="A7" s="5" t="s">
        <v>221</v>
      </c>
      <c r="D7" s="4">
        <v>298170</v>
      </c>
      <c r="E7" s="25"/>
      <c r="H7" s="4">
        <f>(D7/1.19)*0.19</f>
        <v>47606.97478991597</v>
      </c>
    </row>
    <row r="8" spans="1:8" ht="18.75" x14ac:dyDescent="0.3">
      <c r="A8" s="5" t="s">
        <v>394</v>
      </c>
      <c r="C8" s="3"/>
      <c r="D8" s="32">
        <v>45000</v>
      </c>
      <c r="E8" s="25"/>
      <c r="H8" s="4"/>
    </row>
    <row r="9" spans="1:8" ht="18.75" x14ac:dyDescent="0.3">
      <c r="A9" s="5"/>
      <c r="C9" s="3"/>
      <c r="D9" s="28"/>
      <c r="E9" s="25"/>
      <c r="H9" s="28"/>
    </row>
    <row r="10" spans="1:8" ht="18.75" x14ac:dyDescent="0.3">
      <c r="A10" s="5"/>
      <c r="C10" s="3"/>
      <c r="D10" s="28"/>
      <c r="E10" s="25"/>
      <c r="H10" s="28"/>
    </row>
    <row r="11" spans="1:8" ht="19.5" thickBot="1" x14ac:dyDescent="0.35">
      <c r="A11" s="5"/>
      <c r="C11" s="3"/>
      <c r="D11" s="22"/>
      <c r="E11" s="25"/>
      <c r="H11" s="22"/>
    </row>
    <row r="12" spans="1:8" ht="18.75" customHeight="1" x14ac:dyDescent="0.3">
      <c r="D12" s="4">
        <f>SUM(D7:D11)</f>
        <v>343170</v>
      </c>
      <c r="H12" s="4">
        <f>SUM(H7:H11)</f>
        <v>47606.97478991597</v>
      </c>
    </row>
    <row r="13" spans="1:8" ht="18.75" x14ac:dyDescent="0.3">
      <c r="A13" s="5"/>
      <c r="C13" s="3"/>
      <c r="D13" s="4"/>
      <c r="H13" s="4"/>
    </row>
    <row r="15" spans="1:8" ht="18.75" x14ac:dyDescent="0.3">
      <c r="A15" s="5"/>
      <c r="C15" s="3"/>
      <c r="D15" s="4"/>
      <c r="H15" s="4"/>
    </row>
    <row r="16" spans="1:8" ht="15.75" thickBot="1" x14ac:dyDescent="0.3">
      <c r="D16" s="7"/>
      <c r="H16" s="7"/>
    </row>
    <row r="18" spans="1:8" ht="18.75" x14ac:dyDescent="0.3">
      <c r="C18" t="s">
        <v>4</v>
      </c>
      <c r="D18" s="4">
        <f>D3-D12</f>
        <v>120930</v>
      </c>
      <c r="G18" t="s">
        <v>5</v>
      </c>
      <c r="H18" s="4">
        <f>H3-H12</f>
        <v>26493.02521008403</v>
      </c>
    </row>
    <row r="21" spans="1:8" ht="15.75" x14ac:dyDescent="0.25">
      <c r="A21" t="s">
        <v>6</v>
      </c>
      <c r="C21" s="8">
        <f>D18</f>
        <v>120930</v>
      </c>
      <c r="E21" t="s">
        <v>10</v>
      </c>
      <c r="H21" s="6">
        <f>C30</f>
        <v>92580.574789915976</v>
      </c>
    </row>
    <row r="23" spans="1:8" ht="15.75" x14ac:dyDescent="0.25">
      <c r="A23" t="s">
        <v>5</v>
      </c>
      <c r="B23" s="9" t="s">
        <v>7</v>
      </c>
      <c r="C23" s="8">
        <f>H18</f>
        <v>26493.02521008403</v>
      </c>
      <c r="E23" s="13" t="s">
        <v>11</v>
      </c>
      <c r="F23" s="9" t="s">
        <v>181</v>
      </c>
      <c r="G23" s="15" t="s">
        <v>17</v>
      </c>
      <c r="H23" s="3">
        <f>-(F24*0.007)</f>
        <v>-2730</v>
      </c>
    </row>
    <row r="24" spans="1:8" x14ac:dyDescent="0.25">
      <c r="F24" s="21">
        <f>D3-H3</f>
        <v>390000</v>
      </c>
    </row>
    <row r="25" spans="1:8" ht="15.75" x14ac:dyDescent="0.25">
      <c r="A25" t="s">
        <v>8</v>
      </c>
      <c r="B25" s="9" t="s">
        <v>7</v>
      </c>
      <c r="C25" s="8">
        <f>D3*0.004</f>
        <v>1856.4</v>
      </c>
      <c r="F25" s="9" t="s">
        <v>13</v>
      </c>
      <c r="G25" s="16">
        <v>0.35</v>
      </c>
      <c r="H25" s="29">
        <f>-(F26*0.35)</f>
        <v>-32403.201176470589</v>
      </c>
    </row>
    <row r="26" spans="1:8" ht="15.75" thickBot="1" x14ac:dyDescent="0.3">
      <c r="F26" s="21">
        <f>H21</f>
        <v>92580.574789915976</v>
      </c>
      <c r="H26" s="7"/>
    </row>
    <row r="27" spans="1:8" ht="15.75" x14ac:dyDescent="0.25">
      <c r="A27" t="s">
        <v>9</v>
      </c>
      <c r="B27" s="9" t="s">
        <v>7</v>
      </c>
      <c r="C27" s="10"/>
      <c r="G27" s="13" t="s">
        <v>14</v>
      </c>
      <c r="H27" s="6">
        <f>H21+H23+H25</f>
        <v>57447.373613445387</v>
      </c>
    </row>
    <row r="28" spans="1:8" ht="15.75" thickBot="1" x14ac:dyDescent="0.3">
      <c r="A28" s="16"/>
      <c r="B28" s="14"/>
      <c r="C28" s="7"/>
    </row>
    <row r="29" spans="1:8" x14ac:dyDescent="0.25">
      <c r="E29" t="s">
        <v>151</v>
      </c>
      <c r="H29" s="20">
        <f>H27*0.5</f>
        <v>28723.686806722693</v>
      </c>
    </row>
    <row r="30" spans="1:8" ht="15.75" x14ac:dyDescent="0.25">
      <c r="A30" t="s">
        <v>10</v>
      </c>
      <c r="C30" s="10">
        <f>C21-C23-C25-C27</f>
        <v>92580.574789915976</v>
      </c>
      <c r="H30" s="18"/>
    </row>
    <row r="31" spans="1:8" x14ac:dyDescent="0.25">
      <c r="H31" s="3"/>
    </row>
    <row r="32" spans="1:8" x14ac:dyDescent="0.25">
      <c r="H32" s="18"/>
    </row>
  </sheetData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4B770-C60C-425C-A7B0-19FD0FA518FB}">
  <dimension ref="A1:H32"/>
  <sheetViews>
    <sheetView workbookViewId="0">
      <selection sqref="A1:XFD1048576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572</v>
      </c>
    </row>
    <row r="3" spans="1:8" ht="21" x14ac:dyDescent="0.35">
      <c r="A3" s="2" t="s">
        <v>1</v>
      </c>
      <c r="D3" s="11">
        <v>12138</v>
      </c>
      <c r="F3" s="12" t="s">
        <v>3</v>
      </c>
      <c r="H3" s="4">
        <f>(D3/1.19)*0.19</f>
        <v>1938</v>
      </c>
    </row>
    <row r="4" spans="1:8" x14ac:dyDescent="0.25">
      <c r="A4" s="13" t="s">
        <v>32</v>
      </c>
      <c r="C4" s="26">
        <v>745</v>
      </c>
    </row>
    <row r="5" spans="1:8" ht="21" x14ac:dyDescent="0.35">
      <c r="A5" s="2" t="s">
        <v>2</v>
      </c>
    </row>
    <row r="7" spans="1:8" ht="18.75" x14ac:dyDescent="0.3">
      <c r="A7" s="5" t="s">
        <v>221</v>
      </c>
      <c r="D7" s="4">
        <v>7010</v>
      </c>
      <c r="E7" s="25"/>
      <c r="H7" s="4">
        <f>(D7/1.19)*0.19</f>
        <v>1119.2436974789916</v>
      </c>
    </row>
    <row r="8" spans="1:8" ht="18.75" x14ac:dyDescent="0.3">
      <c r="A8" s="5"/>
      <c r="C8" s="3"/>
      <c r="D8" s="32"/>
      <c r="E8" s="25"/>
      <c r="H8" s="4"/>
    </row>
    <row r="9" spans="1:8" ht="18.75" x14ac:dyDescent="0.3">
      <c r="A9" s="5"/>
      <c r="C9" s="3"/>
      <c r="D9" s="28"/>
      <c r="E9" s="25"/>
      <c r="H9" s="28"/>
    </row>
    <row r="10" spans="1:8" ht="18.75" x14ac:dyDescent="0.3">
      <c r="A10" s="5"/>
      <c r="C10" s="3"/>
      <c r="D10" s="28"/>
      <c r="E10" s="25"/>
      <c r="H10" s="28"/>
    </row>
    <row r="11" spans="1:8" ht="19.5" thickBot="1" x14ac:dyDescent="0.35">
      <c r="A11" s="5"/>
      <c r="C11" s="3"/>
      <c r="D11" s="22"/>
      <c r="E11" s="25"/>
      <c r="H11" s="22"/>
    </row>
    <row r="12" spans="1:8" ht="18.75" customHeight="1" x14ac:dyDescent="0.3">
      <c r="D12" s="4">
        <f>SUM(D7:D11)</f>
        <v>7010</v>
      </c>
      <c r="H12" s="4">
        <f>SUM(H7:H11)</f>
        <v>1119.2436974789916</v>
      </c>
    </row>
    <row r="13" spans="1:8" ht="18.75" x14ac:dyDescent="0.3">
      <c r="A13" s="5"/>
      <c r="C13" s="3"/>
      <c r="D13" s="4"/>
      <c r="H13" s="4"/>
    </row>
    <row r="15" spans="1:8" ht="18.75" x14ac:dyDescent="0.3">
      <c r="A15" s="5"/>
      <c r="C15" s="3"/>
      <c r="D15" s="4"/>
      <c r="H15" s="4"/>
    </row>
    <row r="16" spans="1:8" ht="15.75" thickBot="1" x14ac:dyDescent="0.3">
      <c r="D16" s="7"/>
      <c r="H16" s="7"/>
    </row>
    <row r="18" spans="1:8" ht="18.75" x14ac:dyDescent="0.3">
      <c r="C18" t="s">
        <v>4</v>
      </c>
      <c r="D18" s="4">
        <f>D3-D12</f>
        <v>5128</v>
      </c>
      <c r="G18" t="s">
        <v>5</v>
      </c>
      <c r="H18" s="4">
        <f>H3-H12</f>
        <v>818.75630252100837</v>
      </c>
    </row>
    <row r="21" spans="1:8" ht="15.75" x14ac:dyDescent="0.25">
      <c r="A21" t="s">
        <v>6</v>
      </c>
      <c r="C21" s="8">
        <f>D18</f>
        <v>5128</v>
      </c>
      <c r="E21" t="s">
        <v>10</v>
      </c>
      <c r="H21" s="6">
        <f>C30</f>
        <v>4260.691697478992</v>
      </c>
    </row>
    <row r="23" spans="1:8" ht="15.75" x14ac:dyDescent="0.25">
      <c r="A23" t="s">
        <v>5</v>
      </c>
      <c r="B23" s="9" t="s">
        <v>7</v>
      </c>
      <c r="C23" s="8">
        <f>H18</f>
        <v>818.75630252100837</v>
      </c>
      <c r="E23" s="13" t="s">
        <v>11</v>
      </c>
      <c r="F23" s="9" t="s">
        <v>181</v>
      </c>
      <c r="G23" s="15" t="s">
        <v>17</v>
      </c>
      <c r="H23" s="3">
        <f>-(F24*0.007)</f>
        <v>-71.400000000000006</v>
      </c>
    </row>
    <row r="24" spans="1:8" x14ac:dyDescent="0.25">
      <c r="F24" s="21">
        <f>D3-H3</f>
        <v>10200</v>
      </c>
    </row>
    <row r="25" spans="1:8" ht="15.75" x14ac:dyDescent="0.25">
      <c r="A25" t="s">
        <v>8</v>
      </c>
      <c r="B25" s="9" t="s">
        <v>7</v>
      </c>
      <c r="C25" s="8">
        <f>D3*0.004</f>
        <v>48.552</v>
      </c>
      <c r="F25" s="9" t="s">
        <v>13</v>
      </c>
      <c r="G25" s="16">
        <v>0.35</v>
      </c>
      <c r="H25" s="29">
        <f>-(F26*0.35)</f>
        <v>-1491.2420941176472</v>
      </c>
    </row>
    <row r="26" spans="1:8" ht="15.75" thickBot="1" x14ac:dyDescent="0.3">
      <c r="F26" s="21">
        <f>H21</f>
        <v>4260.691697478992</v>
      </c>
      <c r="H26" s="7"/>
    </row>
    <row r="27" spans="1:8" ht="15.75" x14ac:dyDescent="0.25">
      <c r="A27" t="s">
        <v>9</v>
      </c>
      <c r="B27" s="9" t="s">
        <v>7</v>
      </c>
      <c r="C27" s="10"/>
      <c r="G27" s="13" t="s">
        <v>14</v>
      </c>
      <c r="H27" s="6">
        <f>H21+H23+H25</f>
        <v>2698.0496033613454</v>
      </c>
    </row>
    <row r="28" spans="1:8" ht="15.75" thickBot="1" x14ac:dyDescent="0.3">
      <c r="A28" s="16"/>
      <c r="B28" s="14"/>
      <c r="C28" s="7"/>
    </row>
    <row r="29" spans="1:8" x14ac:dyDescent="0.25">
      <c r="E29" t="s">
        <v>151</v>
      </c>
      <c r="H29" s="20">
        <f>H27*0.5</f>
        <v>1349.0248016806727</v>
      </c>
    </row>
    <row r="30" spans="1:8" ht="15.75" x14ac:dyDescent="0.25">
      <c r="A30" t="s">
        <v>10</v>
      </c>
      <c r="C30" s="10">
        <f>C21-C23-C25-C27</f>
        <v>4260.691697478992</v>
      </c>
      <c r="H30" s="18"/>
    </row>
    <row r="31" spans="1:8" x14ac:dyDescent="0.25">
      <c r="H31" s="3"/>
    </row>
    <row r="32" spans="1:8" x14ac:dyDescent="0.25">
      <c r="H32" s="18"/>
    </row>
  </sheetData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C1FAD-30A5-4987-A801-B767792DB23A}">
  <dimension ref="A1:H32"/>
  <sheetViews>
    <sheetView workbookViewId="0">
      <selection sqref="A1:XFD1048576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573</v>
      </c>
    </row>
    <row r="3" spans="1:8" ht="21" x14ac:dyDescent="0.35">
      <c r="A3" s="2" t="s">
        <v>1</v>
      </c>
      <c r="D3" s="11">
        <v>731850</v>
      </c>
      <c r="F3" s="12" t="s">
        <v>3</v>
      </c>
      <c r="H3" s="4">
        <f>(D3/1.19)*0.19</f>
        <v>116850</v>
      </c>
    </row>
    <row r="4" spans="1:8" x14ac:dyDescent="0.25">
      <c r="A4" s="13" t="s">
        <v>32</v>
      </c>
      <c r="C4" s="26">
        <v>747</v>
      </c>
    </row>
    <row r="5" spans="1:8" ht="21" x14ac:dyDescent="0.35">
      <c r="A5" s="2" t="s">
        <v>2</v>
      </c>
    </row>
    <row r="7" spans="1:8" ht="18.75" x14ac:dyDescent="0.3">
      <c r="A7" s="5" t="s">
        <v>412</v>
      </c>
      <c r="D7" s="4">
        <v>139800</v>
      </c>
      <c r="E7" s="25"/>
      <c r="H7" s="4">
        <f>(D7/1.19)*0.19</f>
        <v>22321.008403361346</v>
      </c>
    </row>
    <row r="8" spans="1:8" ht="18.75" x14ac:dyDescent="0.3">
      <c r="A8" s="5" t="s">
        <v>569</v>
      </c>
      <c r="C8" s="3"/>
      <c r="D8" s="32">
        <v>267884</v>
      </c>
      <c r="E8" s="25"/>
      <c r="H8" s="4">
        <f>(D8/1.19)*0.19</f>
        <v>42771.39495798319</v>
      </c>
    </row>
    <row r="9" spans="1:8" ht="18.75" x14ac:dyDescent="0.3">
      <c r="A9" s="5"/>
      <c r="C9" s="3"/>
      <c r="D9" s="28"/>
      <c r="E9" s="25"/>
      <c r="H9" s="28"/>
    </row>
    <row r="10" spans="1:8" ht="18.75" x14ac:dyDescent="0.3">
      <c r="A10" s="5"/>
      <c r="C10" s="3"/>
      <c r="D10" s="28"/>
      <c r="E10" s="25"/>
      <c r="H10" s="28"/>
    </row>
    <row r="11" spans="1:8" ht="19.5" thickBot="1" x14ac:dyDescent="0.35">
      <c r="A11" s="5"/>
      <c r="C11" s="3"/>
      <c r="D11" s="22"/>
      <c r="E11" s="25"/>
      <c r="H11" s="22"/>
    </row>
    <row r="12" spans="1:8" ht="18.75" customHeight="1" x14ac:dyDescent="0.3">
      <c r="D12" s="4">
        <f>SUM(D7:D11)</f>
        <v>407684</v>
      </c>
      <c r="H12" s="4">
        <f>SUM(H7:H11)</f>
        <v>65092.403361344535</v>
      </c>
    </row>
    <row r="13" spans="1:8" ht="18.75" x14ac:dyDescent="0.3">
      <c r="A13" s="5"/>
      <c r="C13" s="3"/>
      <c r="D13" s="4"/>
      <c r="H13" s="4"/>
    </row>
    <row r="15" spans="1:8" ht="18.75" x14ac:dyDescent="0.3">
      <c r="A15" s="5"/>
      <c r="C15" s="3"/>
      <c r="D15" s="4"/>
      <c r="H15" s="4"/>
    </row>
    <row r="16" spans="1:8" ht="15.75" thickBot="1" x14ac:dyDescent="0.3">
      <c r="D16" s="7"/>
      <c r="H16" s="7"/>
    </row>
    <row r="18" spans="1:8" ht="18.75" x14ac:dyDescent="0.3">
      <c r="C18" t="s">
        <v>4</v>
      </c>
      <c r="D18" s="4">
        <f>D3-D12</f>
        <v>324166</v>
      </c>
      <c r="G18" t="s">
        <v>5</v>
      </c>
      <c r="H18" s="4">
        <f>H3-H12</f>
        <v>51757.596638655465</v>
      </c>
    </row>
    <row r="21" spans="1:8" ht="15.75" x14ac:dyDescent="0.25">
      <c r="A21" t="s">
        <v>6</v>
      </c>
      <c r="C21" s="8">
        <f>D18</f>
        <v>324166</v>
      </c>
      <c r="E21" t="s">
        <v>10</v>
      </c>
      <c r="H21" s="6">
        <f>C30</f>
        <v>269481.00336134451</v>
      </c>
    </row>
    <row r="23" spans="1:8" ht="15.75" x14ac:dyDescent="0.25">
      <c r="A23" t="s">
        <v>5</v>
      </c>
      <c r="B23" s="9" t="s">
        <v>7</v>
      </c>
      <c r="C23" s="8">
        <f>H18</f>
        <v>51757.596638655465</v>
      </c>
      <c r="E23" s="13" t="s">
        <v>11</v>
      </c>
      <c r="F23" s="9" t="s">
        <v>181</v>
      </c>
      <c r="G23" s="15" t="s">
        <v>17</v>
      </c>
      <c r="H23" s="3">
        <f>-(F24*0.007)</f>
        <v>-4305</v>
      </c>
    </row>
    <row r="24" spans="1:8" x14ac:dyDescent="0.25">
      <c r="F24" s="21">
        <f>D3-H3</f>
        <v>615000</v>
      </c>
    </row>
    <row r="25" spans="1:8" ht="15.75" x14ac:dyDescent="0.25">
      <c r="A25" t="s">
        <v>8</v>
      </c>
      <c r="B25" s="9" t="s">
        <v>7</v>
      </c>
      <c r="C25" s="8">
        <f>D3*0.004</f>
        <v>2927.4</v>
      </c>
      <c r="F25" s="9" t="s">
        <v>13</v>
      </c>
      <c r="G25" s="16">
        <v>0.35</v>
      </c>
      <c r="H25" s="29">
        <f>-(F26*0.35)</f>
        <v>-94318.351176470576</v>
      </c>
    </row>
    <row r="26" spans="1:8" ht="15.75" thickBot="1" x14ac:dyDescent="0.3">
      <c r="F26" s="21">
        <f>H21</f>
        <v>269481.00336134451</v>
      </c>
      <c r="H26" s="7"/>
    </row>
    <row r="27" spans="1:8" ht="15.75" x14ac:dyDescent="0.25">
      <c r="A27" t="s">
        <v>9</v>
      </c>
      <c r="B27" s="9" t="s">
        <v>7</v>
      </c>
      <c r="C27" s="10"/>
      <c r="G27" s="13" t="s">
        <v>14</v>
      </c>
      <c r="H27" s="6">
        <f>H21+H23+H25</f>
        <v>170857.65218487394</v>
      </c>
    </row>
    <row r="28" spans="1:8" ht="15.75" thickBot="1" x14ac:dyDescent="0.3">
      <c r="A28" s="16"/>
      <c r="B28" s="14"/>
      <c r="C28" s="7"/>
    </row>
    <row r="29" spans="1:8" x14ac:dyDescent="0.25">
      <c r="E29" t="s">
        <v>151</v>
      </c>
      <c r="H29" s="20">
        <f>H27*0.5</f>
        <v>85428.826092436968</v>
      </c>
    </row>
    <row r="30" spans="1:8" ht="15.75" x14ac:dyDescent="0.25">
      <c r="A30" t="s">
        <v>10</v>
      </c>
      <c r="C30" s="10">
        <f>C21-C23-C25-C27</f>
        <v>269481.00336134451</v>
      </c>
      <c r="H30" s="18"/>
    </row>
    <row r="31" spans="1:8" x14ac:dyDescent="0.25">
      <c r="H31" s="3"/>
    </row>
    <row r="32" spans="1:8" x14ac:dyDescent="0.25">
      <c r="H32" s="18"/>
    </row>
  </sheetData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AAD2C-5DBA-4C81-BD68-7892B67073D6}">
  <dimension ref="A1:H32"/>
  <sheetViews>
    <sheetView workbookViewId="0">
      <selection sqref="A1:XFD1048576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574</v>
      </c>
    </row>
    <row r="3" spans="1:8" ht="21" x14ac:dyDescent="0.35">
      <c r="A3" s="2" t="s">
        <v>1</v>
      </c>
      <c r="D3" s="11">
        <v>178500</v>
      </c>
      <c r="F3" s="12" t="s">
        <v>3</v>
      </c>
      <c r="H3" s="4">
        <f>(D3/1.19)*0.19</f>
        <v>28500</v>
      </c>
    </row>
    <row r="4" spans="1:8" x14ac:dyDescent="0.25">
      <c r="A4" s="13" t="s">
        <v>32</v>
      </c>
      <c r="C4" s="26">
        <v>748</v>
      </c>
    </row>
    <row r="5" spans="1:8" ht="21" x14ac:dyDescent="0.35">
      <c r="A5" s="2" t="s">
        <v>2</v>
      </c>
    </row>
    <row r="7" spans="1:8" ht="18.75" x14ac:dyDescent="0.3">
      <c r="A7" s="5" t="s">
        <v>575</v>
      </c>
      <c r="D7" s="4">
        <v>114930</v>
      </c>
      <c r="E7" s="25"/>
      <c r="H7" s="4">
        <f>(D7/1.19)*0.19</f>
        <v>18350.168067226892</v>
      </c>
    </row>
    <row r="8" spans="1:8" ht="18.75" x14ac:dyDescent="0.3">
      <c r="A8" s="5"/>
      <c r="C8" s="3"/>
      <c r="D8" s="32"/>
      <c r="E8" s="25"/>
      <c r="H8" s="4">
        <f>(D8/1.19)*0.19</f>
        <v>0</v>
      </c>
    </row>
    <row r="9" spans="1:8" ht="18.75" x14ac:dyDescent="0.3">
      <c r="A9" s="5"/>
      <c r="C9" s="3"/>
      <c r="D9" s="28"/>
      <c r="E9" s="25"/>
      <c r="H9" s="28"/>
    </row>
    <row r="10" spans="1:8" ht="18.75" x14ac:dyDescent="0.3">
      <c r="A10" s="5"/>
      <c r="C10" s="3"/>
      <c r="D10" s="28"/>
      <c r="E10" s="25"/>
      <c r="H10" s="28"/>
    </row>
    <row r="11" spans="1:8" ht="19.5" thickBot="1" x14ac:dyDescent="0.35">
      <c r="A11" s="5"/>
      <c r="C11" s="3"/>
      <c r="D11" s="22"/>
      <c r="E11" s="25"/>
      <c r="H11" s="22"/>
    </row>
    <row r="12" spans="1:8" ht="18.75" customHeight="1" x14ac:dyDescent="0.3">
      <c r="D12" s="4">
        <f>SUM(D7:D11)</f>
        <v>114930</v>
      </c>
      <c r="H12" s="4">
        <f>SUM(H7:H11)</f>
        <v>18350.168067226892</v>
      </c>
    </row>
    <row r="13" spans="1:8" ht="18.75" x14ac:dyDescent="0.3">
      <c r="A13" s="5"/>
      <c r="C13" s="3"/>
      <c r="D13" s="4"/>
      <c r="H13" s="4"/>
    </row>
    <row r="15" spans="1:8" ht="18.75" x14ac:dyDescent="0.3">
      <c r="A15" s="5"/>
      <c r="C15" s="3"/>
      <c r="D15" s="4"/>
      <c r="H15" s="4"/>
    </row>
    <row r="16" spans="1:8" ht="15.75" thickBot="1" x14ac:dyDescent="0.3">
      <c r="D16" s="7"/>
      <c r="H16" s="7"/>
    </row>
    <row r="18" spans="1:8" ht="18.75" x14ac:dyDescent="0.3">
      <c r="C18" t="s">
        <v>4</v>
      </c>
      <c r="D18" s="4">
        <f>D3-D12</f>
        <v>63570</v>
      </c>
      <c r="G18" t="s">
        <v>5</v>
      </c>
      <c r="H18" s="4">
        <f>H3-H12</f>
        <v>10149.831932773108</v>
      </c>
    </row>
    <row r="21" spans="1:8" ht="15.75" x14ac:dyDescent="0.25">
      <c r="A21" t="s">
        <v>6</v>
      </c>
      <c r="C21" s="8">
        <f>D18</f>
        <v>63570</v>
      </c>
      <c r="E21" t="s">
        <v>10</v>
      </c>
      <c r="H21" s="6">
        <f>C30</f>
        <v>52706.168067226892</v>
      </c>
    </row>
    <row r="23" spans="1:8" ht="15.75" x14ac:dyDescent="0.25">
      <c r="A23" t="s">
        <v>5</v>
      </c>
      <c r="B23" s="9" t="s">
        <v>7</v>
      </c>
      <c r="C23" s="8">
        <f>H18</f>
        <v>10149.831932773108</v>
      </c>
      <c r="E23" s="13" t="s">
        <v>11</v>
      </c>
      <c r="F23" s="9" t="s">
        <v>181</v>
      </c>
      <c r="G23" s="15" t="s">
        <v>17</v>
      </c>
      <c r="H23" s="3">
        <f>-(F24*0.007)</f>
        <v>-1050</v>
      </c>
    </row>
    <row r="24" spans="1:8" x14ac:dyDescent="0.25">
      <c r="F24" s="21">
        <f>D3-H3</f>
        <v>150000</v>
      </c>
    </row>
    <row r="25" spans="1:8" ht="15.75" x14ac:dyDescent="0.25">
      <c r="A25" t="s">
        <v>8</v>
      </c>
      <c r="B25" s="9" t="s">
        <v>7</v>
      </c>
      <c r="C25" s="8">
        <f>D3*0.004</f>
        <v>714</v>
      </c>
      <c r="F25" s="9" t="s">
        <v>13</v>
      </c>
      <c r="G25" s="16">
        <v>0.35</v>
      </c>
      <c r="H25" s="29">
        <f>-(F26*0.35)</f>
        <v>-18447.158823529411</v>
      </c>
    </row>
    <row r="26" spans="1:8" ht="15.75" thickBot="1" x14ac:dyDescent="0.3">
      <c r="F26" s="21">
        <f>H21</f>
        <v>52706.168067226892</v>
      </c>
      <c r="H26" s="7"/>
    </row>
    <row r="27" spans="1:8" ht="15.75" x14ac:dyDescent="0.25">
      <c r="A27" t="s">
        <v>9</v>
      </c>
      <c r="B27" s="9" t="s">
        <v>7</v>
      </c>
      <c r="C27" s="10"/>
      <c r="G27" s="13" t="s">
        <v>14</v>
      </c>
      <c r="H27" s="6">
        <f>H21+H23+H25</f>
        <v>33209.009243697481</v>
      </c>
    </row>
    <row r="28" spans="1:8" ht="15.75" thickBot="1" x14ac:dyDescent="0.3">
      <c r="A28" s="16"/>
      <c r="B28" s="14"/>
      <c r="C28" s="7"/>
    </row>
    <row r="29" spans="1:8" x14ac:dyDescent="0.25">
      <c r="E29" t="s">
        <v>151</v>
      </c>
      <c r="H29" s="20">
        <f>H27*0.5</f>
        <v>16604.50462184874</v>
      </c>
    </row>
    <row r="30" spans="1:8" ht="15.75" x14ac:dyDescent="0.25">
      <c r="A30" t="s">
        <v>10</v>
      </c>
      <c r="C30" s="10">
        <f>C21-C23-C25-C27</f>
        <v>52706.168067226892</v>
      </c>
      <c r="H30" s="18"/>
    </row>
    <row r="31" spans="1:8" x14ac:dyDescent="0.25">
      <c r="H31" s="3"/>
    </row>
    <row r="32" spans="1:8" x14ac:dyDescent="0.25">
      <c r="H32" s="18"/>
    </row>
  </sheetData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EE105-0DF3-4F4F-A536-BF6DB5285C21}">
  <dimension ref="A1:H32"/>
  <sheetViews>
    <sheetView workbookViewId="0">
      <selection sqref="A1:XFD1048576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576</v>
      </c>
    </row>
    <row r="3" spans="1:8" ht="21" x14ac:dyDescent="0.35">
      <c r="A3" s="2" t="s">
        <v>1</v>
      </c>
      <c r="D3" s="11">
        <v>636650</v>
      </c>
      <c r="F3" s="12" t="s">
        <v>3</v>
      </c>
      <c r="H3" s="4">
        <f>(D3/1.19)*0.19</f>
        <v>101650</v>
      </c>
    </row>
    <row r="4" spans="1:8" x14ac:dyDescent="0.25">
      <c r="A4" s="13" t="s">
        <v>32</v>
      </c>
      <c r="C4" s="26">
        <v>749</v>
      </c>
    </row>
    <row r="5" spans="1:8" ht="21" x14ac:dyDescent="0.35">
      <c r="A5" s="2" t="s">
        <v>2</v>
      </c>
    </row>
    <row r="7" spans="1:8" ht="18.75" x14ac:dyDescent="0.3">
      <c r="A7" s="5" t="s">
        <v>575</v>
      </c>
      <c r="D7" s="4">
        <v>221000</v>
      </c>
      <c r="E7" s="25"/>
      <c r="H7" s="4">
        <f>(D7/1.19)*0.19</f>
        <v>35285.714285714283</v>
      </c>
    </row>
    <row r="8" spans="1:8" ht="18.75" x14ac:dyDescent="0.3">
      <c r="A8" s="5" t="s">
        <v>577</v>
      </c>
      <c r="C8" s="3"/>
      <c r="D8" s="32">
        <v>35000</v>
      </c>
      <c r="E8" s="25"/>
      <c r="H8" s="4"/>
    </row>
    <row r="9" spans="1:8" ht="18.75" x14ac:dyDescent="0.3">
      <c r="A9" s="5"/>
      <c r="C9" s="3"/>
      <c r="D9" s="28"/>
      <c r="E9" s="25"/>
      <c r="H9" s="28"/>
    </row>
    <row r="10" spans="1:8" ht="18.75" x14ac:dyDescent="0.3">
      <c r="A10" s="5"/>
      <c r="C10" s="3"/>
      <c r="D10" s="28"/>
      <c r="E10" s="25"/>
      <c r="H10" s="28"/>
    </row>
    <row r="11" spans="1:8" ht="19.5" thickBot="1" x14ac:dyDescent="0.35">
      <c r="A11" s="5"/>
      <c r="C11" s="3"/>
      <c r="D11" s="22"/>
      <c r="E11" s="25"/>
      <c r="H11" s="22"/>
    </row>
    <row r="12" spans="1:8" ht="18.75" customHeight="1" x14ac:dyDescent="0.3">
      <c r="D12" s="4">
        <f>SUM(D7:D11)</f>
        <v>256000</v>
      </c>
      <c r="H12" s="4">
        <f>SUM(H7:H11)</f>
        <v>35285.714285714283</v>
      </c>
    </row>
    <row r="13" spans="1:8" ht="18.75" x14ac:dyDescent="0.3">
      <c r="A13" s="5"/>
      <c r="C13" s="3"/>
      <c r="D13" s="4"/>
      <c r="H13" s="4"/>
    </row>
    <row r="15" spans="1:8" ht="18.75" x14ac:dyDescent="0.3">
      <c r="A15" s="5"/>
      <c r="C15" s="3"/>
      <c r="D15" s="4"/>
      <c r="H15" s="4"/>
    </row>
    <row r="16" spans="1:8" ht="15.75" thickBot="1" x14ac:dyDescent="0.3">
      <c r="D16" s="7"/>
      <c r="H16" s="7"/>
    </row>
    <row r="18" spans="1:8" ht="18.75" x14ac:dyDescent="0.3">
      <c r="C18" t="s">
        <v>4</v>
      </c>
      <c r="D18" s="4">
        <f>D3-D12</f>
        <v>380650</v>
      </c>
      <c r="G18" t="s">
        <v>5</v>
      </c>
      <c r="H18" s="4">
        <f>H3-H12</f>
        <v>66364.28571428571</v>
      </c>
    </row>
    <row r="21" spans="1:8" ht="15.75" x14ac:dyDescent="0.25">
      <c r="A21" t="s">
        <v>6</v>
      </c>
      <c r="C21" s="8">
        <f>D18</f>
        <v>380650</v>
      </c>
      <c r="E21" t="s">
        <v>10</v>
      </c>
      <c r="H21" s="6">
        <f>C30</f>
        <v>311739.11428571434</v>
      </c>
    </row>
    <row r="23" spans="1:8" ht="15.75" x14ac:dyDescent="0.25">
      <c r="A23" t="s">
        <v>5</v>
      </c>
      <c r="B23" s="9" t="s">
        <v>7</v>
      </c>
      <c r="C23" s="8">
        <f>H18</f>
        <v>66364.28571428571</v>
      </c>
      <c r="E23" s="13" t="s">
        <v>11</v>
      </c>
      <c r="F23" s="9" t="s">
        <v>181</v>
      </c>
      <c r="G23" s="15" t="s">
        <v>17</v>
      </c>
      <c r="H23" s="3">
        <f>-(F24*0.007)</f>
        <v>-3745</v>
      </c>
    </row>
    <row r="24" spans="1:8" x14ac:dyDescent="0.25">
      <c r="F24" s="21">
        <f>D3-H3</f>
        <v>535000</v>
      </c>
    </row>
    <row r="25" spans="1:8" ht="15.75" x14ac:dyDescent="0.25">
      <c r="A25" t="s">
        <v>8</v>
      </c>
      <c r="B25" s="9" t="s">
        <v>7</v>
      </c>
      <c r="C25" s="8">
        <f>D3*0.004</f>
        <v>2546.6</v>
      </c>
      <c r="F25" s="9" t="s">
        <v>13</v>
      </c>
      <c r="G25" s="16">
        <v>0.35</v>
      </c>
      <c r="H25" s="29">
        <f>-(F26*0.35)</f>
        <v>-109108.69000000002</v>
      </c>
    </row>
    <row r="26" spans="1:8" ht="15.75" thickBot="1" x14ac:dyDescent="0.3">
      <c r="F26" s="21">
        <f>H21</f>
        <v>311739.11428571434</v>
      </c>
      <c r="H26" s="7"/>
    </row>
    <row r="27" spans="1:8" ht="15.75" x14ac:dyDescent="0.25">
      <c r="A27" t="s">
        <v>9</v>
      </c>
      <c r="B27" s="9" t="s">
        <v>7</v>
      </c>
      <c r="C27" s="10"/>
      <c r="G27" s="13" t="s">
        <v>14</v>
      </c>
      <c r="H27" s="6">
        <f>H21+H23+H25</f>
        <v>198885.42428571434</v>
      </c>
    </row>
    <row r="28" spans="1:8" ht="15.75" thickBot="1" x14ac:dyDescent="0.3">
      <c r="A28" s="16"/>
      <c r="B28" s="14"/>
      <c r="C28" s="7"/>
    </row>
    <row r="29" spans="1:8" x14ac:dyDescent="0.25">
      <c r="E29" t="s">
        <v>151</v>
      </c>
      <c r="H29" s="20">
        <f>H27*0.5</f>
        <v>99442.71214285717</v>
      </c>
    </row>
    <row r="30" spans="1:8" ht="15.75" x14ac:dyDescent="0.25">
      <c r="A30" t="s">
        <v>10</v>
      </c>
      <c r="C30" s="10">
        <f>C21-C23-C25-C27</f>
        <v>311739.11428571434</v>
      </c>
      <c r="H30" s="18"/>
    </row>
    <row r="31" spans="1:8" x14ac:dyDescent="0.25">
      <c r="H31" s="3"/>
    </row>
    <row r="32" spans="1:8" x14ac:dyDescent="0.25">
      <c r="H32" s="18"/>
    </row>
  </sheetData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80787-6F89-4DE7-A5F6-D63B9E623487}">
  <dimension ref="A1:H32"/>
  <sheetViews>
    <sheetView workbookViewId="0">
      <selection sqref="A1:XFD1048576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516</v>
      </c>
    </row>
    <row r="3" spans="1:8" ht="21" x14ac:dyDescent="0.35">
      <c r="A3" s="2" t="s">
        <v>1</v>
      </c>
      <c r="D3" s="11">
        <v>321300</v>
      </c>
      <c r="F3" s="12" t="s">
        <v>3</v>
      </c>
      <c r="H3" s="4">
        <f>(D3/1.19)*0.19</f>
        <v>51300</v>
      </c>
    </row>
    <row r="4" spans="1:8" x14ac:dyDescent="0.25">
      <c r="A4" s="13" t="s">
        <v>32</v>
      </c>
      <c r="C4" s="26">
        <v>750</v>
      </c>
    </row>
    <row r="5" spans="1:8" ht="21" x14ac:dyDescent="0.35">
      <c r="A5" s="2" t="s">
        <v>2</v>
      </c>
    </row>
    <row r="7" spans="1:8" ht="18.75" x14ac:dyDescent="0.3">
      <c r="A7" s="5" t="s">
        <v>498</v>
      </c>
      <c r="D7" s="4">
        <v>91571</v>
      </c>
      <c r="E7" s="25"/>
      <c r="H7" s="4">
        <f>(D7/1.19)*0.19</f>
        <v>14620.579831932773</v>
      </c>
    </row>
    <row r="8" spans="1:8" ht="18.75" x14ac:dyDescent="0.3">
      <c r="A8" s="5" t="s">
        <v>221</v>
      </c>
      <c r="C8" s="3"/>
      <c r="D8" s="32">
        <v>95106</v>
      </c>
      <c r="E8" s="25"/>
      <c r="H8" s="4">
        <f>(D8/1.19)*0.19</f>
        <v>15184.991596638658</v>
      </c>
    </row>
    <row r="9" spans="1:8" ht="18.75" x14ac:dyDescent="0.3">
      <c r="A9" s="5"/>
      <c r="C9" s="3"/>
      <c r="D9" s="28"/>
      <c r="E9" s="25"/>
      <c r="H9" s="28"/>
    </row>
    <row r="10" spans="1:8" ht="18.75" x14ac:dyDescent="0.3">
      <c r="A10" s="5"/>
      <c r="C10" s="3"/>
      <c r="D10" s="28"/>
      <c r="E10" s="25"/>
      <c r="H10" s="28"/>
    </row>
    <row r="11" spans="1:8" ht="19.5" thickBot="1" x14ac:dyDescent="0.35">
      <c r="A11" s="5"/>
      <c r="C11" s="3"/>
      <c r="D11" s="22"/>
      <c r="E11" s="25"/>
      <c r="H11" s="22"/>
    </row>
    <row r="12" spans="1:8" ht="18.75" customHeight="1" x14ac:dyDescent="0.3">
      <c r="D12" s="4">
        <f>SUM(D7:D11)</f>
        <v>186677</v>
      </c>
      <c r="H12" s="4">
        <f>SUM(H7:H11)</f>
        <v>29805.571428571431</v>
      </c>
    </row>
    <row r="13" spans="1:8" ht="18.75" x14ac:dyDescent="0.3">
      <c r="A13" s="5"/>
      <c r="C13" s="3"/>
      <c r="D13" s="4"/>
      <c r="H13" s="4"/>
    </row>
    <row r="15" spans="1:8" ht="18.75" x14ac:dyDescent="0.3">
      <c r="A15" s="5"/>
      <c r="C15" s="3"/>
      <c r="D15" s="4"/>
      <c r="H15" s="4"/>
    </row>
    <row r="16" spans="1:8" ht="15.75" thickBot="1" x14ac:dyDescent="0.3">
      <c r="D16" s="7"/>
      <c r="H16" s="7"/>
    </row>
    <row r="18" spans="1:8" ht="18.75" x14ac:dyDescent="0.3">
      <c r="C18" t="s">
        <v>4</v>
      </c>
      <c r="D18" s="4">
        <f>D3-D12</f>
        <v>134623</v>
      </c>
      <c r="G18" t="s">
        <v>5</v>
      </c>
      <c r="H18" s="4">
        <f>H3-H12</f>
        <v>21494.428571428569</v>
      </c>
    </row>
    <row r="21" spans="1:8" ht="15.75" x14ac:dyDescent="0.25">
      <c r="A21" t="s">
        <v>6</v>
      </c>
      <c r="C21" s="8">
        <f>D18</f>
        <v>134623</v>
      </c>
      <c r="E21" t="s">
        <v>10</v>
      </c>
      <c r="H21" s="6">
        <f>C30</f>
        <v>111843.37142857144</v>
      </c>
    </row>
    <row r="23" spans="1:8" ht="15.75" x14ac:dyDescent="0.25">
      <c r="A23" t="s">
        <v>5</v>
      </c>
      <c r="B23" s="9" t="s">
        <v>7</v>
      </c>
      <c r="C23" s="8">
        <f>H18</f>
        <v>21494.428571428569</v>
      </c>
      <c r="E23" s="13" t="s">
        <v>11</v>
      </c>
      <c r="F23" s="9" t="s">
        <v>181</v>
      </c>
      <c r="G23" s="15" t="s">
        <v>17</v>
      </c>
      <c r="H23" s="3">
        <f>-(F24*0.007)</f>
        <v>-1890</v>
      </c>
    </row>
    <row r="24" spans="1:8" x14ac:dyDescent="0.25">
      <c r="F24" s="21">
        <f>D3-H3</f>
        <v>270000</v>
      </c>
    </row>
    <row r="25" spans="1:8" ht="15.75" x14ac:dyDescent="0.25">
      <c r="A25" t="s">
        <v>8</v>
      </c>
      <c r="B25" s="9" t="s">
        <v>7</v>
      </c>
      <c r="C25" s="8">
        <f>D3*0.004</f>
        <v>1285.2</v>
      </c>
      <c r="F25" s="9" t="s">
        <v>13</v>
      </c>
      <c r="G25" s="16">
        <v>0.35</v>
      </c>
      <c r="H25" s="29">
        <f>-(F26*0.35)</f>
        <v>-39145.18</v>
      </c>
    </row>
    <row r="26" spans="1:8" ht="15.75" thickBot="1" x14ac:dyDescent="0.3">
      <c r="F26" s="21">
        <f>H21</f>
        <v>111843.37142857144</v>
      </c>
      <c r="H26" s="7"/>
    </row>
    <row r="27" spans="1:8" ht="15.75" x14ac:dyDescent="0.25">
      <c r="A27" t="s">
        <v>9</v>
      </c>
      <c r="B27" s="9" t="s">
        <v>7</v>
      </c>
      <c r="C27" s="10"/>
      <c r="G27" s="13" t="s">
        <v>14</v>
      </c>
      <c r="H27" s="6">
        <f>H21+H23+H25</f>
        <v>70808.191428571445</v>
      </c>
    </row>
    <row r="28" spans="1:8" ht="15.75" thickBot="1" x14ac:dyDescent="0.3">
      <c r="A28" s="16"/>
      <c r="B28" s="14"/>
      <c r="C28" s="7"/>
    </row>
    <row r="29" spans="1:8" x14ac:dyDescent="0.25">
      <c r="E29" t="s">
        <v>151</v>
      </c>
      <c r="H29" s="20">
        <f>H27*0.5</f>
        <v>35404.095714285722</v>
      </c>
    </row>
    <row r="30" spans="1:8" ht="15.75" x14ac:dyDescent="0.25">
      <c r="A30" t="s">
        <v>10</v>
      </c>
      <c r="C30" s="10">
        <f>C21-C23-C25-C27</f>
        <v>111843.37142857144</v>
      </c>
      <c r="H30" s="18"/>
    </row>
    <row r="31" spans="1:8" x14ac:dyDescent="0.25">
      <c r="H31" s="3"/>
    </row>
    <row r="32" spans="1:8" x14ac:dyDescent="0.25">
      <c r="H32" s="18"/>
    </row>
  </sheetData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E988B-BF37-42F4-9FD3-E19D2516DAD6}">
  <dimension ref="A1:H32"/>
  <sheetViews>
    <sheetView workbookViewId="0">
      <selection sqref="A1:XFD1048576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537</v>
      </c>
    </row>
    <row r="3" spans="1:8" ht="21" x14ac:dyDescent="0.35">
      <c r="A3" s="2" t="s">
        <v>1</v>
      </c>
      <c r="D3" s="11">
        <v>1997672</v>
      </c>
      <c r="F3" s="12" t="s">
        <v>3</v>
      </c>
      <c r="H3" s="4">
        <f>(D3/1.19)*0.19</f>
        <v>318956.03361344541</v>
      </c>
    </row>
    <row r="4" spans="1:8" x14ac:dyDescent="0.25">
      <c r="A4" s="13" t="s">
        <v>32</v>
      </c>
      <c r="C4" s="26">
        <v>751</v>
      </c>
    </row>
    <row r="5" spans="1:8" ht="21" x14ac:dyDescent="0.35">
      <c r="A5" s="2" t="s">
        <v>2</v>
      </c>
    </row>
    <row r="7" spans="1:8" ht="18.75" x14ac:dyDescent="0.3">
      <c r="A7" s="5" t="s">
        <v>578</v>
      </c>
      <c r="D7" s="4">
        <v>414983</v>
      </c>
      <c r="E7" s="25"/>
      <c r="H7" s="4">
        <f>(D7/1.19)*0.19</f>
        <v>66257.789915966379</v>
      </c>
    </row>
    <row r="8" spans="1:8" ht="18.75" x14ac:dyDescent="0.3">
      <c r="A8" s="5" t="s">
        <v>221</v>
      </c>
      <c r="C8" s="3"/>
      <c r="D8" s="32">
        <v>622083</v>
      </c>
      <c r="E8" s="25"/>
      <c r="H8" s="4">
        <f>(D8/1.19)*0.19</f>
        <v>99324.176470588238</v>
      </c>
    </row>
    <row r="9" spans="1:8" ht="18.75" x14ac:dyDescent="0.3">
      <c r="A9" s="5" t="s">
        <v>408</v>
      </c>
      <c r="C9" s="3"/>
      <c r="D9" s="28">
        <v>297524</v>
      </c>
      <c r="E9" s="25"/>
      <c r="H9" s="4">
        <f t="shared" ref="H9:H11" si="0">(D9/1.19)*0.19</f>
        <v>47503.831932773115</v>
      </c>
    </row>
    <row r="10" spans="1:8" ht="18.75" x14ac:dyDescent="0.3">
      <c r="A10" s="5" t="s">
        <v>579</v>
      </c>
      <c r="C10" s="3"/>
      <c r="D10" s="28">
        <v>34696</v>
      </c>
      <c r="E10" s="25"/>
      <c r="H10" s="4"/>
    </row>
    <row r="11" spans="1:8" ht="19.5" thickBot="1" x14ac:dyDescent="0.35">
      <c r="A11" s="5"/>
      <c r="C11" s="3"/>
      <c r="D11" s="22"/>
      <c r="E11" s="25"/>
      <c r="H11" s="22">
        <f t="shared" si="0"/>
        <v>0</v>
      </c>
    </row>
    <row r="12" spans="1:8" ht="18.75" customHeight="1" x14ac:dyDescent="0.3">
      <c r="D12" s="4">
        <f>SUM(D7:D11)</f>
        <v>1369286</v>
      </c>
      <c r="H12" s="4">
        <f>SUM(H7:H11)</f>
        <v>213085.79831932773</v>
      </c>
    </row>
    <row r="13" spans="1:8" ht="18.75" x14ac:dyDescent="0.3">
      <c r="A13" s="5"/>
      <c r="C13" s="3"/>
      <c r="D13" s="4"/>
      <c r="H13" s="4"/>
    </row>
    <row r="15" spans="1:8" ht="18.75" x14ac:dyDescent="0.3">
      <c r="A15" s="5"/>
      <c r="C15" s="3"/>
      <c r="D15" s="4"/>
      <c r="H15" s="4"/>
    </row>
    <row r="16" spans="1:8" ht="15.75" thickBot="1" x14ac:dyDescent="0.3">
      <c r="D16" s="7"/>
      <c r="H16" s="7"/>
    </row>
    <row r="18" spans="1:8" ht="18.75" x14ac:dyDescent="0.3">
      <c r="C18" t="s">
        <v>4</v>
      </c>
      <c r="D18" s="4">
        <f>D3-D12</f>
        <v>628386</v>
      </c>
      <c r="G18" t="s">
        <v>5</v>
      </c>
      <c r="H18" s="4">
        <f>H3-H12</f>
        <v>105870.23529411768</v>
      </c>
    </row>
    <row r="21" spans="1:8" ht="15.75" x14ac:dyDescent="0.25">
      <c r="A21" t="s">
        <v>6</v>
      </c>
      <c r="C21" s="8">
        <f>D18</f>
        <v>628386</v>
      </c>
      <c r="E21" t="s">
        <v>10</v>
      </c>
      <c r="H21" s="6">
        <f>C30</f>
        <v>514525.07670588227</v>
      </c>
    </row>
    <row r="23" spans="1:8" ht="15.75" x14ac:dyDescent="0.25">
      <c r="A23" t="s">
        <v>5</v>
      </c>
      <c r="B23" s="9" t="s">
        <v>7</v>
      </c>
      <c r="C23" s="8">
        <f>H18</f>
        <v>105870.23529411768</v>
      </c>
      <c r="E23" s="13" t="s">
        <v>11</v>
      </c>
      <c r="F23" s="9" t="s">
        <v>181</v>
      </c>
      <c r="G23" s="15" t="s">
        <v>17</v>
      </c>
      <c r="H23" s="3">
        <f>-(F24*0.007)</f>
        <v>-11751.011764705881</v>
      </c>
    </row>
    <row r="24" spans="1:8" x14ac:dyDescent="0.25">
      <c r="F24" s="21">
        <f>D3-H3</f>
        <v>1678715.9663865545</v>
      </c>
    </row>
    <row r="25" spans="1:8" ht="15.75" x14ac:dyDescent="0.25">
      <c r="A25" t="s">
        <v>8</v>
      </c>
      <c r="B25" s="9" t="s">
        <v>7</v>
      </c>
      <c r="C25" s="8">
        <f>D3*0.004</f>
        <v>7990.6880000000001</v>
      </c>
      <c r="F25" s="9" t="s">
        <v>13</v>
      </c>
      <c r="G25" s="16">
        <v>0.35</v>
      </c>
      <c r="H25" s="29">
        <f>-(F26*0.35)</f>
        <v>-180083.77684705879</v>
      </c>
    </row>
    <row r="26" spans="1:8" ht="15.75" thickBot="1" x14ac:dyDescent="0.3">
      <c r="F26" s="21">
        <f>H21</f>
        <v>514525.07670588227</v>
      </c>
      <c r="H26" s="7"/>
    </row>
    <row r="27" spans="1:8" ht="15.75" x14ac:dyDescent="0.25">
      <c r="A27" t="s">
        <v>9</v>
      </c>
      <c r="B27" s="9" t="s">
        <v>7</v>
      </c>
      <c r="C27" s="10"/>
      <c r="G27" s="13" t="s">
        <v>14</v>
      </c>
      <c r="H27" s="6">
        <f>H21+H23+H25</f>
        <v>322690.2880941176</v>
      </c>
    </row>
    <row r="28" spans="1:8" ht="15.75" thickBot="1" x14ac:dyDescent="0.3">
      <c r="A28" s="16"/>
      <c r="B28" s="14"/>
      <c r="C28" s="7"/>
    </row>
    <row r="29" spans="1:8" x14ac:dyDescent="0.25">
      <c r="E29" t="s">
        <v>151</v>
      </c>
      <c r="H29" s="20">
        <f>H27*0.5</f>
        <v>161345.1440470588</v>
      </c>
    </row>
    <row r="30" spans="1:8" ht="15.75" x14ac:dyDescent="0.25">
      <c r="A30" t="s">
        <v>10</v>
      </c>
      <c r="C30" s="10">
        <f>C21-C23-C25-C27</f>
        <v>514525.07670588227</v>
      </c>
      <c r="H30" s="18"/>
    </row>
    <row r="31" spans="1:8" x14ac:dyDescent="0.25">
      <c r="H31" s="3"/>
    </row>
    <row r="32" spans="1:8" x14ac:dyDescent="0.25">
      <c r="H32" s="18"/>
    </row>
  </sheetData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A309C-2605-4106-A424-166F328F92F8}">
  <dimension ref="A1:H32"/>
  <sheetViews>
    <sheetView workbookViewId="0">
      <selection sqref="A1:XFD1048576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568</v>
      </c>
    </row>
    <row r="3" spans="1:8" ht="21" x14ac:dyDescent="0.35">
      <c r="A3" s="2" t="s">
        <v>1</v>
      </c>
      <c r="D3" s="11">
        <v>59500</v>
      </c>
      <c r="F3" s="12" t="s">
        <v>3</v>
      </c>
      <c r="H3" s="4">
        <f>(D3/1.19)*0.19</f>
        <v>9500</v>
      </c>
    </row>
    <row r="4" spans="1:8" x14ac:dyDescent="0.25">
      <c r="A4" s="13" t="s">
        <v>32</v>
      </c>
      <c r="C4" s="26">
        <v>756</v>
      </c>
    </row>
    <row r="5" spans="1:8" ht="21" x14ac:dyDescent="0.35">
      <c r="A5" s="2" t="s">
        <v>2</v>
      </c>
    </row>
    <row r="7" spans="1:8" ht="18.75" x14ac:dyDescent="0.3">
      <c r="A7" s="5" t="s">
        <v>517</v>
      </c>
      <c r="D7" s="4">
        <v>44250</v>
      </c>
      <c r="E7" s="25"/>
      <c r="H7" s="4">
        <f>(D7/1.19)*0.19</f>
        <v>7065.1260504201691</v>
      </c>
    </row>
    <row r="8" spans="1:8" ht="18.75" x14ac:dyDescent="0.3">
      <c r="A8" s="5"/>
      <c r="C8" s="3"/>
      <c r="D8" s="32"/>
      <c r="E8" s="25"/>
      <c r="H8" s="4"/>
    </row>
    <row r="9" spans="1:8" ht="18.75" x14ac:dyDescent="0.3">
      <c r="A9" s="5"/>
      <c r="C9" s="3"/>
      <c r="D9" s="28"/>
      <c r="E9" s="25"/>
      <c r="H9" s="4"/>
    </row>
    <row r="10" spans="1:8" ht="18.75" x14ac:dyDescent="0.3">
      <c r="A10" s="5"/>
      <c r="C10" s="3"/>
      <c r="D10" s="28"/>
      <c r="E10" s="25"/>
      <c r="H10" s="4"/>
    </row>
    <row r="11" spans="1:8" ht="19.5" thickBot="1" x14ac:dyDescent="0.35">
      <c r="A11" s="5"/>
      <c r="C11" s="3"/>
      <c r="D11" s="22"/>
      <c r="E11" s="25"/>
      <c r="H11" s="22">
        <f t="shared" ref="H11" si="0">(D11/1.19)*0.19</f>
        <v>0</v>
      </c>
    </row>
    <row r="12" spans="1:8" ht="18.75" customHeight="1" x14ac:dyDescent="0.3">
      <c r="D12" s="4">
        <f>SUM(D7:D11)</f>
        <v>44250</v>
      </c>
      <c r="H12" s="4">
        <f>SUM(H7:H11)</f>
        <v>7065.1260504201691</v>
      </c>
    </row>
    <row r="13" spans="1:8" ht="18.75" x14ac:dyDescent="0.3">
      <c r="A13" s="5"/>
      <c r="C13" s="3"/>
      <c r="D13" s="4"/>
      <c r="H13" s="4"/>
    </row>
    <row r="15" spans="1:8" ht="18.75" x14ac:dyDescent="0.3">
      <c r="A15" s="5"/>
      <c r="C15" s="3"/>
      <c r="D15" s="4"/>
      <c r="H15" s="4"/>
    </row>
    <row r="16" spans="1:8" ht="15.75" thickBot="1" x14ac:dyDescent="0.3">
      <c r="D16" s="7"/>
      <c r="H16" s="7"/>
    </row>
    <row r="18" spans="1:8" ht="18.75" x14ac:dyDescent="0.3">
      <c r="C18" t="s">
        <v>4</v>
      </c>
      <c r="D18" s="4">
        <f>D3-D12</f>
        <v>15250</v>
      </c>
      <c r="G18" t="s">
        <v>5</v>
      </c>
      <c r="H18" s="4">
        <f>H3-H12</f>
        <v>2434.8739495798309</v>
      </c>
    </row>
    <row r="21" spans="1:8" ht="15.75" x14ac:dyDescent="0.25">
      <c r="A21" t="s">
        <v>6</v>
      </c>
      <c r="C21" s="8">
        <f>D18</f>
        <v>15250</v>
      </c>
      <c r="E21" t="s">
        <v>10</v>
      </c>
      <c r="H21" s="6">
        <f>C30</f>
        <v>12577.126050420169</v>
      </c>
    </row>
    <row r="23" spans="1:8" ht="15.75" x14ac:dyDescent="0.25">
      <c r="A23" t="s">
        <v>5</v>
      </c>
      <c r="B23" s="9" t="s">
        <v>7</v>
      </c>
      <c r="C23" s="8">
        <f>H18</f>
        <v>2434.8739495798309</v>
      </c>
      <c r="E23" s="13" t="s">
        <v>11</v>
      </c>
      <c r="F23" s="9" t="s">
        <v>181</v>
      </c>
      <c r="G23" s="15" t="s">
        <v>17</v>
      </c>
      <c r="H23" s="3">
        <f>-(F24*0.007)</f>
        <v>-350</v>
      </c>
    </row>
    <row r="24" spans="1:8" x14ac:dyDescent="0.25">
      <c r="F24" s="21">
        <f>D3-H3</f>
        <v>50000</v>
      </c>
    </row>
    <row r="25" spans="1:8" ht="15.75" x14ac:dyDescent="0.25">
      <c r="A25" t="s">
        <v>8</v>
      </c>
      <c r="B25" s="9" t="s">
        <v>7</v>
      </c>
      <c r="C25" s="8">
        <f>D3*0.004</f>
        <v>238</v>
      </c>
      <c r="F25" s="9" t="s">
        <v>13</v>
      </c>
      <c r="G25" s="16">
        <v>0.35</v>
      </c>
      <c r="H25" s="29">
        <f>-(F26*0.35)</f>
        <v>-4401.9941176470593</v>
      </c>
    </row>
    <row r="26" spans="1:8" ht="15.75" thickBot="1" x14ac:dyDescent="0.3">
      <c r="F26" s="21">
        <f>H21</f>
        <v>12577.126050420169</v>
      </c>
      <c r="H26" s="7"/>
    </row>
    <row r="27" spans="1:8" ht="15.75" x14ac:dyDescent="0.25">
      <c r="A27" t="s">
        <v>9</v>
      </c>
      <c r="B27" s="9" t="s">
        <v>7</v>
      </c>
      <c r="C27" s="10"/>
      <c r="G27" s="13" t="s">
        <v>14</v>
      </c>
      <c r="H27" s="6">
        <f>H21+H23+H25</f>
        <v>7825.1319327731098</v>
      </c>
    </row>
    <row r="28" spans="1:8" ht="15.75" thickBot="1" x14ac:dyDescent="0.3">
      <c r="A28" s="16"/>
      <c r="B28" s="14"/>
      <c r="C28" s="7"/>
    </row>
    <row r="29" spans="1:8" x14ac:dyDescent="0.25">
      <c r="E29" t="s">
        <v>151</v>
      </c>
      <c r="H29" s="20">
        <f>H27*0.5</f>
        <v>3912.5659663865549</v>
      </c>
    </row>
    <row r="30" spans="1:8" ht="15.75" x14ac:dyDescent="0.25">
      <c r="A30" t="s">
        <v>10</v>
      </c>
      <c r="C30" s="10">
        <f>C21-C23-C25-C27</f>
        <v>12577.126050420169</v>
      </c>
      <c r="H30" s="18"/>
    </row>
    <row r="31" spans="1:8" x14ac:dyDescent="0.25">
      <c r="H31" s="3"/>
    </row>
    <row r="32" spans="1:8" x14ac:dyDescent="0.25">
      <c r="H32" s="18"/>
    </row>
  </sheetData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35B8A-CF09-469D-A346-4543B7741130}">
  <dimension ref="A1:H32"/>
  <sheetViews>
    <sheetView workbookViewId="0">
      <selection activeCell="C5" sqref="C5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580</v>
      </c>
    </row>
    <row r="3" spans="1:8" ht="21" x14ac:dyDescent="0.35">
      <c r="A3" s="2" t="s">
        <v>1</v>
      </c>
      <c r="D3" s="11">
        <v>196350</v>
      </c>
      <c r="F3" s="12" t="s">
        <v>3</v>
      </c>
      <c r="H3" s="4">
        <f>(D3/1.19)*0.19</f>
        <v>31350</v>
      </c>
    </row>
    <row r="4" spans="1:8" x14ac:dyDescent="0.25">
      <c r="A4" s="13" t="s">
        <v>32</v>
      </c>
      <c r="C4" s="26">
        <v>757</v>
      </c>
    </row>
    <row r="5" spans="1:8" ht="21" x14ac:dyDescent="0.35">
      <c r="A5" s="2" t="s">
        <v>2</v>
      </c>
    </row>
    <row r="7" spans="1:8" ht="18.75" x14ac:dyDescent="0.3">
      <c r="A7" s="5" t="s">
        <v>350</v>
      </c>
      <c r="D7" s="4">
        <v>123965</v>
      </c>
      <c r="E7" s="25"/>
      <c r="H7" s="4">
        <f>(D7/1.19)*0.19</f>
        <v>19792.731092436978</v>
      </c>
    </row>
    <row r="8" spans="1:8" ht="18.75" x14ac:dyDescent="0.3">
      <c r="A8" s="5"/>
      <c r="C8" s="3"/>
      <c r="D8" s="32"/>
      <c r="E8" s="25"/>
      <c r="H8" s="4"/>
    </row>
    <row r="9" spans="1:8" ht="18.75" x14ac:dyDescent="0.3">
      <c r="A9" s="5"/>
      <c r="C9" s="3"/>
      <c r="D9" s="28"/>
      <c r="E9" s="25"/>
      <c r="H9" s="4"/>
    </row>
    <row r="10" spans="1:8" ht="18.75" x14ac:dyDescent="0.3">
      <c r="A10" s="5"/>
      <c r="C10" s="3"/>
      <c r="D10" s="28"/>
      <c r="E10" s="25"/>
      <c r="H10" s="4"/>
    </row>
    <row r="11" spans="1:8" ht="19.5" thickBot="1" x14ac:dyDescent="0.35">
      <c r="A11" s="5"/>
      <c r="C11" s="3"/>
      <c r="D11" s="22"/>
      <c r="E11" s="25"/>
      <c r="H11" s="22">
        <f t="shared" ref="H11" si="0">(D11/1.19)*0.19</f>
        <v>0</v>
      </c>
    </row>
    <row r="12" spans="1:8" ht="18.75" customHeight="1" x14ac:dyDescent="0.3">
      <c r="D12" s="4">
        <f>SUM(D7:D11)</f>
        <v>123965</v>
      </c>
      <c r="H12" s="4">
        <f>SUM(H7:H11)</f>
        <v>19792.731092436978</v>
      </c>
    </row>
    <row r="13" spans="1:8" ht="18.75" x14ac:dyDescent="0.3">
      <c r="A13" s="5"/>
      <c r="C13" s="3"/>
      <c r="D13" s="4"/>
      <c r="H13" s="4"/>
    </row>
    <row r="15" spans="1:8" ht="18.75" x14ac:dyDescent="0.3">
      <c r="A15" s="5"/>
      <c r="C15" s="3"/>
      <c r="D15" s="4"/>
      <c r="H15" s="4"/>
    </row>
    <row r="16" spans="1:8" ht="15.75" thickBot="1" x14ac:dyDescent="0.3">
      <c r="D16" s="7"/>
      <c r="H16" s="7"/>
    </row>
    <row r="18" spans="1:8" ht="18.75" x14ac:dyDescent="0.3">
      <c r="C18" t="s">
        <v>4</v>
      </c>
      <c r="D18" s="4">
        <f>D3-D12</f>
        <v>72385</v>
      </c>
      <c r="G18" t="s">
        <v>5</v>
      </c>
      <c r="H18" s="4">
        <f>H3-H12</f>
        <v>11557.268907563022</v>
      </c>
    </row>
    <row r="21" spans="1:8" ht="15.75" x14ac:dyDescent="0.25">
      <c r="A21" t="s">
        <v>6</v>
      </c>
      <c r="C21" s="8">
        <f>D18</f>
        <v>72385</v>
      </c>
      <c r="E21" t="s">
        <v>10</v>
      </c>
      <c r="H21" s="6">
        <f>C30</f>
        <v>60042.33109243698</v>
      </c>
    </row>
    <row r="23" spans="1:8" ht="15.75" x14ac:dyDescent="0.25">
      <c r="A23" t="s">
        <v>5</v>
      </c>
      <c r="B23" s="9" t="s">
        <v>7</v>
      </c>
      <c r="C23" s="8">
        <f>H18</f>
        <v>11557.268907563022</v>
      </c>
      <c r="E23" s="13" t="s">
        <v>11</v>
      </c>
      <c r="F23" s="9" t="s">
        <v>181</v>
      </c>
      <c r="G23" s="15" t="s">
        <v>17</v>
      </c>
      <c r="H23" s="3">
        <f>-(F24*0.007)</f>
        <v>-1155</v>
      </c>
    </row>
    <row r="24" spans="1:8" x14ac:dyDescent="0.25">
      <c r="F24" s="21">
        <f>D3-H3</f>
        <v>165000</v>
      </c>
    </row>
    <row r="25" spans="1:8" ht="15.75" x14ac:dyDescent="0.25">
      <c r="A25" t="s">
        <v>8</v>
      </c>
      <c r="B25" s="9" t="s">
        <v>7</v>
      </c>
      <c r="C25" s="8">
        <f>D3*0.004</f>
        <v>785.4</v>
      </c>
      <c r="F25" s="9" t="s">
        <v>13</v>
      </c>
      <c r="G25" s="16">
        <v>0.35</v>
      </c>
      <c r="H25" s="29">
        <f>-(F26*0.35)</f>
        <v>-21014.815882352941</v>
      </c>
    </row>
    <row r="26" spans="1:8" ht="15.75" thickBot="1" x14ac:dyDescent="0.3">
      <c r="F26" s="21">
        <f>H21</f>
        <v>60042.33109243698</v>
      </c>
      <c r="H26" s="7"/>
    </row>
    <row r="27" spans="1:8" ht="15.75" x14ac:dyDescent="0.25">
      <c r="A27" t="s">
        <v>9</v>
      </c>
      <c r="B27" s="9" t="s">
        <v>7</v>
      </c>
      <c r="C27" s="10"/>
      <c r="G27" s="13" t="s">
        <v>14</v>
      </c>
      <c r="H27" s="6">
        <f>H21+H23+H25</f>
        <v>37872.515210084035</v>
      </c>
    </row>
    <row r="28" spans="1:8" ht="15.75" thickBot="1" x14ac:dyDescent="0.3">
      <c r="A28" s="16"/>
      <c r="B28" s="14"/>
      <c r="C28" s="7"/>
    </row>
    <row r="29" spans="1:8" x14ac:dyDescent="0.25">
      <c r="E29" t="s">
        <v>151</v>
      </c>
      <c r="H29" s="20">
        <f>H27*0.5</f>
        <v>18936.257605042018</v>
      </c>
    </row>
    <row r="30" spans="1:8" ht="15.75" x14ac:dyDescent="0.25">
      <c r="A30" t="s">
        <v>10</v>
      </c>
      <c r="C30" s="10">
        <f>C21-C23-C25-C27</f>
        <v>60042.33109243698</v>
      </c>
      <c r="H30" s="18"/>
    </row>
    <row r="31" spans="1:8" x14ac:dyDescent="0.25">
      <c r="H31" s="3"/>
    </row>
    <row r="32" spans="1:8" x14ac:dyDescent="0.25">
      <c r="H32" s="18"/>
    </row>
  </sheetData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E25CB-8170-4DDE-BFCC-2967F49AB28D}">
  <dimension ref="A1:H32"/>
  <sheetViews>
    <sheetView topLeftCell="A10" workbookViewId="0">
      <selection activeCell="A10" sqref="A1:XFD1048576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581</v>
      </c>
    </row>
    <row r="3" spans="1:8" ht="21" x14ac:dyDescent="0.35">
      <c r="A3" s="2" t="s">
        <v>1</v>
      </c>
      <c r="D3" s="11">
        <v>34700</v>
      </c>
      <c r="F3" s="12" t="s">
        <v>3</v>
      </c>
      <c r="H3" s="4">
        <f>(D3/1.19)*0.19</f>
        <v>5540.3361344537816</v>
      </c>
    </row>
    <row r="4" spans="1:8" x14ac:dyDescent="0.25">
      <c r="A4" s="13" t="s">
        <v>32</v>
      </c>
      <c r="C4" s="26">
        <v>759</v>
      </c>
    </row>
    <row r="5" spans="1:8" ht="21" x14ac:dyDescent="0.35">
      <c r="A5" s="2" t="s">
        <v>2</v>
      </c>
    </row>
    <row r="7" spans="1:8" ht="18.75" x14ac:dyDescent="0.3">
      <c r="A7" s="5" t="s">
        <v>350</v>
      </c>
      <c r="D7" s="4">
        <v>27690</v>
      </c>
      <c r="E7" s="25"/>
      <c r="H7" s="4">
        <f>(D7/1.19)*0.19</f>
        <v>4421.09243697479</v>
      </c>
    </row>
    <row r="8" spans="1:8" ht="18.75" x14ac:dyDescent="0.3">
      <c r="A8" s="5"/>
      <c r="C8" s="3"/>
      <c r="D8" s="32"/>
      <c r="E8" s="25"/>
      <c r="H8" s="4"/>
    </row>
    <row r="9" spans="1:8" ht="18.75" x14ac:dyDescent="0.3">
      <c r="A9" s="5"/>
      <c r="C9" s="3"/>
      <c r="D9" s="28"/>
      <c r="E9" s="25"/>
      <c r="H9" s="4"/>
    </row>
    <row r="10" spans="1:8" ht="18.75" x14ac:dyDescent="0.3">
      <c r="A10" s="5"/>
      <c r="C10" s="3"/>
      <c r="D10" s="28"/>
      <c r="E10" s="25"/>
      <c r="H10" s="4"/>
    </row>
    <row r="11" spans="1:8" ht="19.5" thickBot="1" x14ac:dyDescent="0.35">
      <c r="A11" s="5"/>
      <c r="C11" s="3"/>
      <c r="D11" s="22"/>
      <c r="E11" s="25"/>
      <c r="H11" s="22">
        <f t="shared" ref="H11" si="0">(D11/1.19)*0.19</f>
        <v>0</v>
      </c>
    </row>
    <row r="12" spans="1:8" ht="18.75" customHeight="1" x14ac:dyDescent="0.3">
      <c r="D12" s="4">
        <f>SUM(D7:D11)</f>
        <v>27690</v>
      </c>
      <c r="H12" s="4">
        <f>SUM(H7:H11)</f>
        <v>4421.09243697479</v>
      </c>
    </row>
    <row r="13" spans="1:8" ht="18.75" x14ac:dyDescent="0.3">
      <c r="A13" s="5"/>
      <c r="C13" s="3"/>
      <c r="D13" s="4"/>
      <c r="H13" s="4"/>
    </row>
    <row r="15" spans="1:8" ht="18.75" x14ac:dyDescent="0.3">
      <c r="A15" s="5"/>
      <c r="C15" s="3"/>
      <c r="D15" s="4"/>
      <c r="H15" s="4"/>
    </row>
    <row r="16" spans="1:8" ht="15.75" thickBot="1" x14ac:dyDescent="0.3">
      <c r="D16" s="7"/>
      <c r="H16" s="7"/>
    </row>
    <row r="18" spans="1:8" ht="18.75" x14ac:dyDescent="0.3">
      <c r="C18" t="s">
        <v>4</v>
      </c>
      <c r="D18" s="4">
        <f>D3-D12</f>
        <v>7010</v>
      </c>
      <c r="G18" t="s">
        <v>5</v>
      </c>
      <c r="H18" s="4">
        <f>H3-H12</f>
        <v>1119.2436974789916</v>
      </c>
    </row>
    <row r="21" spans="1:8" ht="15.75" x14ac:dyDescent="0.25">
      <c r="A21" t="s">
        <v>6</v>
      </c>
      <c r="C21" s="8">
        <f>D18</f>
        <v>7010</v>
      </c>
      <c r="E21" t="s">
        <v>10</v>
      </c>
      <c r="H21" s="6">
        <f>C30</f>
        <v>5751.9563025210082</v>
      </c>
    </row>
    <row r="23" spans="1:8" ht="15.75" x14ac:dyDescent="0.25">
      <c r="A23" t="s">
        <v>5</v>
      </c>
      <c r="B23" s="9" t="s">
        <v>7</v>
      </c>
      <c r="C23" s="8">
        <f>H18</f>
        <v>1119.2436974789916</v>
      </c>
      <c r="E23" s="13" t="s">
        <v>11</v>
      </c>
      <c r="F23" s="9" t="s">
        <v>181</v>
      </c>
      <c r="G23" s="15" t="s">
        <v>17</v>
      </c>
      <c r="H23" s="3">
        <f>-(F24*0.007)</f>
        <v>-204.11764705882354</v>
      </c>
    </row>
    <row r="24" spans="1:8" x14ac:dyDescent="0.25">
      <c r="F24" s="21">
        <f>D3-H3</f>
        <v>29159.663865546219</v>
      </c>
    </row>
    <row r="25" spans="1:8" ht="15.75" x14ac:dyDescent="0.25">
      <c r="A25" t="s">
        <v>8</v>
      </c>
      <c r="B25" s="9" t="s">
        <v>7</v>
      </c>
      <c r="C25" s="8">
        <f>D3*0.004</f>
        <v>138.80000000000001</v>
      </c>
      <c r="F25" s="9" t="s">
        <v>13</v>
      </c>
      <c r="G25" s="16">
        <v>0.35</v>
      </c>
      <c r="H25" s="29">
        <f>-(F26*0.35)</f>
        <v>-2013.1847058823528</v>
      </c>
    </row>
    <row r="26" spans="1:8" ht="15.75" thickBot="1" x14ac:dyDescent="0.3">
      <c r="F26" s="21">
        <f>H21</f>
        <v>5751.9563025210082</v>
      </c>
      <c r="H26" s="7"/>
    </row>
    <row r="27" spans="1:8" ht="15.75" x14ac:dyDescent="0.25">
      <c r="A27" t="s">
        <v>9</v>
      </c>
      <c r="B27" s="9" t="s">
        <v>7</v>
      </c>
      <c r="C27" s="10"/>
      <c r="G27" s="13" t="s">
        <v>14</v>
      </c>
      <c r="H27" s="6">
        <f>H21+H23+H25</f>
        <v>3534.653949579832</v>
      </c>
    </row>
    <row r="28" spans="1:8" ht="15.75" thickBot="1" x14ac:dyDescent="0.3">
      <c r="A28" s="16"/>
      <c r="B28" s="14"/>
      <c r="C28" s="7"/>
    </row>
    <row r="29" spans="1:8" x14ac:dyDescent="0.25">
      <c r="E29" t="s">
        <v>151</v>
      </c>
      <c r="H29" s="20">
        <f>H27*0.5</f>
        <v>1767.326974789916</v>
      </c>
    </row>
    <row r="30" spans="1:8" ht="15.75" x14ac:dyDescent="0.25">
      <c r="A30" t="s">
        <v>10</v>
      </c>
      <c r="C30" s="10">
        <f>C21-C23-C25-C27</f>
        <v>5751.9563025210082</v>
      </c>
      <c r="H30" s="18"/>
    </row>
    <row r="31" spans="1:8" x14ac:dyDescent="0.25">
      <c r="H31" s="3"/>
    </row>
    <row r="32" spans="1:8" x14ac:dyDescent="0.25">
      <c r="H32" s="18"/>
    </row>
  </sheetData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0C023-77DE-4235-B839-58AB03983F47}">
  <dimension ref="A1:H32"/>
  <sheetViews>
    <sheetView topLeftCell="A7" workbookViewId="0">
      <selection activeCell="A7" sqref="A1:XFD1048576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582</v>
      </c>
    </row>
    <row r="3" spans="1:8" ht="21" x14ac:dyDescent="0.35">
      <c r="A3" s="2" t="s">
        <v>1</v>
      </c>
      <c r="D3" s="11">
        <v>785400</v>
      </c>
      <c r="F3" s="12" t="s">
        <v>3</v>
      </c>
      <c r="H3" s="4">
        <f>(D3/1.19)*0.19</f>
        <v>125400</v>
      </c>
    </row>
    <row r="4" spans="1:8" x14ac:dyDescent="0.25">
      <c r="A4" s="13" t="s">
        <v>32</v>
      </c>
      <c r="C4" s="26">
        <v>760</v>
      </c>
    </row>
    <row r="5" spans="1:8" ht="21" x14ac:dyDescent="0.35">
      <c r="A5" s="2" t="s">
        <v>2</v>
      </c>
    </row>
    <row r="7" spans="1:8" ht="18.75" x14ac:dyDescent="0.3">
      <c r="A7" s="5" t="s">
        <v>393</v>
      </c>
      <c r="D7" s="4">
        <v>552105</v>
      </c>
      <c r="E7" s="25"/>
      <c r="H7" s="4">
        <f>(D7/1.19)*0.19</f>
        <v>88151.218487394974</v>
      </c>
    </row>
    <row r="8" spans="1:8" ht="18.75" x14ac:dyDescent="0.3">
      <c r="A8" s="5"/>
      <c r="C8" s="3"/>
      <c r="D8" s="32"/>
      <c r="E8" s="25"/>
      <c r="H8" s="4"/>
    </row>
    <row r="9" spans="1:8" ht="18.75" x14ac:dyDescent="0.3">
      <c r="A9" s="5"/>
      <c r="C9" s="3"/>
      <c r="D9" s="28"/>
      <c r="E9" s="25"/>
      <c r="H9" s="4"/>
    </row>
    <row r="10" spans="1:8" ht="18.75" x14ac:dyDescent="0.3">
      <c r="A10" s="5"/>
      <c r="C10" s="3"/>
      <c r="D10" s="28"/>
      <c r="E10" s="25"/>
      <c r="H10" s="4"/>
    </row>
    <row r="11" spans="1:8" ht="19.5" thickBot="1" x14ac:dyDescent="0.35">
      <c r="A11" s="5"/>
      <c r="C11" s="3"/>
      <c r="D11" s="22"/>
      <c r="E11" s="25"/>
      <c r="H11" s="22">
        <f t="shared" ref="H11" si="0">(D11/1.19)*0.19</f>
        <v>0</v>
      </c>
    </row>
    <row r="12" spans="1:8" ht="18.75" customHeight="1" x14ac:dyDescent="0.3">
      <c r="D12" s="4">
        <f>SUM(D7:D11)</f>
        <v>552105</v>
      </c>
      <c r="H12" s="4">
        <f>SUM(H7:H11)</f>
        <v>88151.218487394974</v>
      </c>
    </row>
    <row r="13" spans="1:8" ht="18.75" x14ac:dyDescent="0.3">
      <c r="A13" s="5"/>
      <c r="C13" s="3"/>
      <c r="D13" s="4"/>
      <c r="H13" s="4"/>
    </row>
    <row r="15" spans="1:8" ht="18.75" x14ac:dyDescent="0.3">
      <c r="A15" s="5"/>
      <c r="C15" s="3"/>
      <c r="D15" s="4"/>
      <c r="H15" s="4"/>
    </row>
    <row r="16" spans="1:8" ht="15.75" thickBot="1" x14ac:dyDescent="0.3">
      <c r="D16" s="7"/>
      <c r="H16" s="7"/>
    </row>
    <row r="18" spans="1:8" ht="18.75" x14ac:dyDescent="0.3">
      <c r="C18" t="s">
        <v>4</v>
      </c>
      <c r="D18" s="4">
        <f>D3-D12</f>
        <v>233295</v>
      </c>
      <c r="G18" t="s">
        <v>5</v>
      </c>
      <c r="H18" s="4">
        <f>H3-H12</f>
        <v>37248.781512605026</v>
      </c>
    </row>
    <row r="21" spans="1:8" ht="15.75" x14ac:dyDescent="0.25">
      <c r="A21" t="s">
        <v>6</v>
      </c>
      <c r="C21" s="8">
        <f>D18</f>
        <v>233295</v>
      </c>
      <c r="E21" t="s">
        <v>10</v>
      </c>
      <c r="H21" s="6">
        <f>C30</f>
        <v>192904.61848739497</v>
      </c>
    </row>
    <row r="23" spans="1:8" ht="15.75" x14ac:dyDescent="0.25">
      <c r="A23" t="s">
        <v>5</v>
      </c>
      <c r="B23" s="9" t="s">
        <v>7</v>
      </c>
      <c r="C23" s="8">
        <f>H18</f>
        <v>37248.781512605026</v>
      </c>
      <c r="E23" s="13" t="s">
        <v>11</v>
      </c>
      <c r="F23" s="9" t="s">
        <v>181</v>
      </c>
      <c r="G23" s="15" t="s">
        <v>17</v>
      </c>
      <c r="H23" s="3">
        <f>-(F24*0.007)</f>
        <v>-4620</v>
      </c>
    </row>
    <row r="24" spans="1:8" x14ac:dyDescent="0.25">
      <c r="F24" s="21">
        <f>D3-H3</f>
        <v>660000</v>
      </c>
    </row>
    <row r="25" spans="1:8" ht="15.75" x14ac:dyDescent="0.25">
      <c r="A25" t="s">
        <v>8</v>
      </c>
      <c r="B25" s="9" t="s">
        <v>7</v>
      </c>
      <c r="C25" s="8">
        <f>D3*0.004</f>
        <v>3141.6</v>
      </c>
      <c r="F25" s="9" t="s">
        <v>13</v>
      </c>
      <c r="G25" s="16">
        <v>0.35</v>
      </c>
      <c r="H25" s="29">
        <f>-(F26*0.35)</f>
        <v>-67516.61647058824</v>
      </c>
    </row>
    <row r="26" spans="1:8" ht="15.75" thickBot="1" x14ac:dyDescent="0.3">
      <c r="F26" s="21">
        <f>H21</f>
        <v>192904.61848739497</v>
      </c>
      <c r="H26" s="7"/>
    </row>
    <row r="27" spans="1:8" ht="15.75" x14ac:dyDescent="0.25">
      <c r="A27" t="s">
        <v>9</v>
      </c>
      <c r="B27" s="9" t="s">
        <v>7</v>
      </c>
      <c r="C27" s="10"/>
      <c r="G27" s="13" t="s">
        <v>14</v>
      </c>
      <c r="H27" s="6">
        <f>H21+H23+H25</f>
        <v>120768.00201680673</v>
      </c>
    </row>
    <row r="28" spans="1:8" ht="15.75" thickBot="1" x14ac:dyDescent="0.3">
      <c r="A28" s="16"/>
      <c r="B28" s="14"/>
      <c r="C28" s="7"/>
    </row>
    <row r="29" spans="1:8" x14ac:dyDescent="0.25">
      <c r="E29" t="s">
        <v>151</v>
      </c>
      <c r="H29" s="20">
        <f>H27*0.5</f>
        <v>60384.001008403364</v>
      </c>
    </row>
    <row r="30" spans="1:8" ht="15.75" x14ac:dyDescent="0.25">
      <c r="A30" t="s">
        <v>10</v>
      </c>
      <c r="C30" s="10">
        <f>C21-C23-C25-C27</f>
        <v>192904.61848739497</v>
      </c>
      <c r="H30" s="18"/>
    </row>
    <row r="31" spans="1:8" x14ac:dyDescent="0.25">
      <c r="H31" s="3"/>
    </row>
    <row r="32" spans="1:8" x14ac:dyDescent="0.25">
      <c r="H32" s="18"/>
    </row>
  </sheetData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895DE-8E83-4F35-8C8E-0B4058D79C2E}">
  <dimension ref="A1:H32"/>
  <sheetViews>
    <sheetView workbookViewId="0">
      <selection sqref="A1:XFD1048576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516</v>
      </c>
    </row>
    <row r="3" spans="1:8" ht="21" x14ac:dyDescent="0.35">
      <c r="A3" s="2" t="s">
        <v>1</v>
      </c>
      <c r="D3" s="11">
        <v>1130500</v>
      </c>
      <c r="F3" s="12" t="s">
        <v>3</v>
      </c>
      <c r="H3" s="4">
        <f>(D3/1.19)*0.19</f>
        <v>180500</v>
      </c>
    </row>
    <row r="4" spans="1:8" x14ac:dyDescent="0.25">
      <c r="A4" s="13" t="s">
        <v>32</v>
      </c>
      <c r="C4" s="26">
        <v>761</v>
      </c>
    </row>
    <row r="5" spans="1:8" ht="21" x14ac:dyDescent="0.35">
      <c r="A5" s="2" t="s">
        <v>2</v>
      </c>
    </row>
    <row r="7" spans="1:8" ht="18.75" x14ac:dyDescent="0.3">
      <c r="A7" s="5" t="s">
        <v>393</v>
      </c>
      <c r="D7" s="4">
        <v>800585</v>
      </c>
      <c r="E7" s="25"/>
      <c r="H7" s="4">
        <f>(D7/1.19)*0.19</f>
        <v>127824.49579831933</v>
      </c>
    </row>
    <row r="8" spans="1:8" ht="18.75" x14ac:dyDescent="0.3">
      <c r="A8" s="5"/>
      <c r="C8" s="3"/>
      <c r="D8" s="32"/>
      <c r="E8" s="25"/>
      <c r="H8" s="4"/>
    </row>
    <row r="9" spans="1:8" ht="18.75" x14ac:dyDescent="0.3">
      <c r="A9" s="5"/>
      <c r="C9" s="3"/>
      <c r="D9" s="28"/>
      <c r="E9" s="25"/>
      <c r="H9" s="4"/>
    </row>
    <row r="10" spans="1:8" ht="18.75" x14ac:dyDescent="0.3">
      <c r="A10" s="5"/>
      <c r="C10" s="3"/>
      <c r="D10" s="28"/>
      <c r="E10" s="25"/>
      <c r="H10" s="4"/>
    </row>
    <row r="11" spans="1:8" ht="19.5" thickBot="1" x14ac:dyDescent="0.35">
      <c r="A11" s="5"/>
      <c r="C11" s="3"/>
      <c r="D11" s="22"/>
      <c r="E11" s="25"/>
      <c r="H11" s="22">
        <f t="shared" ref="H11" si="0">(D11/1.19)*0.19</f>
        <v>0</v>
      </c>
    </row>
    <row r="12" spans="1:8" ht="18.75" customHeight="1" x14ac:dyDescent="0.3">
      <c r="D12" s="4">
        <f>SUM(D7:D11)</f>
        <v>800585</v>
      </c>
      <c r="H12" s="4">
        <f>SUM(H7:H11)</f>
        <v>127824.49579831933</v>
      </c>
    </row>
    <row r="13" spans="1:8" ht="18.75" x14ac:dyDescent="0.3">
      <c r="A13" s="5"/>
      <c r="C13" s="3"/>
      <c r="D13" s="4"/>
      <c r="H13" s="4"/>
    </row>
    <row r="15" spans="1:8" ht="18.75" x14ac:dyDescent="0.3">
      <c r="A15" s="5"/>
      <c r="C15" s="3"/>
      <c r="D15" s="4"/>
      <c r="H15" s="4"/>
    </row>
    <row r="16" spans="1:8" ht="15.75" thickBot="1" x14ac:dyDescent="0.3">
      <c r="D16" s="7"/>
      <c r="H16" s="7"/>
    </row>
    <row r="18" spans="1:8" ht="18.75" x14ac:dyDescent="0.3">
      <c r="C18" t="s">
        <v>4</v>
      </c>
      <c r="D18" s="4">
        <f>D3-D12</f>
        <v>329915</v>
      </c>
      <c r="G18" t="s">
        <v>5</v>
      </c>
      <c r="H18" s="4">
        <f>H3-H12</f>
        <v>52675.504201680669</v>
      </c>
    </row>
    <row r="21" spans="1:8" ht="15.75" x14ac:dyDescent="0.25">
      <c r="A21" t="s">
        <v>6</v>
      </c>
      <c r="C21" s="8">
        <f>D18</f>
        <v>329915</v>
      </c>
      <c r="E21" t="s">
        <v>10</v>
      </c>
      <c r="H21" s="6">
        <f>C30</f>
        <v>272717.49579831935</v>
      </c>
    </row>
    <row r="23" spans="1:8" ht="15.75" x14ac:dyDescent="0.25">
      <c r="A23" t="s">
        <v>5</v>
      </c>
      <c r="B23" s="9" t="s">
        <v>7</v>
      </c>
      <c r="C23" s="8">
        <f>H18</f>
        <v>52675.504201680669</v>
      </c>
      <c r="E23" s="13" t="s">
        <v>11</v>
      </c>
      <c r="F23" s="9" t="s">
        <v>181</v>
      </c>
      <c r="G23" s="15" t="s">
        <v>17</v>
      </c>
      <c r="H23" s="3">
        <f>-(F24*0.007)</f>
        <v>-6650</v>
      </c>
    </row>
    <row r="24" spans="1:8" x14ac:dyDescent="0.25">
      <c r="F24" s="21">
        <f>D3-H3</f>
        <v>950000</v>
      </c>
    </row>
    <row r="25" spans="1:8" ht="15.75" x14ac:dyDescent="0.25">
      <c r="A25" t="s">
        <v>8</v>
      </c>
      <c r="B25" s="9" t="s">
        <v>7</v>
      </c>
      <c r="C25" s="8">
        <f>D3*0.004</f>
        <v>4522</v>
      </c>
      <c r="F25" s="9" t="s">
        <v>13</v>
      </c>
      <c r="G25" s="16">
        <v>0.35</v>
      </c>
      <c r="H25" s="29">
        <f>-(F26*0.35)</f>
        <v>-95451.123529411765</v>
      </c>
    </row>
    <row r="26" spans="1:8" ht="15.75" thickBot="1" x14ac:dyDescent="0.3">
      <c r="F26" s="21">
        <f>H21</f>
        <v>272717.49579831935</v>
      </c>
      <c r="H26" s="7"/>
    </row>
    <row r="27" spans="1:8" ht="15.75" x14ac:dyDescent="0.25">
      <c r="A27" t="s">
        <v>9</v>
      </c>
      <c r="B27" s="9" t="s">
        <v>7</v>
      </c>
      <c r="C27" s="10"/>
      <c r="G27" s="13" t="s">
        <v>14</v>
      </c>
      <c r="H27" s="6">
        <f>H21+H23+H25</f>
        <v>170616.37226890758</v>
      </c>
    </row>
    <row r="28" spans="1:8" ht="15.75" thickBot="1" x14ac:dyDescent="0.3">
      <c r="A28" s="16"/>
      <c r="B28" s="14"/>
      <c r="C28" s="7"/>
    </row>
    <row r="29" spans="1:8" x14ac:dyDescent="0.25">
      <c r="E29" t="s">
        <v>151</v>
      </c>
      <c r="H29" s="20">
        <f>H27*0.5</f>
        <v>85308.18613445379</v>
      </c>
    </row>
    <row r="30" spans="1:8" ht="15.75" x14ac:dyDescent="0.25">
      <c r="A30" t="s">
        <v>10</v>
      </c>
      <c r="C30" s="10">
        <f>C21-C23-C25-C27</f>
        <v>272717.49579831935</v>
      </c>
      <c r="H30" s="18"/>
    </row>
    <row r="31" spans="1:8" x14ac:dyDescent="0.25">
      <c r="H31" s="3"/>
    </row>
    <row r="32" spans="1:8" x14ac:dyDescent="0.25">
      <c r="H32" s="18"/>
    </row>
  </sheetData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9B72A-33BC-4666-B2C6-253697A92D10}">
  <dimension ref="A1:H32"/>
  <sheetViews>
    <sheetView topLeftCell="A7" workbookViewId="0">
      <selection activeCell="F25" sqref="F25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516</v>
      </c>
    </row>
    <row r="3" spans="1:8" ht="21" x14ac:dyDescent="0.35">
      <c r="A3" s="2" t="s">
        <v>1</v>
      </c>
      <c r="D3" s="11">
        <v>18987170</v>
      </c>
      <c r="F3" s="12" t="s">
        <v>3</v>
      </c>
      <c r="H3" s="4">
        <f>(D3/1.19)*0.19</f>
        <v>3031564.9579831935</v>
      </c>
    </row>
    <row r="4" spans="1:8" x14ac:dyDescent="0.25">
      <c r="A4" s="13" t="s">
        <v>32</v>
      </c>
      <c r="C4" s="26">
        <v>764</v>
      </c>
    </row>
    <row r="5" spans="1:8" ht="21" x14ac:dyDescent="0.35">
      <c r="A5" s="2" t="s">
        <v>2</v>
      </c>
    </row>
    <row r="7" spans="1:8" ht="18.75" x14ac:dyDescent="0.3">
      <c r="A7" s="5" t="s">
        <v>476</v>
      </c>
      <c r="D7" s="4">
        <v>10513185</v>
      </c>
      <c r="E7" s="25"/>
      <c r="H7" s="4">
        <f>(D7/1.19)*0.19</f>
        <v>1678575.7563025211</v>
      </c>
    </row>
    <row r="8" spans="1:8" ht="18.75" x14ac:dyDescent="0.3">
      <c r="A8" s="5" t="s">
        <v>583</v>
      </c>
      <c r="C8" s="3"/>
      <c r="D8" s="32">
        <v>1213800</v>
      </c>
      <c r="E8" s="25"/>
      <c r="H8" s="4">
        <f t="shared" ref="H8:H10" si="0">(D8/1.19)*0.19</f>
        <v>193800</v>
      </c>
    </row>
    <row r="9" spans="1:8" ht="18.75" x14ac:dyDescent="0.3">
      <c r="A9" s="5" t="s">
        <v>584</v>
      </c>
      <c r="C9" s="3"/>
      <c r="D9" s="28">
        <v>418672</v>
      </c>
      <c r="E9" s="25"/>
      <c r="H9" s="4"/>
    </row>
    <row r="10" spans="1:8" ht="18.75" x14ac:dyDescent="0.3">
      <c r="A10" s="5" t="s">
        <v>585</v>
      </c>
      <c r="C10" s="3"/>
      <c r="D10" s="28">
        <v>233787</v>
      </c>
      <c r="E10" s="25"/>
      <c r="H10" s="4">
        <f t="shared" si="0"/>
        <v>37327.336134453784</v>
      </c>
    </row>
    <row r="11" spans="1:8" ht="19.5" thickBot="1" x14ac:dyDescent="0.35">
      <c r="A11" s="5" t="s">
        <v>586</v>
      </c>
      <c r="C11" s="3"/>
      <c r="D11" s="22">
        <v>228000</v>
      </c>
      <c r="E11" s="25"/>
      <c r="H11" s="22">
        <f t="shared" ref="H11" si="1">(D11/1.19)*0.19</f>
        <v>36403.361344537814</v>
      </c>
    </row>
    <row r="12" spans="1:8" ht="18.75" customHeight="1" x14ac:dyDescent="0.3">
      <c r="D12" s="4">
        <f>SUM(D7:D11)</f>
        <v>12607444</v>
      </c>
      <c r="H12" s="4">
        <f>SUM(H7:H11)</f>
        <v>1946106.4537815126</v>
      </c>
    </row>
    <row r="13" spans="1:8" ht="18.75" x14ac:dyDescent="0.3">
      <c r="A13" s="5"/>
      <c r="C13" s="3"/>
      <c r="D13" s="4"/>
      <c r="H13" s="4"/>
    </row>
    <row r="15" spans="1:8" ht="18.75" x14ac:dyDescent="0.3">
      <c r="A15" s="5"/>
      <c r="C15" s="3"/>
      <c r="D15" s="4"/>
      <c r="H15" s="4"/>
    </row>
    <row r="16" spans="1:8" ht="15.75" thickBot="1" x14ac:dyDescent="0.3">
      <c r="D16" s="7"/>
      <c r="H16" s="7"/>
    </row>
    <row r="18" spans="1:8" ht="18.75" x14ac:dyDescent="0.3">
      <c r="C18" t="s">
        <v>4</v>
      </c>
      <c r="D18" s="4">
        <f>D3-D12</f>
        <v>6379726</v>
      </c>
      <c r="G18" t="s">
        <v>5</v>
      </c>
      <c r="H18" s="4">
        <f>H3-H12</f>
        <v>1085458.5042016809</v>
      </c>
    </row>
    <row r="21" spans="1:8" ht="15.75" x14ac:dyDescent="0.25">
      <c r="A21" t="s">
        <v>6</v>
      </c>
      <c r="C21" s="8">
        <f>D18</f>
        <v>6379726</v>
      </c>
      <c r="E21" t="s">
        <v>10</v>
      </c>
      <c r="H21" s="6">
        <f>C30</f>
        <v>5218318.8157983199</v>
      </c>
    </row>
    <row r="23" spans="1:8" ht="15.75" x14ac:dyDescent="0.25">
      <c r="A23" t="s">
        <v>5</v>
      </c>
      <c r="B23" s="9" t="s">
        <v>7</v>
      </c>
      <c r="C23" s="8">
        <f>H18</f>
        <v>1085458.5042016809</v>
      </c>
      <c r="E23" s="13" t="s">
        <v>11</v>
      </c>
      <c r="F23" s="9" t="s">
        <v>181</v>
      </c>
      <c r="G23" s="15" t="s">
        <v>17</v>
      </c>
      <c r="H23" s="3">
        <f>-(F24*0.007)</f>
        <v>-114086</v>
      </c>
    </row>
    <row r="24" spans="1:8" x14ac:dyDescent="0.25">
      <c r="F24" s="21">
        <v>16298000</v>
      </c>
    </row>
    <row r="25" spans="1:8" ht="15.75" x14ac:dyDescent="0.25">
      <c r="A25" t="s">
        <v>8</v>
      </c>
      <c r="B25" s="9" t="s">
        <v>7</v>
      </c>
      <c r="C25" s="8">
        <f>D3*0.004</f>
        <v>75948.680000000008</v>
      </c>
      <c r="F25" s="9" t="s">
        <v>13</v>
      </c>
      <c r="G25" s="16">
        <v>0.35</v>
      </c>
      <c r="H25" s="29">
        <f>-(F26*0.35)</f>
        <v>-1826411.5855294119</v>
      </c>
    </row>
    <row r="26" spans="1:8" ht="15.75" thickBot="1" x14ac:dyDescent="0.3">
      <c r="F26" s="21">
        <f>H21</f>
        <v>5218318.8157983199</v>
      </c>
      <c r="H26" s="7"/>
    </row>
    <row r="27" spans="1:8" ht="15.75" x14ac:dyDescent="0.25">
      <c r="A27" t="s">
        <v>9</v>
      </c>
      <c r="B27" s="9" t="s">
        <v>7</v>
      </c>
      <c r="C27" s="10"/>
      <c r="G27" s="13" t="s">
        <v>14</v>
      </c>
      <c r="H27" s="6">
        <f>H21+H23+H25</f>
        <v>3277821.2302689077</v>
      </c>
    </row>
    <row r="28" spans="1:8" ht="15.75" thickBot="1" x14ac:dyDescent="0.3">
      <c r="A28" s="16"/>
      <c r="B28" s="14"/>
      <c r="C28" s="7"/>
    </row>
    <row r="29" spans="1:8" x14ac:dyDescent="0.25">
      <c r="E29" t="s">
        <v>151</v>
      </c>
      <c r="H29" s="20">
        <f>H27*0.5</f>
        <v>1638910.6151344539</v>
      </c>
    </row>
    <row r="30" spans="1:8" ht="15.75" x14ac:dyDescent="0.25">
      <c r="A30" t="s">
        <v>10</v>
      </c>
      <c r="C30" s="10">
        <f>C21-C23-C25-C27</f>
        <v>5218318.8157983199</v>
      </c>
      <c r="H30" s="18"/>
    </row>
    <row r="31" spans="1:8" x14ac:dyDescent="0.25">
      <c r="H31" s="3"/>
    </row>
    <row r="32" spans="1:8" x14ac:dyDescent="0.25">
      <c r="H32" s="18"/>
    </row>
  </sheetData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EBED3-E548-4342-B287-017F87DD088A}">
  <dimension ref="A1:H32"/>
  <sheetViews>
    <sheetView workbookViewId="0">
      <selection sqref="A1:XFD1048576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568</v>
      </c>
    </row>
    <row r="3" spans="1:8" ht="21" x14ac:dyDescent="0.35">
      <c r="A3" s="2" t="s">
        <v>1</v>
      </c>
      <c r="D3" s="11">
        <v>137088</v>
      </c>
      <c r="F3" s="12" t="s">
        <v>3</v>
      </c>
      <c r="H3" s="4">
        <f>(D3/1.19)*0.19</f>
        <v>21888</v>
      </c>
    </row>
    <row r="4" spans="1:8" x14ac:dyDescent="0.25">
      <c r="A4" s="13" t="s">
        <v>32</v>
      </c>
      <c r="C4" s="26">
        <v>766</v>
      </c>
    </row>
    <row r="5" spans="1:8" ht="21" x14ac:dyDescent="0.35">
      <c r="A5" s="2" t="s">
        <v>2</v>
      </c>
    </row>
    <row r="7" spans="1:8" ht="18.75" x14ac:dyDescent="0.3">
      <c r="A7" s="5" t="s">
        <v>476</v>
      </c>
      <c r="D7" s="4">
        <v>100716</v>
      </c>
      <c r="E7" s="25"/>
      <c r="H7" s="4">
        <f>(D7/1.19)*0.19</f>
        <v>16080.705882352942</v>
      </c>
    </row>
    <row r="8" spans="1:8" ht="18.75" x14ac:dyDescent="0.3">
      <c r="A8" s="5"/>
      <c r="C8" s="3"/>
      <c r="D8" s="32"/>
      <c r="E8" s="25"/>
      <c r="H8" s="4"/>
    </row>
    <row r="9" spans="1:8" ht="18.75" x14ac:dyDescent="0.3">
      <c r="A9" s="5"/>
      <c r="C9" s="3"/>
      <c r="D9" s="28"/>
      <c r="E9" s="25"/>
      <c r="H9" s="4"/>
    </row>
    <row r="10" spans="1:8" ht="18.75" x14ac:dyDescent="0.3">
      <c r="A10" s="5"/>
      <c r="C10" s="3"/>
      <c r="D10" s="28"/>
      <c r="E10" s="25"/>
      <c r="H10" s="4"/>
    </row>
    <row r="11" spans="1:8" ht="19.5" thickBot="1" x14ac:dyDescent="0.35">
      <c r="A11" s="5"/>
      <c r="C11" s="3"/>
      <c r="D11" s="22"/>
      <c r="E11" s="25"/>
      <c r="H11" s="22"/>
    </row>
    <row r="12" spans="1:8" ht="18.75" customHeight="1" x14ac:dyDescent="0.3">
      <c r="D12" s="4">
        <f>SUM(D7:D11)</f>
        <v>100716</v>
      </c>
      <c r="H12" s="4">
        <f>SUM(H7:H11)</f>
        <v>16080.705882352942</v>
      </c>
    </row>
    <row r="13" spans="1:8" ht="18.75" x14ac:dyDescent="0.3">
      <c r="A13" s="5"/>
      <c r="C13" s="3"/>
      <c r="D13" s="4"/>
      <c r="H13" s="4"/>
    </row>
    <row r="15" spans="1:8" ht="18.75" x14ac:dyDescent="0.3">
      <c r="A15" s="5"/>
      <c r="C15" s="3"/>
      <c r="D15" s="4"/>
      <c r="H15" s="4"/>
    </row>
    <row r="16" spans="1:8" ht="15.75" thickBot="1" x14ac:dyDescent="0.3">
      <c r="D16" s="7"/>
      <c r="H16" s="7"/>
    </row>
    <row r="18" spans="1:8" ht="18.75" x14ac:dyDescent="0.3">
      <c r="C18" t="s">
        <v>4</v>
      </c>
      <c r="D18" s="4">
        <f>D3-D12</f>
        <v>36372</v>
      </c>
      <c r="G18" t="s">
        <v>5</v>
      </c>
      <c r="H18" s="4">
        <f>H3-H12</f>
        <v>5807.2941176470576</v>
      </c>
    </row>
    <row r="21" spans="1:8" ht="15.75" x14ac:dyDescent="0.25">
      <c r="A21" t="s">
        <v>6</v>
      </c>
      <c r="C21" s="8">
        <f>D18</f>
        <v>36372</v>
      </c>
      <c r="E21" t="s">
        <v>10</v>
      </c>
      <c r="H21" s="6">
        <f>C30</f>
        <v>30016.353882352945</v>
      </c>
    </row>
    <row r="23" spans="1:8" ht="15.75" x14ac:dyDescent="0.25">
      <c r="A23" t="s">
        <v>5</v>
      </c>
      <c r="B23" s="9" t="s">
        <v>7</v>
      </c>
      <c r="C23" s="8">
        <f>H18</f>
        <v>5807.2941176470576</v>
      </c>
      <c r="E23" s="13" t="s">
        <v>11</v>
      </c>
      <c r="F23" s="9" t="s">
        <v>181</v>
      </c>
      <c r="G23" s="15" t="s">
        <v>17</v>
      </c>
      <c r="H23" s="3">
        <f>-(F24*0.007)</f>
        <v>-806.4</v>
      </c>
    </row>
    <row r="24" spans="1:8" x14ac:dyDescent="0.25">
      <c r="F24" s="21">
        <f>D3-H3</f>
        <v>115200</v>
      </c>
    </row>
    <row r="25" spans="1:8" ht="15.75" x14ac:dyDescent="0.25">
      <c r="A25" t="s">
        <v>8</v>
      </c>
      <c r="B25" s="9" t="s">
        <v>7</v>
      </c>
      <c r="C25" s="8">
        <f>D3*0.004</f>
        <v>548.35199999999998</v>
      </c>
      <c r="F25" s="9" t="s">
        <v>13</v>
      </c>
      <c r="G25" s="16">
        <v>0.35</v>
      </c>
      <c r="H25" s="29">
        <f>-(F26*0.35)</f>
        <v>-10505.72385882353</v>
      </c>
    </row>
    <row r="26" spans="1:8" ht="15.75" thickBot="1" x14ac:dyDescent="0.3">
      <c r="F26" s="21">
        <f>H21</f>
        <v>30016.353882352945</v>
      </c>
      <c r="H26" s="7"/>
    </row>
    <row r="27" spans="1:8" ht="15.75" x14ac:dyDescent="0.25">
      <c r="A27" t="s">
        <v>9</v>
      </c>
      <c r="B27" s="9" t="s">
        <v>7</v>
      </c>
      <c r="C27" s="10"/>
      <c r="G27" s="13" t="s">
        <v>14</v>
      </c>
      <c r="H27" s="6">
        <f>H21+H23+H25</f>
        <v>18704.230023529413</v>
      </c>
    </row>
    <row r="28" spans="1:8" ht="15.75" thickBot="1" x14ac:dyDescent="0.3">
      <c r="A28" s="16"/>
      <c r="B28" s="14"/>
      <c r="C28" s="7"/>
    </row>
    <row r="29" spans="1:8" x14ac:dyDescent="0.25">
      <c r="E29" t="s">
        <v>151</v>
      </c>
      <c r="H29" s="20">
        <f>H27*0.5</f>
        <v>9352.1150117647067</v>
      </c>
    </row>
    <row r="30" spans="1:8" ht="15.75" x14ac:dyDescent="0.25">
      <c r="A30" t="s">
        <v>10</v>
      </c>
      <c r="C30" s="10">
        <f>C21-C23-C25-C27</f>
        <v>30016.353882352945</v>
      </c>
      <c r="H30" s="18"/>
    </row>
    <row r="31" spans="1:8" x14ac:dyDescent="0.25">
      <c r="H31" s="3"/>
    </row>
    <row r="32" spans="1:8" x14ac:dyDescent="0.25">
      <c r="H32" s="18"/>
    </row>
  </sheetData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37D2B-F626-432B-8D7F-E6E067E324D5}">
  <dimension ref="A1:H32"/>
  <sheetViews>
    <sheetView workbookViewId="0">
      <selection sqref="A1:XFD1048576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587</v>
      </c>
    </row>
    <row r="3" spans="1:8" ht="21" x14ac:dyDescent="0.35">
      <c r="A3" s="2" t="s">
        <v>1</v>
      </c>
      <c r="D3" s="11">
        <v>175525</v>
      </c>
      <c r="F3" s="12" t="s">
        <v>3</v>
      </c>
      <c r="H3" s="4">
        <f>(D3/1.19)*0.19</f>
        <v>28025</v>
      </c>
    </row>
    <row r="4" spans="1:8" x14ac:dyDescent="0.25">
      <c r="A4" s="13" t="s">
        <v>32</v>
      </c>
      <c r="C4" s="26">
        <v>769</v>
      </c>
    </row>
    <row r="5" spans="1:8" ht="21" x14ac:dyDescent="0.35">
      <c r="A5" s="2" t="s">
        <v>2</v>
      </c>
    </row>
    <row r="7" spans="1:8" ht="18.75" x14ac:dyDescent="0.3">
      <c r="A7" s="5" t="s">
        <v>72</v>
      </c>
      <c r="D7" s="4">
        <v>50000</v>
      </c>
      <c r="E7" s="25"/>
      <c r="H7" s="4">
        <v>0</v>
      </c>
    </row>
    <row r="8" spans="1:8" ht="18.75" x14ac:dyDescent="0.3">
      <c r="A8" s="5" t="s">
        <v>204</v>
      </c>
      <c r="C8" s="3"/>
      <c r="D8" s="32">
        <v>21912</v>
      </c>
      <c r="E8" s="25"/>
      <c r="H8" s="4">
        <f>(D8/1.19)*0.19</f>
        <v>3498.5546218487393</v>
      </c>
    </row>
    <row r="9" spans="1:8" ht="18.75" x14ac:dyDescent="0.3">
      <c r="A9" s="5"/>
      <c r="C9" s="3"/>
      <c r="D9" s="28"/>
      <c r="E9" s="25"/>
      <c r="H9" s="4"/>
    </row>
    <row r="10" spans="1:8" ht="18.75" x14ac:dyDescent="0.3">
      <c r="A10" s="5"/>
      <c r="C10" s="3"/>
      <c r="D10" s="28"/>
      <c r="E10" s="25"/>
      <c r="H10" s="4"/>
    </row>
    <row r="11" spans="1:8" ht="19.5" thickBot="1" x14ac:dyDescent="0.35">
      <c r="A11" s="5"/>
      <c r="C11" s="3"/>
      <c r="D11" s="22"/>
      <c r="E11" s="25"/>
      <c r="H11" s="22"/>
    </row>
    <row r="12" spans="1:8" ht="18.75" customHeight="1" x14ac:dyDescent="0.3">
      <c r="D12" s="4">
        <f>SUM(D7:D11)</f>
        <v>71912</v>
      </c>
      <c r="H12" s="4">
        <f>SUM(H7:H11)</f>
        <v>3498.5546218487393</v>
      </c>
    </row>
    <row r="13" spans="1:8" ht="18.75" x14ac:dyDescent="0.3">
      <c r="A13" s="5"/>
      <c r="C13" s="3"/>
      <c r="D13" s="4"/>
      <c r="H13" s="4"/>
    </row>
    <row r="15" spans="1:8" ht="18.75" x14ac:dyDescent="0.3">
      <c r="A15" s="5"/>
      <c r="C15" s="3"/>
      <c r="D15" s="4"/>
      <c r="H15" s="4"/>
    </row>
    <row r="16" spans="1:8" ht="15.75" thickBot="1" x14ac:dyDescent="0.3">
      <c r="D16" s="7"/>
      <c r="H16" s="7"/>
    </row>
    <row r="18" spans="1:8" ht="18.75" x14ac:dyDescent="0.3">
      <c r="C18" t="s">
        <v>4</v>
      </c>
      <c r="D18" s="4">
        <f>D3-D12</f>
        <v>103613</v>
      </c>
      <c r="G18" t="s">
        <v>5</v>
      </c>
      <c r="H18" s="4">
        <f>H3-H12</f>
        <v>24526.44537815126</v>
      </c>
    </row>
    <row r="21" spans="1:8" ht="15.75" x14ac:dyDescent="0.25">
      <c r="A21" t="s">
        <v>6</v>
      </c>
      <c r="C21" s="8">
        <f>D18</f>
        <v>103613</v>
      </c>
      <c r="E21" t="s">
        <v>10</v>
      </c>
      <c r="H21" s="6">
        <f>C30</f>
        <v>78384.454621848738</v>
      </c>
    </row>
    <row r="23" spans="1:8" ht="15.75" x14ac:dyDescent="0.25">
      <c r="A23" t="s">
        <v>5</v>
      </c>
      <c r="B23" s="9" t="s">
        <v>7</v>
      </c>
      <c r="C23" s="8">
        <f>H18</f>
        <v>24526.44537815126</v>
      </c>
      <c r="E23" s="13" t="s">
        <v>11</v>
      </c>
      <c r="F23" s="9" t="s">
        <v>181</v>
      </c>
      <c r="G23" s="15" t="s">
        <v>17</v>
      </c>
      <c r="H23" s="3">
        <f>-(F24*0.007)</f>
        <v>-1032.5</v>
      </c>
    </row>
    <row r="24" spans="1:8" x14ac:dyDescent="0.25">
      <c r="F24" s="21">
        <f>D3-H3</f>
        <v>147500</v>
      </c>
    </row>
    <row r="25" spans="1:8" ht="15.75" x14ac:dyDescent="0.25">
      <c r="A25" t="s">
        <v>8</v>
      </c>
      <c r="B25" s="9" t="s">
        <v>7</v>
      </c>
      <c r="C25" s="8">
        <f>D3*0.004</f>
        <v>702.1</v>
      </c>
      <c r="F25" s="9" t="s">
        <v>13</v>
      </c>
      <c r="G25" s="16">
        <v>0.35</v>
      </c>
      <c r="H25" s="29">
        <f>-(F26*0.35)</f>
        <v>-27434.559117647055</v>
      </c>
    </row>
    <row r="26" spans="1:8" ht="15.75" thickBot="1" x14ac:dyDescent="0.3">
      <c r="F26" s="21">
        <f>H21</f>
        <v>78384.454621848738</v>
      </c>
      <c r="H26" s="7"/>
    </row>
    <row r="27" spans="1:8" ht="15.75" x14ac:dyDescent="0.25">
      <c r="A27" t="s">
        <v>9</v>
      </c>
      <c r="B27" s="9" t="s">
        <v>7</v>
      </c>
      <c r="C27" s="10"/>
      <c r="G27" s="13" t="s">
        <v>14</v>
      </c>
      <c r="H27" s="6">
        <f>H21+H23+H25</f>
        <v>49917.395504201682</v>
      </c>
    </row>
    <row r="28" spans="1:8" ht="15.75" thickBot="1" x14ac:dyDescent="0.3">
      <c r="A28" s="16"/>
      <c r="B28" s="14"/>
      <c r="C28" s="7"/>
    </row>
    <row r="29" spans="1:8" x14ac:dyDescent="0.25">
      <c r="E29" t="s">
        <v>151</v>
      </c>
      <c r="H29" s="20">
        <f>H27*0.5</f>
        <v>24958.697752100841</v>
      </c>
    </row>
    <row r="30" spans="1:8" ht="15.75" x14ac:dyDescent="0.25">
      <c r="A30" t="s">
        <v>10</v>
      </c>
      <c r="C30" s="10">
        <f>C21-C23-C25-C27</f>
        <v>78384.454621848738</v>
      </c>
      <c r="H30" s="18"/>
    </row>
    <row r="31" spans="1:8" x14ac:dyDescent="0.25">
      <c r="H31" s="3"/>
    </row>
    <row r="32" spans="1:8" x14ac:dyDescent="0.25">
      <c r="H32" s="18"/>
    </row>
  </sheetData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4C5BF-6AC6-4139-A33E-A383AD32EF35}">
  <dimension ref="A1:H32"/>
  <sheetViews>
    <sheetView workbookViewId="0">
      <selection sqref="A1:XFD1048576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516</v>
      </c>
    </row>
    <row r="3" spans="1:8" ht="21" x14ac:dyDescent="0.35">
      <c r="A3" s="2" t="s">
        <v>1</v>
      </c>
      <c r="D3" s="11">
        <v>133161</v>
      </c>
      <c r="F3" s="12" t="s">
        <v>3</v>
      </c>
      <c r="H3" s="4">
        <f>(D3/1.19)*0.19</f>
        <v>21261</v>
      </c>
    </row>
    <row r="4" spans="1:8" x14ac:dyDescent="0.25">
      <c r="A4" s="13" t="s">
        <v>32</v>
      </c>
      <c r="C4" s="26">
        <v>771</v>
      </c>
    </row>
    <row r="5" spans="1:8" ht="21" x14ac:dyDescent="0.35">
      <c r="A5" s="2" t="s">
        <v>2</v>
      </c>
    </row>
    <row r="7" spans="1:8" ht="18.75" x14ac:dyDescent="0.3">
      <c r="A7" s="5" t="s">
        <v>312</v>
      </c>
      <c r="D7" s="4">
        <v>102340</v>
      </c>
      <c r="E7" s="25"/>
      <c r="H7" s="4">
        <f>(D7/1.19)*0.19</f>
        <v>16340</v>
      </c>
    </row>
    <row r="8" spans="1:8" ht="18.75" x14ac:dyDescent="0.3">
      <c r="A8" s="5"/>
      <c r="C8" s="3"/>
      <c r="D8" s="32"/>
      <c r="E8" s="25"/>
      <c r="H8" s="4"/>
    </row>
    <row r="9" spans="1:8" ht="18.75" x14ac:dyDescent="0.3">
      <c r="A9" s="5"/>
      <c r="C9" s="3"/>
      <c r="D9" s="28"/>
      <c r="E9" s="25"/>
      <c r="H9" s="4"/>
    </row>
    <row r="10" spans="1:8" ht="18.75" x14ac:dyDescent="0.3">
      <c r="A10" s="5"/>
      <c r="C10" s="3"/>
      <c r="D10" s="28"/>
      <c r="E10" s="25"/>
      <c r="H10" s="4"/>
    </row>
    <row r="11" spans="1:8" ht="19.5" thickBot="1" x14ac:dyDescent="0.35">
      <c r="A11" s="5"/>
      <c r="C11" s="3"/>
      <c r="D11" s="22"/>
      <c r="E11" s="25"/>
      <c r="H11" s="22"/>
    </row>
    <row r="12" spans="1:8" ht="18.75" customHeight="1" x14ac:dyDescent="0.3">
      <c r="D12" s="4">
        <f>SUM(D7:D11)</f>
        <v>102340</v>
      </c>
      <c r="H12" s="4">
        <f>SUM(H7:H11)</f>
        <v>16340</v>
      </c>
    </row>
    <row r="13" spans="1:8" ht="18.75" x14ac:dyDescent="0.3">
      <c r="A13" s="5"/>
      <c r="C13" s="3"/>
      <c r="D13" s="4"/>
      <c r="H13" s="4"/>
    </row>
    <row r="15" spans="1:8" ht="18.75" x14ac:dyDescent="0.3">
      <c r="A15" s="5"/>
      <c r="C15" s="3"/>
      <c r="D15" s="4"/>
      <c r="H15" s="4"/>
    </row>
    <row r="16" spans="1:8" ht="15.75" thickBot="1" x14ac:dyDescent="0.3">
      <c r="D16" s="7"/>
      <c r="H16" s="7"/>
    </row>
    <row r="18" spans="1:8" ht="18.75" x14ac:dyDescent="0.3">
      <c r="C18" t="s">
        <v>4</v>
      </c>
      <c r="D18" s="4">
        <f>D3-D12</f>
        <v>30821</v>
      </c>
      <c r="G18" t="s">
        <v>5</v>
      </c>
      <c r="H18" s="4">
        <f>H3-H12</f>
        <v>4921</v>
      </c>
    </row>
    <row r="21" spans="1:8" ht="15.75" x14ac:dyDescent="0.25">
      <c r="A21" t="s">
        <v>6</v>
      </c>
      <c r="C21" s="8">
        <f>D18</f>
        <v>30821</v>
      </c>
      <c r="E21" t="s">
        <v>10</v>
      </c>
      <c r="H21" s="6">
        <f>C30</f>
        <v>25367.356</v>
      </c>
    </row>
    <row r="23" spans="1:8" ht="15.75" x14ac:dyDescent="0.25">
      <c r="A23" t="s">
        <v>5</v>
      </c>
      <c r="B23" s="9" t="s">
        <v>7</v>
      </c>
      <c r="C23" s="8">
        <f>H18</f>
        <v>4921</v>
      </c>
      <c r="E23" s="13" t="s">
        <v>11</v>
      </c>
      <c r="F23" s="9" t="s">
        <v>181</v>
      </c>
      <c r="G23" s="15" t="s">
        <v>17</v>
      </c>
      <c r="H23" s="3">
        <f>-(F24*0.007)</f>
        <v>-783.30000000000007</v>
      </c>
    </row>
    <row r="24" spans="1:8" x14ac:dyDescent="0.25">
      <c r="F24" s="21">
        <f>D3-H3</f>
        <v>111900</v>
      </c>
    </row>
    <row r="25" spans="1:8" ht="15.75" x14ac:dyDescent="0.25">
      <c r="A25" t="s">
        <v>8</v>
      </c>
      <c r="B25" s="9" t="s">
        <v>7</v>
      </c>
      <c r="C25" s="8">
        <f>D3*0.004</f>
        <v>532.64400000000001</v>
      </c>
      <c r="F25" s="9" t="s">
        <v>13</v>
      </c>
      <c r="G25" s="16">
        <v>0.35</v>
      </c>
      <c r="H25" s="29">
        <f>-(F26*0.35)</f>
        <v>-8878.5745999999999</v>
      </c>
    </row>
    <row r="26" spans="1:8" ht="15.75" thickBot="1" x14ac:dyDescent="0.3">
      <c r="F26" s="21">
        <f>H21</f>
        <v>25367.356</v>
      </c>
      <c r="H26" s="7"/>
    </row>
    <row r="27" spans="1:8" ht="15.75" x14ac:dyDescent="0.25">
      <c r="A27" t="s">
        <v>9</v>
      </c>
      <c r="B27" s="9" t="s">
        <v>7</v>
      </c>
      <c r="C27" s="10"/>
      <c r="G27" s="13" t="s">
        <v>14</v>
      </c>
      <c r="H27" s="6">
        <f>H21+H23+H25</f>
        <v>15705.481400000001</v>
      </c>
    </row>
    <row r="28" spans="1:8" ht="15.75" thickBot="1" x14ac:dyDescent="0.3">
      <c r="A28" s="16"/>
      <c r="B28" s="14"/>
      <c r="C28" s="7"/>
    </row>
    <row r="29" spans="1:8" x14ac:dyDescent="0.25">
      <c r="E29" t="s">
        <v>151</v>
      </c>
      <c r="H29" s="20">
        <f>H27*0.5</f>
        <v>7852.7407000000003</v>
      </c>
    </row>
    <row r="30" spans="1:8" ht="15.75" x14ac:dyDescent="0.25">
      <c r="A30" t="s">
        <v>10</v>
      </c>
      <c r="C30" s="10">
        <f>C21-C23-C25-C27</f>
        <v>25367.356</v>
      </c>
      <c r="H30" s="18"/>
    </row>
    <row r="31" spans="1:8" x14ac:dyDescent="0.25">
      <c r="H31" s="3"/>
    </row>
    <row r="32" spans="1:8" x14ac:dyDescent="0.25">
      <c r="H32" s="18"/>
    </row>
  </sheetData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AF5C0-DE9F-4C37-9797-65D42FBACF12}">
  <dimension ref="A1:H32"/>
  <sheetViews>
    <sheetView workbookViewId="0">
      <selection sqref="A1:XFD1048576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588</v>
      </c>
    </row>
    <row r="3" spans="1:8" ht="21" x14ac:dyDescent="0.35">
      <c r="A3" s="2" t="s">
        <v>1</v>
      </c>
      <c r="D3" s="11">
        <v>50813</v>
      </c>
      <c r="F3" s="12" t="s">
        <v>3</v>
      </c>
      <c r="H3" s="4">
        <f>(D3/1.19)*0.19</f>
        <v>8113</v>
      </c>
    </row>
    <row r="4" spans="1:8" x14ac:dyDescent="0.25">
      <c r="A4" s="13" t="s">
        <v>32</v>
      </c>
      <c r="C4" s="26">
        <v>771</v>
      </c>
    </row>
    <row r="5" spans="1:8" ht="21" x14ac:dyDescent="0.35">
      <c r="A5" s="2" t="s">
        <v>2</v>
      </c>
    </row>
    <row r="7" spans="1:8" ht="18.75" x14ac:dyDescent="0.3">
      <c r="A7" s="5" t="s">
        <v>221</v>
      </c>
      <c r="D7" s="4">
        <v>35635</v>
      </c>
      <c r="E7" s="25"/>
      <c r="H7" s="4">
        <f>(D7/1.19)*0.19</f>
        <v>5689.6218487394963</v>
      </c>
    </row>
    <row r="8" spans="1:8" ht="18.75" x14ac:dyDescent="0.3">
      <c r="A8" s="5"/>
      <c r="C8" s="3"/>
      <c r="D8" s="32"/>
      <c r="E8" s="25"/>
      <c r="H8" s="4"/>
    </row>
    <row r="9" spans="1:8" ht="18.75" x14ac:dyDescent="0.3">
      <c r="A9" s="5"/>
      <c r="C9" s="3"/>
      <c r="D9" s="28"/>
      <c r="E9" s="25"/>
      <c r="H9" s="4"/>
    </row>
    <row r="10" spans="1:8" ht="18.75" x14ac:dyDescent="0.3">
      <c r="A10" s="5"/>
      <c r="C10" s="3"/>
      <c r="D10" s="28"/>
      <c r="E10" s="25"/>
      <c r="H10" s="4"/>
    </row>
    <row r="11" spans="1:8" ht="19.5" thickBot="1" x14ac:dyDescent="0.35">
      <c r="A11" s="5"/>
      <c r="C11" s="3"/>
      <c r="D11" s="22"/>
      <c r="E11" s="25"/>
      <c r="H11" s="22"/>
    </row>
    <row r="12" spans="1:8" ht="18.75" customHeight="1" x14ac:dyDescent="0.3">
      <c r="D12" s="4">
        <f>SUM(D7:D11)</f>
        <v>35635</v>
      </c>
      <c r="H12" s="4">
        <f>SUM(H7:H11)</f>
        <v>5689.6218487394963</v>
      </c>
    </row>
    <row r="13" spans="1:8" ht="18.75" x14ac:dyDescent="0.3">
      <c r="A13" s="5"/>
      <c r="C13" s="3"/>
      <c r="D13" s="4"/>
      <c r="H13" s="4"/>
    </row>
    <row r="15" spans="1:8" ht="18.75" x14ac:dyDescent="0.3">
      <c r="A15" s="5"/>
      <c r="C15" s="3"/>
      <c r="D15" s="4"/>
      <c r="H15" s="4"/>
    </row>
    <row r="16" spans="1:8" ht="15.75" thickBot="1" x14ac:dyDescent="0.3">
      <c r="D16" s="7"/>
      <c r="H16" s="7"/>
    </row>
    <row r="18" spans="1:8" ht="18.75" x14ac:dyDescent="0.3">
      <c r="C18" t="s">
        <v>4</v>
      </c>
      <c r="D18" s="4">
        <f>D3-D12</f>
        <v>15178</v>
      </c>
      <c r="G18" t="s">
        <v>5</v>
      </c>
      <c r="H18" s="4">
        <f>H3-H12</f>
        <v>2423.3781512605037</v>
      </c>
    </row>
    <row r="21" spans="1:8" ht="15.75" x14ac:dyDescent="0.25">
      <c r="A21" t="s">
        <v>6</v>
      </c>
      <c r="C21" s="8">
        <f>D18</f>
        <v>15178</v>
      </c>
      <c r="E21" t="s">
        <v>10</v>
      </c>
      <c r="H21" s="6">
        <f>C30</f>
        <v>12551.369848739496</v>
      </c>
    </row>
    <row r="23" spans="1:8" ht="15.75" x14ac:dyDescent="0.25">
      <c r="A23" t="s">
        <v>5</v>
      </c>
      <c r="B23" s="9" t="s">
        <v>7</v>
      </c>
      <c r="C23" s="8">
        <f>H18</f>
        <v>2423.3781512605037</v>
      </c>
      <c r="E23" s="13" t="s">
        <v>11</v>
      </c>
      <c r="F23" s="9" t="s">
        <v>181</v>
      </c>
      <c r="G23" s="15" t="s">
        <v>17</v>
      </c>
      <c r="H23" s="3">
        <f>-(F24*0.007)</f>
        <v>-298.90000000000003</v>
      </c>
    </row>
    <row r="24" spans="1:8" x14ac:dyDescent="0.25">
      <c r="F24" s="21">
        <f>D3-H3</f>
        <v>42700</v>
      </c>
    </row>
    <row r="25" spans="1:8" ht="15.75" x14ac:dyDescent="0.25">
      <c r="A25" t="s">
        <v>8</v>
      </c>
      <c r="B25" s="9" t="s">
        <v>7</v>
      </c>
      <c r="C25" s="8">
        <f>D3*0.004</f>
        <v>203.25200000000001</v>
      </c>
      <c r="F25" s="9" t="s">
        <v>13</v>
      </c>
      <c r="G25" s="16">
        <v>0.35</v>
      </c>
      <c r="H25" s="29">
        <f>-(F26*0.35)</f>
        <v>-4392.9794470588231</v>
      </c>
    </row>
    <row r="26" spans="1:8" ht="15.75" thickBot="1" x14ac:dyDescent="0.3">
      <c r="F26" s="21">
        <f>H21</f>
        <v>12551.369848739496</v>
      </c>
      <c r="H26" s="7"/>
    </row>
    <row r="27" spans="1:8" ht="15.75" x14ac:dyDescent="0.25">
      <c r="A27" t="s">
        <v>9</v>
      </c>
      <c r="B27" s="9" t="s">
        <v>7</v>
      </c>
      <c r="C27" s="10"/>
      <c r="G27" s="13" t="s">
        <v>14</v>
      </c>
      <c r="H27" s="6">
        <f>H21+H23+H25</f>
        <v>7859.4904016806731</v>
      </c>
    </row>
    <row r="28" spans="1:8" ht="15.75" thickBot="1" x14ac:dyDescent="0.3">
      <c r="A28" s="16"/>
      <c r="B28" s="14"/>
      <c r="C28" s="7"/>
    </row>
    <row r="29" spans="1:8" x14ac:dyDescent="0.25">
      <c r="E29" t="s">
        <v>151</v>
      </c>
      <c r="H29" s="20">
        <f>H27*0.5</f>
        <v>3929.7452008403366</v>
      </c>
    </row>
    <row r="30" spans="1:8" ht="15.75" x14ac:dyDescent="0.25">
      <c r="A30" t="s">
        <v>10</v>
      </c>
      <c r="C30" s="10">
        <f>C21-C23-C25-C27</f>
        <v>12551.369848739496</v>
      </c>
      <c r="H30" s="18"/>
    </row>
    <row r="31" spans="1:8" x14ac:dyDescent="0.25">
      <c r="H31" s="3"/>
    </row>
    <row r="32" spans="1:8" x14ac:dyDescent="0.25">
      <c r="H32" s="18"/>
    </row>
  </sheetData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51DD9-ADC1-46F6-AEC2-7909876A405F}">
  <dimension ref="A1:H32"/>
  <sheetViews>
    <sheetView workbookViewId="0">
      <selection sqref="A1:XFD1048576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589</v>
      </c>
    </row>
    <row r="3" spans="1:8" ht="21" x14ac:dyDescent="0.35">
      <c r="A3" s="2" t="s">
        <v>1</v>
      </c>
      <c r="D3" s="11">
        <v>45220</v>
      </c>
      <c r="F3" s="12" t="s">
        <v>3</v>
      </c>
      <c r="H3" s="4">
        <f>(D3/1.19)*0.19</f>
        <v>7220</v>
      </c>
    </row>
    <row r="4" spans="1:8" x14ac:dyDescent="0.25">
      <c r="A4" s="13" t="s">
        <v>32</v>
      </c>
      <c r="C4" s="26">
        <v>775</v>
      </c>
    </row>
    <row r="5" spans="1:8" ht="21" x14ac:dyDescent="0.35">
      <c r="A5" s="2" t="s">
        <v>2</v>
      </c>
    </row>
    <row r="7" spans="1:8" ht="18.75" x14ac:dyDescent="0.3">
      <c r="A7" s="5" t="s">
        <v>221</v>
      </c>
      <c r="D7" s="4">
        <v>26600</v>
      </c>
      <c r="E7" s="25"/>
      <c r="H7" s="4">
        <f>(D7/1.19)*0.19</f>
        <v>4247.0588235294126</v>
      </c>
    </row>
    <row r="8" spans="1:8" ht="18.75" x14ac:dyDescent="0.3">
      <c r="A8" s="5"/>
      <c r="C8" s="3"/>
      <c r="D8" s="32"/>
      <c r="E8" s="25"/>
      <c r="H8" s="4"/>
    </row>
    <row r="9" spans="1:8" ht="18.75" x14ac:dyDescent="0.3">
      <c r="A9" s="5"/>
      <c r="C9" s="3"/>
      <c r="D9" s="28"/>
      <c r="E9" s="25"/>
      <c r="H9" s="4"/>
    </row>
    <row r="10" spans="1:8" ht="18.75" x14ac:dyDescent="0.3">
      <c r="A10" s="5"/>
      <c r="C10" s="3"/>
      <c r="D10" s="28"/>
      <c r="E10" s="25"/>
      <c r="H10" s="4"/>
    </row>
    <row r="11" spans="1:8" ht="19.5" thickBot="1" x14ac:dyDescent="0.35">
      <c r="A11" s="5"/>
      <c r="C11" s="3"/>
      <c r="D11" s="22"/>
      <c r="E11" s="25"/>
      <c r="H11" s="22"/>
    </row>
    <row r="12" spans="1:8" ht="18.75" customHeight="1" x14ac:dyDescent="0.3">
      <c r="D12" s="4">
        <f>SUM(D7:D11)</f>
        <v>26600</v>
      </c>
      <c r="H12" s="4">
        <f>SUM(H7:H11)</f>
        <v>4247.0588235294126</v>
      </c>
    </row>
    <row r="13" spans="1:8" ht="18.75" x14ac:dyDescent="0.3">
      <c r="A13" s="5"/>
      <c r="C13" s="3"/>
      <c r="D13" s="4"/>
      <c r="H13" s="4"/>
    </row>
    <row r="15" spans="1:8" ht="18.75" x14ac:dyDescent="0.3">
      <c r="A15" s="5"/>
      <c r="C15" s="3"/>
      <c r="D15" s="4"/>
      <c r="H15" s="4"/>
    </row>
    <row r="16" spans="1:8" ht="15.75" thickBot="1" x14ac:dyDescent="0.3">
      <c r="D16" s="7"/>
      <c r="H16" s="7"/>
    </row>
    <row r="18" spans="1:8" ht="18.75" x14ac:dyDescent="0.3">
      <c r="C18" t="s">
        <v>4</v>
      </c>
      <c r="D18" s="4">
        <f>D3-D12</f>
        <v>18620</v>
      </c>
      <c r="G18" t="s">
        <v>5</v>
      </c>
      <c r="H18" s="4">
        <f>H3-H12</f>
        <v>2972.9411764705874</v>
      </c>
    </row>
    <row r="21" spans="1:8" ht="15.75" x14ac:dyDescent="0.25">
      <c r="A21" t="s">
        <v>6</v>
      </c>
      <c r="C21" s="8">
        <f>D18</f>
        <v>18620</v>
      </c>
      <c r="E21" t="s">
        <v>10</v>
      </c>
      <c r="H21" s="6">
        <f>C30</f>
        <v>15466.178823529413</v>
      </c>
    </row>
    <row r="23" spans="1:8" ht="15.75" x14ac:dyDescent="0.25">
      <c r="A23" t="s">
        <v>5</v>
      </c>
      <c r="B23" s="9" t="s">
        <v>7</v>
      </c>
      <c r="C23" s="8">
        <f>H18</f>
        <v>2972.9411764705874</v>
      </c>
      <c r="E23" s="13" t="s">
        <v>11</v>
      </c>
      <c r="F23" s="9" t="s">
        <v>181</v>
      </c>
      <c r="G23" s="15" t="s">
        <v>17</v>
      </c>
      <c r="H23" s="3">
        <f>-(F24*0.007)</f>
        <v>-266</v>
      </c>
    </row>
    <row r="24" spans="1:8" x14ac:dyDescent="0.25">
      <c r="F24" s="21">
        <f>D3-H3</f>
        <v>38000</v>
      </c>
    </row>
    <row r="25" spans="1:8" ht="15.75" x14ac:dyDescent="0.25">
      <c r="A25" t="s">
        <v>8</v>
      </c>
      <c r="B25" s="9" t="s">
        <v>7</v>
      </c>
      <c r="C25" s="8">
        <f>D3*0.004</f>
        <v>180.88</v>
      </c>
      <c r="F25" s="9" t="s">
        <v>13</v>
      </c>
      <c r="G25" s="16">
        <v>0.35</v>
      </c>
      <c r="H25" s="29">
        <f>-(F26*0.35)</f>
        <v>-5413.1625882352946</v>
      </c>
    </row>
    <row r="26" spans="1:8" ht="15.75" thickBot="1" x14ac:dyDescent="0.3">
      <c r="F26" s="21">
        <f>H21</f>
        <v>15466.178823529413</v>
      </c>
      <c r="H26" s="7"/>
    </row>
    <row r="27" spans="1:8" ht="15.75" x14ac:dyDescent="0.25">
      <c r="A27" t="s">
        <v>9</v>
      </c>
      <c r="B27" s="9" t="s">
        <v>7</v>
      </c>
      <c r="C27" s="10"/>
      <c r="G27" s="13" t="s">
        <v>14</v>
      </c>
      <c r="H27" s="6">
        <f>H21+H23+H25</f>
        <v>9787.0162352941188</v>
      </c>
    </row>
    <row r="28" spans="1:8" ht="15.75" thickBot="1" x14ac:dyDescent="0.3">
      <c r="A28" s="16"/>
      <c r="B28" s="14"/>
      <c r="C28" s="7"/>
    </row>
    <row r="29" spans="1:8" x14ac:dyDescent="0.25">
      <c r="E29" t="s">
        <v>151</v>
      </c>
      <c r="H29" s="20">
        <f>H27*0.5</f>
        <v>4893.5081176470594</v>
      </c>
    </row>
    <row r="30" spans="1:8" ht="15.75" x14ac:dyDescent="0.25">
      <c r="A30" t="s">
        <v>10</v>
      </c>
      <c r="C30" s="10">
        <f>C21-C23-C25-C27</f>
        <v>15466.178823529413</v>
      </c>
      <c r="H30" s="18"/>
    </row>
    <row r="31" spans="1:8" x14ac:dyDescent="0.25">
      <c r="H31" s="3"/>
    </row>
    <row r="32" spans="1:8" x14ac:dyDescent="0.25">
      <c r="H32" s="18"/>
    </row>
  </sheetData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A3810-A818-4C58-ABC3-76A35C554838}">
  <dimension ref="A1:H32"/>
  <sheetViews>
    <sheetView workbookViewId="0">
      <selection sqref="A1:XFD1048576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590</v>
      </c>
    </row>
    <row r="3" spans="1:8" ht="21" x14ac:dyDescent="0.35">
      <c r="A3" s="2" t="s">
        <v>1</v>
      </c>
      <c r="D3" s="11">
        <v>64260</v>
      </c>
      <c r="F3" s="12" t="s">
        <v>3</v>
      </c>
      <c r="H3" s="4">
        <f>(D3/1.19)*0.19</f>
        <v>10260</v>
      </c>
    </row>
    <row r="4" spans="1:8" x14ac:dyDescent="0.25">
      <c r="A4" s="13" t="s">
        <v>32</v>
      </c>
      <c r="C4" s="26">
        <v>776</v>
      </c>
    </row>
    <row r="5" spans="1:8" ht="21" x14ac:dyDescent="0.35">
      <c r="A5" s="2" t="s">
        <v>2</v>
      </c>
    </row>
    <row r="7" spans="1:8" ht="18.75" x14ac:dyDescent="0.3">
      <c r="A7" s="5" t="s">
        <v>221</v>
      </c>
      <c r="D7" s="4">
        <v>44600</v>
      </c>
      <c r="E7" s="25"/>
      <c r="H7" s="4">
        <f>(D7/1.19)*0.19</f>
        <v>7121.0084033613448</v>
      </c>
    </row>
    <row r="8" spans="1:8" ht="18.75" x14ac:dyDescent="0.3">
      <c r="A8" s="5"/>
      <c r="C8" s="3"/>
      <c r="D8" s="32"/>
      <c r="E8" s="25"/>
      <c r="H8" s="4"/>
    </row>
    <row r="9" spans="1:8" ht="18.75" x14ac:dyDescent="0.3">
      <c r="A9" s="5"/>
      <c r="C9" s="3"/>
      <c r="D9" s="28"/>
      <c r="E9" s="25"/>
      <c r="H9" s="4"/>
    </row>
    <row r="10" spans="1:8" ht="18.75" x14ac:dyDescent="0.3">
      <c r="A10" s="5"/>
      <c r="C10" s="3"/>
      <c r="D10" s="28"/>
      <c r="E10" s="25"/>
      <c r="H10" s="4"/>
    </row>
    <row r="11" spans="1:8" ht="19.5" thickBot="1" x14ac:dyDescent="0.35">
      <c r="A11" s="5"/>
      <c r="C11" s="3"/>
      <c r="D11" s="22"/>
      <c r="E11" s="25"/>
      <c r="H11" s="22"/>
    </row>
    <row r="12" spans="1:8" ht="18.75" customHeight="1" x14ac:dyDescent="0.3">
      <c r="D12" s="4">
        <f>SUM(D7:D11)</f>
        <v>44600</v>
      </c>
      <c r="H12" s="4">
        <f>SUM(H7:H11)</f>
        <v>7121.0084033613448</v>
      </c>
    </row>
    <row r="13" spans="1:8" ht="18.75" x14ac:dyDescent="0.3">
      <c r="A13" s="5"/>
      <c r="C13" s="3"/>
      <c r="D13" s="4"/>
      <c r="H13" s="4"/>
    </row>
    <row r="15" spans="1:8" ht="18.75" x14ac:dyDescent="0.3">
      <c r="A15" s="5"/>
      <c r="C15" s="3"/>
      <c r="D15" s="4"/>
      <c r="H15" s="4"/>
    </row>
    <row r="16" spans="1:8" ht="15.75" thickBot="1" x14ac:dyDescent="0.3">
      <c r="D16" s="7"/>
      <c r="H16" s="7"/>
    </row>
    <row r="18" spans="1:8" ht="18.75" x14ac:dyDescent="0.3">
      <c r="C18" t="s">
        <v>4</v>
      </c>
      <c r="D18" s="4">
        <f>D3-D12</f>
        <v>19660</v>
      </c>
      <c r="G18" t="s">
        <v>5</v>
      </c>
      <c r="H18" s="4">
        <f>H3-H12</f>
        <v>3138.9915966386552</v>
      </c>
    </row>
    <row r="21" spans="1:8" ht="15.75" x14ac:dyDescent="0.25">
      <c r="A21" t="s">
        <v>6</v>
      </c>
      <c r="C21" s="8">
        <f>D18</f>
        <v>19660</v>
      </c>
      <c r="E21" t="s">
        <v>10</v>
      </c>
      <c r="H21" s="6">
        <f>C30</f>
        <v>16263.968403361345</v>
      </c>
    </row>
    <row r="23" spans="1:8" ht="15.75" x14ac:dyDescent="0.25">
      <c r="A23" t="s">
        <v>5</v>
      </c>
      <c r="B23" s="9" t="s">
        <v>7</v>
      </c>
      <c r="C23" s="8">
        <f>H18</f>
        <v>3138.9915966386552</v>
      </c>
      <c r="E23" s="13" t="s">
        <v>11</v>
      </c>
      <c r="F23" s="9" t="s">
        <v>181</v>
      </c>
      <c r="G23" s="15" t="s">
        <v>17</v>
      </c>
      <c r="H23" s="3">
        <f>-(F24*0.007)</f>
        <v>-378</v>
      </c>
    </row>
    <row r="24" spans="1:8" x14ac:dyDescent="0.25">
      <c r="F24" s="21">
        <f>D3-H3</f>
        <v>54000</v>
      </c>
    </row>
    <row r="25" spans="1:8" ht="15.75" x14ac:dyDescent="0.25">
      <c r="A25" t="s">
        <v>8</v>
      </c>
      <c r="B25" s="9" t="s">
        <v>7</v>
      </c>
      <c r="C25" s="8">
        <f>D3*0.004</f>
        <v>257.04000000000002</v>
      </c>
      <c r="F25" s="9" t="s">
        <v>13</v>
      </c>
      <c r="G25" s="16">
        <v>0.35</v>
      </c>
      <c r="H25" s="29">
        <f>-(F26*0.35)</f>
        <v>-5692.3889411764703</v>
      </c>
    </row>
    <row r="26" spans="1:8" ht="15.75" thickBot="1" x14ac:dyDescent="0.3">
      <c r="F26" s="21">
        <f>H21</f>
        <v>16263.968403361345</v>
      </c>
      <c r="H26" s="7"/>
    </row>
    <row r="27" spans="1:8" ht="15.75" x14ac:dyDescent="0.25">
      <c r="A27" t="s">
        <v>9</v>
      </c>
      <c r="B27" s="9" t="s">
        <v>7</v>
      </c>
      <c r="C27" s="10"/>
      <c r="G27" s="13" t="s">
        <v>14</v>
      </c>
      <c r="H27" s="6">
        <f>H21+H23+H25</f>
        <v>10193.579462184875</v>
      </c>
    </row>
    <row r="28" spans="1:8" ht="15.75" thickBot="1" x14ac:dyDescent="0.3">
      <c r="A28" s="16"/>
      <c r="B28" s="14"/>
      <c r="C28" s="7"/>
    </row>
    <row r="29" spans="1:8" x14ac:dyDescent="0.25">
      <c r="E29" t="s">
        <v>151</v>
      </c>
      <c r="H29" s="20">
        <f>H27*0.5</f>
        <v>5096.7897310924373</v>
      </c>
    </row>
    <row r="30" spans="1:8" ht="15.75" x14ac:dyDescent="0.25">
      <c r="A30" t="s">
        <v>10</v>
      </c>
      <c r="C30" s="10">
        <f>C21-C23-C25-C27</f>
        <v>16263.968403361345</v>
      </c>
      <c r="H30" s="18"/>
    </row>
    <row r="31" spans="1:8" x14ac:dyDescent="0.25">
      <c r="H31" s="3"/>
    </row>
    <row r="32" spans="1:8" x14ac:dyDescent="0.25">
      <c r="H32" s="18"/>
    </row>
  </sheetData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74A03-8550-49C1-AF0D-68A25B20BBB7}">
  <dimension ref="A1:H32"/>
  <sheetViews>
    <sheetView workbookViewId="0">
      <selection sqref="A1:XFD1048576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518</v>
      </c>
    </row>
    <row r="3" spans="1:8" ht="21" x14ac:dyDescent="0.35">
      <c r="A3" s="2" t="s">
        <v>1</v>
      </c>
      <c r="D3" s="11">
        <v>19635</v>
      </c>
      <c r="F3" s="12" t="s">
        <v>3</v>
      </c>
      <c r="H3" s="4">
        <f>(D3/1.19)*0.19</f>
        <v>3135</v>
      </c>
    </row>
    <row r="4" spans="1:8" x14ac:dyDescent="0.25">
      <c r="A4" s="13" t="s">
        <v>32</v>
      </c>
      <c r="C4" s="26">
        <v>777</v>
      </c>
    </row>
    <row r="5" spans="1:8" ht="21" x14ac:dyDescent="0.35">
      <c r="A5" s="2" t="s">
        <v>2</v>
      </c>
    </row>
    <row r="7" spans="1:8" ht="18.75" x14ac:dyDescent="0.3">
      <c r="A7" s="5" t="s">
        <v>221</v>
      </c>
      <c r="D7" s="4">
        <v>13300</v>
      </c>
      <c r="E7" s="25"/>
      <c r="H7" s="4">
        <f>(D7/1.19)*0.19</f>
        <v>2123.5294117647063</v>
      </c>
    </row>
    <row r="8" spans="1:8" ht="18.75" x14ac:dyDescent="0.3">
      <c r="A8" s="5"/>
      <c r="C8" s="3"/>
      <c r="D8" s="32"/>
      <c r="E8" s="25"/>
      <c r="H8" s="4"/>
    </row>
    <row r="9" spans="1:8" ht="18.75" x14ac:dyDescent="0.3">
      <c r="A9" s="5"/>
      <c r="C9" s="3"/>
      <c r="D9" s="28"/>
      <c r="E9" s="25"/>
      <c r="H9" s="4"/>
    </row>
    <row r="10" spans="1:8" ht="18.75" x14ac:dyDescent="0.3">
      <c r="A10" s="5"/>
      <c r="C10" s="3"/>
      <c r="D10" s="28"/>
      <c r="E10" s="25"/>
      <c r="H10" s="4"/>
    </row>
    <row r="11" spans="1:8" ht="19.5" thickBot="1" x14ac:dyDescent="0.35">
      <c r="A11" s="5"/>
      <c r="C11" s="3"/>
      <c r="D11" s="22"/>
      <c r="E11" s="25"/>
      <c r="H11" s="22"/>
    </row>
    <row r="12" spans="1:8" ht="18.75" customHeight="1" x14ac:dyDescent="0.3">
      <c r="D12" s="4">
        <f>SUM(D7:D11)</f>
        <v>13300</v>
      </c>
      <c r="H12" s="4">
        <f>SUM(H7:H11)</f>
        <v>2123.5294117647063</v>
      </c>
    </row>
    <row r="13" spans="1:8" ht="18.75" x14ac:dyDescent="0.3">
      <c r="A13" s="5"/>
      <c r="C13" s="3"/>
      <c r="D13" s="4"/>
      <c r="H13" s="4"/>
    </row>
    <row r="15" spans="1:8" ht="18.75" x14ac:dyDescent="0.3">
      <c r="A15" s="5"/>
      <c r="C15" s="3"/>
      <c r="D15" s="4"/>
      <c r="H15" s="4"/>
    </row>
    <row r="16" spans="1:8" ht="15.75" thickBot="1" x14ac:dyDescent="0.3">
      <c r="D16" s="7"/>
      <c r="H16" s="7"/>
    </row>
    <row r="18" spans="1:8" ht="18.75" x14ac:dyDescent="0.3">
      <c r="C18" t="s">
        <v>4</v>
      </c>
      <c r="D18" s="4">
        <f>D3-D12</f>
        <v>6335</v>
      </c>
      <c r="G18" t="s">
        <v>5</v>
      </c>
      <c r="H18" s="4">
        <f>H3-H12</f>
        <v>1011.4705882352937</v>
      </c>
    </row>
    <row r="21" spans="1:8" ht="15.75" x14ac:dyDescent="0.25">
      <c r="A21" t="s">
        <v>6</v>
      </c>
      <c r="C21" s="8">
        <f>D18</f>
        <v>6335</v>
      </c>
      <c r="E21" t="s">
        <v>10</v>
      </c>
      <c r="H21" s="6">
        <f>C30</f>
        <v>5244.9894117647063</v>
      </c>
    </row>
    <row r="23" spans="1:8" ht="15.75" x14ac:dyDescent="0.25">
      <c r="A23" t="s">
        <v>5</v>
      </c>
      <c r="B23" s="9" t="s">
        <v>7</v>
      </c>
      <c r="C23" s="8">
        <f>H18</f>
        <v>1011.4705882352937</v>
      </c>
      <c r="E23" s="13" t="s">
        <v>11</v>
      </c>
      <c r="F23" s="9" t="s">
        <v>181</v>
      </c>
      <c r="G23" s="15" t="s">
        <v>17</v>
      </c>
      <c r="H23" s="3">
        <f>-(F24*0.007)</f>
        <v>-115.5</v>
      </c>
    </row>
    <row r="24" spans="1:8" x14ac:dyDescent="0.25">
      <c r="F24" s="21">
        <f>D3-H3</f>
        <v>16500</v>
      </c>
    </row>
    <row r="25" spans="1:8" ht="15.75" x14ac:dyDescent="0.25">
      <c r="A25" t="s">
        <v>8</v>
      </c>
      <c r="B25" s="9" t="s">
        <v>7</v>
      </c>
      <c r="C25" s="8">
        <f>D3*0.004</f>
        <v>78.540000000000006</v>
      </c>
      <c r="F25" s="9" t="s">
        <v>13</v>
      </c>
      <c r="G25" s="16">
        <v>0.35</v>
      </c>
      <c r="H25" s="29">
        <f>-(F26*0.35)</f>
        <v>-1835.746294117647</v>
      </c>
    </row>
    <row r="26" spans="1:8" ht="15.75" thickBot="1" x14ac:dyDescent="0.3">
      <c r="F26" s="21">
        <f>H21</f>
        <v>5244.9894117647063</v>
      </c>
      <c r="H26" s="7"/>
    </row>
    <row r="27" spans="1:8" ht="15.75" x14ac:dyDescent="0.25">
      <c r="A27" t="s">
        <v>9</v>
      </c>
      <c r="B27" s="9" t="s">
        <v>7</v>
      </c>
      <c r="C27" s="10"/>
      <c r="G27" s="13" t="s">
        <v>14</v>
      </c>
      <c r="H27" s="6">
        <f>H21+H23+H25</f>
        <v>3293.7431176470591</v>
      </c>
    </row>
    <row r="28" spans="1:8" ht="15.75" thickBot="1" x14ac:dyDescent="0.3">
      <c r="A28" s="16"/>
      <c r="B28" s="14"/>
      <c r="C28" s="7"/>
    </row>
    <row r="29" spans="1:8" x14ac:dyDescent="0.25">
      <c r="E29" t="s">
        <v>151</v>
      </c>
      <c r="H29" s="20">
        <f>H27*0.5</f>
        <v>1646.8715588235295</v>
      </c>
    </row>
    <row r="30" spans="1:8" ht="15.75" x14ac:dyDescent="0.25">
      <c r="A30" t="s">
        <v>10</v>
      </c>
      <c r="C30" s="10">
        <f>C21-C23-C25-C27</f>
        <v>5244.9894117647063</v>
      </c>
      <c r="H30" s="18"/>
    </row>
    <row r="31" spans="1:8" x14ac:dyDescent="0.25">
      <c r="H31" s="3"/>
    </row>
    <row r="32" spans="1:8" x14ac:dyDescent="0.25">
      <c r="H32" s="18"/>
    </row>
  </sheetData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A2226-F54C-4C17-8C1A-2F28E47F1647}">
  <dimension ref="A1:H32"/>
  <sheetViews>
    <sheetView workbookViewId="0">
      <selection sqref="A1:XFD1048576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591</v>
      </c>
    </row>
    <row r="3" spans="1:8" ht="21" x14ac:dyDescent="0.35">
      <c r="A3" s="2" t="s">
        <v>1</v>
      </c>
      <c r="D3" s="11">
        <v>76636</v>
      </c>
      <c r="F3" s="12" t="s">
        <v>3</v>
      </c>
      <c r="H3" s="4">
        <f>(D3/1.19)*0.19</f>
        <v>12236</v>
      </c>
    </row>
    <row r="4" spans="1:8" x14ac:dyDescent="0.25">
      <c r="A4" s="13" t="s">
        <v>32</v>
      </c>
      <c r="C4" s="26">
        <v>778</v>
      </c>
    </row>
    <row r="5" spans="1:8" ht="21" x14ac:dyDescent="0.35">
      <c r="A5" s="2" t="s">
        <v>2</v>
      </c>
    </row>
    <row r="7" spans="1:8" ht="18.75" x14ac:dyDescent="0.3">
      <c r="A7" s="5" t="s">
        <v>221</v>
      </c>
      <c r="D7" s="4">
        <v>49900</v>
      </c>
      <c r="E7" s="25"/>
      <c r="H7" s="4">
        <f>(D7/1.19)*0.19</f>
        <v>7967.2268907563039</v>
      </c>
    </row>
    <row r="8" spans="1:8" ht="18.75" x14ac:dyDescent="0.3">
      <c r="A8" s="5"/>
      <c r="C8" s="3"/>
      <c r="D8" s="32"/>
      <c r="E8" s="25"/>
      <c r="H8" s="4"/>
    </row>
    <row r="9" spans="1:8" ht="18.75" x14ac:dyDescent="0.3">
      <c r="A9" s="5"/>
      <c r="C9" s="3"/>
      <c r="D9" s="28"/>
      <c r="E9" s="25"/>
      <c r="H9" s="4"/>
    </row>
    <row r="10" spans="1:8" ht="18.75" x14ac:dyDescent="0.3">
      <c r="A10" s="5"/>
      <c r="C10" s="3"/>
      <c r="D10" s="28"/>
      <c r="E10" s="25"/>
      <c r="H10" s="4"/>
    </row>
    <row r="11" spans="1:8" ht="19.5" thickBot="1" x14ac:dyDescent="0.35">
      <c r="A11" s="5"/>
      <c r="C11" s="3"/>
      <c r="D11" s="22"/>
      <c r="E11" s="25"/>
      <c r="H11" s="22"/>
    </row>
    <row r="12" spans="1:8" ht="18.75" customHeight="1" x14ac:dyDescent="0.3">
      <c r="D12" s="4">
        <f>SUM(D7:D11)</f>
        <v>49900</v>
      </c>
      <c r="H12" s="4">
        <f>SUM(H7:H11)</f>
        <v>7967.2268907563039</v>
      </c>
    </row>
    <row r="13" spans="1:8" ht="18.75" x14ac:dyDescent="0.3">
      <c r="A13" s="5"/>
      <c r="C13" s="3"/>
      <c r="D13" s="4"/>
      <c r="H13" s="4"/>
    </row>
    <row r="15" spans="1:8" ht="18.75" x14ac:dyDescent="0.3">
      <c r="A15" s="5"/>
      <c r="C15" s="3"/>
      <c r="D15" s="4"/>
      <c r="H15" s="4"/>
    </row>
    <row r="16" spans="1:8" ht="15.75" thickBot="1" x14ac:dyDescent="0.3">
      <c r="D16" s="7"/>
      <c r="H16" s="7"/>
    </row>
    <row r="18" spans="1:8" ht="18.75" x14ac:dyDescent="0.3">
      <c r="C18" t="s">
        <v>4</v>
      </c>
      <c r="D18" s="4">
        <f>D3-D12</f>
        <v>26736</v>
      </c>
      <c r="G18" t="s">
        <v>5</v>
      </c>
      <c r="H18" s="4">
        <f>H3-H12</f>
        <v>4268.7731092436961</v>
      </c>
    </row>
    <row r="21" spans="1:8" ht="15.75" x14ac:dyDescent="0.25">
      <c r="A21" t="s">
        <v>6</v>
      </c>
      <c r="C21" s="8">
        <f>D18</f>
        <v>26736</v>
      </c>
      <c r="E21" t="s">
        <v>10</v>
      </c>
      <c r="H21" s="6">
        <f>C30</f>
        <v>22160.682890756303</v>
      </c>
    </row>
    <row r="23" spans="1:8" ht="15.75" x14ac:dyDescent="0.25">
      <c r="A23" t="s">
        <v>5</v>
      </c>
      <c r="B23" s="9" t="s">
        <v>7</v>
      </c>
      <c r="C23" s="8">
        <f>H18</f>
        <v>4268.7731092436961</v>
      </c>
      <c r="E23" s="13" t="s">
        <v>11</v>
      </c>
      <c r="F23" s="9" t="s">
        <v>181</v>
      </c>
      <c r="G23" s="15" t="s">
        <v>17</v>
      </c>
      <c r="H23" s="3">
        <f>-(F24*0.007)</f>
        <v>-450.8</v>
      </c>
    </row>
    <row r="24" spans="1:8" x14ac:dyDescent="0.25">
      <c r="F24" s="21">
        <f>D3-H3</f>
        <v>64400</v>
      </c>
    </row>
    <row r="25" spans="1:8" ht="15.75" x14ac:dyDescent="0.25">
      <c r="A25" t="s">
        <v>8</v>
      </c>
      <c r="B25" s="9" t="s">
        <v>7</v>
      </c>
      <c r="C25" s="8">
        <f>D3*0.004</f>
        <v>306.54399999999998</v>
      </c>
      <c r="F25" s="9" t="s">
        <v>13</v>
      </c>
      <c r="G25" s="16">
        <v>0.35</v>
      </c>
      <c r="H25" s="29">
        <f>-(F26*0.35)</f>
        <v>-7756.2390117647055</v>
      </c>
    </row>
    <row r="26" spans="1:8" ht="15.75" thickBot="1" x14ac:dyDescent="0.3">
      <c r="F26" s="21">
        <f>H21</f>
        <v>22160.682890756303</v>
      </c>
      <c r="H26" s="7"/>
    </row>
    <row r="27" spans="1:8" ht="15.75" x14ac:dyDescent="0.25">
      <c r="A27" t="s">
        <v>9</v>
      </c>
      <c r="B27" s="9" t="s">
        <v>7</v>
      </c>
      <c r="C27" s="10"/>
      <c r="G27" s="13" t="s">
        <v>14</v>
      </c>
      <c r="H27" s="6">
        <f>H21+H23+H25</f>
        <v>13953.643878991599</v>
      </c>
    </row>
    <row r="28" spans="1:8" ht="15.75" thickBot="1" x14ac:dyDescent="0.3">
      <c r="A28" s="16"/>
      <c r="B28" s="14"/>
      <c r="C28" s="7"/>
    </row>
    <row r="29" spans="1:8" x14ac:dyDescent="0.25">
      <c r="E29" t="s">
        <v>151</v>
      </c>
      <c r="H29" s="20">
        <f>H27*0.5</f>
        <v>6976.8219394957996</v>
      </c>
    </row>
    <row r="30" spans="1:8" ht="15.75" x14ac:dyDescent="0.25">
      <c r="A30" t="s">
        <v>10</v>
      </c>
      <c r="C30" s="10">
        <f>C21-C23-C25-C27</f>
        <v>22160.682890756303</v>
      </c>
      <c r="H30" s="18"/>
    </row>
    <row r="31" spans="1:8" x14ac:dyDescent="0.25">
      <c r="H31" s="3"/>
    </row>
    <row r="32" spans="1:8" x14ac:dyDescent="0.25">
      <c r="H32" s="18"/>
    </row>
  </sheetData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F3ED1-D56E-4F8B-A573-BF7096A4B463}">
  <dimension ref="A1:H32"/>
  <sheetViews>
    <sheetView workbookViewId="0">
      <selection sqref="A1:XFD1048576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568</v>
      </c>
    </row>
    <row r="3" spans="1:8" ht="21" x14ac:dyDescent="0.35">
      <c r="A3" s="2" t="s">
        <v>1</v>
      </c>
      <c r="D3" s="11">
        <v>364021</v>
      </c>
      <c r="F3" s="12" t="s">
        <v>3</v>
      </c>
      <c r="H3" s="4">
        <f>(D3/1.19)*0.19</f>
        <v>58121</v>
      </c>
    </row>
    <row r="4" spans="1:8" x14ac:dyDescent="0.25">
      <c r="A4" s="13" t="s">
        <v>32</v>
      </c>
      <c r="C4" s="26">
        <v>779</v>
      </c>
    </row>
    <row r="5" spans="1:8" ht="21" x14ac:dyDescent="0.35">
      <c r="A5" s="2" t="s">
        <v>2</v>
      </c>
    </row>
    <row r="7" spans="1:8" ht="18.75" x14ac:dyDescent="0.3">
      <c r="A7" s="5" t="s">
        <v>221</v>
      </c>
      <c r="D7" s="4">
        <v>294063</v>
      </c>
      <c r="E7" s="25"/>
      <c r="H7" s="4">
        <f>(D7/1.19)*0.19</f>
        <v>46951.23529411765</v>
      </c>
    </row>
    <row r="8" spans="1:8" ht="18.75" x14ac:dyDescent="0.3">
      <c r="A8" s="5"/>
      <c r="C8" s="3"/>
      <c r="D8" s="32"/>
      <c r="E8" s="25"/>
      <c r="H8" s="4"/>
    </row>
    <row r="9" spans="1:8" ht="18.75" x14ac:dyDescent="0.3">
      <c r="A9" s="5"/>
      <c r="C9" s="3"/>
      <c r="D9" s="28"/>
      <c r="E9" s="25"/>
      <c r="H9" s="4"/>
    </row>
    <row r="10" spans="1:8" ht="18.75" x14ac:dyDescent="0.3">
      <c r="A10" s="5"/>
      <c r="C10" s="3"/>
      <c r="D10" s="28"/>
      <c r="E10" s="25"/>
      <c r="H10" s="4"/>
    </row>
    <row r="11" spans="1:8" ht="19.5" thickBot="1" x14ac:dyDescent="0.35">
      <c r="A11" s="5"/>
      <c r="C11" s="3"/>
      <c r="D11" s="22"/>
      <c r="E11" s="25"/>
      <c r="H11" s="22"/>
    </row>
    <row r="12" spans="1:8" ht="18.75" customHeight="1" x14ac:dyDescent="0.3">
      <c r="D12" s="4">
        <f>SUM(D7:D11)</f>
        <v>294063</v>
      </c>
      <c r="H12" s="4">
        <f>SUM(H7:H11)</f>
        <v>46951.23529411765</v>
      </c>
    </row>
    <row r="13" spans="1:8" ht="18.75" x14ac:dyDescent="0.3">
      <c r="A13" s="5"/>
      <c r="C13" s="3"/>
      <c r="D13" s="4"/>
      <c r="H13" s="4"/>
    </row>
    <row r="15" spans="1:8" ht="18.75" x14ac:dyDescent="0.3">
      <c r="A15" s="5"/>
      <c r="C15" s="3"/>
      <c r="D15" s="4"/>
      <c r="H15" s="4"/>
    </row>
    <row r="16" spans="1:8" ht="15.75" thickBot="1" x14ac:dyDescent="0.3">
      <c r="D16" s="7"/>
      <c r="H16" s="7"/>
    </row>
    <row r="18" spans="1:8" ht="18.75" x14ac:dyDescent="0.3">
      <c r="C18" t="s">
        <v>4</v>
      </c>
      <c r="D18" s="4">
        <f>D3-D12</f>
        <v>69958</v>
      </c>
      <c r="G18" t="s">
        <v>5</v>
      </c>
      <c r="H18" s="4">
        <f>H3-H12</f>
        <v>11169.76470588235</v>
      </c>
    </row>
    <row r="21" spans="1:8" ht="15.75" x14ac:dyDescent="0.25">
      <c r="A21" t="s">
        <v>6</v>
      </c>
      <c r="C21" s="8">
        <f>D18</f>
        <v>69958</v>
      </c>
      <c r="E21" t="s">
        <v>10</v>
      </c>
      <c r="H21" s="6">
        <f>C30</f>
        <v>57332.151294117648</v>
      </c>
    </row>
    <row r="23" spans="1:8" ht="15.75" x14ac:dyDescent="0.25">
      <c r="A23" t="s">
        <v>5</v>
      </c>
      <c r="B23" s="9" t="s">
        <v>7</v>
      </c>
      <c r="C23" s="8">
        <f>H18</f>
        <v>11169.76470588235</v>
      </c>
      <c r="E23" s="13" t="s">
        <v>11</v>
      </c>
      <c r="F23" s="9" t="s">
        <v>181</v>
      </c>
      <c r="G23" s="15" t="s">
        <v>17</v>
      </c>
      <c r="H23" s="3">
        <f>-(F24*0.007)</f>
        <v>-2141.3000000000002</v>
      </c>
    </row>
    <row r="24" spans="1:8" x14ac:dyDescent="0.25">
      <c r="F24" s="21">
        <f>D3-H3</f>
        <v>305900</v>
      </c>
    </row>
    <row r="25" spans="1:8" ht="15.75" x14ac:dyDescent="0.25">
      <c r="A25" t="s">
        <v>8</v>
      </c>
      <c r="B25" s="9" t="s">
        <v>7</v>
      </c>
      <c r="C25" s="8">
        <f>D3*0.004</f>
        <v>1456.0840000000001</v>
      </c>
      <c r="F25" s="9" t="s">
        <v>13</v>
      </c>
      <c r="G25" s="16">
        <v>0.35</v>
      </c>
      <c r="H25" s="29">
        <f>-(F26*0.35)</f>
        <v>-20066.252952941177</v>
      </c>
    </row>
    <row r="26" spans="1:8" ht="15.75" thickBot="1" x14ac:dyDescent="0.3">
      <c r="F26" s="21">
        <f>H21</f>
        <v>57332.151294117648</v>
      </c>
      <c r="H26" s="7"/>
    </row>
    <row r="27" spans="1:8" ht="15.75" x14ac:dyDescent="0.25">
      <c r="A27" t="s">
        <v>9</v>
      </c>
      <c r="B27" s="9" t="s">
        <v>7</v>
      </c>
      <c r="C27" s="10"/>
      <c r="G27" s="13" t="s">
        <v>14</v>
      </c>
      <c r="H27" s="6">
        <f>H21+H23+H25</f>
        <v>35124.598341176468</v>
      </c>
    </row>
    <row r="28" spans="1:8" ht="15.75" thickBot="1" x14ac:dyDescent="0.3">
      <c r="A28" s="16"/>
      <c r="B28" s="14"/>
      <c r="C28" s="7"/>
    </row>
    <row r="29" spans="1:8" x14ac:dyDescent="0.25">
      <c r="E29" t="s">
        <v>151</v>
      </c>
      <c r="H29" s="20">
        <f>H27*0.5</f>
        <v>17562.299170588234</v>
      </c>
    </row>
    <row r="30" spans="1:8" ht="15.75" x14ac:dyDescent="0.25">
      <c r="A30" t="s">
        <v>10</v>
      </c>
      <c r="C30" s="10">
        <f>C21-C23-C25-C27</f>
        <v>57332.151294117648</v>
      </c>
      <c r="H30" s="18"/>
    </row>
    <row r="31" spans="1:8" x14ac:dyDescent="0.25">
      <c r="H31" s="3"/>
    </row>
    <row r="32" spans="1:8" x14ac:dyDescent="0.25">
      <c r="H32" s="18"/>
    </row>
  </sheetData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9A2BB-AB25-4910-9933-1F93490E0FDB}">
  <dimension ref="A1:H32"/>
  <sheetViews>
    <sheetView workbookViewId="0">
      <selection activeCell="C5" sqref="C5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493</v>
      </c>
    </row>
    <row r="3" spans="1:8" ht="21" x14ac:dyDescent="0.35">
      <c r="A3" s="2" t="s">
        <v>1</v>
      </c>
      <c r="D3" s="11">
        <v>61880</v>
      </c>
      <c r="F3" s="12" t="s">
        <v>3</v>
      </c>
      <c r="H3" s="4">
        <f>(D3/1.19)*0.19</f>
        <v>9880</v>
      </c>
    </row>
    <row r="4" spans="1:8" x14ac:dyDescent="0.25">
      <c r="A4" s="13" t="s">
        <v>32</v>
      </c>
      <c r="C4" s="26">
        <v>780</v>
      </c>
    </row>
    <row r="5" spans="1:8" ht="21" x14ac:dyDescent="0.35">
      <c r="A5" s="2" t="s">
        <v>2</v>
      </c>
    </row>
    <row r="7" spans="1:8" ht="18.75" x14ac:dyDescent="0.3">
      <c r="A7" s="5" t="s">
        <v>221</v>
      </c>
      <c r="D7" s="4">
        <v>33680</v>
      </c>
      <c r="E7" s="25"/>
      <c r="H7" s="4">
        <f>(D7/1.19)*0.19</f>
        <v>5377.4789915966394</v>
      </c>
    </row>
    <row r="8" spans="1:8" ht="18.75" x14ac:dyDescent="0.3">
      <c r="A8" s="5"/>
      <c r="C8" s="3"/>
      <c r="D8" s="32"/>
      <c r="E8" s="25"/>
      <c r="H8" s="4"/>
    </row>
    <row r="9" spans="1:8" ht="18.75" x14ac:dyDescent="0.3">
      <c r="A9" s="5"/>
      <c r="C9" s="3"/>
      <c r="D9" s="28"/>
      <c r="E9" s="25"/>
      <c r="H9" s="4"/>
    </row>
    <row r="10" spans="1:8" ht="18.75" x14ac:dyDescent="0.3">
      <c r="A10" s="5"/>
      <c r="C10" s="3"/>
      <c r="D10" s="28"/>
      <c r="E10" s="25"/>
      <c r="H10" s="4"/>
    </row>
    <row r="11" spans="1:8" ht="19.5" thickBot="1" x14ac:dyDescent="0.35">
      <c r="A11" s="5"/>
      <c r="C11" s="3"/>
      <c r="D11" s="22"/>
      <c r="E11" s="25"/>
      <c r="H11" s="22"/>
    </row>
    <row r="12" spans="1:8" ht="18.75" customHeight="1" x14ac:dyDescent="0.3">
      <c r="D12" s="4">
        <f>SUM(D7:D11)</f>
        <v>33680</v>
      </c>
      <c r="H12" s="4">
        <f>SUM(H7:H11)</f>
        <v>5377.4789915966394</v>
      </c>
    </row>
    <row r="13" spans="1:8" ht="18.75" x14ac:dyDescent="0.3">
      <c r="A13" s="5"/>
      <c r="C13" s="3"/>
      <c r="D13" s="4"/>
      <c r="H13" s="4"/>
    </row>
    <row r="15" spans="1:8" ht="18.75" x14ac:dyDescent="0.3">
      <c r="A15" s="5"/>
      <c r="C15" s="3"/>
      <c r="D15" s="4"/>
      <c r="H15" s="4"/>
    </row>
    <row r="16" spans="1:8" ht="15.75" thickBot="1" x14ac:dyDescent="0.3">
      <c r="D16" s="7"/>
      <c r="H16" s="7"/>
    </row>
    <row r="18" spans="1:8" ht="18.75" x14ac:dyDescent="0.3">
      <c r="C18" t="s">
        <v>4</v>
      </c>
      <c r="D18" s="4">
        <f>D3-D12</f>
        <v>28200</v>
      </c>
      <c r="G18" t="s">
        <v>5</v>
      </c>
      <c r="H18" s="4">
        <f>H3-H12</f>
        <v>4502.5210084033606</v>
      </c>
    </row>
    <row r="21" spans="1:8" ht="15.75" x14ac:dyDescent="0.25">
      <c r="A21" t="s">
        <v>6</v>
      </c>
      <c r="C21" s="8">
        <f>D18</f>
        <v>28200</v>
      </c>
      <c r="E21" t="s">
        <v>10</v>
      </c>
      <c r="H21" s="6">
        <f>C30</f>
        <v>23449.958991596639</v>
      </c>
    </row>
    <row r="23" spans="1:8" ht="15.75" x14ac:dyDescent="0.25">
      <c r="A23" t="s">
        <v>5</v>
      </c>
      <c r="B23" s="9" t="s">
        <v>7</v>
      </c>
      <c r="C23" s="8">
        <f>H18</f>
        <v>4502.5210084033606</v>
      </c>
      <c r="E23" s="13" t="s">
        <v>11</v>
      </c>
      <c r="F23" s="9" t="s">
        <v>181</v>
      </c>
      <c r="G23" s="15" t="s">
        <v>17</v>
      </c>
      <c r="H23" s="3">
        <f>-(F24*0.007)</f>
        <v>-364</v>
      </c>
    </row>
    <row r="24" spans="1:8" x14ac:dyDescent="0.25">
      <c r="F24" s="21">
        <f>D3-H3</f>
        <v>52000</v>
      </c>
    </row>
    <row r="25" spans="1:8" ht="15.75" x14ac:dyDescent="0.25">
      <c r="A25" t="s">
        <v>8</v>
      </c>
      <c r="B25" s="9" t="s">
        <v>7</v>
      </c>
      <c r="C25" s="8">
        <f>D3*0.004</f>
        <v>247.52</v>
      </c>
      <c r="F25" s="9" t="s">
        <v>13</v>
      </c>
      <c r="G25" s="16">
        <v>0.35</v>
      </c>
      <c r="H25" s="29">
        <f>-(F26*0.35)</f>
        <v>-8207.4856470588238</v>
      </c>
    </row>
    <row r="26" spans="1:8" ht="15.75" thickBot="1" x14ac:dyDescent="0.3">
      <c r="F26" s="21">
        <f>H21</f>
        <v>23449.958991596639</v>
      </c>
      <c r="H26" s="7"/>
    </row>
    <row r="27" spans="1:8" ht="15.75" x14ac:dyDescent="0.25">
      <c r="A27" t="s">
        <v>9</v>
      </c>
      <c r="B27" s="9" t="s">
        <v>7</v>
      </c>
      <c r="C27" s="10"/>
      <c r="G27" s="13" t="s">
        <v>14</v>
      </c>
      <c r="H27" s="6">
        <f>H21+H23+H25</f>
        <v>14878.473344537815</v>
      </c>
    </row>
    <row r="28" spans="1:8" ht="15.75" thickBot="1" x14ac:dyDescent="0.3">
      <c r="A28" s="16"/>
      <c r="B28" s="14"/>
      <c r="C28" s="7"/>
    </row>
    <row r="29" spans="1:8" x14ac:dyDescent="0.25">
      <c r="E29" t="s">
        <v>151</v>
      </c>
      <c r="H29" s="20">
        <f>H27*0.5</f>
        <v>7439.2366722689076</v>
      </c>
    </row>
    <row r="30" spans="1:8" ht="15.75" x14ac:dyDescent="0.25">
      <c r="A30" t="s">
        <v>10</v>
      </c>
      <c r="C30" s="10">
        <f>C21-C23-C25-C27</f>
        <v>23449.958991596639</v>
      </c>
      <c r="H30" s="18"/>
    </row>
    <row r="31" spans="1:8" x14ac:dyDescent="0.25">
      <c r="H31" s="3"/>
    </row>
    <row r="32" spans="1:8" x14ac:dyDescent="0.25">
      <c r="H32" s="18"/>
    </row>
  </sheetData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341EF-5901-4FAA-BFB2-F87FF8C979B1}">
  <dimension ref="A1:H32"/>
  <sheetViews>
    <sheetView workbookViewId="0">
      <selection sqref="A1:XFD1048576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592</v>
      </c>
    </row>
    <row r="3" spans="1:8" ht="21" x14ac:dyDescent="0.35">
      <c r="A3" s="2" t="s">
        <v>1</v>
      </c>
      <c r="D3" s="11">
        <v>351050</v>
      </c>
      <c r="F3" s="12" t="s">
        <v>3</v>
      </c>
      <c r="H3" s="4">
        <f>(D3/1.19)*0.19</f>
        <v>56050</v>
      </c>
    </row>
    <row r="4" spans="1:8" x14ac:dyDescent="0.25">
      <c r="A4" s="13" t="s">
        <v>32</v>
      </c>
      <c r="C4" s="26">
        <v>782</v>
      </c>
    </row>
    <row r="5" spans="1:8" ht="21" x14ac:dyDescent="0.35">
      <c r="A5" s="2" t="s">
        <v>2</v>
      </c>
    </row>
    <row r="7" spans="1:8" ht="18.75" x14ac:dyDescent="0.3">
      <c r="A7" s="5" t="s">
        <v>221</v>
      </c>
      <c r="D7" s="4">
        <v>254400</v>
      </c>
      <c r="E7" s="25"/>
      <c r="H7" s="4">
        <f>(D7/1.19)*0.19</f>
        <v>40618.487394957985</v>
      </c>
    </row>
    <row r="8" spans="1:8" ht="18.75" x14ac:dyDescent="0.3">
      <c r="A8" s="5"/>
      <c r="C8" s="3"/>
      <c r="D8" s="32"/>
      <c r="E8" s="25"/>
      <c r="H8" s="4"/>
    </row>
    <row r="9" spans="1:8" ht="18.75" x14ac:dyDescent="0.3">
      <c r="A9" s="5"/>
      <c r="C9" s="3"/>
      <c r="D9" s="28"/>
      <c r="E9" s="25"/>
      <c r="H9" s="4"/>
    </row>
    <row r="10" spans="1:8" ht="18.75" x14ac:dyDescent="0.3">
      <c r="A10" s="5"/>
      <c r="C10" s="3"/>
      <c r="D10" s="28"/>
      <c r="E10" s="25"/>
      <c r="H10" s="4"/>
    </row>
    <row r="11" spans="1:8" ht="19.5" thickBot="1" x14ac:dyDescent="0.35">
      <c r="A11" s="5"/>
      <c r="C11" s="3"/>
      <c r="D11" s="22"/>
      <c r="E11" s="25"/>
      <c r="H11" s="22"/>
    </row>
    <row r="12" spans="1:8" ht="18.75" customHeight="1" x14ac:dyDescent="0.3">
      <c r="D12" s="4">
        <f>SUM(D7:D11)</f>
        <v>254400</v>
      </c>
      <c r="H12" s="4">
        <f>SUM(H7:H11)</f>
        <v>40618.487394957985</v>
      </c>
    </row>
    <row r="13" spans="1:8" ht="18.75" x14ac:dyDescent="0.3">
      <c r="A13" s="5"/>
      <c r="C13" s="3"/>
      <c r="D13" s="4"/>
      <c r="H13" s="4"/>
    </row>
    <row r="15" spans="1:8" ht="18.75" x14ac:dyDescent="0.3">
      <c r="A15" s="5"/>
      <c r="C15" s="3"/>
      <c r="D15" s="4"/>
      <c r="H15" s="4"/>
    </row>
    <row r="16" spans="1:8" ht="15.75" thickBot="1" x14ac:dyDescent="0.3">
      <c r="D16" s="7"/>
      <c r="H16" s="7"/>
    </row>
    <row r="18" spans="1:8" ht="18.75" x14ac:dyDescent="0.3">
      <c r="C18" t="s">
        <v>4</v>
      </c>
      <c r="D18" s="4">
        <f>D3-D12</f>
        <v>96650</v>
      </c>
      <c r="G18" t="s">
        <v>5</v>
      </c>
      <c r="H18" s="4">
        <f>H3-H12</f>
        <v>15431.512605042015</v>
      </c>
    </row>
    <row r="21" spans="1:8" ht="15.75" x14ac:dyDescent="0.25">
      <c r="A21" t="s">
        <v>6</v>
      </c>
      <c r="C21" s="8">
        <f>D18</f>
        <v>96650</v>
      </c>
      <c r="E21" t="s">
        <v>10</v>
      </c>
      <c r="H21" s="6">
        <f>C30</f>
        <v>79814.287394957981</v>
      </c>
    </row>
    <row r="23" spans="1:8" ht="15.75" x14ac:dyDescent="0.25">
      <c r="A23" t="s">
        <v>5</v>
      </c>
      <c r="B23" s="9" t="s">
        <v>7</v>
      </c>
      <c r="C23" s="8">
        <f>H18</f>
        <v>15431.512605042015</v>
      </c>
      <c r="E23" s="13" t="s">
        <v>11</v>
      </c>
      <c r="F23" s="9" t="s">
        <v>181</v>
      </c>
      <c r="G23" s="15" t="s">
        <v>17</v>
      </c>
      <c r="H23" s="3">
        <f>-(F24*0.007)</f>
        <v>-2065</v>
      </c>
    </row>
    <row r="24" spans="1:8" x14ac:dyDescent="0.25">
      <c r="F24" s="21">
        <f>D3-H3</f>
        <v>295000</v>
      </c>
    </row>
    <row r="25" spans="1:8" ht="15.75" x14ac:dyDescent="0.25">
      <c r="A25" t="s">
        <v>8</v>
      </c>
      <c r="B25" s="9" t="s">
        <v>7</v>
      </c>
      <c r="C25" s="8">
        <f>D3*0.004</f>
        <v>1404.2</v>
      </c>
      <c r="F25" s="9" t="s">
        <v>13</v>
      </c>
      <c r="G25" s="16">
        <v>0.35</v>
      </c>
      <c r="H25" s="29">
        <f>-(F26*0.35)</f>
        <v>-27935.000588235293</v>
      </c>
    </row>
    <row r="26" spans="1:8" ht="15.75" thickBot="1" x14ac:dyDescent="0.3">
      <c r="F26" s="21">
        <f>H21</f>
        <v>79814.287394957981</v>
      </c>
      <c r="H26" s="7"/>
    </row>
    <row r="27" spans="1:8" ht="15.75" x14ac:dyDescent="0.25">
      <c r="A27" t="s">
        <v>9</v>
      </c>
      <c r="B27" s="9" t="s">
        <v>7</v>
      </c>
      <c r="C27" s="10"/>
      <c r="G27" s="13" t="s">
        <v>14</v>
      </c>
      <c r="H27" s="6">
        <f>H21+H23+H25</f>
        <v>49814.286806722688</v>
      </c>
    </row>
    <row r="28" spans="1:8" ht="15.75" thickBot="1" x14ac:dyDescent="0.3">
      <c r="A28" s="16"/>
      <c r="B28" s="14"/>
      <c r="C28" s="7"/>
    </row>
    <row r="29" spans="1:8" x14ac:dyDescent="0.25">
      <c r="E29" t="s">
        <v>151</v>
      </c>
      <c r="H29" s="20">
        <f>H27*0.5</f>
        <v>24907.143403361344</v>
      </c>
    </row>
    <row r="30" spans="1:8" ht="15.75" x14ac:dyDescent="0.25">
      <c r="A30" t="s">
        <v>10</v>
      </c>
      <c r="C30" s="10">
        <f>C21-C23-C25-C27</f>
        <v>79814.287394957981</v>
      </c>
      <c r="H30" s="18"/>
    </row>
    <row r="31" spans="1:8" x14ac:dyDescent="0.25">
      <c r="H31" s="3"/>
    </row>
    <row r="32" spans="1:8" x14ac:dyDescent="0.25">
      <c r="H32" s="18"/>
    </row>
  </sheetData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FF0F6-3F99-4D88-AD50-BB4E1B4E6E16}">
  <dimension ref="A1:H32"/>
  <sheetViews>
    <sheetView workbookViewId="0">
      <selection sqref="A1:XFD1048576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592</v>
      </c>
    </row>
    <row r="3" spans="1:8" ht="21" x14ac:dyDescent="0.35">
      <c r="A3" s="2" t="s">
        <v>1</v>
      </c>
      <c r="D3" s="11">
        <v>58667</v>
      </c>
      <c r="F3" s="12" t="s">
        <v>3</v>
      </c>
      <c r="H3" s="4">
        <f>(D3/1.19)*0.19</f>
        <v>9367</v>
      </c>
    </row>
    <row r="4" spans="1:8" x14ac:dyDescent="0.25">
      <c r="A4" s="13" t="s">
        <v>32</v>
      </c>
      <c r="C4" s="26">
        <v>783</v>
      </c>
    </row>
    <row r="5" spans="1:8" ht="21" x14ac:dyDescent="0.35">
      <c r="A5" s="2" t="s">
        <v>2</v>
      </c>
    </row>
    <row r="7" spans="1:8" ht="18.75" x14ac:dyDescent="0.3">
      <c r="A7" s="5" t="s">
        <v>221</v>
      </c>
      <c r="D7" s="4">
        <v>40000</v>
      </c>
      <c r="E7" s="25"/>
      <c r="H7" s="4">
        <f>(D7/1.19)*0.19</f>
        <v>6386.5546218487398</v>
      </c>
    </row>
    <row r="8" spans="1:8" ht="18.75" x14ac:dyDescent="0.3">
      <c r="A8" s="5"/>
      <c r="C8" s="3"/>
      <c r="D8" s="32"/>
      <c r="E8" s="25"/>
      <c r="H8" s="4"/>
    </row>
    <row r="9" spans="1:8" ht="18.75" x14ac:dyDescent="0.3">
      <c r="A9" s="5"/>
      <c r="C9" s="3"/>
      <c r="D9" s="28"/>
      <c r="E9" s="25"/>
      <c r="H9" s="4"/>
    </row>
    <row r="10" spans="1:8" ht="18.75" x14ac:dyDescent="0.3">
      <c r="A10" s="5"/>
      <c r="C10" s="3"/>
      <c r="D10" s="28"/>
      <c r="E10" s="25"/>
      <c r="H10" s="4"/>
    </row>
    <row r="11" spans="1:8" ht="19.5" thickBot="1" x14ac:dyDescent="0.35">
      <c r="A11" s="5"/>
      <c r="C11" s="3"/>
      <c r="D11" s="22"/>
      <c r="E11" s="25"/>
      <c r="H11" s="22"/>
    </row>
    <row r="12" spans="1:8" ht="18.75" customHeight="1" x14ac:dyDescent="0.3">
      <c r="D12" s="4">
        <f>SUM(D7:D11)</f>
        <v>40000</v>
      </c>
      <c r="H12" s="4">
        <f>SUM(H7:H11)</f>
        <v>6386.5546218487398</v>
      </c>
    </row>
    <row r="13" spans="1:8" ht="18.75" x14ac:dyDescent="0.3">
      <c r="A13" s="5"/>
      <c r="C13" s="3"/>
      <c r="D13" s="4"/>
      <c r="H13" s="4"/>
    </row>
    <row r="15" spans="1:8" ht="18.75" x14ac:dyDescent="0.3">
      <c r="A15" s="5"/>
      <c r="C15" s="3"/>
      <c r="D15" s="4"/>
      <c r="H15" s="4"/>
    </row>
    <row r="16" spans="1:8" ht="15.75" thickBot="1" x14ac:dyDescent="0.3">
      <c r="D16" s="7"/>
      <c r="H16" s="7"/>
    </row>
    <row r="18" spans="1:8" ht="18.75" x14ac:dyDescent="0.3">
      <c r="C18" t="s">
        <v>4</v>
      </c>
      <c r="D18" s="4">
        <f>D3-D12</f>
        <v>18667</v>
      </c>
      <c r="G18" t="s">
        <v>5</v>
      </c>
      <c r="H18" s="4">
        <f>H3-H12</f>
        <v>2980.4453781512602</v>
      </c>
    </row>
    <row r="21" spans="1:8" ht="15.75" x14ac:dyDescent="0.25">
      <c r="A21" t="s">
        <v>6</v>
      </c>
      <c r="C21" s="8">
        <f>D18</f>
        <v>18667</v>
      </c>
      <c r="E21" t="s">
        <v>10</v>
      </c>
      <c r="H21" s="6">
        <f>C30</f>
        <v>15451.88662184874</v>
      </c>
    </row>
    <row r="23" spans="1:8" ht="15.75" x14ac:dyDescent="0.25">
      <c r="A23" t="s">
        <v>5</v>
      </c>
      <c r="B23" s="9" t="s">
        <v>7</v>
      </c>
      <c r="C23" s="8">
        <f>H18</f>
        <v>2980.4453781512602</v>
      </c>
      <c r="E23" s="13" t="s">
        <v>11</v>
      </c>
      <c r="F23" s="9" t="s">
        <v>181</v>
      </c>
      <c r="G23" s="15" t="s">
        <v>17</v>
      </c>
      <c r="H23" s="3">
        <f>-(F24*0.007)</f>
        <v>-345.1</v>
      </c>
    </row>
    <row r="24" spans="1:8" x14ac:dyDescent="0.25">
      <c r="F24" s="21">
        <f>D3-H3</f>
        <v>49300</v>
      </c>
    </row>
    <row r="25" spans="1:8" ht="15.75" x14ac:dyDescent="0.25">
      <c r="A25" t="s">
        <v>8</v>
      </c>
      <c r="B25" s="9" t="s">
        <v>7</v>
      </c>
      <c r="C25" s="8">
        <f>D3*0.004</f>
        <v>234.66800000000001</v>
      </c>
      <c r="F25" s="9" t="s">
        <v>13</v>
      </c>
      <c r="G25" s="16">
        <v>0.35</v>
      </c>
      <c r="H25" s="29">
        <f>-(F26*0.35)</f>
        <v>-5408.1603176470589</v>
      </c>
    </row>
    <row r="26" spans="1:8" ht="15.75" thickBot="1" x14ac:dyDescent="0.3">
      <c r="F26" s="21">
        <f>H21</f>
        <v>15451.88662184874</v>
      </c>
      <c r="H26" s="7"/>
    </row>
    <row r="27" spans="1:8" ht="15.75" x14ac:dyDescent="0.25">
      <c r="A27" t="s">
        <v>9</v>
      </c>
      <c r="B27" s="9" t="s">
        <v>7</v>
      </c>
      <c r="C27" s="10"/>
      <c r="G27" s="13" t="s">
        <v>14</v>
      </c>
      <c r="H27" s="6">
        <f>H21+H23+H25</f>
        <v>9698.6263042016799</v>
      </c>
    </row>
    <row r="28" spans="1:8" ht="15.75" thickBot="1" x14ac:dyDescent="0.3">
      <c r="A28" s="16"/>
      <c r="B28" s="14"/>
      <c r="C28" s="7"/>
    </row>
    <row r="29" spans="1:8" x14ac:dyDescent="0.25">
      <c r="E29" t="s">
        <v>151</v>
      </c>
      <c r="H29" s="20">
        <f>H27*0.5</f>
        <v>4849.3131521008399</v>
      </c>
    </row>
    <row r="30" spans="1:8" ht="15.75" x14ac:dyDescent="0.25">
      <c r="A30" t="s">
        <v>10</v>
      </c>
      <c r="C30" s="10">
        <f>C21-C23-C25-C27</f>
        <v>15451.88662184874</v>
      </c>
      <c r="H30" s="18"/>
    </row>
    <row r="31" spans="1:8" x14ac:dyDescent="0.25">
      <c r="H31" s="3"/>
    </row>
    <row r="32" spans="1:8" x14ac:dyDescent="0.25">
      <c r="H32" s="18"/>
    </row>
  </sheetData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5A2C7-7912-47F9-9318-B77710664EE4}">
  <dimension ref="A1:H32"/>
  <sheetViews>
    <sheetView workbookViewId="0">
      <selection sqref="A1:XFD1048576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534</v>
      </c>
    </row>
    <row r="3" spans="1:8" ht="21" x14ac:dyDescent="0.35">
      <c r="A3" s="2" t="s">
        <v>1</v>
      </c>
      <c r="D3" s="11">
        <v>79730</v>
      </c>
      <c r="F3" s="12" t="s">
        <v>3</v>
      </c>
      <c r="H3" s="4">
        <f>(D3/1.19)*0.19</f>
        <v>12730</v>
      </c>
    </row>
    <row r="4" spans="1:8" x14ac:dyDescent="0.25">
      <c r="A4" s="13" t="s">
        <v>32</v>
      </c>
      <c r="C4" s="26">
        <v>784</v>
      </c>
    </row>
    <row r="5" spans="1:8" ht="21" x14ac:dyDescent="0.35">
      <c r="A5" s="2" t="s">
        <v>2</v>
      </c>
    </row>
    <row r="7" spans="1:8" ht="18.75" x14ac:dyDescent="0.3">
      <c r="A7" s="5" t="s">
        <v>221</v>
      </c>
      <c r="D7" s="4">
        <v>48810</v>
      </c>
      <c r="E7" s="25"/>
      <c r="H7" s="4">
        <f>(D7/1.19)*0.19</f>
        <v>7793.1932773109247</v>
      </c>
    </row>
    <row r="8" spans="1:8" ht="18.75" x14ac:dyDescent="0.3">
      <c r="A8" s="5"/>
      <c r="C8" s="3"/>
      <c r="D8" s="32"/>
      <c r="E8" s="25"/>
      <c r="H8" s="4"/>
    </row>
    <row r="9" spans="1:8" ht="18.75" x14ac:dyDescent="0.3">
      <c r="A9" s="5"/>
      <c r="C9" s="3"/>
      <c r="D9" s="28"/>
      <c r="E9" s="25"/>
      <c r="H9" s="4"/>
    </row>
    <row r="10" spans="1:8" ht="18.75" x14ac:dyDescent="0.3">
      <c r="A10" s="5"/>
      <c r="C10" s="3"/>
      <c r="D10" s="28"/>
      <c r="E10" s="25"/>
      <c r="H10" s="4"/>
    </row>
    <row r="11" spans="1:8" ht="19.5" thickBot="1" x14ac:dyDescent="0.35">
      <c r="A11" s="5"/>
      <c r="C11" s="3"/>
      <c r="D11" s="22"/>
      <c r="E11" s="25"/>
      <c r="H11" s="22"/>
    </row>
    <row r="12" spans="1:8" ht="18.75" customHeight="1" x14ac:dyDescent="0.3">
      <c r="D12" s="4">
        <f>SUM(D7:D11)</f>
        <v>48810</v>
      </c>
      <c r="H12" s="4">
        <f>SUM(H7:H11)</f>
        <v>7793.1932773109247</v>
      </c>
    </row>
    <row r="13" spans="1:8" ht="18.75" x14ac:dyDescent="0.3">
      <c r="A13" s="5"/>
      <c r="C13" s="3"/>
      <c r="D13" s="4"/>
      <c r="H13" s="4"/>
    </row>
    <row r="15" spans="1:8" ht="18.75" x14ac:dyDescent="0.3">
      <c r="A15" s="5"/>
      <c r="C15" s="3"/>
      <c r="D15" s="4"/>
      <c r="H15" s="4"/>
    </row>
    <row r="16" spans="1:8" ht="15.75" thickBot="1" x14ac:dyDescent="0.3">
      <c r="D16" s="7"/>
      <c r="H16" s="7"/>
    </row>
    <row r="18" spans="1:8" ht="18.75" x14ac:dyDescent="0.3">
      <c r="C18" t="s">
        <v>4</v>
      </c>
      <c r="D18" s="4">
        <f>D3-D12</f>
        <v>30920</v>
      </c>
      <c r="G18" t="s">
        <v>5</v>
      </c>
      <c r="H18" s="4">
        <f>H3-H12</f>
        <v>4936.8067226890753</v>
      </c>
    </row>
    <row r="21" spans="1:8" ht="15.75" x14ac:dyDescent="0.25">
      <c r="A21" t="s">
        <v>6</v>
      </c>
      <c r="C21" s="8">
        <f>D18</f>
        <v>30920</v>
      </c>
      <c r="E21" t="s">
        <v>10</v>
      </c>
      <c r="H21" s="6">
        <f>C30</f>
        <v>25664.273277310927</v>
      </c>
    </row>
    <row r="23" spans="1:8" ht="15.75" x14ac:dyDescent="0.25">
      <c r="A23" t="s">
        <v>5</v>
      </c>
      <c r="B23" s="9" t="s">
        <v>7</v>
      </c>
      <c r="C23" s="8">
        <f>H18</f>
        <v>4936.8067226890753</v>
      </c>
      <c r="E23" s="13" t="s">
        <v>11</v>
      </c>
      <c r="F23" s="9" t="s">
        <v>181</v>
      </c>
      <c r="G23" s="15" t="s">
        <v>17</v>
      </c>
      <c r="H23" s="3">
        <f>-(F24*0.007)</f>
        <v>-469</v>
      </c>
    </row>
    <row r="24" spans="1:8" x14ac:dyDescent="0.25">
      <c r="F24" s="21">
        <f>D3-H3</f>
        <v>67000</v>
      </c>
    </row>
    <row r="25" spans="1:8" ht="15.75" x14ac:dyDescent="0.25">
      <c r="A25" t="s">
        <v>8</v>
      </c>
      <c r="B25" s="9" t="s">
        <v>7</v>
      </c>
      <c r="C25" s="8">
        <f>D3*0.004</f>
        <v>318.92</v>
      </c>
      <c r="F25" s="9" t="s">
        <v>13</v>
      </c>
      <c r="G25" s="16">
        <v>0.35</v>
      </c>
      <c r="H25" s="29">
        <f>-(F26*0.35)</f>
        <v>-8982.495647058824</v>
      </c>
    </row>
    <row r="26" spans="1:8" ht="15.75" thickBot="1" x14ac:dyDescent="0.3">
      <c r="F26" s="21">
        <f>H21</f>
        <v>25664.273277310927</v>
      </c>
      <c r="H26" s="7"/>
    </row>
    <row r="27" spans="1:8" ht="15.75" x14ac:dyDescent="0.25">
      <c r="A27" t="s">
        <v>9</v>
      </c>
      <c r="B27" s="9" t="s">
        <v>7</v>
      </c>
      <c r="C27" s="10"/>
      <c r="G27" s="13" t="s">
        <v>14</v>
      </c>
      <c r="H27" s="6">
        <f>H21+H23+H25</f>
        <v>16212.777630252103</v>
      </c>
    </row>
    <row r="28" spans="1:8" ht="15.75" thickBot="1" x14ac:dyDescent="0.3">
      <c r="A28" s="16"/>
      <c r="B28" s="14"/>
      <c r="C28" s="7"/>
    </row>
    <row r="29" spans="1:8" x14ac:dyDescent="0.25">
      <c r="E29" t="s">
        <v>151</v>
      </c>
      <c r="H29" s="20">
        <f>H27*0.5</f>
        <v>8106.3888151260517</v>
      </c>
    </row>
    <row r="30" spans="1:8" ht="15.75" x14ac:dyDescent="0.25">
      <c r="A30" t="s">
        <v>10</v>
      </c>
      <c r="C30" s="10">
        <f>C21-C23-C25-C27</f>
        <v>25664.273277310927</v>
      </c>
      <c r="H30" s="18"/>
    </row>
    <row r="31" spans="1:8" x14ac:dyDescent="0.25">
      <c r="H31" s="3"/>
    </row>
    <row r="32" spans="1:8" x14ac:dyDescent="0.25">
      <c r="H32" s="18"/>
    </row>
  </sheetData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3E41D-7027-47A7-BD98-76F76FAC16CF}">
  <dimension ref="A1:H32"/>
  <sheetViews>
    <sheetView workbookViewId="0">
      <selection sqref="A1:XFD1048576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501</v>
      </c>
    </row>
    <row r="3" spans="1:8" ht="21" x14ac:dyDescent="0.35">
      <c r="A3" s="2" t="s">
        <v>1</v>
      </c>
      <c r="D3" s="11">
        <v>686154</v>
      </c>
      <c r="F3" s="12" t="s">
        <v>3</v>
      </c>
      <c r="H3" s="4">
        <f>(D3/1.19)*0.19</f>
        <v>109554</v>
      </c>
    </row>
    <row r="4" spans="1:8" x14ac:dyDescent="0.25">
      <c r="A4" s="13" t="s">
        <v>32</v>
      </c>
      <c r="C4" s="26">
        <v>787</v>
      </c>
    </row>
    <row r="5" spans="1:8" ht="21" x14ac:dyDescent="0.35">
      <c r="A5" s="2" t="s">
        <v>2</v>
      </c>
    </row>
    <row r="7" spans="1:8" ht="18.75" x14ac:dyDescent="0.3">
      <c r="A7" s="5" t="s">
        <v>221</v>
      </c>
      <c r="D7" s="4">
        <v>502570</v>
      </c>
      <c r="E7" s="25"/>
      <c r="H7" s="4">
        <f>(D7/1.19)*0.19</f>
        <v>80242.268907563033</v>
      </c>
    </row>
    <row r="8" spans="1:8" ht="18.75" x14ac:dyDescent="0.3">
      <c r="A8" s="5"/>
      <c r="C8" s="3"/>
      <c r="D8" s="32"/>
      <c r="E8" s="25"/>
      <c r="H8" s="4"/>
    </row>
    <row r="9" spans="1:8" ht="18.75" x14ac:dyDescent="0.3">
      <c r="A9" s="5"/>
      <c r="C9" s="3"/>
      <c r="D9" s="28"/>
      <c r="E9" s="25"/>
      <c r="H9" s="4"/>
    </row>
    <row r="10" spans="1:8" ht="18.75" x14ac:dyDescent="0.3">
      <c r="A10" s="5"/>
      <c r="C10" s="3"/>
      <c r="D10" s="28"/>
      <c r="E10" s="25"/>
      <c r="H10" s="4"/>
    </row>
    <row r="11" spans="1:8" ht="19.5" thickBot="1" x14ac:dyDescent="0.35">
      <c r="A11" s="5"/>
      <c r="C11" s="3"/>
      <c r="D11" s="22"/>
      <c r="E11" s="25"/>
      <c r="H11" s="22"/>
    </row>
    <row r="12" spans="1:8" ht="18.75" customHeight="1" x14ac:dyDescent="0.3">
      <c r="D12" s="4">
        <f>SUM(D7:D11)</f>
        <v>502570</v>
      </c>
      <c r="H12" s="4">
        <f>SUM(H7:H11)</f>
        <v>80242.268907563033</v>
      </c>
    </row>
    <row r="13" spans="1:8" ht="18.75" x14ac:dyDescent="0.3">
      <c r="A13" s="5"/>
      <c r="C13" s="3"/>
      <c r="D13" s="4"/>
      <c r="H13" s="4"/>
    </row>
    <row r="15" spans="1:8" ht="18.75" x14ac:dyDescent="0.3">
      <c r="A15" s="5"/>
      <c r="C15" s="3"/>
      <c r="D15" s="4"/>
      <c r="H15" s="4"/>
    </row>
    <row r="16" spans="1:8" ht="15.75" thickBot="1" x14ac:dyDescent="0.3">
      <c r="D16" s="7"/>
      <c r="H16" s="7"/>
    </row>
    <row r="18" spans="1:8" ht="18.75" x14ac:dyDescent="0.3">
      <c r="C18" t="s">
        <v>4</v>
      </c>
      <c r="D18" s="4">
        <f>D3-D12</f>
        <v>183584</v>
      </c>
      <c r="G18" t="s">
        <v>5</v>
      </c>
      <c r="H18" s="4">
        <f>H3-H12</f>
        <v>29311.731092436967</v>
      </c>
    </row>
    <row r="21" spans="1:8" ht="15.75" x14ac:dyDescent="0.25">
      <c r="A21" t="s">
        <v>6</v>
      </c>
      <c r="C21" s="8">
        <f>D18</f>
        <v>183584</v>
      </c>
      <c r="E21" t="s">
        <v>10</v>
      </c>
      <c r="H21" s="6">
        <f>C30</f>
        <v>151527.65290756302</v>
      </c>
    </row>
    <row r="23" spans="1:8" ht="15.75" x14ac:dyDescent="0.25">
      <c r="A23" t="s">
        <v>5</v>
      </c>
      <c r="B23" s="9" t="s">
        <v>7</v>
      </c>
      <c r="C23" s="8">
        <f>H18</f>
        <v>29311.731092436967</v>
      </c>
      <c r="E23" s="13" t="s">
        <v>11</v>
      </c>
      <c r="F23" s="9" t="s">
        <v>181</v>
      </c>
      <c r="G23" s="15" t="s">
        <v>17</v>
      </c>
      <c r="H23" s="3">
        <f>-(F24*0.007)</f>
        <v>-4036.2000000000003</v>
      </c>
    </row>
    <row r="24" spans="1:8" x14ac:dyDescent="0.25">
      <c r="F24" s="21">
        <f>D3-H3</f>
        <v>576600</v>
      </c>
    </row>
    <row r="25" spans="1:8" ht="15.75" x14ac:dyDescent="0.25">
      <c r="A25" t="s">
        <v>8</v>
      </c>
      <c r="B25" s="9" t="s">
        <v>7</v>
      </c>
      <c r="C25" s="8">
        <f>D3*0.004</f>
        <v>2744.616</v>
      </c>
      <c r="F25" s="9" t="s">
        <v>13</v>
      </c>
      <c r="G25" s="16">
        <v>0.35</v>
      </c>
      <c r="H25" s="29">
        <f>-(F26*0.35)</f>
        <v>-53034.678517647058</v>
      </c>
    </row>
    <row r="26" spans="1:8" ht="15.75" thickBot="1" x14ac:dyDescent="0.3">
      <c r="F26" s="21">
        <f>H21</f>
        <v>151527.65290756302</v>
      </c>
      <c r="H26" s="7"/>
    </row>
    <row r="27" spans="1:8" ht="15.75" x14ac:dyDescent="0.25">
      <c r="A27" t="s">
        <v>9</v>
      </c>
      <c r="B27" s="9" t="s">
        <v>7</v>
      </c>
      <c r="C27" s="10"/>
      <c r="G27" s="13" t="s">
        <v>14</v>
      </c>
      <c r="H27" s="6">
        <f>H21+H23+H25</f>
        <v>94456.774389915954</v>
      </c>
    </row>
    <row r="28" spans="1:8" ht="15.75" thickBot="1" x14ac:dyDescent="0.3">
      <c r="A28" s="16"/>
      <c r="B28" s="14"/>
      <c r="C28" s="7"/>
    </row>
    <row r="29" spans="1:8" x14ac:dyDescent="0.25">
      <c r="E29" t="s">
        <v>151</v>
      </c>
      <c r="H29" s="20">
        <f>H27*0.5</f>
        <v>47228.387194957977</v>
      </c>
    </row>
    <row r="30" spans="1:8" ht="15.75" x14ac:dyDescent="0.25">
      <c r="A30" t="s">
        <v>10</v>
      </c>
      <c r="C30" s="10">
        <f>C21-C23-C25-C27</f>
        <v>151527.65290756302</v>
      </c>
      <c r="H30" s="18"/>
    </row>
    <row r="31" spans="1:8" x14ac:dyDescent="0.25">
      <c r="H31" s="3"/>
    </row>
    <row r="32" spans="1:8" x14ac:dyDescent="0.25">
      <c r="H32" s="18"/>
    </row>
  </sheetData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04498-A207-42D6-89A8-6F0A39E9CCCF}">
  <dimension ref="A1:H32"/>
  <sheetViews>
    <sheetView workbookViewId="0">
      <selection sqref="A1:XFD1048576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593</v>
      </c>
    </row>
    <row r="3" spans="1:8" ht="21" x14ac:dyDescent="0.35">
      <c r="A3" s="2" t="s">
        <v>1</v>
      </c>
      <c r="D3" s="11">
        <v>547876</v>
      </c>
      <c r="F3" s="12" t="s">
        <v>3</v>
      </c>
      <c r="H3" s="4">
        <f>(D3/1.19)*0.19</f>
        <v>87476</v>
      </c>
    </row>
    <row r="4" spans="1:8" x14ac:dyDescent="0.25">
      <c r="A4" s="13" t="s">
        <v>32</v>
      </c>
      <c r="C4" s="26">
        <v>788</v>
      </c>
    </row>
    <row r="5" spans="1:8" ht="21" x14ac:dyDescent="0.35">
      <c r="A5" s="2" t="s">
        <v>2</v>
      </c>
    </row>
    <row r="7" spans="1:8" ht="18.75" x14ac:dyDescent="0.3">
      <c r="A7" s="5" t="s">
        <v>221</v>
      </c>
      <c r="D7" s="4">
        <v>345325</v>
      </c>
      <c r="E7" s="25"/>
      <c r="H7" s="4">
        <f>(D7/1.19)*0.19</f>
        <v>55135.924369747903</v>
      </c>
    </row>
    <row r="8" spans="1:8" ht="18.75" x14ac:dyDescent="0.3">
      <c r="A8" s="5" t="s">
        <v>141</v>
      </c>
      <c r="C8" s="3"/>
      <c r="D8" s="32">
        <v>40000</v>
      </c>
      <c r="E8" s="25"/>
      <c r="H8" s="4"/>
    </row>
    <row r="9" spans="1:8" ht="18.75" x14ac:dyDescent="0.3">
      <c r="A9" s="5"/>
      <c r="C9" s="3"/>
      <c r="D9" s="28"/>
      <c r="E9" s="25"/>
      <c r="H9" s="4"/>
    </row>
    <row r="10" spans="1:8" ht="18.75" x14ac:dyDescent="0.3">
      <c r="A10" s="5"/>
      <c r="C10" s="3"/>
      <c r="D10" s="28"/>
      <c r="E10" s="25"/>
      <c r="H10" s="4"/>
    </row>
    <row r="11" spans="1:8" ht="19.5" thickBot="1" x14ac:dyDescent="0.35">
      <c r="A11" s="5"/>
      <c r="C11" s="3"/>
      <c r="D11" s="22"/>
      <c r="E11" s="25"/>
      <c r="H11" s="22"/>
    </row>
    <row r="12" spans="1:8" ht="18.75" customHeight="1" x14ac:dyDescent="0.3">
      <c r="D12" s="4">
        <f>SUM(D7:D11)</f>
        <v>385325</v>
      </c>
      <c r="H12" s="4">
        <f>SUM(H7:H11)</f>
        <v>55135.924369747903</v>
      </c>
    </row>
    <row r="13" spans="1:8" ht="18.75" x14ac:dyDescent="0.3">
      <c r="A13" s="5"/>
      <c r="C13" s="3"/>
      <c r="D13" s="4"/>
      <c r="H13" s="4"/>
    </row>
    <row r="15" spans="1:8" ht="18.75" x14ac:dyDescent="0.3">
      <c r="A15" s="5"/>
      <c r="C15" s="3"/>
      <c r="D15" s="4"/>
      <c r="H15" s="4"/>
    </row>
    <row r="16" spans="1:8" ht="15.75" thickBot="1" x14ac:dyDescent="0.3">
      <c r="D16" s="7"/>
      <c r="H16" s="7"/>
    </row>
    <row r="18" spans="1:8" ht="18.75" x14ac:dyDescent="0.3">
      <c r="C18" t="s">
        <v>4</v>
      </c>
      <c r="D18" s="4">
        <f>D3-D12</f>
        <v>162551</v>
      </c>
      <c r="G18" t="s">
        <v>5</v>
      </c>
      <c r="H18" s="4">
        <f>H3-H12</f>
        <v>32340.075630252097</v>
      </c>
    </row>
    <row r="21" spans="1:8" ht="15.75" x14ac:dyDescent="0.25">
      <c r="A21" t="s">
        <v>6</v>
      </c>
      <c r="C21" s="8">
        <f>D18</f>
        <v>162551</v>
      </c>
      <c r="E21" t="s">
        <v>10</v>
      </c>
      <c r="H21" s="6">
        <f>C30</f>
        <v>128019.4203697479</v>
      </c>
    </row>
    <row r="23" spans="1:8" ht="15.75" x14ac:dyDescent="0.25">
      <c r="A23" t="s">
        <v>5</v>
      </c>
      <c r="B23" s="9" t="s">
        <v>7</v>
      </c>
      <c r="C23" s="8">
        <f>H18</f>
        <v>32340.075630252097</v>
      </c>
      <c r="E23" s="13" t="s">
        <v>11</v>
      </c>
      <c r="F23" s="9" t="s">
        <v>181</v>
      </c>
      <c r="G23" s="15" t="s">
        <v>17</v>
      </c>
      <c r="H23" s="3">
        <f>-(F24*0.007)</f>
        <v>-3222.8</v>
      </c>
    </row>
    <row r="24" spans="1:8" x14ac:dyDescent="0.25">
      <c r="F24" s="21">
        <f>D3-H3</f>
        <v>460400</v>
      </c>
    </row>
    <row r="25" spans="1:8" ht="15.75" x14ac:dyDescent="0.25">
      <c r="A25" t="s">
        <v>8</v>
      </c>
      <c r="B25" s="9" t="s">
        <v>7</v>
      </c>
      <c r="C25" s="8">
        <f>D3*0.004</f>
        <v>2191.5039999999999</v>
      </c>
      <c r="F25" s="9" t="s">
        <v>13</v>
      </c>
      <c r="G25" s="16">
        <v>0.35</v>
      </c>
      <c r="H25" s="29">
        <f>-(F26*0.35)</f>
        <v>-44806.79712941176</v>
      </c>
    </row>
    <row r="26" spans="1:8" ht="15.75" thickBot="1" x14ac:dyDescent="0.3">
      <c r="F26" s="21">
        <f>H21</f>
        <v>128019.4203697479</v>
      </c>
      <c r="H26" s="7"/>
    </row>
    <row r="27" spans="1:8" ht="15.75" x14ac:dyDescent="0.25">
      <c r="A27" t="s">
        <v>9</v>
      </c>
      <c r="B27" s="9" t="s">
        <v>7</v>
      </c>
      <c r="C27" s="10"/>
      <c r="G27" s="13" t="s">
        <v>14</v>
      </c>
      <c r="H27" s="6">
        <f>H21+H23+H25</f>
        <v>79989.823240336133</v>
      </c>
    </row>
    <row r="28" spans="1:8" ht="15.75" thickBot="1" x14ac:dyDescent="0.3">
      <c r="A28" s="16"/>
      <c r="B28" s="14"/>
      <c r="C28" s="7"/>
    </row>
    <row r="29" spans="1:8" x14ac:dyDescent="0.25">
      <c r="E29" t="s">
        <v>151</v>
      </c>
      <c r="H29" s="20">
        <f>H27*0.5</f>
        <v>39994.911620168066</v>
      </c>
    </row>
    <row r="30" spans="1:8" ht="15.75" x14ac:dyDescent="0.25">
      <c r="A30" t="s">
        <v>10</v>
      </c>
      <c r="C30" s="10">
        <f>C21-C23-C25-C27</f>
        <v>128019.4203697479</v>
      </c>
      <c r="H30" s="18"/>
    </row>
    <row r="31" spans="1:8" x14ac:dyDescent="0.25">
      <c r="H31" s="3"/>
    </row>
    <row r="32" spans="1:8" x14ac:dyDescent="0.25">
      <c r="H32" s="18"/>
    </row>
  </sheetData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41AB4-940C-4A21-8894-018378DD8650}">
  <dimension ref="A1:H32"/>
  <sheetViews>
    <sheetView workbookViewId="0">
      <selection sqref="A1:XFD1048576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594</v>
      </c>
    </row>
    <row r="3" spans="1:8" ht="21" x14ac:dyDescent="0.35">
      <c r="A3" s="2" t="s">
        <v>1</v>
      </c>
      <c r="D3" s="11">
        <v>59500</v>
      </c>
      <c r="F3" s="12" t="s">
        <v>3</v>
      </c>
      <c r="H3" s="4">
        <f>(D3/1.19)*0.19</f>
        <v>9500</v>
      </c>
    </row>
    <row r="4" spans="1:8" x14ac:dyDescent="0.25">
      <c r="A4" s="13" t="s">
        <v>32</v>
      </c>
      <c r="C4" s="26">
        <v>790</v>
      </c>
    </row>
    <row r="5" spans="1:8" ht="21" x14ac:dyDescent="0.35">
      <c r="A5" s="2" t="s">
        <v>2</v>
      </c>
    </row>
    <row r="7" spans="1:8" ht="18.75" x14ac:dyDescent="0.3">
      <c r="A7" s="5" t="s">
        <v>221</v>
      </c>
      <c r="D7" s="4">
        <v>30420</v>
      </c>
      <c r="E7" s="25"/>
      <c r="H7" s="4">
        <f>(D7/1.19)*0.19</f>
        <v>4856.9747899159665</v>
      </c>
    </row>
    <row r="8" spans="1:8" ht="18.75" x14ac:dyDescent="0.3">
      <c r="A8" s="5"/>
      <c r="C8" s="3"/>
      <c r="D8" s="32"/>
      <c r="E8" s="25"/>
      <c r="H8" s="4"/>
    </row>
    <row r="9" spans="1:8" ht="18.75" x14ac:dyDescent="0.3">
      <c r="A9" s="5"/>
      <c r="C9" s="3"/>
      <c r="D9" s="28"/>
      <c r="E9" s="25"/>
      <c r="H9" s="4"/>
    </row>
    <row r="10" spans="1:8" ht="18.75" x14ac:dyDescent="0.3">
      <c r="A10" s="5"/>
      <c r="C10" s="3"/>
      <c r="D10" s="28"/>
      <c r="E10" s="25"/>
      <c r="H10" s="4"/>
    </row>
    <row r="11" spans="1:8" ht="19.5" thickBot="1" x14ac:dyDescent="0.35">
      <c r="A11" s="5"/>
      <c r="C11" s="3"/>
      <c r="D11" s="22"/>
      <c r="E11" s="25"/>
      <c r="H11" s="22"/>
    </row>
    <row r="12" spans="1:8" ht="18.75" customHeight="1" x14ac:dyDescent="0.3">
      <c r="D12" s="4">
        <f>SUM(D7:D11)</f>
        <v>30420</v>
      </c>
      <c r="H12" s="4">
        <f>SUM(H7:H11)</f>
        <v>4856.9747899159665</v>
      </c>
    </row>
    <row r="13" spans="1:8" ht="18.75" x14ac:dyDescent="0.3">
      <c r="A13" s="5"/>
      <c r="C13" s="3"/>
      <c r="D13" s="4"/>
      <c r="H13" s="4"/>
    </row>
    <row r="15" spans="1:8" ht="18.75" x14ac:dyDescent="0.3">
      <c r="A15" s="5"/>
      <c r="C15" s="3"/>
      <c r="D15" s="4"/>
      <c r="H15" s="4"/>
    </row>
    <row r="16" spans="1:8" ht="15.75" thickBot="1" x14ac:dyDescent="0.3">
      <c r="D16" s="7"/>
      <c r="H16" s="7"/>
    </row>
    <row r="18" spans="1:8" ht="18.75" x14ac:dyDescent="0.3">
      <c r="C18" t="s">
        <v>4</v>
      </c>
      <c r="D18" s="4">
        <f>D3-D12</f>
        <v>29080</v>
      </c>
      <c r="G18" t="s">
        <v>5</v>
      </c>
      <c r="H18" s="4">
        <f>H3-H12</f>
        <v>4643.0252100840335</v>
      </c>
    </row>
    <row r="21" spans="1:8" ht="15.75" x14ac:dyDescent="0.25">
      <c r="A21" t="s">
        <v>6</v>
      </c>
      <c r="C21" s="8">
        <f>D18</f>
        <v>29080</v>
      </c>
      <c r="E21" t="s">
        <v>10</v>
      </c>
      <c r="H21" s="6">
        <f>C30</f>
        <v>24198.974789915967</v>
      </c>
    </row>
    <row r="23" spans="1:8" ht="15.75" x14ac:dyDescent="0.25">
      <c r="A23" t="s">
        <v>5</v>
      </c>
      <c r="B23" s="9" t="s">
        <v>7</v>
      </c>
      <c r="C23" s="8">
        <f>H18</f>
        <v>4643.0252100840335</v>
      </c>
      <c r="E23" s="13" t="s">
        <v>11</v>
      </c>
      <c r="F23" s="9" t="s">
        <v>181</v>
      </c>
      <c r="G23" s="15" t="s">
        <v>17</v>
      </c>
      <c r="H23" s="3">
        <f>-(F24*0.007)</f>
        <v>-350</v>
      </c>
    </row>
    <row r="24" spans="1:8" x14ac:dyDescent="0.25">
      <c r="F24" s="21">
        <f>D3-H3</f>
        <v>50000</v>
      </c>
    </row>
    <row r="25" spans="1:8" ht="15.75" x14ac:dyDescent="0.25">
      <c r="A25" t="s">
        <v>8</v>
      </c>
      <c r="B25" s="9" t="s">
        <v>7</v>
      </c>
      <c r="C25" s="8">
        <f>D3*0.004</f>
        <v>238</v>
      </c>
      <c r="F25" s="9" t="s">
        <v>13</v>
      </c>
      <c r="G25" s="16">
        <v>0.35</v>
      </c>
      <c r="H25" s="29">
        <f>-(F26*0.35)</f>
        <v>-8469.6411764705881</v>
      </c>
    </row>
    <row r="26" spans="1:8" ht="15.75" thickBot="1" x14ac:dyDescent="0.3">
      <c r="F26" s="21">
        <f>H21</f>
        <v>24198.974789915967</v>
      </c>
      <c r="H26" s="7"/>
    </row>
    <row r="27" spans="1:8" ht="15.75" x14ac:dyDescent="0.25">
      <c r="A27" t="s">
        <v>9</v>
      </c>
      <c r="B27" s="9" t="s">
        <v>7</v>
      </c>
      <c r="C27" s="10"/>
      <c r="G27" s="13" t="s">
        <v>14</v>
      </c>
      <c r="H27" s="6">
        <f>H21+H23+H25</f>
        <v>15379.333613445378</v>
      </c>
    </row>
    <row r="28" spans="1:8" ht="15.75" thickBot="1" x14ac:dyDescent="0.3">
      <c r="A28" s="16"/>
      <c r="B28" s="14"/>
      <c r="C28" s="7"/>
    </row>
    <row r="29" spans="1:8" x14ac:dyDescent="0.25">
      <c r="E29" t="s">
        <v>151</v>
      </c>
      <c r="H29" s="20">
        <f>H27*0.5</f>
        <v>7689.6668067226892</v>
      </c>
    </row>
    <row r="30" spans="1:8" ht="15.75" x14ac:dyDescent="0.25">
      <c r="A30" t="s">
        <v>10</v>
      </c>
      <c r="C30" s="10">
        <f>C21-C23-C25-C27</f>
        <v>24198.974789915967</v>
      </c>
      <c r="H30" s="18"/>
    </row>
    <row r="31" spans="1:8" x14ac:dyDescent="0.25">
      <c r="H31" s="3"/>
    </row>
    <row r="32" spans="1:8" x14ac:dyDescent="0.25">
      <c r="H32" s="18"/>
    </row>
  </sheetData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8A53F-B917-4C0C-8712-C992C5F53DFA}">
  <dimension ref="A1:H32"/>
  <sheetViews>
    <sheetView workbookViewId="0">
      <selection activeCell="K14" sqref="K14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490</v>
      </c>
    </row>
    <row r="3" spans="1:8" ht="21" x14ac:dyDescent="0.35">
      <c r="A3" s="2" t="s">
        <v>1</v>
      </c>
      <c r="D3" s="11">
        <v>341530</v>
      </c>
      <c r="F3" s="12" t="s">
        <v>3</v>
      </c>
      <c r="H3" s="4">
        <f>(D3/1.19)*0.19</f>
        <v>54530</v>
      </c>
    </row>
    <row r="4" spans="1:8" x14ac:dyDescent="0.25">
      <c r="A4" s="13" t="s">
        <v>32</v>
      </c>
      <c r="C4" s="26">
        <v>791</v>
      </c>
    </row>
    <row r="5" spans="1:8" ht="21" x14ac:dyDescent="0.35">
      <c r="A5" s="2" t="s">
        <v>2</v>
      </c>
    </row>
    <row r="7" spans="1:8" ht="18.75" x14ac:dyDescent="0.3">
      <c r="A7" s="5" t="s">
        <v>595</v>
      </c>
      <c r="D7" s="4">
        <v>230860</v>
      </c>
      <c r="E7" s="25"/>
      <c r="H7" s="4">
        <f>(D7/1.19)*0.19</f>
        <v>36860</v>
      </c>
    </row>
    <row r="8" spans="1:8" ht="18.75" x14ac:dyDescent="0.3">
      <c r="A8" s="5"/>
      <c r="C8" s="3"/>
      <c r="D8" s="32"/>
      <c r="E8" s="25"/>
      <c r="H8" s="4"/>
    </row>
    <row r="9" spans="1:8" ht="18.75" x14ac:dyDescent="0.3">
      <c r="A9" s="5"/>
      <c r="C9" s="3"/>
      <c r="D9" s="28"/>
      <c r="E9" s="25"/>
      <c r="H9" s="4"/>
    </row>
    <row r="10" spans="1:8" ht="18.75" x14ac:dyDescent="0.3">
      <c r="A10" s="5"/>
      <c r="C10" s="3"/>
      <c r="D10" s="28"/>
      <c r="E10" s="25"/>
      <c r="H10" s="4"/>
    </row>
    <row r="11" spans="1:8" ht="19.5" thickBot="1" x14ac:dyDescent="0.35">
      <c r="A11" s="5"/>
      <c r="C11" s="3"/>
      <c r="D11" s="22"/>
      <c r="E11" s="25"/>
      <c r="H11" s="22"/>
    </row>
    <row r="12" spans="1:8" ht="18.75" customHeight="1" x14ac:dyDescent="0.3">
      <c r="D12" s="4">
        <f>SUM(D7:D11)</f>
        <v>230860</v>
      </c>
      <c r="H12" s="4">
        <f>SUM(H7:H11)</f>
        <v>36860</v>
      </c>
    </row>
    <row r="13" spans="1:8" ht="18.75" x14ac:dyDescent="0.3">
      <c r="A13" s="5"/>
      <c r="C13" s="3"/>
      <c r="D13" s="4"/>
      <c r="H13" s="4"/>
    </row>
    <row r="15" spans="1:8" ht="18.75" x14ac:dyDescent="0.3">
      <c r="A15" s="5"/>
      <c r="C15" s="3"/>
      <c r="D15" s="4"/>
      <c r="H15" s="4"/>
    </row>
    <row r="16" spans="1:8" ht="15.75" thickBot="1" x14ac:dyDescent="0.3">
      <c r="D16" s="7"/>
      <c r="H16" s="7"/>
    </row>
    <row r="18" spans="1:8" ht="18.75" x14ac:dyDescent="0.3">
      <c r="C18" t="s">
        <v>4</v>
      </c>
      <c r="D18" s="4">
        <f>D3-D12</f>
        <v>110670</v>
      </c>
      <c r="G18" t="s">
        <v>5</v>
      </c>
      <c r="H18" s="4">
        <f>H3-H12</f>
        <v>17670</v>
      </c>
    </row>
    <row r="21" spans="1:8" ht="15.75" x14ac:dyDescent="0.25">
      <c r="A21" t="s">
        <v>6</v>
      </c>
      <c r="C21" s="8">
        <f>D18</f>
        <v>110670</v>
      </c>
      <c r="E21" t="s">
        <v>10</v>
      </c>
      <c r="H21" s="6">
        <f>C30</f>
        <v>91633.88</v>
      </c>
    </row>
    <row r="23" spans="1:8" ht="15.75" x14ac:dyDescent="0.25">
      <c r="A23" t="s">
        <v>5</v>
      </c>
      <c r="B23" s="9" t="s">
        <v>7</v>
      </c>
      <c r="C23" s="8">
        <f>H18</f>
        <v>17670</v>
      </c>
      <c r="E23" s="13" t="s">
        <v>11</v>
      </c>
      <c r="F23" s="9" t="s">
        <v>181</v>
      </c>
      <c r="G23" s="15" t="s">
        <v>17</v>
      </c>
      <c r="H23" s="3">
        <f>-(F24*0.007)</f>
        <v>-2009</v>
      </c>
    </row>
    <row r="24" spans="1:8" x14ac:dyDescent="0.25">
      <c r="F24" s="21">
        <f>D3-H3</f>
        <v>287000</v>
      </c>
    </row>
    <row r="25" spans="1:8" ht="15.75" x14ac:dyDescent="0.25">
      <c r="A25" t="s">
        <v>8</v>
      </c>
      <c r="B25" s="9" t="s">
        <v>7</v>
      </c>
      <c r="C25" s="8">
        <f>D3*0.004</f>
        <v>1366.1200000000001</v>
      </c>
      <c r="F25" s="9" t="s">
        <v>13</v>
      </c>
      <c r="G25" s="16">
        <v>0.35</v>
      </c>
      <c r="H25" s="29">
        <f>-(F26*0.35)</f>
        <v>-32071.858</v>
      </c>
    </row>
    <row r="26" spans="1:8" ht="15.75" thickBot="1" x14ac:dyDescent="0.3">
      <c r="F26" s="21">
        <f>H21</f>
        <v>91633.88</v>
      </c>
      <c r="H26" s="7"/>
    </row>
    <row r="27" spans="1:8" ht="15.75" x14ac:dyDescent="0.25">
      <c r="A27" t="s">
        <v>9</v>
      </c>
      <c r="B27" s="9" t="s">
        <v>7</v>
      </c>
      <c r="C27" s="10"/>
      <c r="G27" s="13" t="s">
        <v>14</v>
      </c>
      <c r="H27" s="6">
        <f>H21+H23+H25</f>
        <v>57553.022000000004</v>
      </c>
    </row>
    <row r="28" spans="1:8" ht="15.75" thickBot="1" x14ac:dyDescent="0.3">
      <c r="A28" s="16"/>
      <c r="B28" s="14"/>
      <c r="C28" s="7"/>
    </row>
    <row r="29" spans="1:8" x14ac:dyDescent="0.25">
      <c r="E29" t="s">
        <v>151</v>
      </c>
      <c r="H29" s="20">
        <f>H27*0.5</f>
        <v>28776.511000000002</v>
      </c>
    </row>
    <row r="30" spans="1:8" ht="15.75" x14ac:dyDescent="0.25">
      <c r="A30" t="s">
        <v>10</v>
      </c>
      <c r="C30" s="10">
        <f>C21-C23-C25-C27</f>
        <v>91633.88</v>
      </c>
      <c r="H30" s="18"/>
    </row>
    <row r="31" spans="1:8" x14ac:dyDescent="0.25">
      <c r="H31" s="3"/>
    </row>
    <row r="32" spans="1:8" x14ac:dyDescent="0.25">
      <c r="H32" s="18"/>
    </row>
  </sheetData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5C05E-3789-49D8-85D1-5265033F0212}">
  <dimension ref="A1:H32"/>
  <sheetViews>
    <sheetView workbookViewId="0">
      <selection sqref="A1:XFD1048576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490</v>
      </c>
    </row>
    <row r="3" spans="1:8" ht="21" x14ac:dyDescent="0.35">
      <c r="A3" s="2" t="s">
        <v>1</v>
      </c>
      <c r="D3" s="11">
        <v>144585</v>
      </c>
      <c r="F3" s="12" t="s">
        <v>3</v>
      </c>
      <c r="H3" s="4">
        <f>(D3/1.19)*0.19</f>
        <v>23085</v>
      </c>
    </row>
    <row r="4" spans="1:8" x14ac:dyDescent="0.25">
      <c r="A4" s="13" t="s">
        <v>32</v>
      </c>
      <c r="C4" s="26">
        <v>792</v>
      </c>
    </row>
    <row r="5" spans="1:8" ht="21" x14ac:dyDescent="0.35">
      <c r="A5" s="2" t="s">
        <v>2</v>
      </c>
    </row>
    <row r="7" spans="1:8" ht="18.75" x14ac:dyDescent="0.3">
      <c r="A7" s="5" t="s">
        <v>595</v>
      </c>
      <c r="D7" s="4">
        <v>107100</v>
      </c>
      <c r="E7" s="25"/>
      <c r="H7" s="4">
        <f>(D7/1.19)*0.19</f>
        <v>17100</v>
      </c>
    </row>
    <row r="8" spans="1:8" ht="18.75" x14ac:dyDescent="0.3">
      <c r="A8" s="5"/>
      <c r="C8" s="3"/>
      <c r="D8" s="32"/>
      <c r="E8" s="25"/>
      <c r="H8" s="4"/>
    </row>
    <row r="9" spans="1:8" ht="18.75" x14ac:dyDescent="0.3">
      <c r="A9" s="5"/>
      <c r="C9" s="3"/>
      <c r="D9" s="28"/>
      <c r="E9" s="25"/>
      <c r="H9" s="4"/>
    </row>
    <row r="10" spans="1:8" ht="18.75" x14ac:dyDescent="0.3">
      <c r="A10" s="5"/>
      <c r="C10" s="3"/>
      <c r="D10" s="28"/>
      <c r="E10" s="25"/>
      <c r="H10" s="4"/>
    </row>
    <row r="11" spans="1:8" ht="19.5" thickBot="1" x14ac:dyDescent="0.35">
      <c r="A11" s="5"/>
      <c r="C11" s="3"/>
      <c r="D11" s="22"/>
      <c r="E11" s="25"/>
      <c r="H11" s="22"/>
    </row>
    <row r="12" spans="1:8" ht="18.75" customHeight="1" x14ac:dyDescent="0.3">
      <c r="D12" s="4">
        <f>SUM(D7:D11)</f>
        <v>107100</v>
      </c>
      <c r="H12" s="4">
        <f>SUM(H7:H11)</f>
        <v>17100</v>
      </c>
    </row>
    <row r="13" spans="1:8" ht="18.75" x14ac:dyDescent="0.3">
      <c r="A13" s="5"/>
      <c r="C13" s="3"/>
      <c r="D13" s="4"/>
      <c r="H13" s="4"/>
    </row>
    <row r="15" spans="1:8" ht="18.75" x14ac:dyDescent="0.3">
      <c r="A15" s="5"/>
      <c r="C15" s="3"/>
      <c r="D15" s="4"/>
      <c r="H15" s="4"/>
    </row>
    <row r="16" spans="1:8" ht="15.75" thickBot="1" x14ac:dyDescent="0.3">
      <c r="D16" s="7"/>
      <c r="H16" s="7"/>
    </row>
    <row r="18" spans="1:8" ht="18.75" x14ac:dyDescent="0.3">
      <c r="C18" t="s">
        <v>4</v>
      </c>
      <c r="D18" s="4">
        <f>D3-D12</f>
        <v>37485</v>
      </c>
      <c r="G18" t="s">
        <v>5</v>
      </c>
      <c r="H18" s="4">
        <f>H3-H12</f>
        <v>5985</v>
      </c>
    </row>
    <row r="21" spans="1:8" ht="15.75" x14ac:dyDescent="0.25">
      <c r="A21" t="s">
        <v>6</v>
      </c>
      <c r="C21" s="8">
        <f>D18</f>
        <v>37485</v>
      </c>
      <c r="E21" t="s">
        <v>10</v>
      </c>
      <c r="H21" s="6">
        <f>C30</f>
        <v>30921.66</v>
      </c>
    </row>
    <row r="23" spans="1:8" ht="15.75" x14ac:dyDescent="0.25">
      <c r="A23" t="s">
        <v>5</v>
      </c>
      <c r="B23" s="9" t="s">
        <v>7</v>
      </c>
      <c r="C23" s="8">
        <f>H18</f>
        <v>5985</v>
      </c>
      <c r="E23" s="13" t="s">
        <v>11</v>
      </c>
      <c r="F23" s="9" t="s">
        <v>181</v>
      </c>
      <c r="G23" s="15" t="s">
        <v>17</v>
      </c>
      <c r="H23" s="3">
        <f>-(F24*0.007)</f>
        <v>-850.5</v>
      </c>
    </row>
    <row r="24" spans="1:8" x14ac:dyDescent="0.25">
      <c r="F24" s="21">
        <f>D3-H3</f>
        <v>121500</v>
      </c>
    </row>
    <row r="25" spans="1:8" ht="15.75" x14ac:dyDescent="0.25">
      <c r="A25" t="s">
        <v>8</v>
      </c>
      <c r="B25" s="9" t="s">
        <v>7</v>
      </c>
      <c r="C25" s="8">
        <f>D3*0.004</f>
        <v>578.34</v>
      </c>
      <c r="F25" s="9" t="s">
        <v>13</v>
      </c>
      <c r="G25" s="16">
        <v>0.35</v>
      </c>
      <c r="H25" s="29">
        <f>-(F26*0.35)</f>
        <v>-10822.581</v>
      </c>
    </row>
    <row r="26" spans="1:8" ht="15.75" thickBot="1" x14ac:dyDescent="0.3">
      <c r="F26" s="21">
        <f>H21</f>
        <v>30921.66</v>
      </c>
      <c r="H26" s="7"/>
    </row>
    <row r="27" spans="1:8" ht="15.75" x14ac:dyDescent="0.25">
      <c r="A27" t="s">
        <v>9</v>
      </c>
      <c r="B27" s="9" t="s">
        <v>7</v>
      </c>
      <c r="C27" s="10"/>
      <c r="G27" s="13" t="s">
        <v>14</v>
      </c>
      <c r="H27" s="6">
        <f>H21+H23+H25</f>
        <v>19248.578999999998</v>
      </c>
    </row>
    <row r="28" spans="1:8" ht="15.75" thickBot="1" x14ac:dyDescent="0.3">
      <c r="A28" s="16"/>
      <c r="B28" s="14"/>
      <c r="C28" s="7"/>
    </row>
    <row r="29" spans="1:8" x14ac:dyDescent="0.25">
      <c r="E29" t="s">
        <v>151</v>
      </c>
      <c r="H29" s="20">
        <f>H27*0.5</f>
        <v>9624.289499999999</v>
      </c>
    </row>
    <row r="30" spans="1:8" ht="15.75" x14ac:dyDescent="0.25">
      <c r="A30" t="s">
        <v>10</v>
      </c>
      <c r="C30" s="10">
        <f>C21-C23-C25-C27</f>
        <v>30921.66</v>
      </c>
      <c r="H30" s="18"/>
    </row>
    <row r="31" spans="1:8" x14ac:dyDescent="0.25">
      <c r="H31" s="3"/>
    </row>
    <row r="32" spans="1:8" x14ac:dyDescent="0.25">
      <c r="H32" s="18"/>
    </row>
  </sheetData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A6C46-CF4D-4A4E-B9C3-5B0DF69C0BC1}">
  <dimension ref="A1:H32"/>
  <sheetViews>
    <sheetView workbookViewId="0">
      <selection sqref="A1:XFD1048576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490</v>
      </c>
    </row>
    <row r="3" spans="1:8" ht="21" x14ac:dyDescent="0.35">
      <c r="A3" s="2" t="s">
        <v>1</v>
      </c>
      <c r="D3" s="11">
        <v>108290</v>
      </c>
      <c r="F3" s="12" t="s">
        <v>3</v>
      </c>
      <c r="H3" s="4">
        <f>(D3/1.19)*0.19</f>
        <v>17290</v>
      </c>
    </row>
    <row r="4" spans="1:8" x14ac:dyDescent="0.25">
      <c r="A4" s="13" t="s">
        <v>32</v>
      </c>
      <c r="C4" s="26">
        <v>797</v>
      </c>
    </row>
    <row r="5" spans="1:8" ht="21" x14ac:dyDescent="0.35">
      <c r="A5" s="2" t="s">
        <v>2</v>
      </c>
    </row>
    <row r="7" spans="1:8" ht="18.75" x14ac:dyDescent="0.3">
      <c r="A7" s="5" t="s">
        <v>596</v>
      </c>
      <c r="D7" s="4">
        <v>64260</v>
      </c>
      <c r="E7" s="25"/>
      <c r="H7" s="4">
        <f>(D7/1.19)*0.19</f>
        <v>10260</v>
      </c>
    </row>
    <row r="8" spans="1:8" ht="18.75" x14ac:dyDescent="0.3">
      <c r="A8" s="5"/>
      <c r="C8" s="3"/>
      <c r="D8" s="32"/>
      <c r="E8" s="25"/>
      <c r="H8" s="4"/>
    </row>
    <row r="9" spans="1:8" ht="18.75" x14ac:dyDescent="0.3">
      <c r="A9" s="5"/>
      <c r="C9" s="3"/>
      <c r="D9" s="28"/>
      <c r="E9" s="25"/>
      <c r="H9" s="4"/>
    </row>
    <row r="10" spans="1:8" ht="18.75" x14ac:dyDescent="0.3">
      <c r="A10" s="5"/>
      <c r="C10" s="3"/>
      <c r="D10" s="28"/>
      <c r="E10" s="25"/>
      <c r="H10" s="4"/>
    </row>
    <row r="11" spans="1:8" ht="19.5" thickBot="1" x14ac:dyDescent="0.35">
      <c r="A11" s="5"/>
      <c r="C11" s="3"/>
      <c r="D11" s="22"/>
      <c r="E11" s="25"/>
      <c r="H11" s="22"/>
    </row>
    <row r="12" spans="1:8" ht="18.75" customHeight="1" x14ac:dyDescent="0.3">
      <c r="D12" s="4">
        <f>SUM(D7:D11)</f>
        <v>64260</v>
      </c>
      <c r="H12" s="4">
        <f>SUM(H7:H11)</f>
        <v>10260</v>
      </c>
    </row>
    <row r="13" spans="1:8" ht="18.75" x14ac:dyDescent="0.3">
      <c r="A13" s="5"/>
      <c r="C13" s="3"/>
      <c r="D13" s="4"/>
      <c r="H13" s="4"/>
    </row>
    <row r="15" spans="1:8" ht="18.75" x14ac:dyDescent="0.3">
      <c r="A15" s="5"/>
      <c r="C15" s="3"/>
      <c r="D15" s="4"/>
      <c r="H15" s="4"/>
    </row>
    <row r="16" spans="1:8" ht="15.75" thickBot="1" x14ac:dyDescent="0.3">
      <c r="D16" s="7"/>
      <c r="H16" s="7"/>
    </row>
    <row r="18" spans="1:8" ht="18.75" x14ac:dyDescent="0.3">
      <c r="C18" t="s">
        <v>4</v>
      </c>
      <c r="D18" s="4">
        <f>D3-D12</f>
        <v>44030</v>
      </c>
      <c r="G18" t="s">
        <v>5</v>
      </c>
      <c r="H18" s="4">
        <f>H3-H12</f>
        <v>7030</v>
      </c>
    </row>
    <row r="21" spans="1:8" ht="15.75" x14ac:dyDescent="0.25">
      <c r="A21" t="s">
        <v>6</v>
      </c>
      <c r="C21" s="8">
        <f>D18</f>
        <v>44030</v>
      </c>
      <c r="E21" t="s">
        <v>10</v>
      </c>
      <c r="H21" s="6">
        <f>C30</f>
        <v>36566.839999999997</v>
      </c>
    </row>
    <row r="23" spans="1:8" ht="15.75" x14ac:dyDescent="0.25">
      <c r="A23" t="s">
        <v>5</v>
      </c>
      <c r="B23" s="9" t="s">
        <v>7</v>
      </c>
      <c r="C23" s="8">
        <f>H18</f>
        <v>7030</v>
      </c>
      <c r="E23" s="13" t="s">
        <v>11</v>
      </c>
      <c r="F23" s="9" t="s">
        <v>181</v>
      </c>
      <c r="G23" s="15" t="s">
        <v>17</v>
      </c>
      <c r="H23" s="3">
        <f>-(F24*0.007)</f>
        <v>-637</v>
      </c>
    </row>
    <row r="24" spans="1:8" x14ac:dyDescent="0.25">
      <c r="F24" s="21">
        <f>D3-H3</f>
        <v>91000</v>
      </c>
    </row>
    <row r="25" spans="1:8" ht="15.75" x14ac:dyDescent="0.25">
      <c r="A25" t="s">
        <v>8</v>
      </c>
      <c r="B25" s="9" t="s">
        <v>7</v>
      </c>
      <c r="C25" s="8">
        <f>D3*0.004</f>
        <v>433.16</v>
      </c>
      <c r="F25" s="9" t="s">
        <v>13</v>
      </c>
      <c r="G25" s="16">
        <v>0.35</v>
      </c>
      <c r="H25" s="29">
        <f>-(F26*0.35)</f>
        <v>-12798.393999999998</v>
      </c>
    </row>
    <row r="26" spans="1:8" ht="15.75" thickBot="1" x14ac:dyDescent="0.3">
      <c r="F26" s="21">
        <f>H21</f>
        <v>36566.839999999997</v>
      </c>
      <c r="H26" s="7"/>
    </row>
    <row r="27" spans="1:8" ht="15.75" x14ac:dyDescent="0.25">
      <c r="A27" t="s">
        <v>9</v>
      </c>
      <c r="B27" s="9" t="s">
        <v>7</v>
      </c>
      <c r="C27" s="10"/>
      <c r="G27" s="13" t="s">
        <v>14</v>
      </c>
      <c r="H27" s="6">
        <f>H21+H23+H25</f>
        <v>23131.445999999996</v>
      </c>
    </row>
    <row r="28" spans="1:8" ht="15.75" thickBot="1" x14ac:dyDescent="0.3">
      <c r="A28" s="16"/>
      <c r="B28" s="14"/>
      <c r="C28" s="7"/>
    </row>
    <row r="29" spans="1:8" x14ac:dyDescent="0.25">
      <c r="E29" t="s">
        <v>151</v>
      </c>
      <c r="H29" s="20">
        <f>H27*0.5</f>
        <v>11565.722999999998</v>
      </c>
    </row>
    <row r="30" spans="1:8" ht="15.75" x14ac:dyDescent="0.25">
      <c r="A30" t="s">
        <v>10</v>
      </c>
      <c r="C30" s="10">
        <f>C21-C23-C25-C27</f>
        <v>36566.839999999997</v>
      </c>
      <c r="H30" s="18"/>
    </row>
    <row r="31" spans="1:8" x14ac:dyDescent="0.25">
      <c r="H31" s="3"/>
    </row>
    <row r="32" spans="1:8" x14ac:dyDescent="0.25">
      <c r="H32" s="18"/>
    </row>
  </sheetData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C601E-7983-45F0-B6B0-836CA9EEE80B}">
  <dimension ref="A1:H32"/>
  <sheetViews>
    <sheetView workbookViewId="0">
      <selection sqref="A1:XFD1048576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597</v>
      </c>
    </row>
    <row r="3" spans="1:8" ht="21" x14ac:dyDescent="0.35">
      <c r="A3" s="2" t="s">
        <v>1</v>
      </c>
      <c r="D3" s="11">
        <v>1631000</v>
      </c>
      <c r="F3" s="12" t="s">
        <v>3</v>
      </c>
      <c r="H3" s="4">
        <f>(D3/1.19)*0.19</f>
        <v>260411.76470588235</v>
      </c>
    </row>
    <row r="4" spans="1:8" x14ac:dyDescent="0.25">
      <c r="A4" s="13" t="s">
        <v>32</v>
      </c>
      <c r="C4" s="26">
        <v>798</v>
      </c>
    </row>
    <row r="5" spans="1:8" ht="21" x14ac:dyDescent="0.35">
      <c r="A5" s="2" t="s">
        <v>2</v>
      </c>
    </row>
    <row r="7" spans="1:8" ht="18.75" x14ac:dyDescent="0.3">
      <c r="A7" s="5" t="s">
        <v>89</v>
      </c>
      <c r="D7" s="4">
        <v>150000</v>
      </c>
      <c r="E7" s="25"/>
      <c r="H7" s="4">
        <v>0</v>
      </c>
    </row>
    <row r="8" spans="1:8" ht="18.75" x14ac:dyDescent="0.3">
      <c r="A8" s="5" t="s">
        <v>598</v>
      </c>
      <c r="C8" s="3"/>
      <c r="D8" s="32">
        <v>70000</v>
      </c>
      <c r="E8" s="25"/>
      <c r="H8" s="4">
        <v>0</v>
      </c>
    </row>
    <row r="9" spans="1:8" ht="18.75" x14ac:dyDescent="0.3">
      <c r="A9" s="5" t="s">
        <v>599</v>
      </c>
      <c r="C9" s="3"/>
      <c r="D9" s="28">
        <v>83300</v>
      </c>
      <c r="E9" s="25"/>
      <c r="H9" s="4">
        <f>(D9/1.19)*0.19</f>
        <v>13300</v>
      </c>
    </row>
    <row r="10" spans="1:8" ht="18.75" x14ac:dyDescent="0.3">
      <c r="A10" s="5" t="s">
        <v>479</v>
      </c>
      <c r="C10" s="3"/>
      <c r="D10" s="28">
        <v>1510</v>
      </c>
      <c r="E10" s="25"/>
      <c r="H10" s="4">
        <f>(D10/1.19)*0.19</f>
        <v>241.0924369747899</v>
      </c>
    </row>
    <row r="11" spans="1:8" ht="19.5" thickBot="1" x14ac:dyDescent="0.35">
      <c r="A11" s="5"/>
      <c r="C11" s="3"/>
      <c r="D11" s="22"/>
      <c r="E11" s="25"/>
      <c r="H11" s="22">
        <v>0</v>
      </c>
    </row>
    <row r="12" spans="1:8" ht="18.75" customHeight="1" x14ac:dyDescent="0.3">
      <c r="D12" s="4">
        <f>SUM(D7:D11)</f>
        <v>304810</v>
      </c>
      <c r="H12" s="4">
        <f>SUM(H7:H11)</f>
        <v>13541.09243697479</v>
      </c>
    </row>
    <row r="13" spans="1:8" ht="18.75" x14ac:dyDescent="0.3">
      <c r="A13" s="5"/>
      <c r="C13" s="3"/>
      <c r="D13" s="4"/>
      <c r="H13" s="4"/>
    </row>
    <row r="15" spans="1:8" ht="18.75" x14ac:dyDescent="0.3">
      <c r="A15" s="5"/>
      <c r="C15" s="3"/>
      <c r="D15" s="4"/>
      <c r="H15" s="4"/>
    </row>
    <row r="16" spans="1:8" ht="15.75" thickBot="1" x14ac:dyDescent="0.3">
      <c r="D16" s="7"/>
      <c r="H16" s="7"/>
    </row>
    <row r="18" spans="1:8" ht="18.75" x14ac:dyDescent="0.3">
      <c r="C18" t="s">
        <v>4</v>
      </c>
      <c r="D18" s="4">
        <f>D3-D12</f>
        <v>1326190</v>
      </c>
      <c r="G18" t="s">
        <v>5</v>
      </c>
      <c r="H18" s="4">
        <f>H3-H12</f>
        <v>246870.67226890757</v>
      </c>
    </row>
    <row r="21" spans="1:8" ht="15.75" x14ac:dyDescent="0.25">
      <c r="A21" t="s">
        <v>6</v>
      </c>
      <c r="C21" s="8">
        <f>D18</f>
        <v>1326190</v>
      </c>
      <c r="E21" t="s">
        <v>10</v>
      </c>
      <c r="H21" s="6">
        <f>C30</f>
        <v>1072795.3277310925</v>
      </c>
    </row>
    <row r="23" spans="1:8" ht="15.75" x14ac:dyDescent="0.25">
      <c r="A23" t="s">
        <v>5</v>
      </c>
      <c r="B23" s="9" t="s">
        <v>7</v>
      </c>
      <c r="C23" s="8">
        <f>H18</f>
        <v>246870.67226890757</v>
      </c>
      <c r="E23" s="13" t="s">
        <v>11</v>
      </c>
      <c r="F23" s="9" t="s">
        <v>181</v>
      </c>
      <c r="G23" s="15" t="s">
        <v>17</v>
      </c>
      <c r="H23" s="3">
        <f>-(F24*0.007)</f>
        <v>-9800</v>
      </c>
    </row>
    <row r="24" spans="1:8" x14ac:dyDescent="0.25">
      <c r="F24" s="21">
        <v>1400000</v>
      </c>
    </row>
    <row r="25" spans="1:8" ht="15.75" x14ac:dyDescent="0.25">
      <c r="A25" t="s">
        <v>8</v>
      </c>
      <c r="B25" s="9" t="s">
        <v>7</v>
      </c>
      <c r="C25" s="8">
        <f>D3*0.004</f>
        <v>6524</v>
      </c>
      <c r="F25" s="9" t="s">
        <v>13</v>
      </c>
      <c r="G25" s="16">
        <v>0.35</v>
      </c>
      <c r="H25" s="29">
        <f>-(F26*0.35)</f>
        <v>-375478.36470588233</v>
      </c>
    </row>
    <row r="26" spans="1:8" ht="15.75" thickBot="1" x14ac:dyDescent="0.3">
      <c r="F26" s="21">
        <f>H21</f>
        <v>1072795.3277310925</v>
      </c>
      <c r="H26" s="7"/>
    </row>
    <row r="27" spans="1:8" ht="15.75" x14ac:dyDescent="0.25">
      <c r="A27" t="s">
        <v>9</v>
      </c>
      <c r="B27" s="9" t="s">
        <v>7</v>
      </c>
      <c r="C27" s="10"/>
      <c r="G27" s="13" t="s">
        <v>14</v>
      </c>
      <c r="H27" s="6">
        <f>H21+H23+H25</f>
        <v>687516.96302521019</v>
      </c>
    </row>
    <row r="28" spans="1:8" ht="15.75" thickBot="1" x14ac:dyDescent="0.3">
      <c r="A28" s="16"/>
      <c r="B28" s="14"/>
      <c r="C28" s="7"/>
    </row>
    <row r="29" spans="1:8" x14ac:dyDescent="0.25">
      <c r="E29" t="s">
        <v>151</v>
      </c>
      <c r="H29" s="20">
        <f>H27*0.5</f>
        <v>343758.4815126051</v>
      </c>
    </row>
    <row r="30" spans="1:8" ht="15.75" x14ac:dyDescent="0.25">
      <c r="A30" t="s">
        <v>10</v>
      </c>
      <c r="C30" s="10">
        <f>C21-C23-C25-C27</f>
        <v>1072795.3277310925</v>
      </c>
      <c r="H30" s="18"/>
    </row>
    <row r="31" spans="1:8" x14ac:dyDescent="0.25">
      <c r="H31" s="3"/>
    </row>
    <row r="32" spans="1:8" x14ac:dyDescent="0.25">
      <c r="H32" s="18"/>
    </row>
  </sheetData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061A0-7412-40D0-9C5D-5291A2E1C7E4}">
  <dimension ref="A1:H32"/>
  <sheetViews>
    <sheetView workbookViewId="0">
      <selection sqref="A1:XFD1048576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568</v>
      </c>
    </row>
    <row r="3" spans="1:8" ht="21" x14ac:dyDescent="0.35">
      <c r="A3" s="2" t="s">
        <v>1</v>
      </c>
      <c r="D3" s="11">
        <v>377468</v>
      </c>
      <c r="F3" s="12" t="s">
        <v>3</v>
      </c>
      <c r="H3" s="4">
        <f>(D3/1.19)*0.19</f>
        <v>60268</v>
      </c>
    </row>
    <row r="4" spans="1:8" x14ac:dyDescent="0.25">
      <c r="A4" s="13" t="s">
        <v>32</v>
      </c>
      <c r="C4" s="26">
        <v>804</v>
      </c>
    </row>
    <row r="5" spans="1:8" ht="21" x14ac:dyDescent="0.35">
      <c r="A5" s="2" t="s">
        <v>2</v>
      </c>
    </row>
    <row r="7" spans="1:8" ht="18.75" x14ac:dyDescent="0.3">
      <c r="A7" s="5" t="s">
        <v>569</v>
      </c>
      <c r="D7" s="4">
        <v>218924.3</v>
      </c>
      <c r="E7" s="25"/>
      <c r="H7" s="4">
        <f t="shared" ref="H7:H8" si="0">(D7/1.19)*0.19</f>
        <v>34954.300000000003</v>
      </c>
    </row>
    <row r="8" spans="1:8" ht="18.75" x14ac:dyDescent="0.3">
      <c r="A8" s="5" t="s">
        <v>221</v>
      </c>
      <c r="C8" s="3"/>
      <c r="D8" s="32">
        <v>60860</v>
      </c>
      <c r="E8" s="25"/>
      <c r="H8" s="4">
        <f t="shared" si="0"/>
        <v>9717.1428571428569</v>
      </c>
    </row>
    <row r="9" spans="1:8" ht="18.75" x14ac:dyDescent="0.3">
      <c r="A9" s="5"/>
      <c r="C9" s="3"/>
      <c r="D9" s="28"/>
      <c r="E9" s="25"/>
      <c r="H9" s="4"/>
    </row>
    <row r="10" spans="1:8" ht="18.75" x14ac:dyDescent="0.3">
      <c r="A10" s="5"/>
      <c r="C10" s="3"/>
      <c r="D10" s="28"/>
      <c r="E10" s="25"/>
      <c r="H10" s="4"/>
    </row>
    <row r="11" spans="1:8" ht="19.5" thickBot="1" x14ac:dyDescent="0.35">
      <c r="A11" s="5"/>
      <c r="C11" s="3"/>
      <c r="D11" s="22"/>
      <c r="E11" s="25"/>
      <c r="H11" s="22">
        <v>0</v>
      </c>
    </row>
    <row r="12" spans="1:8" ht="18.75" customHeight="1" x14ac:dyDescent="0.3">
      <c r="D12" s="4">
        <f>SUM(D7:D11)</f>
        <v>279784.3</v>
      </c>
      <c r="H12" s="4">
        <f>SUM(H7:H11)</f>
        <v>44671.442857142858</v>
      </c>
    </row>
    <row r="13" spans="1:8" ht="18.75" x14ac:dyDescent="0.3">
      <c r="A13" s="5"/>
      <c r="C13" s="3"/>
      <c r="D13" s="4"/>
      <c r="H13" s="4"/>
    </row>
    <row r="15" spans="1:8" ht="18.75" x14ac:dyDescent="0.3">
      <c r="A15" s="5"/>
      <c r="C15" s="3"/>
      <c r="D15" s="4"/>
      <c r="H15" s="4"/>
    </row>
    <row r="16" spans="1:8" ht="15.75" thickBot="1" x14ac:dyDescent="0.3">
      <c r="D16" s="7"/>
      <c r="H16" s="7"/>
    </row>
    <row r="18" spans="1:8" ht="18.75" x14ac:dyDescent="0.3">
      <c r="C18" t="s">
        <v>4</v>
      </c>
      <c r="D18" s="4">
        <f>D3-D12</f>
        <v>97683.700000000012</v>
      </c>
      <c r="G18" t="s">
        <v>5</v>
      </c>
      <c r="H18" s="4">
        <f>H3-H12</f>
        <v>15596.557142857142</v>
      </c>
    </row>
    <row r="21" spans="1:8" ht="15.75" x14ac:dyDescent="0.25">
      <c r="A21" t="s">
        <v>6</v>
      </c>
      <c r="C21" s="8">
        <f>D18</f>
        <v>97683.700000000012</v>
      </c>
      <c r="E21" t="s">
        <v>10</v>
      </c>
      <c r="H21" s="6">
        <f>C30</f>
        <v>80577.270857142867</v>
      </c>
    </row>
    <row r="23" spans="1:8" ht="15.75" x14ac:dyDescent="0.25">
      <c r="A23" t="s">
        <v>5</v>
      </c>
      <c r="B23" s="9" t="s">
        <v>7</v>
      </c>
      <c r="C23" s="8">
        <f>H18</f>
        <v>15596.557142857142</v>
      </c>
      <c r="E23" s="13" t="s">
        <v>11</v>
      </c>
      <c r="F23" s="9" t="s">
        <v>181</v>
      </c>
      <c r="G23" s="15" t="s">
        <v>17</v>
      </c>
      <c r="H23" s="3">
        <f>-(F24*0.007)</f>
        <v>-2220.4</v>
      </c>
    </row>
    <row r="24" spans="1:8" x14ac:dyDescent="0.25">
      <c r="F24" s="21">
        <f>D3-H3</f>
        <v>317200</v>
      </c>
    </row>
    <row r="25" spans="1:8" ht="15.75" x14ac:dyDescent="0.25">
      <c r="A25" t="s">
        <v>8</v>
      </c>
      <c r="B25" s="9" t="s">
        <v>7</v>
      </c>
      <c r="C25" s="8">
        <f>D3*0.004</f>
        <v>1509.8720000000001</v>
      </c>
      <c r="F25" s="9" t="s">
        <v>13</v>
      </c>
      <c r="G25" s="16">
        <v>0.35</v>
      </c>
      <c r="H25" s="29">
        <f>-(F26*0.35)</f>
        <v>-28202.044800000003</v>
      </c>
    </row>
    <row r="26" spans="1:8" ht="15.75" thickBot="1" x14ac:dyDescent="0.3">
      <c r="F26" s="21">
        <f>H21</f>
        <v>80577.270857142867</v>
      </c>
      <c r="H26" s="7"/>
    </row>
    <row r="27" spans="1:8" ht="15.75" x14ac:dyDescent="0.25">
      <c r="A27" t="s">
        <v>9</v>
      </c>
      <c r="B27" s="9" t="s">
        <v>7</v>
      </c>
      <c r="C27" s="10"/>
      <c r="G27" s="13" t="s">
        <v>14</v>
      </c>
      <c r="H27" s="6">
        <f>H21+H23+H25</f>
        <v>50154.826057142869</v>
      </c>
    </row>
    <row r="28" spans="1:8" ht="15.75" thickBot="1" x14ac:dyDescent="0.3">
      <c r="A28" s="16"/>
      <c r="B28" s="14"/>
      <c r="C28" s="7"/>
    </row>
    <row r="29" spans="1:8" x14ac:dyDescent="0.25">
      <c r="E29" t="s">
        <v>151</v>
      </c>
      <c r="H29" s="20">
        <f>H27*0.5</f>
        <v>25077.413028571435</v>
      </c>
    </row>
    <row r="30" spans="1:8" ht="15.75" x14ac:dyDescent="0.25">
      <c r="A30" t="s">
        <v>10</v>
      </c>
      <c r="C30" s="10">
        <f>C21-C23-C25-C27</f>
        <v>80577.270857142867</v>
      </c>
      <c r="H30" s="18"/>
    </row>
    <row r="31" spans="1:8" x14ac:dyDescent="0.25">
      <c r="H31" s="3"/>
    </row>
    <row r="32" spans="1:8" x14ac:dyDescent="0.25">
      <c r="H32" s="18"/>
    </row>
  </sheetData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0F924-786E-4208-A340-546AD63FC6B1}">
  <dimension ref="A1:H32"/>
  <sheetViews>
    <sheetView workbookViewId="0">
      <selection sqref="A1:XFD1048576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600</v>
      </c>
    </row>
    <row r="3" spans="1:8" ht="21" x14ac:dyDescent="0.35">
      <c r="A3" s="2" t="s">
        <v>1</v>
      </c>
      <c r="D3" s="11">
        <v>153510</v>
      </c>
      <c r="F3" s="12" t="s">
        <v>3</v>
      </c>
      <c r="H3" s="4">
        <f>(D3/1.19)*0.19</f>
        <v>24510</v>
      </c>
    </row>
    <row r="4" spans="1:8" x14ac:dyDescent="0.25">
      <c r="A4" s="13" t="s">
        <v>32</v>
      </c>
      <c r="C4" s="26">
        <v>808</v>
      </c>
    </row>
    <row r="5" spans="1:8" ht="21" x14ac:dyDescent="0.35">
      <c r="A5" s="2" t="s">
        <v>2</v>
      </c>
    </row>
    <row r="7" spans="1:8" ht="18.75" x14ac:dyDescent="0.3">
      <c r="A7" s="5"/>
      <c r="D7" s="4"/>
      <c r="E7" s="25"/>
      <c r="H7" s="4"/>
    </row>
    <row r="8" spans="1:8" ht="18.75" x14ac:dyDescent="0.3">
      <c r="A8" s="5" t="s">
        <v>221</v>
      </c>
      <c r="C8" s="3"/>
      <c r="D8" s="32">
        <v>91250</v>
      </c>
      <c r="E8" s="25"/>
      <c r="H8" s="4">
        <f t="shared" ref="H8" si="0">(D8/1.19)*0.19</f>
        <v>14569.327731092439</v>
      </c>
    </row>
    <row r="9" spans="1:8" ht="18.75" x14ac:dyDescent="0.3">
      <c r="A9" s="5"/>
      <c r="C9" s="3"/>
      <c r="D9" s="28"/>
      <c r="E9" s="25"/>
      <c r="H9" s="4"/>
    </row>
    <row r="10" spans="1:8" ht="18.75" x14ac:dyDescent="0.3">
      <c r="A10" s="5"/>
      <c r="C10" s="3"/>
      <c r="D10" s="28"/>
      <c r="E10" s="25"/>
      <c r="H10" s="4"/>
    </row>
    <row r="11" spans="1:8" ht="19.5" thickBot="1" x14ac:dyDescent="0.35">
      <c r="A11" s="5"/>
      <c r="C11" s="3"/>
      <c r="D11" s="22"/>
      <c r="E11" s="25"/>
      <c r="H11" s="22">
        <v>0</v>
      </c>
    </row>
    <row r="12" spans="1:8" ht="18.75" customHeight="1" x14ac:dyDescent="0.3">
      <c r="D12" s="4">
        <f>SUM(D7:D11)</f>
        <v>91250</v>
      </c>
      <c r="H12" s="4">
        <f>SUM(H7:H11)</f>
        <v>14569.327731092439</v>
      </c>
    </row>
    <row r="13" spans="1:8" ht="18.75" x14ac:dyDescent="0.3">
      <c r="A13" s="5"/>
      <c r="C13" s="3"/>
      <c r="D13" s="4"/>
      <c r="H13" s="4"/>
    </row>
    <row r="15" spans="1:8" ht="18.75" x14ac:dyDescent="0.3">
      <c r="A15" s="5"/>
      <c r="C15" s="3"/>
      <c r="D15" s="4"/>
      <c r="H15" s="4"/>
    </row>
    <row r="16" spans="1:8" ht="15.75" thickBot="1" x14ac:dyDescent="0.3">
      <c r="D16" s="7"/>
      <c r="H16" s="7"/>
    </row>
    <row r="18" spans="1:8" ht="18.75" x14ac:dyDescent="0.3">
      <c r="C18" t="s">
        <v>4</v>
      </c>
      <c r="D18" s="4">
        <f>D3-D12</f>
        <v>62260</v>
      </c>
      <c r="G18" t="s">
        <v>5</v>
      </c>
      <c r="H18" s="4">
        <f>H3-H12</f>
        <v>9940.6722689075614</v>
      </c>
    </row>
    <row r="21" spans="1:8" ht="15.75" x14ac:dyDescent="0.25">
      <c r="A21" t="s">
        <v>6</v>
      </c>
      <c r="C21" s="8">
        <f>D18</f>
        <v>62260</v>
      </c>
      <c r="E21" t="s">
        <v>10</v>
      </c>
      <c r="H21" s="6">
        <f>C30</f>
        <v>51705.287731092438</v>
      </c>
    </row>
    <row r="23" spans="1:8" ht="15.75" x14ac:dyDescent="0.25">
      <c r="A23" t="s">
        <v>5</v>
      </c>
      <c r="B23" s="9" t="s">
        <v>7</v>
      </c>
      <c r="C23" s="8">
        <f>H18</f>
        <v>9940.6722689075614</v>
      </c>
      <c r="E23" s="13" t="s">
        <v>11</v>
      </c>
      <c r="F23" s="9" t="s">
        <v>181</v>
      </c>
      <c r="G23" s="15" t="s">
        <v>17</v>
      </c>
      <c r="H23" s="3">
        <f>-(F24*0.007)</f>
        <v>-903</v>
      </c>
    </row>
    <row r="24" spans="1:8" x14ac:dyDescent="0.25">
      <c r="F24" s="21">
        <f>D3-H3</f>
        <v>129000</v>
      </c>
    </row>
    <row r="25" spans="1:8" ht="15.75" x14ac:dyDescent="0.25">
      <c r="A25" t="s">
        <v>8</v>
      </c>
      <c r="B25" s="9" t="s">
        <v>7</v>
      </c>
      <c r="C25" s="8">
        <f>D3*0.004</f>
        <v>614.04</v>
      </c>
      <c r="F25" s="9" t="s">
        <v>13</v>
      </c>
      <c r="G25" s="16">
        <v>0.35</v>
      </c>
      <c r="H25" s="29">
        <f>-(F26*0.35)</f>
        <v>-18096.850705882352</v>
      </c>
    </row>
    <row r="26" spans="1:8" ht="15.75" thickBot="1" x14ac:dyDescent="0.3">
      <c r="F26" s="21">
        <f>H21</f>
        <v>51705.287731092438</v>
      </c>
      <c r="H26" s="7"/>
    </row>
    <row r="27" spans="1:8" ht="15.75" x14ac:dyDescent="0.25">
      <c r="A27" t="s">
        <v>9</v>
      </c>
      <c r="B27" s="9" t="s">
        <v>7</v>
      </c>
      <c r="C27" s="10"/>
      <c r="G27" s="13" t="s">
        <v>14</v>
      </c>
      <c r="H27" s="6">
        <f>H21+H23+H25</f>
        <v>32705.437025210085</v>
      </c>
    </row>
    <row r="28" spans="1:8" ht="15.75" thickBot="1" x14ac:dyDescent="0.3">
      <c r="A28" s="16"/>
      <c r="B28" s="14"/>
      <c r="C28" s="7"/>
    </row>
    <row r="29" spans="1:8" x14ac:dyDescent="0.25">
      <c r="E29" t="s">
        <v>151</v>
      </c>
      <c r="H29" s="20">
        <f>H27*0.5</f>
        <v>16352.718512605043</v>
      </c>
    </row>
    <row r="30" spans="1:8" ht="15.75" x14ac:dyDescent="0.25">
      <c r="A30" t="s">
        <v>10</v>
      </c>
      <c r="C30" s="10">
        <f>C21-C23-C25-C27</f>
        <v>51705.287731092438</v>
      </c>
      <c r="H30" s="18"/>
    </row>
    <row r="31" spans="1:8" x14ac:dyDescent="0.25">
      <c r="H31" s="3"/>
    </row>
    <row r="32" spans="1:8" x14ac:dyDescent="0.25">
      <c r="H32" s="18"/>
    </row>
  </sheetData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994A9-6392-4975-B151-7E45915C4FBF}">
  <dimension ref="A1:H32"/>
  <sheetViews>
    <sheetView workbookViewId="0">
      <selection sqref="A1:XFD1048576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601</v>
      </c>
    </row>
    <row r="3" spans="1:8" ht="21" x14ac:dyDescent="0.35">
      <c r="A3" s="2" t="s">
        <v>1</v>
      </c>
      <c r="D3" s="11">
        <v>77112</v>
      </c>
      <c r="F3" s="12" t="s">
        <v>3</v>
      </c>
      <c r="H3" s="4">
        <f>(D3/1.19)*0.19</f>
        <v>12312</v>
      </c>
    </row>
    <row r="4" spans="1:8" x14ac:dyDescent="0.25">
      <c r="A4" s="13" t="s">
        <v>32</v>
      </c>
      <c r="C4" s="26">
        <v>809</v>
      </c>
    </row>
    <row r="5" spans="1:8" ht="21" x14ac:dyDescent="0.35">
      <c r="A5" s="2" t="s">
        <v>2</v>
      </c>
    </row>
    <row r="7" spans="1:8" ht="18.75" x14ac:dyDescent="0.3">
      <c r="A7" s="5"/>
      <c r="D7" s="4"/>
      <c r="E7" s="25"/>
      <c r="H7" s="4"/>
    </row>
    <row r="8" spans="1:8" ht="18.75" x14ac:dyDescent="0.3">
      <c r="A8" s="5" t="s">
        <v>221</v>
      </c>
      <c r="C8" s="3"/>
      <c r="D8" s="32">
        <v>6426</v>
      </c>
      <c r="E8" s="25"/>
      <c r="H8" s="4">
        <f t="shared" ref="H8:H9" si="0">(D8/1.19)*0.19</f>
        <v>1026</v>
      </c>
    </row>
    <row r="9" spans="1:8" ht="18.75" x14ac:dyDescent="0.3">
      <c r="A9" s="5" t="s">
        <v>498</v>
      </c>
      <c r="C9" s="3"/>
      <c r="D9" s="28">
        <v>43911</v>
      </c>
      <c r="E9" s="25"/>
      <c r="H9" s="4">
        <f t="shared" si="0"/>
        <v>7011</v>
      </c>
    </row>
    <row r="10" spans="1:8" ht="18.75" x14ac:dyDescent="0.3">
      <c r="A10" s="5"/>
      <c r="C10" s="3"/>
      <c r="D10" s="28"/>
      <c r="E10" s="25"/>
      <c r="H10" s="4"/>
    </row>
    <row r="11" spans="1:8" ht="19.5" thickBot="1" x14ac:dyDescent="0.35">
      <c r="A11" s="5"/>
      <c r="C11" s="3"/>
      <c r="D11" s="22"/>
      <c r="E11" s="25"/>
      <c r="H11" s="22">
        <v>0</v>
      </c>
    </row>
    <row r="12" spans="1:8" ht="18.75" customHeight="1" x14ac:dyDescent="0.3">
      <c r="D12" s="4">
        <f>SUM(D7:D11)</f>
        <v>50337</v>
      </c>
      <c r="H12" s="4">
        <f>SUM(H7:H11)</f>
        <v>8037</v>
      </c>
    </row>
    <row r="13" spans="1:8" ht="18.75" x14ac:dyDescent="0.3">
      <c r="A13" s="5"/>
      <c r="C13" s="3"/>
      <c r="D13" s="4"/>
      <c r="H13" s="4"/>
    </row>
    <row r="15" spans="1:8" ht="18.75" x14ac:dyDescent="0.3">
      <c r="A15" s="5"/>
      <c r="C15" s="3"/>
      <c r="D15" s="4"/>
      <c r="H15" s="4"/>
    </row>
    <row r="16" spans="1:8" ht="15.75" thickBot="1" x14ac:dyDescent="0.3">
      <c r="D16" s="7"/>
      <c r="H16" s="7"/>
    </row>
    <row r="18" spans="1:8" ht="18.75" x14ac:dyDescent="0.3">
      <c r="C18" t="s">
        <v>4</v>
      </c>
      <c r="D18" s="4">
        <f>D3-D12</f>
        <v>26775</v>
      </c>
      <c r="G18" t="s">
        <v>5</v>
      </c>
      <c r="H18" s="4">
        <f>H3-H12</f>
        <v>4275</v>
      </c>
    </row>
    <row r="21" spans="1:8" ht="15.75" x14ac:dyDescent="0.25">
      <c r="A21" t="s">
        <v>6</v>
      </c>
      <c r="C21" s="8">
        <f>D18</f>
        <v>26775</v>
      </c>
      <c r="E21" t="s">
        <v>10</v>
      </c>
      <c r="H21" s="6">
        <f>C30</f>
        <v>22191.552</v>
      </c>
    </row>
    <row r="23" spans="1:8" ht="15.75" x14ac:dyDescent="0.25">
      <c r="A23" t="s">
        <v>5</v>
      </c>
      <c r="B23" s="9" t="s">
        <v>7</v>
      </c>
      <c r="C23" s="8">
        <f>H18</f>
        <v>4275</v>
      </c>
      <c r="E23" s="13" t="s">
        <v>11</v>
      </c>
      <c r="F23" s="9" t="s">
        <v>181</v>
      </c>
      <c r="G23" s="15" t="s">
        <v>17</v>
      </c>
      <c r="H23" s="3">
        <f>-(F24*0.007)</f>
        <v>-453.6</v>
      </c>
    </row>
    <row r="24" spans="1:8" x14ac:dyDescent="0.25">
      <c r="F24" s="21">
        <f>D3-H3</f>
        <v>64800</v>
      </c>
    </row>
    <row r="25" spans="1:8" ht="15.75" x14ac:dyDescent="0.25">
      <c r="A25" t="s">
        <v>8</v>
      </c>
      <c r="B25" s="9" t="s">
        <v>7</v>
      </c>
      <c r="C25" s="8">
        <f>D3*0.004</f>
        <v>308.44799999999998</v>
      </c>
      <c r="F25" s="9" t="s">
        <v>13</v>
      </c>
      <c r="G25" s="16">
        <v>0.35</v>
      </c>
      <c r="H25" s="29">
        <f>-(F26*0.35)</f>
        <v>-7767.0431999999992</v>
      </c>
    </row>
    <row r="26" spans="1:8" ht="15.75" thickBot="1" x14ac:dyDescent="0.3">
      <c r="F26" s="21">
        <f>H21</f>
        <v>22191.552</v>
      </c>
      <c r="H26" s="7"/>
    </row>
    <row r="27" spans="1:8" ht="15.75" x14ac:dyDescent="0.25">
      <c r="A27" t="s">
        <v>9</v>
      </c>
      <c r="B27" s="9" t="s">
        <v>7</v>
      </c>
      <c r="C27" s="10"/>
      <c r="G27" s="13" t="s">
        <v>14</v>
      </c>
      <c r="H27" s="6">
        <f>H21+H23+H25</f>
        <v>13970.908800000001</v>
      </c>
    </row>
    <row r="28" spans="1:8" ht="15.75" thickBot="1" x14ac:dyDescent="0.3">
      <c r="A28" s="16"/>
      <c r="B28" s="14"/>
      <c r="C28" s="7"/>
    </row>
    <row r="29" spans="1:8" x14ac:dyDescent="0.25">
      <c r="E29" t="s">
        <v>151</v>
      </c>
      <c r="H29" s="20">
        <f>H27*0.5</f>
        <v>6985.4544000000005</v>
      </c>
    </row>
    <row r="30" spans="1:8" ht="15.75" x14ac:dyDescent="0.25">
      <c r="A30" t="s">
        <v>10</v>
      </c>
      <c r="C30" s="10">
        <f>C21-C23-C25-C27</f>
        <v>22191.552</v>
      </c>
      <c r="H30" s="18"/>
    </row>
    <row r="31" spans="1:8" x14ac:dyDescent="0.25">
      <c r="H31" s="3"/>
    </row>
    <row r="32" spans="1:8" x14ac:dyDescent="0.25">
      <c r="H32" s="18"/>
    </row>
  </sheetData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7D51F-8965-4845-BADD-8999D8CC1012}">
  <dimension ref="A1:H32"/>
  <sheetViews>
    <sheetView workbookViewId="0">
      <selection sqref="A1:XFD1048576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602</v>
      </c>
    </row>
    <row r="3" spans="1:8" ht="21" x14ac:dyDescent="0.35">
      <c r="A3" s="2" t="s">
        <v>1</v>
      </c>
      <c r="D3" s="11">
        <v>29750</v>
      </c>
      <c r="F3" s="12" t="s">
        <v>3</v>
      </c>
      <c r="H3" s="4">
        <f>(D3/1.19)*0.19</f>
        <v>4750</v>
      </c>
    </row>
    <row r="4" spans="1:8" x14ac:dyDescent="0.25">
      <c r="A4" s="13" t="s">
        <v>32</v>
      </c>
      <c r="C4" s="26">
        <v>810</v>
      </c>
    </row>
    <row r="5" spans="1:8" ht="21" x14ac:dyDescent="0.35">
      <c r="A5" s="2" t="s">
        <v>2</v>
      </c>
    </row>
    <row r="7" spans="1:8" ht="18.75" x14ac:dyDescent="0.3">
      <c r="A7" s="5"/>
      <c r="D7" s="4"/>
      <c r="E7" s="25"/>
      <c r="H7" s="4"/>
    </row>
    <row r="8" spans="1:8" ht="18.75" x14ac:dyDescent="0.3">
      <c r="A8" s="5" t="s">
        <v>221</v>
      </c>
      <c r="C8" s="3"/>
      <c r="D8" s="32">
        <v>17850</v>
      </c>
      <c r="E8" s="25"/>
      <c r="H8" s="4">
        <f t="shared" ref="H8" si="0">(D8/1.19)*0.19</f>
        <v>2850</v>
      </c>
    </row>
    <row r="9" spans="1:8" ht="18.75" x14ac:dyDescent="0.3">
      <c r="A9" s="5"/>
      <c r="C9" s="3"/>
      <c r="D9" s="28"/>
      <c r="E9" s="25"/>
      <c r="H9" s="4"/>
    </row>
    <row r="10" spans="1:8" ht="18.75" x14ac:dyDescent="0.3">
      <c r="A10" s="5"/>
      <c r="C10" s="3"/>
      <c r="D10" s="28"/>
      <c r="E10" s="25"/>
      <c r="H10" s="4"/>
    </row>
    <row r="11" spans="1:8" ht="19.5" thickBot="1" x14ac:dyDescent="0.35">
      <c r="A11" s="5"/>
      <c r="C11" s="3"/>
      <c r="D11" s="22"/>
      <c r="E11" s="25"/>
      <c r="H11" s="22">
        <v>0</v>
      </c>
    </row>
    <row r="12" spans="1:8" ht="18.75" customHeight="1" x14ac:dyDescent="0.3">
      <c r="D12" s="4">
        <f>SUM(D7:D11)</f>
        <v>17850</v>
      </c>
      <c r="H12" s="4">
        <f>SUM(H7:H11)</f>
        <v>2850</v>
      </c>
    </row>
    <row r="13" spans="1:8" ht="18.75" x14ac:dyDescent="0.3">
      <c r="A13" s="5"/>
      <c r="C13" s="3"/>
      <c r="D13" s="4"/>
      <c r="H13" s="4"/>
    </row>
    <row r="15" spans="1:8" ht="18.75" x14ac:dyDescent="0.3">
      <c r="A15" s="5"/>
      <c r="C15" s="3"/>
      <c r="D15" s="4"/>
      <c r="H15" s="4"/>
    </row>
    <row r="16" spans="1:8" ht="15.75" thickBot="1" x14ac:dyDescent="0.3">
      <c r="D16" s="7"/>
      <c r="H16" s="7"/>
    </row>
    <row r="18" spans="1:8" ht="18.75" x14ac:dyDescent="0.3">
      <c r="C18" t="s">
        <v>4</v>
      </c>
      <c r="D18" s="4">
        <f>D3-D12</f>
        <v>11900</v>
      </c>
      <c r="G18" t="s">
        <v>5</v>
      </c>
      <c r="H18" s="4">
        <f>H3-H12</f>
        <v>1900</v>
      </c>
    </row>
    <row r="21" spans="1:8" ht="15.75" x14ac:dyDescent="0.25">
      <c r="A21" t="s">
        <v>6</v>
      </c>
      <c r="C21" s="8">
        <f>D18</f>
        <v>11900</v>
      </c>
      <c r="E21" t="s">
        <v>10</v>
      </c>
      <c r="H21" s="6">
        <f>C30</f>
        <v>9881</v>
      </c>
    </row>
    <row r="23" spans="1:8" ht="15.75" x14ac:dyDescent="0.25">
      <c r="A23" t="s">
        <v>5</v>
      </c>
      <c r="B23" s="9" t="s">
        <v>7</v>
      </c>
      <c r="C23" s="8">
        <f>H18</f>
        <v>1900</v>
      </c>
      <c r="E23" s="13" t="s">
        <v>11</v>
      </c>
      <c r="F23" s="9" t="s">
        <v>181</v>
      </c>
      <c r="G23" s="15" t="s">
        <v>17</v>
      </c>
      <c r="H23" s="3">
        <f>-(F24*0.007)</f>
        <v>-175</v>
      </c>
    </row>
    <row r="24" spans="1:8" x14ac:dyDescent="0.25">
      <c r="F24" s="21">
        <f>D3-H3</f>
        <v>25000</v>
      </c>
    </row>
    <row r="25" spans="1:8" ht="15.75" x14ac:dyDescent="0.25">
      <c r="A25" t="s">
        <v>8</v>
      </c>
      <c r="B25" s="9" t="s">
        <v>7</v>
      </c>
      <c r="C25" s="8">
        <f>D3*0.004</f>
        <v>119</v>
      </c>
      <c r="F25" s="9" t="s">
        <v>13</v>
      </c>
      <c r="G25" s="16">
        <v>0.35</v>
      </c>
      <c r="H25" s="29">
        <f>-(F26*0.35)</f>
        <v>-3458.35</v>
      </c>
    </row>
    <row r="26" spans="1:8" ht="15.75" thickBot="1" x14ac:dyDescent="0.3">
      <c r="F26" s="21">
        <f>H21</f>
        <v>9881</v>
      </c>
      <c r="H26" s="7"/>
    </row>
    <row r="27" spans="1:8" ht="15.75" x14ac:dyDescent="0.25">
      <c r="A27" t="s">
        <v>9</v>
      </c>
      <c r="B27" s="9" t="s">
        <v>7</v>
      </c>
      <c r="C27" s="10"/>
      <c r="G27" s="13" t="s">
        <v>14</v>
      </c>
      <c r="H27" s="6">
        <f>H21+H23+H25</f>
        <v>6247.65</v>
      </c>
    </row>
    <row r="28" spans="1:8" ht="15.75" thickBot="1" x14ac:dyDescent="0.3">
      <c r="A28" s="16"/>
      <c r="B28" s="14"/>
      <c r="C28" s="7"/>
    </row>
    <row r="29" spans="1:8" x14ac:dyDescent="0.25">
      <c r="E29" t="s">
        <v>151</v>
      </c>
      <c r="H29" s="20">
        <f>H27*0.5</f>
        <v>3123.8249999999998</v>
      </c>
    </row>
    <row r="30" spans="1:8" ht="15.75" x14ac:dyDescent="0.25">
      <c r="A30" t="s">
        <v>10</v>
      </c>
      <c r="C30" s="10">
        <f>C21-C23-C25-C27</f>
        <v>9881</v>
      </c>
      <c r="H30" s="18"/>
    </row>
    <row r="31" spans="1:8" x14ac:dyDescent="0.25">
      <c r="H31" s="3"/>
    </row>
    <row r="32" spans="1:8" x14ac:dyDescent="0.25">
      <c r="H32" s="18"/>
    </row>
  </sheetData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F7C61-E3A8-43CC-B8E2-E61BF879F9C5}">
  <dimension ref="A1:H32"/>
  <sheetViews>
    <sheetView workbookViewId="0">
      <selection sqref="A1:XFD1048576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603</v>
      </c>
    </row>
    <row r="3" spans="1:8" ht="21" x14ac:dyDescent="0.35">
      <c r="A3" s="2" t="s">
        <v>1</v>
      </c>
      <c r="D3" s="11">
        <v>454580</v>
      </c>
      <c r="F3" s="12" t="s">
        <v>3</v>
      </c>
      <c r="H3" s="4">
        <f>(D3/1.19)*0.19</f>
        <v>72580</v>
      </c>
    </row>
    <row r="4" spans="1:8" x14ac:dyDescent="0.25">
      <c r="A4" s="13" t="s">
        <v>32</v>
      </c>
      <c r="C4" s="26">
        <v>811</v>
      </c>
    </row>
    <row r="5" spans="1:8" ht="21" x14ac:dyDescent="0.35">
      <c r="A5" s="2" t="s">
        <v>2</v>
      </c>
    </row>
    <row r="7" spans="1:8" ht="18.75" x14ac:dyDescent="0.3">
      <c r="A7" s="5"/>
      <c r="D7" s="4"/>
      <c r="E7" s="25"/>
      <c r="H7" s="4"/>
    </row>
    <row r="8" spans="1:8" ht="18.75" x14ac:dyDescent="0.3">
      <c r="A8" s="5" t="s">
        <v>221</v>
      </c>
      <c r="C8" s="3"/>
      <c r="D8" s="32">
        <v>310509</v>
      </c>
      <c r="E8" s="25"/>
      <c r="H8" s="4">
        <f t="shared" ref="H8" si="0">(D8/1.19)*0.19</f>
        <v>49577.067226890758</v>
      </c>
    </row>
    <row r="9" spans="1:8" ht="18.75" x14ac:dyDescent="0.3">
      <c r="A9" s="5"/>
      <c r="C9" s="3"/>
      <c r="D9" s="28"/>
      <c r="E9" s="25"/>
      <c r="H9" s="4"/>
    </row>
    <row r="10" spans="1:8" ht="18.75" x14ac:dyDescent="0.3">
      <c r="A10" s="5"/>
      <c r="C10" s="3"/>
      <c r="D10" s="28"/>
      <c r="E10" s="25"/>
      <c r="H10" s="4"/>
    </row>
    <row r="11" spans="1:8" ht="19.5" thickBot="1" x14ac:dyDescent="0.35">
      <c r="A11" s="5"/>
      <c r="C11" s="3"/>
      <c r="D11" s="22"/>
      <c r="E11" s="25"/>
      <c r="H11" s="22">
        <v>0</v>
      </c>
    </row>
    <row r="12" spans="1:8" ht="18.75" customHeight="1" x14ac:dyDescent="0.3">
      <c r="D12" s="4">
        <f>SUM(D7:D11)</f>
        <v>310509</v>
      </c>
      <c r="H12" s="4">
        <f>SUM(H7:H11)</f>
        <v>49577.067226890758</v>
      </c>
    </row>
    <row r="13" spans="1:8" ht="18.75" x14ac:dyDescent="0.3">
      <c r="A13" s="5"/>
      <c r="C13" s="3"/>
      <c r="D13" s="4"/>
      <c r="H13" s="4"/>
    </row>
    <row r="15" spans="1:8" ht="18.75" x14ac:dyDescent="0.3">
      <c r="A15" s="5"/>
      <c r="C15" s="3"/>
      <c r="D15" s="4"/>
      <c r="H15" s="4"/>
    </row>
    <row r="16" spans="1:8" ht="15.75" thickBot="1" x14ac:dyDescent="0.3">
      <c r="D16" s="7"/>
      <c r="H16" s="7"/>
    </row>
    <row r="18" spans="1:8" ht="18.75" x14ac:dyDescent="0.3">
      <c r="C18" t="s">
        <v>4</v>
      </c>
      <c r="D18" s="4">
        <f>D3-D12</f>
        <v>144071</v>
      </c>
      <c r="G18" t="s">
        <v>5</v>
      </c>
      <c r="H18" s="4">
        <f>H3-H12</f>
        <v>23002.932773109242</v>
      </c>
    </row>
    <row r="21" spans="1:8" ht="15.75" x14ac:dyDescent="0.25">
      <c r="A21" t="s">
        <v>6</v>
      </c>
      <c r="C21" s="8">
        <f>D18</f>
        <v>144071</v>
      </c>
      <c r="E21" t="s">
        <v>10</v>
      </c>
      <c r="H21" s="6">
        <f>C30</f>
        <v>119249.74722689076</v>
      </c>
    </row>
    <row r="23" spans="1:8" ht="15.75" x14ac:dyDescent="0.25">
      <c r="A23" t="s">
        <v>5</v>
      </c>
      <c r="B23" s="9" t="s">
        <v>7</v>
      </c>
      <c r="C23" s="8">
        <f>H18</f>
        <v>23002.932773109242</v>
      </c>
      <c r="E23" s="13" t="s">
        <v>11</v>
      </c>
      <c r="F23" s="9" t="s">
        <v>181</v>
      </c>
      <c r="G23" s="15" t="s">
        <v>17</v>
      </c>
      <c r="H23" s="3">
        <f>-(F24*0.007)</f>
        <v>-2674</v>
      </c>
    </row>
    <row r="24" spans="1:8" x14ac:dyDescent="0.25">
      <c r="F24" s="21">
        <f>D3-H3</f>
        <v>382000</v>
      </c>
    </row>
    <row r="25" spans="1:8" ht="15.75" x14ac:dyDescent="0.25">
      <c r="A25" t="s">
        <v>8</v>
      </c>
      <c r="B25" s="9" t="s">
        <v>7</v>
      </c>
      <c r="C25" s="8">
        <f>D3*0.004</f>
        <v>1818.32</v>
      </c>
      <c r="F25" s="9" t="s">
        <v>13</v>
      </c>
      <c r="G25" s="16">
        <v>0.35</v>
      </c>
      <c r="H25" s="29">
        <f>-(F26*0.35)</f>
        <v>-41737.411529411766</v>
      </c>
    </row>
    <row r="26" spans="1:8" ht="15.75" thickBot="1" x14ac:dyDescent="0.3">
      <c r="F26" s="21">
        <f>H21</f>
        <v>119249.74722689076</v>
      </c>
      <c r="H26" s="7"/>
    </row>
    <row r="27" spans="1:8" ht="15.75" x14ac:dyDescent="0.25">
      <c r="A27" t="s">
        <v>9</v>
      </c>
      <c r="B27" s="9" t="s">
        <v>7</v>
      </c>
      <c r="C27" s="10"/>
      <c r="G27" s="13" t="s">
        <v>14</v>
      </c>
      <c r="H27" s="6">
        <f>H21+H23+H25</f>
        <v>74838.335697478993</v>
      </c>
    </row>
    <row r="28" spans="1:8" ht="15.75" thickBot="1" x14ac:dyDescent="0.3">
      <c r="A28" s="16"/>
      <c r="B28" s="14"/>
      <c r="C28" s="7"/>
    </row>
    <row r="29" spans="1:8" x14ac:dyDescent="0.25">
      <c r="E29" t="s">
        <v>151</v>
      </c>
      <c r="H29" s="20">
        <f>H27*0.5</f>
        <v>37419.167848739497</v>
      </c>
    </row>
    <row r="30" spans="1:8" ht="15.75" x14ac:dyDescent="0.25">
      <c r="A30" t="s">
        <v>10</v>
      </c>
      <c r="C30" s="10">
        <f>C21-C23-C25-C27</f>
        <v>119249.74722689076</v>
      </c>
      <c r="H30" s="18"/>
    </row>
    <row r="31" spans="1:8" x14ac:dyDescent="0.25">
      <c r="H31" s="3"/>
    </row>
    <row r="32" spans="1:8" x14ac:dyDescent="0.25">
      <c r="H32" s="18"/>
    </row>
  </sheetData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0D4BF-E4C6-4592-90B4-FFD4A5A296F8}">
  <dimension ref="A1:H32"/>
  <sheetViews>
    <sheetView workbookViewId="0">
      <selection sqref="A1:XFD1048576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490</v>
      </c>
    </row>
    <row r="3" spans="1:8" ht="21" x14ac:dyDescent="0.35">
      <c r="A3" s="2" t="s">
        <v>1</v>
      </c>
      <c r="D3" s="11">
        <v>4220204</v>
      </c>
      <c r="F3" s="12" t="s">
        <v>3</v>
      </c>
      <c r="H3" s="4">
        <f>(D3/1.19)*0.19</f>
        <v>673814.08403361356</v>
      </c>
    </row>
    <row r="4" spans="1:8" x14ac:dyDescent="0.25">
      <c r="A4" s="13" t="s">
        <v>32</v>
      </c>
      <c r="C4" s="26">
        <v>812</v>
      </c>
    </row>
    <row r="5" spans="1:8" ht="21" x14ac:dyDescent="0.35">
      <c r="A5" s="2" t="s">
        <v>2</v>
      </c>
    </row>
    <row r="7" spans="1:8" ht="18.75" x14ac:dyDescent="0.3">
      <c r="A7" s="5" t="s">
        <v>312</v>
      </c>
      <c r="D7" s="4">
        <v>351300</v>
      </c>
      <c r="E7" s="25"/>
      <c r="H7" s="4">
        <f t="shared" ref="H7:H10" si="0">(D7/1.19)*0.19</f>
        <v>56089.915966386558</v>
      </c>
    </row>
    <row r="8" spans="1:8" ht="18.75" x14ac:dyDescent="0.3">
      <c r="A8" s="5" t="s">
        <v>221</v>
      </c>
      <c r="C8" s="3"/>
      <c r="D8" s="32">
        <v>6825</v>
      </c>
      <c r="E8" s="25"/>
      <c r="H8" s="4">
        <f t="shared" si="0"/>
        <v>1089.7058823529412</v>
      </c>
    </row>
    <row r="9" spans="1:8" ht="18.75" x14ac:dyDescent="0.3">
      <c r="A9" s="5" t="s">
        <v>476</v>
      </c>
      <c r="C9" s="3"/>
      <c r="D9" s="28">
        <v>937750</v>
      </c>
      <c r="E9" s="25"/>
      <c r="H9" s="4">
        <f t="shared" si="0"/>
        <v>149724.78991596639</v>
      </c>
    </row>
    <row r="10" spans="1:8" ht="18.75" x14ac:dyDescent="0.3">
      <c r="A10" s="5" t="s">
        <v>472</v>
      </c>
      <c r="C10" s="3"/>
      <c r="D10" s="28">
        <v>1452990</v>
      </c>
      <c r="E10" s="25"/>
      <c r="H10" s="4">
        <f t="shared" si="0"/>
        <v>231990</v>
      </c>
    </row>
    <row r="11" spans="1:8" ht="19.5" thickBot="1" x14ac:dyDescent="0.35">
      <c r="A11" s="5"/>
      <c r="C11" s="3"/>
      <c r="D11" s="22"/>
      <c r="E11" s="25"/>
      <c r="H11" s="22">
        <v>0</v>
      </c>
    </row>
    <row r="12" spans="1:8" ht="18.75" customHeight="1" x14ac:dyDescent="0.3">
      <c r="D12" s="4">
        <f>SUM(D7:D11)</f>
        <v>2748865</v>
      </c>
      <c r="H12" s="4">
        <f>SUM(H7:H11)</f>
        <v>438894.4117647059</v>
      </c>
    </row>
    <row r="13" spans="1:8" ht="18.75" x14ac:dyDescent="0.3">
      <c r="A13" s="5"/>
      <c r="C13" s="3"/>
      <c r="D13" s="4"/>
      <c r="H13" s="4"/>
    </row>
    <row r="15" spans="1:8" ht="18.75" x14ac:dyDescent="0.3">
      <c r="A15" s="5"/>
      <c r="C15" s="3"/>
      <c r="D15" s="4"/>
      <c r="H15" s="4"/>
    </row>
    <row r="16" spans="1:8" ht="15.75" thickBot="1" x14ac:dyDescent="0.3">
      <c r="D16" s="7"/>
      <c r="H16" s="7"/>
    </row>
    <row r="18" spans="1:8" ht="18.75" x14ac:dyDescent="0.3">
      <c r="C18" t="s">
        <v>4</v>
      </c>
      <c r="D18" s="4">
        <f>D3-D12</f>
        <v>1471339</v>
      </c>
      <c r="G18" t="s">
        <v>5</v>
      </c>
      <c r="H18" s="4">
        <f>H3-H12</f>
        <v>234919.67226890766</v>
      </c>
    </row>
    <row r="21" spans="1:8" ht="15.75" x14ac:dyDescent="0.25">
      <c r="A21" t="s">
        <v>6</v>
      </c>
      <c r="C21" s="8">
        <f>D18</f>
        <v>1471339</v>
      </c>
      <c r="E21" t="s">
        <v>10</v>
      </c>
      <c r="H21" s="6">
        <f>C30</f>
        <v>1219538.5117310924</v>
      </c>
    </row>
    <row r="23" spans="1:8" ht="15.75" x14ac:dyDescent="0.25">
      <c r="A23" t="s">
        <v>5</v>
      </c>
      <c r="B23" s="9" t="s">
        <v>7</v>
      </c>
      <c r="C23" s="8">
        <f>H18</f>
        <v>234919.67226890766</v>
      </c>
      <c r="E23" s="13" t="s">
        <v>11</v>
      </c>
      <c r="F23" s="9" t="s">
        <v>181</v>
      </c>
      <c r="G23" s="15" t="s">
        <v>17</v>
      </c>
      <c r="H23" s="3">
        <f>-(F24*0.007)</f>
        <v>-24824.729411764707</v>
      </c>
    </row>
    <row r="24" spans="1:8" x14ac:dyDescent="0.25">
      <c r="F24" s="21">
        <f>D3-H3</f>
        <v>3546389.9159663864</v>
      </c>
    </row>
    <row r="25" spans="1:8" ht="15.75" x14ac:dyDescent="0.25">
      <c r="A25" t="s">
        <v>8</v>
      </c>
      <c r="B25" s="9" t="s">
        <v>7</v>
      </c>
      <c r="C25" s="8">
        <f>D3*0.004</f>
        <v>16880.815999999999</v>
      </c>
      <c r="F25" s="9" t="s">
        <v>13</v>
      </c>
      <c r="G25" s="16">
        <v>0.35</v>
      </c>
      <c r="H25" s="29">
        <f>-(F26*0.35)</f>
        <v>-426838.47910588229</v>
      </c>
    </row>
    <row r="26" spans="1:8" ht="15.75" thickBot="1" x14ac:dyDescent="0.3">
      <c r="F26" s="21">
        <f>H21</f>
        <v>1219538.5117310924</v>
      </c>
      <c r="H26" s="7"/>
    </row>
    <row r="27" spans="1:8" ht="15.75" x14ac:dyDescent="0.25">
      <c r="A27" t="s">
        <v>9</v>
      </c>
      <c r="B27" s="9" t="s">
        <v>7</v>
      </c>
      <c r="C27" s="10"/>
      <c r="G27" s="13" t="s">
        <v>14</v>
      </c>
      <c r="H27" s="6">
        <f>H21+H23+H25</f>
        <v>767875.30321344524</v>
      </c>
    </row>
    <row r="28" spans="1:8" ht="15.75" thickBot="1" x14ac:dyDescent="0.3">
      <c r="A28" s="16"/>
      <c r="B28" s="14"/>
      <c r="C28" s="7"/>
    </row>
    <row r="29" spans="1:8" x14ac:dyDescent="0.25">
      <c r="E29" t="s">
        <v>151</v>
      </c>
      <c r="H29" s="20">
        <f>H27*0.5</f>
        <v>383937.65160672262</v>
      </c>
    </row>
    <row r="30" spans="1:8" ht="15.75" x14ac:dyDescent="0.25">
      <c r="A30" t="s">
        <v>10</v>
      </c>
      <c r="C30" s="10">
        <f>C21-C23-C25-C27</f>
        <v>1219538.5117310924</v>
      </c>
      <c r="H30" s="18"/>
    </row>
    <row r="31" spans="1:8" x14ac:dyDescent="0.25">
      <c r="H31" s="3"/>
    </row>
    <row r="32" spans="1:8" x14ac:dyDescent="0.25">
      <c r="H32" s="18"/>
    </row>
  </sheetData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723ED-F343-4341-A721-115FC69CCBCD}">
  <dimension ref="A1:H32"/>
  <sheetViews>
    <sheetView workbookViewId="0">
      <selection sqref="A1:XFD1048576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534</v>
      </c>
    </row>
    <row r="3" spans="1:8" ht="21" x14ac:dyDescent="0.35">
      <c r="A3" s="2" t="s">
        <v>1</v>
      </c>
      <c r="D3" s="11">
        <v>7140</v>
      </c>
      <c r="F3" s="12" t="s">
        <v>3</v>
      </c>
      <c r="H3" s="4">
        <f>(D3/1.19)*0.19</f>
        <v>1140</v>
      </c>
    </row>
    <row r="4" spans="1:8" x14ac:dyDescent="0.25">
      <c r="A4" s="13" t="s">
        <v>32</v>
      </c>
      <c r="C4" s="26">
        <v>814</v>
      </c>
    </row>
    <row r="5" spans="1:8" ht="21" x14ac:dyDescent="0.35">
      <c r="A5" s="2" t="s">
        <v>2</v>
      </c>
    </row>
    <row r="7" spans="1:8" ht="18.75" x14ac:dyDescent="0.3">
      <c r="A7" s="5"/>
      <c r="D7" s="4"/>
      <c r="E7" s="25"/>
      <c r="H7" s="4"/>
    </row>
    <row r="8" spans="1:8" ht="18.75" x14ac:dyDescent="0.3">
      <c r="A8" s="5" t="s">
        <v>221</v>
      </c>
      <c r="C8" s="3"/>
      <c r="D8" s="32">
        <v>3750</v>
      </c>
      <c r="E8" s="25"/>
      <c r="H8" s="4">
        <f t="shared" ref="H8" si="0">(D8/1.19)*0.19</f>
        <v>598.73949579831935</v>
      </c>
    </row>
    <row r="9" spans="1:8" ht="18.75" x14ac:dyDescent="0.3">
      <c r="A9" s="5"/>
      <c r="C9" s="3"/>
      <c r="D9" s="28"/>
      <c r="E9" s="25"/>
      <c r="H9" s="4"/>
    </row>
    <row r="10" spans="1:8" ht="18.75" x14ac:dyDescent="0.3">
      <c r="A10" s="5"/>
      <c r="C10" s="3"/>
      <c r="D10" s="28"/>
      <c r="E10" s="25"/>
      <c r="H10" s="4"/>
    </row>
    <row r="11" spans="1:8" ht="19.5" thickBot="1" x14ac:dyDescent="0.35">
      <c r="A11" s="5"/>
      <c r="C11" s="3"/>
      <c r="D11" s="22"/>
      <c r="E11" s="25"/>
      <c r="H11" s="22">
        <v>0</v>
      </c>
    </row>
    <row r="12" spans="1:8" ht="18.75" customHeight="1" x14ac:dyDescent="0.3">
      <c r="D12" s="4">
        <f>SUM(D7:D11)</f>
        <v>3750</v>
      </c>
      <c r="H12" s="4">
        <f>SUM(H7:H11)</f>
        <v>598.73949579831935</v>
      </c>
    </row>
    <row r="13" spans="1:8" ht="18.75" x14ac:dyDescent="0.3">
      <c r="A13" s="5"/>
      <c r="C13" s="3"/>
      <c r="D13" s="4"/>
      <c r="H13" s="4"/>
    </row>
    <row r="15" spans="1:8" ht="18.75" x14ac:dyDescent="0.3">
      <c r="A15" s="5"/>
      <c r="C15" s="3"/>
      <c r="D15" s="4"/>
      <c r="H15" s="4"/>
    </row>
    <row r="16" spans="1:8" ht="15.75" thickBot="1" x14ac:dyDescent="0.3">
      <c r="D16" s="7"/>
      <c r="H16" s="7"/>
    </row>
    <row r="18" spans="1:8" ht="18.75" x14ac:dyDescent="0.3">
      <c r="C18" t="s">
        <v>4</v>
      </c>
      <c r="D18" s="4">
        <f>D3-D12</f>
        <v>3390</v>
      </c>
      <c r="G18" t="s">
        <v>5</v>
      </c>
      <c r="H18" s="4">
        <f>H3-H12</f>
        <v>541.26050420168065</v>
      </c>
    </row>
    <row r="21" spans="1:8" ht="15.75" x14ac:dyDescent="0.25">
      <c r="A21" t="s">
        <v>6</v>
      </c>
      <c r="C21" s="8">
        <f>D18</f>
        <v>3390</v>
      </c>
      <c r="E21" t="s">
        <v>10</v>
      </c>
      <c r="H21" s="6">
        <f>C30</f>
        <v>2820.1794957983193</v>
      </c>
    </row>
    <row r="23" spans="1:8" ht="15.75" x14ac:dyDescent="0.25">
      <c r="A23" t="s">
        <v>5</v>
      </c>
      <c r="B23" s="9" t="s">
        <v>7</v>
      </c>
      <c r="C23" s="8">
        <f>H18</f>
        <v>541.26050420168065</v>
      </c>
      <c r="E23" s="13" t="s">
        <v>11</v>
      </c>
      <c r="F23" s="9" t="s">
        <v>181</v>
      </c>
      <c r="G23" s="15" t="s">
        <v>17</v>
      </c>
      <c r="H23" s="3">
        <f>-(F24*0.007)</f>
        <v>-42</v>
      </c>
    </row>
    <row r="24" spans="1:8" x14ac:dyDescent="0.25">
      <c r="F24" s="21">
        <f>D3-H3</f>
        <v>6000</v>
      </c>
    </row>
    <row r="25" spans="1:8" ht="15.75" x14ac:dyDescent="0.25">
      <c r="A25" t="s">
        <v>8</v>
      </c>
      <c r="B25" s="9" t="s">
        <v>7</v>
      </c>
      <c r="C25" s="8">
        <f>D3*0.004</f>
        <v>28.560000000000002</v>
      </c>
      <c r="F25" s="9" t="s">
        <v>13</v>
      </c>
      <c r="G25" s="16">
        <v>0.35</v>
      </c>
      <c r="H25" s="29">
        <f>-(F26*0.35)</f>
        <v>-987.06282352941173</v>
      </c>
    </row>
    <row r="26" spans="1:8" ht="15.75" thickBot="1" x14ac:dyDescent="0.3">
      <c r="F26" s="21">
        <f>H21</f>
        <v>2820.1794957983193</v>
      </c>
      <c r="H26" s="7"/>
    </row>
    <row r="27" spans="1:8" ht="15.75" x14ac:dyDescent="0.25">
      <c r="A27" t="s">
        <v>9</v>
      </c>
      <c r="B27" s="9" t="s">
        <v>7</v>
      </c>
      <c r="C27" s="10"/>
      <c r="G27" s="13" t="s">
        <v>14</v>
      </c>
      <c r="H27" s="6">
        <f>H21+H23+H25</f>
        <v>1791.1166722689077</v>
      </c>
    </row>
    <row r="28" spans="1:8" ht="15.75" thickBot="1" x14ac:dyDescent="0.3">
      <c r="A28" s="16"/>
      <c r="B28" s="14"/>
      <c r="C28" s="7"/>
    </row>
    <row r="29" spans="1:8" x14ac:dyDescent="0.25">
      <c r="E29" t="s">
        <v>151</v>
      </c>
      <c r="H29" s="20">
        <f>H27*0.5</f>
        <v>895.55833613445384</v>
      </c>
    </row>
    <row r="30" spans="1:8" ht="15.75" x14ac:dyDescent="0.25">
      <c r="A30" t="s">
        <v>10</v>
      </c>
      <c r="C30" s="10">
        <f>C21-C23-C25-C27</f>
        <v>2820.1794957983193</v>
      </c>
      <c r="H30" s="18"/>
    </row>
    <row r="31" spans="1:8" x14ac:dyDescent="0.25">
      <c r="H31" s="3"/>
    </row>
    <row r="32" spans="1:8" x14ac:dyDescent="0.25">
      <c r="H32" s="18"/>
    </row>
  </sheetData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D1DB6-E2C3-439E-9477-4A6D258B376F}">
  <dimension ref="A1:H32"/>
  <sheetViews>
    <sheetView workbookViewId="0">
      <selection sqref="A1:XFD1048576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604</v>
      </c>
    </row>
    <row r="3" spans="1:8" ht="21" x14ac:dyDescent="0.35">
      <c r="A3" s="2" t="s">
        <v>1</v>
      </c>
      <c r="D3" s="11">
        <v>10369872</v>
      </c>
      <c r="F3" s="12" t="s">
        <v>3</v>
      </c>
      <c r="H3" s="4">
        <f>(D3/1.19)*0.19</f>
        <v>1655693.848739496</v>
      </c>
    </row>
    <row r="4" spans="1:8" x14ac:dyDescent="0.25">
      <c r="A4" s="13" t="s">
        <v>32</v>
      </c>
      <c r="C4" s="26">
        <v>815</v>
      </c>
    </row>
    <row r="5" spans="1:8" ht="21" x14ac:dyDescent="0.35">
      <c r="A5" s="2" t="s">
        <v>2</v>
      </c>
    </row>
    <row r="7" spans="1:8" ht="18.75" x14ac:dyDescent="0.3">
      <c r="A7" s="5"/>
      <c r="D7" s="4"/>
      <c r="E7" s="25"/>
      <c r="H7" s="4"/>
    </row>
    <row r="8" spans="1:8" ht="18.75" x14ac:dyDescent="0.3">
      <c r="A8" s="5" t="s">
        <v>408</v>
      </c>
      <c r="C8" s="3"/>
      <c r="D8" s="32">
        <v>8071667</v>
      </c>
      <c r="E8" s="25"/>
      <c r="H8" s="4">
        <f t="shared" ref="H8" si="0">(D8/1.19)*0.19</f>
        <v>1288753.5546218487</v>
      </c>
    </row>
    <row r="9" spans="1:8" ht="18.75" x14ac:dyDescent="0.3">
      <c r="A9" s="5"/>
      <c r="C9" s="3"/>
      <c r="D9" s="28"/>
      <c r="E9" s="25"/>
      <c r="H9" s="4"/>
    </row>
    <row r="10" spans="1:8" ht="18.75" x14ac:dyDescent="0.3">
      <c r="A10" s="5"/>
      <c r="C10" s="3"/>
      <c r="D10" s="28"/>
      <c r="E10" s="25"/>
      <c r="H10" s="4"/>
    </row>
    <row r="11" spans="1:8" ht="19.5" thickBot="1" x14ac:dyDescent="0.35">
      <c r="A11" s="5"/>
      <c r="C11" s="3"/>
      <c r="D11" s="22"/>
      <c r="E11" s="25"/>
      <c r="H11" s="22">
        <v>0</v>
      </c>
    </row>
    <row r="12" spans="1:8" ht="18.75" customHeight="1" x14ac:dyDescent="0.3">
      <c r="D12" s="4">
        <f>SUM(D7:D11)</f>
        <v>8071667</v>
      </c>
      <c r="H12" s="4">
        <f>SUM(H7:H11)</f>
        <v>1288753.5546218487</v>
      </c>
    </row>
    <row r="13" spans="1:8" ht="18.75" x14ac:dyDescent="0.3">
      <c r="A13" s="5"/>
      <c r="C13" s="3"/>
      <c r="D13" s="4"/>
      <c r="H13" s="4"/>
    </row>
    <row r="15" spans="1:8" ht="18.75" x14ac:dyDescent="0.3">
      <c r="A15" s="5"/>
      <c r="C15" s="3"/>
      <c r="D15" s="4"/>
      <c r="H15" s="4"/>
    </row>
    <row r="16" spans="1:8" ht="15.75" thickBot="1" x14ac:dyDescent="0.3">
      <c r="D16" s="7"/>
      <c r="H16" s="7"/>
    </row>
    <row r="18" spans="1:8" ht="18.75" x14ac:dyDescent="0.3">
      <c r="C18" t="s">
        <v>4</v>
      </c>
      <c r="D18" s="4">
        <f>D3-D12</f>
        <v>2298205</v>
      </c>
      <c r="G18" t="s">
        <v>5</v>
      </c>
      <c r="H18" s="4">
        <f>H3-H12</f>
        <v>366940.29411764722</v>
      </c>
    </row>
    <row r="21" spans="1:8" ht="15.75" x14ac:dyDescent="0.25">
      <c r="A21" t="s">
        <v>6</v>
      </c>
      <c r="C21" s="8">
        <f>D18</f>
        <v>2298205</v>
      </c>
      <c r="E21" t="s">
        <v>10</v>
      </c>
      <c r="H21" s="6">
        <f>C30</f>
        <v>1889785.2178823529</v>
      </c>
    </row>
    <row r="23" spans="1:8" ht="15.75" x14ac:dyDescent="0.25">
      <c r="A23" t="s">
        <v>5</v>
      </c>
      <c r="B23" s="9" t="s">
        <v>7</v>
      </c>
      <c r="C23" s="8">
        <f>H18</f>
        <v>366940.29411764722</v>
      </c>
      <c r="E23" s="13" t="s">
        <v>11</v>
      </c>
      <c r="F23" s="9" t="s">
        <v>181</v>
      </c>
      <c r="G23" s="15" t="s">
        <v>17</v>
      </c>
      <c r="H23" s="3">
        <f>-(F24*0.007)</f>
        <v>-60999.24705882353</v>
      </c>
    </row>
    <row r="24" spans="1:8" x14ac:dyDescent="0.25">
      <c r="F24" s="21">
        <f>D3-H3</f>
        <v>8714178.1512605045</v>
      </c>
    </row>
    <row r="25" spans="1:8" ht="15.75" x14ac:dyDescent="0.25">
      <c r="A25" t="s">
        <v>8</v>
      </c>
      <c r="B25" s="9" t="s">
        <v>7</v>
      </c>
      <c r="C25" s="8">
        <f>D3*0.004</f>
        <v>41479.487999999998</v>
      </c>
      <c r="F25" s="9" t="s">
        <v>13</v>
      </c>
      <c r="G25" s="16">
        <v>0.35</v>
      </c>
      <c r="H25" s="29">
        <f>-(F26*0.35)</f>
        <v>-661424.82625882351</v>
      </c>
    </row>
    <row r="26" spans="1:8" ht="15.75" thickBot="1" x14ac:dyDescent="0.3">
      <c r="F26" s="21">
        <f>H21</f>
        <v>1889785.2178823529</v>
      </c>
      <c r="H26" s="7"/>
    </row>
    <row r="27" spans="1:8" ht="15.75" x14ac:dyDescent="0.25">
      <c r="A27" t="s">
        <v>9</v>
      </c>
      <c r="B27" s="9" t="s">
        <v>7</v>
      </c>
      <c r="C27" s="10"/>
      <c r="G27" s="13" t="s">
        <v>14</v>
      </c>
      <c r="H27" s="6">
        <f>H21+H23+H25</f>
        <v>1167361.1445647059</v>
      </c>
    </row>
    <row r="28" spans="1:8" ht="15.75" thickBot="1" x14ac:dyDescent="0.3">
      <c r="A28" s="16"/>
      <c r="B28" s="14"/>
      <c r="C28" s="7"/>
    </row>
    <row r="29" spans="1:8" x14ac:dyDescent="0.25">
      <c r="E29" t="s">
        <v>151</v>
      </c>
      <c r="H29" s="20">
        <f>H27*0.5</f>
        <v>583680.57228235295</v>
      </c>
    </row>
    <row r="30" spans="1:8" ht="15.75" x14ac:dyDescent="0.25">
      <c r="A30" t="s">
        <v>10</v>
      </c>
      <c r="C30" s="10">
        <f>C21-C23-C25-C27</f>
        <v>1889785.2178823529</v>
      </c>
      <c r="H30" s="18"/>
    </row>
    <row r="31" spans="1:8" x14ac:dyDescent="0.25">
      <c r="H31" s="3"/>
    </row>
    <row r="32" spans="1:8" x14ac:dyDescent="0.25">
      <c r="H32" s="18"/>
    </row>
  </sheetData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634C6-9BA0-49A7-B407-370B063BE4CA}">
  <dimension ref="A1:H32"/>
  <sheetViews>
    <sheetView workbookViewId="0">
      <selection sqref="A1:XFD1048576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601</v>
      </c>
    </row>
    <row r="3" spans="1:8" ht="21" x14ac:dyDescent="0.35">
      <c r="A3" s="2" t="s">
        <v>1</v>
      </c>
      <c r="D3" s="11">
        <v>5950</v>
      </c>
      <c r="F3" s="12" t="s">
        <v>3</v>
      </c>
      <c r="H3" s="4">
        <f>(D3/1.19)*0.19</f>
        <v>950</v>
      </c>
    </row>
    <row r="4" spans="1:8" x14ac:dyDescent="0.25">
      <c r="A4" s="13" t="s">
        <v>32</v>
      </c>
      <c r="C4" s="26">
        <v>816</v>
      </c>
    </row>
    <row r="5" spans="1:8" ht="21" x14ac:dyDescent="0.35">
      <c r="A5" s="2" t="s">
        <v>2</v>
      </c>
    </row>
    <row r="7" spans="1:8" ht="18.75" x14ac:dyDescent="0.3">
      <c r="A7" s="5"/>
      <c r="D7" s="4"/>
      <c r="E7" s="25"/>
      <c r="H7" s="4"/>
    </row>
    <row r="8" spans="1:8" ht="18.75" x14ac:dyDescent="0.3">
      <c r="A8" s="5" t="s">
        <v>221</v>
      </c>
      <c r="C8" s="3"/>
      <c r="D8" s="32">
        <v>3882</v>
      </c>
      <c r="E8" s="25"/>
      <c r="H8" s="4">
        <f t="shared" ref="H8" si="0">(D8/1.19)*0.19</f>
        <v>619.81512605042019</v>
      </c>
    </row>
    <row r="9" spans="1:8" ht="18.75" x14ac:dyDescent="0.3">
      <c r="A9" s="5"/>
      <c r="C9" s="3"/>
      <c r="D9" s="28"/>
      <c r="E9" s="25"/>
      <c r="H9" s="4"/>
    </row>
    <row r="10" spans="1:8" ht="18.75" x14ac:dyDescent="0.3">
      <c r="A10" s="5"/>
      <c r="C10" s="3"/>
      <c r="D10" s="28"/>
      <c r="E10" s="25"/>
      <c r="H10" s="4"/>
    </row>
    <row r="11" spans="1:8" ht="19.5" thickBot="1" x14ac:dyDescent="0.35">
      <c r="A11" s="5"/>
      <c r="C11" s="3"/>
      <c r="D11" s="22"/>
      <c r="E11" s="25"/>
      <c r="H11" s="22">
        <v>0</v>
      </c>
    </row>
    <row r="12" spans="1:8" ht="18.75" customHeight="1" x14ac:dyDescent="0.3">
      <c r="D12" s="4">
        <f>SUM(D7:D11)</f>
        <v>3882</v>
      </c>
      <c r="H12" s="4">
        <f>SUM(H7:H11)</f>
        <v>619.81512605042019</v>
      </c>
    </row>
    <row r="13" spans="1:8" ht="18.75" x14ac:dyDescent="0.3">
      <c r="A13" s="5"/>
      <c r="C13" s="3"/>
      <c r="D13" s="4"/>
      <c r="H13" s="4"/>
    </row>
    <row r="15" spans="1:8" ht="18.75" x14ac:dyDescent="0.3">
      <c r="A15" s="5"/>
      <c r="C15" s="3"/>
      <c r="D15" s="4"/>
      <c r="H15" s="4"/>
    </row>
    <row r="16" spans="1:8" ht="15.75" thickBot="1" x14ac:dyDescent="0.3">
      <c r="D16" s="7"/>
      <c r="H16" s="7"/>
    </row>
    <row r="18" spans="1:8" ht="18.75" x14ac:dyDescent="0.3">
      <c r="C18" t="s">
        <v>4</v>
      </c>
      <c r="D18" s="4">
        <f>D3-D12</f>
        <v>2068</v>
      </c>
      <c r="G18" t="s">
        <v>5</v>
      </c>
      <c r="H18" s="4">
        <f>H3-H12</f>
        <v>330.18487394957981</v>
      </c>
    </row>
    <row r="21" spans="1:8" ht="15.75" x14ac:dyDescent="0.25">
      <c r="A21" t="s">
        <v>6</v>
      </c>
      <c r="C21" s="8">
        <f>D18</f>
        <v>2068</v>
      </c>
      <c r="E21" t="s">
        <v>10</v>
      </c>
      <c r="H21" s="6">
        <f>C30</f>
        <v>1714.0151260504201</v>
      </c>
    </row>
    <row r="23" spans="1:8" ht="15.75" x14ac:dyDescent="0.25">
      <c r="A23" t="s">
        <v>5</v>
      </c>
      <c r="B23" s="9" t="s">
        <v>7</v>
      </c>
      <c r="C23" s="8">
        <f>H18</f>
        <v>330.18487394957981</v>
      </c>
      <c r="E23" s="13" t="s">
        <v>11</v>
      </c>
      <c r="F23" s="9" t="s">
        <v>181</v>
      </c>
      <c r="G23" s="15" t="s">
        <v>17</v>
      </c>
      <c r="H23" s="3">
        <f>-(F24*0.007)</f>
        <v>-35</v>
      </c>
    </row>
    <row r="24" spans="1:8" x14ac:dyDescent="0.25">
      <c r="F24" s="21">
        <f>D3-H3</f>
        <v>5000</v>
      </c>
    </row>
    <row r="25" spans="1:8" ht="15.75" x14ac:dyDescent="0.25">
      <c r="A25" t="s">
        <v>8</v>
      </c>
      <c r="B25" s="9" t="s">
        <v>7</v>
      </c>
      <c r="C25" s="8">
        <f>D3*0.004</f>
        <v>23.8</v>
      </c>
      <c r="F25" s="9" t="s">
        <v>13</v>
      </c>
      <c r="G25" s="16">
        <v>0.35</v>
      </c>
      <c r="H25" s="29">
        <f>-(F26*0.35)</f>
        <v>-599.90529411764703</v>
      </c>
    </row>
    <row r="26" spans="1:8" ht="15.75" thickBot="1" x14ac:dyDescent="0.3">
      <c r="F26" s="21">
        <f>H21</f>
        <v>1714.0151260504201</v>
      </c>
      <c r="H26" s="7"/>
    </row>
    <row r="27" spans="1:8" ht="15.75" x14ac:dyDescent="0.25">
      <c r="A27" t="s">
        <v>9</v>
      </c>
      <c r="B27" s="9" t="s">
        <v>7</v>
      </c>
      <c r="C27" s="10"/>
      <c r="G27" s="13" t="s">
        <v>14</v>
      </c>
      <c r="H27" s="6">
        <f>H21+H23+H25</f>
        <v>1079.109831932773</v>
      </c>
    </row>
    <row r="28" spans="1:8" ht="15.75" thickBot="1" x14ac:dyDescent="0.3">
      <c r="A28" s="16"/>
      <c r="B28" s="14"/>
      <c r="C28" s="7"/>
    </row>
    <row r="29" spans="1:8" x14ac:dyDescent="0.25">
      <c r="E29" t="s">
        <v>151</v>
      </c>
      <c r="H29" s="20">
        <f>H27*0.5</f>
        <v>539.55491596638649</v>
      </c>
    </row>
    <row r="30" spans="1:8" ht="15.75" x14ac:dyDescent="0.25">
      <c r="A30" t="s">
        <v>10</v>
      </c>
      <c r="C30" s="10">
        <f>C21-C23-C25-C27</f>
        <v>1714.0151260504201</v>
      </c>
      <c r="H30" s="18"/>
    </row>
    <row r="31" spans="1:8" x14ac:dyDescent="0.25">
      <c r="H31" s="3"/>
    </row>
    <row r="32" spans="1:8" x14ac:dyDescent="0.25">
      <c r="H32" s="18"/>
    </row>
  </sheetData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6CEE1-8326-4591-9DB7-6458BE53F518}">
  <dimension ref="A1:H32"/>
  <sheetViews>
    <sheetView workbookViewId="0">
      <selection sqref="A1:XFD1048576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518</v>
      </c>
    </row>
    <row r="3" spans="1:8" ht="21" x14ac:dyDescent="0.35">
      <c r="A3" s="2" t="s">
        <v>1</v>
      </c>
      <c r="D3" s="11">
        <v>4760</v>
      </c>
      <c r="F3" s="12" t="s">
        <v>3</v>
      </c>
      <c r="H3" s="4">
        <f>(D3/1.19)*0.19</f>
        <v>760</v>
      </c>
    </row>
    <row r="4" spans="1:8" x14ac:dyDescent="0.25">
      <c r="A4" s="13" t="s">
        <v>32</v>
      </c>
      <c r="C4" s="26">
        <v>817</v>
      </c>
    </row>
    <row r="5" spans="1:8" ht="21" x14ac:dyDescent="0.35">
      <c r="A5" s="2" t="s">
        <v>2</v>
      </c>
    </row>
    <row r="7" spans="1:8" ht="18.75" x14ac:dyDescent="0.3">
      <c r="A7" s="5"/>
      <c r="D7" s="4"/>
      <c r="E7" s="25"/>
      <c r="H7" s="4"/>
    </row>
    <row r="8" spans="1:8" ht="18.75" x14ac:dyDescent="0.3">
      <c r="A8" s="5" t="s">
        <v>221</v>
      </c>
      <c r="C8" s="3"/>
      <c r="D8" s="32">
        <v>2720</v>
      </c>
      <c r="E8" s="25"/>
      <c r="H8" s="4">
        <f t="shared" ref="H8" si="0">(D8/1.19)*0.19</f>
        <v>434.28571428571428</v>
      </c>
    </row>
    <row r="9" spans="1:8" ht="18.75" x14ac:dyDescent="0.3">
      <c r="A9" s="5"/>
      <c r="C9" s="3"/>
      <c r="D9" s="28"/>
      <c r="E9" s="25"/>
      <c r="H9" s="4"/>
    </row>
    <row r="10" spans="1:8" ht="18.75" x14ac:dyDescent="0.3">
      <c r="A10" s="5"/>
      <c r="C10" s="3"/>
      <c r="D10" s="28"/>
      <c r="E10" s="25"/>
      <c r="H10" s="4"/>
    </row>
    <row r="11" spans="1:8" ht="19.5" thickBot="1" x14ac:dyDescent="0.35">
      <c r="A11" s="5"/>
      <c r="C11" s="3"/>
      <c r="D11" s="22"/>
      <c r="E11" s="25"/>
      <c r="H11" s="22">
        <v>0</v>
      </c>
    </row>
    <row r="12" spans="1:8" ht="18.75" customHeight="1" x14ac:dyDescent="0.3">
      <c r="D12" s="4">
        <f>SUM(D7:D11)</f>
        <v>2720</v>
      </c>
      <c r="H12" s="4">
        <f>SUM(H7:H11)</f>
        <v>434.28571428571428</v>
      </c>
    </row>
    <row r="13" spans="1:8" ht="18.75" x14ac:dyDescent="0.3">
      <c r="A13" s="5"/>
      <c r="C13" s="3"/>
      <c r="D13" s="4"/>
      <c r="H13" s="4"/>
    </row>
    <row r="15" spans="1:8" ht="18.75" x14ac:dyDescent="0.3">
      <c r="A15" s="5"/>
      <c r="C15" s="3"/>
      <c r="D15" s="4"/>
      <c r="H15" s="4"/>
    </row>
    <row r="16" spans="1:8" ht="15.75" thickBot="1" x14ac:dyDescent="0.3">
      <c r="D16" s="7"/>
      <c r="H16" s="7"/>
    </row>
    <row r="18" spans="1:8" ht="18.75" x14ac:dyDescent="0.3">
      <c r="C18" t="s">
        <v>4</v>
      </c>
      <c r="D18" s="4">
        <f>D3-D12</f>
        <v>2040</v>
      </c>
      <c r="G18" t="s">
        <v>5</v>
      </c>
      <c r="H18" s="4">
        <f>H3-H12</f>
        <v>325.71428571428572</v>
      </c>
    </row>
    <row r="21" spans="1:8" ht="15.75" x14ac:dyDescent="0.25">
      <c r="A21" t="s">
        <v>6</v>
      </c>
      <c r="C21" s="8">
        <f>D18</f>
        <v>2040</v>
      </c>
      <c r="E21" t="s">
        <v>10</v>
      </c>
      <c r="H21" s="6">
        <f>C30</f>
        <v>1695.2457142857143</v>
      </c>
    </row>
    <row r="23" spans="1:8" ht="15.75" x14ac:dyDescent="0.25">
      <c r="A23" t="s">
        <v>5</v>
      </c>
      <c r="B23" s="9" t="s">
        <v>7</v>
      </c>
      <c r="C23" s="8">
        <f>H18</f>
        <v>325.71428571428572</v>
      </c>
      <c r="E23" s="13" t="s">
        <v>11</v>
      </c>
      <c r="F23" s="9" t="s">
        <v>181</v>
      </c>
      <c r="G23" s="15" t="s">
        <v>17</v>
      </c>
      <c r="H23" s="3">
        <f>-(F24*0.007)</f>
        <v>-28</v>
      </c>
    </row>
    <row r="24" spans="1:8" x14ac:dyDescent="0.25">
      <c r="F24" s="21">
        <f>D3-H3</f>
        <v>4000</v>
      </c>
    </row>
    <row r="25" spans="1:8" ht="15.75" x14ac:dyDescent="0.25">
      <c r="A25" t="s">
        <v>8</v>
      </c>
      <c r="B25" s="9" t="s">
        <v>7</v>
      </c>
      <c r="C25" s="8">
        <f>D3*0.004</f>
        <v>19.04</v>
      </c>
      <c r="F25" s="9" t="s">
        <v>13</v>
      </c>
      <c r="G25" s="16">
        <v>0.35</v>
      </c>
      <c r="H25" s="29">
        <f>-(F26*0.35)</f>
        <v>-593.3359999999999</v>
      </c>
    </row>
    <row r="26" spans="1:8" ht="15.75" thickBot="1" x14ac:dyDescent="0.3">
      <c r="F26" s="21">
        <f>H21</f>
        <v>1695.2457142857143</v>
      </c>
      <c r="H26" s="7"/>
    </row>
    <row r="27" spans="1:8" ht="15.75" x14ac:dyDescent="0.25">
      <c r="A27" t="s">
        <v>9</v>
      </c>
      <c r="B27" s="9" t="s">
        <v>7</v>
      </c>
      <c r="C27" s="10"/>
      <c r="G27" s="13" t="s">
        <v>14</v>
      </c>
      <c r="H27" s="6">
        <f>H21+H23+H25</f>
        <v>1073.9097142857145</v>
      </c>
    </row>
    <row r="28" spans="1:8" ht="15.75" thickBot="1" x14ac:dyDescent="0.3">
      <c r="A28" s="16"/>
      <c r="B28" s="14"/>
      <c r="C28" s="7"/>
    </row>
    <row r="29" spans="1:8" x14ac:dyDescent="0.25">
      <c r="E29" t="s">
        <v>151</v>
      </c>
      <c r="H29" s="20">
        <f>H27*0.5</f>
        <v>536.95485714285724</v>
      </c>
    </row>
    <row r="30" spans="1:8" ht="15.75" x14ac:dyDescent="0.25">
      <c r="A30" t="s">
        <v>10</v>
      </c>
      <c r="C30" s="10">
        <f>C21-C23-C25-C27</f>
        <v>1695.2457142857143</v>
      </c>
      <c r="H30" s="18"/>
    </row>
    <row r="31" spans="1:8" x14ac:dyDescent="0.25">
      <c r="H31" s="3"/>
    </row>
    <row r="32" spans="1:8" x14ac:dyDescent="0.25">
      <c r="H32" s="18"/>
    </row>
  </sheetData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4FB78-1322-4630-8AAB-7281C3D22A4B}">
  <dimension ref="A1:H32"/>
  <sheetViews>
    <sheetView topLeftCell="A7" workbookViewId="0">
      <selection activeCell="A7" sqref="A1:XFD1048576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497</v>
      </c>
    </row>
    <row r="3" spans="1:8" ht="21" x14ac:dyDescent="0.35">
      <c r="A3" s="2" t="s">
        <v>1</v>
      </c>
      <c r="D3" s="11">
        <v>66164</v>
      </c>
      <c r="F3" s="12" t="s">
        <v>3</v>
      </c>
      <c r="H3" s="4">
        <f>(D3/1.19)*0.19</f>
        <v>10564</v>
      </c>
    </row>
    <row r="4" spans="1:8" x14ac:dyDescent="0.25">
      <c r="A4" s="13" t="s">
        <v>32</v>
      </c>
      <c r="C4" s="26">
        <v>819</v>
      </c>
    </row>
    <row r="5" spans="1:8" ht="21" x14ac:dyDescent="0.35">
      <c r="A5" s="2" t="s">
        <v>2</v>
      </c>
    </row>
    <row r="7" spans="1:8" ht="18.75" x14ac:dyDescent="0.3">
      <c r="A7" s="5"/>
      <c r="D7" s="4"/>
      <c r="E7" s="25"/>
      <c r="H7" s="4"/>
    </row>
    <row r="8" spans="1:8" ht="18.75" x14ac:dyDescent="0.3">
      <c r="A8" s="5" t="s">
        <v>498</v>
      </c>
      <c r="C8" s="3"/>
      <c r="D8" s="32">
        <v>37060</v>
      </c>
      <c r="E8" s="25"/>
      <c r="H8" s="4">
        <f t="shared" ref="H8" si="0">(D8/1.19)*0.19</f>
        <v>5917.1428571428578</v>
      </c>
    </row>
    <row r="9" spans="1:8" ht="18.75" x14ac:dyDescent="0.3">
      <c r="A9" s="5"/>
      <c r="C9" s="3"/>
      <c r="D9" s="28"/>
      <c r="E9" s="25"/>
      <c r="H9" s="4"/>
    </row>
    <row r="10" spans="1:8" ht="18.75" x14ac:dyDescent="0.3">
      <c r="A10" s="5"/>
      <c r="C10" s="3"/>
      <c r="D10" s="28"/>
      <c r="E10" s="25"/>
      <c r="H10" s="4"/>
    </row>
    <row r="11" spans="1:8" ht="19.5" thickBot="1" x14ac:dyDescent="0.35">
      <c r="A11" s="5"/>
      <c r="C11" s="3"/>
      <c r="D11" s="22"/>
      <c r="E11" s="25"/>
      <c r="H11" s="22">
        <v>0</v>
      </c>
    </row>
    <row r="12" spans="1:8" ht="18.75" customHeight="1" x14ac:dyDescent="0.3">
      <c r="D12" s="4">
        <f>SUM(D7:D11)</f>
        <v>37060</v>
      </c>
      <c r="H12" s="4">
        <f>SUM(H7:H11)</f>
        <v>5917.1428571428578</v>
      </c>
    </row>
    <row r="13" spans="1:8" ht="18.75" x14ac:dyDescent="0.3">
      <c r="A13" s="5"/>
      <c r="C13" s="3"/>
      <c r="D13" s="4"/>
      <c r="H13" s="4"/>
    </row>
    <row r="15" spans="1:8" ht="18.75" x14ac:dyDescent="0.3">
      <c r="A15" s="5"/>
      <c r="C15" s="3"/>
      <c r="D15" s="4"/>
      <c r="H15" s="4"/>
    </row>
    <row r="16" spans="1:8" ht="15.75" thickBot="1" x14ac:dyDescent="0.3">
      <c r="D16" s="7"/>
      <c r="H16" s="7"/>
    </row>
    <row r="18" spans="1:8" ht="18.75" x14ac:dyDescent="0.3">
      <c r="C18" t="s">
        <v>4</v>
      </c>
      <c r="D18" s="4">
        <f>D3-D12</f>
        <v>29104</v>
      </c>
      <c r="G18" t="s">
        <v>5</v>
      </c>
      <c r="H18" s="4">
        <f>H3-H12</f>
        <v>4646.8571428571422</v>
      </c>
    </row>
    <row r="21" spans="1:8" ht="15.75" x14ac:dyDescent="0.25">
      <c r="A21" t="s">
        <v>6</v>
      </c>
      <c r="C21" s="8">
        <f>D18</f>
        <v>29104</v>
      </c>
      <c r="E21" t="s">
        <v>10</v>
      </c>
      <c r="H21" s="6">
        <f>C30</f>
        <v>24192.48685714286</v>
      </c>
    </row>
    <row r="23" spans="1:8" ht="15.75" x14ac:dyDescent="0.25">
      <c r="A23" t="s">
        <v>5</v>
      </c>
      <c r="B23" s="9" t="s">
        <v>7</v>
      </c>
      <c r="C23" s="8">
        <f>H18</f>
        <v>4646.8571428571422</v>
      </c>
      <c r="E23" s="13" t="s">
        <v>11</v>
      </c>
      <c r="F23" s="9" t="s">
        <v>181</v>
      </c>
      <c r="G23" s="15" t="s">
        <v>17</v>
      </c>
      <c r="H23" s="3">
        <f>-(F24*0.007)</f>
        <v>-389.2</v>
      </c>
    </row>
    <row r="24" spans="1:8" x14ac:dyDescent="0.25">
      <c r="F24" s="21">
        <f>D3-H3</f>
        <v>55600</v>
      </c>
    </row>
    <row r="25" spans="1:8" ht="15.75" x14ac:dyDescent="0.25">
      <c r="A25" t="s">
        <v>8</v>
      </c>
      <c r="B25" s="9" t="s">
        <v>7</v>
      </c>
      <c r="C25" s="8">
        <f>D3*0.004</f>
        <v>264.65600000000001</v>
      </c>
      <c r="F25" s="9" t="s">
        <v>13</v>
      </c>
      <c r="G25" s="16">
        <v>0.35</v>
      </c>
      <c r="H25" s="29">
        <f>-(F26*0.35)</f>
        <v>-8467.3703999999998</v>
      </c>
    </row>
    <row r="26" spans="1:8" ht="15.75" thickBot="1" x14ac:dyDescent="0.3">
      <c r="F26" s="21">
        <f>H21</f>
        <v>24192.48685714286</v>
      </c>
      <c r="H26" s="7"/>
    </row>
    <row r="27" spans="1:8" ht="15.75" x14ac:dyDescent="0.25">
      <c r="A27" t="s">
        <v>9</v>
      </c>
      <c r="B27" s="9" t="s">
        <v>7</v>
      </c>
      <c r="C27" s="10"/>
      <c r="G27" s="13" t="s">
        <v>14</v>
      </c>
      <c r="H27" s="6">
        <f>H21+H23+H25</f>
        <v>15335.916457142859</v>
      </c>
    </row>
    <row r="28" spans="1:8" ht="15.75" thickBot="1" x14ac:dyDescent="0.3">
      <c r="A28" s="16"/>
      <c r="B28" s="14"/>
      <c r="C28" s="7"/>
    </row>
    <row r="29" spans="1:8" x14ac:dyDescent="0.25">
      <c r="E29" t="s">
        <v>151</v>
      </c>
      <c r="H29" s="20">
        <f>H27*0.5</f>
        <v>7667.9582285714296</v>
      </c>
    </row>
    <row r="30" spans="1:8" ht="15.75" x14ac:dyDescent="0.25">
      <c r="A30" t="s">
        <v>10</v>
      </c>
      <c r="C30" s="10">
        <f>C21-C23-C25-C27</f>
        <v>24192.48685714286</v>
      </c>
      <c r="H30" s="18"/>
    </row>
    <row r="31" spans="1:8" x14ac:dyDescent="0.25">
      <c r="H31" s="3"/>
    </row>
    <row r="32" spans="1:8" x14ac:dyDescent="0.25">
      <c r="H32" s="18"/>
    </row>
  </sheetData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8A73F-705D-4AC8-94CB-549F76A248DC}">
  <dimension ref="A1:H32"/>
  <sheetViews>
    <sheetView workbookViewId="0">
      <selection activeCell="A10" sqref="A1:XFD1048576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605</v>
      </c>
    </row>
    <row r="3" spans="1:8" ht="21" x14ac:dyDescent="0.35">
      <c r="A3" s="2" t="s">
        <v>1</v>
      </c>
      <c r="D3" s="11">
        <v>73780</v>
      </c>
      <c r="F3" s="12" t="s">
        <v>3</v>
      </c>
      <c r="H3" s="4">
        <f>(D3/1.19)*0.19</f>
        <v>11780</v>
      </c>
    </row>
    <row r="4" spans="1:8" x14ac:dyDescent="0.25">
      <c r="A4" s="13" t="s">
        <v>32</v>
      </c>
      <c r="C4" s="26">
        <v>822</v>
      </c>
    </row>
    <row r="5" spans="1:8" ht="21" x14ac:dyDescent="0.35">
      <c r="A5" s="2" t="s">
        <v>2</v>
      </c>
    </row>
    <row r="7" spans="1:8" ht="18.75" x14ac:dyDescent="0.3">
      <c r="A7" s="5"/>
      <c r="D7" s="4"/>
      <c r="E7" s="25"/>
      <c r="H7" s="4"/>
    </row>
    <row r="8" spans="1:8" ht="18.75" x14ac:dyDescent="0.3">
      <c r="A8" s="5" t="s">
        <v>221</v>
      </c>
      <c r="C8" s="3"/>
      <c r="D8" s="32">
        <v>40750</v>
      </c>
      <c r="E8" s="25"/>
      <c r="H8" s="4">
        <f t="shared" ref="H8" si="0">(D8/1.19)*0.19</f>
        <v>6506.3025210084033</v>
      </c>
    </row>
    <row r="9" spans="1:8" ht="18.75" x14ac:dyDescent="0.3">
      <c r="A9" s="5"/>
      <c r="C9" s="3"/>
      <c r="D9" s="28"/>
      <c r="E9" s="25"/>
      <c r="H9" s="4"/>
    </row>
    <row r="10" spans="1:8" ht="18.75" x14ac:dyDescent="0.3">
      <c r="A10" s="5"/>
      <c r="C10" s="3"/>
      <c r="D10" s="28"/>
      <c r="E10" s="25"/>
      <c r="H10" s="4"/>
    </row>
    <row r="11" spans="1:8" ht="19.5" thickBot="1" x14ac:dyDescent="0.35">
      <c r="A11" s="5"/>
      <c r="C11" s="3"/>
      <c r="D11" s="22"/>
      <c r="E11" s="25"/>
      <c r="H11" s="22">
        <v>0</v>
      </c>
    </row>
    <row r="12" spans="1:8" ht="18.75" customHeight="1" x14ac:dyDescent="0.3">
      <c r="D12" s="4">
        <f>SUM(D7:D11)</f>
        <v>40750</v>
      </c>
      <c r="H12" s="4">
        <f>SUM(H7:H11)</f>
        <v>6506.3025210084033</v>
      </c>
    </row>
    <row r="13" spans="1:8" ht="18.75" x14ac:dyDescent="0.3">
      <c r="A13" s="5"/>
      <c r="C13" s="3"/>
      <c r="D13" s="4"/>
      <c r="H13" s="4"/>
    </row>
    <row r="15" spans="1:8" ht="18.75" x14ac:dyDescent="0.3">
      <c r="A15" s="5"/>
      <c r="C15" s="3"/>
      <c r="D15" s="4"/>
      <c r="H15" s="4"/>
    </row>
    <row r="16" spans="1:8" ht="15.75" thickBot="1" x14ac:dyDescent="0.3">
      <c r="D16" s="7"/>
      <c r="H16" s="7"/>
    </row>
    <row r="18" spans="1:8" ht="18.75" x14ac:dyDescent="0.3">
      <c r="C18" t="s">
        <v>4</v>
      </c>
      <c r="D18" s="4">
        <f>D3-D12</f>
        <v>33030</v>
      </c>
      <c r="G18" t="s">
        <v>5</v>
      </c>
      <c r="H18" s="4">
        <f>H3-H12</f>
        <v>5273.6974789915967</v>
      </c>
    </row>
    <row r="21" spans="1:8" ht="15.75" x14ac:dyDescent="0.25">
      <c r="A21" t="s">
        <v>6</v>
      </c>
      <c r="C21" s="8">
        <f>D18</f>
        <v>33030</v>
      </c>
      <c r="E21" t="s">
        <v>10</v>
      </c>
      <c r="H21" s="6">
        <f>C30</f>
        <v>27461.182521008403</v>
      </c>
    </row>
    <row r="23" spans="1:8" ht="15.75" x14ac:dyDescent="0.25">
      <c r="A23" t="s">
        <v>5</v>
      </c>
      <c r="B23" s="9" t="s">
        <v>7</v>
      </c>
      <c r="C23" s="8">
        <f>H18</f>
        <v>5273.6974789915967</v>
      </c>
      <c r="E23" s="13" t="s">
        <v>11</v>
      </c>
      <c r="F23" s="9" t="s">
        <v>181</v>
      </c>
      <c r="G23" s="15" t="s">
        <v>17</v>
      </c>
      <c r="H23" s="3">
        <f>-(F24*0.007)</f>
        <v>-434</v>
      </c>
    </row>
    <row r="24" spans="1:8" x14ac:dyDescent="0.25">
      <c r="F24" s="21">
        <f>D3-H3</f>
        <v>62000</v>
      </c>
    </row>
    <row r="25" spans="1:8" ht="15.75" x14ac:dyDescent="0.25">
      <c r="A25" t="s">
        <v>8</v>
      </c>
      <c r="B25" s="9" t="s">
        <v>7</v>
      </c>
      <c r="C25" s="8">
        <f>D3*0.004</f>
        <v>295.12</v>
      </c>
      <c r="F25" s="9" t="s">
        <v>13</v>
      </c>
      <c r="G25" s="16">
        <v>0.35</v>
      </c>
      <c r="H25" s="29">
        <f>-(F26*0.35)</f>
        <v>-9611.4138823529411</v>
      </c>
    </row>
    <row r="26" spans="1:8" ht="15.75" thickBot="1" x14ac:dyDescent="0.3">
      <c r="F26" s="21">
        <f>H21</f>
        <v>27461.182521008403</v>
      </c>
      <c r="H26" s="7"/>
    </row>
    <row r="27" spans="1:8" ht="15.75" x14ac:dyDescent="0.25">
      <c r="A27" t="s">
        <v>9</v>
      </c>
      <c r="B27" s="9" t="s">
        <v>7</v>
      </c>
      <c r="C27" s="10"/>
      <c r="G27" s="13" t="s">
        <v>14</v>
      </c>
      <c r="H27" s="6">
        <f>H21+H23+H25</f>
        <v>17415.768638655463</v>
      </c>
    </row>
    <row r="28" spans="1:8" ht="15.75" thickBot="1" x14ac:dyDescent="0.3">
      <c r="A28" s="16"/>
      <c r="B28" s="14"/>
      <c r="C28" s="7"/>
    </row>
    <row r="29" spans="1:8" x14ac:dyDescent="0.25">
      <c r="E29" t="s">
        <v>151</v>
      </c>
      <c r="H29" s="20">
        <f>H27*0.5</f>
        <v>8707.8843193277316</v>
      </c>
    </row>
    <row r="30" spans="1:8" ht="15.75" x14ac:dyDescent="0.25">
      <c r="A30" t="s">
        <v>10</v>
      </c>
      <c r="C30" s="10">
        <f>C21-C23-C25-C27</f>
        <v>27461.182521008403</v>
      </c>
      <c r="H30" s="18"/>
    </row>
    <row r="31" spans="1:8" x14ac:dyDescent="0.25">
      <c r="H31" s="3"/>
    </row>
    <row r="32" spans="1:8" x14ac:dyDescent="0.25">
      <c r="H32" s="18"/>
    </row>
  </sheetData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9C1EA-0486-4343-8984-82F3B4A5FD4E}">
  <dimension ref="A1:H32"/>
  <sheetViews>
    <sheetView workbookViewId="0">
      <selection sqref="A1:XFD1048576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501</v>
      </c>
    </row>
    <row r="3" spans="1:8" ht="21" x14ac:dyDescent="0.35">
      <c r="A3" s="2" t="s">
        <v>1</v>
      </c>
      <c r="D3" s="11">
        <v>21420</v>
      </c>
      <c r="F3" s="12" t="s">
        <v>3</v>
      </c>
      <c r="H3" s="4">
        <f>(D3/1.19)*0.19</f>
        <v>3420</v>
      </c>
    </row>
    <row r="4" spans="1:8" x14ac:dyDescent="0.25">
      <c r="A4" s="13" t="s">
        <v>32</v>
      </c>
      <c r="C4" s="26">
        <v>823</v>
      </c>
    </row>
    <row r="5" spans="1:8" ht="21" x14ac:dyDescent="0.35">
      <c r="A5" s="2" t="s">
        <v>2</v>
      </c>
    </row>
    <row r="7" spans="1:8" ht="18.75" x14ac:dyDescent="0.3">
      <c r="A7" s="5"/>
      <c r="D7" s="4"/>
      <c r="E7" s="25"/>
      <c r="H7" s="4"/>
    </row>
    <row r="8" spans="1:8" ht="18.75" x14ac:dyDescent="0.3">
      <c r="A8" s="5" t="s">
        <v>517</v>
      </c>
      <c r="C8" s="3"/>
      <c r="D8" s="32">
        <v>13320</v>
      </c>
      <c r="E8" s="25"/>
      <c r="H8" s="4">
        <f t="shared" ref="H8" si="0">(D8/1.19)*0.19</f>
        <v>2126.7226890756301</v>
      </c>
    </row>
    <row r="9" spans="1:8" ht="18.75" x14ac:dyDescent="0.3">
      <c r="A9" s="5"/>
      <c r="C9" s="3"/>
      <c r="D9" s="28"/>
      <c r="E9" s="25"/>
      <c r="H9" s="4"/>
    </row>
    <row r="10" spans="1:8" ht="18.75" x14ac:dyDescent="0.3">
      <c r="A10" s="5"/>
      <c r="C10" s="3"/>
      <c r="D10" s="28"/>
      <c r="E10" s="25"/>
      <c r="H10" s="4"/>
    </row>
    <row r="11" spans="1:8" ht="19.5" thickBot="1" x14ac:dyDescent="0.35">
      <c r="A11" s="5"/>
      <c r="C11" s="3"/>
      <c r="D11" s="22"/>
      <c r="E11" s="25"/>
      <c r="H11" s="22">
        <v>0</v>
      </c>
    </row>
    <row r="12" spans="1:8" ht="18.75" customHeight="1" x14ac:dyDescent="0.3">
      <c r="D12" s="4">
        <f>SUM(D7:D11)</f>
        <v>13320</v>
      </c>
      <c r="H12" s="4">
        <f>SUM(H7:H11)</f>
        <v>2126.7226890756301</v>
      </c>
    </row>
    <row r="13" spans="1:8" ht="18.75" x14ac:dyDescent="0.3">
      <c r="A13" s="5"/>
      <c r="C13" s="3"/>
      <c r="D13" s="4"/>
      <c r="H13" s="4"/>
    </row>
    <row r="15" spans="1:8" ht="18.75" x14ac:dyDescent="0.3">
      <c r="A15" s="5"/>
      <c r="C15" s="3"/>
      <c r="D15" s="4"/>
      <c r="H15" s="4"/>
    </row>
    <row r="16" spans="1:8" ht="15.75" thickBot="1" x14ac:dyDescent="0.3">
      <c r="D16" s="7"/>
      <c r="H16" s="7"/>
    </row>
    <row r="18" spans="1:8" ht="18.75" x14ac:dyDescent="0.3">
      <c r="C18" t="s">
        <v>4</v>
      </c>
      <c r="D18" s="4">
        <f>D3-D12</f>
        <v>8100</v>
      </c>
      <c r="G18" t="s">
        <v>5</v>
      </c>
      <c r="H18" s="4">
        <f>H3-H12</f>
        <v>1293.2773109243699</v>
      </c>
    </row>
    <row r="21" spans="1:8" ht="15.75" x14ac:dyDescent="0.25">
      <c r="A21" t="s">
        <v>6</v>
      </c>
      <c r="C21" s="8">
        <f>D18</f>
        <v>8100</v>
      </c>
      <c r="E21" t="s">
        <v>10</v>
      </c>
      <c r="H21" s="6">
        <f>C30</f>
        <v>6721.0426890756298</v>
      </c>
    </row>
    <row r="23" spans="1:8" ht="15.75" x14ac:dyDescent="0.25">
      <c r="A23" t="s">
        <v>5</v>
      </c>
      <c r="B23" s="9" t="s">
        <v>7</v>
      </c>
      <c r="C23" s="8">
        <f>H18</f>
        <v>1293.2773109243699</v>
      </c>
      <c r="E23" s="13" t="s">
        <v>11</v>
      </c>
      <c r="F23" s="9" t="s">
        <v>181</v>
      </c>
      <c r="G23" s="15" t="s">
        <v>17</v>
      </c>
      <c r="H23" s="3">
        <f>-(F24*0.007)</f>
        <v>-126</v>
      </c>
    </row>
    <row r="24" spans="1:8" x14ac:dyDescent="0.25">
      <c r="F24" s="21">
        <f>D3-H3</f>
        <v>18000</v>
      </c>
    </row>
    <row r="25" spans="1:8" ht="15.75" x14ac:dyDescent="0.25">
      <c r="A25" t="s">
        <v>8</v>
      </c>
      <c r="B25" s="9" t="s">
        <v>7</v>
      </c>
      <c r="C25" s="8">
        <f>D3*0.004</f>
        <v>85.68</v>
      </c>
      <c r="F25" s="9" t="s">
        <v>13</v>
      </c>
      <c r="G25" s="16">
        <v>0.35</v>
      </c>
      <c r="H25" s="29">
        <f>-(F26*0.35)</f>
        <v>-2352.3649411764704</v>
      </c>
    </row>
    <row r="26" spans="1:8" ht="15.75" thickBot="1" x14ac:dyDescent="0.3">
      <c r="F26" s="21">
        <f>H21</f>
        <v>6721.0426890756298</v>
      </c>
      <c r="H26" s="7"/>
    </row>
    <row r="27" spans="1:8" ht="15.75" x14ac:dyDescent="0.25">
      <c r="A27" t="s">
        <v>9</v>
      </c>
      <c r="B27" s="9" t="s">
        <v>7</v>
      </c>
      <c r="C27" s="10"/>
      <c r="G27" s="13" t="s">
        <v>14</v>
      </c>
      <c r="H27" s="6">
        <f>H21+H23+H25</f>
        <v>4242.6777478991589</v>
      </c>
    </row>
    <row r="28" spans="1:8" ht="15.75" thickBot="1" x14ac:dyDescent="0.3">
      <c r="A28" s="16"/>
      <c r="B28" s="14"/>
      <c r="C28" s="7"/>
    </row>
    <row r="29" spans="1:8" x14ac:dyDescent="0.25">
      <c r="E29" t="s">
        <v>151</v>
      </c>
      <c r="H29" s="20">
        <f>H27*0.5</f>
        <v>2121.3388739495795</v>
      </c>
    </row>
    <row r="30" spans="1:8" ht="15.75" x14ac:dyDescent="0.25">
      <c r="A30" t="s">
        <v>10</v>
      </c>
      <c r="C30" s="10">
        <f>C21-C23-C25-C27</f>
        <v>6721.0426890756298</v>
      </c>
      <c r="H30" s="18"/>
    </row>
    <row r="31" spans="1:8" x14ac:dyDescent="0.25">
      <c r="H31" s="3"/>
    </row>
    <row r="32" spans="1:8" x14ac:dyDescent="0.25">
      <c r="H32" s="18"/>
    </row>
  </sheetData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E34D2-7C26-46CD-9C9E-03FD1D96788C}">
  <dimension ref="A1:H32"/>
  <sheetViews>
    <sheetView workbookViewId="0">
      <selection sqref="A1:XFD1048576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606</v>
      </c>
    </row>
    <row r="3" spans="1:8" ht="21" x14ac:dyDescent="0.35">
      <c r="A3" s="2" t="s">
        <v>1</v>
      </c>
      <c r="D3" s="11">
        <v>522648</v>
      </c>
      <c r="F3" s="12" t="s">
        <v>3</v>
      </c>
      <c r="H3" s="4">
        <f>(D3/1.19)*0.19</f>
        <v>83448</v>
      </c>
    </row>
    <row r="4" spans="1:8" x14ac:dyDescent="0.25">
      <c r="A4" s="13" t="s">
        <v>32</v>
      </c>
      <c r="C4" s="26">
        <v>828</v>
      </c>
    </row>
    <row r="5" spans="1:8" ht="21" x14ac:dyDescent="0.35">
      <c r="A5" s="2" t="s">
        <v>2</v>
      </c>
    </row>
    <row r="7" spans="1:8" ht="18.75" x14ac:dyDescent="0.3">
      <c r="A7" s="5"/>
      <c r="D7" s="4"/>
      <c r="E7" s="25"/>
      <c r="H7" s="4"/>
    </row>
    <row r="8" spans="1:8" ht="18.75" x14ac:dyDescent="0.3">
      <c r="A8" s="5" t="s">
        <v>393</v>
      </c>
      <c r="C8" s="3"/>
      <c r="D8" s="32">
        <v>331800</v>
      </c>
      <c r="E8" s="25"/>
      <c r="H8" s="4">
        <f t="shared" ref="H8" si="0">(D8/1.19)*0.19</f>
        <v>52976.470588235294</v>
      </c>
    </row>
    <row r="9" spans="1:8" ht="18.75" x14ac:dyDescent="0.3">
      <c r="A9" s="5"/>
      <c r="C9" s="3"/>
      <c r="D9" s="28"/>
      <c r="E9" s="25"/>
      <c r="H9" s="4"/>
    </row>
    <row r="10" spans="1:8" ht="18.75" x14ac:dyDescent="0.3">
      <c r="A10" s="5"/>
      <c r="C10" s="3"/>
      <c r="D10" s="28"/>
      <c r="E10" s="25"/>
      <c r="H10" s="4"/>
    </row>
    <row r="11" spans="1:8" ht="19.5" thickBot="1" x14ac:dyDescent="0.35">
      <c r="A11" s="5"/>
      <c r="C11" s="3"/>
      <c r="D11" s="22"/>
      <c r="E11" s="25"/>
      <c r="H11" s="22">
        <v>0</v>
      </c>
    </row>
    <row r="12" spans="1:8" ht="18.75" customHeight="1" x14ac:dyDescent="0.3">
      <c r="D12" s="4">
        <f>SUM(D7:D11)</f>
        <v>331800</v>
      </c>
      <c r="H12" s="4">
        <f>SUM(H7:H11)</f>
        <v>52976.470588235294</v>
      </c>
    </row>
    <row r="13" spans="1:8" ht="18.75" x14ac:dyDescent="0.3">
      <c r="A13" s="5"/>
      <c r="C13" s="3"/>
      <c r="D13" s="4"/>
      <c r="H13" s="4"/>
    </row>
    <row r="15" spans="1:8" ht="18.75" x14ac:dyDescent="0.3">
      <c r="A15" s="5"/>
      <c r="C15" s="3"/>
      <c r="D15" s="4"/>
      <c r="H15" s="4"/>
    </row>
    <row r="16" spans="1:8" ht="15.75" thickBot="1" x14ac:dyDescent="0.3">
      <c r="D16" s="7"/>
      <c r="H16" s="7"/>
    </row>
    <row r="18" spans="1:8" ht="18.75" x14ac:dyDescent="0.3">
      <c r="C18" t="s">
        <v>4</v>
      </c>
      <c r="D18" s="4">
        <f>D3-D12</f>
        <v>190848</v>
      </c>
      <c r="G18" t="s">
        <v>5</v>
      </c>
      <c r="H18" s="4">
        <f>H3-H12</f>
        <v>30471.529411764706</v>
      </c>
    </row>
    <row r="21" spans="1:8" ht="15.75" x14ac:dyDescent="0.25">
      <c r="A21" t="s">
        <v>6</v>
      </c>
      <c r="C21" s="8">
        <f>D18</f>
        <v>190848</v>
      </c>
      <c r="E21" t="s">
        <v>10</v>
      </c>
      <c r="H21" s="6">
        <f>C30</f>
        <v>158285.8785882353</v>
      </c>
    </row>
    <row r="23" spans="1:8" ht="15.75" x14ac:dyDescent="0.25">
      <c r="A23" t="s">
        <v>5</v>
      </c>
      <c r="B23" s="9" t="s">
        <v>7</v>
      </c>
      <c r="C23" s="8">
        <f>H18</f>
        <v>30471.529411764706</v>
      </c>
      <c r="E23" s="13" t="s">
        <v>11</v>
      </c>
      <c r="F23" s="9" t="s">
        <v>181</v>
      </c>
      <c r="G23" s="15" t="s">
        <v>17</v>
      </c>
      <c r="H23" s="3">
        <f>-(F24*0.007)</f>
        <v>-3074.4</v>
      </c>
    </row>
    <row r="24" spans="1:8" x14ac:dyDescent="0.25">
      <c r="F24" s="21">
        <f>D3-H3</f>
        <v>439200</v>
      </c>
    </row>
    <row r="25" spans="1:8" ht="15.75" x14ac:dyDescent="0.25">
      <c r="A25" t="s">
        <v>8</v>
      </c>
      <c r="B25" s="9" t="s">
        <v>7</v>
      </c>
      <c r="C25" s="8">
        <f>D3*0.004</f>
        <v>2090.5920000000001</v>
      </c>
      <c r="F25" s="9" t="s">
        <v>13</v>
      </c>
      <c r="G25" s="16">
        <v>0.35</v>
      </c>
      <c r="H25" s="29">
        <f>-(F26*0.35)</f>
        <v>-55400.057505882352</v>
      </c>
    </row>
    <row r="26" spans="1:8" ht="15.75" thickBot="1" x14ac:dyDescent="0.3">
      <c r="F26" s="21">
        <f>H21</f>
        <v>158285.8785882353</v>
      </c>
      <c r="H26" s="7"/>
    </row>
    <row r="27" spans="1:8" ht="15.75" x14ac:dyDescent="0.25">
      <c r="A27" t="s">
        <v>9</v>
      </c>
      <c r="B27" s="9" t="s">
        <v>7</v>
      </c>
      <c r="C27" s="10"/>
      <c r="G27" s="13" t="s">
        <v>14</v>
      </c>
      <c r="H27" s="6">
        <f>H21+H23+H25</f>
        <v>99811.421082352957</v>
      </c>
    </row>
    <row r="28" spans="1:8" ht="15.75" thickBot="1" x14ac:dyDescent="0.3">
      <c r="A28" s="16"/>
      <c r="B28" s="14"/>
      <c r="C28" s="7"/>
    </row>
    <row r="29" spans="1:8" x14ac:dyDescent="0.25">
      <c r="E29" t="s">
        <v>151</v>
      </c>
      <c r="H29" s="20">
        <f>H27*0.5</f>
        <v>49905.710541176479</v>
      </c>
    </row>
    <row r="30" spans="1:8" ht="15.75" x14ac:dyDescent="0.25">
      <c r="A30" t="s">
        <v>10</v>
      </c>
      <c r="C30" s="10">
        <f>C21-C23-C25-C27</f>
        <v>158285.8785882353</v>
      </c>
      <c r="H30" s="18"/>
    </row>
    <row r="31" spans="1:8" x14ac:dyDescent="0.25">
      <c r="H31" s="3"/>
    </row>
    <row r="32" spans="1:8" x14ac:dyDescent="0.25">
      <c r="H32" s="18"/>
    </row>
  </sheetData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5E5EB-C88A-4140-86C2-8E45ABE45A7D}">
  <dimension ref="A1:H32"/>
  <sheetViews>
    <sheetView workbookViewId="0">
      <selection sqref="A1:XFD1048576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607</v>
      </c>
    </row>
    <row r="3" spans="1:8" ht="21" x14ac:dyDescent="0.35">
      <c r="A3" s="2" t="s">
        <v>1</v>
      </c>
      <c r="D3" s="11">
        <v>184450</v>
      </c>
      <c r="F3" s="12" t="s">
        <v>3</v>
      </c>
      <c r="H3" s="4">
        <f>(D3/1.19)*0.19</f>
        <v>29450</v>
      </c>
    </row>
    <row r="4" spans="1:8" x14ac:dyDescent="0.25">
      <c r="A4" s="13" t="s">
        <v>32</v>
      </c>
      <c r="C4" s="26">
        <v>830</v>
      </c>
    </row>
    <row r="5" spans="1:8" ht="21" x14ac:dyDescent="0.35">
      <c r="A5" s="2" t="s">
        <v>2</v>
      </c>
    </row>
    <row r="7" spans="1:8" ht="18.75" x14ac:dyDescent="0.3">
      <c r="A7" s="5"/>
      <c r="D7" s="4"/>
      <c r="E7" s="25"/>
      <c r="H7" s="4"/>
    </row>
    <row r="8" spans="1:8" ht="18.75" x14ac:dyDescent="0.3">
      <c r="A8" s="5" t="s">
        <v>393</v>
      </c>
      <c r="C8" s="3"/>
      <c r="D8" s="32">
        <v>70100</v>
      </c>
      <c r="E8" s="25"/>
      <c r="H8" s="4">
        <f t="shared" ref="H8" si="0">(D8/1.19)*0.19</f>
        <v>11192.436974789916</v>
      </c>
    </row>
    <row r="9" spans="1:8" ht="18.75" x14ac:dyDescent="0.3">
      <c r="A9" s="5"/>
      <c r="C9" s="3"/>
      <c r="D9" s="28"/>
      <c r="E9" s="25"/>
      <c r="H9" s="4"/>
    </row>
    <row r="10" spans="1:8" ht="18.75" x14ac:dyDescent="0.3">
      <c r="A10" s="5"/>
      <c r="C10" s="3"/>
      <c r="D10" s="28"/>
      <c r="E10" s="25"/>
      <c r="H10" s="4"/>
    </row>
    <row r="11" spans="1:8" ht="19.5" thickBot="1" x14ac:dyDescent="0.35">
      <c r="A11" s="5"/>
      <c r="C11" s="3"/>
      <c r="D11" s="22"/>
      <c r="E11" s="25"/>
      <c r="H11" s="22">
        <v>0</v>
      </c>
    </row>
    <row r="12" spans="1:8" ht="18.75" customHeight="1" x14ac:dyDescent="0.3">
      <c r="D12" s="4">
        <f>SUM(D7:D11)</f>
        <v>70100</v>
      </c>
      <c r="H12" s="4">
        <f>SUM(H7:H11)</f>
        <v>11192.436974789916</v>
      </c>
    </row>
    <row r="13" spans="1:8" ht="18.75" x14ac:dyDescent="0.3">
      <c r="A13" s="5"/>
      <c r="C13" s="3"/>
      <c r="D13" s="4"/>
      <c r="H13" s="4"/>
    </row>
    <row r="15" spans="1:8" ht="18.75" x14ac:dyDescent="0.3">
      <c r="A15" s="5"/>
      <c r="C15" s="3"/>
      <c r="D15" s="4"/>
      <c r="H15" s="4"/>
    </row>
    <row r="16" spans="1:8" ht="15.75" thickBot="1" x14ac:dyDescent="0.3">
      <c r="D16" s="7"/>
      <c r="H16" s="7"/>
    </row>
    <row r="18" spans="1:8" ht="18.75" x14ac:dyDescent="0.3">
      <c r="C18" t="s">
        <v>4</v>
      </c>
      <c r="D18" s="4">
        <f>D3-D12</f>
        <v>114350</v>
      </c>
      <c r="G18" t="s">
        <v>5</v>
      </c>
      <c r="H18" s="4">
        <f>H3-H12</f>
        <v>18257.563025210082</v>
      </c>
    </row>
    <row r="21" spans="1:8" ht="15.75" x14ac:dyDescent="0.25">
      <c r="A21" t="s">
        <v>6</v>
      </c>
      <c r="C21" s="8">
        <f>D18</f>
        <v>114350</v>
      </c>
      <c r="E21" t="s">
        <v>10</v>
      </c>
      <c r="H21" s="6">
        <f>C30</f>
        <v>95354.636974789915</v>
      </c>
    </row>
    <row r="23" spans="1:8" ht="15.75" x14ac:dyDescent="0.25">
      <c r="A23" t="s">
        <v>5</v>
      </c>
      <c r="B23" s="9" t="s">
        <v>7</v>
      </c>
      <c r="C23" s="8">
        <f>H18</f>
        <v>18257.563025210082</v>
      </c>
      <c r="E23" s="13" t="s">
        <v>11</v>
      </c>
      <c r="F23" s="9" t="s">
        <v>181</v>
      </c>
      <c r="G23" s="15" t="s">
        <v>17</v>
      </c>
      <c r="H23" s="3">
        <f>-(F24*0.007)</f>
        <v>-1085</v>
      </c>
    </row>
    <row r="24" spans="1:8" x14ac:dyDescent="0.25">
      <c r="F24" s="21">
        <f>D3-H3</f>
        <v>155000</v>
      </c>
    </row>
    <row r="25" spans="1:8" ht="15.75" x14ac:dyDescent="0.25">
      <c r="A25" t="s">
        <v>8</v>
      </c>
      <c r="B25" s="9" t="s">
        <v>7</v>
      </c>
      <c r="C25" s="8">
        <f>D3*0.004</f>
        <v>737.80000000000007</v>
      </c>
      <c r="F25" s="9" t="s">
        <v>13</v>
      </c>
      <c r="G25" s="16">
        <v>0.35</v>
      </c>
      <c r="H25" s="29">
        <f>-(F26*0.35)</f>
        <v>-33374.122941176465</v>
      </c>
    </row>
    <row r="26" spans="1:8" ht="15.75" thickBot="1" x14ac:dyDescent="0.3">
      <c r="F26" s="21">
        <f>H21</f>
        <v>95354.636974789915</v>
      </c>
      <c r="H26" s="7"/>
    </row>
    <row r="27" spans="1:8" ht="15.75" x14ac:dyDescent="0.25">
      <c r="A27" t="s">
        <v>9</v>
      </c>
      <c r="B27" s="9" t="s">
        <v>7</v>
      </c>
      <c r="C27" s="10"/>
      <c r="G27" s="13" t="s">
        <v>14</v>
      </c>
      <c r="H27" s="6">
        <f>H21+H23+H25</f>
        <v>60895.51403361345</v>
      </c>
    </row>
    <row r="28" spans="1:8" ht="15.75" thickBot="1" x14ac:dyDescent="0.3">
      <c r="A28" s="16"/>
      <c r="B28" s="14"/>
      <c r="C28" s="7"/>
    </row>
    <row r="29" spans="1:8" x14ac:dyDescent="0.25">
      <c r="E29" t="s">
        <v>151</v>
      </c>
      <c r="H29" s="20">
        <f>H27*0.5</f>
        <v>30447.757016806725</v>
      </c>
    </row>
    <row r="30" spans="1:8" ht="15.75" x14ac:dyDescent="0.25">
      <c r="A30" t="s">
        <v>10</v>
      </c>
      <c r="C30" s="10">
        <f>C21-C23-C25-C27</f>
        <v>95354.636974789915</v>
      </c>
      <c r="H30" s="18"/>
    </row>
    <row r="31" spans="1:8" x14ac:dyDescent="0.25">
      <c r="H31" s="3"/>
    </row>
    <row r="32" spans="1:8" x14ac:dyDescent="0.25">
      <c r="H32" s="18"/>
    </row>
  </sheetData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82D0F-E978-413F-B4B8-E29B986FD23D}">
  <dimension ref="A1:H32"/>
  <sheetViews>
    <sheetView workbookViewId="0">
      <selection sqref="A1:XFD1048576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608</v>
      </c>
    </row>
    <row r="3" spans="1:8" ht="21" x14ac:dyDescent="0.35">
      <c r="A3" s="2" t="s">
        <v>1</v>
      </c>
      <c r="D3" s="11">
        <v>114883</v>
      </c>
      <c r="F3" s="12" t="s">
        <v>3</v>
      </c>
      <c r="H3" s="4">
        <f>(D3/1.19)*0.19</f>
        <v>18342.663865546219</v>
      </c>
    </row>
    <row r="4" spans="1:8" x14ac:dyDescent="0.25">
      <c r="A4" s="13" t="s">
        <v>32</v>
      </c>
      <c r="C4" s="26">
        <v>831</v>
      </c>
    </row>
    <row r="5" spans="1:8" ht="21" x14ac:dyDescent="0.35">
      <c r="A5" s="2" t="s">
        <v>2</v>
      </c>
    </row>
    <row r="7" spans="1:8" ht="18.75" x14ac:dyDescent="0.3">
      <c r="A7" s="5"/>
      <c r="D7" s="4"/>
      <c r="E7" s="25"/>
      <c r="H7" s="4"/>
    </row>
    <row r="8" spans="1:8" ht="18.75" x14ac:dyDescent="0.3">
      <c r="A8" s="5" t="s">
        <v>393</v>
      </c>
      <c r="C8" s="3"/>
      <c r="D8" s="32">
        <v>86162</v>
      </c>
      <c r="E8" s="25"/>
      <c r="H8" s="4">
        <f t="shared" ref="H8" si="0">(D8/1.19)*0.19</f>
        <v>13756.957983193277</v>
      </c>
    </row>
    <row r="9" spans="1:8" ht="18.75" x14ac:dyDescent="0.3">
      <c r="A9" s="5"/>
      <c r="C9" s="3"/>
      <c r="D9" s="28"/>
      <c r="E9" s="25"/>
      <c r="H9" s="4"/>
    </row>
    <row r="10" spans="1:8" ht="18.75" x14ac:dyDescent="0.3">
      <c r="A10" s="5"/>
      <c r="C10" s="3"/>
      <c r="D10" s="28"/>
      <c r="E10" s="25"/>
      <c r="H10" s="4"/>
    </row>
    <row r="11" spans="1:8" ht="19.5" thickBot="1" x14ac:dyDescent="0.35">
      <c r="A11" s="5"/>
      <c r="C11" s="3"/>
      <c r="D11" s="22"/>
      <c r="E11" s="25"/>
      <c r="H11" s="22">
        <v>0</v>
      </c>
    </row>
    <row r="12" spans="1:8" ht="18.75" customHeight="1" x14ac:dyDescent="0.3">
      <c r="D12" s="4">
        <f>SUM(D7:D11)</f>
        <v>86162</v>
      </c>
      <c r="H12" s="4">
        <f>SUM(H7:H11)</f>
        <v>13756.957983193277</v>
      </c>
    </row>
    <row r="13" spans="1:8" ht="18.75" x14ac:dyDescent="0.3">
      <c r="A13" s="5"/>
      <c r="C13" s="3"/>
      <c r="D13" s="4"/>
      <c r="H13" s="4"/>
    </row>
    <row r="15" spans="1:8" ht="18.75" x14ac:dyDescent="0.3">
      <c r="A15" s="5"/>
      <c r="C15" s="3"/>
      <c r="D15" s="4"/>
      <c r="H15" s="4"/>
    </row>
    <row r="16" spans="1:8" ht="15.75" thickBot="1" x14ac:dyDescent="0.3">
      <c r="D16" s="7"/>
      <c r="H16" s="7"/>
    </row>
    <row r="18" spans="1:8" ht="18.75" x14ac:dyDescent="0.3">
      <c r="C18" t="s">
        <v>4</v>
      </c>
      <c r="D18" s="4">
        <f>D3-D12</f>
        <v>28721</v>
      </c>
      <c r="G18" t="s">
        <v>5</v>
      </c>
      <c r="H18" s="4">
        <f>H3-H12</f>
        <v>4585.7058823529424</v>
      </c>
    </row>
    <row r="21" spans="1:8" ht="15.75" x14ac:dyDescent="0.25">
      <c r="A21" t="s">
        <v>6</v>
      </c>
      <c r="C21" s="8">
        <f>D18</f>
        <v>28721</v>
      </c>
      <c r="E21" t="s">
        <v>10</v>
      </c>
      <c r="H21" s="6">
        <f>C30</f>
        <v>23675.762117647057</v>
      </c>
    </row>
    <row r="23" spans="1:8" ht="15.75" x14ac:dyDescent="0.25">
      <c r="A23" t="s">
        <v>5</v>
      </c>
      <c r="B23" s="9" t="s">
        <v>7</v>
      </c>
      <c r="C23" s="8">
        <f>H18</f>
        <v>4585.7058823529424</v>
      </c>
      <c r="E23" s="13" t="s">
        <v>11</v>
      </c>
      <c r="F23" s="9" t="s">
        <v>181</v>
      </c>
      <c r="G23" s="15" t="s">
        <v>17</v>
      </c>
      <c r="H23" s="3">
        <f>-(F24*0.007)</f>
        <v>-675.78235294117655</v>
      </c>
    </row>
    <row r="24" spans="1:8" x14ac:dyDescent="0.25">
      <c r="F24" s="21">
        <f>D3-H3</f>
        <v>96540.336134453784</v>
      </c>
    </row>
    <row r="25" spans="1:8" ht="15.75" x14ac:dyDescent="0.25">
      <c r="A25" t="s">
        <v>8</v>
      </c>
      <c r="B25" s="9" t="s">
        <v>7</v>
      </c>
      <c r="C25" s="8">
        <f>D3*0.004</f>
        <v>459.53199999999998</v>
      </c>
      <c r="F25" s="9" t="s">
        <v>13</v>
      </c>
      <c r="G25" s="16">
        <v>0.35</v>
      </c>
      <c r="H25" s="29">
        <f>-(F26*0.35)</f>
        <v>-8286.5167411764687</v>
      </c>
    </row>
    <row r="26" spans="1:8" ht="15.75" thickBot="1" x14ac:dyDescent="0.3">
      <c r="F26" s="21">
        <f>H21</f>
        <v>23675.762117647057</v>
      </c>
      <c r="H26" s="7"/>
    </row>
    <row r="27" spans="1:8" ht="15.75" x14ac:dyDescent="0.25">
      <c r="A27" t="s">
        <v>9</v>
      </c>
      <c r="B27" s="9" t="s">
        <v>7</v>
      </c>
      <c r="C27" s="10"/>
      <c r="G27" s="13" t="s">
        <v>14</v>
      </c>
      <c r="H27" s="6">
        <f>H21+H23+H25</f>
        <v>14713.463023529412</v>
      </c>
    </row>
    <row r="28" spans="1:8" ht="15.75" thickBot="1" x14ac:dyDescent="0.3">
      <c r="A28" s="16"/>
      <c r="B28" s="14"/>
      <c r="C28" s="7"/>
    </row>
    <row r="29" spans="1:8" x14ac:dyDescent="0.25">
      <c r="E29" t="s">
        <v>151</v>
      </c>
      <c r="H29" s="20">
        <f>H27*0.5</f>
        <v>7356.7315117647058</v>
      </c>
    </row>
    <row r="30" spans="1:8" ht="15.75" x14ac:dyDescent="0.25">
      <c r="A30" t="s">
        <v>10</v>
      </c>
      <c r="C30" s="10">
        <f>C21-C23-C25-C27</f>
        <v>23675.762117647057</v>
      </c>
      <c r="H30" s="18"/>
    </row>
    <row r="31" spans="1:8" x14ac:dyDescent="0.25">
      <c r="H31" s="3"/>
    </row>
    <row r="32" spans="1:8" x14ac:dyDescent="0.25">
      <c r="H32" s="18"/>
    </row>
  </sheetData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4ED97-4A7D-4C50-9D31-871B4A5EAC65}">
  <dimension ref="A1:H32"/>
  <sheetViews>
    <sheetView workbookViewId="0">
      <selection activeCell="C5" sqref="C5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485</v>
      </c>
    </row>
    <row r="3" spans="1:8" ht="21" x14ac:dyDescent="0.35">
      <c r="A3" s="2" t="s">
        <v>1</v>
      </c>
      <c r="D3" s="11">
        <v>14875</v>
      </c>
      <c r="F3" s="12" t="s">
        <v>3</v>
      </c>
      <c r="H3" s="4">
        <f>(D3/1.19)*0.19</f>
        <v>2375</v>
      </c>
    </row>
    <row r="4" spans="1:8" x14ac:dyDescent="0.25">
      <c r="A4" s="13" t="s">
        <v>32</v>
      </c>
      <c r="C4" s="26">
        <v>832</v>
      </c>
    </row>
    <row r="5" spans="1:8" ht="21" x14ac:dyDescent="0.35">
      <c r="A5" s="2" t="s">
        <v>2</v>
      </c>
    </row>
    <row r="7" spans="1:8" ht="18.75" x14ac:dyDescent="0.3">
      <c r="A7" s="5"/>
      <c r="D7" s="4"/>
      <c r="E7" s="25"/>
      <c r="H7" s="4"/>
    </row>
    <row r="8" spans="1:8" ht="18.75" x14ac:dyDescent="0.3">
      <c r="A8" s="5" t="s">
        <v>393</v>
      </c>
      <c r="C8" s="3"/>
      <c r="D8" s="32">
        <v>11890</v>
      </c>
      <c r="E8" s="25"/>
      <c r="H8" s="4">
        <f t="shared" ref="H8" si="0">(D8/1.19)*0.19</f>
        <v>1898.4033613445379</v>
      </c>
    </row>
    <row r="9" spans="1:8" ht="18.75" x14ac:dyDescent="0.3">
      <c r="A9" s="5"/>
      <c r="C9" s="3"/>
      <c r="D9" s="28"/>
      <c r="E9" s="25"/>
      <c r="H9" s="4"/>
    </row>
    <row r="10" spans="1:8" ht="18.75" x14ac:dyDescent="0.3">
      <c r="A10" s="5"/>
      <c r="C10" s="3"/>
      <c r="D10" s="28"/>
      <c r="E10" s="25"/>
      <c r="H10" s="4"/>
    </row>
    <row r="11" spans="1:8" ht="19.5" thickBot="1" x14ac:dyDescent="0.35">
      <c r="A11" s="5"/>
      <c r="C11" s="3"/>
      <c r="D11" s="22"/>
      <c r="E11" s="25"/>
      <c r="H11" s="22">
        <v>0</v>
      </c>
    </row>
    <row r="12" spans="1:8" ht="18.75" customHeight="1" x14ac:dyDescent="0.3">
      <c r="D12" s="4">
        <f>SUM(D7:D11)</f>
        <v>11890</v>
      </c>
      <c r="H12" s="4">
        <f>SUM(H7:H11)</f>
        <v>1898.4033613445379</v>
      </c>
    </row>
    <row r="13" spans="1:8" ht="18.75" x14ac:dyDescent="0.3">
      <c r="A13" s="5"/>
      <c r="C13" s="3"/>
      <c r="D13" s="4"/>
      <c r="H13" s="4"/>
    </row>
    <row r="15" spans="1:8" ht="18.75" x14ac:dyDescent="0.3">
      <c r="A15" s="5"/>
      <c r="C15" s="3"/>
      <c r="D15" s="4"/>
      <c r="H15" s="4"/>
    </row>
    <row r="16" spans="1:8" ht="15.75" thickBot="1" x14ac:dyDescent="0.3">
      <c r="D16" s="7"/>
      <c r="H16" s="7"/>
    </row>
    <row r="18" spans="1:8" ht="18.75" x14ac:dyDescent="0.3">
      <c r="C18" t="s">
        <v>4</v>
      </c>
      <c r="D18" s="4">
        <f>D3-D12</f>
        <v>2985</v>
      </c>
      <c r="G18" t="s">
        <v>5</v>
      </c>
      <c r="H18" s="4">
        <f>H3-H12</f>
        <v>476.59663865546213</v>
      </c>
    </row>
    <row r="21" spans="1:8" ht="15.75" x14ac:dyDescent="0.25">
      <c r="A21" t="s">
        <v>6</v>
      </c>
      <c r="C21" s="8">
        <f>D18</f>
        <v>2985</v>
      </c>
      <c r="E21" t="s">
        <v>10</v>
      </c>
      <c r="H21" s="6">
        <f>C30</f>
        <v>2448.9033613445381</v>
      </c>
    </row>
    <row r="23" spans="1:8" ht="15.75" x14ac:dyDescent="0.25">
      <c r="A23" t="s">
        <v>5</v>
      </c>
      <c r="B23" s="9" t="s">
        <v>7</v>
      </c>
      <c r="C23" s="8">
        <f>H18</f>
        <v>476.59663865546213</v>
      </c>
      <c r="E23" s="13" t="s">
        <v>11</v>
      </c>
      <c r="F23" s="9" t="s">
        <v>181</v>
      </c>
      <c r="G23" s="15" t="s">
        <v>17</v>
      </c>
      <c r="H23" s="3">
        <f>-(F24*0.007)</f>
        <v>-87.5</v>
      </c>
    </row>
    <row r="24" spans="1:8" x14ac:dyDescent="0.25">
      <c r="F24" s="21">
        <f>D3-H3</f>
        <v>12500</v>
      </c>
    </row>
    <row r="25" spans="1:8" ht="15.75" x14ac:dyDescent="0.25">
      <c r="A25" t="s">
        <v>8</v>
      </c>
      <c r="B25" s="9" t="s">
        <v>7</v>
      </c>
      <c r="C25" s="8">
        <f>D3*0.004</f>
        <v>59.5</v>
      </c>
      <c r="F25" s="9" t="s">
        <v>13</v>
      </c>
      <c r="G25" s="16">
        <v>0.35</v>
      </c>
      <c r="H25" s="29">
        <f>-(F26*0.35)</f>
        <v>-857.11617647058824</v>
      </c>
    </row>
    <row r="26" spans="1:8" ht="15.75" thickBot="1" x14ac:dyDescent="0.3">
      <c r="F26" s="21">
        <f>H21</f>
        <v>2448.9033613445381</v>
      </c>
      <c r="H26" s="7"/>
    </row>
    <row r="27" spans="1:8" ht="15.75" x14ac:dyDescent="0.25">
      <c r="A27" t="s">
        <v>9</v>
      </c>
      <c r="B27" s="9" t="s">
        <v>7</v>
      </c>
      <c r="C27" s="10"/>
      <c r="G27" s="13" t="s">
        <v>14</v>
      </c>
      <c r="H27" s="6">
        <f>H21+H23+H25</f>
        <v>1504.2871848739499</v>
      </c>
    </row>
    <row r="28" spans="1:8" ht="15.75" thickBot="1" x14ac:dyDescent="0.3">
      <c r="A28" s="16"/>
      <c r="B28" s="14"/>
      <c r="C28" s="7"/>
    </row>
    <row r="29" spans="1:8" x14ac:dyDescent="0.25">
      <c r="E29" t="s">
        <v>151</v>
      </c>
      <c r="H29" s="20">
        <f>H27*0.5</f>
        <v>752.14359243697493</v>
      </c>
    </row>
    <row r="30" spans="1:8" ht="15.75" x14ac:dyDescent="0.25">
      <c r="A30" t="s">
        <v>10</v>
      </c>
      <c r="C30" s="10">
        <f>C21-C23-C25-C27</f>
        <v>2448.9033613445381</v>
      </c>
      <c r="H30" s="18"/>
    </row>
    <row r="31" spans="1:8" x14ac:dyDescent="0.25">
      <c r="H31" s="3"/>
    </row>
    <row r="32" spans="1:8" x14ac:dyDescent="0.25">
      <c r="H32" s="18"/>
    </row>
  </sheetData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5FF07-1D9F-445F-BA08-23A1AE8FD26A}">
  <dimension ref="A1:H32"/>
  <sheetViews>
    <sheetView workbookViewId="0">
      <selection sqref="A1:XFD1048576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609</v>
      </c>
    </row>
    <row r="3" spans="1:8" ht="21" x14ac:dyDescent="0.35">
      <c r="A3" s="2" t="s">
        <v>1</v>
      </c>
      <c r="D3" s="11">
        <v>50000</v>
      </c>
      <c r="F3" s="12" t="s">
        <v>3</v>
      </c>
      <c r="H3" s="4">
        <f>(D3/1.19)*0.19</f>
        <v>7983.1932773109247</v>
      </c>
    </row>
    <row r="4" spans="1:8" x14ac:dyDescent="0.25">
      <c r="A4" s="13" t="s">
        <v>32</v>
      </c>
      <c r="C4" s="26">
        <v>833</v>
      </c>
    </row>
    <row r="5" spans="1:8" ht="21" x14ac:dyDescent="0.35">
      <c r="A5" s="2" t="s">
        <v>2</v>
      </c>
    </row>
    <row r="7" spans="1:8" ht="18.75" x14ac:dyDescent="0.3">
      <c r="A7" s="5"/>
      <c r="D7" s="4"/>
      <c r="E7" s="25"/>
      <c r="H7" s="4"/>
    </row>
    <row r="8" spans="1:8" ht="18.75" x14ac:dyDescent="0.3">
      <c r="A8" s="5" t="s">
        <v>393</v>
      </c>
      <c r="C8" s="3"/>
      <c r="D8" s="32">
        <v>24990</v>
      </c>
      <c r="E8" s="25"/>
      <c r="H8" s="4">
        <f t="shared" ref="H8" si="0">(D8/1.19)*0.19</f>
        <v>3990</v>
      </c>
    </row>
    <row r="9" spans="1:8" ht="18.75" x14ac:dyDescent="0.3">
      <c r="A9" s="5"/>
      <c r="C9" s="3"/>
      <c r="D9" s="28"/>
      <c r="E9" s="25"/>
      <c r="H9" s="4"/>
    </row>
    <row r="10" spans="1:8" ht="18.75" x14ac:dyDescent="0.3">
      <c r="A10" s="5"/>
      <c r="C10" s="3"/>
      <c r="D10" s="28"/>
      <c r="E10" s="25"/>
      <c r="H10" s="4"/>
    </row>
    <row r="11" spans="1:8" ht="19.5" thickBot="1" x14ac:dyDescent="0.35">
      <c r="A11" s="5"/>
      <c r="C11" s="3"/>
      <c r="D11" s="22"/>
      <c r="E11" s="25"/>
      <c r="H11" s="22">
        <v>0</v>
      </c>
    </row>
    <row r="12" spans="1:8" ht="18.75" customHeight="1" x14ac:dyDescent="0.3">
      <c r="D12" s="4">
        <f>SUM(D7:D11)</f>
        <v>24990</v>
      </c>
      <c r="H12" s="4">
        <f>SUM(H7:H11)</f>
        <v>3990</v>
      </c>
    </row>
    <row r="13" spans="1:8" ht="18.75" x14ac:dyDescent="0.3">
      <c r="A13" s="5"/>
      <c r="C13" s="3"/>
      <c r="D13" s="4"/>
      <c r="H13" s="4"/>
    </row>
    <row r="15" spans="1:8" ht="18.75" x14ac:dyDescent="0.3">
      <c r="A15" s="5"/>
      <c r="C15" s="3"/>
      <c r="D15" s="4"/>
      <c r="H15" s="4"/>
    </row>
    <row r="16" spans="1:8" ht="15.75" thickBot="1" x14ac:dyDescent="0.3">
      <c r="D16" s="7"/>
      <c r="H16" s="7"/>
    </row>
    <row r="18" spans="1:8" ht="18.75" x14ac:dyDescent="0.3">
      <c r="C18" t="s">
        <v>4</v>
      </c>
      <c r="D18" s="4">
        <f>D3-D12</f>
        <v>25010</v>
      </c>
      <c r="G18" t="s">
        <v>5</v>
      </c>
      <c r="H18" s="4">
        <f>H3-H12</f>
        <v>3993.1932773109247</v>
      </c>
    </row>
    <row r="21" spans="1:8" ht="15.75" x14ac:dyDescent="0.25">
      <c r="A21" t="s">
        <v>6</v>
      </c>
      <c r="C21" s="8">
        <f>D18</f>
        <v>25010</v>
      </c>
      <c r="E21" t="s">
        <v>10</v>
      </c>
      <c r="H21" s="6">
        <f>C30</f>
        <v>20816.806722689074</v>
      </c>
    </row>
    <row r="23" spans="1:8" ht="15.75" x14ac:dyDescent="0.25">
      <c r="A23" t="s">
        <v>5</v>
      </c>
      <c r="B23" s="9" t="s">
        <v>7</v>
      </c>
      <c r="C23" s="8">
        <f>H18</f>
        <v>3993.1932773109247</v>
      </c>
      <c r="E23" s="13" t="s">
        <v>11</v>
      </c>
      <c r="F23" s="9" t="s">
        <v>181</v>
      </c>
      <c r="G23" s="15" t="s">
        <v>17</v>
      </c>
      <c r="H23" s="3">
        <f>-(F24*0.007)</f>
        <v>-294.11764705882354</v>
      </c>
    </row>
    <row r="24" spans="1:8" x14ac:dyDescent="0.25">
      <c r="F24" s="21">
        <f>D3-H3</f>
        <v>42016.806722689078</v>
      </c>
    </row>
    <row r="25" spans="1:8" ht="15.75" x14ac:dyDescent="0.25">
      <c r="A25" t="s">
        <v>8</v>
      </c>
      <c r="B25" s="9" t="s">
        <v>7</v>
      </c>
      <c r="C25" s="8">
        <f>D3*0.004</f>
        <v>200</v>
      </c>
      <c r="F25" s="9" t="s">
        <v>13</v>
      </c>
      <c r="G25" s="16">
        <v>0.35</v>
      </c>
      <c r="H25" s="29">
        <f>-(F26*0.35)</f>
        <v>-7285.8823529411757</v>
      </c>
    </row>
    <row r="26" spans="1:8" ht="15.75" thickBot="1" x14ac:dyDescent="0.3">
      <c r="F26" s="21">
        <f>H21</f>
        <v>20816.806722689074</v>
      </c>
      <c r="H26" s="7"/>
    </row>
    <row r="27" spans="1:8" ht="15.75" x14ac:dyDescent="0.25">
      <c r="A27" t="s">
        <v>9</v>
      </c>
      <c r="B27" s="9" t="s">
        <v>7</v>
      </c>
      <c r="C27" s="10"/>
      <c r="G27" s="13" t="s">
        <v>14</v>
      </c>
      <c r="H27" s="6">
        <f>H21+H23+H25</f>
        <v>13236.806722689074</v>
      </c>
    </row>
    <row r="28" spans="1:8" ht="15.75" thickBot="1" x14ac:dyDescent="0.3">
      <c r="A28" s="16"/>
      <c r="B28" s="14"/>
      <c r="C28" s="7"/>
    </row>
    <row r="29" spans="1:8" x14ac:dyDescent="0.25">
      <c r="E29" t="s">
        <v>151</v>
      </c>
      <c r="H29" s="20">
        <f>H27*0.5</f>
        <v>6618.4033613445372</v>
      </c>
    </row>
    <row r="30" spans="1:8" ht="15.75" x14ac:dyDescent="0.25">
      <c r="A30" t="s">
        <v>10</v>
      </c>
      <c r="C30" s="10">
        <f>C21-C23-C25-C27</f>
        <v>20816.806722689074</v>
      </c>
      <c r="H30" s="18"/>
    </row>
    <row r="31" spans="1:8" x14ac:dyDescent="0.25">
      <c r="H31" s="3"/>
    </row>
    <row r="32" spans="1:8" x14ac:dyDescent="0.25">
      <c r="H32" s="18"/>
    </row>
  </sheetData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6CDDA-E4C2-4B3D-BBAD-58099B7239A8}">
  <dimension ref="A1:H32"/>
  <sheetViews>
    <sheetView workbookViewId="0">
      <selection sqref="A1:XFD1048576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490</v>
      </c>
    </row>
    <row r="3" spans="1:8" ht="21" x14ac:dyDescent="0.35">
      <c r="A3" s="2" t="s">
        <v>1</v>
      </c>
      <c r="D3" s="11">
        <v>1868300</v>
      </c>
      <c r="F3" s="12" t="s">
        <v>3</v>
      </c>
      <c r="H3" s="4">
        <f>(D3/1.19)*0.19</f>
        <v>298300</v>
      </c>
    </row>
    <row r="4" spans="1:8" x14ac:dyDescent="0.25">
      <c r="A4" s="13" t="s">
        <v>32</v>
      </c>
      <c r="C4" s="26">
        <v>833</v>
      </c>
    </row>
    <row r="5" spans="1:8" ht="21" x14ac:dyDescent="0.35">
      <c r="A5" s="2" t="s">
        <v>2</v>
      </c>
    </row>
    <row r="7" spans="1:8" ht="18.75" x14ac:dyDescent="0.3">
      <c r="A7" s="5"/>
      <c r="D7" s="4"/>
      <c r="E7" s="25"/>
      <c r="H7" s="4"/>
    </row>
    <row r="8" spans="1:8" ht="18.75" x14ac:dyDescent="0.3">
      <c r="A8" s="5" t="s">
        <v>376</v>
      </c>
      <c r="C8" s="3"/>
      <c r="D8" s="32">
        <v>1332800</v>
      </c>
      <c r="E8" s="25"/>
      <c r="H8" s="4">
        <f t="shared" ref="H8" si="0">(D8/1.19)*0.19</f>
        <v>212800</v>
      </c>
    </row>
    <row r="9" spans="1:8" ht="18.75" x14ac:dyDescent="0.3">
      <c r="A9" s="5"/>
      <c r="C9" s="3"/>
      <c r="D9" s="28"/>
      <c r="E9" s="25"/>
      <c r="H9" s="4"/>
    </row>
    <row r="10" spans="1:8" ht="18.75" x14ac:dyDescent="0.3">
      <c r="A10" s="5"/>
      <c r="C10" s="3"/>
      <c r="D10" s="28"/>
      <c r="E10" s="25"/>
      <c r="H10" s="4"/>
    </row>
    <row r="11" spans="1:8" ht="19.5" thickBot="1" x14ac:dyDescent="0.35">
      <c r="A11" s="5"/>
      <c r="C11" s="3"/>
      <c r="D11" s="22"/>
      <c r="E11" s="25"/>
      <c r="H11" s="22">
        <v>0</v>
      </c>
    </row>
    <row r="12" spans="1:8" ht="18.75" customHeight="1" x14ac:dyDescent="0.3">
      <c r="D12" s="4">
        <f>SUM(D7:D11)</f>
        <v>1332800</v>
      </c>
      <c r="H12" s="4">
        <f>SUM(H7:H11)</f>
        <v>212800</v>
      </c>
    </row>
    <row r="13" spans="1:8" ht="18.75" x14ac:dyDescent="0.3">
      <c r="A13" s="5"/>
      <c r="C13" s="3"/>
      <c r="D13" s="4"/>
      <c r="H13" s="4"/>
    </row>
    <row r="15" spans="1:8" ht="18.75" x14ac:dyDescent="0.3">
      <c r="A15" s="5"/>
      <c r="C15" s="3"/>
      <c r="D15" s="4"/>
      <c r="H15" s="4"/>
    </row>
    <row r="16" spans="1:8" ht="15.75" thickBot="1" x14ac:dyDescent="0.3">
      <c r="D16" s="7"/>
      <c r="H16" s="7"/>
    </row>
    <row r="18" spans="1:8" ht="18.75" x14ac:dyDescent="0.3">
      <c r="C18" t="s">
        <v>4</v>
      </c>
      <c r="D18" s="4">
        <f>D3-D12</f>
        <v>535500</v>
      </c>
      <c r="G18" t="s">
        <v>5</v>
      </c>
      <c r="H18" s="4">
        <f>H3-H12</f>
        <v>85500</v>
      </c>
    </row>
    <row r="21" spans="1:8" ht="15.75" x14ac:dyDescent="0.25">
      <c r="A21" t="s">
        <v>6</v>
      </c>
      <c r="C21" s="8">
        <f>D18</f>
        <v>535500</v>
      </c>
      <c r="E21" t="s">
        <v>10</v>
      </c>
      <c r="H21" s="6">
        <f>C30</f>
        <v>442526.8</v>
      </c>
    </row>
    <row r="23" spans="1:8" ht="15.75" x14ac:dyDescent="0.25">
      <c r="A23" t="s">
        <v>5</v>
      </c>
      <c r="B23" s="9" t="s">
        <v>7</v>
      </c>
      <c r="C23" s="8">
        <f>H18</f>
        <v>85500</v>
      </c>
      <c r="E23" s="13" t="s">
        <v>11</v>
      </c>
      <c r="F23" s="9" t="s">
        <v>181</v>
      </c>
      <c r="G23" s="15" t="s">
        <v>17</v>
      </c>
      <c r="H23" s="3">
        <f>-(F24*0.007)</f>
        <v>-10990</v>
      </c>
    </row>
    <row r="24" spans="1:8" x14ac:dyDescent="0.25">
      <c r="F24" s="21">
        <f>D3-H3</f>
        <v>1570000</v>
      </c>
    </row>
    <row r="25" spans="1:8" ht="15.75" x14ac:dyDescent="0.25">
      <c r="A25" t="s">
        <v>8</v>
      </c>
      <c r="B25" s="9" t="s">
        <v>7</v>
      </c>
      <c r="C25" s="8">
        <f>D3*0.004</f>
        <v>7473.2</v>
      </c>
      <c r="F25" s="9" t="s">
        <v>13</v>
      </c>
      <c r="G25" s="16">
        <v>0.35</v>
      </c>
      <c r="H25" s="29">
        <f>-(F26*0.35)</f>
        <v>-154884.37999999998</v>
      </c>
    </row>
    <row r="26" spans="1:8" ht="15.75" thickBot="1" x14ac:dyDescent="0.3">
      <c r="F26" s="21">
        <f>H21</f>
        <v>442526.8</v>
      </c>
      <c r="H26" s="7"/>
    </row>
    <row r="27" spans="1:8" ht="15.75" x14ac:dyDescent="0.25">
      <c r="A27" t="s">
        <v>9</v>
      </c>
      <c r="B27" s="9" t="s">
        <v>7</v>
      </c>
      <c r="C27" s="10"/>
      <c r="G27" s="13" t="s">
        <v>14</v>
      </c>
      <c r="H27" s="6">
        <f>H21+H23+H25</f>
        <v>276652.42000000004</v>
      </c>
    </row>
    <row r="28" spans="1:8" ht="15.75" thickBot="1" x14ac:dyDescent="0.3">
      <c r="A28" s="16"/>
      <c r="B28" s="14"/>
      <c r="C28" s="7"/>
    </row>
    <row r="29" spans="1:8" x14ac:dyDescent="0.25">
      <c r="E29" t="s">
        <v>151</v>
      </c>
      <c r="H29" s="20">
        <f>H27*0.5</f>
        <v>138326.21000000002</v>
      </c>
    </row>
    <row r="30" spans="1:8" ht="15.75" x14ac:dyDescent="0.25">
      <c r="A30" t="s">
        <v>10</v>
      </c>
      <c r="C30" s="10">
        <f>C21-C23-C25-C27</f>
        <v>442526.8</v>
      </c>
      <c r="H30" s="18"/>
    </row>
    <row r="31" spans="1:8" x14ac:dyDescent="0.25">
      <c r="H31" s="3"/>
    </row>
    <row r="32" spans="1:8" x14ac:dyDescent="0.25">
      <c r="H32" s="18"/>
    </row>
  </sheetData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AB632-346C-44CC-8A3B-18244216E2DD}">
  <dimension ref="A1:H32"/>
  <sheetViews>
    <sheetView workbookViewId="0">
      <selection sqref="A1:XFD1048576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530</v>
      </c>
    </row>
    <row r="3" spans="1:8" ht="21" x14ac:dyDescent="0.35">
      <c r="A3" s="2" t="s">
        <v>1</v>
      </c>
      <c r="D3" s="11">
        <v>629510</v>
      </c>
      <c r="F3" s="12" t="s">
        <v>3</v>
      </c>
      <c r="H3" s="4">
        <f>(D3/1.19)*0.19</f>
        <v>100510</v>
      </c>
    </row>
    <row r="4" spans="1:8" x14ac:dyDescent="0.25">
      <c r="A4" s="13" t="s">
        <v>32</v>
      </c>
      <c r="C4" s="26">
        <v>835</v>
      </c>
    </row>
    <row r="5" spans="1:8" ht="21" x14ac:dyDescent="0.35">
      <c r="A5" s="2" t="s">
        <v>2</v>
      </c>
    </row>
    <row r="7" spans="1:8" ht="18.75" x14ac:dyDescent="0.3">
      <c r="A7" s="5"/>
      <c r="D7" s="4"/>
      <c r="E7" s="25"/>
      <c r="H7" s="4"/>
    </row>
    <row r="8" spans="1:8" ht="18.75" x14ac:dyDescent="0.3">
      <c r="A8" s="5" t="s">
        <v>221</v>
      </c>
      <c r="C8" s="3"/>
      <c r="D8" s="32">
        <v>357000</v>
      </c>
      <c r="E8" s="25"/>
      <c r="H8" s="4">
        <f t="shared" ref="H8" si="0">(D8/1.19)*0.19</f>
        <v>57000</v>
      </c>
    </row>
    <row r="9" spans="1:8" ht="18.75" x14ac:dyDescent="0.3">
      <c r="A9" s="5"/>
      <c r="C9" s="3"/>
      <c r="D9" s="28"/>
      <c r="E9" s="25"/>
      <c r="H9" s="4"/>
    </row>
    <row r="10" spans="1:8" ht="18.75" x14ac:dyDescent="0.3">
      <c r="A10" s="5"/>
      <c r="C10" s="3"/>
      <c r="D10" s="28"/>
      <c r="E10" s="25"/>
      <c r="H10" s="4"/>
    </row>
    <row r="11" spans="1:8" ht="19.5" thickBot="1" x14ac:dyDescent="0.35">
      <c r="A11" s="5"/>
      <c r="C11" s="3"/>
      <c r="D11" s="22"/>
      <c r="E11" s="25"/>
      <c r="H11" s="22">
        <v>0</v>
      </c>
    </row>
    <row r="12" spans="1:8" ht="18.75" customHeight="1" x14ac:dyDescent="0.3">
      <c r="D12" s="4">
        <f>SUM(D7:D11)</f>
        <v>357000</v>
      </c>
      <c r="H12" s="4">
        <f>SUM(H7:H11)</f>
        <v>57000</v>
      </c>
    </row>
    <row r="13" spans="1:8" ht="18.75" x14ac:dyDescent="0.3">
      <c r="A13" s="5"/>
      <c r="C13" s="3"/>
      <c r="D13" s="4"/>
      <c r="H13" s="4"/>
    </row>
    <row r="15" spans="1:8" ht="18.75" x14ac:dyDescent="0.3">
      <c r="A15" s="5"/>
      <c r="C15" s="3"/>
      <c r="D15" s="4"/>
      <c r="H15" s="4"/>
    </row>
    <row r="16" spans="1:8" ht="15.75" thickBot="1" x14ac:dyDescent="0.3">
      <c r="D16" s="7"/>
      <c r="H16" s="7"/>
    </row>
    <row r="18" spans="1:8" ht="18.75" x14ac:dyDescent="0.3">
      <c r="C18" t="s">
        <v>4</v>
      </c>
      <c r="D18" s="4">
        <f>D3-D12</f>
        <v>272510</v>
      </c>
      <c r="G18" t="s">
        <v>5</v>
      </c>
      <c r="H18" s="4">
        <f>H3-H12</f>
        <v>43510</v>
      </c>
    </row>
    <row r="21" spans="1:8" ht="15.75" x14ac:dyDescent="0.25">
      <c r="A21" t="s">
        <v>6</v>
      </c>
      <c r="C21" s="8">
        <f>D18</f>
        <v>272510</v>
      </c>
      <c r="E21" t="s">
        <v>10</v>
      </c>
      <c r="H21" s="6">
        <f>C30</f>
        <v>226481.96</v>
      </c>
    </row>
    <row r="23" spans="1:8" ht="15.75" x14ac:dyDescent="0.25">
      <c r="A23" t="s">
        <v>5</v>
      </c>
      <c r="B23" s="9" t="s">
        <v>7</v>
      </c>
      <c r="C23" s="8">
        <f>H18</f>
        <v>43510</v>
      </c>
      <c r="E23" s="13" t="s">
        <v>11</v>
      </c>
      <c r="F23" s="9" t="s">
        <v>181</v>
      </c>
      <c r="G23" s="15" t="s">
        <v>17</v>
      </c>
      <c r="H23" s="3">
        <f>-(F24*0.007)</f>
        <v>-3703</v>
      </c>
    </row>
    <row r="24" spans="1:8" x14ac:dyDescent="0.25">
      <c r="F24" s="21">
        <f>D3-H3</f>
        <v>529000</v>
      </c>
    </row>
    <row r="25" spans="1:8" ht="15.75" x14ac:dyDescent="0.25">
      <c r="A25" t="s">
        <v>8</v>
      </c>
      <c r="B25" s="9" t="s">
        <v>7</v>
      </c>
      <c r="C25" s="8">
        <f>D3*0.004</f>
        <v>2518.04</v>
      </c>
      <c r="F25" s="9" t="s">
        <v>13</v>
      </c>
      <c r="G25" s="16">
        <v>0.35</v>
      </c>
      <c r="H25" s="29">
        <f>-(F26*0.35)</f>
        <v>-79268.685999999987</v>
      </c>
    </row>
    <row r="26" spans="1:8" ht="15.75" thickBot="1" x14ac:dyDescent="0.3">
      <c r="F26" s="21">
        <f>H21</f>
        <v>226481.96</v>
      </c>
      <c r="H26" s="7"/>
    </row>
    <row r="27" spans="1:8" ht="15.75" x14ac:dyDescent="0.25">
      <c r="A27" t="s">
        <v>9</v>
      </c>
      <c r="B27" s="9" t="s">
        <v>7</v>
      </c>
      <c r="C27" s="10"/>
      <c r="G27" s="13" t="s">
        <v>14</v>
      </c>
      <c r="H27" s="6">
        <f>H21+H23+H25</f>
        <v>143510.274</v>
      </c>
    </row>
    <row r="28" spans="1:8" ht="15.75" thickBot="1" x14ac:dyDescent="0.3">
      <c r="A28" s="16"/>
      <c r="B28" s="14"/>
      <c r="C28" s="7"/>
    </row>
    <row r="29" spans="1:8" x14ac:dyDescent="0.25">
      <c r="E29" t="s">
        <v>151</v>
      </c>
      <c r="H29" s="20">
        <f>H27*0.5</f>
        <v>71755.137000000002</v>
      </c>
    </row>
    <row r="30" spans="1:8" ht="15.75" x14ac:dyDescent="0.25">
      <c r="A30" t="s">
        <v>10</v>
      </c>
      <c r="C30" s="10">
        <f>C21-C23-C25-C27</f>
        <v>226481.96</v>
      </c>
      <c r="H30" s="18"/>
    </row>
    <row r="31" spans="1:8" x14ac:dyDescent="0.25">
      <c r="H31" s="3"/>
    </row>
    <row r="32" spans="1:8" x14ac:dyDescent="0.25">
      <c r="H32" s="18"/>
    </row>
  </sheetData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D8369-4559-4B5E-A643-62FFE021A872}">
  <dimension ref="A1:H32"/>
  <sheetViews>
    <sheetView workbookViewId="0">
      <selection sqref="A1:XFD1048576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610</v>
      </c>
    </row>
    <row r="3" spans="1:8" ht="21" x14ac:dyDescent="0.35">
      <c r="A3" s="2" t="s">
        <v>1</v>
      </c>
      <c r="D3" s="11">
        <v>267750</v>
      </c>
      <c r="F3" s="12" t="s">
        <v>3</v>
      </c>
      <c r="H3" s="4">
        <f>(D3/1.19)*0.19</f>
        <v>42750</v>
      </c>
    </row>
    <row r="4" spans="1:8" x14ac:dyDescent="0.25">
      <c r="A4" s="13" t="s">
        <v>32</v>
      </c>
      <c r="C4" s="26">
        <v>836</v>
      </c>
    </row>
    <row r="5" spans="1:8" ht="21" x14ac:dyDescent="0.35">
      <c r="A5" s="2" t="s">
        <v>2</v>
      </c>
    </row>
    <row r="7" spans="1:8" ht="18.75" x14ac:dyDescent="0.3">
      <c r="A7" s="5"/>
      <c r="D7" s="4"/>
      <c r="E7" s="25"/>
      <c r="H7" s="4"/>
    </row>
    <row r="8" spans="1:8" ht="18.75" x14ac:dyDescent="0.3">
      <c r="A8" s="5" t="s">
        <v>472</v>
      </c>
      <c r="C8" s="3"/>
      <c r="D8" s="32">
        <v>151751</v>
      </c>
      <c r="E8" s="25"/>
      <c r="H8" s="4">
        <f t="shared" ref="H8" si="0">(D8/1.19)*0.19</f>
        <v>24229.151260504204</v>
      </c>
    </row>
    <row r="9" spans="1:8" ht="18.75" x14ac:dyDescent="0.3">
      <c r="A9" s="5"/>
      <c r="C9" s="3"/>
      <c r="D9" s="28"/>
      <c r="E9" s="25"/>
      <c r="H9" s="4"/>
    </row>
    <row r="10" spans="1:8" ht="18.75" x14ac:dyDescent="0.3">
      <c r="A10" s="5"/>
      <c r="C10" s="3"/>
      <c r="D10" s="28"/>
      <c r="E10" s="25"/>
      <c r="H10" s="4"/>
    </row>
    <row r="11" spans="1:8" ht="19.5" thickBot="1" x14ac:dyDescent="0.35">
      <c r="A11" s="5"/>
      <c r="C11" s="3"/>
      <c r="D11" s="22"/>
      <c r="E11" s="25"/>
      <c r="H11" s="22">
        <v>0</v>
      </c>
    </row>
    <row r="12" spans="1:8" ht="18.75" customHeight="1" x14ac:dyDescent="0.3">
      <c r="D12" s="4">
        <f>SUM(D7:D11)</f>
        <v>151751</v>
      </c>
      <c r="H12" s="4">
        <f>SUM(H7:H11)</f>
        <v>24229.151260504204</v>
      </c>
    </row>
    <row r="13" spans="1:8" ht="18.75" x14ac:dyDescent="0.3">
      <c r="A13" s="5"/>
      <c r="C13" s="3"/>
      <c r="D13" s="4"/>
      <c r="H13" s="4"/>
    </row>
    <row r="15" spans="1:8" ht="18.75" x14ac:dyDescent="0.3">
      <c r="A15" s="5"/>
      <c r="C15" s="3"/>
      <c r="D15" s="4"/>
      <c r="H15" s="4"/>
    </row>
    <row r="16" spans="1:8" ht="15.75" thickBot="1" x14ac:dyDescent="0.3">
      <c r="D16" s="7"/>
      <c r="H16" s="7"/>
    </row>
    <row r="18" spans="1:8" ht="18.75" x14ac:dyDescent="0.3">
      <c r="C18" t="s">
        <v>4</v>
      </c>
      <c r="D18" s="4">
        <f>D3-D12</f>
        <v>115999</v>
      </c>
      <c r="G18" t="s">
        <v>5</v>
      </c>
      <c r="H18" s="4">
        <f>H3-H12</f>
        <v>18520.848739495796</v>
      </c>
    </row>
    <row r="21" spans="1:8" ht="15.75" x14ac:dyDescent="0.25">
      <c r="A21" t="s">
        <v>6</v>
      </c>
      <c r="C21" s="8">
        <f>D18</f>
        <v>115999</v>
      </c>
      <c r="E21" t="s">
        <v>10</v>
      </c>
      <c r="H21" s="6">
        <f>C30</f>
        <v>96407.151260504208</v>
      </c>
    </row>
    <row r="23" spans="1:8" ht="15.75" x14ac:dyDescent="0.25">
      <c r="A23" t="s">
        <v>5</v>
      </c>
      <c r="B23" s="9" t="s">
        <v>7</v>
      </c>
      <c r="C23" s="8">
        <f>H18</f>
        <v>18520.848739495796</v>
      </c>
      <c r="E23" s="13" t="s">
        <v>11</v>
      </c>
      <c r="F23" s="9" t="s">
        <v>181</v>
      </c>
      <c r="G23" s="15" t="s">
        <v>17</v>
      </c>
      <c r="H23" s="3">
        <f>-(F24*0.007)</f>
        <v>-1575</v>
      </c>
    </row>
    <row r="24" spans="1:8" x14ac:dyDescent="0.25">
      <c r="F24" s="21">
        <f>D3-H3</f>
        <v>225000</v>
      </c>
    </row>
    <row r="25" spans="1:8" ht="15.75" x14ac:dyDescent="0.25">
      <c r="A25" t="s">
        <v>8</v>
      </c>
      <c r="B25" s="9" t="s">
        <v>7</v>
      </c>
      <c r="C25" s="8">
        <f>D3*0.004</f>
        <v>1071</v>
      </c>
      <c r="F25" s="9" t="s">
        <v>13</v>
      </c>
      <c r="G25" s="16">
        <v>0.35</v>
      </c>
      <c r="H25" s="29">
        <f>-(F26*0.35)</f>
        <v>-33742.50294117647</v>
      </c>
    </row>
    <row r="26" spans="1:8" ht="15.75" thickBot="1" x14ac:dyDescent="0.3">
      <c r="F26" s="21">
        <f>H21</f>
        <v>96407.151260504208</v>
      </c>
      <c r="H26" s="7"/>
    </row>
    <row r="27" spans="1:8" ht="15.75" x14ac:dyDescent="0.25">
      <c r="A27" t="s">
        <v>9</v>
      </c>
      <c r="B27" s="9" t="s">
        <v>7</v>
      </c>
      <c r="C27" s="10"/>
      <c r="G27" s="13" t="s">
        <v>14</v>
      </c>
      <c r="H27" s="6">
        <f>H21+H23+H25</f>
        <v>61089.648319327738</v>
      </c>
    </row>
    <row r="28" spans="1:8" ht="15.75" thickBot="1" x14ac:dyDescent="0.3">
      <c r="A28" s="16"/>
      <c r="B28" s="14"/>
      <c r="C28" s="7"/>
    </row>
    <row r="29" spans="1:8" x14ac:dyDescent="0.25">
      <c r="E29" t="s">
        <v>151</v>
      </c>
      <c r="H29" s="20">
        <f>H27*0.5</f>
        <v>30544.824159663869</v>
      </c>
    </row>
    <row r="30" spans="1:8" ht="15.75" x14ac:dyDescent="0.25">
      <c r="A30" t="s">
        <v>10</v>
      </c>
      <c r="C30" s="10">
        <f>C21-C23-C25-C27</f>
        <v>96407.151260504208</v>
      </c>
      <c r="H30" s="18"/>
    </row>
    <row r="31" spans="1:8" x14ac:dyDescent="0.25">
      <c r="H31" s="3"/>
    </row>
    <row r="32" spans="1:8" x14ac:dyDescent="0.25">
      <c r="H32" s="18"/>
    </row>
  </sheetData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63D67-70F6-471E-83B8-4B539CC1860A}">
  <dimension ref="A1:H32"/>
  <sheetViews>
    <sheetView workbookViewId="0">
      <selection sqref="A1:XFD1048576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611</v>
      </c>
    </row>
    <row r="3" spans="1:8" ht="21" x14ac:dyDescent="0.35">
      <c r="A3" s="2" t="s">
        <v>1</v>
      </c>
      <c r="D3" s="11">
        <v>1293292</v>
      </c>
      <c r="F3" s="12" t="s">
        <v>3</v>
      </c>
      <c r="H3" s="4">
        <f>(D3/1.19)*0.19</f>
        <v>206492</v>
      </c>
    </row>
    <row r="4" spans="1:8" x14ac:dyDescent="0.25">
      <c r="A4" s="13" t="s">
        <v>32</v>
      </c>
      <c r="C4" s="26">
        <v>838</v>
      </c>
    </row>
    <row r="5" spans="1:8" ht="21" x14ac:dyDescent="0.35">
      <c r="A5" s="2" t="s">
        <v>2</v>
      </c>
    </row>
    <row r="7" spans="1:8" ht="18.75" x14ac:dyDescent="0.3">
      <c r="A7" s="5"/>
      <c r="D7" s="4"/>
      <c r="E7" s="25"/>
      <c r="H7" s="4"/>
    </row>
    <row r="8" spans="1:8" ht="18.75" x14ac:dyDescent="0.3">
      <c r="A8" s="5" t="s">
        <v>612</v>
      </c>
      <c r="C8" s="3"/>
      <c r="D8" s="32">
        <v>953590</v>
      </c>
      <c r="E8" s="25"/>
      <c r="H8" s="4">
        <f t="shared" ref="H8" si="0">(D8/1.19)*0.19</f>
        <v>152253.8655462185</v>
      </c>
    </row>
    <row r="9" spans="1:8" ht="18.75" x14ac:dyDescent="0.3">
      <c r="A9" s="5"/>
      <c r="C9" s="3"/>
      <c r="D9" s="28"/>
      <c r="E9" s="25"/>
      <c r="H9" s="4"/>
    </row>
    <row r="10" spans="1:8" ht="18.75" x14ac:dyDescent="0.3">
      <c r="A10" s="5"/>
      <c r="C10" s="3"/>
      <c r="D10" s="28"/>
      <c r="E10" s="25"/>
      <c r="H10" s="4"/>
    </row>
    <row r="11" spans="1:8" ht="19.5" thickBot="1" x14ac:dyDescent="0.35">
      <c r="A11" s="5"/>
      <c r="C11" s="3"/>
      <c r="D11" s="22"/>
      <c r="E11" s="25"/>
      <c r="H11" s="22">
        <v>0</v>
      </c>
    </row>
    <row r="12" spans="1:8" ht="18.75" customHeight="1" x14ac:dyDescent="0.3">
      <c r="D12" s="4">
        <f>SUM(D7:D11)</f>
        <v>953590</v>
      </c>
      <c r="H12" s="4">
        <f>SUM(H7:H11)</f>
        <v>152253.8655462185</v>
      </c>
    </row>
    <row r="13" spans="1:8" ht="18.75" x14ac:dyDescent="0.3">
      <c r="A13" s="5"/>
      <c r="C13" s="3"/>
      <c r="D13" s="4"/>
      <c r="H13" s="4"/>
    </row>
    <row r="15" spans="1:8" ht="18.75" x14ac:dyDescent="0.3">
      <c r="A15" s="5"/>
      <c r="C15" s="3"/>
      <c r="D15" s="4"/>
      <c r="H15" s="4"/>
    </row>
    <row r="16" spans="1:8" ht="15.75" thickBot="1" x14ac:dyDescent="0.3">
      <c r="D16" s="7"/>
      <c r="H16" s="7"/>
    </row>
    <row r="18" spans="1:8" ht="18.75" x14ac:dyDescent="0.3">
      <c r="C18" t="s">
        <v>4</v>
      </c>
      <c r="D18" s="4">
        <f>D3-D12</f>
        <v>339702</v>
      </c>
      <c r="G18" t="s">
        <v>5</v>
      </c>
      <c r="H18" s="4">
        <f>H3-H12</f>
        <v>54238.134453781502</v>
      </c>
    </row>
    <row r="21" spans="1:8" ht="15.75" x14ac:dyDescent="0.25">
      <c r="A21" t="s">
        <v>6</v>
      </c>
      <c r="C21" s="8">
        <f>D18</f>
        <v>339702</v>
      </c>
      <c r="E21" t="s">
        <v>10</v>
      </c>
      <c r="H21" s="6">
        <f>C30</f>
        <v>280290.69754621846</v>
      </c>
    </row>
    <row r="23" spans="1:8" ht="15.75" x14ac:dyDescent="0.25">
      <c r="A23" t="s">
        <v>5</v>
      </c>
      <c r="B23" s="9" t="s">
        <v>7</v>
      </c>
      <c r="C23" s="8">
        <f>H18</f>
        <v>54238.134453781502</v>
      </c>
      <c r="E23" s="13" t="s">
        <v>11</v>
      </c>
      <c r="F23" s="9" t="s">
        <v>181</v>
      </c>
      <c r="G23" s="15" t="s">
        <v>17</v>
      </c>
      <c r="H23" s="3">
        <f>-(F24*0.007)</f>
        <v>-7607.6</v>
      </c>
    </row>
    <row r="24" spans="1:8" x14ac:dyDescent="0.25">
      <c r="F24" s="21">
        <f>D3-H3</f>
        <v>1086800</v>
      </c>
    </row>
    <row r="25" spans="1:8" ht="15.75" x14ac:dyDescent="0.25">
      <c r="A25" t="s">
        <v>8</v>
      </c>
      <c r="B25" s="9" t="s">
        <v>7</v>
      </c>
      <c r="C25" s="8">
        <f>D3*0.004</f>
        <v>5173.1679999999997</v>
      </c>
      <c r="F25" s="9" t="s">
        <v>13</v>
      </c>
      <c r="G25" s="16">
        <v>0.35</v>
      </c>
      <c r="H25" s="29">
        <f>-(F26*0.35)</f>
        <v>-98101.744141176459</v>
      </c>
    </row>
    <row r="26" spans="1:8" ht="15.75" thickBot="1" x14ac:dyDescent="0.3">
      <c r="F26" s="21">
        <f>H21</f>
        <v>280290.69754621846</v>
      </c>
      <c r="H26" s="7"/>
    </row>
    <row r="27" spans="1:8" ht="15.75" x14ac:dyDescent="0.25">
      <c r="A27" t="s">
        <v>9</v>
      </c>
      <c r="B27" s="9" t="s">
        <v>7</v>
      </c>
      <c r="C27" s="10"/>
      <c r="G27" s="13" t="s">
        <v>14</v>
      </c>
      <c r="H27" s="6">
        <f>H21+H23+H25</f>
        <v>174581.35340504203</v>
      </c>
    </row>
    <row r="28" spans="1:8" ht="15.75" thickBot="1" x14ac:dyDescent="0.3">
      <c r="A28" s="16"/>
      <c r="B28" s="14"/>
      <c r="C28" s="7"/>
    </row>
    <row r="29" spans="1:8" x14ac:dyDescent="0.25">
      <c r="E29" t="s">
        <v>151</v>
      </c>
      <c r="H29" s="20">
        <f>H27*0.5</f>
        <v>87290.676702521014</v>
      </c>
    </row>
    <row r="30" spans="1:8" ht="15.75" x14ac:dyDescent="0.25">
      <c r="A30" t="s">
        <v>10</v>
      </c>
      <c r="C30" s="10">
        <f>C21-C23-C25-C27</f>
        <v>280290.69754621846</v>
      </c>
      <c r="H30" s="18"/>
    </row>
    <row r="31" spans="1:8" x14ac:dyDescent="0.25">
      <c r="H31" s="3"/>
    </row>
    <row r="32" spans="1:8" x14ac:dyDescent="0.25">
      <c r="H32" s="18"/>
    </row>
  </sheetData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4605A-3697-4EDE-9138-A1573955FCE8}">
  <dimension ref="A1:H32"/>
  <sheetViews>
    <sheetView workbookViewId="0">
      <selection sqref="A1:XFD1048576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613</v>
      </c>
    </row>
    <row r="3" spans="1:8" ht="21" x14ac:dyDescent="0.35">
      <c r="A3" s="2" t="s">
        <v>1</v>
      </c>
      <c r="D3" s="11">
        <v>374850</v>
      </c>
      <c r="F3" s="12" t="s">
        <v>3</v>
      </c>
      <c r="H3" s="4">
        <f>(D3/1.19)*0.19</f>
        <v>59850</v>
      </c>
    </row>
    <row r="4" spans="1:8" x14ac:dyDescent="0.25">
      <c r="A4" s="13" t="s">
        <v>32</v>
      </c>
      <c r="C4" s="26">
        <v>843</v>
      </c>
    </row>
    <row r="5" spans="1:8" ht="21" x14ac:dyDescent="0.35">
      <c r="A5" s="2" t="s">
        <v>2</v>
      </c>
    </row>
    <row r="7" spans="1:8" ht="18.75" x14ac:dyDescent="0.3">
      <c r="A7" s="5"/>
      <c r="D7" s="4"/>
      <c r="E7" s="25"/>
      <c r="H7" s="4"/>
    </row>
    <row r="8" spans="1:8" ht="18.75" x14ac:dyDescent="0.3">
      <c r="A8" s="5" t="s">
        <v>484</v>
      </c>
      <c r="C8" s="3"/>
      <c r="D8" s="32">
        <v>247829</v>
      </c>
      <c r="E8" s="25"/>
      <c r="H8" s="4">
        <f t="shared" ref="H8" si="0">(D8/1.19)*0.19</f>
        <v>39569.336134453784</v>
      </c>
    </row>
    <row r="9" spans="1:8" ht="18.75" x14ac:dyDescent="0.3">
      <c r="A9" s="5"/>
      <c r="C9" s="3"/>
      <c r="D9" s="28"/>
      <c r="E9" s="25"/>
      <c r="H9" s="4"/>
    </row>
    <row r="10" spans="1:8" ht="18.75" x14ac:dyDescent="0.3">
      <c r="A10" s="5"/>
      <c r="C10" s="3"/>
      <c r="D10" s="28"/>
      <c r="E10" s="25"/>
      <c r="H10" s="4"/>
    </row>
    <row r="11" spans="1:8" ht="19.5" thickBot="1" x14ac:dyDescent="0.35">
      <c r="A11" s="5"/>
      <c r="C11" s="3"/>
      <c r="D11" s="22"/>
      <c r="E11" s="25"/>
      <c r="H11" s="22">
        <v>0</v>
      </c>
    </row>
    <row r="12" spans="1:8" ht="18.75" customHeight="1" x14ac:dyDescent="0.3">
      <c r="D12" s="4">
        <f>SUM(D7:D11)</f>
        <v>247829</v>
      </c>
      <c r="H12" s="4">
        <f>SUM(H7:H11)</f>
        <v>39569.336134453784</v>
      </c>
    </row>
    <row r="13" spans="1:8" ht="18.75" x14ac:dyDescent="0.3">
      <c r="A13" s="5"/>
      <c r="C13" s="3"/>
      <c r="D13" s="4"/>
      <c r="H13" s="4"/>
    </row>
    <row r="15" spans="1:8" ht="18.75" x14ac:dyDescent="0.3">
      <c r="A15" s="5"/>
      <c r="C15" s="3"/>
      <c r="D15" s="4"/>
      <c r="H15" s="4"/>
    </row>
    <row r="16" spans="1:8" ht="15.75" thickBot="1" x14ac:dyDescent="0.3">
      <c r="D16" s="7"/>
      <c r="H16" s="7"/>
    </row>
    <row r="18" spans="1:8" ht="18.75" x14ac:dyDescent="0.3">
      <c r="C18" t="s">
        <v>4</v>
      </c>
      <c r="D18" s="4">
        <f>D3-D12</f>
        <v>127021</v>
      </c>
      <c r="G18" t="s">
        <v>5</v>
      </c>
      <c r="H18" s="4">
        <f>H3-H12</f>
        <v>20280.663865546216</v>
      </c>
    </row>
    <row r="21" spans="1:8" ht="15.75" x14ac:dyDescent="0.25">
      <c r="A21" t="s">
        <v>6</v>
      </c>
      <c r="C21" s="8">
        <f>D18</f>
        <v>127021</v>
      </c>
      <c r="E21" t="s">
        <v>10</v>
      </c>
      <c r="H21" s="6">
        <f>C30</f>
        <v>105240.93613445379</v>
      </c>
    </row>
    <row r="23" spans="1:8" ht="15.75" x14ac:dyDescent="0.25">
      <c r="A23" t="s">
        <v>5</v>
      </c>
      <c r="B23" s="9" t="s">
        <v>7</v>
      </c>
      <c r="C23" s="8">
        <f>H18</f>
        <v>20280.663865546216</v>
      </c>
      <c r="E23" s="13" t="s">
        <v>11</v>
      </c>
      <c r="F23" s="9" t="s">
        <v>181</v>
      </c>
      <c r="G23" s="15" t="s">
        <v>17</v>
      </c>
      <c r="H23" s="3">
        <f>-(F24*0.007)</f>
        <v>-2205</v>
      </c>
    </row>
    <row r="24" spans="1:8" x14ac:dyDescent="0.25">
      <c r="F24" s="21">
        <f>D3-H3</f>
        <v>315000</v>
      </c>
    </row>
    <row r="25" spans="1:8" ht="15.75" x14ac:dyDescent="0.25">
      <c r="A25" t="s">
        <v>8</v>
      </c>
      <c r="B25" s="9" t="s">
        <v>7</v>
      </c>
      <c r="C25" s="8">
        <f>D3*0.004</f>
        <v>1499.4</v>
      </c>
      <c r="F25" s="9" t="s">
        <v>13</v>
      </c>
      <c r="G25" s="16">
        <v>0.35</v>
      </c>
      <c r="H25" s="29">
        <f>-(F26*0.35)</f>
        <v>-36834.327647058824</v>
      </c>
    </row>
    <row r="26" spans="1:8" ht="15.75" thickBot="1" x14ac:dyDescent="0.3">
      <c r="F26" s="21">
        <f>H21</f>
        <v>105240.93613445379</v>
      </c>
      <c r="H26" s="7"/>
    </row>
    <row r="27" spans="1:8" ht="15.75" x14ac:dyDescent="0.25">
      <c r="A27" t="s">
        <v>9</v>
      </c>
      <c r="B27" s="9" t="s">
        <v>7</v>
      </c>
      <c r="C27" s="10"/>
      <c r="G27" s="13" t="s">
        <v>14</v>
      </c>
      <c r="H27" s="6">
        <f>H21+H23+H25</f>
        <v>66201.608487394959</v>
      </c>
    </row>
    <row r="28" spans="1:8" ht="15.75" thickBot="1" x14ac:dyDescent="0.3">
      <c r="A28" s="16"/>
      <c r="B28" s="14"/>
      <c r="C28" s="7"/>
    </row>
    <row r="29" spans="1:8" x14ac:dyDescent="0.25">
      <c r="E29" t="s">
        <v>151</v>
      </c>
      <c r="H29" s="20">
        <f>H27*0.5</f>
        <v>33100.804243697479</v>
      </c>
    </row>
    <row r="30" spans="1:8" ht="15.75" x14ac:dyDescent="0.25">
      <c r="A30" t="s">
        <v>10</v>
      </c>
      <c r="C30" s="10">
        <f>C21-C23-C25-C27</f>
        <v>105240.93613445379</v>
      </c>
      <c r="H30" s="18"/>
    </row>
    <row r="31" spans="1:8" x14ac:dyDescent="0.25">
      <c r="H31" s="3"/>
    </row>
    <row r="32" spans="1:8" x14ac:dyDescent="0.25">
      <c r="H32" s="18"/>
    </row>
  </sheetData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8CAED-8F6C-4201-AAE6-D3A3EB9EB085}">
  <dimension ref="A1:H32"/>
  <sheetViews>
    <sheetView topLeftCell="A10" workbookViewId="0">
      <selection activeCell="A10" sqref="A1:XFD1048576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505</v>
      </c>
    </row>
    <row r="3" spans="1:8" ht="21" x14ac:dyDescent="0.35">
      <c r="A3" s="2" t="s">
        <v>1</v>
      </c>
      <c r="D3" s="11">
        <v>26180</v>
      </c>
      <c r="F3" s="12" t="s">
        <v>3</v>
      </c>
      <c r="H3" s="4">
        <f>(D3/1.19)*0.19</f>
        <v>4180</v>
      </c>
    </row>
    <row r="4" spans="1:8" x14ac:dyDescent="0.25">
      <c r="A4" s="13" t="s">
        <v>32</v>
      </c>
      <c r="C4" s="26">
        <v>844</v>
      </c>
    </row>
    <row r="5" spans="1:8" ht="21" x14ac:dyDescent="0.35">
      <c r="A5" s="2" t="s">
        <v>2</v>
      </c>
    </row>
    <row r="7" spans="1:8" ht="18.75" x14ac:dyDescent="0.3">
      <c r="A7" s="5"/>
      <c r="D7" s="4"/>
      <c r="E7" s="25"/>
      <c r="H7" s="4"/>
    </row>
    <row r="8" spans="1:8" ht="18.75" x14ac:dyDescent="0.3">
      <c r="A8" s="5" t="s">
        <v>226</v>
      </c>
      <c r="C8" s="3"/>
      <c r="D8" s="32">
        <v>9163</v>
      </c>
      <c r="E8" s="25"/>
      <c r="H8" s="4">
        <f t="shared" ref="H8" si="0">(D8/1.19)*0.19</f>
        <v>1463</v>
      </c>
    </row>
    <row r="9" spans="1:8" ht="18.75" x14ac:dyDescent="0.3">
      <c r="A9" s="5"/>
      <c r="C9" s="3"/>
      <c r="D9" s="28"/>
      <c r="E9" s="25"/>
      <c r="H9" s="4"/>
    </row>
    <row r="10" spans="1:8" ht="18.75" x14ac:dyDescent="0.3">
      <c r="A10" s="5"/>
      <c r="C10" s="3"/>
      <c r="D10" s="28"/>
      <c r="E10" s="25"/>
      <c r="H10" s="4"/>
    </row>
    <row r="11" spans="1:8" ht="19.5" thickBot="1" x14ac:dyDescent="0.35">
      <c r="A11" s="5"/>
      <c r="C11" s="3"/>
      <c r="D11" s="22"/>
      <c r="E11" s="25"/>
      <c r="H11" s="22">
        <v>0</v>
      </c>
    </row>
    <row r="12" spans="1:8" ht="18.75" customHeight="1" x14ac:dyDescent="0.3">
      <c r="D12" s="4">
        <f>SUM(D7:D11)</f>
        <v>9163</v>
      </c>
      <c r="H12" s="4">
        <f>SUM(H7:H11)</f>
        <v>1463</v>
      </c>
    </row>
    <row r="13" spans="1:8" ht="18.75" x14ac:dyDescent="0.3">
      <c r="A13" s="5"/>
      <c r="C13" s="3"/>
      <c r="D13" s="4"/>
      <c r="H13" s="4"/>
    </row>
    <row r="15" spans="1:8" ht="18.75" x14ac:dyDescent="0.3">
      <c r="A15" s="5"/>
      <c r="C15" s="3"/>
      <c r="D15" s="4"/>
      <c r="H15" s="4"/>
    </row>
    <row r="16" spans="1:8" ht="15.75" thickBot="1" x14ac:dyDescent="0.3">
      <c r="D16" s="7"/>
      <c r="H16" s="7"/>
    </row>
    <row r="18" spans="1:8" ht="18.75" x14ac:dyDescent="0.3">
      <c r="C18" t="s">
        <v>4</v>
      </c>
      <c r="D18" s="4">
        <f>D3-D12</f>
        <v>17017</v>
      </c>
      <c r="G18" t="s">
        <v>5</v>
      </c>
      <c r="H18" s="4">
        <f>H3-H12</f>
        <v>2717</v>
      </c>
    </row>
    <row r="21" spans="1:8" ht="15.75" x14ac:dyDescent="0.25">
      <c r="A21" t="s">
        <v>6</v>
      </c>
      <c r="C21" s="8">
        <f>D18</f>
        <v>17017</v>
      </c>
      <c r="E21" t="s">
        <v>10</v>
      </c>
      <c r="H21" s="6">
        <f>C30</f>
        <v>14195.28</v>
      </c>
    </row>
    <row r="23" spans="1:8" ht="15.75" x14ac:dyDescent="0.25">
      <c r="A23" t="s">
        <v>5</v>
      </c>
      <c r="B23" s="9" t="s">
        <v>7</v>
      </c>
      <c r="C23" s="8">
        <f>H18</f>
        <v>2717</v>
      </c>
      <c r="E23" s="13" t="s">
        <v>11</v>
      </c>
      <c r="F23" s="9" t="s">
        <v>181</v>
      </c>
      <c r="G23" s="15" t="s">
        <v>17</v>
      </c>
      <c r="H23" s="3">
        <f>-(F24*0.007)</f>
        <v>-154</v>
      </c>
    </row>
    <row r="24" spans="1:8" x14ac:dyDescent="0.25">
      <c r="F24" s="21">
        <f>D3-H3</f>
        <v>22000</v>
      </c>
    </row>
    <row r="25" spans="1:8" ht="15.75" x14ac:dyDescent="0.25">
      <c r="A25" t="s">
        <v>8</v>
      </c>
      <c r="B25" s="9" t="s">
        <v>7</v>
      </c>
      <c r="C25" s="8">
        <f>D3*0.004</f>
        <v>104.72</v>
      </c>
      <c r="F25" s="9" t="s">
        <v>13</v>
      </c>
      <c r="G25" s="16">
        <v>0.35</v>
      </c>
      <c r="H25" s="29">
        <f>-(F26*0.35)</f>
        <v>-4968.348</v>
      </c>
    </row>
    <row r="26" spans="1:8" ht="15.75" thickBot="1" x14ac:dyDescent="0.3">
      <c r="F26" s="21">
        <f>H21</f>
        <v>14195.28</v>
      </c>
      <c r="H26" s="7"/>
    </row>
    <row r="27" spans="1:8" ht="15.75" x14ac:dyDescent="0.25">
      <c r="A27" t="s">
        <v>9</v>
      </c>
      <c r="B27" s="9" t="s">
        <v>7</v>
      </c>
      <c r="C27" s="10"/>
      <c r="G27" s="13" t="s">
        <v>14</v>
      </c>
      <c r="H27" s="6">
        <f>H21+H23+H25</f>
        <v>9072.9320000000007</v>
      </c>
    </row>
    <row r="28" spans="1:8" ht="15.75" thickBot="1" x14ac:dyDescent="0.3">
      <c r="A28" s="16"/>
      <c r="B28" s="14"/>
      <c r="C28" s="7"/>
    </row>
    <row r="29" spans="1:8" x14ac:dyDescent="0.25">
      <c r="E29" t="s">
        <v>151</v>
      </c>
      <c r="H29" s="20">
        <f>H27*0.5</f>
        <v>4536.4660000000003</v>
      </c>
    </row>
    <row r="30" spans="1:8" ht="15.75" x14ac:dyDescent="0.25">
      <c r="A30" t="s">
        <v>10</v>
      </c>
      <c r="C30" s="10">
        <f>C21-C23-C25-C27</f>
        <v>14195.28</v>
      </c>
      <c r="H30" s="18"/>
    </row>
    <row r="31" spans="1:8" x14ac:dyDescent="0.25">
      <c r="H31" s="3"/>
    </row>
    <row r="32" spans="1:8" x14ac:dyDescent="0.25">
      <c r="H32" s="18"/>
    </row>
  </sheetData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423A5-0590-417D-BA05-CE66937D9297}">
  <dimension ref="A1:H32"/>
  <sheetViews>
    <sheetView workbookViewId="0">
      <selection sqref="A1:XFD1048576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614</v>
      </c>
    </row>
    <row r="3" spans="1:8" ht="21" x14ac:dyDescent="0.35">
      <c r="A3" s="2" t="s">
        <v>1</v>
      </c>
      <c r="D3" s="11">
        <v>142800</v>
      </c>
      <c r="F3" s="12" t="s">
        <v>3</v>
      </c>
      <c r="H3" s="4">
        <f>(D3/1.19)*0.19</f>
        <v>22800</v>
      </c>
    </row>
    <row r="4" spans="1:8" x14ac:dyDescent="0.25">
      <c r="A4" s="13" t="s">
        <v>32</v>
      </c>
      <c r="C4" s="26">
        <v>846</v>
      </c>
    </row>
    <row r="5" spans="1:8" ht="21" x14ac:dyDescent="0.35">
      <c r="A5" s="2" t="s">
        <v>2</v>
      </c>
    </row>
    <row r="7" spans="1:8" ht="18.75" x14ac:dyDescent="0.3">
      <c r="A7" s="5"/>
      <c r="D7" s="4"/>
      <c r="E7" s="25"/>
      <c r="H7" s="4"/>
    </row>
    <row r="8" spans="1:8" ht="18.75" x14ac:dyDescent="0.3">
      <c r="A8" s="5" t="s">
        <v>221</v>
      </c>
      <c r="C8" s="3"/>
      <c r="D8" s="32">
        <v>48790</v>
      </c>
      <c r="E8" s="25"/>
      <c r="H8" s="4">
        <f t="shared" ref="H8" si="0">(D8/1.19)*0.19</f>
        <v>7790</v>
      </c>
    </row>
    <row r="9" spans="1:8" ht="18.75" x14ac:dyDescent="0.3">
      <c r="A9" s="5" t="s">
        <v>615</v>
      </c>
      <c r="C9" s="3"/>
      <c r="D9" s="28">
        <v>30000</v>
      </c>
      <c r="E9" s="25"/>
      <c r="H9" s="4"/>
    </row>
    <row r="10" spans="1:8" ht="18.75" x14ac:dyDescent="0.3">
      <c r="A10" s="5"/>
      <c r="C10" s="3"/>
      <c r="D10" s="28"/>
      <c r="E10" s="25"/>
      <c r="H10" s="4"/>
    </row>
    <row r="11" spans="1:8" ht="19.5" thickBot="1" x14ac:dyDescent="0.35">
      <c r="A11" s="5"/>
      <c r="C11" s="3"/>
      <c r="D11" s="22"/>
      <c r="E11" s="25"/>
      <c r="H11" s="22">
        <v>0</v>
      </c>
    </row>
    <row r="12" spans="1:8" ht="18.75" customHeight="1" x14ac:dyDescent="0.3">
      <c r="D12" s="4">
        <f>SUM(D7:D11)</f>
        <v>78790</v>
      </c>
      <c r="H12" s="4">
        <f>SUM(H7:H11)</f>
        <v>7790</v>
      </c>
    </row>
    <row r="13" spans="1:8" ht="18.75" x14ac:dyDescent="0.3">
      <c r="A13" s="5"/>
      <c r="C13" s="3"/>
      <c r="D13" s="4"/>
      <c r="H13" s="4"/>
    </row>
    <row r="15" spans="1:8" ht="18.75" x14ac:dyDescent="0.3">
      <c r="A15" s="5"/>
      <c r="C15" s="3"/>
      <c r="D15" s="4"/>
      <c r="H15" s="4"/>
    </row>
    <row r="16" spans="1:8" ht="15.75" thickBot="1" x14ac:dyDescent="0.3">
      <c r="D16" s="7"/>
      <c r="H16" s="7"/>
    </row>
    <row r="18" spans="1:8" ht="18.75" x14ac:dyDescent="0.3">
      <c r="C18" t="s">
        <v>4</v>
      </c>
      <c r="D18" s="4">
        <f>D3-D12</f>
        <v>64010</v>
      </c>
      <c r="G18" t="s">
        <v>5</v>
      </c>
      <c r="H18" s="4">
        <f>H3-H12</f>
        <v>15010</v>
      </c>
    </row>
    <row r="21" spans="1:8" ht="15.75" x14ac:dyDescent="0.25">
      <c r="A21" t="s">
        <v>6</v>
      </c>
      <c r="C21" s="8">
        <f>D18</f>
        <v>64010</v>
      </c>
      <c r="E21" t="s">
        <v>10</v>
      </c>
      <c r="H21" s="6">
        <f>C30</f>
        <v>48428.800000000003</v>
      </c>
    </row>
    <row r="23" spans="1:8" ht="15.75" x14ac:dyDescent="0.25">
      <c r="A23" t="s">
        <v>5</v>
      </c>
      <c r="B23" s="9" t="s">
        <v>7</v>
      </c>
      <c r="C23" s="8">
        <f>H18</f>
        <v>15010</v>
      </c>
      <c r="E23" s="13" t="s">
        <v>11</v>
      </c>
      <c r="F23" s="9" t="s">
        <v>181</v>
      </c>
      <c r="G23" s="15" t="s">
        <v>17</v>
      </c>
      <c r="H23" s="3">
        <f>-(F24*0.007)</f>
        <v>-840</v>
      </c>
    </row>
    <row r="24" spans="1:8" x14ac:dyDescent="0.25">
      <c r="F24" s="21">
        <f>D3-H3</f>
        <v>120000</v>
      </c>
    </row>
    <row r="25" spans="1:8" ht="15.75" x14ac:dyDescent="0.25">
      <c r="A25" t="s">
        <v>8</v>
      </c>
      <c r="B25" s="9" t="s">
        <v>7</v>
      </c>
      <c r="C25" s="8">
        <f>D3*0.004</f>
        <v>571.20000000000005</v>
      </c>
      <c r="F25" s="9" t="s">
        <v>13</v>
      </c>
      <c r="G25" s="16">
        <v>0.35</v>
      </c>
      <c r="H25" s="29">
        <f>-(F26*0.35)</f>
        <v>-16950.080000000002</v>
      </c>
    </row>
    <row r="26" spans="1:8" ht="15.75" thickBot="1" x14ac:dyDescent="0.3">
      <c r="F26" s="21">
        <f>H21</f>
        <v>48428.800000000003</v>
      </c>
      <c r="H26" s="7"/>
    </row>
    <row r="27" spans="1:8" ht="15.75" x14ac:dyDescent="0.25">
      <c r="A27" t="s">
        <v>9</v>
      </c>
      <c r="B27" s="9" t="s">
        <v>7</v>
      </c>
      <c r="C27" s="10"/>
      <c r="G27" s="13" t="s">
        <v>14</v>
      </c>
      <c r="H27" s="6">
        <f>H21+H23+H25</f>
        <v>30638.720000000001</v>
      </c>
    </row>
    <row r="28" spans="1:8" ht="15.75" thickBot="1" x14ac:dyDescent="0.3">
      <c r="A28" s="16"/>
      <c r="B28" s="14"/>
      <c r="C28" s="7"/>
    </row>
    <row r="29" spans="1:8" x14ac:dyDescent="0.25">
      <c r="E29" t="s">
        <v>151</v>
      </c>
      <c r="H29" s="20">
        <f>H27*0.5</f>
        <v>15319.36</v>
      </c>
    </row>
    <row r="30" spans="1:8" ht="15.75" x14ac:dyDescent="0.25">
      <c r="A30" t="s">
        <v>10</v>
      </c>
      <c r="C30" s="10">
        <f>C21-C23-C25-C27</f>
        <v>48428.800000000003</v>
      </c>
      <c r="H30" s="18"/>
    </row>
    <row r="31" spans="1:8" x14ac:dyDescent="0.25">
      <c r="H31" s="3"/>
    </row>
    <row r="32" spans="1:8" x14ac:dyDescent="0.25">
      <c r="H32" s="18"/>
    </row>
  </sheetData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E2BD0-C030-4C89-A13E-CCB44049E8E5}">
  <dimension ref="A1:H32"/>
  <sheetViews>
    <sheetView topLeftCell="A10" workbookViewId="0">
      <selection activeCell="H8" sqref="H8:H9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570</v>
      </c>
    </row>
    <row r="3" spans="1:8" ht="21" x14ac:dyDescent="0.35">
      <c r="A3" s="2" t="s">
        <v>1</v>
      </c>
      <c r="D3" s="11">
        <v>111600</v>
      </c>
      <c r="F3" s="12" t="s">
        <v>3</v>
      </c>
      <c r="H3" s="4">
        <f>(D3/1.19)*0.19</f>
        <v>17818.487394957985</v>
      </c>
    </row>
    <row r="4" spans="1:8" x14ac:dyDescent="0.25">
      <c r="A4" s="13" t="s">
        <v>32</v>
      </c>
      <c r="C4" s="26">
        <v>847</v>
      </c>
    </row>
    <row r="5" spans="1:8" ht="21" x14ac:dyDescent="0.35">
      <c r="A5" s="2" t="s">
        <v>2</v>
      </c>
    </row>
    <row r="7" spans="1:8" ht="18.75" x14ac:dyDescent="0.3">
      <c r="A7" s="5"/>
      <c r="D7" s="4"/>
      <c r="E7" s="25"/>
      <c r="H7" s="4"/>
    </row>
    <row r="8" spans="1:8" ht="18.75" x14ac:dyDescent="0.3">
      <c r="A8" s="5" t="s">
        <v>221</v>
      </c>
      <c r="C8" s="3"/>
      <c r="D8" s="32">
        <v>58720</v>
      </c>
      <c r="E8" s="25"/>
      <c r="H8" s="4">
        <f t="shared" ref="H8:H9" si="0">(D8/1.19)*0.19</f>
        <v>9375.4621848739498</v>
      </c>
    </row>
    <row r="9" spans="1:8" ht="18.75" x14ac:dyDescent="0.3">
      <c r="A9" s="5" t="s">
        <v>515</v>
      </c>
      <c r="C9" s="3"/>
      <c r="D9" s="28">
        <v>10300</v>
      </c>
      <c r="E9" s="25"/>
      <c r="H9" s="4">
        <f t="shared" si="0"/>
        <v>1644.5378151260504</v>
      </c>
    </row>
    <row r="10" spans="1:8" ht="18.75" x14ac:dyDescent="0.3">
      <c r="A10" s="5"/>
      <c r="C10" s="3"/>
      <c r="D10" s="28"/>
      <c r="E10" s="25"/>
      <c r="H10" s="4"/>
    </row>
    <row r="11" spans="1:8" ht="19.5" thickBot="1" x14ac:dyDescent="0.35">
      <c r="A11" s="5"/>
      <c r="C11" s="3"/>
      <c r="D11" s="22"/>
      <c r="E11" s="25"/>
      <c r="H11" s="22">
        <v>0</v>
      </c>
    </row>
    <row r="12" spans="1:8" ht="18.75" customHeight="1" x14ac:dyDescent="0.3">
      <c r="D12" s="4">
        <f>SUM(D7:D11)</f>
        <v>69020</v>
      </c>
      <c r="H12" s="4">
        <f>SUM(H7:H11)</f>
        <v>11020</v>
      </c>
    </row>
    <row r="13" spans="1:8" ht="18.75" x14ac:dyDescent="0.3">
      <c r="A13" s="5"/>
      <c r="C13" s="3"/>
      <c r="D13" s="4"/>
      <c r="H13" s="4"/>
    </row>
    <row r="15" spans="1:8" ht="18.75" x14ac:dyDescent="0.3">
      <c r="A15" s="5"/>
      <c r="C15" s="3"/>
      <c r="D15" s="4"/>
      <c r="H15" s="4"/>
    </row>
    <row r="16" spans="1:8" ht="15.75" thickBot="1" x14ac:dyDescent="0.3">
      <c r="D16" s="7"/>
      <c r="H16" s="7"/>
    </row>
    <row r="18" spans="1:8" ht="18.75" x14ac:dyDescent="0.3">
      <c r="C18" t="s">
        <v>4</v>
      </c>
      <c r="D18" s="4">
        <f>D3-D12</f>
        <v>42580</v>
      </c>
      <c r="G18" t="s">
        <v>5</v>
      </c>
      <c r="H18" s="4">
        <f>H3-H12</f>
        <v>6798.4873949579851</v>
      </c>
    </row>
    <row r="21" spans="1:8" ht="15.75" x14ac:dyDescent="0.25">
      <c r="A21" t="s">
        <v>6</v>
      </c>
      <c r="C21" s="8">
        <f>D18</f>
        <v>42580</v>
      </c>
      <c r="E21" t="s">
        <v>10</v>
      </c>
      <c r="H21" s="6">
        <f>C30</f>
        <v>35335.112605042013</v>
      </c>
    </row>
    <row r="23" spans="1:8" ht="15.75" x14ac:dyDescent="0.25">
      <c r="A23" t="s">
        <v>5</v>
      </c>
      <c r="B23" s="9" t="s">
        <v>7</v>
      </c>
      <c r="C23" s="8">
        <f>H18</f>
        <v>6798.4873949579851</v>
      </c>
      <c r="E23" s="13" t="s">
        <v>11</v>
      </c>
      <c r="F23" s="9" t="s">
        <v>181</v>
      </c>
      <c r="G23" s="15" t="s">
        <v>17</v>
      </c>
      <c r="H23" s="3">
        <f>-(F24*0.007)</f>
        <v>-656.47058823529414</v>
      </c>
    </row>
    <row r="24" spans="1:8" x14ac:dyDescent="0.25">
      <c r="F24" s="21">
        <f>D3-H3</f>
        <v>93781.512605042022</v>
      </c>
    </row>
    <row r="25" spans="1:8" ht="15.75" x14ac:dyDescent="0.25">
      <c r="A25" t="s">
        <v>8</v>
      </c>
      <c r="B25" s="9" t="s">
        <v>7</v>
      </c>
      <c r="C25" s="8">
        <f>D3*0.004</f>
        <v>446.40000000000003</v>
      </c>
      <c r="F25" s="9" t="s">
        <v>13</v>
      </c>
      <c r="G25" s="16">
        <v>0.35</v>
      </c>
      <c r="H25" s="29">
        <f>-(F26*0.35)</f>
        <v>-12367.289411764705</v>
      </c>
    </row>
    <row r="26" spans="1:8" ht="15.75" thickBot="1" x14ac:dyDescent="0.3">
      <c r="F26" s="21">
        <f>H21</f>
        <v>35335.112605042013</v>
      </c>
      <c r="H26" s="7"/>
    </row>
    <row r="27" spans="1:8" ht="15.75" x14ac:dyDescent="0.25">
      <c r="A27" t="s">
        <v>9</v>
      </c>
      <c r="B27" s="9" t="s">
        <v>7</v>
      </c>
      <c r="C27" s="10"/>
      <c r="G27" s="13" t="s">
        <v>14</v>
      </c>
      <c r="H27" s="6">
        <f>H21+H23+H25</f>
        <v>22311.352605042015</v>
      </c>
    </row>
    <row r="28" spans="1:8" ht="15.75" thickBot="1" x14ac:dyDescent="0.3">
      <c r="A28" s="16"/>
      <c r="B28" s="14"/>
      <c r="C28" s="7"/>
    </row>
    <row r="29" spans="1:8" x14ac:dyDescent="0.25">
      <c r="E29" t="s">
        <v>151</v>
      </c>
      <c r="H29" s="20">
        <f>H27*0.5</f>
        <v>11155.676302521008</v>
      </c>
    </row>
    <row r="30" spans="1:8" ht="15.75" x14ac:dyDescent="0.25">
      <c r="A30" t="s">
        <v>10</v>
      </c>
      <c r="C30" s="10">
        <f>C21-C23-C25-C27</f>
        <v>35335.112605042013</v>
      </c>
      <c r="H30" s="18"/>
    </row>
    <row r="31" spans="1:8" x14ac:dyDescent="0.25">
      <c r="H31" s="3"/>
    </row>
    <row r="32" spans="1:8" x14ac:dyDescent="0.25">
      <c r="H32" s="18"/>
    </row>
  </sheetData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4CC36-1023-4B8C-8250-8195CCBCF746}">
  <dimension ref="A1:H32"/>
  <sheetViews>
    <sheetView workbookViewId="0">
      <selection sqref="A1:XFD1048576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616</v>
      </c>
    </row>
    <row r="3" spans="1:8" ht="21" x14ac:dyDescent="0.35">
      <c r="A3" s="2" t="s">
        <v>1</v>
      </c>
      <c r="D3" s="11">
        <v>230860</v>
      </c>
      <c r="F3" s="12" t="s">
        <v>3</v>
      </c>
      <c r="H3" s="4">
        <f>(D3/1.19)*0.19</f>
        <v>36860</v>
      </c>
    </row>
    <row r="4" spans="1:8" x14ac:dyDescent="0.25">
      <c r="A4" s="13" t="s">
        <v>32</v>
      </c>
      <c r="C4" s="26">
        <v>848</v>
      </c>
    </row>
    <row r="5" spans="1:8" ht="21" x14ac:dyDescent="0.35">
      <c r="A5" s="2" t="s">
        <v>2</v>
      </c>
    </row>
    <row r="7" spans="1:8" ht="18.75" x14ac:dyDescent="0.3">
      <c r="A7" s="5"/>
      <c r="D7" s="4"/>
      <c r="E7" s="25"/>
      <c r="H7" s="4"/>
    </row>
    <row r="8" spans="1:8" ht="18.75" x14ac:dyDescent="0.3">
      <c r="A8" s="5" t="s">
        <v>221</v>
      </c>
      <c r="C8" s="3"/>
      <c r="D8" s="32">
        <v>35343</v>
      </c>
      <c r="E8" s="25"/>
      <c r="H8" s="4">
        <f t="shared" ref="H8:H9" si="0">(D8/1.19)*0.19</f>
        <v>5643</v>
      </c>
    </row>
    <row r="9" spans="1:8" ht="18.75" x14ac:dyDescent="0.3">
      <c r="A9" s="5" t="s">
        <v>472</v>
      </c>
      <c r="C9" s="3"/>
      <c r="D9" s="28">
        <v>137000</v>
      </c>
      <c r="E9" s="25"/>
      <c r="H9" s="4">
        <f t="shared" si="0"/>
        <v>21873.949579831933</v>
      </c>
    </row>
    <row r="10" spans="1:8" ht="18.75" x14ac:dyDescent="0.3">
      <c r="A10" s="5"/>
      <c r="C10" s="3"/>
      <c r="D10" s="28"/>
      <c r="E10" s="25"/>
      <c r="H10" s="4"/>
    </row>
    <row r="11" spans="1:8" ht="19.5" thickBot="1" x14ac:dyDescent="0.35">
      <c r="A11" s="5"/>
      <c r="C11" s="3"/>
      <c r="D11" s="22"/>
      <c r="E11" s="25"/>
      <c r="H11" s="22">
        <v>0</v>
      </c>
    </row>
    <row r="12" spans="1:8" ht="18.75" customHeight="1" x14ac:dyDescent="0.3">
      <c r="D12" s="4">
        <f>SUM(D7:D11)</f>
        <v>172343</v>
      </c>
      <c r="H12" s="4">
        <f>SUM(H7:H11)</f>
        <v>27516.949579831933</v>
      </c>
    </row>
    <row r="13" spans="1:8" ht="18.75" x14ac:dyDescent="0.3">
      <c r="A13" s="5"/>
      <c r="C13" s="3"/>
      <c r="D13" s="4"/>
      <c r="H13" s="4"/>
    </row>
    <row r="15" spans="1:8" ht="18.75" x14ac:dyDescent="0.3">
      <c r="A15" s="5"/>
      <c r="C15" s="3"/>
      <c r="D15" s="4"/>
      <c r="H15" s="4"/>
    </row>
    <row r="16" spans="1:8" ht="15.75" thickBot="1" x14ac:dyDescent="0.3">
      <c r="D16" s="7"/>
      <c r="H16" s="7"/>
    </row>
    <row r="18" spans="1:8" ht="18.75" x14ac:dyDescent="0.3">
      <c r="C18" t="s">
        <v>4</v>
      </c>
      <c r="D18" s="4">
        <f>D3-D12</f>
        <v>58517</v>
      </c>
      <c r="G18" t="s">
        <v>5</v>
      </c>
      <c r="H18" s="4">
        <f>H3-H12</f>
        <v>9343.0504201680669</v>
      </c>
    </row>
    <row r="21" spans="1:8" ht="15.75" x14ac:dyDescent="0.25">
      <c r="A21" t="s">
        <v>6</v>
      </c>
      <c r="C21" s="8">
        <f>D18</f>
        <v>58517</v>
      </c>
      <c r="E21" t="s">
        <v>10</v>
      </c>
      <c r="H21" s="6">
        <f>C30</f>
        <v>48250.509579831931</v>
      </c>
    </row>
    <row r="23" spans="1:8" ht="15.75" x14ac:dyDescent="0.25">
      <c r="A23" t="s">
        <v>5</v>
      </c>
      <c r="B23" s="9" t="s">
        <v>7</v>
      </c>
      <c r="C23" s="8">
        <f>H18</f>
        <v>9343.0504201680669</v>
      </c>
      <c r="E23" s="13" t="s">
        <v>11</v>
      </c>
      <c r="F23" s="9" t="s">
        <v>181</v>
      </c>
      <c r="G23" s="15" t="s">
        <v>17</v>
      </c>
      <c r="H23" s="3">
        <f>-(F24*0.007)</f>
        <v>-1358</v>
      </c>
    </row>
    <row r="24" spans="1:8" x14ac:dyDescent="0.25">
      <c r="F24" s="21">
        <f>D3-H3</f>
        <v>194000</v>
      </c>
    </row>
    <row r="25" spans="1:8" ht="15.75" x14ac:dyDescent="0.25">
      <c r="A25" t="s">
        <v>8</v>
      </c>
      <c r="B25" s="9" t="s">
        <v>7</v>
      </c>
      <c r="C25" s="8">
        <f>D3*0.004</f>
        <v>923.44</v>
      </c>
      <c r="F25" s="9" t="s">
        <v>13</v>
      </c>
      <c r="G25" s="16">
        <v>0.35</v>
      </c>
      <c r="H25" s="29">
        <f>-(F26*0.35)</f>
        <v>-16887.678352941173</v>
      </c>
    </row>
    <row r="26" spans="1:8" ht="15.75" thickBot="1" x14ac:dyDescent="0.3">
      <c r="F26" s="21">
        <f>H21</f>
        <v>48250.509579831931</v>
      </c>
      <c r="H26" s="7"/>
    </row>
    <row r="27" spans="1:8" ht="15.75" x14ac:dyDescent="0.25">
      <c r="A27" t="s">
        <v>9</v>
      </c>
      <c r="B27" s="9" t="s">
        <v>7</v>
      </c>
      <c r="C27" s="10"/>
      <c r="G27" s="13" t="s">
        <v>14</v>
      </c>
      <c r="H27" s="6">
        <f>H21+H23+H25</f>
        <v>30004.831226890758</v>
      </c>
    </row>
    <row r="28" spans="1:8" ht="15.75" thickBot="1" x14ac:dyDescent="0.3">
      <c r="A28" s="16"/>
      <c r="B28" s="14"/>
      <c r="C28" s="7"/>
    </row>
    <row r="29" spans="1:8" x14ac:dyDescent="0.25">
      <c r="E29" t="s">
        <v>151</v>
      </c>
      <c r="H29" s="20">
        <f>H27*0.5</f>
        <v>15002.415613445379</v>
      </c>
    </row>
    <row r="30" spans="1:8" ht="15.75" x14ac:dyDescent="0.25">
      <c r="A30" t="s">
        <v>10</v>
      </c>
      <c r="C30" s="10">
        <f>C21-C23-C25-C27</f>
        <v>48250.509579831931</v>
      </c>
      <c r="H30" s="18"/>
    </row>
    <row r="31" spans="1:8" x14ac:dyDescent="0.25">
      <c r="H31" s="3"/>
    </row>
    <row r="32" spans="1:8" x14ac:dyDescent="0.25">
      <c r="H32" s="18"/>
    </row>
  </sheetData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57E90-D288-4B6A-BC85-85AE10C6A25E}">
  <dimension ref="A1:H32"/>
  <sheetViews>
    <sheetView workbookViewId="0">
      <selection sqref="A1:XFD1048576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617</v>
      </c>
    </row>
    <row r="3" spans="1:8" ht="21" x14ac:dyDescent="0.35">
      <c r="A3" s="2" t="s">
        <v>1</v>
      </c>
      <c r="D3" s="11">
        <v>228480</v>
      </c>
      <c r="F3" s="12" t="s">
        <v>3</v>
      </c>
      <c r="H3" s="4">
        <f>(D3/1.19)*0.19</f>
        <v>36480</v>
      </c>
    </row>
    <row r="4" spans="1:8" x14ac:dyDescent="0.25">
      <c r="A4" s="13" t="s">
        <v>32</v>
      </c>
      <c r="C4" s="26">
        <v>849</v>
      </c>
    </row>
    <row r="5" spans="1:8" ht="21" x14ac:dyDescent="0.35">
      <c r="A5" s="2" t="s">
        <v>2</v>
      </c>
    </row>
    <row r="7" spans="1:8" ht="18.75" x14ac:dyDescent="0.3">
      <c r="A7" s="5"/>
      <c r="D7" s="4"/>
      <c r="E7" s="25"/>
      <c r="H7" s="4"/>
    </row>
    <row r="8" spans="1:8" ht="18.75" x14ac:dyDescent="0.3">
      <c r="A8" s="5"/>
      <c r="C8" s="3"/>
      <c r="D8" s="32"/>
      <c r="E8" s="25"/>
      <c r="H8" s="4"/>
    </row>
    <row r="9" spans="1:8" ht="18.75" x14ac:dyDescent="0.3">
      <c r="A9" s="5" t="s">
        <v>472</v>
      </c>
      <c r="C9" s="3"/>
      <c r="D9" s="28">
        <v>133265</v>
      </c>
      <c r="E9" s="25"/>
      <c r="H9" s="4">
        <f t="shared" ref="H9" si="0">(D9/1.19)*0.19</f>
        <v>21277.605042016807</v>
      </c>
    </row>
    <row r="10" spans="1:8" ht="18.75" x14ac:dyDescent="0.3">
      <c r="A10" s="5"/>
      <c r="C10" s="3"/>
      <c r="D10" s="28"/>
      <c r="E10" s="25"/>
      <c r="H10" s="4"/>
    </row>
    <row r="11" spans="1:8" ht="19.5" thickBot="1" x14ac:dyDescent="0.35">
      <c r="A11" s="5"/>
      <c r="C11" s="3"/>
      <c r="D11" s="22"/>
      <c r="E11" s="25"/>
      <c r="H11" s="22">
        <v>0</v>
      </c>
    </row>
    <row r="12" spans="1:8" ht="18.75" customHeight="1" x14ac:dyDescent="0.3">
      <c r="D12" s="4">
        <f>SUM(D7:D11)</f>
        <v>133265</v>
      </c>
      <c r="H12" s="4">
        <f>SUM(H7:H11)</f>
        <v>21277.605042016807</v>
      </c>
    </row>
    <row r="13" spans="1:8" ht="18.75" x14ac:dyDescent="0.3">
      <c r="A13" s="5"/>
      <c r="C13" s="3"/>
      <c r="D13" s="4"/>
      <c r="H13" s="4"/>
    </row>
    <row r="15" spans="1:8" ht="18.75" x14ac:dyDescent="0.3">
      <c r="A15" s="5"/>
      <c r="C15" s="3"/>
      <c r="D15" s="4"/>
      <c r="H15" s="4"/>
    </row>
    <row r="16" spans="1:8" ht="15.75" thickBot="1" x14ac:dyDescent="0.3">
      <c r="D16" s="7"/>
      <c r="H16" s="7"/>
    </row>
    <row r="18" spans="1:8" ht="18.75" x14ac:dyDescent="0.3">
      <c r="C18" t="s">
        <v>4</v>
      </c>
      <c r="D18" s="4">
        <f>D3-D12</f>
        <v>95215</v>
      </c>
      <c r="G18" t="s">
        <v>5</v>
      </c>
      <c r="H18" s="4">
        <f>H3-H12</f>
        <v>15202.394957983193</v>
      </c>
    </row>
    <row r="21" spans="1:8" ht="15.75" x14ac:dyDescent="0.25">
      <c r="A21" t="s">
        <v>6</v>
      </c>
      <c r="C21" s="8">
        <f>D18</f>
        <v>95215</v>
      </c>
      <c r="E21" t="s">
        <v>10</v>
      </c>
      <c r="H21" s="6">
        <f>C30</f>
        <v>79098.685042016805</v>
      </c>
    </row>
    <row r="23" spans="1:8" ht="15.75" x14ac:dyDescent="0.25">
      <c r="A23" t="s">
        <v>5</v>
      </c>
      <c r="B23" s="9" t="s">
        <v>7</v>
      </c>
      <c r="C23" s="8">
        <f>H18</f>
        <v>15202.394957983193</v>
      </c>
      <c r="E23" s="13" t="s">
        <v>11</v>
      </c>
      <c r="F23" s="9" t="s">
        <v>181</v>
      </c>
      <c r="G23" s="15" t="s">
        <v>17</v>
      </c>
      <c r="H23" s="3">
        <f>-(F24*0.007)</f>
        <v>-1344</v>
      </c>
    </row>
    <row r="24" spans="1:8" x14ac:dyDescent="0.25">
      <c r="F24" s="21">
        <f>D3-H3</f>
        <v>192000</v>
      </c>
    </row>
    <row r="25" spans="1:8" ht="15.75" x14ac:dyDescent="0.25">
      <c r="A25" t="s">
        <v>8</v>
      </c>
      <c r="B25" s="9" t="s">
        <v>7</v>
      </c>
      <c r="C25" s="8">
        <f>D3*0.004</f>
        <v>913.92000000000007</v>
      </c>
      <c r="F25" s="9" t="s">
        <v>13</v>
      </c>
      <c r="G25" s="16">
        <v>0.35</v>
      </c>
      <c r="H25" s="29">
        <f>-(F26*0.35)</f>
        <v>-27684.539764705882</v>
      </c>
    </row>
    <row r="26" spans="1:8" ht="15.75" thickBot="1" x14ac:dyDescent="0.3">
      <c r="F26" s="21">
        <f>H21</f>
        <v>79098.685042016805</v>
      </c>
      <c r="H26" s="7"/>
    </row>
    <row r="27" spans="1:8" ht="15.75" x14ac:dyDescent="0.25">
      <c r="A27" t="s">
        <v>9</v>
      </c>
      <c r="B27" s="9" t="s">
        <v>7</v>
      </c>
      <c r="C27" s="10"/>
      <c r="G27" s="13" t="s">
        <v>14</v>
      </c>
      <c r="H27" s="6">
        <f>H21+H23+H25</f>
        <v>50070.145277310919</v>
      </c>
    </row>
    <row r="28" spans="1:8" ht="15.75" thickBot="1" x14ac:dyDescent="0.3">
      <c r="A28" s="16"/>
      <c r="B28" s="14"/>
      <c r="C28" s="7"/>
    </row>
    <row r="29" spans="1:8" x14ac:dyDescent="0.25">
      <c r="E29" t="s">
        <v>151</v>
      </c>
      <c r="H29" s="20">
        <f>H27*0.5</f>
        <v>25035.07263865546</v>
      </c>
    </row>
    <row r="30" spans="1:8" ht="15.75" x14ac:dyDescent="0.25">
      <c r="A30" t="s">
        <v>10</v>
      </c>
      <c r="C30" s="10">
        <f>C21-C23-C25-C27</f>
        <v>79098.685042016805</v>
      </c>
      <c r="H30" s="18"/>
    </row>
    <row r="31" spans="1:8" x14ac:dyDescent="0.25">
      <c r="H31" s="3"/>
    </row>
    <row r="32" spans="1:8" x14ac:dyDescent="0.25">
      <c r="H32" s="18"/>
    </row>
  </sheetData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BCE58-5C3B-4585-A5C7-C94EB8880895}">
  <dimension ref="A1:H32"/>
  <sheetViews>
    <sheetView workbookViewId="0">
      <selection sqref="A1:XFD1048576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618</v>
      </c>
    </row>
    <row r="3" spans="1:8" ht="21" x14ac:dyDescent="0.35">
      <c r="A3" s="2" t="s">
        <v>1</v>
      </c>
      <c r="D3" s="11">
        <v>333200</v>
      </c>
      <c r="F3" s="12" t="s">
        <v>3</v>
      </c>
      <c r="H3" s="4">
        <f>(D3/1.19)*0.19</f>
        <v>53200</v>
      </c>
    </row>
    <row r="4" spans="1:8" x14ac:dyDescent="0.25">
      <c r="A4" s="13" t="s">
        <v>32</v>
      </c>
      <c r="C4" s="26">
        <v>850</v>
      </c>
    </row>
    <row r="5" spans="1:8" ht="21" x14ac:dyDescent="0.35">
      <c r="A5" s="2" t="s">
        <v>2</v>
      </c>
    </row>
    <row r="7" spans="1:8" ht="18.75" x14ac:dyDescent="0.3">
      <c r="A7" s="5"/>
      <c r="D7" s="4"/>
      <c r="E7" s="25"/>
      <c r="H7" s="4"/>
    </row>
    <row r="8" spans="1:8" ht="18.75" x14ac:dyDescent="0.3">
      <c r="A8" s="5"/>
      <c r="C8" s="3"/>
      <c r="D8" s="32"/>
      <c r="E8" s="25"/>
      <c r="H8" s="4"/>
    </row>
    <row r="9" spans="1:8" ht="18.75" x14ac:dyDescent="0.3">
      <c r="A9" s="5" t="s">
        <v>619</v>
      </c>
      <c r="C9" s="3"/>
      <c r="D9" s="28">
        <v>180000</v>
      </c>
      <c r="E9" s="25"/>
      <c r="H9" s="4"/>
    </row>
    <row r="10" spans="1:8" ht="18.75" x14ac:dyDescent="0.3">
      <c r="A10" s="5"/>
      <c r="C10" s="3"/>
      <c r="D10" s="28"/>
      <c r="E10" s="25"/>
      <c r="H10" s="4"/>
    </row>
    <row r="11" spans="1:8" ht="19.5" thickBot="1" x14ac:dyDescent="0.35">
      <c r="A11" s="5"/>
      <c r="C11" s="3"/>
      <c r="D11" s="22"/>
      <c r="E11" s="25"/>
      <c r="H11" s="22">
        <v>0</v>
      </c>
    </row>
    <row r="12" spans="1:8" ht="18.75" customHeight="1" x14ac:dyDescent="0.3">
      <c r="D12" s="4">
        <f>SUM(D7:D11)</f>
        <v>180000</v>
      </c>
      <c r="H12" s="4">
        <f>SUM(H7:H11)</f>
        <v>0</v>
      </c>
    </row>
    <row r="13" spans="1:8" ht="18.75" x14ac:dyDescent="0.3">
      <c r="A13" s="5"/>
      <c r="C13" s="3"/>
      <c r="D13" s="4"/>
      <c r="H13" s="4"/>
    </row>
    <row r="15" spans="1:8" ht="18.75" x14ac:dyDescent="0.3">
      <c r="A15" s="5"/>
      <c r="C15" s="3"/>
      <c r="D15" s="4"/>
      <c r="H15" s="4"/>
    </row>
    <row r="16" spans="1:8" ht="15.75" thickBot="1" x14ac:dyDescent="0.3">
      <c r="D16" s="7"/>
      <c r="H16" s="7"/>
    </row>
    <row r="18" spans="1:8" ht="18.75" x14ac:dyDescent="0.3">
      <c r="C18" t="s">
        <v>4</v>
      </c>
      <c r="D18" s="4">
        <f>D3-D12</f>
        <v>153200</v>
      </c>
      <c r="G18" t="s">
        <v>5</v>
      </c>
      <c r="H18" s="4">
        <f>H3-H12</f>
        <v>53200</v>
      </c>
    </row>
    <row r="21" spans="1:8" ht="15.75" x14ac:dyDescent="0.25">
      <c r="A21" t="s">
        <v>6</v>
      </c>
      <c r="C21" s="8">
        <f>D18</f>
        <v>153200</v>
      </c>
      <c r="E21" t="s">
        <v>10</v>
      </c>
      <c r="H21" s="6">
        <f>C30</f>
        <v>98667.199999999997</v>
      </c>
    </row>
    <row r="23" spans="1:8" ht="15.75" x14ac:dyDescent="0.25">
      <c r="A23" t="s">
        <v>5</v>
      </c>
      <c r="B23" s="9" t="s">
        <v>7</v>
      </c>
      <c r="C23" s="8">
        <f>H18</f>
        <v>53200</v>
      </c>
      <c r="E23" s="13" t="s">
        <v>11</v>
      </c>
      <c r="F23" s="9" t="s">
        <v>181</v>
      </c>
      <c r="G23" s="15" t="s">
        <v>17</v>
      </c>
      <c r="H23" s="3">
        <f>-(F24*0.007)</f>
        <v>-1960</v>
      </c>
    </row>
    <row r="24" spans="1:8" x14ac:dyDescent="0.25">
      <c r="F24" s="21">
        <f>D3-H3</f>
        <v>280000</v>
      </c>
    </row>
    <row r="25" spans="1:8" ht="15.75" x14ac:dyDescent="0.25">
      <c r="A25" t="s">
        <v>8</v>
      </c>
      <c r="B25" s="9" t="s">
        <v>7</v>
      </c>
      <c r="C25" s="8">
        <f>D3*0.004</f>
        <v>1332.8</v>
      </c>
      <c r="F25" s="9" t="s">
        <v>13</v>
      </c>
      <c r="G25" s="16">
        <v>0.35</v>
      </c>
      <c r="H25" s="29">
        <f>-(F26*0.35)</f>
        <v>-34533.519999999997</v>
      </c>
    </row>
    <row r="26" spans="1:8" ht="15.75" thickBot="1" x14ac:dyDescent="0.3">
      <c r="F26" s="21">
        <f>H21</f>
        <v>98667.199999999997</v>
      </c>
      <c r="H26" s="7"/>
    </row>
    <row r="27" spans="1:8" ht="15.75" x14ac:dyDescent="0.25">
      <c r="A27" t="s">
        <v>9</v>
      </c>
      <c r="B27" s="9" t="s">
        <v>7</v>
      </c>
      <c r="C27" s="10"/>
      <c r="G27" s="13" t="s">
        <v>14</v>
      </c>
      <c r="H27" s="6">
        <f>H21+H23+H25</f>
        <v>62173.68</v>
      </c>
    </row>
    <row r="28" spans="1:8" ht="15.75" thickBot="1" x14ac:dyDescent="0.3">
      <c r="A28" s="16"/>
      <c r="B28" s="14"/>
      <c r="C28" s="7"/>
    </row>
    <row r="29" spans="1:8" x14ac:dyDescent="0.25">
      <c r="E29" t="s">
        <v>151</v>
      </c>
      <c r="H29" s="20">
        <f>H27*0.5</f>
        <v>31086.84</v>
      </c>
    </row>
    <row r="30" spans="1:8" ht="15.75" x14ac:dyDescent="0.25">
      <c r="A30" t="s">
        <v>10</v>
      </c>
      <c r="C30" s="10">
        <f>C21-C23-C25-C27</f>
        <v>98667.199999999997</v>
      </c>
      <c r="H30" s="18"/>
    </row>
    <row r="31" spans="1:8" x14ac:dyDescent="0.25">
      <c r="H31" s="3"/>
    </row>
    <row r="32" spans="1:8" x14ac:dyDescent="0.25">
      <c r="H32" s="18"/>
    </row>
  </sheetData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D53E8-6306-4497-B281-F539A4791B88}">
  <dimension ref="A1:H32"/>
  <sheetViews>
    <sheetView workbookViewId="0">
      <selection sqref="A1:XFD1048576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620</v>
      </c>
    </row>
    <row r="3" spans="1:8" ht="21" x14ac:dyDescent="0.35">
      <c r="A3" s="2" t="s">
        <v>1</v>
      </c>
      <c r="D3" s="11">
        <v>176120</v>
      </c>
      <c r="F3" s="12" t="s">
        <v>3</v>
      </c>
      <c r="H3" s="4">
        <f>(D3/1.19)*0.19</f>
        <v>28120</v>
      </c>
    </row>
    <row r="4" spans="1:8" x14ac:dyDescent="0.25">
      <c r="A4" s="13" t="s">
        <v>32</v>
      </c>
      <c r="C4" s="26">
        <v>851</v>
      </c>
    </row>
    <row r="5" spans="1:8" ht="21" x14ac:dyDescent="0.35">
      <c r="A5" s="2" t="s">
        <v>2</v>
      </c>
    </row>
    <row r="7" spans="1:8" ht="18.75" x14ac:dyDescent="0.3">
      <c r="A7" s="5"/>
      <c r="D7" s="4"/>
      <c r="E7" s="25"/>
      <c r="H7" s="4"/>
    </row>
    <row r="8" spans="1:8" ht="18.75" x14ac:dyDescent="0.3">
      <c r="A8" s="5"/>
      <c r="C8" s="3"/>
      <c r="D8" s="32"/>
      <c r="E8" s="25"/>
      <c r="H8" s="4"/>
    </row>
    <row r="9" spans="1:8" ht="18.75" x14ac:dyDescent="0.3">
      <c r="A9" s="5" t="s">
        <v>322</v>
      </c>
      <c r="C9" s="3"/>
      <c r="D9" s="28">
        <v>97400</v>
      </c>
      <c r="E9" s="25"/>
      <c r="H9" s="4">
        <f>(D9/1.19)*0.19</f>
        <v>15551.26050420168</v>
      </c>
    </row>
    <row r="10" spans="1:8" ht="18.75" x14ac:dyDescent="0.3">
      <c r="A10" s="5"/>
      <c r="C10" s="3"/>
      <c r="D10" s="28"/>
      <c r="E10" s="25"/>
      <c r="H10" s="4"/>
    </row>
    <row r="11" spans="1:8" ht="19.5" thickBot="1" x14ac:dyDescent="0.35">
      <c r="A11" s="5"/>
      <c r="C11" s="3"/>
      <c r="D11" s="22"/>
      <c r="E11" s="25"/>
      <c r="H11" s="22">
        <v>0</v>
      </c>
    </row>
    <row r="12" spans="1:8" ht="18.75" customHeight="1" x14ac:dyDescent="0.3">
      <c r="D12" s="4">
        <f>SUM(D7:D11)</f>
        <v>97400</v>
      </c>
      <c r="H12" s="4">
        <f>SUM(H7:H11)</f>
        <v>15551.26050420168</v>
      </c>
    </row>
    <row r="13" spans="1:8" ht="18.75" x14ac:dyDescent="0.3">
      <c r="A13" s="5"/>
      <c r="C13" s="3"/>
      <c r="D13" s="4"/>
      <c r="H13" s="4"/>
    </row>
    <row r="15" spans="1:8" ht="18.75" x14ac:dyDescent="0.3">
      <c r="A15" s="5"/>
      <c r="C15" s="3"/>
      <c r="D15" s="4"/>
      <c r="H15" s="4"/>
    </row>
    <row r="16" spans="1:8" ht="15.75" thickBot="1" x14ac:dyDescent="0.3">
      <c r="D16" s="7"/>
      <c r="H16" s="7"/>
    </row>
    <row r="18" spans="1:8" ht="18.75" x14ac:dyDescent="0.3">
      <c r="C18" t="s">
        <v>4</v>
      </c>
      <c r="D18" s="4">
        <f>D3-D12</f>
        <v>78720</v>
      </c>
      <c r="G18" t="s">
        <v>5</v>
      </c>
      <c r="H18" s="4">
        <f>H3-H12</f>
        <v>12568.73949579832</v>
      </c>
    </row>
    <row r="21" spans="1:8" ht="15.75" x14ac:dyDescent="0.25">
      <c r="A21" t="s">
        <v>6</v>
      </c>
      <c r="C21" s="8">
        <f>D18</f>
        <v>78720</v>
      </c>
      <c r="E21" t="s">
        <v>10</v>
      </c>
      <c r="H21" s="6">
        <f>C30</f>
        <v>65446.780504201677</v>
      </c>
    </row>
    <row r="23" spans="1:8" ht="15.75" x14ac:dyDescent="0.25">
      <c r="A23" t="s">
        <v>5</v>
      </c>
      <c r="B23" s="9" t="s">
        <v>7</v>
      </c>
      <c r="C23" s="8">
        <f>H18</f>
        <v>12568.73949579832</v>
      </c>
      <c r="E23" s="13" t="s">
        <v>11</v>
      </c>
      <c r="F23" s="9" t="s">
        <v>181</v>
      </c>
      <c r="G23" s="15" t="s">
        <v>17</v>
      </c>
      <c r="H23" s="3">
        <f>-(F24*0.007)</f>
        <v>-1036</v>
      </c>
    </row>
    <row r="24" spans="1:8" x14ac:dyDescent="0.25">
      <c r="F24" s="21">
        <f>D3-H3</f>
        <v>148000</v>
      </c>
    </row>
    <row r="25" spans="1:8" ht="15.75" x14ac:dyDescent="0.25">
      <c r="A25" t="s">
        <v>8</v>
      </c>
      <c r="B25" s="9" t="s">
        <v>7</v>
      </c>
      <c r="C25" s="8">
        <f>D3*0.004</f>
        <v>704.48</v>
      </c>
      <c r="F25" s="9" t="s">
        <v>13</v>
      </c>
      <c r="G25" s="16">
        <v>0.35</v>
      </c>
      <c r="H25" s="29">
        <f>-(F26*0.35)</f>
        <v>-22906.373176470584</v>
      </c>
    </row>
    <row r="26" spans="1:8" ht="15.75" thickBot="1" x14ac:dyDescent="0.3">
      <c r="F26" s="21">
        <f>H21</f>
        <v>65446.780504201677</v>
      </c>
      <c r="H26" s="7"/>
    </row>
    <row r="27" spans="1:8" ht="15.75" x14ac:dyDescent="0.25">
      <c r="A27" t="s">
        <v>9</v>
      </c>
      <c r="B27" s="9" t="s">
        <v>7</v>
      </c>
      <c r="C27" s="10"/>
      <c r="G27" s="13" t="s">
        <v>14</v>
      </c>
      <c r="H27" s="6">
        <f>H21+H23+H25</f>
        <v>41504.407327731096</v>
      </c>
    </row>
    <row r="28" spans="1:8" ht="15.75" thickBot="1" x14ac:dyDescent="0.3">
      <c r="A28" s="16"/>
      <c r="B28" s="14"/>
      <c r="C28" s="7"/>
    </row>
    <row r="29" spans="1:8" x14ac:dyDescent="0.25">
      <c r="E29" t="s">
        <v>151</v>
      </c>
      <c r="H29" s="20">
        <f>H27*0.5</f>
        <v>20752.203663865548</v>
      </c>
    </row>
    <row r="30" spans="1:8" ht="15.75" x14ac:dyDescent="0.25">
      <c r="A30" t="s">
        <v>10</v>
      </c>
      <c r="C30" s="10">
        <f>C21-C23-C25-C27</f>
        <v>65446.780504201677</v>
      </c>
      <c r="H30" s="18"/>
    </row>
    <row r="31" spans="1:8" x14ac:dyDescent="0.25">
      <c r="H31" s="3"/>
    </row>
    <row r="32" spans="1:8" x14ac:dyDescent="0.25">
      <c r="H32" s="18"/>
    </row>
  </sheetData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CF85E-077E-44BF-A2FB-6B79A75DEDFD}">
  <dimension ref="A1:H32"/>
  <sheetViews>
    <sheetView workbookViewId="0">
      <selection sqref="A1:XFD1048576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506</v>
      </c>
    </row>
    <row r="3" spans="1:8" ht="21" x14ac:dyDescent="0.35">
      <c r="A3" s="2" t="s">
        <v>1</v>
      </c>
      <c r="D3" s="11">
        <v>46410</v>
      </c>
      <c r="F3" s="12" t="s">
        <v>3</v>
      </c>
      <c r="H3" s="4">
        <f>(D3/1.19)*0.19</f>
        <v>7410</v>
      </c>
    </row>
    <row r="4" spans="1:8" x14ac:dyDescent="0.25">
      <c r="A4" s="13" t="s">
        <v>32</v>
      </c>
      <c r="C4" s="26">
        <v>853</v>
      </c>
    </row>
    <row r="5" spans="1:8" ht="21" x14ac:dyDescent="0.35">
      <c r="A5" s="2" t="s">
        <v>2</v>
      </c>
    </row>
    <row r="7" spans="1:8" ht="18.75" x14ac:dyDescent="0.3">
      <c r="A7" s="5"/>
      <c r="D7" s="4"/>
      <c r="E7" s="25"/>
      <c r="H7" s="4"/>
    </row>
    <row r="8" spans="1:8" ht="18.75" x14ac:dyDescent="0.3">
      <c r="A8" s="5"/>
      <c r="C8" s="3"/>
      <c r="D8" s="32"/>
      <c r="E8" s="25"/>
      <c r="H8" s="4"/>
    </row>
    <row r="9" spans="1:8" ht="18.75" x14ac:dyDescent="0.3">
      <c r="A9" s="5" t="s">
        <v>106</v>
      </c>
      <c r="C9" s="3"/>
      <c r="D9" s="28">
        <v>31412</v>
      </c>
      <c r="E9" s="25"/>
      <c r="H9" s="4">
        <f>(D9/1.19)*0.19</f>
        <v>5015.3613445378151</v>
      </c>
    </row>
    <row r="10" spans="1:8" ht="18.75" x14ac:dyDescent="0.3">
      <c r="A10" s="5"/>
      <c r="C10" s="3"/>
      <c r="D10" s="28"/>
      <c r="E10" s="25"/>
    </row>
    <row r="11" spans="1:8" ht="19.5" thickBot="1" x14ac:dyDescent="0.35">
      <c r="A11" s="5"/>
      <c r="C11" s="3"/>
      <c r="D11" s="22"/>
      <c r="E11" s="25"/>
      <c r="H11" s="7"/>
    </row>
    <row r="12" spans="1:8" ht="18.75" customHeight="1" x14ac:dyDescent="0.3">
      <c r="D12" s="4">
        <f>SUM(D7:D11)</f>
        <v>31412</v>
      </c>
      <c r="H12" s="4">
        <f>SUM(H7:H11)</f>
        <v>5015.3613445378151</v>
      </c>
    </row>
    <row r="13" spans="1:8" ht="18.75" x14ac:dyDescent="0.3">
      <c r="A13" s="5"/>
      <c r="C13" s="3"/>
      <c r="D13" s="4"/>
      <c r="H13" s="4"/>
    </row>
    <row r="15" spans="1:8" ht="18.75" x14ac:dyDescent="0.3">
      <c r="A15" s="5"/>
      <c r="C15" s="3"/>
      <c r="D15" s="4"/>
      <c r="H15" s="4"/>
    </row>
    <row r="16" spans="1:8" ht="15.75" thickBot="1" x14ac:dyDescent="0.3">
      <c r="D16" s="7"/>
      <c r="H16" s="7"/>
    </row>
    <row r="18" spans="1:8" ht="18.75" x14ac:dyDescent="0.3">
      <c r="C18" t="s">
        <v>4</v>
      </c>
      <c r="D18" s="4">
        <f>D3-D12</f>
        <v>14998</v>
      </c>
      <c r="G18" t="s">
        <v>5</v>
      </c>
      <c r="H18" s="4">
        <f>H3-H12</f>
        <v>2394.6386554621849</v>
      </c>
    </row>
    <row r="21" spans="1:8" ht="15.75" x14ac:dyDescent="0.25">
      <c r="A21" t="s">
        <v>6</v>
      </c>
      <c r="C21" s="8">
        <f>D18</f>
        <v>14998</v>
      </c>
      <c r="E21" t="s">
        <v>10</v>
      </c>
      <c r="H21" s="6">
        <f>C30</f>
        <v>12417.721344537815</v>
      </c>
    </row>
    <row r="23" spans="1:8" ht="15.75" x14ac:dyDescent="0.25">
      <c r="A23" t="s">
        <v>5</v>
      </c>
      <c r="B23" s="9" t="s">
        <v>7</v>
      </c>
      <c r="C23" s="8">
        <f>H18</f>
        <v>2394.6386554621849</v>
      </c>
      <c r="E23" s="13" t="s">
        <v>11</v>
      </c>
      <c r="F23" s="9" t="s">
        <v>181</v>
      </c>
      <c r="G23" s="15" t="s">
        <v>17</v>
      </c>
      <c r="H23" s="3">
        <f>-(F24*0.007)</f>
        <v>-273</v>
      </c>
    </row>
    <row r="24" spans="1:8" x14ac:dyDescent="0.25">
      <c r="F24" s="21">
        <f>D3-H3</f>
        <v>39000</v>
      </c>
    </row>
    <row r="25" spans="1:8" ht="15.75" x14ac:dyDescent="0.25">
      <c r="A25" t="s">
        <v>8</v>
      </c>
      <c r="B25" s="9" t="s">
        <v>7</v>
      </c>
      <c r="C25" s="8">
        <f>D3*0.004</f>
        <v>185.64000000000001</v>
      </c>
      <c r="F25" s="9" t="s">
        <v>13</v>
      </c>
      <c r="G25" s="16">
        <v>0.35</v>
      </c>
      <c r="H25" s="29">
        <f>-(F26*0.35)</f>
        <v>-4346.202470588235</v>
      </c>
    </row>
    <row r="26" spans="1:8" ht="15.75" thickBot="1" x14ac:dyDescent="0.3">
      <c r="F26" s="21">
        <f>H21</f>
        <v>12417.721344537815</v>
      </c>
      <c r="H26" s="7"/>
    </row>
    <row r="27" spans="1:8" ht="15.75" x14ac:dyDescent="0.25">
      <c r="A27" t="s">
        <v>9</v>
      </c>
      <c r="B27" s="9" t="s">
        <v>7</v>
      </c>
      <c r="C27" s="10"/>
      <c r="G27" s="13" t="s">
        <v>14</v>
      </c>
      <c r="H27" s="6">
        <f>H21+H23+H25</f>
        <v>7798.5188739495798</v>
      </c>
    </row>
    <row r="28" spans="1:8" ht="15.75" thickBot="1" x14ac:dyDescent="0.3">
      <c r="A28" s="16"/>
      <c r="B28" s="14"/>
      <c r="C28" s="7"/>
    </row>
    <row r="29" spans="1:8" x14ac:dyDescent="0.25">
      <c r="E29" t="s">
        <v>151</v>
      </c>
      <c r="H29" s="20">
        <f>H27*0.5</f>
        <v>3899.2594369747899</v>
      </c>
    </row>
    <row r="30" spans="1:8" ht="15.75" x14ac:dyDescent="0.25">
      <c r="A30" t="s">
        <v>10</v>
      </c>
      <c r="C30" s="10">
        <f>C21-C23-C25-C27</f>
        <v>12417.721344537815</v>
      </c>
      <c r="H30" s="18"/>
    </row>
    <row r="31" spans="1:8" x14ac:dyDescent="0.25">
      <c r="H31" s="3"/>
    </row>
    <row r="32" spans="1:8" x14ac:dyDescent="0.25">
      <c r="H32" s="18"/>
    </row>
  </sheetData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82792-2F85-4CEF-9B63-9B70A7403CBF}">
  <dimension ref="A1:H32"/>
  <sheetViews>
    <sheetView workbookViewId="0">
      <selection sqref="A1:XFD1048576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606</v>
      </c>
    </row>
    <row r="3" spans="1:8" ht="21" x14ac:dyDescent="0.35">
      <c r="A3" s="2" t="s">
        <v>1</v>
      </c>
      <c r="D3" s="11">
        <v>337960</v>
      </c>
      <c r="F3" s="12" t="s">
        <v>3</v>
      </c>
      <c r="H3" s="4">
        <f>(D3/1.19)*0.19</f>
        <v>53960</v>
      </c>
    </row>
    <row r="4" spans="1:8" x14ac:dyDescent="0.25">
      <c r="A4" s="13" t="s">
        <v>32</v>
      </c>
      <c r="C4" s="26">
        <v>854</v>
      </c>
    </row>
    <row r="5" spans="1:8" ht="21" x14ac:dyDescent="0.35">
      <c r="A5" s="2" t="s">
        <v>2</v>
      </c>
    </row>
    <row r="7" spans="1:8" ht="18.75" x14ac:dyDescent="0.3">
      <c r="A7" s="5"/>
      <c r="D7" s="4"/>
      <c r="E7" s="25"/>
      <c r="H7" s="4"/>
    </row>
    <row r="8" spans="1:8" ht="18.75" x14ac:dyDescent="0.3">
      <c r="A8" s="5"/>
      <c r="C8" s="3"/>
      <c r="D8" s="32"/>
      <c r="E8" s="25"/>
      <c r="H8" s="4"/>
    </row>
    <row r="9" spans="1:8" ht="18.75" x14ac:dyDescent="0.3">
      <c r="A9" s="5" t="s">
        <v>621</v>
      </c>
      <c r="C9" s="3"/>
      <c r="D9" s="28">
        <v>5653</v>
      </c>
      <c r="E9" s="25"/>
      <c r="H9" s="4">
        <f>(D9/1.19)*0.19</f>
        <v>902.57983193277312</v>
      </c>
    </row>
    <row r="10" spans="1:8" ht="18.75" x14ac:dyDescent="0.3">
      <c r="A10" s="5" t="s">
        <v>221</v>
      </c>
      <c r="C10" s="3"/>
      <c r="D10" s="28">
        <v>161275</v>
      </c>
      <c r="E10" s="25"/>
      <c r="H10" s="27">
        <f t="shared" ref="H10:H11" si="0">(D10/1.19)*0.19</f>
        <v>25749.789915966387</v>
      </c>
    </row>
    <row r="11" spans="1:8" ht="19.5" thickBot="1" x14ac:dyDescent="0.35">
      <c r="A11" s="5" t="s">
        <v>622</v>
      </c>
      <c r="C11" s="3"/>
      <c r="D11" s="22">
        <v>57864</v>
      </c>
      <c r="E11" s="25"/>
      <c r="H11" s="22">
        <f t="shared" si="0"/>
        <v>9238.7899159663866</v>
      </c>
    </row>
    <row r="12" spans="1:8" ht="18.75" customHeight="1" x14ac:dyDescent="0.3">
      <c r="D12" s="4">
        <f>SUM(D7:D11)</f>
        <v>224792</v>
      </c>
      <c r="H12" s="4">
        <f>SUM(H7:H11)</f>
        <v>35891.159663865546</v>
      </c>
    </row>
    <row r="13" spans="1:8" ht="18.75" x14ac:dyDescent="0.3">
      <c r="A13" s="5"/>
      <c r="C13" s="3"/>
      <c r="D13" s="4"/>
      <c r="H13" s="4"/>
    </row>
    <row r="15" spans="1:8" ht="18.75" x14ac:dyDescent="0.3">
      <c r="A15" s="5"/>
      <c r="C15" s="3"/>
      <c r="D15" s="4"/>
      <c r="H15" s="4"/>
    </row>
    <row r="16" spans="1:8" ht="15.75" thickBot="1" x14ac:dyDescent="0.3">
      <c r="D16" s="7"/>
      <c r="H16" s="7"/>
    </row>
    <row r="18" spans="1:8" ht="18.75" x14ac:dyDescent="0.3">
      <c r="C18" t="s">
        <v>4</v>
      </c>
      <c r="D18" s="4">
        <f>D3-D12</f>
        <v>113168</v>
      </c>
      <c r="G18" t="s">
        <v>5</v>
      </c>
      <c r="H18" s="4">
        <f>H3-H12</f>
        <v>18068.840336134454</v>
      </c>
    </row>
    <row r="21" spans="1:8" ht="15.75" x14ac:dyDescent="0.25">
      <c r="A21" t="s">
        <v>6</v>
      </c>
      <c r="C21" s="8">
        <f>D18</f>
        <v>113168</v>
      </c>
      <c r="E21" t="s">
        <v>10</v>
      </c>
      <c r="H21" s="6">
        <f>C30</f>
        <v>93747.31966386555</v>
      </c>
    </row>
    <row r="23" spans="1:8" ht="15.75" x14ac:dyDescent="0.25">
      <c r="A23" t="s">
        <v>5</v>
      </c>
      <c r="B23" s="9" t="s">
        <v>7</v>
      </c>
      <c r="C23" s="8">
        <f>H18</f>
        <v>18068.840336134454</v>
      </c>
      <c r="E23" s="13" t="s">
        <v>11</v>
      </c>
      <c r="F23" s="9" t="s">
        <v>181</v>
      </c>
      <c r="G23" s="15" t="s">
        <v>17</v>
      </c>
      <c r="H23" s="3">
        <f>-(F24*0.007)</f>
        <v>-1988</v>
      </c>
    </row>
    <row r="24" spans="1:8" x14ac:dyDescent="0.25">
      <c r="F24" s="21">
        <f>D3-H3</f>
        <v>284000</v>
      </c>
    </row>
    <row r="25" spans="1:8" ht="15.75" x14ac:dyDescent="0.25">
      <c r="A25" t="s">
        <v>8</v>
      </c>
      <c r="B25" s="9" t="s">
        <v>7</v>
      </c>
      <c r="C25" s="8">
        <f>D3*0.004</f>
        <v>1351.84</v>
      </c>
      <c r="F25" s="9" t="s">
        <v>13</v>
      </c>
      <c r="G25" s="16">
        <v>0.35</v>
      </c>
      <c r="H25" s="29">
        <f>-(F26*0.35)</f>
        <v>-32811.561882352944</v>
      </c>
    </row>
    <row r="26" spans="1:8" ht="15.75" thickBot="1" x14ac:dyDescent="0.3">
      <c r="F26" s="21">
        <f>H21</f>
        <v>93747.31966386555</v>
      </c>
      <c r="H26" s="7"/>
    </row>
    <row r="27" spans="1:8" ht="15.75" x14ac:dyDescent="0.25">
      <c r="A27" t="s">
        <v>9</v>
      </c>
      <c r="B27" s="9" t="s">
        <v>7</v>
      </c>
      <c r="C27" s="10"/>
      <c r="G27" s="13" t="s">
        <v>14</v>
      </c>
      <c r="H27" s="6">
        <f>H21+H23+H25</f>
        <v>58947.757781512606</v>
      </c>
    </row>
    <row r="28" spans="1:8" ht="15.75" thickBot="1" x14ac:dyDescent="0.3">
      <c r="A28" s="16"/>
      <c r="B28" s="14"/>
      <c r="C28" s="7"/>
    </row>
    <row r="29" spans="1:8" x14ac:dyDescent="0.25">
      <c r="E29" t="s">
        <v>151</v>
      </c>
      <c r="H29" s="20">
        <f>H27*0.5</f>
        <v>29473.878890756303</v>
      </c>
    </row>
    <row r="30" spans="1:8" ht="15.75" x14ac:dyDescent="0.25">
      <c r="A30" t="s">
        <v>10</v>
      </c>
      <c r="C30" s="10">
        <f>C21-C23-C25-C27</f>
        <v>93747.31966386555</v>
      </c>
      <c r="H30" s="18"/>
    </row>
    <row r="31" spans="1:8" x14ac:dyDescent="0.25">
      <c r="H31" s="3"/>
    </row>
    <row r="32" spans="1:8" x14ac:dyDescent="0.25">
      <c r="H32" s="18"/>
    </row>
  </sheetData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C16BB-3D9A-43C8-80C6-BDA1FD7EB88C}">
  <dimension ref="A1:H32"/>
  <sheetViews>
    <sheetView workbookViewId="0">
      <selection sqref="A1:XFD1048576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623</v>
      </c>
    </row>
    <row r="3" spans="1:8" ht="21" x14ac:dyDescent="0.35">
      <c r="A3" s="2" t="s">
        <v>1</v>
      </c>
      <c r="D3" s="11">
        <v>499086</v>
      </c>
      <c r="F3" s="12" t="s">
        <v>3</v>
      </c>
      <c r="H3" s="4">
        <f>(D3/1.19)*0.19</f>
        <v>79686</v>
      </c>
    </row>
    <row r="4" spans="1:8" x14ac:dyDescent="0.25">
      <c r="A4" s="13" t="s">
        <v>32</v>
      </c>
      <c r="C4" s="26">
        <v>855</v>
      </c>
    </row>
    <row r="5" spans="1:8" ht="21" x14ac:dyDescent="0.35">
      <c r="A5" s="2" t="s">
        <v>2</v>
      </c>
    </row>
    <row r="7" spans="1:8" ht="18.75" x14ac:dyDescent="0.3">
      <c r="A7" s="5"/>
      <c r="D7" s="4"/>
      <c r="E7" s="25"/>
      <c r="H7" s="4"/>
    </row>
    <row r="8" spans="1:8" ht="18.75" x14ac:dyDescent="0.3">
      <c r="A8" s="5"/>
      <c r="C8" s="3"/>
      <c r="D8" s="32"/>
      <c r="E8" s="25"/>
      <c r="H8" s="4"/>
    </row>
    <row r="9" spans="1:8" ht="18.75" x14ac:dyDescent="0.3">
      <c r="A9" s="5" t="s">
        <v>624</v>
      </c>
      <c r="C9" s="3"/>
      <c r="D9" s="28">
        <v>244560</v>
      </c>
      <c r="E9" s="25"/>
      <c r="H9" s="4">
        <f>(D9/1.19)*0.19</f>
        <v>39047.39495798319</v>
      </c>
    </row>
    <row r="10" spans="1:8" ht="18.75" x14ac:dyDescent="0.3">
      <c r="A10" s="5" t="s">
        <v>376</v>
      </c>
      <c r="C10" s="3"/>
      <c r="D10" s="28">
        <v>49980</v>
      </c>
      <c r="E10" s="25"/>
      <c r="H10" s="27">
        <f t="shared" ref="H10:H11" si="0">(D10/1.19)*0.19</f>
        <v>7980</v>
      </c>
    </row>
    <row r="11" spans="1:8" ht="19.5" thickBot="1" x14ac:dyDescent="0.35">
      <c r="A11" s="5" t="s">
        <v>343</v>
      </c>
      <c r="C11" s="3"/>
      <c r="D11" s="22">
        <v>45240</v>
      </c>
      <c r="E11" s="25"/>
      <c r="H11" s="22">
        <f t="shared" si="0"/>
        <v>7223.1932773109247</v>
      </c>
    </row>
    <row r="12" spans="1:8" ht="18.75" customHeight="1" x14ac:dyDescent="0.3">
      <c r="D12" s="4">
        <f>SUM(D7:D11)</f>
        <v>339780</v>
      </c>
      <c r="H12" s="4">
        <f>SUM(H7:H11)</f>
        <v>54250.588235294112</v>
      </c>
    </row>
    <row r="13" spans="1:8" ht="18.75" x14ac:dyDescent="0.3">
      <c r="A13" s="5"/>
      <c r="C13" s="3"/>
      <c r="D13" s="4"/>
      <c r="H13" s="4"/>
    </row>
    <row r="15" spans="1:8" ht="18.75" x14ac:dyDescent="0.3">
      <c r="A15" s="5"/>
      <c r="C15" s="3"/>
      <c r="D15" s="4"/>
      <c r="H15" s="4"/>
    </row>
    <row r="16" spans="1:8" ht="15.75" thickBot="1" x14ac:dyDescent="0.3">
      <c r="D16" s="7"/>
      <c r="H16" s="7"/>
    </row>
    <row r="18" spans="1:8" ht="18.75" x14ac:dyDescent="0.3">
      <c r="C18" t="s">
        <v>4</v>
      </c>
      <c r="D18" s="4">
        <f>D3-D12</f>
        <v>159306</v>
      </c>
      <c r="G18" t="s">
        <v>5</v>
      </c>
      <c r="H18" s="4">
        <f>H3-H12</f>
        <v>25435.411764705888</v>
      </c>
    </row>
    <row r="21" spans="1:8" ht="15.75" x14ac:dyDescent="0.25">
      <c r="A21" t="s">
        <v>6</v>
      </c>
      <c r="C21" s="8">
        <f>D18</f>
        <v>159306</v>
      </c>
      <c r="E21" t="s">
        <v>10</v>
      </c>
      <c r="H21" s="6">
        <f>C30</f>
        <v>131874.24423529409</v>
      </c>
    </row>
    <row r="23" spans="1:8" ht="15.75" x14ac:dyDescent="0.25">
      <c r="A23" t="s">
        <v>5</v>
      </c>
      <c r="B23" s="9" t="s">
        <v>7</v>
      </c>
      <c r="C23" s="8">
        <f>H18</f>
        <v>25435.411764705888</v>
      </c>
      <c r="E23" s="13" t="s">
        <v>11</v>
      </c>
      <c r="F23" s="9" t="s">
        <v>181</v>
      </c>
      <c r="G23" s="15" t="s">
        <v>17</v>
      </c>
      <c r="H23" s="3">
        <f>-(F24*0.007)</f>
        <v>-2935.8</v>
      </c>
    </row>
    <row r="24" spans="1:8" x14ac:dyDescent="0.25">
      <c r="F24" s="21">
        <f>D3-H3</f>
        <v>419400</v>
      </c>
    </row>
    <row r="25" spans="1:8" ht="15.75" x14ac:dyDescent="0.25">
      <c r="A25" t="s">
        <v>8</v>
      </c>
      <c r="B25" s="9" t="s">
        <v>7</v>
      </c>
      <c r="C25" s="8">
        <f>D3*0.004</f>
        <v>1996.3440000000001</v>
      </c>
      <c r="F25" s="9" t="s">
        <v>13</v>
      </c>
      <c r="G25" s="16">
        <v>0.35</v>
      </c>
      <c r="H25" s="29">
        <f>-(F26*0.35)</f>
        <v>-46155.985482352924</v>
      </c>
    </row>
    <row r="26" spans="1:8" ht="15.75" thickBot="1" x14ac:dyDescent="0.3">
      <c r="F26" s="21">
        <f>H21</f>
        <v>131874.24423529409</v>
      </c>
      <c r="H26" s="7"/>
    </row>
    <row r="27" spans="1:8" ht="15.75" x14ac:dyDescent="0.25">
      <c r="A27" t="s">
        <v>9</v>
      </c>
      <c r="B27" s="9" t="s">
        <v>7</v>
      </c>
      <c r="C27" s="10"/>
      <c r="G27" s="13" t="s">
        <v>14</v>
      </c>
      <c r="H27" s="6">
        <f>H21+H23+H25</f>
        <v>82782.458752941166</v>
      </c>
    </row>
    <row r="28" spans="1:8" ht="15.75" thickBot="1" x14ac:dyDescent="0.3">
      <c r="A28" s="16"/>
      <c r="B28" s="14"/>
      <c r="C28" s="7"/>
    </row>
    <row r="29" spans="1:8" x14ac:dyDescent="0.25">
      <c r="E29" t="s">
        <v>151</v>
      </c>
      <c r="H29" s="20">
        <f>H27*0.5</f>
        <v>41391.229376470583</v>
      </c>
    </row>
    <row r="30" spans="1:8" ht="15.75" x14ac:dyDescent="0.25">
      <c r="A30" t="s">
        <v>10</v>
      </c>
      <c r="C30" s="10">
        <f>C21-C23-C25-C27</f>
        <v>131874.24423529409</v>
      </c>
      <c r="H30" s="18"/>
    </row>
    <row r="31" spans="1:8" x14ac:dyDescent="0.25">
      <c r="H31" s="3"/>
    </row>
    <row r="32" spans="1:8" x14ac:dyDescent="0.25">
      <c r="H32" s="18"/>
    </row>
  </sheetData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B72C9-1E46-4EAB-ACB3-55FA81548AC8}">
  <dimension ref="A1:H32"/>
  <sheetViews>
    <sheetView topLeftCell="A10" workbookViewId="0">
      <selection activeCell="H11" sqref="H11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535</v>
      </c>
    </row>
    <row r="3" spans="1:8" ht="21" x14ac:dyDescent="0.35">
      <c r="A3" s="2" t="s">
        <v>1</v>
      </c>
      <c r="D3" s="11">
        <v>6396655</v>
      </c>
      <c r="F3" s="12" t="s">
        <v>3</v>
      </c>
      <c r="H3" s="4">
        <f>(D3/1.19)*0.19</f>
        <v>1021314.6638655463</v>
      </c>
    </row>
    <row r="4" spans="1:8" x14ac:dyDescent="0.25">
      <c r="A4" s="13" t="s">
        <v>32</v>
      </c>
      <c r="C4" s="26">
        <v>857</v>
      </c>
    </row>
    <row r="5" spans="1:8" ht="21" x14ac:dyDescent="0.35">
      <c r="A5" s="2" t="s">
        <v>2</v>
      </c>
    </row>
    <row r="7" spans="1:8" ht="18.75" x14ac:dyDescent="0.3">
      <c r="A7" s="5" t="s">
        <v>358</v>
      </c>
      <c r="D7" s="4">
        <v>629855</v>
      </c>
      <c r="E7" s="25"/>
      <c r="H7" s="4">
        <f t="shared" ref="H7:H8" si="0">(D7/1.19)*0.19</f>
        <v>100565.08403361344</v>
      </c>
    </row>
    <row r="8" spans="1:8" ht="18.75" x14ac:dyDescent="0.3">
      <c r="A8" s="5" t="s">
        <v>226</v>
      </c>
      <c r="C8" s="3"/>
      <c r="D8" s="32">
        <v>267036</v>
      </c>
      <c r="E8" s="25"/>
      <c r="H8" s="4">
        <f t="shared" si="0"/>
        <v>42636</v>
      </c>
    </row>
    <row r="9" spans="1:8" ht="18.75" x14ac:dyDescent="0.3">
      <c r="A9" s="5" t="s">
        <v>322</v>
      </c>
      <c r="C9" s="3"/>
      <c r="D9" s="28">
        <v>1518705</v>
      </c>
      <c r="E9" s="25"/>
      <c r="H9" s="4">
        <f>(D9/1.19)*0.19</f>
        <v>242482.31092436978</v>
      </c>
    </row>
    <row r="10" spans="1:8" ht="18.75" x14ac:dyDescent="0.3">
      <c r="A10" s="5" t="s">
        <v>476</v>
      </c>
      <c r="C10" s="3"/>
      <c r="D10" s="28">
        <v>2368000</v>
      </c>
      <c r="E10" s="25"/>
      <c r="H10" s="4">
        <f>(D10/1.19)*0.19</f>
        <v>378084.03361344541</v>
      </c>
    </row>
    <row r="11" spans="1:8" ht="19.5" thickBot="1" x14ac:dyDescent="0.35">
      <c r="A11" s="5" t="s">
        <v>141</v>
      </c>
      <c r="C11" s="3"/>
      <c r="D11" s="22">
        <v>115000</v>
      </c>
      <c r="E11" s="25"/>
      <c r="H11" s="22"/>
    </row>
    <row r="12" spans="1:8" ht="18.75" customHeight="1" x14ac:dyDescent="0.3">
      <c r="D12" s="4">
        <f>SUM(D7:D11)</f>
        <v>4898596</v>
      </c>
      <c r="H12" s="4">
        <f>SUM(H7:H11)</f>
        <v>763767.42857142864</v>
      </c>
    </row>
    <row r="13" spans="1:8" ht="18.75" x14ac:dyDescent="0.3">
      <c r="A13" s="5"/>
      <c r="C13" s="3"/>
      <c r="D13" s="4"/>
      <c r="H13" s="4"/>
    </row>
    <row r="15" spans="1:8" ht="18.75" x14ac:dyDescent="0.3">
      <c r="A15" s="5"/>
      <c r="C15" s="3"/>
      <c r="D15" s="4"/>
      <c r="H15" s="4"/>
    </row>
    <row r="16" spans="1:8" ht="15.75" thickBot="1" x14ac:dyDescent="0.3">
      <c r="D16" s="7"/>
      <c r="H16" s="7"/>
    </row>
    <row r="18" spans="1:8" ht="18.75" x14ac:dyDescent="0.3">
      <c r="C18" t="s">
        <v>4</v>
      </c>
      <c r="D18" s="4">
        <f>D3-D12</f>
        <v>1498059</v>
      </c>
      <c r="G18" t="s">
        <v>5</v>
      </c>
      <c r="H18" s="4">
        <f>H3-H12</f>
        <v>257547.23529411771</v>
      </c>
    </row>
    <row r="21" spans="1:8" ht="15.75" x14ac:dyDescent="0.25">
      <c r="A21" t="s">
        <v>6</v>
      </c>
      <c r="C21" s="8">
        <f>D18</f>
        <v>1498059</v>
      </c>
      <c r="E21" t="s">
        <v>10</v>
      </c>
      <c r="H21" s="6">
        <f>C30</f>
        <v>1214925.1447058823</v>
      </c>
    </row>
    <row r="23" spans="1:8" ht="15.75" x14ac:dyDescent="0.25">
      <c r="A23" t="s">
        <v>5</v>
      </c>
      <c r="B23" s="9" t="s">
        <v>7</v>
      </c>
      <c r="C23" s="8">
        <f>H18</f>
        <v>257547.23529411771</v>
      </c>
      <c r="E23" s="13" t="s">
        <v>11</v>
      </c>
      <c r="F23" s="9" t="s">
        <v>181</v>
      </c>
      <c r="G23" s="15" t="s">
        <v>17</v>
      </c>
      <c r="H23" s="3">
        <f>-(F24*0.007)</f>
        <v>-37627.382352941175</v>
      </c>
    </row>
    <row r="24" spans="1:8" x14ac:dyDescent="0.25">
      <c r="F24" s="21">
        <f>D3-H3</f>
        <v>5375340.3361344533</v>
      </c>
    </row>
    <row r="25" spans="1:8" ht="15.75" x14ac:dyDescent="0.25">
      <c r="A25" t="s">
        <v>8</v>
      </c>
      <c r="B25" s="9" t="s">
        <v>7</v>
      </c>
      <c r="C25" s="8">
        <f>D3*0.004</f>
        <v>25586.62</v>
      </c>
      <c r="F25" s="9" t="s">
        <v>13</v>
      </c>
      <c r="G25" s="16">
        <v>0.35</v>
      </c>
      <c r="H25" s="29">
        <f>-(F26*0.35)</f>
        <v>-425223.80064705876</v>
      </c>
    </row>
    <row r="26" spans="1:8" ht="15.75" thickBot="1" x14ac:dyDescent="0.3">
      <c r="F26" s="21">
        <f>H21</f>
        <v>1214925.1447058823</v>
      </c>
      <c r="H26" s="7"/>
    </row>
    <row r="27" spans="1:8" ht="15.75" x14ac:dyDescent="0.25">
      <c r="A27" t="s">
        <v>9</v>
      </c>
      <c r="B27" s="9" t="s">
        <v>7</v>
      </c>
      <c r="C27" s="10"/>
      <c r="G27" s="13" t="s">
        <v>14</v>
      </c>
      <c r="H27" s="6">
        <f>H21+H23+H25</f>
        <v>752073.96170588234</v>
      </c>
    </row>
    <row r="28" spans="1:8" ht="15.75" thickBot="1" x14ac:dyDescent="0.3">
      <c r="A28" s="16"/>
      <c r="B28" s="14"/>
      <c r="C28" s="7"/>
    </row>
    <row r="29" spans="1:8" x14ac:dyDescent="0.25">
      <c r="E29" t="s">
        <v>151</v>
      </c>
      <c r="H29" s="20">
        <f>H27*0.5</f>
        <v>376036.98085294117</v>
      </c>
    </row>
    <row r="30" spans="1:8" ht="15.75" x14ac:dyDescent="0.25">
      <c r="A30" t="s">
        <v>10</v>
      </c>
      <c r="C30" s="10">
        <f>C21-C23-C25-C27</f>
        <v>1214925.1447058823</v>
      </c>
      <c r="H30" s="18"/>
    </row>
    <row r="31" spans="1:8" x14ac:dyDescent="0.25">
      <c r="H31" s="3"/>
    </row>
    <row r="32" spans="1:8" x14ac:dyDescent="0.25">
      <c r="H32" s="18"/>
    </row>
  </sheetData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94853-4DC6-4E7E-BED4-BAF61458F5B8}">
  <dimension ref="A1:H33"/>
  <sheetViews>
    <sheetView topLeftCell="A7" workbookViewId="0">
      <selection sqref="A1:XFD1048576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535</v>
      </c>
    </row>
    <row r="3" spans="1:8" ht="21" x14ac:dyDescent="0.35">
      <c r="A3" s="2" t="s">
        <v>1</v>
      </c>
      <c r="D3" s="11">
        <v>13161162</v>
      </c>
      <c r="F3" s="12" t="s">
        <v>3</v>
      </c>
      <c r="H3" s="4">
        <f>(D3/1.19)*0.19</f>
        <v>2101362</v>
      </c>
    </row>
    <row r="4" spans="1:8" x14ac:dyDescent="0.25">
      <c r="A4" s="13" t="s">
        <v>32</v>
      </c>
      <c r="C4" s="26">
        <v>858</v>
      </c>
    </row>
    <row r="5" spans="1:8" ht="21" x14ac:dyDescent="0.35">
      <c r="A5" s="2" t="s">
        <v>2</v>
      </c>
    </row>
    <row r="7" spans="1:8" ht="18.75" x14ac:dyDescent="0.3">
      <c r="A7" s="5" t="s">
        <v>625</v>
      </c>
      <c r="D7" s="4">
        <v>1303050</v>
      </c>
      <c r="E7" s="25"/>
      <c r="H7" s="4">
        <f t="shared" ref="H7:H8" si="0">(D7/1.19)*0.19</f>
        <v>208050</v>
      </c>
    </row>
    <row r="8" spans="1:8" ht="18.75" x14ac:dyDescent="0.3">
      <c r="A8" s="5" t="s">
        <v>622</v>
      </c>
      <c r="C8" s="3"/>
      <c r="D8" s="32">
        <v>411621</v>
      </c>
      <c r="E8" s="25"/>
      <c r="H8" s="4">
        <f t="shared" si="0"/>
        <v>65721</v>
      </c>
    </row>
    <row r="9" spans="1:8" ht="18.75" x14ac:dyDescent="0.3">
      <c r="A9" s="5" t="s">
        <v>626</v>
      </c>
      <c r="C9" s="3"/>
      <c r="D9" s="28">
        <v>3391500</v>
      </c>
      <c r="E9" s="25"/>
      <c r="H9" s="4">
        <f>(D9/1.19)*0.19</f>
        <v>541500</v>
      </c>
    </row>
    <row r="10" spans="1:8" ht="18.75" x14ac:dyDescent="0.3">
      <c r="A10" s="5" t="s">
        <v>476</v>
      </c>
      <c r="C10" s="3"/>
      <c r="D10" s="28">
        <v>1794897</v>
      </c>
      <c r="E10" s="25"/>
      <c r="H10" s="4">
        <f>(D10/1.19)*0.19</f>
        <v>286580.19327731093</v>
      </c>
    </row>
    <row r="11" spans="1:8" ht="18.75" x14ac:dyDescent="0.3">
      <c r="A11" s="5" t="s">
        <v>322</v>
      </c>
      <c r="C11" s="3"/>
      <c r="D11" s="28">
        <v>767382</v>
      </c>
      <c r="E11" s="25"/>
      <c r="H11" s="4">
        <f>(D11/1.19)*0.19</f>
        <v>122523.17647058824</v>
      </c>
    </row>
    <row r="12" spans="1:8" ht="19.5" thickBot="1" x14ac:dyDescent="0.35">
      <c r="A12" s="5" t="s">
        <v>141</v>
      </c>
      <c r="C12" s="3"/>
      <c r="D12" s="22">
        <v>125000</v>
      </c>
      <c r="E12" s="25"/>
      <c r="H12" s="22"/>
    </row>
    <row r="13" spans="1:8" ht="18.75" customHeight="1" x14ac:dyDescent="0.3">
      <c r="D13" s="4">
        <f>SUM(D7:D12)</f>
        <v>7793450</v>
      </c>
      <c r="H13" s="4">
        <f>SUM(H7:H12)</f>
        <v>1224374.3697478992</v>
      </c>
    </row>
    <row r="14" spans="1:8" ht="18.75" x14ac:dyDescent="0.3">
      <c r="A14" s="5"/>
      <c r="C14" s="3"/>
      <c r="D14" s="4"/>
      <c r="H14" s="4"/>
    </row>
    <row r="16" spans="1:8" ht="18.75" x14ac:dyDescent="0.3">
      <c r="A16" s="5"/>
      <c r="C16" s="3"/>
      <c r="D16" s="4"/>
      <c r="H16" s="4"/>
    </row>
    <row r="17" spans="1:8" ht="15.75" thickBot="1" x14ac:dyDescent="0.3">
      <c r="D17" s="7"/>
      <c r="H17" s="7"/>
    </row>
    <row r="19" spans="1:8" ht="18.75" x14ac:dyDescent="0.3">
      <c r="C19" t="s">
        <v>4</v>
      </c>
      <c r="D19" s="4">
        <f>D3-D13</f>
        <v>5367712</v>
      </c>
      <c r="G19" t="s">
        <v>5</v>
      </c>
      <c r="H19" s="4">
        <f>H3-H13</f>
        <v>876987.63025210076</v>
      </c>
    </row>
    <row r="22" spans="1:8" ht="15.75" x14ac:dyDescent="0.25">
      <c r="A22" t="s">
        <v>6</v>
      </c>
      <c r="C22" s="8">
        <f>D19</f>
        <v>5367712</v>
      </c>
      <c r="E22" t="s">
        <v>10</v>
      </c>
      <c r="H22" s="6">
        <f>C31</f>
        <v>4438079.7217478994</v>
      </c>
    </row>
    <row r="24" spans="1:8" ht="15.75" x14ac:dyDescent="0.25">
      <c r="A24" t="s">
        <v>5</v>
      </c>
      <c r="B24" s="9" t="s">
        <v>7</v>
      </c>
      <c r="C24" s="8">
        <f>H19</f>
        <v>876987.63025210076</v>
      </c>
      <c r="E24" s="13" t="s">
        <v>11</v>
      </c>
      <c r="F24" s="9" t="s">
        <v>181</v>
      </c>
      <c r="G24" s="15" t="s">
        <v>17</v>
      </c>
      <c r="H24" s="3">
        <f>-(F25*0.007)</f>
        <v>-77418.600000000006</v>
      </c>
    </row>
    <row r="25" spans="1:8" x14ac:dyDescent="0.25">
      <c r="F25" s="21">
        <f>D3-H3</f>
        <v>11059800</v>
      </c>
    </row>
    <row r="26" spans="1:8" ht="15.75" x14ac:dyDescent="0.25">
      <c r="A26" t="s">
        <v>8</v>
      </c>
      <c r="B26" s="9" t="s">
        <v>7</v>
      </c>
      <c r="C26" s="8">
        <f>D3*0.004</f>
        <v>52644.648000000001</v>
      </c>
      <c r="F26" s="9" t="s">
        <v>13</v>
      </c>
      <c r="G26" s="16">
        <v>0.35</v>
      </c>
      <c r="H26" s="29">
        <f>-(F27*0.35)</f>
        <v>-1553327.9026117646</v>
      </c>
    </row>
    <row r="27" spans="1:8" ht="15.75" thickBot="1" x14ac:dyDescent="0.3">
      <c r="F27" s="21">
        <f>H22</f>
        <v>4438079.7217478994</v>
      </c>
      <c r="H27" s="7"/>
    </row>
    <row r="28" spans="1:8" ht="15.75" x14ac:dyDescent="0.25">
      <c r="A28" t="s">
        <v>9</v>
      </c>
      <c r="B28" s="9" t="s">
        <v>7</v>
      </c>
      <c r="C28" s="10"/>
      <c r="G28" s="13" t="s">
        <v>14</v>
      </c>
      <c r="H28" s="6">
        <f>H22+H24+H26</f>
        <v>2807333.2191361352</v>
      </c>
    </row>
    <row r="29" spans="1:8" ht="15.75" thickBot="1" x14ac:dyDescent="0.3">
      <c r="A29" s="16"/>
      <c r="B29" s="14"/>
      <c r="C29" s="7"/>
    </row>
    <row r="30" spans="1:8" x14ac:dyDescent="0.25">
      <c r="E30" t="s">
        <v>151</v>
      </c>
      <c r="H30" s="20">
        <f>H28*0.5</f>
        <v>1403666.6095680676</v>
      </c>
    </row>
    <row r="31" spans="1:8" ht="15.75" x14ac:dyDescent="0.25">
      <c r="A31" t="s">
        <v>10</v>
      </c>
      <c r="C31" s="10">
        <f>C22-C24-C26-C28</f>
        <v>4438079.7217478994</v>
      </c>
      <c r="H31" s="18"/>
    </row>
    <row r="32" spans="1:8" x14ac:dyDescent="0.25">
      <c r="H32" s="3"/>
    </row>
    <row r="33" spans="8:8" x14ac:dyDescent="0.25">
      <c r="H33" s="18"/>
    </row>
  </sheetData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C9950-1E93-44B7-825C-8913C8C6D7CA}">
  <dimension ref="A1:H33"/>
  <sheetViews>
    <sheetView workbookViewId="0">
      <selection sqref="A1:XFD1048576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627</v>
      </c>
    </row>
    <row r="3" spans="1:8" ht="21" x14ac:dyDescent="0.35">
      <c r="A3" s="2" t="s">
        <v>1</v>
      </c>
      <c r="D3" s="11">
        <v>136850</v>
      </c>
      <c r="F3" s="12" t="s">
        <v>3</v>
      </c>
      <c r="H3" s="4">
        <f>(D3/1.19)*0.19</f>
        <v>21850</v>
      </c>
    </row>
    <row r="4" spans="1:8" x14ac:dyDescent="0.25">
      <c r="A4" s="13" t="s">
        <v>32</v>
      </c>
      <c r="C4" s="26">
        <v>859</v>
      </c>
    </row>
    <row r="5" spans="1:8" ht="21" x14ac:dyDescent="0.35">
      <c r="A5" s="2" t="s">
        <v>2</v>
      </c>
    </row>
    <row r="7" spans="1:8" ht="18.75" x14ac:dyDescent="0.3">
      <c r="A7" s="5"/>
      <c r="D7" s="4"/>
      <c r="E7" s="25"/>
      <c r="H7" s="4"/>
    </row>
    <row r="8" spans="1:8" ht="18.75" x14ac:dyDescent="0.3">
      <c r="A8" s="5"/>
      <c r="C8" s="3"/>
      <c r="D8" s="32"/>
      <c r="E8" s="25"/>
      <c r="H8" s="4"/>
    </row>
    <row r="9" spans="1:8" ht="18.75" x14ac:dyDescent="0.3">
      <c r="A9" s="5"/>
      <c r="C9" s="3"/>
      <c r="D9" s="28"/>
      <c r="E9" s="25"/>
      <c r="H9" s="4"/>
    </row>
    <row r="10" spans="1:8" ht="18.75" x14ac:dyDescent="0.3">
      <c r="A10" s="5"/>
      <c r="C10" s="3"/>
      <c r="D10" s="28"/>
      <c r="E10" s="25"/>
      <c r="H10" s="4"/>
    </row>
    <row r="11" spans="1:8" ht="18.75" x14ac:dyDescent="0.3">
      <c r="A11" s="5" t="s">
        <v>185</v>
      </c>
      <c r="C11" s="3"/>
      <c r="D11" s="28">
        <v>23800</v>
      </c>
      <c r="E11" s="25"/>
      <c r="H11" s="4">
        <f>(D11/1.19)*0.19</f>
        <v>3800</v>
      </c>
    </row>
    <row r="12" spans="1:8" ht="19.5" thickBot="1" x14ac:dyDescent="0.35">
      <c r="A12" s="5" t="s">
        <v>343</v>
      </c>
      <c r="C12" s="3"/>
      <c r="D12" s="22">
        <v>66164</v>
      </c>
      <c r="E12" s="25"/>
      <c r="H12" s="22">
        <f>(D12/1.19)*0.19</f>
        <v>10564</v>
      </c>
    </row>
    <row r="13" spans="1:8" ht="18.75" customHeight="1" x14ac:dyDescent="0.3">
      <c r="D13" s="4">
        <f>SUM(D7:D12)</f>
        <v>89964</v>
      </c>
      <c r="H13" s="4">
        <f>SUM(H7:H12)</f>
        <v>14364</v>
      </c>
    </row>
    <row r="14" spans="1:8" ht="18.75" x14ac:dyDescent="0.3">
      <c r="A14" s="5"/>
      <c r="C14" s="3"/>
      <c r="D14" s="4"/>
      <c r="H14" s="4"/>
    </row>
    <row r="16" spans="1:8" ht="18.75" x14ac:dyDescent="0.3">
      <c r="A16" s="5"/>
      <c r="C16" s="3"/>
      <c r="D16" s="4"/>
      <c r="H16" s="4"/>
    </row>
    <row r="17" spans="1:8" ht="15.75" thickBot="1" x14ac:dyDescent="0.3">
      <c r="D17" s="7"/>
      <c r="H17" s="7"/>
    </row>
    <row r="19" spans="1:8" ht="18.75" x14ac:dyDescent="0.3">
      <c r="C19" t="s">
        <v>4</v>
      </c>
      <c r="D19" s="4">
        <f>D3-D13</f>
        <v>46886</v>
      </c>
      <c r="G19" t="s">
        <v>5</v>
      </c>
      <c r="H19" s="4">
        <f>H3-H13</f>
        <v>7486</v>
      </c>
    </row>
    <row r="22" spans="1:8" ht="15.75" x14ac:dyDescent="0.25">
      <c r="A22" t="s">
        <v>6</v>
      </c>
      <c r="C22" s="8">
        <f>D19</f>
        <v>46886</v>
      </c>
      <c r="E22" t="s">
        <v>10</v>
      </c>
      <c r="H22" s="6">
        <f>C31</f>
        <v>38852.6</v>
      </c>
    </row>
    <row r="24" spans="1:8" ht="15.75" x14ac:dyDescent="0.25">
      <c r="A24" t="s">
        <v>5</v>
      </c>
      <c r="B24" s="9" t="s">
        <v>7</v>
      </c>
      <c r="C24" s="8">
        <f>H19</f>
        <v>7486</v>
      </c>
      <c r="E24" s="13" t="s">
        <v>11</v>
      </c>
      <c r="F24" s="9" t="s">
        <v>181</v>
      </c>
      <c r="G24" s="15" t="s">
        <v>17</v>
      </c>
      <c r="H24" s="3">
        <f>-(F25*0.007)</f>
        <v>-805</v>
      </c>
    </row>
    <row r="25" spans="1:8" x14ac:dyDescent="0.25">
      <c r="F25" s="21">
        <f>D3-H3</f>
        <v>115000</v>
      </c>
    </row>
    <row r="26" spans="1:8" ht="15.75" x14ac:dyDescent="0.25">
      <c r="A26" t="s">
        <v>8</v>
      </c>
      <c r="B26" s="9" t="s">
        <v>7</v>
      </c>
      <c r="C26" s="8">
        <f>D3*0.004</f>
        <v>547.4</v>
      </c>
      <c r="F26" s="9" t="s">
        <v>13</v>
      </c>
      <c r="G26" s="16">
        <v>0.35</v>
      </c>
      <c r="H26" s="29">
        <f>-(F27*0.35)</f>
        <v>-13598.409999999998</v>
      </c>
    </row>
    <row r="27" spans="1:8" ht="15.75" thickBot="1" x14ac:dyDescent="0.3">
      <c r="F27" s="21">
        <f>H22</f>
        <v>38852.6</v>
      </c>
      <c r="H27" s="7"/>
    </row>
    <row r="28" spans="1:8" ht="15.75" x14ac:dyDescent="0.25">
      <c r="A28" t="s">
        <v>9</v>
      </c>
      <c r="B28" s="9" t="s">
        <v>7</v>
      </c>
      <c r="C28" s="10"/>
      <c r="G28" s="13" t="s">
        <v>14</v>
      </c>
      <c r="H28" s="6">
        <f>H22+H24+H26</f>
        <v>24449.190000000002</v>
      </c>
    </row>
    <row r="29" spans="1:8" ht="15.75" thickBot="1" x14ac:dyDescent="0.3">
      <c r="A29" s="16"/>
      <c r="B29" s="14"/>
      <c r="C29" s="7"/>
    </row>
    <row r="30" spans="1:8" x14ac:dyDescent="0.25">
      <c r="E30" t="s">
        <v>151</v>
      </c>
      <c r="H30" s="20">
        <f>H28*0.5</f>
        <v>12224.595000000001</v>
      </c>
    </row>
    <row r="31" spans="1:8" ht="15.75" x14ac:dyDescent="0.25">
      <c r="A31" t="s">
        <v>10</v>
      </c>
      <c r="C31" s="10">
        <f>C22-C24-C26-C28</f>
        <v>38852.6</v>
      </c>
      <c r="H31" s="18"/>
    </row>
    <row r="32" spans="1:8" x14ac:dyDescent="0.25">
      <c r="H32" s="3"/>
    </row>
    <row r="33" spans="8:8" x14ac:dyDescent="0.25">
      <c r="H33" s="18"/>
    </row>
  </sheetData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FD2CD-B47C-43ED-A2A9-C523224789F9}">
  <dimension ref="A1:H33"/>
  <sheetViews>
    <sheetView workbookViewId="0">
      <selection sqref="A1:XFD1048576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493</v>
      </c>
    </row>
    <row r="3" spans="1:8" ht="21" x14ac:dyDescent="0.35">
      <c r="A3" s="2" t="s">
        <v>1</v>
      </c>
      <c r="D3" s="11">
        <v>37485</v>
      </c>
      <c r="F3" s="12" t="s">
        <v>3</v>
      </c>
      <c r="H3" s="4">
        <f>(D3/1.19)*0.19</f>
        <v>5985</v>
      </c>
    </row>
    <row r="4" spans="1:8" x14ac:dyDescent="0.25">
      <c r="A4" s="13" t="s">
        <v>32</v>
      </c>
      <c r="C4" s="26">
        <v>860</v>
      </c>
    </row>
    <row r="5" spans="1:8" ht="21" x14ac:dyDescent="0.35">
      <c r="A5" s="2" t="s">
        <v>2</v>
      </c>
    </row>
    <row r="7" spans="1:8" ht="18.75" x14ac:dyDescent="0.3">
      <c r="A7" s="5"/>
      <c r="D7" s="4"/>
      <c r="E7" s="25"/>
      <c r="H7" s="4"/>
    </row>
    <row r="8" spans="1:8" ht="18.75" x14ac:dyDescent="0.3">
      <c r="A8" s="5"/>
      <c r="C8" s="3"/>
      <c r="D8" s="32"/>
      <c r="E8" s="25"/>
      <c r="H8" s="4"/>
    </row>
    <row r="9" spans="1:8" ht="18.75" x14ac:dyDescent="0.3">
      <c r="A9" s="5"/>
      <c r="C9" s="3"/>
      <c r="D9" s="28"/>
      <c r="E9" s="25"/>
      <c r="H9" s="4"/>
    </row>
    <row r="10" spans="1:8" ht="18.75" x14ac:dyDescent="0.3">
      <c r="A10" s="5"/>
      <c r="C10" s="3"/>
      <c r="D10" s="28"/>
      <c r="E10" s="25"/>
      <c r="H10" s="4"/>
    </row>
    <row r="11" spans="1:8" ht="18.75" x14ac:dyDescent="0.3">
      <c r="A11" s="5" t="s">
        <v>185</v>
      </c>
      <c r="C11" s="3"/>
      <c r="D11" s="28">
        <v>9690</v>
      </c>
      <c r="E11" s="25"/>
      <c r="H11" s="4">
        <f>(D11/1.19)*0.19</f>
        <v>1547.1428571428571</v>
      </c>
    </row>
    <row r="12" spans="1:8" ht="19.5" thickBot="1" x14ac:dyDescent="0.35">
      <c r="A12" s="5" t="s">
        <v>622</v>
      </c>
      <c r="C12" s="3"/>
      <c r="D12" s="22">
        <v>18000</v>
      </c>
      <c r="E12" s="25"/>
      <c r="H12" s="22">
        <f>(D12/1.19)*0.19</f>
        <v>2873.9495798319331</v>
      </c>
    </row>
    <row r="13" spans="1:8" ht="18.75" customHeight="1" x14ac:dyDescent="0.3">
      <c r="D13" s="4">
        <f>SUM(D7:D12)</f>
        <v>27690</v>
      </c>
      <c r="H13" s="4">
        <f>SUM(H7:H12)</f>
        <v>4421.09243697479</v>
      </c>
    </row>
    <row r="14" spans="1:8" ht="18.75" x14ac:dyDescent="0.3">
      <c r="A14" s="5"/>
      <c r="C14" s="3"/>
      <c r="D14" s="4"/>
      <c r="H14" s="4"/>
    </row>
    <row r="16" spans="1:8" ht="18.75" x14ac:dyDescent="0.3">
      <c r="A16" s="5"/>
      <c r="C16" s="3"/>
      <c r="D16" s="4"/>
      <c r="H16" s="4"/>
    </row>
    <row r="17" spans="1:8" ht="15.75" thickBot="1" x14ac:dyDescent="0.3">
      <c r="D17" s="7"/>
      <c r="H17" s="7"/>
    </row>
    <row r="19" spans="1:8" ht="18.75" x14ac:dyDescent="0.3">
      <c r="C19" t="s">
        <v>4</v>
      </c>
      <c r="D19" s="4">
        <f>D3-D13</f>
        <v>9795</v>
      </c>
      <c r="G19" t="s">
        <v>5</v>
      </c>
      <c r="H19" s="4">
        <f>H3-H13</f>
        <v>1563.90756302521</v>
      </c>
    </row>
    <row r="22" spans="1:8" ht="15.75" x14ac:dyDescent="0.25">
      <c r="A22" t="s">
        <v>6</v>
      </c>
      <c r="C22" s="8">
        <f>D19</f>
        <v>9795</v>
      </c>
      <c r="E22" t="s">
        <v>10</v>
      </c>
      <c r="H22" s="6">
        <f>C31</f>
        <v>8081.1524369747904</v>
      </c>
    </row>
    <row r="24" spans="1:8" ht="15.75" x14ac:dyDescent="0.25">
      <c r="A24" t="s">
        <v>5</v>
      </c>
      <c r="B24" s="9" t="s">
        <v>7</v>
      </c>
      <c r="C24" s="8">
        <f>H19</f>
        <v>1563.90756302521</v>
      </c>
      <c r="E24" s="13" t="s">
        <v>11</v>
      </c>
      <c r="F24" s="9" t="s">
        <v>181</v>
      </c>
      <c r="G24" s="15" t="s">
        <v>17</v>
      </c>
      <c r="H24" s="3">
        <f>-(F25*0.007)</f>
        <v>-220.5</v>
      </c>
    </row>
    <row r="25" spans="1:8" x14ac:dyDescent="0.25">
      <c r="F25" s="21">
        <f>D3-H3</f>
        <v>31500</v>
      </c>
    </row>
    <row r="26" spans="1:8" ht="15.75" x14ac:dyDescent="0.25">
      <c r="A26" t="s">
        <v>8</v>
      </c>
      <c r="B26" s="9" t="s">
        <v>7</v>
      </c>
      <c r="C26" s="8">
        <f>D3*0.004</f>
        <v>149.94</v>
      </c>
      <c r="F26" s="9" t="s">
        <v>13</v>
      </c>
      <c r="G26" s="16">
        <v>0.35</v>
      </c>
      <c r="H26" s="29">
        <f>-(F27*0.35)</f>
        <v>-2828.4033529411763</v>
      </c>
    </row>
    <row r="27" spans="1:8" ht="15.75" thickBot="1" x14ac:dyDescent="0.3">
      <c r="F27" s="21">
        <f>H22</f>
        <v>8081.1524369747904</v>
      </c>
      <c r="H27" s="7"/>
    </row>
    <row r="28" spans="1:8" ht="15.75" x14ac:dyDescent="0.25">
      <c r="A28" t="s">
        <v>9</v>
      </c>
      <c r="B28" s="9" t="s">
        <v>7</v>
      </c>
      <c r="C28" s="10"/>
      <c r="G28" s="13" t="s">
        <v>14</v>
      </c>
      <c r="H28" s="6">
        <f>H22+H24+H26</f>
        <v>5032.2490840336141</v>
      </c>
    </row>
    <row r="29" spans="1:8" ht="15.75" thickBot="1" x14ac:dyDescent="0.3">
      <c r="A29" s="16"/>
      <c r="B29" s="14"/>
      <c r="C29" s="7"/>
    </row>
    <row r="30" spans="1:8" x14ac:dyDescent="0.25">
      <c r="E30" t="s">
        <v>151</v>
      </c>
      <c r="H30" s="20">
        <f>H28*0.5</f>
        <v>2516.124542016807</v>
      </c>
    </row>
    <row r="31" spans="1:8" ht="15.75" x14ac:dyDescent="0.25">
      <c r="A31" t="s">
        <v>10</v>
      </c>
      <c r="C31" s="10">
        <f>C22-C24-C26-C28</f>
        <v>8081.1524369747904</v>
      </c>
      <c r="H31" s="18"/>
    </row>
    <row r="32" spans="1:8" x14ac:dyDescent="0.25">
      <c r="H32" s="3"/>
    </row>
    <row r="33" spans="8:8" x14ac:dyDescent="0.25">
      <c r="H33" s="18"/>
    </row>
  </sheetData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A3AF2-B71C-4700-A46C-3F24A35DD1B5}">
  <dimension ref="A1:H33"/>
  <sheetViews>
    <sheetView workbookViewId="0">
      <selection sqref="A1:XFD1048576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628</v>
      </c>
    </row>
    <row r="3" spans="1:8" ht="21" x14ac:dyDescent="0.35">
      <c r="A3" s="2" t="s">
        <v>1</v>
      </c>
      <c r="D3" s="11">
        <v>14280</v>
      </c>
      <c r="F3" s="12" t="s">
        <v>3</v>
      </c>
      <c r="H3" s="4">
        <f>(D3/1.19)*0.19</f>
        <v>2280</v>
      </c>
    </row>
    <row r="4" spans="1:8" x14ac:dyDescent="0.25">
      <c r="A4" s="13" t="s">
        <v>32</v>
      </c>
      <c r="C4" s="26">
        <v>861</v>
      </c>
    </row>
    <row r="5" spans="1:8" ht="21" x14ac:dyDescent="0.35">
      <c r="A5" s="2" t="s">
        <v>2</v>
      </c>
    </row>
    <row r="7" spans="1:8" ht="18.75" x14ac:dyDescent="0.3">
      <c r="A7" s="5"/>
      <c r="D7" s="4"/>
      <c r="E7" s="25"/>
      <c r="H7" s="4"/>
    </row>
    <row r="8" spans="1:8" ht="18.75" x14ac:dyDescent="0.3">
      <c r="A8" s="5"/>
      <c r="C8" s="3"/>
      <c r="D8" s="32"/>
      <c r="E8" s="25"/>
      <c r="H8" s="4"/>
    </row>
    <row r="9" spans="1:8" ht="18.75" x14ac:dyDescent="0.3">
      <c r="A9" s="5"/>
      <c r="C9" s="3"/>
      <c r="D9" s="28"/>
      <c r="E9" s="25"/>
      <c r="H9" s="4"/>
    </row>
    <row r="10" spans="1:8" ht="18.75" x14ac:dyDescent="0.3">
      <c r="A10" s="5"/>
      <c r="C10" s="3"/>
      <c r="D10" s="28"/>
      <c r="E10" s="25"/>
      <c r="H10" s="4"/>
    </row>
    <row r="11" spans="1:8" ht="18.75" x14ac:dyDescent="0.3">
      <c r="A11" s="5" t="s">
        <v>185</v>
      </c>
      <c r="C11" s="3"/>
      <c r="D11" s="28">
        <v>6450</v>
      </c>
      <c r="E11" s="25"/>
      <c r="H11" s="4">
        <f>(D11/1.19)*0.19</f>
        <v>1029.8319327731094</v>
      </c>
    </row>
    <row r="12" spans="1:8" ht="19.5" thickBot="1" x14ac:dyDescent="0.35">
      <c r="A12" s="5"/>
      <c r="C12" s="3"/>
      <c r="D12" s="22"/>
      <c r="E12" s="25"/>
      <c r="H12" s="22"/>
    </row>
    <row r="13" spans="1:8" ht="18.75" customHeight="1" x14ac:dyDescent="0.3">
      <c r="D13" s="4">
        <f>SUM(D7:D12)</f>
        <v>6450</v>
      </c>
      <c r="H13" s="4">
        <f>SUM(H7:H12)</f>
        <v>1029.8319327731094</v>
      </c>
    </row>
    <row r="14" spans="1:8" ht="18.75" x14ac:dyDescent="0.3">
      <c r="A14" s="5"/>
      <c r="C14" s="3"/>
      <c r="D14" s="4"/>
      <c r="H14" s="4"/>
    </row>
    <row r="16" spans="1:8" ht="18.75" x14ac:dyDescent="0.3">
      <c r="A16" s="5"/>
      <c r="C16" s="3"/>
      <c r="D16" s="4"/>
      <c r="H16" s="4"/>
    </row>
    <row r="17" spans="1:8" ht="15.75" thickBot="1" x14ac:dyDescent="0.3">
      <c r="D17" s="7"/>
      <c r="H17" s="7"/>
    </row>
    <row r="19" spans="1:8" ht="18.75" x14ac:dyDescent="0.3">
      <c r="C19" t="s">
        <v>4</v>
      </c>
      <c r="D19" s="4">
        <f>D3-D13</f>
        <v>7830</v>
      </c>
      <c r="G19" t="s">
        <v>5</v>
      </c>
      <c r="H19" s="4">
        <f>H3-H13</f>
        <v>1250.1680672268906</v>
      </c>
    </row>
    <row r="22" spans="1:8" ht="15.75" x14ac:dyDescent="0.25">
      <c r="A22" t="s">
        <v>6</v>
      </c>
      <c r="C22" s="8">
        <f>D19</f>
        <v>7830</v>
      </c>
      <c r="E22" t="s">
        <v>10</v>
      </c>
      <c r="H22" s="6">
        <f>C31</f>
        <v>6522.7119327731098</v>
      </c>
    </row>
    <row r="24" spans="1:8" ht="15.75" x14ac:dyDescent="0.25">
      <c r="A24" t="s">
        <v>5</v>
      </c>
      <c r="B24" s="9" t="s">
        <v>7</v>
      </c>
      <c r="C24" s="8">
        <f>H19</f>
        <v>1250.1680672268906</v>
      </c>
      <c r="E24" s="13" t="s">
        <v>11</v>
      </c>
      <c r="F24" s="9" t="s">
        <v>181</v>
      </c>
      <c r="G24" s="15" t="s">
        <v>17</v>
      </c>
      <c r="H24" s="3">
        <f>-(F25*0.007)</f>
        <v>-84</v>
      </c>
    </row>
    <row r="25" spans="1:8" x14ac:dyDescent="0.25">
      <c r="F25" s="21">
        <f>D3-H3</f>
        <v>12000</v>
      </c>
    </row>
    <row r="26" spans="1:8" ht="15.75" x14ac:dyDescent="0.25">
      <c r="A26" t="s">
        <v>8</v>
      </c>
      <c r="B26" s="9" t="s">
        <v>7</v>
      </c>
      <c r="C26" s="8">
        <f>D3*0.004</f>
        <v>57.120000000000005</v>
      </c>
      <c r="F26" s="9" t="s">
        <v>13</v>
      </c>
      <c r="G26" s="16">
        <v>0.35</v>
      </c>
      <c r="H26" s="29">
        <f>-(F27*0.35)</f>
        <v>-2282.9491764705881</v>
      </c>
    </row>
    <row r="27" spans="1:8" ht="15.75" thickBot="1" x14ac:dyDescent="0.3">
      <c r="F27" s="21">
        <f>H22</f>
        <v>6522.7119327731098</v>
      </c>
      <c r="H27" s="7"/>
    </row>
    <row r="28" spans="1:8" ht="15.75" x14ac:dyDescent="0.25">
      <c r="A28" t="s">
        <v>9</v>
      </c>
      <c r="B28" s="9" t="s">
        <v>7</v>
      </c>
      <c r="C28" s="10"/>
      <c r="G28" s="13" t="s">
        <v>14</v>
      </c>
      <c r="H28" s="6">
        <f>H22+H24+H26</f>
        <v>4155.7627563025217</v>
      </c>
    </row>
    <row r="29" spans="1:8" ht="15.75" thickBot="1" x14ac:dyDescent="0.3">
      <c r="A29" s="16"/>
      <c r="B29" s="14"/>
      <c r="C29" s="7"/>
    </row>
    <row r="30" spans="1:8" x14ac:dyDescent="0.25">
      <c r="E30" t="s">
        <v>151</v>
      </c>
      <c r="H30" s="20">
        <f>H28*0.5</f>
        <v>2077.8813781512608</v>
      </c>
    </row>
    <row r="31" spans="1:8" ht="15.75" x14ac:dyDescent="0.25">
      <c r="A31" t="s">
        <v>10</v>
      </c>
      <c r="C31" s="10">
        <f>C22-C24-C26-C28</f>
        <v>6522.7119327731098</v>
      </c>
      <c r="H31" s="18"/>
    </row>
    <row r="32" spans="1:8" x14ac:dyDescent="0.25">
      <c r="H32" s="3"/>
    </row>
    <row r="33" spans="8:8" x14ac:dyDescent="0.25">
      <c r="H33" s="18"/>
    </row>
  </sheetData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0A4E9-5059-4C88-8EDA-3D117E7F00C2}">
  <dimension ref="A1:H33"/>
  <sheetViews>
    <sheetView workbookViewId="0">
      <selection sqref="A1:XFD1048576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500</v>
      </c>
    </row>
    <row r="3" spans="1:8" ht="21" x14ac:dyDescent="0.35">
      <c r="A3" s="2" t="s">
        <v>1</v>
      </c>
      <c r="D3" s="11">
        <v>464100</v>
      </c>
      <c r="F3" s="12" t="s">
        <v>3</v>
      </c>
      <c r="H3" s="4">
        <f>(D3/1.19)*0.19</f>
        <v>74100</v>
      </c>
    </row>
    <row r="4" spans="1:8" x14ac:dyDescent="0.25">
      <c r="A4" s="13" t="s">
        <v>32</v>
      </c>
      <c r="C4" s="26">
        <v>863</v>
      </c>
    </row>
    <row r="5" spans="1:8" ht="21" x14ac:dyDescent="0.35">
      <c r="A5" s="2" t="s">
        <v>2</v>
      </c>
    </row>
    <row r="7" spans="1:8" ht="18.75" x14ac:dyDescent="0.3">
      <c r="A7" s="5"/>
      <c r="D7" s="4"/>
      <c r="E7" s="25"/>
      <c r="H7" s="4"/>
    </row>
    <row r="8" spans="1:8" ht="18.75" x14ac:dyDescent="0.3">
      <c r="A8" s="5"/>
      <c r="C8" s="3"/>
      <c r="D8" s="32"/>
      <c r="E8" s="25"/>
      <c r="H8" s="4"/>
    </row>
    <row r="9" spans="1:8" ht="18.75" x14ac:dyDescent="0.3">
      <c r="A9" s="5"/>
      <c r="C9" s="3"/>
      <c r="D9" s="28"/>
      <c r="E9" s="25"/>
      <c r="H9" s="4"/>
    </row>
    <row r="10" spans="1:8" ht="18.75" x14ac:dyDescent="0.3">
      <c r="A10" s="5"/>
      <c r="C10" s="3"/>
      <c r="D10" s="28"/>
      <c r="E10" s="25"/>
      <c r="H10" s="4"/>
    </row>
    <row r="11" spans="1:8" ht="18.75" x14ac:dyDescent="0.3">
      <c r="A11" s="5" t="s">
        <v>629</v>
      </c>
      <c r="C11" s="3"/>
      <c r="D11" s="28">
        <v>154100</v>
      </c>
      <c r="E11" s="25"/>
      <c r="H11" s="4">
        <f>(D11/1.19)*0.19</f>
        <v>24604.201680672268</v>
      </c>
    </row>
    <row r="12" spans="1:8" ht="19.5" thickBot="1" x14ac:dyDescent="0.35">
      <c r="A12" s="5"/>
      <c r="C12" s="3"/>
      <c r="D12" s="22"/>
      <c r="E12" s="25"/>
      <c r="H12" s="22"/>
    </row>
    <row r="13" spans="1:8" ht="18.75" customHeight="1" x14ac:dyDescent="0.3">
      <c r="D13" s="4">
        <f>SUM(D7:D12)</f>
        <v>154100</v>
      </c>
      <c r="H13" s="4">
        <f>SUM(H7:H12)</f>
        <v>24604.201680672268</v>
      </c>
    </row>
    <row r="14" spans="1:8" ht="18.75" x14ac:dyDescent="0.3">
      <c r="A14" s="5"/>
      <c r="C14" s="3"/>
      <c r="D14" s="4"/>
      <c r="H14" s="4"/>
    </row>
    <row r="16" spans="1:8" ht="18.75" x14ac:dyDescent="0.3">
      <c r="A16" s="5"/>
      <c r="C16" s="3"/>
      <c r="D16" s="4"/>
      <c r="H16" s="4"/>
    </row>
    <row r="17" spans="1:8" ht="15.75" thickBot="1" x14ac:dyDescent="0.3">
      <c r="D17" s="7"/>
      <c r="H17" s="7"/>
    </row>
    <row r="19" spans="1:8" ht="18.75" x14ac:dyDescent="0.3">
      <c r="C19" t="s">
        <v>4</v>
      </c>
      <c r="D19" s="4">
        <f>D3-D13</f>
        <v>310000</v>
      </c>
      <c r="G19" t="s">
        <v>5</v>
      </c>
      <c r="H19" s="4">
        <f>H3-H13</f>
        <v>49495.798319327732</v>
      </c>
    </row>
    <row r="22" spans="1:8" ht="15.75" x14ac:dyDescent="0.25">
      <c r="A22" t="s">
        <v>6</v>
      </c>
      <c r="C22" s="8">
        <f>D19</f>
        <v>310000</v>
      </c>
      <c r="E22" t="s">
        <v>10</v>
      </c>
      <c r="H22" s="6">
        <f>C31</f>
        <v>258647.80168067227</v>
      </c>
    </row>
    <row r="24" spans="1:8" ht="15.75" x14ac:dyDescent="0.25">
      <c r="A24" t="s">
        <v>5</v>
      </c>
      <c r="B24" s="9" t="s">
        <v>7</v>
      </c>
      <c r="C24" s="8">
        <f>H19</f>
        <v>49495.798319327732</v>
      </c>
      <c r="E24" s="13" t="s">
        <v>11</v>
      </c>
      <c r="F24" s="9" t="s">
        <v>181</v>
      </c>
      <c r="G24" s="15" t="s">
        <v>17</v>
      </c>
      <c r="H24" s="3">
        <f>-(F25*0.007)</f>
        <v>-2730</v>
      </c>
    </row>
    <row r="25" spans="1:8" x14ac:dyDescent="0.25">
      <c r="F25" s="21">
        <f>D3-H3</f>
        <v>390000</v>
      </c>
    </row>
    <row r="26" spans="1:8" ht="15.75" x14ac:dyDescent="0.25">
      <c r="A26" t="s">
        <v>8</v>
      </c>
      <c r="B26" s="9" t="s">
        <v>7</v>
      </c>
      <c r="C26" s="8">
        <f>D3*0.004</f>
        <v>1856.4</v>
      </c>
      <c r="F26" s="9" t="s">
        <v>13</v>
      </c>
      <c r="G26" s="16">
        <v>0.35</v>
      </c>
      <c r="H26" s="29">
        <f>-(F27*0.35)</f>
        <v>-90526.730588235296</v>
      </c>
    </row>
    <row r="27" spans="1:8" ht="15.75" thickBot="1" x14ac:dyDescent="0.3">
      <c r="F27" s="21">
        <f>H22</f>
        <v>258647.80168067227</v>
      </c>
      <c r="H27" s="7"/>
    </row>
    <row r="28" spans="1:8" ht="15.75" x14ac:dyDescent="0.25">
      <c r="A28" t="s">
        <v>9</v>
      </c>
      <c r="B28" s="9" t="s">
        <v>7</v>
      </c>
      <c r="C28" s="10"/>
      <c r="G28" s="13" t="s">
        <v>14</v>
      </c>
      <c r="H28" s="6">
        <f>H22+H24+H26</f>
        <v>165391.07109243696</v>
      </c>
    </row>
    <row r="29" spans="1:8" ht="15.75" thickBot="1" x14ac:dyDescent="0.3">
      <c r="A29" s="16"/>
      <c r="B29" s="14"/>
      <c r="C29" s="7"/>
    </row>
    <row r="30" spans="1:8" x14ac:dyDescent="0.25">
      <c r="E30" t="s">
        <v>151</v>
      </c>
      <c r="H30" s="20">
        <f>H28*0.5</f>
        <v>82695.535546218482</v>
      </c>
    </row>
    <row r="31" spans="1:8" ht="15.75" x14ac:dyDescent="0.25">
      <c r="A31" t="s">
        <v>10</v>
      </c>
      <c r="C31" s="10">
        <f>C22-C24-C26-C28</f>
        <v>258647.80168067227</v>
      </c>
      <c r="H31" s="18"/>
    </row>
    <row r="32" spans="1:8" x14ac:dyDescent="0.25">
      <c r="H32" s="3"/>
    </row>
    <row r="33" spans="8:8" x14ac:dyDescent="0.25">
      <c r="H33" s="18"/>
    </row>
  </sheetData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B4DDA-14EE-4305-84D4-0013B5E8A3AC}">
  <dimension ref="A1:H33"/>
  <sheetViews>
    <sheetView workbookViewId="0">
      <selection sqref="A1:XFD1048576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562</v>
      </c>
    </row>
    <row r="3" spans="1:8" ht="21" x14ac:dyDescent="0.35">
      <c r="A3" s="2" t="s">
        <v>1</v>
      </c>
      <c r="D3" s="11">
        <v>214676</v>
      </c>
      <c r="F3" s="12" t="s">
        <v>3</v>
      </c>
      <c r="H3" s="4">
        <f>(D3/1.19)*0.19</f>
        <v>34276</v>
      </c>
    </row>
    <row r="4" spans="1:8" x14ac:dyDescent="0.25">
      <c r="A4" s="13" t="s">
        <v>32</v>
      </c>
      <c r="C4" s="26">
        <v>863</v>
      </c>
    </row>
    <row r="5" spans="1:8" ht="21" x14ac:dyDescent="0.35">
      <c r="A5" s="2" t="s">
        <v>2</v>
      </c>
    </row>
    <row r="7" spans="1:8" ht="18.75" x14ac:dyDescent="0.3">
      <c r="A7" s="5"/>
      <c r="D7" s="4"/>
      <c r="E7" s="25"/>
      <c r="H7" s="4"/>
    </row>
    <row r="8" spans="1:8" ht="18.75" x14ac:dyDescent="0.3">
      <c r="A8" s="5"/>
      <c r="C8" s="3"/>
      <c r="D8" s="32"/>
      <c r="E8" s="25"/>
      <c r="H8" s="4"/>
    </row>
    <row r="9" spans="1:8" ht="18.75" x14ac:dyDescent="0.3">
      <c r="A9" s="5"/>
      <c r="C9" s="3"/>
      <c r="D9" s="28"/>
      <c r="E9" s="25"/>
      <c r="H9" s="4"/>
    </row>
    <row r="10" spans="1:8" ht="18.75" x14ac:dyDescent="0.3">
      <c r="A10" s="5" t="s">
        <v>221</v>
      </c>
      <c r="C10" s="3"/>
      <c r="D10" s="28">
        <v>130362</v>
      </c>
      <c r="E10" s="25"/>
      <c r="H10" s="4">
        <f>(D10/1.19)*0.19</f>
        <v>20814.100840336134</v>
      </c>
    </row>
    <row r="11" spans="1:8" ht="18.75" x14ac:dyDescent="0.3">
      <c r="A11" s="5"/>
      <c r="C11" s="3"/>
      <c r="D11" s="28"/>
      <c r="E11" s="25"/>
      <c r="H11" s="4">
        <f>(D11/1.19)*0.19</f>
        <v>0</v>
      </c>
    </row>
    <row r="12" spans="1:8" ht="19.5" thickBot="1" x14ac:dyDescent="0.35">
      <c r="A12" s="5"/>
      <c r="C12" s="3"/>
      <c r="D12" s="22"/>
      <c r="E12" s="25"/>
      <c r="H12" s="22"/>
    </row>
    <row r="13" spans="1:8" ht="18.75" customHeight="1" x14ac:dyDescent="0.3">
      <c r="D13" s="4">
        <f>SUM(D7:D12)</f>
        <v>130362</v>
      </c>
      <c r="H13" s="4">
        <f>SUM(H7:H12)</f>
        <v>20814.100840336134</v>
      </c>
    </row>
    <row r="14" spans="1:8" ht="18.75" x14ac:dyDescent="0.3">
      <c r="A14" s="5"/>
      <c r="C14" s="3"/>
      <c r="D14" s="4"/>
      <c r="H14" s="4"/>
    </row>
    <row r="16" spans="1:8" ht="18.75" x14ac:dyDescent="0.3">
      <c r="A16" s="5"/>
      <c r="C16" s="3"/>
      <c r="D16" s="4"/>
      <c r="H16" s="4"/>
    </row>
    <row r="17" spans="1:8" ht="15.75" thickBot="1" x14ac:dyDescent="0.3">
      <c r="D17" s="7"/>
      <c r="H17" s="7"/>
    </row>
    <row r="19" spans="1:8" ht="18.75" x14ac:dyDescent="0.3">
      <c r="C19" t="s">
        <v>4</v>
      </c>
      <c r="D19" s="4">
        <f>D3-D13</f>
        <v>84314</v>
      </c>
      <c r="G19" t="s">
        <v>5</v>
      </c>
      <c r="H19" s="4">
        <f>H3-H13</f>
        <v>13461.899159663866</v>
      </c>
    </row>
    <row r="22" spans="1:8" ht="15.75" x14ac:dyDescent="0.25">
      <c r="A22" t="s">
        <v>6</v>
      </c>
      <c r="C22" s="8">
        <f>D19</f>
        <v>84314</v>
      </c>
      <c r="E22" t="s">
        <v>10</v>
      </c>
      <c r="H22" s="6">
        <f>C31</f>
        <v>69993.396840336136</v>
      </c>
    </row>
    <row r="24" spans="1:8" ht="15.75" x14ac:dyDescent="0.25">
      <c r="A24" t="s">
        <v>5</v>
      </c>
      <c r="B24" s="9" t="s">
        <v>7</v>
      </c>
      <c r="C24" s="8">
        <f>H19</f>
        <v>13461.899159663866</v>
      </c>
      <c r="E24" s="13" t="s">
        <v>11</v>
      </c>
      <c r="F24" s="9" t="s">
        <v>181</v>
      </c>
      <c r="G24" s="15" t="s">
        <v>17</v>
      </c>
      <c r="H24" s="3">
        <f>-(F25*0.007)</f>
        <v>-1262.8</v>
      </c>
    </row>
    <row r="25" spans="1:8" x14ac:dyDescent="0.25">
      <c r="F25" s="21">
        <f>D3-H3</f>
        <v>180400</v>
      </c>
    </row>
    <row r="26" spans="1:8" ht="15.75" x14ac:dyDescent="0.25">
      <c r="A26" t="s">
        <v>8</v>
      </c>
      <c r="B26" s="9" t="s">
        <v>7</v>
      </c>
      <c r="C26" s="8">
        <f>D3*0.004</f>
        <v>858.70400000000006</v>
      </c>
      <c r="F26" s="9" t="s">
        <v>13</v>
      </c>
      <c r="G26" s="16">
        <v>0.35</v>
      </c>
      <c r="H26" s="29">
        <f>-(F27*0.35)</f>
        <v>-24497.688894117648</v>
      </c>
    </row>
    <row r="27" spans="1:8" ht="15.75" thickBot="1" x14ac:dyDescent="0.3">
      <c r="F27" s="21">
        <f>H22</f>
        <v>69993.396840336136</v>
      </c>
      <c r="H27" s="7"/>
    </row>
    <row r="28" spans="1:8" ht="15.75" x14ac:dyDescent="0.25">
      <c r="A28" t="s">
        <v>9</v>
      </c>
      <c r="B28" s="9" t="s">
        <v>7</v>
      </c>
      <c r="C28" s="10"/>
      <c r="G28" s="13" t="s">
        <v>14</v>
      </c>
      <c r="H28" s="6">
        <f>H22+H24+H26</f>
        <v>44232.907946218489</v>
      </c>
    </row>
    <row r="29" spans="1:8" ht="15.75" thickBot="1" x14ac:dyDescent="0.3">
      <c r="A29" s="16"/>
      <c r="B29" s="14"/>
      <c r="C29" s="7"/>
    </row>
    <row r="30" spans="1:8" x14ac:dyDescent="0.25">
      <c r="E30" t="s">
        <v>151</v>
      </c>
      <c r="H30" s="20">
        <f>H28*0.5</f>
        <v>22116.453973109245</v>
      </c>
    </row>
    <row r="31" spans="1:8" ht="15.75" x14ac:dyDescent="0.25">
      <c r="A31" t="s">
        <v>10</v>
      </c>
      <c r="C31" s="10">
        <f>C22-C24-C26-C28</f>
        <v>69993.396840336136</v>
      </c>
      <c r="H31" s="18"/>
    </row>
    <row r="32" spans="1:8" x14ac:dyDescent="0.25">
      <c r="H32" s="3"/>
    </row>
    <row r="33" spans="8:8" x14ac:dyDescent="0.25">
      <c r="H33" s="18"/>
    </row>
  </sheetData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CCC34-92DF-4ACA-A459-6AA76C75D718}">
  <dimension ref="A1:H33"/>
  <sheetViews>
    <sheetView workbookViewId="0">
      <selection sqref="A1:XFD1048576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630</v>
      </c>
    </row>
    <row r="3" spans="1:8" ht="21" x14ac:dyDescent="0.35">
      <c r="A3" s="2" t="s">
        <v>1</v>
      </c>
      <c r="D3" s="11">
        <v>252280</v>
      </c>
      <c r="F3" s="12" t="s">
        <v>3</v>
      </c>
      <c r="H3" s="4">
        <f>(D3/1.19)*0.19</f>
        <v>40280</v>
      </c>
    </row>
    <row r="4" spans="1:8" x14ac:dyDescent="0.25">
      <c r="A4" s="13" t="s">
        <v>32</v>
      </c>
      <c r="C4" s="26">
        <v>864</v>
      </c>
    </row>
    <row r="5" spans="1:8" ht="21" x14ac:dyDescent="0.35">
      <c r="A5" s="2" t="s">
        <v>2</v>
      </c>
    </row>
    <row r="7" spans="1:8" ht="18.75" x14ac:dyDescent="0.3">
      <c r="A7" s="5"/>
      <c r="D7" s="4"/>
      <c r="E7" s="25"/>
      <c r="H7" s="4"/>
    </row>
    <row r="8" spans="1:8" ht="18.75" x14ac:dyDescent="0.3">
      <c r="A8" s="5"/>
      <c r="C8" s="3"/>
      <c r="D8" s="32"/>
      <c r="E8" s="25"/>
      <c r="H8" s="4"/>
    </row>
    <row r="9" spans="1:8" ht="18.75" x14ac:dyDescent="0.3">
      <c r="A9" s="5"/>
      <c r="C9" s="3"/>
      <c r="D9" s="28"/>
      <c r="E9" s="25"/>
      <c r="H9" s="4"/>
    </row>
    <row r="10" spans="1:8" ht="18.75" x14ac:dyDescent="0.3">
      <c r="A10" s="5" t="s">
        <v>221</v>
      </c>
      <c r="C10" s="3"/>
      <c r="D10" s="28">
        <v>151705</v>
      </c>
      <c r="E10" s="25"/>
      <c r="H10" s="4">
        <f>(D10/1.19)*0.19</f>
        <v>24221.806722689078</v>
      </c>
    </row>
    <row r="11" spans="1:8" ht="18.75" x14ac:dyDescent="0.3">
      <c r="A11" s="5"/>
      <c r="C11" s="3"/>
      <c r="D11" s="28"/>
      <c r="E11" s="25"/>
      <c r="H11" s="4">
        <f>(D11/1.19)*0.19</f>
        <v>0</v>
      </c>
    </row>
    <row r="12" spans="1:8" ht="19.5" thickBot="1" x14ac:dyDescent="0.35">
      <c r="A12" s="5"/>
      <c r="C12" s="3"/>
      <c r="D12" s="22"/>
      <c r="E12" s="25"/>
      <c r="H12" s="22"/>
    </row>
    <row r="13" spans="1:8" ht="18.75" customHeight="1" x14ac:dyDescent="0.3">
      <c r="D13" s="4">
        <f>SUM(D7:D12)</f>
        <v>151705</v>
      </c>
      <c r="H13" s="4">
        <f>SUM(H7:H12)</f>
        <v>24221.806722689078</v>
      </c>
    </row>
    <row r="14" spans="1:8" ht="18.75" x14ac:dyDescent="0.3">
      <c r="A14" s="5"/>
      <c r="C14" s="3"/>
      <c r="D14" s="4"/>
      <c r="H14" s="4"/>
    </row>
    <row r="16" spans="1:8" ht="18.75" x14ac:dyDescent="0.3">
      <c r="A16" s="5"/>
      <c r="C16" s="3"/>
      <c r="D16" s="4"/>
      <c r="H16" s="4"/>
    </row>
    <row r="17" spans="1:8" ht="15.75" thickBot="1" x14ac:dyDescent="0.3">
      <c r="D17" s="7"/>
      <c r="H17" s="7"/>
    </row>
    <row r="19" spans="1:8" ht="18.75" x14ac:dyDescent="0.3">
      <c r="C19" t="s">
        <v>4</v>
      </c>
      <c r="D19" s="4">
        <f>D3-D13</f>
        <v>100575</v>
      </c>
      <c r="G19" t="s">
        <v>5</v>
      </c>
      <c r="H19" s="4">
        <f>H3-H13</f>
        <v>16058.193277310922</v>
      </c>
    </row>
    <row r="22" spans="1:8" ht="15.75" x14ac:dyDescent="0.25">
      <c r="A22" t="s">
        <v>6</v>
      </c>
      <c r="C22" s="8">
        <f>D19</f>
        <v>100575</v>
      </c>
      <c r="E22" t="s">
        <v>10</v>
      </c>
      <c r="H22" s="6">
        <f>C31</f>
        <v>83507.686722689075</v>
      </c>
    </row>
    <row r="24" spans="1:8" ht="15.75" x14ac:dyDescent="0.25">
      <c r="A24" t="s">
        <v>5</v>
      </c>
      <c r="B24" s="9" t="s">
        <v>7</v>
      </c>
      <c r="C24" s="8">
        <f>H19</f>
        <v>16058.193277310922</v>
      </c>
      <c r="E24" s="13" t="s">
        <v>11</v>
      </c>
      <c r="F24" s="9" t="s">
        <v>181</v>
      </c>
      <c r="G24" s="15" t="s">
        <v>17</v>
      </c>
      <c r="H24" s="3">
        <f>-(F25*0.007)</f>
        <v>-1484</v>
      </c>
    </row>
    <row r="25" spans="1:8" x14ac:dyDescent="0.25">
      <c r="F25" s="21">
        <f>D3-H3</f>
        <v>212000</v>
      </c>
    </row>
    <row r="26" spans="1:8" ht="15.75" x14ac:dyDescent="0.25">
      <c r="A26" t="s">
        <v>8</v>
      </c>
      <c r="B26" s="9" t="s">
        <v>7</v>
      </c>
      <c r="C26" s="8">
        <f>D3*0.004</f>
        <v>1009.12</v>
      </c>
      <c r="F26" s="9" t="s">
        <v>13</v>
      </c>
      <c r="G26" s="16">
        <v>0.35</v>
      </c>
      <c r="H26" s="29">
        <f>-(F27*0.35)</f>
        <v>-29227.690352941176</v>
      </c>
    </row>
    <row r="27" spans="1:8" ht="15.75" thickBot="1" x14ac:dyDescent="0.3">
      <c r="F27" s="21">
        <f>H22</f>
        <v>83507.686722689075</v>
      </c>
      <c r="H27" s="7"/>
    </row>
    <row r="28" spans="1:8" ht="15.75" x14ac:dyDescent="0.25">
      <c r="A28" t="s">
        <v>9</v>
      </c>
      <c r="B28" s="9" t="s">
        <v>7</v>
      </c>
      <c r="C28" s="10"/>
      <c r="G28" s="13" t="s">
        <v>14</v>
      </c>
      <c r="H28" s="6">
        <f>H22+H24+H26</f>
        <v>52795.996369747896</v>
      </c>
    </row>
    <row r="29" spans="1:8" ht="15.75" thickBot="1" x14ac:dyDescent="0.3">
      <c r="A29" s="16"/>
      <c r="B29" s="14"/>
      <c r="C29" s="7"/>
    </row>
    <row r="30" spans="1:8" x14ac:dyDescent="0.25">
      <c r="E30" t="s">
        <v>151</v>
      </c>
      <c r="H30" s="20">
        <f>H28*0.5</f>
        <v>26397.998184873948</v>
      </c>
    </row>
    <row r="31" spans="1:8" ht="15.75" x14ac:dyDescent="0.25">
      <c r="A31" t="s">
        <v>10</v>
      </c>
      <c r="C31" s="10">
        <f>C22-C24-C26-C28</f>
        <v>83507.686722689075</v>
      </c>
      <c r="H31" s="18"/>
    </row>
    <row r="32" spans="1:8" x14ac:dyDescent="0.25">
      <c r="H32" s="3"/>
    </row>
    <row r="33" spans="8:8" x14ac:dyDescent="0.25">
      <c r="H33" s="18"/>
    </row>
  </sheetData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1942A-AB17-49FF-BFD9-E9C25DAE825C}">
  <dimension ref="A1:H33"/>
  <sheetViews>
    <sheetView workbookViewId="0">
      <selection sqref="A1:XFD1048576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580</v>
      </c>
    </row>
    <row r="3" spans="1:8" ht="21" x14ac:dyDescent="0.35">
      <c r="A3" s="2" t="s">
        <v>1</v>
      </c>
      <c r="D3" s="11">
        <v>130900</v>
      </c>
      <c r="F3" s="12" t="s">
        <v>3</v>
      </c>
      <c r="H3" s="4">
        <f>(D3/1.19)*0.19</f>
        <v>20900</v>
      </c>
    </row>
    <row r="4" spans="1:8" x14ac:dyDescent="0.25">
      <c r="A4" s="13" t="s">
        <v>32</v>
      </c>
      <c r="C4" s="26">
        <v>865</v>
      </c>
    </row>
    <row r="5" spans="1:8" ht="21" x14ac:dyDescent="0.35">
      <c r="A5" s="2" t="s">
        <v>2</v>
      </c>
    </row>
    <row r="7" spans="1:8" ht="18.75" x14ac:dyDescent="0.3">
      <c r="A7" s="5"/>
      <c r="D7" s="4"/>
      <c r="E7" s="25"/>
      <c r="H7" s="4"/>
    </row>
    <row r="8" spans="1:8" ht="18.75" x14ac:dyDescent="0.3">
      <c r="A8" s="5"/>
      <c r="C8" s="3"/>
      <c r="D8" s="32"/>
      <c r="E8" s="25"/>
      <c r="H8" s="4"/>
    </row>
    <row r="9" spans="1:8" ht="18.75" x14ac:dyDescent="0.3">
      <c r="A9" s="5"/>
      <c r="C9" s="3"/>
      <c r="D9" s="28"/>
      <c r="E9" s="25"/>
      <c r="H9" s="4"/>
    </row>
    <row r="10" spans="1:8" ht="18.75" x14ac:dyDescent="0.3">
      <c r="A10" s="5" t="s">
        <v>221</v>
      </c>
      <c r="C10" s="3"/>
      <c r="D10" s="28">
        <v>66430</v>
      </c>
      <c r="E10" s="25"/>
      <c r="H10" s="4">
        <f>(D10/1.19)*0.19</f>
        <v>10606.470588235294</v>
      </c>
    </row>
    <row r="11" spans="1:8" ht="18.75" x14ac:dyDescent="0.3">
      <c r="A11" s="5"/>
      <c r="C11" s="3"/>
      <c r="D11" s="28"/>
      <c r="E11" s="25"/>
      <c r="H11" s="4">
        <f>(D11/1.19)*0.19</f>
        <v>0</v>
      </c>
    </row>
    <row r="12" spans="1:8" ht="19.5" thickBot="1" x14ac:dyDescent="0.35">
      <c r="A12" s="5"/>
      <c r="C12" s="3"/>
      <c r="D12" s="22"/>
      <c r="E12" s="25"/>
      <c r="H12" s="22"/>
    </row>
    <row r="13" spans="1:8" ht="18.75" customHeight="1" x14ac:dyDescent="0.3">
      <c r="D13" s="4">
        <f>SUM(D7:D12)</f>
        <v>66430</v>
      </c>
      <c r="H13" s="4">
        <f>SUM(H7:H12)</f>
        <v>10606.470588235294</v>
      </c>
    </row>
    <row r="14" spans="1:8" ht="18.75" x14ac:dyDescent="0.3">
      <c r="A14" s="5"/>
      <c r="C14" s="3"/>
      <c r="D14" s="4"/>
      <c r="H14" s="4"/>
    </row>
    <row r="16" spans="1:8" ht="18.75" x14ac:dyDescent="0.3">
      <c r="A16" s="5"/>
      <c r="C16" s="3"/>
      <c r="D16" s="4"/>
      <c r="H16" s="4"/>
    </row>
    <row r="17" spans="1:8" ht="15.75" thickBot="1" x14ac:dyDescent="0.3">
      <c r="D17" s="7"/>
      <c r="H17" s="7"/>
    </row>
    <row r="19" spans="1:8" ht="18.75" x14ac:dyDescent="0.3">
      <c r="C19" t="s">
        <v>4</v>
      </c>
      <c r="D19" s="4">
        <f>D3-D13</f>
        <v>64470</v>
      </c>
      <c r="G19" t="s">
        <v>5</v>
      </c>
      <c r="H19" s="4">
        <f>H3-H13</f>
        <v>10293.529411764706</v>
      </c>
    </row>
    <row r="22" spans="1:8" ht="15.75" x14ac:dyDescent="0.25">
      <c r="A22" t="s">
        <v>6</v>
      </c>
      <c r="C22" s="8">
        <f>D19</f>
        <v>64470</v>
      </c>
      <c r="E22" t="s">
        <v>10</v>
      </c>
      <c r="H22" s="6">
        <f>C31</f>
        <v>53652.870588235295</v>
      </c>
    </row>
    <row r="24" spans="1:8" ht="15.75" x14ac:dyDescent="0.25">
      <c r="A24" t="s">
        <v>5</v>
      </c>
      <c r="B24" s="9" t="s">
        <v>7</v>
      </c>
      <c r="C24" s="8">
        <f>H19</f>
        <v>10293.529411764706</v>
      </c>
      <c r="E24" s="13" t="s">
        <v>11</v>
      </c>
      <c r="F24" s="9" t="s">
        <v>181</v>
      </c>
      <c r="G24" s="15" t="s">
        <v>17</v>
      </c>
      <c r="H24" s="3">
        <f>-(F25*0.007)</f>
        <v>-770</v>
      </c>
    </row>
    <row r="25" spans="1:8" x14ac:dyDescent="0.25">
      <c r="F25" s="21">
        <f>D3-H3</f>
        <v>110000</v>
      </c>
    </row>
    <row r="26" spans="1:8" ht="15.75" x14ac:dyDescent="0.25">
      <c r="A26" t="s">
        <v>8</v>
      </c>
      <c r="B26" s="9" t="s">
        <v>7</v>
      </c>
      <c r="C26" s="8">
        <f>D3*0.004</f>
        <v>523.6</v>
      </c>
      <c r="F26" s="9" t="s">
        <v>13</v>
      </c>
      <c r="G26" s="16">
        <v>0.35</v>
      </c>
      <c r="H26" s="29">
        <f>-(F27*0.35)</f>
        <v>-18778.504705882351</v>
      </c>
    </row>
    <row r="27" spans="1:8" ht="15.75" thickBot="1" x14ac:dyDescent="0.3">
      <c r="F27" s="21">
        <f>H22</f>
        <v>53652.870588235295</v>
      </c>
      <c r="H27" s="7"/>
    </row>
    <row r="28" spans="1:8" ht="15.75" x14ac:dyDescent="0.25">
      <c r="A28" t="s">
        <v>9</v>
      </c>
      <c r="B28" s="9" t="s">
        <v>7</v>
      </c>
      <c r="C28" s="10"/>
      <c r="G28" s="13" t="s">
        <v>14</v>
      </c>
      <c r="H28" s="6">
        <f>H22+H24+H26</f>
        <v>34104.36588235294</v>
      </c>
    </row>
    <row r="29" spans="1:8" ht="15.75" thickBot="1" x14ac:dyDescent="0.3">
      <c r="A29" s="16"/>
      <c r="B29" s="14"/>
      <c r="C29" s="7"/>
    </row>
    <row r="30" spans="1:8" x14ac:dyDescent="0.25">
      <c r="E30" t="s">
        <v>151</v>
      </c>
      <c r="H30" s="20">
        <f>H28*0.5</f>
        <v>17052.18294117647</v>
      </c>
    </row>
    <row r="31" spans="1:8" ht="15.75" x14ac:dyDescent="0.25">
      <c r="A31" t="s">
        <v>10</v>
      </c>
      <c r="C31" s="10">
        <f>C22-C24-C26-C28</f>
        <v>53652.870588235295</v>
      </c>
      <c r="H31" s="18"/>
    </row>
    <row r="32" spans="1:8" x14ac:dyDescent="0.25">
      <c r="H32" s="3"/>
    </row>
    <row r="33" spans="8:8" x14ac:dyDescent="0.25">
      <c r="H33" s="18"/>
    </row>
  </sheetData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E8DCF-B3B6-4F23-8780-CB7151C4E6B6}">
  <dimension ref="A1:H33"/>
  <sheetViews>
    <sheetView workbookViewId="0">
      <selection sqref="A1:XFD1048576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631</v>
      </c>
    </row>
    <row r="3" spans="1:8" ht="21" x14ac:dyDescent="0.35">
      <c r="A3" s="2" t="s">
        <v>1</v>
      </c>
      <c r="D3" s="11">
        <v>928200</v>
      </c>
      <c r="F3" s="12" t="s">
        <v>3</v>
      </c>
      <c r="H3" s="4">
        <f>(D3/1.19)*0.19</f>
        <v>148200</v>
      </c>
    </row>
    <row r="4" spans="1:8" x14ac:dyDescent="0.25">
      <c r="A4" s="13" t="s">
        <v>32</v>
      </c>
      <c r="C4" s="26">
        <v>867</v>
      </c>
    </row>
    <row r="5" spans="1:8" ht="21" x14ac:dyDescent="0.35">
      <c r="A5" s="2" t="s">
        <v>2</v>
      </c>
    </row>
    <row r="7" spans="1:8" ht="18.75" x14ac:dyDescent="0.3">
      <c r="A7" s="5"/>
      <c r="D7" s="4"/>
      <c r="E7" s="25"/>
      <c r="H7" s="4"/>
    </row>
    <row r="8" spans="1:8" ht="18.75" x14ac:dyDescent="0.3">
      <c r="A8" s="5"/>
      <c r="C8" s="3"/>
      <c r="D8" s="32"/>
      <c r="E8" s="25"/>
      <c r="H8" s="4"/>
    </row>
    <row r="9" spans="1:8" ht="18.75" x14ac:dyDescent="0.3">
      <c r="A9" s="5"/>
      <c r="C9" s="3"/>
      <c r="D9" s="28"/>
      <c r="E9" s="25"/>
      <c r="H9" s="4"/>
    </row>
    <row r="10" spans="1:8" ht="18.75" x14ac:dyDescent="0.3">
      <c r="A10" s="5" t="s">
        <v>89</v>
      </c>
      <c r="C10" s="3"/>
      <c r="D10" s="28">
        <v>547200</v>
      </c>
      <c r="E10" s="25"/>
      <c r="H10" s="4"/>
    </row>
    <row r="11" spans="1:8" ht="18.75" x14ac:dyDescent="0.3">
      <c r="A11" s="5"/>
      <c r="C11" s="3"/>
      <c r="D11" s="28"/>
      <c r="E11" s="25"/>
      <c r="H11" s="4">
        <f>(D11/1.19)*0.19</f>
        <v>0</v>
      </c>
    </row>
    <row r="12" spans="1:8" ht="19.5" thickBot="1" x14ac:dyDescent="0.35">
      <c r="A12" s="5"/>
      <c r="C12" s="3"/>
      <c r="D12" s="22"/>
      <c r="E12" s="25"/>
      <c r="H12" s="22"/>
    </row>
    <row r="13" spans="1:8" ht="18.75" customHeight="1" x14ac:dyDescent="0.3">
      <c r="D13" s="4">
        <f>SUM(D7:D12)</f>
        <v>547200</v>
      </c>
      <c r="H13" s="4">
        <f>SUM(H7:H12)</f>
        <v>0</v>
      </c>
    </row>
    <row r="14" spans="1:8" ht="18.75" x14ac:dyDescent="0.3">
      <c r="A14" s="5"/>
      <c r="C14" s="3"/>
      <c r="D14" s="4"/>
      <c r="H14" s="4"/>
    </row>
    <row r="16" spans="1:8" ht="18.75" x14ac:dyDescent="0.3">
      <c r="A16" s="5"/>
      <c r="C16" s="3"/>
      <c r="D16" s="4"/>
      <c r="H16" s="4"/>
    </row>
    <row r="17" spans="1:8" ht="15.75" thickBot="1" x14ac:dyDescent="0.3">
      <c r="D17" s="7"/>
      <c r="H17" s="7"/>
    </row>
    <row r="19" spans="1:8" ht="18.75" x14ac:dyDescent="0.3">
      <c r="C19" t="s">
        <v>4</v>
      </c>
      <c r="D19" s="4">
        <f>D3-D13</f>
        <v>381000</v>
      </c>
      <c r="G19" t="s">
        <v>5</v>
      </c>
      <c r="H19" s="4">
        <f>H3-H13</f>
        <v>148200</v>
      </c>
    </row>
    <row r="22" spans="1:8" ht="15.75" x14ac:dyDescent="0.25">
      <c r="A22" t="s">
        <v>6</v>
      </c>
      <c r="C22" s="8">
        <f>D19</f>
        <v>381000</v>
      </c>
      <c r="E22" t="s">
        <v>10</v>
      </c>
      <c r="H22" s="6">
        <f>C31</f>
        <v>229087.2</v>
      </c>
    </row>
    <row r="24" spans="1:8" ht="15.75" x14ac:dyDescent="0.25">
      <c r="A24" t="s">
        <v>5</v>
      </c>
      <c r="B24" s="9" t="s">
        <v>7</v>
      </c>
      <c r="C24" s="8">
        <f>H19</f>
        <v>148200</v>
      </c>
      <c r="E24" s="13" t="s">
        <v>11</v>
      </c>
      <c r="F24" s="9" t="s">
        <v>181</v>
      </c>
      <c r="G24" s="15" t="s">
        <v>17</v>
      </c>
      <c r="H24" s="3">
        <f>-(F25*0.007)</f>
        <v>-5460</v>
      </c>
    </row>
    <row r="25" spans="1:8" x14ac:dyDescent="0.25">
      <c r="F25" s="21">
        <f>D3-H3</f>
        <v>780000</v>
      </c>
    </row>
    <row r="26" spans="1:8" ht="15.75" x14ac:dyDescent="0.25">
      <c r="A26" t="s">
        <v>8</v>
      </c>
      <c r="B26" s="9" t="s">
        <v>7</v>
      </c>
      <c r="C26" s="8">
        <f>D3*0.004</f>
        <v>3712.8</v>
      </c>
      <c r="F26" s="9" t="s">
        <v>13</v>
      </c>
      <c r="G26" s="16">
        <v>0.35</v>
      </c>
      <c r="H26" s="29">
        <f>-(F27*0.35)</f>
        <v>-80180.52</v>
      </c>
    </row>
    <row r="27" spans="1:8" ht="15.75" thickBot="1" x14ac:dyDescent="0.3">
      <c r="F27" s="21">
        <f>H22</f>
        <v>229087.2</v>
      </c>
      <c r="H27" s="7"/>
    </row>
    <row r="28" spans="1:8" ht="15.75" x14ac:dyDescent="0.25">
      <c r="A28" t="s">
        <v>9</v>
      </c>
      <c r="B28" s="9" t="s">
        <v>7</v>
      </c>
      <c r="C28" s="10"/>
      <c r="G28" s="13" t="s">
        <v>14</v>
      </c>
      <c r="H28" s="6">
        <f>H22+H24+H26</f>
        <v>143446.68</v>
      </c>
    </row>
    <row r="29" spans="1:8" ht="15.75" thickBot="1" x14ac:dyDescent="0.3">
      <c r="A29" s="16"/>
      <c r="B29" s="14"/>
      <c r="C29" s="7"/>
    </row>
    <row r="30" spans="1:8" x14ac:dyDescent="0.25">
      <c r="E30" t="s">
        <v>151</v>
      </c>
      <c r="H30" s="20">
        <f>H28*0.5</f>
        <v>71723.34</v>
      </c>
    </row>
    <row r="31" spans="1:8" ht="15.75" x14ac:dyDescent="0.25">
      <c r="A31" t="s">
        <v>10</v>
      </c>
      <c r="C31" s="10">
        <f>C22-C24-C26-C28</f>
        <v>229087.2</v>
      </c>
      <c r="H31" s="18"/>
    </row>
    <row r="32" spans="1:8" x14ac:dyDescent="0.25">
      <c r="H32" s="3"/>
    </row>
    <row r="33" spans="8:8" x14ac:dyDescent="0.25">
      <c r="H33" s="18"/>
    </row>
  </sheetData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5D64D-3B9C-4D9C-9B55-0F2B990B4F29}">
  <dimension ref="A1:H33"/>
  <sheetViews>
    <sheetView workbookViewId="0">
      <selection sqref="A1:XFD1048576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631</v>
      </c>
    </row>
    <row r="3" spans="1:8" ht="21" x14ac:dyDescent="0.35">
      <c r="A3" s="2" t="s">
        <v>1</v>
      </c>
      <c r="D3" s="11">
        <v>514080</v>
      </c>
      <c r="F3" s="12" t="s">
        <v>3</v>
      </c>
      <c r="H3" s="4">
        <f>(D3/1.19)*0.19</f>
        <v>82080</v>
      </c>
    </row>
    <row r="4" spans="1:8" x14ac:dyDescent="0.25">
      <c r="A4" s="13" t="s">
        <v>32</v>
      </c>
      <c r="C4" s="26">
        <v>868</v>
      </c>
    </row>
    <row r="5" spans="1:8" ht="21" x14ac:dyDescent="0.35">
      <c r="A5" s="2" t="s">
        <v>2</v>
      </c>
    </row>
    <row r="7" spans="1:8" ht="18.75" x14ac:dyDescent="0.3">
      <c r="A7" s="5"/>
      <c r="D7" s="4"/>
      <c r="E7" s="25"/>
      <c r="H7" s="4"/>
    </row>
    <row r="8" spans="1:8" ht="18.75" x14ac:dyDescent="0.3">
      <c r="A8" s="5"/>
      <c r="C8" s="3"/>
      <c r="D8" s="32"/>
      <c r="E8" s="25"/>
      <c r="H8" s="4"/>
    </row>
    <row r="9" spans="1:8" ht="18.75" x14ac:dyDescent="0.3">
      <c r="A9" s="5"/>
      <c r="C9" s="3"/>
      <c r="D9" s="28"/>
      <c r="E9" s="25"/>
      <c r="H9" s="4"/>
    </row>
    <row r="10" spans="1:8" ht="18.75" x14ac:dyDescent="0.3">
      <c r="A10" s="5" t="s">
        <v>343</v>
      </c>
      <c r="C10" s="3"/>
      <c r="D10" s="28">
        <v>336850</v>
      </c>
      <c r="E10" s="25"/>
      <c r="H10" s="4">
        <f>(D10/1.19)*0.19</f>
        <v>53782.773109243702</v>
      </c>
    </row>
    <row r="11" spans="1:8" ht="18.75" x14ac:dyDescent="0.3">
      <c r="A11" s="5"/>
      <c r="C11" s="3"/>
      <c r="D11" s="28"/>
      <c r="E11" s="25"/>
      <c r="H11" s="4">
        <f>(D11/1.19)*0.19</f>
        <v>0</v>
      </c>
    </row>
    <row r="12" spans="1:8" ht="19.5" thickBot="1" x14ac:dyDescent="0.35">
      <c r="A12" s="5"/>
      <c r="C12" s="3"/>
      <c r="D12" s="22"/>
      <c r="E12" s="25"/>
      <c r="H12" s="22"/>
    </row>
    <row r="13" spans="1:8" ht="18.75" customHeight="1" x14ac:dyDescent="0.3">
      <c r="D13" s="4">
        <f>SUM(D7:D12)</f>
        <v>336850</v>
      </c>
      <c r="H13" s="4">
        <f>SUM(H7:H12)</f>
        <v>53782.773109243702</v>
      </c>
    </row>
    <row r="14" spans="1:8" ht="18.75" x14ac:dyDescent="0.3">
      <c r="A14" s="5"/>
      <c r="C14" s="3"/>
      <c r="D14" s="4"/>
      <c r="H14" s="4"/>
    </row>
    <row r="16" spans="1:8" ht="18.75" x14ac:dyDescent="0.3">
      <c r="A16" s="5"/>
      <c r="C16" s="3"/>
      <c r="D16" s="4"/>
      <c r="H16" s="4"/>
    </row>
    <row r="17" spans="1:8" ht="15.75" thickBot="1" x14ac:dyDescent="0.3">
      <c r="D17" s="7"/>
      <c r="H17" s="7"/>
    </row>
    <row r="19" spans="1:8" ht="18.75" x14ac:dyDescent="0.3">
      <c r="C19" t="s">
        <v>4</v>
      </c>
      <c r="D19" s="4">
        <f>D3-D13</f>
        <v>177230</v>
      </c>
      <c r="G19" t="s">
        <v>5</v>
      </c>
      <c r="H19" s="4">
        <f>H3-H13</f>
        <v>28297.226890756298</v>
      </c>
    </row>
    <row r="22" spans="1:8" ht="15.75" x14ac:dyDescent="0.25">
      <c r="A22" t="s">
        <v>6</v>
      </c>
      <c r="C22" s="8">
        <f>D19</f>
        <v>177230</v>
      </c>
      <c r="E22" t="s">
        <v>10</v>
      </c>
      <c r="H22" s="6">
        <f>C31</f>
        <v>146876.45310924371</v>
      </c>
    </row>
    <row r="24" spans="1:8" ht="15.75" x14ac:dyDescent="0.25">
      <c r="A24" t="s">
        <v>5</v>
      </c>
      <c r="B24" s="9" t="s">
        <v>7</v>
      </c>
      <c r="C24" s="8">
        <f>H19</f>
        <v>28297.226890756298</v>
      </c>
      <c r="E24" s="13" t="s">
        <v>11</v>
      </c>
      <c r="F24" s="9" t="s">
        <v>181</v>
      </c>
      <c r="G24" s="15" t="s">
        <v>17</v>
      </c>
      <c r="H24" s="3">
        <f>-(F25*0.007)</f>
        <v>-3024</v>
      </c>
    </row>
    <row r="25" spans="1:8" x14ac:dyDescent="0.25">
      <c r="F25" s="21">
        <f>D3-H3</f>
        <v>432000</v>
      </c>
    </row>
    <row r="26" spans="1:8" ht="15.75" x14ac:dyDescent="0.25">
      <c r="A26" t="s">
        <v>8</v>
      </c>
      <c r="B26" s="9" t="s">
        <v>7</v>
      </c>
      <c r="C26" s="8">
        <f>D3*0.004</f>
        <v>2056.3200000000002</v>
      </c>
      <c r="F26" s="9" t="s">
        <v>13</v>
      </c>
      <c r="G26" s="16">
        <v>0.35</v>
      </c>
      <c r="H26" s="29">
        <f>-(F27*0.35)</f>
        <v>-51406.758588235294</v>
      </c>
    </row>
    <row r="27" spans="1:8" ht="15.75" thickBot="1" x14ac:dyDescent="0.3">
      <c r="F27" s="21">
        <f>H22</f>
        <v>146876.45310924371</v>
      </c>
      <c r="H27" s="7"/>
    </row>
    <row r="28" spans="1:8" ht="15.75" x14ac:dyDescent="0.25">
      <c r="A28" t="s">
        <v>9</v>
      </c>
      <c r="B28" s="9" t="s">
        <v>7</v>
      </c>
      <c r="C28" s="10"/>
      <c r="G28" s="13" t="s">
        <v>14</v>
      </c>
      <c r="H28" s="6">
        <f>H22+H24+H26</f>
        <v>92445.694521008409</v>
      </c>
    </row>
    <row r="29" spans="1:8" ht="15.75" thickBot="1" x14ac:dyDescent="0.3">
      <c r="A29" s="16"/>
      <c r="B29" s="14"/>
      <c r="C29" s="7"/>
    </row>
    <row r="30" spans="1:8" x14ac:dyDescent="0.25">
      <c r="E30" t="s">
        <v>151</v>
      </c>
      <c r="H30" s="20">
        <f>H28*0.5</f>
        <v>46222.847260504204</v>
      </c>
    </row>
    <row r="31" spans="1:8" ht="15.75" x14ac:dyDescent="0.25">
      <c r="A31" t="s">
        <v>10</v>
      </c>
      <c r="C31" s="10">
        <f>C22-C24-C26-C28</f>
        <v>146876.45310924371</v>
      </c>
      <c r="H31" s="18"/>
    </row>
    <row r="32" spans="1:8" x14ac:dyDescent="0.25">
      <c r="H32" s="3"/>
    </row>
    <row r="33" spans="8:8" x14ac:dyDescent="0.25">
      <c r="H33" s="18"/>
    </row>
  </sheetData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2A9A2-5DC8-4C61-A9BE-8D70B1A023E5}">
  <dimension ref="A1:H33"/>
  <sheetViews>
    <sheetView workbookViewId="0">
      <selection sqref="A1:XFD1048576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632</v>
      </c>
    </row>
    <row r="3" spans="1:8" ht="21" x14ac:dyDescent="0.35">
      <c r="A3" s="2" t="s">
        <v>1</v>
      </c>
      <c r="D3" s="11">
        <v>223125</v>
      </c>
      <c r="F3" s="12" t="s">
        <v>3</v>
      </c>
      <c r="H3" s="4">
        <f>(D3/1.19)*0.19</f>
        <v>35625</v>
      </c>
    </row>
    <row r="4" spans="1:8" x14ac:dyDescent="0.25">
      <c r="A4" s="13" t="s">
        <v>32</v>
      </c>
      <c r="C4" s="26">
        <v>869</v>
      </c>
    </row>
    <row r="5" spans="1:8" ht="21" x14ac:dyDescent="0.35">
      <c r="A5" s="2" t="s">
        <v>2</v>
      </c>
    </row>
    <row r="7" spans="1:8" ht="18.75" x14ac:dyDescent="0.3">
      <c r="A7" s="5"/>
      <c r="D7" s="4"/>
      <c r="E7" s="25"/>
      <c r="H7" s="4"/>
    </row>
    <row r="8" spans="1:8" ht="18.75" x14ac:dyDescent="0.3">
      <c r="A8" s="5"/>
      <c r="C8" s="3"/>
      <c r="D8" s="32"/>
      <c r="E8" s="25"/>
      <c r="H8" s="4"/>
    </row>
    <row r="9" spans="1:8" ht="18.75" x14ac:dyDescent="0.3">
      <c r="A9" s="5"/>
      <c r="C9" s="3"/>
      <c r="D9" s="28"/>
      <c r="E9" s="25"/>
      <c r="H9" s="4"/>
    </row>
    <row r="10" spans="1:8" ht="18.75" x14ac:dyDescent="0.3">
      <c r="A10" s="5" t="s">
        <v>221</v>
      </c>
      <c r="C10" s="3"/>
      <c r="D10" s="28">
        <v>164250</v>
      </c>
      <c r="E10" s="25"/>
      <c r="H10" s="4">
        <f>(D10/1.19)*0.19</f>
        <v>26224.789915966387</v>
      </c>
    </row>
    <row r="11" spans="1:8" ht="18.75" x14ac:dyDescent="0.3">
      <c r="A11" s="5"/>
      <c r="C11" s="3"/>
      <c r="D11" s="28"/>
      <c r="E11" s="25"/>
      <c r="H11" s="4">
        <f>(D11/1.19)*0.19</f>
        <v>0</v>
      </c>
    </row>
    <row r="12" spans="1:8" ht="19.5" thickBot="1" x14ac:dyDescent="0.35">
      <c r="A12" s="5"/>
      <c r="C12" s="3"/>
      <c r="D12" s="22"/>
      <c r="E12" s="25"/>
      <c r="H12" s="22"/>
    </row>
    <row r="13" spans="1:8" ht="18.75" customHeight="1" x14ac:dyDescent="0.3">
      <c r="D13" s="4">
        <f>SUM(D7:D12)</f>
        <v>164250</v>
      </c>
      <c r="H13" s="4">
        <f>SUM(H7:H12)</f>
        <v>26224.789915966387</v>
      </c>
    </row>
    <row r="14" spans="1:8" ht="18.75" x14ac:dyDescent="0.3">
      <c r="A14" s="5"/>
      <c r="C14" s="3"/>
      <c r="D14" s="4"/>
      <c r="H14" s="4"/>
    </row>
    <row r="16" spans="1:8" ht="18.75" x14ac:dyDescent="0.3">
      <c r="A16" s="5"/>
      <c r="C16" s="3"/>
      <c r="D16" s="4"/>
      <c r="H16" s="4"/>
    </row>
    <row r="17" spans="1:8" ht="15.75" thickBot="1" x14ac:dyDescent="0.3">
      <c r="D17" s="7"/>
      <c r="H17" s="7"/>
    </row>
    <row r="19" spans="1:8" ht="18.75" x14ac:dyDescent="0.3">
      <c r="C19" t="s">
        <v>4</v>
      </c>
      <c r="D19" s="4">
        <f>D3-D13</f>
        <v>58875</v>
      </c>
      <c r="G19" t="s">
        <v>5</v>
      </c>
      <c r="H19" s="4">
        <f>H3-H13</f>
        <v>9400.2100840336134</v>
      </c>
    </row>
    <row r="22" spans="1:8" ht="15.75" x14ac:dyDescent="0.25">
      <c r="A22" t="s">
        <v>6</v>
      </c>
      <c r="C22" s="8">
        <f>D19</f>
        <v>58875</v>
      </c>
      <c r="E22" t="s">
        <v>10</v>
      </c>
      <c r="H22" s="6">
        <f>C31</f>
        <v>48582.289915966387</v>
      </c>
    </row>
    <row r="24" spans="1:8" ht="15.75" x14ac:dyDescent="0.25">
      <c r="A24" t="s">
        <v>5</v>
      </c>
      <c r="B24" s="9" t="s">
        <v>7</v>
      </c>
      <c r="C24" s="8">
        <f>H19</f>
        <v>9400.2100840336134</v>
      </c>
      <c r="E24" s="13" t="s">
        <v>11</v>
      </c>
      <c r="F24" s="9" t="s">
        <v>181</v>
      </c>
      <c r="G24" s="15" t="s">
        <v>17</v>
      </c>
      <c r="H24" s="3">
        <f>-(F25*0.007)</f>
        <v>-1312.5</v>
      </c>
    </row>
    <row r="25" spans="1:8" x14ac:dyDescent="0.25">
      <c r="F25" s="21">
        <f>D3-H3</f>
        <v>187500</v>
      </c>
    </row>
    <row r="26" spans="1:8" ht="15.75" x14ac:dyDescent="0.25">
      <c r="A26" t="s">
        <v>8</v>
      </c>
      <c r="B26" s="9" t="s">
        <v>7</v>
      </c>
      <c r="C26" s="8">
        <f>D3*0.004</f>
        <v>892.5</v>
      </c>
      <c r="F26" s="9" t="s">
        <v>13</v>
      </c>
      <c r="G26" s="16">
        <v>0.35</v>
      </c>
      <c r="H26" s="29">
        <f>-(F27*0.35)</f>
        <v>-17003.801470588234</v>
      </c>
    </row>
    <row r="27" spans="1:8" ht="15.75" thickBot="1" x14ac:dyDescent="0.3">
      <c r="F27" s="21">
        <f>H22</f>
        <v>48582.289915966387</v>
      </c>
      <c r="H27" s="7"/>
    </row>
    <row r="28" spans="1:8" ht="15.75" x14ac:dyDescent="0.25">
      <c r="A28" t="s">
        <v>9</v>
      </c>
      <c r="B28" s="9" t="s">
        <v>7</v>
      </c>
      <c r="C28" s="10"/>
      <c r="G28" s="13" t="s">
        <v>14</v>
      </c>
      <c r="H28" s="6">
        <f>H22+H24+H26</f>
        <v>30265.988445378152</v>
      </c>
    </row>
    <row r="29" spans="1:8" ht="15.75" thickBot="1" x14ac:dyDescent="0.3">
      <c r="A29" s="16"/>
      <c r="B29" s="14"/>
      <c r="C29" s="7"/>
    </row>
    <row r="30" spans="1:8" x14ac:dyDescent="0.25">
      <c r="E30" t="s">
        <v>151</v>
      </c>
      <c r="H30" s="20">
        <f>H28*0.5</f>
        <v>15132.994222689076</v>
      </c>
    </row>
    <row r="31" spans="1:8" ht="15.75" x14ac:dyDescent="0.25">
      <c r="A31" t="s">
        <v>10</v>
      </c>
      <c r="C31" s="10">
        <f>C22-C24-C26-C28</f>
        <v>48582.289915966387</v>
      </c>
      <c r="H31" s="18"/>
    </row>
    <row r="32" spans="1:8" x14ac:dyDescent="0.25">
      <c r="H32" s="3"/>
    </row>
    <row r="33" spans="8:8" x14ac:dyDescent="0.25">
      <c r="H33" s="18"/>
    </row>
  </sheetData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CB965-5F8B-4534-A4A9-4AA4D47771D1}">
  <dimension ref="A1:H33"/>
  <sheetViews>
    <sheetView workbookViewId="0">
      <selection sqref="A1:XFD1048576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633</v>
      </c>
    </row>
    <row r="3" spans="1:8" ht="21" x14ac:dyDescent="0.35">
      <c r="A3" s="2" t="s">
        <v>1</v>
      </c>
      <c r="D3" s="11">
        <v>207917</v>
      </c>
      <c r="F3" s="12" t="s">
        <v>3</v>
      </c>
      <c r="H3" s="4">
        <f>(D3/1.19)*0.19</f>
        <v>33196.831932773108</v>
      </c>
    </row>
    <row r="4" spans="1:8" x14ac:dyDescent="0.25">
      <c r="A4" s="13" t="s">
        <v>32</v>
      </c>
      <c r="C4" s="26">
        <v>870</v>
      </c>
    </row>
    <row r="5" spans="1:8" ht="21" x14ac:dyDescent="0.35">
      <c r="A5" s="2" t="s">
        <v>2</v>
      </c>
    </row>
    <row r="7" spans="1:8" ht="18.75" x14ac:dyDescent="0.3">
      <c r="A7" s="5"/>
      <c r="D7" s="4"/>
      <c r="E7" s="25"/>
      <c r="H7" s="4"/>
    </row>
    <row r="8" spans="1:8" ht="18.75" x14ac:dyDescent="0.3">
      <c r="A8" s="5"/>
      <c r="C8" s="3"/>
      <c r="D8" s="32"/>
      <c r="E8" s="25"/>
      <c r="H8" s="4"/>
    </row>
    <row r="9" spans="1:8" ht="18.75" x14ac:dyDescent="0.3">
      <c r="A9" s="5"/>
      <c r="C9" s="3"/>
      <c r="D9" s="28"/>
      <c r="E9" s="25"/>
      <c r="H9" s="4"/>
    </row>
    <row r="10" spans="1:8" ht="18.75" x14ac:dyDescent="0.3">
      <c r="A10" s="5" t="s">
        <v>221</v>
      </c>
      <c r="C10" s="3"/>
      <c r="D10" s="28">
        <v>128350</v>
      </c>
      <c r="E10" s="25"/>
      <c r="H10" s="4">
        <f>(D10/1.19)*0.19</f>
        <v>20492.857142857141</v>
      </c>
    </row>
    <row r="11" spans="1:8" ht="18.75" x14ac:dyDescent="0.3">
      <c r="A11" s="5"/>
      <c r="C11" s="3"/>
      <c r="D11" s="28"/>
      <c r="E11" s="25"/>
      <c r="H11" s="4">
        <f>(D11/1.19)*0.19</f>
        <v>0</v>
      </c>
    </row>
    <row r="12" spans="1:8" ht="19.5" thickBot="1" x14ac:dyDescent="0.35">
      <c r="A12" s="5"/>
      <c r="C12" s="3"/>
      <c r="D12" s="22"/>
      <c r="E12" s="25"/>
      <c r="H12" s="22"/>
    </row>
    <row r="13" spans="1:8" ht="18.75" customHeight="1" x14ac:dyDescent="0.3">
      <c r="D13" s="4">
        <f>SUM(D7:D12)</f>
        <v>128350</v>
      </c>
      <c r="H13" s="4">
        <f>SUM(H7:H12)</f>
        <v>20492.857142857141</v>
      </c>
    </row>
    <row r="14" spans="1:8" ht="18.75" x14ac:dyDescent="0.3">
      <c r="A14" s="5"/>
      <c r="C14" s="3"/>
      <c r="D14" s="4"/>
      <c r="H14" s="4"/>
    </row>
    <row r="16" spans="1:8" ht="18.75" x14ac:dyDescent="0.3">
      <c r="A16" s="5"/>
      <c r="C16" s="3"/>
      <c r="D16" s="4"/>
      <c r="H16" s="4"/>
    </row>
    <row r="17" spans="1:8" ht="15.75" thickBot="1" x14ac:dyDescent="0.3">
      <c r="D17" s="7"/>
      <c r="H17" s="7"/>
    </row>
    <row r="19" spans="1:8" ht="18.75" x14ac:dyDescent="0.3">
      <c r="C19" t="s">
        <v>4</v>
      </c>
      <c r="D19" s="4">
        <f>D3-D13</f>
        <v>79567</v>
      </c>
      <c r="G19" t="s">
        <v>5</v>
      </c>
      <c r="H19" s="4">
        <f>H3-H13</f>
        <v>12703.974789915967</v>
      </c>
    </row>
    <row r="22" spans="1:8" ht="15.75" x14ac:dyDescent="0.25">
      <c r="A22" t="s">
        <v>6</v>
      </c>
      <c r="C22" s="8">
        <f>D19</f>
        <v>79567</v>
      </c>
      <c r="E22" t="s">
        <v>10</v>
      </c>
      <c r="H22" s="6">
        <f>C31</f>
        <v>66031.357210084025</v>
      </c>
    </row>
    <row r="24" spans="1:8" ht="15.75" x14ac:dyDescent="0.25">
      <c r="A24" t="s">
        <v>5</v>
      </c>
      <c r="B24" s="9" t="s">
        <v>7</v>
      </c>
      <c r="C24" s="8">
        <f>H19</f>
        <v>12703.974789915967</v>
      </c>
      <c r="E24" s="13" t="s">
        <v>11</v>
      </c>
      <c r="F24" s="9" t="s">
        <v>181</v>
      </c>
      <c r="G24" s="15" t="s">
        <v>17</v>
      </c>
      <c r="H24" s="3">
        <f>-(F25*0.007)</f>
        <v>-1223.0411764705882</v>
      </c>
    </row>
    <row r="25" spans="1:8" x14ac:dyDescent="0.25">
      <c r="F25" s="21">
        <f>D3-H3</f>
        <v>174720.16806722688</v>
      </c>
    </row>
    <row r="26" spans="1:8" ht="15.75" x14ac:dyDescent="0.25">
      <c r="A26" t="s">
        <v>8</v>
      </c>
      <c r="B26" s="9" t="s">
        <v>7</v>
      </c>
      <c r="C26" s="8">
        <f>D3*0.004</f>
        <v>831.66800000000001</v>
      </c>
      <c r="F26" s="9" t="s">
        <v>13</v>
      </c>
      <c r="G26" s="16">
        <v>0.35</v>
      </c>
      <c r="H26" s="29">
        <f>-(F27*0.35)</f>
        <v>-23110.975023529409</v>
      </c>
    </row>
    <row r="27" spans="1:8" ht="15.75" thickBot="1" x14ac:dyDescent="0.3">
      <c r="F27" s="21">
        <f>H22</f>
        <v>66031.357210084025</v>
      </c>
      <c r="H27" s="7"/>
    </row>
    <row r="28" spans="1:8" ht="15.75" x14ac:dyDescent="0.25">
      <c r="A28" t="s">
        <v>9</v>
      </c>
      <c r="B28" s="9" t="s">
        <v>7</v>
      </c>
      <c r="C28" s="10"/>
      <c r="G28" s="13" t="s">
        <v>14</v>
      </c>
      <c r="H28" s="6">
        <f>H22+H24+H26</f>
        <v>41697.341010084026</v>
      </c>
    </row>
    <row r="29" spans="1:8" ht="15.75" thickBot="1" x14ac:dyDescent="0.3">
      <c r="A29" s="16"/>
      <c r="B29" s="14"/>
      <c r="C29" s="7"/>
    </row>
    <row r="30" spans="1:8" x14ac:dyDescent="0.25">
      <c r="E30" t="s">
        <v>151</v>
      </c>
      <c r="H30" s="20">
        <f>H28*0.5</f>
        <v>20848.670505042013</v>
      </c>
    </row>
    <row r="31" spans="1:8" ht="15.75" x14ac:dyDescent="0.25">
      <c r="A31" t="s">
        <v>10</v>
      </c>
      <c r="C31" s="10">
        <f>C22-C24-C26-C28</f>
        <v>66031.357210084025</v>
      </c>
      <c r="H31" s="18"/>
    </row>
    <row r="32" spans="1:8" x14ac:dyDescent="0.25">
      <c r="H32" s="3"/>
    </row>
    <row r="33" spans="8:8" x14ac:dyDescent="0.25">
      <c r="H33" s="18"/>
    </row>
  </sheetData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69DAF-85BB-4BD3-B746-2F0BB6326D90}">
  <dimension ref="A1:H33"/>
  <sheetViews>
    <sheetView workbookViewId="0">
      <selection activeCell="C4" sqref="C4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634</v>
      </c>
    </row>
    <row r="3" spans="1:8" ht="21" x14ac:dyDescent="0.35">
      <c r="A3" s="2" t="s">
        <v>1</v>
      </c>
      <c r="D3" s="11">
        <v>52360</v>
      </c>
      <c r="F3" s="12" t="s">
        <v>3</v>
      </c>
      <c r="H3" s="4">
        <f>(D3/1.19)*0.19</f>
        <v>8360</v>
      </c>
    </row>
    <row r="4" spans="1:8" x14ac:dyDescent="0.25">
      <c r="A4" s="13" t="s">
        <v>32</v>
      </c>
      <c r="C4" s="26">
        <v>871</v>
      </c>
    </row>
    <row r="5" spans="1:8" ht="21" x14ac:dyDescent="0.35">
      <c r="A5" s="2" t="s">
        <v>2</v>
      </c>
    </row>
    <row r="7" spans="1:8" ht="18.75" x14ac:dyDescent="0.3">
      <c r="A7" s="5"/>
      <c r="D7" s="4"/>
      <c r="E7" s="25"/>
      <c r="H7" s="4"/>
    </row>
    <row r="8" spans="1:8" ht="18.75" x14ac:dyDescent="0.3">
      <c r="A8" s="5"/>
      <c r="C8" s="3"/>
      <c r="D8" s="32"/>
      <c r="E8" s="25"/>
      <c r="H8" s="4"/>
    </row>
    <row r="9" spans="1:8" ht="18.75" x14ac:dyDescent="0.3">
      <c r="A9" s="5"/>
      <c r="C9" s="3"/>
      <c r="D9" s="28"/>
      <c r="E9" s="25"/>
      <c r="H9" s="4"/>
    </row>
    <row r="10" spans="1:8" ht="18.75" x14ac:dyDescent="0.3">
      <c r="A10" s="5" t="s">
        <v>221</v>
      </c>
      <c r="C10" s="3"/>
      <c r="D10" s="28">
        <v>31630</v>
      </c>
      <c r="E10" s="25"/>
      <c r="H10" s="4">
        <f>(D10/1.19)*0.19</f>
        <v>5050.1680672268913</v>
      </c>
    </row>
    <row r="11" spans="1:8" ht="18.75" x14ac:dyDescent="0.3">
      <c r="A11" s="5"/>
      <c r="C11" s="3"/>
      <c r="D11" s="28"/>
      <c r="E11" s="25"/>
      <c r="H11" s="4">
        <f>(D11/1.19)*0.19</f>
        <v>0</v>
      </c>
    </row>
    <row r="12" spans="1:8" ht="19.5" thickBot="1" x14ac:dyDescent="0.35">
      <c r="A12" s="5"/>
      <c r="C12" s="3"/>
      <c r="D12" s="22"/>
      <c r="E12" s="25"/>
      <c r="H12" s="22"/>
    </row>
    <row r="13" spans="1:8" ht="18.75" customHeight="1" x14ac:dyDescent="0.3">
      <c r="D13" s="4">
        <f>SUM(D7:D12)</f>
        <v>31630</v>
      </c>
      <c r="H13" s="4">
        <f>SUM(H7:H12)</f>
        <v>5050.1680672268913</v>
      </c>
    </row>
    <row r="14" spans="1:8" ht="18.75" x14ac:dyDescent="0.3">
      <c r="A14" s="5"/>
      <c r="C14" s="3"/>
      <c r="D14" s="4"/>
      <c r="H14" s="4"/>
    </row>
    <row r="16" spans="1:8" ht="18.75" x14ac:dyDescent="0.3">
      <c r="A16" s="5"/>
      <c r="C16" s="3"/>
      <c r="D16" s="4"/>
      <c r="H16" s="4"/>
    </row>
    <row r="17" spans="1:8" ht="15.75" thickBot="1" x14ac:dyDescent="0.3">
      <c r="D17" s="7"/>
      <c r="H17" s="7"/>
    </row>
    <row r="19" spans="1:8" ht="18.75" x14ac:dyDescent="0.3">
      <c r="C19" t="s">
        <v>4</v>
      </c>
      <c r="D19" s="4">
        <f>D3-D13</f>
        <v>20730</v>
      </c>
      <c r="G19" t="s">
        <v>5</v>
      </c>
      <c r="H19" s="4">
        <f>H3-H13</f>
        <v>3309.8319327731087</v>
      </c>
    </row>
    <row r="22" spans="1:8" ht="15.75" x14ac:dyDescent="0.25">
      <c r="A22" t="s">
        <v>6</v>
      </c>
      <c r="C22" s="8">
        <f>D19</f>
        <v>20730</v>
      </c>
      <c r="E22" t="s">
        <v>10</v>
      </c>
      <c r="H22" s="6">
        <f>C31</f>
        <v>17210.728067226893</v>
      </c>
    </row>
    <row r="24" spans="1:8" ht="15.75" x14ac:dyDescent="0.25">
      <c r="A24" t="s">
        <v>5</v>
      </c>
      <c r="B24" s="9" t="s">
        <v>7</v>
      </c>
      <c r="C24" s="8">
        <f>H19</f>
        <v>3309.8319327731087</v>
      </c>
      <c r="E24" s="13" t="s">
        <v>11</v>
      </c>
      <c r="F24" s="9" t="s">
        <v>181</v>
      </c>
      <c r="G24" s="15" t="s">
        <v>17</v>
      </c>
      <c r="H24" s="3">
        <f>-(F25*0.007)</f>
        <v>-308</v>
      </c>
    </row>
    <row r="25" spans="1:8" x14ac:dyDescent="0.25">
      <c r="F25" s="21">
        <f>D3-H3</f>
        <v>44000</v>
      </c>
    </row>
    <row r="26" spans="1:8" ht="15.75" x14ac:dyDescent="0.25">
      <c r="A26" t="s">
        <v>8</v>
      </c>
      <c r="B26" s="9" t="s">
        <v>7</v>
      </c>
      <c r="C26" s="8">
        <f>D3*0.004</f>
        <v>209.44</v>
      </c>
      <c r="F26" s="9" t="s">
        <v>13</v>
      </c>
      <c r="G26" s="16">
        <v>0.35</v>
      </c>
      <c r="H26" s="29">
        <f>-(F27*0.35)</f>
        <v>-6023.7548235294125</v>
      </c>
    </row>
    <row r="27" spans="1:8" ht="15.75" thickBot="1" x14ac:dyDescent="0.3">
      <c r="F27" s="21">
        <f>H22</f>
        <v>17210.728067226893</v>
      </c>
      <c r="H27" s="7"/>
    </row>
    <row r="28" spans="1:8" ht="15.75" x14ac:dyDescent="0.25">
      <c r="A28" t="s">
        <v>9</v>
      </c>
      <c r="B28" s="9" t="s">
        <v>7</v>
      </c>
      <c r="C28" s="10"/>
      <c r="G28" s="13" t="s">
        <v>14</v>
      </c>
      <c r="H28" s="6">
        <f>H22+H24+H26</f>
        <v>10878.973243697481</v>
      </c>
    </row>
    <row r="29" spans="1:8" ht="15.75" thickBot="1" x14ac:dyDescent="0.3">
      <c r="A29" s="16"/>
      <c r="B29" s="14"/>
      <c r="C29" s="7"/>
    </row>
    <row r="30" spans="1:8" x14ac:dyDescent="0.25">
      <c r="E30" t="s">
        <v>151</v>
      </c>
      <c r="H30" s="20">
        <f>H28*0.5</f>
        <v>5439.4866218487405</v>
      </c>
    </row>
    <row r="31" spans="1:8" ht="15.75" x14ac:dyDescent="0.25">
      <c r="A31" t="s">
        <v>10</v>
      </c>
      <c r="C31" s="10">
        <f>C22-C24-C26-C28</f>
        <v>17210.728067226893</v>
      </c>
      <c r="H31" s="18"/>
    </row>
    <row r="32" spans="1:8" x14ac:dyDescent="0.25">
      <c r="H32" s="3"/>
    </row>
    <row r="33" spans="8:8" x14ac:dyDescent="0.25">
      <c r="H33" s="18"/>
    </row>
  </sheetData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2D3F5-24E9-4CD3-A91F-3199ECD690ED}">
  <dimension ref="A1:H33"/>
  <sheetViews>
    <sheetView workbookViewId="0">
      <selection sqref="A1:XFD1048576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635</v>
      </c>
    </row>
    <row r="3" spans="1:8" ht="21" x14ac:dyDescent="0.35">
      <c r="A3" s="2" t="s">
        <v>1</v>
      </c>
      <c r="D3" s="11">
        <v>6664</v>
      </c>
      <c r="F3" s="12" t="s">
        <v>3</v>
      </c>
      <c r="H3" s="4">
        <f>(D3/1.19)*0.19</f>
        <v>1064</v>
      </c>
    </row>
    <row r="4" spans="1:8" x14ac:dyDescent="0.25">
      <c r="A4" s="13" t="s">
        <v>32</v>
      </c>
      <c r="C4" s="26">
        <v>872</v>
      </c>
    </row>
    <row r="5" spans="1:8" ht="21" x14ac:dyDescent="0.35">
      <c r="A5" s="2" t="s">
        <v>2</v>
      </c>
    </row>
    <row r="7" spans="1:8" ht="18.75" x14ac:dyDescent="0.3">
      <c r="A7" s="5"/>
      <c r="D7" s="4"/>
      <c r="E7" s="25"/>
      <c r="H7" s="4"/>
    </row>
    <row r="8" spans="1:8" ht="18.75" x14ac:dyDescent="0.3">
      <c r="A8" s="5"/>
      <c r="C8" s="3"/>
      <c r="D8" s="32"/>
      <c r="E8" s="25"/>
      <c r="H8" s="4"/>
    </row>
    <row r="9" spans="1:8" ht="18.75" x14ac:dyDescent="0.3">
      <c r="A9" s="5"/>
      <c r="C9" s="3"/>
      <c r="D9" s="28"/>
      <c r="E9" s="25"/>
      <c r="H9" s="4"/>
    </row>
    <row r="10" spans="1:8" ht="18.75" x14ac:dyDescent="0.3">
      <c r="A10" s="5" t="s">
        <v>221</v>
      </c>
      <c r="C10" s="3"/>
      <c r="D10" s="28">
        <v>4330</v>
      </c>
      <c r="E10" s="25"/>
      <c r="H10" s="4">
        <f>(D10/1.19)*0.19</f>
        <v>691.34453781512605</v>
      </c>
    </row>
    <row r="11" spans="1:8" ht="18.75" x14ac:dyDescent="0.3">
      <c r="A11" s="5"/>
      <c r="C11" s="3"/>
      <c r="D11" s="28"/>
      <c r="E11" s="25"/>
      <c r="H11" s="4">
        <f>(D11/1.19)*0.19</f>
        <v>0</v>
      </c>
    </row>
    <row r="12" spans="1:8" ht="19.5" thickBot="1" x14ac:dyDescent="0.35">
      <c r="A12" s="5"/>
      <c r="C12" s="3"/>
      <c r="D12" s="22"/>
      <c r="E12" s="25"/>
      <c r="H12" s="22"/>
    </row>
    <row r="13" spans="1:8" ht="18.75" customHeight="1" x14ac:dyDescent="0.3">
      <c r="D13" s="4">
        <f>SUM(D7:D12)</f>
        <v>4330</v>
      </c>
      <c r="H13" s="4">
        <f>SUM(H7:H12)</f>
        <v>691.34453781512605</v>
      </c>
    </row>
    <row r="14" spans="1:8" ht="18.75" x14ac:dyDescent="0.3">
      <c r="A14" s="5"/>
      <c r="C14" s="3"/>
      <c r="D14" s="4"/>
      <c r="H14" s="4"/>
    </row>
    <row r="16" spans="1:8" ht="18.75" x14ac:dyDescent="0.3">
      <c r="A16" s="5"/>
      <c r="C16" s="3"/>
      <c r="D16" s="4"/>
      <c r="H16" s="4"/>
    </row>
    <row r="17" spans="1:8" ht="15.75" thickBot="1" x14ac:dyDescent="0.3">
      <c r="D17" s="7"/>
      <c r="H17" s="7"/>
    </row>
    <row r="19" spans="1:8" ht="18.75" x14ac:dyDescent="0.3">
      <c r="C19" t="s">
        <v>4</v>
      </c>
      <c r="D19" s="4">
        <f>D3-D13</f>
        <v>2334</v>
      </c>
      <c r="G19" t="s">
        <v>5</v>
      </c>
      <c r="H19" s="4">
        <f>H3-H13</f>
        <v>372.65546218487395</v>
      </c>
    </row>
    <row r="22" spans="1:8" ht="15.75" x14ac:dyDescent="0.25">
      <c r="A22" t="s">
        <v>6</v>
      </c>
      <c r="C22" s="8">
        <f>D19</f>
        <v>2334</v>
      </c>
      <c r="E22" t="s">
        <v>10</v>
      </c>
      <c r="H22" s="6">
        <f>C31</f>
        <v>1934.688537815126</v>
      </c>
    </row>
    <row r="24" spans="1:8" ht="15.75" x14ac:dyDescent="0.25">
      <c r="A24" t="s">
        <v>5</v>
      </c>
      <c r="B24" s="9" t="s">
        <v>7</v>
      </c>
      <c r="C24" s="8">
        <f>H19</f>
        <v>372.65546218487395</v>
      </c>
      <c r="E24" s="13" t="s">
        <v>11</v>
      </c>
      <c r="F24" s="9" t="s">
        <v>181</v>
      </c>
      <c r="G24" s="15" t="s">
        <v>17</v>
      </c>
      <c r="H24" s="3">
        <f>-(F25*0.007)</f>
        <v>-39.200000000000003</v>
      </c>
    </row>
    <row r="25" spans="1:8" x14ac:dyDescent="0.25">
      <c r="F25" s="21">
        <f>D3-H3</f>
        <v>5600</v>
      </c>
    </row>
    <row r="26" spans="1:8" ht="15.75" x14ac:dyDescent="0.25">
      <c r="A26" t="s">
        <v>8</v>
      </c>
      <c r="B26" s="9" t="s">
        <v>7</v>
      </c>
      <c r="C26" s="8">
        <f>D3*0.004</f>
        <v>26.655999999999999</v>
      </c>
      <c r="F26" s="9" t="s">
        <v>13</v>
      </c>
      <c r="G26" s="16">
        <v>0.35</v>
      </c>
      <c r="H26" s="29">
        <f>-(F27*0.35)</f>
        <v>-677.140988235294</v>
      </c>
    </row>
    <row r="27" spans="1:8" ht="15.75" thickBot="1" x14ac:dyDescent="0.3">
      <c r="F27" s="21">
        <f>H22</f>
        <v>1934.688537815126</v>
      </c>
      <c r="H27" s="7"/>
    </row>
    <row r="28" spans="1:8" ht="15.75" x14ac:dyDescent="0.25">
      <c r="A28" t="s">
        <v>9</v>
      </c>
      <c r="B28" s="9" t="s">
        <v>7</v>
      </c>
      <c r="C28" s="10"/>
      <c r="G28" s="13" t="s">
        <v>14</v>
      </c>
      <c r="H28" s="6">
        <f>H22+H24+H26</f>
        <v>1218.347549579832</v>
      </c>
    </row>
    <row r="29" spans="1:8" ht="15.75" thickBot="1" x14ac:dyDescent="0.3">
      <c r="A29" s="16"/>
      <c r="B29" s="14"/>
      <c r="C29" s="7"/>
    </row>
    <row r="30" spans="1:8" x14ac:dyDescent="0.25">
      <c r="E30" t="s">
        <v>151</v>
      </c>
      <c r="H30" s="20">
        <f>H28*0.5</f>
        <v>609.17377478991602</v>
      </c>
    </row>
    <row r="31" spans="1:8" ht="15.75" x14ac:dyDescent="0.25">
      <c r="A31" t="s">
        <v>10</v>
      </c>
      <c r="C31" s="10">
        <f>C22-C24-C26-C28</f>
        <v>1934.688537815126</v>
      </c>
      <c r="H31" s="18"/>
    </row>
    <row r="32" spans="1:8" x14ac:dyDescent="0.25">
      <c r="H32" s="3"/>
    </row>
    <row r="33" spans="8:8" x14ac:dyDescent="0.25">
      <c r="H33" s="18"/>
    </row>
  </sheetData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FDBF9-7FC5-4F6B-AD31-EF394E12C7E6}">
  <dimension ref="A1:H33"/>
  <sheetViews>
    <sheetView workbookViewId="0">
      <selection sqref="A1:XFD1048576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636</v>
      </c>
    </row>
    <row r="3" spans="1:8" ht="21" x14ac:dyDescent="0.35">
      <c r="A3" s="2" t="s">
        <v>1</v>
      </c>
      <c r="D3" s="11">
        <v>71400</v>
      </c>
      <c r="F3" s="12" t="s">
        <v>3</v>
      </c>
      <c r="H3" s="4">
        <f>(D3/1.19)*0.19</f>
        <v>11400</v>
      </c>
    </row>
    <row r="4" spans="1:8" x14ac:dyDescent="0.25">
      <c r="A4" s="13" t="s">
        <v>32</v>
      </c>
      <c r="C4" s="26">
        <v>873</v>
      </c>
    </row>
    <row r="5" spans="1:8" ht="21" x14ac:dyDescent="0.35">
      <c r="A5" s="2" t="s">
        <v>2</v>
      </c>
    </row>
    <row r="7" spans="1:8" ht="18.75" x14ac:dyDescent="0.3">
      <c r="A7" s="5"/>
      <c r="D7" s="4"/>
      <c r="E7" s="25"/>
      <c r="H7" s="4"/>
    </row>
    <row r="8" spans="1:8" ht="18.75" x14ac:dyDescent="0.3">
      <c r="A8" s="5"/>
      <c r="C8" s="3"/>
      <c r="D8" s="32"/>
      <c r="E8" s="25"/>
      <c r="H8" s="4"/>
    </row>
    <row r="9" spans="1:8" ht="18.75" x14ac:dyDescent="0.3">
      <c r="A9" s="5"/>
      <c r="C9" s="3"/>
      <c r="D9" s="28"/>
      <c r="E9" s="25"/>
      <c r="H9" s="4"/>
    </row>
    <row r="10" spans="1:8" ht="18.75" x14ac:dyDescent="0.3">
      <c r="A10" s="5" t="s">
        <v>221</v>
      </c>
      <c r="C10" s="3"/>
      <c r="D10" s="28">
        <v>38448</v>
      </c>
      <c r="E10" s="25"/>
      <c r="H10" s="4">
        <f>(D10/1.19)*0.19</f>
        <v>6138.7563025210084</v>
      </c>
    </row>
    <row r="11" spans="1:8" ht="18.75" x14ac:dyDescent="0.3">
      <c r="A11" s="5"/>
      <c r="C11" s="3"/>
      <c r="D11" s="28"/>
      <c r="E11" s="25"/>
      <c r="H11" s="4">
        <f>(D11/1.19)*0.19</f>
        <v>0</v>
      </c>
    </row>
    <row r="12" spans="1:8" ht="19.5" thickBot="1" x14ac:dyDescent="0.35">
      <c r="A12" s="5"/>
      <c r="C12" s="3"/>
      <c r="D12" s="22"/>
      <c r="E12" s="25"/>
      <c r="H12" s="22"/>
    </row>
    <row r="13" spans="1:8" ht="18.75" customHeight="1" x14ac:dyDescent="0.3">
      <c r="D13" s="4">
        <f>SUM(D7:D12)</f>
        <v>38448</v>
      </c>
      <c r="H13" s="4">
        <f>SUM(H7:H12)</f>
        <v>6138.7563025210084</v>
      </c>
    </row>
    <row r="14" spans="1:8" ht="18.75" x14ac:dyDescent="0.3">
      <c r="A14" s="5"/>
      <c r="C14" s="3"/>
      <c r="D14" s="4"/>
      <c r="H14" s="4"/>
    </row>
    <row r="16" spans="1:8" ht="18.75" x14ac:dyDescent="0.3">
      <c r="A16" s="5"/>
      <c r="C16" s="3"/>
      <c r="D16" s="4"/>
      <c r="H16" s="4"/>
    </row>
    <row r="17" spans="1:8" ht="15.75" thickBot="1" x14ac:dyDescent="0.3">
      <c r="D17" s="7"/>
      <c r="H17" s="7"/>
    </row>
    <row r="19" spans="1:8" ht="18.75" x14ac:dyDescent="0.3">
      <c r="C19" t="s">
        <v>4</v>
      </c>
      <c r="D19" s="4">
        <f>D3-D13</f>
        <v>32952</v>
      </c>
      <c r="G19" t="s">
        <v>5</v>
      </c>
      <c r="H19" s="4">
        <f>H3-H13</f>
        <v>5261.2436974789916</v>
      </c>
    </row>
    <row r="22" spans="1:8" ht="15.75" x14ac:dyDescent="0.25">
      <c r="A22" t="s">
        <v>6</v>
      </c>
      <c r="C22" s="8">
        <f>D19</f>
        <v>32952</v>
      </c>
      <c r="E22" t="s">
        <v>10</v>
      </c>
      <c r="H22" s="6">
        <f>C31</f>
        <v>27405.156302521009</v>
      </c>
    </row>
    <row r="24" spans="1:8" ht="15.75" x14ac:dyDescent="0.25">
      <c r="A24" t="s">
        <v>5</v>
      </c>
      <c r="B24" s="9" t="s">
        <v>7</v>
      </c>
      <c r="C24" s="8">
        <f>H19</f>
        <v>5261.2436974789916</v>
      </c>
      <c r="E24" s="13" t="s">
        <v>11</v>
      </c>
      <c r="F24" s="9" t="s">
        <v>181</v>
      </c>
      <c r="G24" s="15" t="s">
        <v>17</v>
      </c>
      <c r="H24" s="3">
        <f>-(F25*0.007)</f>
        <v>-420</v>
      </c>
    </row>
    <row r="25" spans="1:8" x14ac:dyDescent="0.25">
      <c r="F25" s="21">
        <f>D3-H3</f>
        <v>60000</v>
      </c>
    </row>
    <row r="26" spans="1:8" ht="15.75" x14ac:dyDescent="0.25">
      <c r="A26" t="s">
        <v>8</v>
      </c>
      <c r="B26" s="9" t="s">
        <v>7</v>
      </c>
      <c r="C26" s="8">
        <f>D3*0.004</f>
        <v>285.60000000000002</v>
      </c>
      <c r="F26" s="9" t="s">
        <v>13</v>
      </c>
      <c r="G26" s="16">
        <v>0.35</v>
      </c>
      <c r="H26" s="29">
        <f>-(F27*0.35)</f>
        <v>-9591.8047058823522</v>
      </c>
    </row>
    <row r="27" spans="1:8" ht="15.75" thickBot="1" x14ac:dyDescent="0.3">
      <c r="F27" s="21">
        <f>H22</f>
        <v>27405.156302521009</v>
      </c>
      <c r="H27" s="7"/>
    </row>
    <row r="28" spans="1:8" ht="15.75" x14ac:dyDescent="0.25">
      <c r="A28" t="s">
        <v>9</v>
      </c>
      <c r="B28" s="9" t="s">
        <v>7</v>
      </c>
      <c r="C28" s="10"/>
      <c r="G28" s="13" t="s">
        <v>14</v>
      </c>
      <c r="H28" s="6">
        <f>H22+H24+H26</f>
        <v>17393.351596638655</v>
      </c>
    </row>
    <row r="29" spans="1:8" ht="15.75" thickBot="1" x14ac:dyDescent="0.3">
      <c r="A29" s="16"/>
      <c r="B29" s="14"/>
      <c r="C29" s="7"/>
    </row>
    <row r="30" spans="1:8" x14ac:dyDescent="0.25">
      <c r="E30" t="s">
        <v>151</v>
      </c>
      <c r="H30" s="20">
        <f>H28*0.5</f>
        <v>8696.6757983193274</v>
      </c>
    </row>
    <row r="31" spans="1:8" ht="15.75" x14ac:dyDescent="0.25">
      <c r="A31" t="s">
        <v>10</v>
      </c>
      <c r="C31" s="10">
        <f>C22-C24-C26-C28</f>
        <v>27405.156302521009</v>
      </c>
      <c r="H31" s="18"/>
    </row>
    <row r="32" spans="1:8" x14ac:dyDescent="0.25">
      <c r="H32" s="3"/>
    </row>
    <row r="33" spans="8:8" x14ac:dyDescent="0.25">
      <c r="H33" s="18"/>
    </row>
  </sheetData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AEBCD-F715-4984-8A41-866C7EEFF43A}">
  <dimension ref="A1:H33"/>
  <sheetViews>
    <sheetView workbookViewId="0">
      <selection sqref="A1:XFD1048576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637</v>
      </c>
    </row>
    <row r="3" spans="1:8" ht="21" x14ac:dyDescent="0.35">
      <c r="A3" s="2" t="s">
        <v>1</v>
      </c>
      <c r="D3" s="11">
        <v>243593</v>
      </c>
      <c r="F3" s="12" t="s">
        <v>3</v>
      </c>
      <c r="H3" s="4">
        <f>(D3/1.19)*0.19</f>
        <v>38893</v>
      </c>
    </row>
    <row r="4" spans="1:8" x14ac:dyDescent="0.25">
      <c r="A4" s="13" t="s">
        <v>32</v>
      </c>
      <c r="C4" s="26">
        <v>879</v>
      </c>
    </row>
    <row r="5" spans="1:8" ht="21" x14ac:dyDescent="0.35">
      <c r="A5" s="2" t="s">
        <v>2</v>
      </c>
    </row>
    <row r="7" spans="1:8" ht="18.75" x14ac:dyDescent="0.3">
      <c r="A7" s="5"/>
      <c r="D7" s="4"/>
      <c r="E7" s="25"/>
      <c r="H7" s="4"/>
    </row>
    <row r="8" spans="1:8" ht="18.75" x14ac:dyDescent="0.3">
      <c r="A8" s="5"/>
      <c r="C8" s="3"/>
      <c r="D8" s="32"/>
      <c r="E8" s="25"/>
      <c r="H8" s="4"/>
    </row>
    <row r="9" spans="1:8" ht="18.75" x14ac:dyDescent="0.3">
      <c r="A9" s="5"/>
      <c r="C9" s="3"/>
      <c r="D9" s="28"/>
      <c r="E9" s="25"/>
      <c r="H9" s="4"/>
    </row>
    <row r="10" spans="1:8" ht="18.75" x14ac:dyDescent="0.3">
      <c r="A10" s="5" t="s">
        <v>343</v>
      </c>
      <c r="C10" s="3"/>
      <c r="D10" s="28">
        <v>52360</v>
      </c>
      <c r="E10" s="25"/>
      <c r="H10" s="4">
        <f>(D10/1.19)*0.19</f>
        <v>8360</v>
      </c>
    </row>
    <row r="11" spans="1:8" ht="18.75" x14ac:dyDescent="0.3">
      <c r="A11" s="5" t="s">
        <v>622</v>
      </c>
      <c r="C11" s="3"/>
      <c r="D11" s="28">
        <v>85500</v>
      </c>
      <c r="E11" s="25"/>
      <c r="H11" s="4">
        <f>(D11/1.19)*0.19</f>
        <v>13651.26050420168</v>
      </c>
    </row>
    <row r="12" spans="1:8" ht="19.5" thickBot="1" x14ac:dyDescent="0.35">
      <c r="A12" s="5" t="s">
        <v>221</v>
      </c>
      <c r="C12" s="3"/>
      <c r="D12" s="22">
        <v>10500</v>
      </c>
      <c r="E12" s="25"/>
      <c r="H12" s="22"/>
    </row>
    <row r="13" spans="1:8" ht="18.75" customHeight="1" x14ac:dyDescent="0.3">
      <c r="D13" s="4">
        <f>SUM(D7:D12)</f>
        <v>148360</v>
      </c>
      <c r="H13" s="4">
        <f>SUM(H7:H12)</f>
        <v>22011.26050420168</v>
      </c>
    </row>
    <row r="14" spans="1:8" ht="18.75" x14ac:dyDescent="0.3">
      <c r="A14" s="5"/>
      <c r="C14" s="3"/>
      <c r="D14" s="4"/>
      <c r="H14" s="4"/>
    </row>
    <row r="16" spans="1:8" ht="18.75" x14ac:dyDescent="0.3">
      <c r="A16" s="5"/>
      <c r="C16" s="3"/>
      <c r="D16" s="4"/>
      <c r="H16" s="4"/>
    </row>
    <row r="17" spans="1:8" ht="15.75" thickBot="1" x14ac:dyDescent="0.3">
      <c r="D17" s="7"/>
      <c r="H17" s="7"/>
    </row>
    <row r="19" spans="1:8" ht="18.75" x14ac:dyDescent="0.3">
      <c r="C19" t="s">
        <v>4</v>
      </c>
      <c r="D19" s="4">
        <f>D3-D13</f>
        <v>95233</v>
      </c>
      <c r="G19" t="s">
        <v>5</v>
      </c>
      <c r="H19" s="4">
        <f>H3-H13</f>
        <v>16881.73949579832</v>
      </c>
    </row>
    <row r="22" spans="1:8" ht="15.75" x14ac:dyDescent="0.25">
      <c r="A22" t="s">
        <v>6</v>
      </c>
      <c r="C22" s="8">
        <f>D19</f>
        <v>95233</v>
      </c>
      <c r="E22" t="s">
        <v>10</v>
      </c>
      <c r="H22" s="6">
        <f>C31</f>
        <v>77376.888504201677</v>
      </c>
    </row>
    <row r="24" spans="1:8" ht="15.75" x14ac:dyDescent="0.25">
      <c r="A24" t="s">
        <v>5</v>
      </c>
      <c r="B24" s="9" t="s">
        <v>7</v>
      </c>
      <c r="C24" s="8">
        <f>H19</f>
        <v>16881.73949579832</v>
      </c>
      <c r="E24" s="13" t="s">
        <v>11</v>
      </c>
      <c r="F24" s="9" t="s">
        <v>181</v>
      </c>
      <c r="G24" s="15" t="s">
        <v>17</v>
      </c>
      <c r="H24" s="3">
        <f>-(F25*0.007)</f>
        <v>-1432.9</v>
      </c>
    </row>
    <row r="25" spans="1:8" x14ac:dyDescent="0.25">
      <c r="F25" s="21">
        <f>D3-H3</f>
        <v>204700</v>
      </c>
    </row>
    <row r="26" spans="1:8" ht="15.75" x14ac:dyDescent="0.25">
      <c r="A26" t="s">
        <v>8</v>
      </c>
      <c r="B26" s="9" t="s">
        <v>7</v>
      </c>
      <c r="C26" s="8">
        <f>D3*0.004</f>
        <v>974.37200000000007</v>
      </c>
      <c r="F26" s="9" t="s">
        <v>13</v>
      </c>
      <c r="G26" s="16">
        <v>0.35</v>
      </c>
      <c r="H26" s="29">
        <f>-(F27*0.35)</f>
        <v>-27081.910976470586</v>
      </c>
    </row>
    <row r="27" spans="1:8" ht="15.75" thickBot="1" x14ac:dyDescent="0.3">
      <c r="F27" s="21">
        <f>H22</f>
        <v>77376.888504201677</v>
      </c>
      <c r="H27" s="7"/>
    </row>
    <row r="28" spans="1:8" ht="15.75" x14ac:dyDescent="0.25">
      <c r="A28" t="s">
        <v>9</v>
      </c>
      <c r="B28" s="9" t="s">
        <v>7</v>
      </c>
      <c r="C28" s="10"/>
      <c r="G28" s="13" t="s">
        <v>14</v>
      </c>
      <c r="H28" s="6">
        <f>H22+H24+H26</f>
        <v>48862.077527731097</v>
      </c>
    </row>
    <row r="29" spans="1:8" ht="15.75" thickBot="1" x14ac:dyDescent="0.3">
      <c r="A29" s="16"/>
      <c r="B29" s="14"/>
      <c r="C29" s="7"/>
    </row>
    <row r="30" spans="1:8" x14ac:dyDescent="0.25">
      <c r="E30" t="s">
        <v>151</v>
      </c>
      <c r="H30" s="20">
        <f>H28*0.5</f>
        <v>24431.038763865548</v>
      </c>
    </row>
    <row r="31" spans="1:8" ht="15.75" x14ac:dyDescent="0.25">
      <c r="A31" t="s">
        <v>10</v>
      </c>
      <c r="C31" s="10">
        <f>C22-C24-C26-C28</f>
        <v>77376.888504201677</v>
      </c>
      <c r="H31" s="18"/>
    </row>
    <row r="32" spans="1:8" x14ac:dyDescent="0.25">
      <c r="H32" s="3"/>
    </row>
    <row r="33" spans="8:8" x14ac:dyDescent="0.25">
      <c r="H33" s="18"/>
    </row>
  </sheetData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6BD32-3BFF-42B0-93CC-BC27C0DF7D1C}">
  <dimension ref="A1:H33"/>
  <sheetViews>
    <sheetView topLeftCell="A19" workbookViewId="0">
      <selection activeCell="I28" sqref="I28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640</v>
      </c>
    </row>
    <row r="3" spans="1:8" ht="21" x14ac:dyDescent="0.35">
      <c r="A3" s="2" t="s">
        <v>1</v>
      </c>
      <c r="D3" s="11">
        <v>97223</v>
      </c>
      <c r="F3" s="12" t="s">
        <v>3</v>
      </c>
      <c r="H3" s="4">
        <f>(D3/1.19)*0.19</f>
        <v>15523</v>
      </c>
    </row>
    <row r="4" spans="1:8" x14ac:dyDescent="0.25">
      <c r="A4" s="13" t="s">
        <v>32</v>
      </c>
      <c r="C4" s="26">
        <v>880</v>
      </c>
    </row>
    <row r="5" spans="1:8" ht="21" x14ac:dyDescent="0.35">
      <c r="A5" s="2" t="s">
        <v>2</v>
      </c>
    </row>
    <row r="7" spans="1:8" ht="18.75" x14ac:dyDescent="0.3">
      <c r="A7" s="5"/>
      <c r="D7" s="4"/>
      <c r="E7" s="25"/>
      <c r="H7" s="4"/>
    </row>
    <row r="8" spans="1:8" ht="18.75" x14ac:dyDescent="0.3">
      <c r="A8" s="5"/>
      <c r="C8" s="3"/>
      <c r="D8" s="32"/>
      <c r="E8" s="25"/>
      <c r="H8" s="4"/>
    </row>
    <row r="9" spans="1:8" ht="18.75" x14ac:dyDescent="0.3">
      <c r="A9" s="5"/>
      <c r="C9" s="3"/>
      <c r="D9" s="28"/>
      <c r="E9" s="25"/>
      <c r="H9" s="4"/>
    </row>
    <row r="10" spans="1:8" ht="18.75" x14ac:dyDescent="0.3">
      <c r="A10" s="5" t="s">
        <v>641</v>
      </c>
      <c r="C10" s="3"/>
      <c r="D10" s="28">
        <v>56530</v>
      </c>
      <c r="E10" s="25"/>
      <c r="H10" s="4">
        <f>(D10/1.19)*0.19</f>
        <v>9025.7983193277305</v>
      </c>
    </row>
    <row r="11" spans="1:8" ht="18.75" x14ac:dyDescent="0.3">
      <c r="A11" s="5"/>
      <c r="C11" s="3"/>
      <c r="D11" s="28"/>
      <c r="E11" s="25"/>
      <c r="H11" s="4"/>
    </row>
    <row r="12" spans="1:8" ht="19.5" thickBot="1" x14ac:dyDescent="0.35">
      <c r="A12" s="5"/>
      <c r="C12" s="3"/>
      <c r="D12" s="22"/>
      <c r="E12" s="25"/>
      <c r="H12" s="22"/>
    </row>
    <row r="13" spans="1:8" ht="18.75" customHeight="1" x14ac:dyDescent="0.3">
      <c r="D13" s="4">
        <f>SUM(D7:D12)</f>
        <v>56530</v>
      </c>
      <c r="H13" s="4">
        <f>SUM(H7:H12)</f>
        <v>9025.7983193277305</v>
      </c>
    </row>
    <row r="14" spans="1:8" ht="18.75" x14ac:dyDescent="0.3">
      <c r="A14" s="5"/>
      <c r="C14" s="3"/>
      <c r="D14" s="4"/>
      <c r="H14" s="4"/>
    </row>
    <row r="16" spans="1:8" ht="18.75" x14ac:dyDescent="0.3">
      <c r="A16" s="5"/>
      <c r="C16" s="3"/>
      <c r="D16" s="4"/>
      <c r="H16" s="4"/>
    </row>
    <row r="17" spans="1:8" ht="15.75" thickBot="1" x14ac:dyDescent="0.3">
      <c r="D17" s="7"/>
      <c r="H17" s="7"/>
    </row>
    <row r="19" spans="1:8" ht="18.75" x14ac:dyDescent="0.3">
      <c r="C19" t="s">
        <v>4</v>
      </c>
      <c r="D19" s="4">
        <f>D3-D13</f>
        <v>40693</v>
      </c>
      <c r="G19" t="s">
        <v>5</v>
      </c>
      <c r="H19" s="4">
        <f>H3-H13</f>
        <v>6497.2016806722695</v>
      </c>
    </row>
    <row r="22" spans="1:8" ht="15.75" x14ac:dyDescent="0.25">
      <c r="A22" t="s">
        <v>6</v>
      </c>
      <c r="C22" s="8">
        <f>D19</f>
        <v>40693</v>
      </c>
      <c r="E22" t="s">
        <v>10</v>
      </c>
      <c r="H22" s="6">
        <f>C31</f>
        <v>33806.906319327732</v>
      </c>
    </row>
    <row r="24" spans="1:8" ht="15.75" x14ac:dyDescent="0.25">
      <c r="A24" t="s">
        <v>5</v>
      </c>
      <c r="B24" s="9" t="s">
        <v>7</v>
      </c>
      <c r="C24" s="8">
        <f>H19</f>
        <v>6497.2016806722695</v>
      </c>
      <c r="E24" s="13" t="s">
        <v>11</v>
      </c>
      <c r="F24" s="9" t="s">
        <v>181</v>
      </c>
      <c r="G24" s="15" t="s">
        <v>17</v>
      </c>
      <c r="H24" s="3">
        <f>-(F25*0.007)</f>
        <v>-571.9</v>
      </c>
    </row>
    <row r="25" spans="1:8" x14ac:dyDescent="0.25">
      <c r="F25" s="21">
        <f>D3-H3</f>
        <v>81700</v>
      </c>
    </row>
    <row r="26" spans="1:8" ht="15.75" x14ac:dyDescent="0.25">
      <c r="A26" t="s">
        <v>8</v>
      </c>
      <c r="B26" s="9" t="s">
        <v>7</v>
      </c>
      <c r="C26" s="8">
        <f>D3*0.004</f>
        <v>388.892</v>
      </c>
      <c r="F26" s="9" t="s">
        <v>13</v>
      </c>
      <c r="G26" s="16">
        <v>0.35</v>
      </c>
      <c r="H26" s="29">
        <f>-(F27*0.35)</f>
        <v>-11832.417211764705</v>
      </c>
    </row>
    <row r="27" spans="1:8" ht="15.75" thickBot="1" x14ac:dyDescent="0.3">
      <c r="F27" s="21">
        <f>H22</f>
        <v>33806.906319327732</v>
      </c>
      <c r="H27" s="7"/>
    </row>
    <row r="28" spans="1:8" ht="15.75" x14ac:dyDescent="0.25">
      <c r="A28" t="s">
        <v>9</v>
      </c>
      <c r="B28" s="9" t="s">
        <v>7</v>
      </c>
      <c r="C28" s="10"/>
      <c r="G28" s="13" t="s">
        <v>14</v>
      </c>
      <c r="H28" s="6">
        <f>H22+H24+H26</f>
        <v>21402.589107563028</v>
      </c>
    </row>
    <row r="29" spans="1:8" ht="15.75" thickBot="1" x14ac:dyDescent="0.3">
      <c r="A29" s="16"/>
      <c r="B29" s="14"/>
      <c r="C29" s="7"/>
    </row>
    <row r="30" spans="1:8" x14ac:dyDescent="0.25">
      <c r="E30" t="s">
        <v>151</v>
      </c>
      <c r="H30" s="20">
        <f>H28*0.5</f>
        <v>10701.294553781514</v>
      </c>
    </row>
    <row r="31" spans="1:8" ht="15.75" x14ac:dyDescent="0.25">
      <c r="A31" t="s">
        <v>10</v>
      </c>
      <c r="C31" s="10">
        <f>C22-C24-C26-C28</f>
        <v>33806.906319327732</v>
      </c>
      <c r="H31" s="18"/>
    </row>
    <row r="32" spans="1:8" x14ac:dyDescent="0.25">
      <c r="H32" s="3"/>
    </row>
    <row r="33" spans="8:8" x14ac:dyDescent="0.25">
      <c r="H33" s="18"/>
    </row>
  </sheetData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28F46-93D9-4CBB-ADDC-49EB865D825D}">
  <dimension ref="A1:H32"/>
  <sheetViews>
    <sheetView workbookViewId="0">
      <selection activeCell="K13" sqref="K13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623</v>
      </c>
    </row>
    <row r="3" spans="1:8" ht="21" x14ac:dyDescent="0.35">
      <c r="A3" s="2" t="s">
        <v>1</v>
      </c>
      <c r="D3" s="11">
        <v>499086</v>
      </c>
      <c r="F3" s="12" t="s">
        <v>3</v>
      </c>
      <c r="H3" s="4">
        <f>(D3/1.19)*0.19</f>
        <v>79686</v>
      </c>
    </row>
    <row r="4" spans="1:8" x14ac:dyDescent="0.25">
      <c r="A4" s="13" t="s">
        <v>32</v>
      </c>
      <c r="C4" s="26">
        <v>881</v>
      </c>
    </row>
    <row r="5" spans="1:8" ht="21" x14ac:dyDescent="0.35">
      <c r="A5" s="2" t="s">
        <v>2</v>
      </c>
    </row>
    <row r="7" spans="1:8" ht="18.75" x14ac:dyDescent="0.3">
      <c r="A7" s="5"/>
      <c r="D7" s="4"/>
      <c r="E7" s="25"/>
      <c r="H7" s="4"/>
    </row>
    <row r="8" spans="1:8" ht="18.75" x14ac:dyDescent="0.3">
      <c r="A8" s="5"/>
      <c r="C8" s="3"/>
      <c r="D8" s="32"/>
      <c r="E8" s="25"/>
      <c r="H8" s="4"/>
    </row>
    <row r="9" spans="1:8" ht="18.75" x14ac:dyDescent="0.3">
      <c r="A9" s="5" t="s">
        <v>638</v>
      </c>
      <c r="C9" s="3"/>
      <c r="D9" s="28">
        <v>244560</v>
      </c>
      <c r="E9" s="25"/>
      <c r="H9" s="4">
        <f>(D9/1.19)*0.19</f>
        <v>39047.39495798319</v>
      </c>
    </row>
    <row r="10" spans="1:8" ht="18.75" x14ac:dyDescent="0.3">
      <c r="A10" s="5" t="s">
        <v>376</v>
      </c>
      <c r="C10" s="3"/>
      <c r="D10" s="28">
        <v>49980</v>
      </c>
      <c r="E10" s="25"/>
      <c r="H10" s="27">
        <f t="shared" ref="H10:H11" si="0">(D10/1.19)*0.19</f>
        <v>7980</v>
      </c>
    </row>
    <row r="11" spans="1:8" ht="19.5" thickBot="1" x14ac:dyDescent="0.35">
      <c r="A11" s="5" t="s">
        <v>343</v>
      </c>
      <c r="C11" s="3"/>
      <c r="D11" s="22">
        <v>45240</v>
      </c>
      <c r="E11" s="25"/>
      <c r="H11" s="22">
        <f t="shared" si="0"/>
        <v>7223.1932773109247</v>
      </c>
    </row>
    <row r="12" spans="1:8" ht="18.75" customHeight="1" x14ac:dyDescent="0.3">
      <c r="D12" s="4">
        <f>SUM(D7:D11)</f>
        <v>339780</v>
      </c>
      <c r="H12" s="4">
        <f>SUM(H7:H11)</f>
        <v>54250.588235294112</v>
      </c>
    </row>
    <row r="13" spans="1:8" ht="18.75" x14ac:dyDescent="0.3">
      <c r="A13" s="5"/>
      <c r="C13" s="3"/>
      <c r="D13" s="4"/>
      <c r="H13" s="4"/>
    </row>
    <row r="15" spans="1:8" ht="18.75" x14ac:dyDescent="0.3">
      <c r="A15" s="5"/>
      <c r="C15" s="3"/>
      <c r="D15" s="4"/>
      <c r="H15" s="4"/>
    </row>
    <row r="16" spans="1:8" ht="15.75" thickBot="1" x14ac:dyDescent="0.3">
      <c r="D16" s="7"/>
      <c r="H16" s="7"/>
    </row>
    <row r="18" spans="1:8" ht="18.75" x14ac:dyDescent="0.3">
      <c r="C18" t="s">
        <v>4</v>
      </c>
      <c r="D18" s="4">
        <f>D3-D12</f>
        <v>159306</v>
      </c>
      <c r="G18" t="s">
        <v>5</v>
      </c>
      <c r="H18" s="4">
        <f>H3-H12</f>
        <v>25435.411764705888</v>
      </c>
    </row>
    <row r="21" spans="1:8" ht="15.75" x14ac:dyDescent="0.25">
      <c r="A21" t="s">
        <v>6</v>
      </c>
      <c r="C21" s="8">
        <f>D18</f>
        <v>159306</v>
      </c>
      <c r="E21" t="s">
        <v>10</v>
      </c>
      <c r="H21" s="6">
        <f>C30</f>
        <v>131874.24423529409</v>
      </c>
    </row>
    <row r="23" spans="1:8" ht="15.75" x14ac:dyDescent="0.25">
      <c r="A23" t="s">
        <v>5</v>
      </c>
      <c r="B23" s="9" t="s">
        <v>7</v>
      </c>
      <c r="C23" s="8">
        <f>H18</f>
        <v>25435.411764705888</v>
      </c>
      <c r="E23" s="13" t="s">
        <v>11</v>
      </c>
      <c r="F23" s="9" t="s">
        <v>181</v>
      </c>
      <c r="G23" s="15" t="s">
        <v>17</v>
      </c>
      <c r="H23" s="3">
        <f>-(F24*0.007)</f>
        <v>-2935.8</v>
      </c>
    </row>
    <row r="24" spans="1:8" x14ac:dyDescent="0.25">
      <c r="F24" s="21">
        <f>D3-H3</f>
        <v>419400</v>
      </c>
    </row>
    <row r="25" spans="1:8" ht="15.75" x14ac:dyDescent="0.25">
      <c r="A25" t="s">
        <v>8</v>
      </c>
      <c r="B25" s="9" t="s">
        <v>7</v>
      </c>
      <c r="C25" s="8">
        <f>D3*0.004</f>
        <v>1996.3440000000001</v>
      </c>
      <c r="F25" s="9" t="s">
        <v>13</v>
      </c>
      <c r="G25" s="16">
        <v>0.35</v>
      </c>
      <c r="H25" s="29">
        <f>-(F26*0.35)</f>
        <v>-46155.985482352924</v>
      </c>
    </row>
    <row r="26" spans="1:8" ht="15.75" thickBot="1" x14ac:dyDescent="0.3">
      <c r="F26" s="21">
        <f>H21</f>
        <v>131874.24423529409</v>
      </c>
      <c r="H26" s="7"/>
    </row>
    <row r="27" spans="1:8" ht="15.75" x14ac:dyDescent="0.25">
      <c r="A27" t="s">
        <v>9</v>
      </c>
      <c r="B27" s="9" t="s">
        <v>7</v>
      </c>
      <c r="C27" s="10"/>
      <c r="G27" s="13" t="s">
        <v>14</v>
      </c>
      <c r="H27" s="6">
        <f>H21+H23+H25</f>
        <v>82782.458752941166</v>
      </c>
    </row>
    <row r="28" spans="1:8" ht="15.75" thickBot="1" x14ac:dyDescent="0.3">
      <c r="A28" s="16"/>
      <c r="B28" s="14"/>
      <c r="C28" s="7"/>
    </row>
    <row r="29" spans="1:8" x14ac:dyDescent="0.25">
      <c r="E29" t="s">
        <v>151</v>
      </c>
      <c r="H29" s="20">
        <f>H27*0.5</f>
        <v>41391.229376470583</v>
      </c>
    </row>
    <row r="30" spans="1:8" ht="15.75" x14ac:dyDescent="0.25">
      <c r="A30" t="s">
        <v>10</v>
      </c>
      <c r="C30" s="10">
        <f>C21-C23-C25-C27</f>
        <v>131874.24423529409</v>
      </c>
      <c r="H30" s="18"/>
    </row>
    <row r="31" spans="1:8" x14ac:dyDescent="0.25">
      <c r="H31" s="3"/>
    </row>
    <row r="32" spans="1:8" x14ac:dyDescent="0.25">
      <c r="H32" s="18"/>
    </row>
  </sheetData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93875-011B-4E4D-A87E-3FD9FEE65FC6}">
  <dimension ref="A1:H32"/>
  <sheetViews>
    <sheetView workbookViewId="0">
      <selection sqref="A1:XFD1048576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606</v>
      </c>
    </row>
    <row r="3" spans="1:8" ht="21" x14ac:dyDescent="0.35">
      <c r="A3" s="2" t="s">
        <v>1</v>
      </c>
      <c r="D3" s="11">
        <v>999600</v>
      </c>
      <c r="F3" s="12" t="s">
        <v>3</v>
      </c>
      <c r="H3" s="4">
        <f>(D3/1.19)*0.19</f>
        <v>159600</v>
      </c>
    </row>
    <row r="4" spans="1:8" x14ac:dyDescent="0.25">
      <c r="A4" s="13" t="s">
        <v>32</v>
      </c>
      <c r="C4" s="26">
        <v>885</v>
      </c>
    </row>
    <row r="5" spans="1:8" ht="21" x14ac:dyDescent="0.35">
      <c r="A5" s="2" t="s">
        <v>2</v>
      </c>
    </row>
    <row r="7" spans="1:8" ht="18.75" x14ac:dyDescent="0.3">
      <c r="A7" s="5"/>
      <c r="D7" s="4"/>
      <c r="E7" s="25"/>
      <c r="H7" s="4"/>
    </row>
    <row r="8" spans="1:8" ht="18.75" x14ac:dyDescent="0.3">
      <c r="A8" s="5"/>
      <c r="C8" s="3"/>
      <c r="D8" s="32"/>
      <c r="E8" s="25"/>
      <c r="H8" s="4"/>
    </row>
    <row r="9" spans="1:8" ht="18.75" x14ac:dyDescent="0.3">
      <c r="A9" s="5" t="s">
        <v>639</v>
      </c>
      <c r="C9" s="3"/>
      <c r="D9" s="28">
        <v>663615</v>
      </c>
      <c r="E9" s="25"/>
      <c r="H9" s="4">
        <f>(D9/1.19)*0.19</f>
        <v>105955.33613445378</v>
      </c>
    </row>
    <row r="10" spans="1:8" ht="18.75" x14ac:dyDescent="0.3">
      <c r="A10" s="5"/>
      <c r="C10" s="3"/>
      <c r="D10" s="28"/>
      <c r="E10" s="25"/>
      <c r="H10" s="27"/>
    </row>
    <row r="11" spans="1:8" ht="19.5" thickBot="1" x14ac:dyDescent="0.35">
      <c r="A11" s="5"/>
      <c r="C11" s="3"/>
      <c r="D11" s="22"/>
      <c r="E11" s="25"/>
      <c r="H11" s="22"/>
    </row>
    <row r="12" spans="1:8" ht="18.75" customHeight="1" x14ac:dyDescent="0.3">
      <c r="D12" s="4">
        <f>SUM(D7:D11)</f>
        <v>663615</v>
      </c>
      <c r="H12" s="4">
        <f>SUM(H7:H11)</f>
        <v>105955.33613445378</v>
      </c>
    </row>
    <row r="13" spans="1:8" ht="18.75" x14ac:dyDescent="0.3">
      <c r="A13" s="5"/>
      <c r="C13" s="3"/>
      <c r="D13" s="4"/>
      <c r="H13" s="4"/>
    </row>
    <row r="15" spans="1:8" ht="18.75" x14ac:dyDescent="0.3">
      <c r="A15" s="5"/>
      <c r="C15" s="3"/>
      <c r="D15" s="4"/>
      <c r="H15" s="4"/>
    </row>
    <row r="16" spans="1:8" ht="15.75" thickBot="1" x14ac:dyDescent="0.3">
      <c r="D16" s="7"/>
      <c r="H16" s="7"/>
    </row>
    <row r="18" spans="1:8" ht="18.75" x14ac:dyDescent="0.3">
      <c r="C18" t="s">
        <v>4</v>
      </c>
      <c r="D18" s="4">
        <f>D3-D12</f>
        <v>335985</v>
      </c>
      <c r="G18" t="s">
        <v>5</v>
      </c>
      <c r="H18" s="4">
        <f>H3-H12</f>
        <v>53644.663865546216</v>
      </c>
    </row>
    <row r="21" spans="1:8" ht="15.75" x14ac:dyDescent="0.25">
      <c r="A21" t="s">
        <v>6</v>
      </c>
      <c r="C21" s="8">
        <f>D18</f>
        <v>335985</v>
      </c>
      <c r="E21" t="s">
        <v>10</v>
      </c>
      <c r="H21" s="6">
        <f>C30</f>
        <v>278341.93613445375</v>
      </c>
    </row>
    <row r="23" spans="1:8" ht="15.75" x14ac:dyDescent="0.25">
      <c r="A23" t="s">
        <v>5</v>
      </c>
      <c r="B23" s="9" t="s">
        <v>7</v>
      </c>
      <c r="C23" s="8">
        <f>H18</f>
        <v>53644.663865546216</v>
      </c>
      <c r="E23" s="13" t="s">
        <v>11</v>
      </c>
      <c r="F23" s="9" t="s">
        <v>181</v>
      </c>
      <c r="G23" s="15" t="s">
        <v>17</v>
      </c>
      <c r="H23" s="3">
        <f>-(F24*0.007)</f>
        <v>-5880</v>
      </c>
    </row>
    <row r="24" spans="1:8" x14ac:dyDescent="0.25">
      <c r="F24" s="21">
        <f>D3-H3</f>
        <v>840000</v>
      </c>
    </row>
    <row r="25" spans="1:8" ht="15.75" x14ac:dyDescent="0.25">
      <c r="A25" t="s">
        <v>8</v>
      </c>
      <c r="B25" s="9" t="s">
        <v>7</v>
      </c>
      <c r="C25" s="8">
        <f>D3*0.004</f>
        <v>3998.4</v>
      </c>
      <c r="F25" s="9" t="s">
        <v>13</v>
      </c>
      <c r="G25" s="16">
        <v>0.35</v>
      </c>
      <c r="H25" s="29">
        <f>-(F26*0.35)</f>
        <v>-97419.677647058808</v>
      </c>
    </row>
    <row r="26" spans="1:8" ht="15.75" thickBot="1" x14ac:dyDescent="0.3">
      <c r="F26" s="21">
        <f>H21</f>
        <v>278341.93613445375</v>
      </c>
      <c r="H26" s="7"/>
    </row>
    <row r="27" spans="1:8" ht="15.75" x14ac:dyDescent="0.25">
      <c r="A27" t="s">
        <v>9</v>
      </c>
      <c r="B27" s="9" t="s">
        <v>7</v>
      </c>
      <c r="C27" s="10"/>
      <c r="G27" s="13" t="s">
        <v>14</v>
      </c>
      <c r="H27" s="6">
        <f>H21+H23+H25</f>
        <v>175042.25848739495</v>
      </c>
    </row>
    <row r="28" spans="1:8" ht="15.75" thickBot="1" x14ac:dyDescent="0.3">
      <c r="A28" s="16"/>
      <c r="B28" s="14"/>
      <c r="C28" s="7"/>
    </row>
    <row r="29" spans="1:8" x14ac:dyDescent="0.25">
      <c r="E29" t="s">
        <v>151</v>
      </c>
      <c r="H29" s="20">
        <f>H27*0.5</f>
        <v>87521.129243697476</v>
      </c>
    </row>
    <row r="30" spans="1:8" ht="15.75" x14ac:dyDescent="0.25">
      <c r="A30" t="s">
        <v>10</v>
      </c>
      <c r="C30" s="10">
        <f>C21-C23-C25-C27</f>
        <v>278341.93613445375</v>
      </c>
      <c r="H30" s="18"/>
    </row>
    <row r="31" spans="1:8" x14ac:dyDescent="0.25">
      <c r="H31" s="3"/>
    </row>
    <row r="32" spans="1:8" x14ac:dyDescent="0.25">
      <c r="H32" s="18"/>
    </row>
  </sheetData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856D6-D53B-4204-8AB6-76BAFF7B5AD5}">
  <dimension ref="A1:H32"/>
  <sheetViews>
    <sheetView workbookViewId="0">
      <selection activeCell="K20" sqref="K20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642</v>
      </c>
    </row>
    <row r="3" spans="1:8" ht="21" x14ac:dyDescent="0.35">
      <c r="A3" s="2" t="s">
        <v>1</v>
      </c>
      <c r="D3" s="11">
        <v>335580</v>
      </c>
      <c r="F3" s="12" t="s">
        <v>3</v>
      </c>
      <c r="H3" s="4">
        <f>(D3/1.19)*0.19</f>
        <v>53580</v>
      </c>
    </row>
    <row r="4" spans="1:8" x14ac:dyDescent="0.25">
      <c r="A4" s="13" t="s">
        <v>32</v>
      </c>
      <c r="C4" s="26">
        <v>889</v>
      </c>
    </row>
    <row r="5" spans="1:8" ht="21" x14ac:dyDescent="0.35">
      <c r="A5" s="2" t="s">
        <v>2</v>
      </c>
    </row>
    <row r="7" spans="1:8" ht="18.75" x14ac:dyDescent="0.3">
      <c r="A7" s="5"/>
      <c r="D7" s="4"/>
      <c r="E7" s="25"/>
      <c r="H7" s="4"/>
    </row>
    <row r="8" spans="1:8" ht="18.75" x14ac:dyDescent="0.3">
      <c r="A8" s="5"/>
      <c r="C8" s="3"/>
      <c r="D8" s="32"/>
      <c r="E8" s="25"/>
      <c r="H8" s="4"/>
    </row>
    <row r="9" spans="1:8" ht="18.75" x14ac:dyDescent="0.3">
      <c r="A9" s="5" t="s">
        <v>643</v>
      </c>
      <c r="C9" s="3"/>
      <c r="D9" s="28">
        <v>112881</v>
      </c>
      <c r="E9" s="25"/>
      <c r="H9" s="4">
        <f>(D9/1.19)*0.19</f>
        <v>18023.016806722688</v>
      </c>
    </row>
    <row r="10" spans="1:8" ht="18.75" x14ac:dyDescent="0.3">
      <c r="A10" s="5" t="s">
        <v>644</v>
      </c>
      <c r="C10" s="3"/>
      <c r="D10" s="28">
        <v>42100</v>
      </c>
      <c r="E10" s="25"/>
      <c r="H10" s="4">
        <f>(D10/1.19)*0.19</f>
        <v>6721.8487394957983</v>
      </c>
    </row>
    <row r="11" spans="1:8" ht="19.5" thickBot="1" x14ac:dyDescent="0.35">
      <c r="A11" s="5"/>
      <c r="C11" s="3"/>
      <c r="D11" s="22"/>
      <c r="E11" s="25"/>
      <c r="H11" s="22"/>
    </row>
    <row r="12" spans="1:8" ht="18.75" customHeight="1" x14ac:dyDescent="0.3">
      <c r="D12" s="4">
        <f>SUM(D7:D11)</f>
        <v>154981</v>
      </c>
      <c r="H12" s="4">
        <f>SUM(H7:H11)</f>
        <v>24744.865546218487</v>
      </c>
    </row>
    <row r="13" spans="1:8" ht="18.75" x14ac:dyDescent="0.3">
      <c r="A13" s="5"/>
      <c r="C13" s="3"/>
      <c r="D13" s="4"/>
      <c r="H13" s="4"/>
    </row>
    <row r="15" spans="1:8" ht="18.75" x14ac:dyDescent="0.3">
      <c r="A15" s="5"/>
      <c r="C15" s="3"/>
      <c r="D15" s="4"/>
      <c r="H15" s="4"/>
    </row>
    <row r="16" spans="1:8" ht="15.75" thickBot="1" x14ac:dyDescent="0.3">
      <c r="D16" s="7"/>
      <c r="H16" s="7"/>
    </row>
    <row r="18" spans="1:8" ht="18.75" x14ac:dyDescent="0.3">
      <c r="C18" t="s">
        <v>4</v>
      </c>
      <c r="D18" s="4">
        <f>D3-D12</f>
        <v>180599</v>
      </c>
      <c r="G18" t="s">
        <v>5</v>
      </c>
      <c r="H18" s="4">
        <f>H3-H12</f>
        <v>28835.134453781513</v>
      </c>
    </row>
    <row r="21" spans="1:8" ht="15.75" x14ac:dyDescent="0.25">
      <c r="A21" t="s">
        <v>6</v>
      </c>
      <c r="C21" s="8">
        <f>D18</f>
        <v>180599</v>
      </c>
      <c r="E21" t="s">
        <v>10</v>
      </c>
      <c r="H21" s="6">
        <f>C30</f>
        <v>150421.54554621849</v>
      </c>
    </row>
    <row r="23" spans="1:8" ht="15.75" x14ac:dyDescent="0.25">
      <c r="A23" t="s">
        <v>5</v>
      </c>
      <c r="B23" s="9" t="s">
        <v>7</v>
      </c>
      <c r="C23" s="8">
        <f>H18</f>
        <v>28835.134453781513</v>
      </c>
      <c r="E23" s="13" t="s">
        <v>11</v>
      </c>
      <c r="F23" s="9" t="s">
        <v>181</v>
      </c>
      <c r="G23" s="15" t="s">
        <v>17</v>
      </c>
      <c r="H23" s="3">
        <f>-(F24*0.007)</f>
        <v>-1974</v>
      </c>
    </row>
    <row r="24" spans="1:8" x14ac:dyDescent="0.25">
      <c r="F24" s="21">
        <f>D3-H3</f>
        <v>282000</v>
      </c>
    </row>
    <row r="25" spans="1:8" ht="15.75" x14ac:dyDescent="0.25">
      <c r="A25" t="s">
        <v>8</v>
      </c>
      <c r="B25" s="9" t="s">
        <v>7</v>
      </c>
      <c r="C25" s="8">
        <f>D3*0.004</f>
        <v>1342.32</v>
      </c>
      <c r="F25" s="9" t="s">
        <v>13</v>
      </c>
      <c r="G25" s="16">
        <v>0.35</v>
      </c>
      <c r="H25" s="29">
        <f>-(F26*0.35)</f>
        <v>-52647.54094117647</v>
      </c>
    </row>
    <row r="26" spans="1:8" ht="15.75" thickBot="1" x14ac:dyDescent="0.3">
      <c r="F26" s="21">
        <f>H21</f>
        <v>150421.54554621849</v>
      </c>
      <c r="H26" s="7"/>
    </row>
    <row r="27" spans="1:8" ht="15.75" x14ac:dyDescent="0.25">
      <c r="A27" t="s">
        <v>9</v>
      </c>
      <c r="B27" s="9" t="s">
        <v>7</v>
      </c>
      <c r="C27" s="10"/>
      <c r="G27" s="13" t="s">
        <v>14</v>
      </c>
      <c r="H27" s="6">
        <f>H21+H23+H25</f>
        <v>95800.004605042021</v>
      </c>
    </row>
    <row r="28" spans="1:8" ht="15.75" thickBot="1" x14ac:dyDescent="0.3">
      <c r="A28" s="16"/>
      <c r="B28" s="14"/>
      <c r="C28" s="7"/>
    </row>
    <row r="29" spans="1:8" x14ac:dyDescent="0.25">
      <c r="E29" t="s">
        <v>151</v>
      </c>
      <c r="H29" s="20">
        <f>H27*0.5</f>
        <v>47900.00230252101</v>
      </c>
    </row>
    <row r="30" spans="1:8" ht="15.75" x14ac:dyDescent="0.25">
      <c r="A30" t="s">
        <v>10</v>
      </c>
      <c r="C30" s="10">
        <f>C21-C23-C25-C27</f>
        <v>150421.54554621849</v>
      </c>
      <c r="H30" s="18"/>
    </row>
    <row r="31" spans="1:8" x14ac:dyDescent="0.25">
      <c r="H31" s="3"/>
    </row>
    <row r="32" spans="1:8" x14ac:dyDescent="0.25">
      <c r="H32" s="18"/>
    </row>
  </sheetData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D7321-55CD-43ED-BED6-17F2BB72B842}">
  <dimension ref="A1:H32"/>
  <sheetViews>
    <sheetView workbookViewId="0">
      <selection sqref="A1:XFD1048576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568</v>
      </c>
    </row>
    <row r="3" spans="1:8" ht="21" x14ac:dyDescent="0.35">
      <c r="A3" s="2" t="s">
        <v>1</v>
      </c>
      <c r="D3" s="11">
        <v>41650</v>
      </c>
      <c r="F3" s="12" t="s">
        <v>3</v>
      </c>
      <c r="H3" s="4">
        <f>(D3/1.19)*0.19</f>
        <v>6650</v>
      </c>
    </row>
    <row r="4" spans="1:8" x14ac:dyDescent="0.25">
      <c r="A4" s="13" t="s">
        <v>32</v>
      </c>
      <c r="C4" s="26">
        <v>891</v>
      </c>
    </row>
    <row r="5" spans="1:8" ht="21" x14ac:dyDescent="0.35">
      <c r="A5" s="2" t="s">
        <v>2</v>
      </c>
    </row>
    <row r="7" spans="1:8" ht="18.75" x14ac:dyDescent="0.3">
      <c r="A7" s="5"/>
      <c r="D7" s="4"/>
      <c r="E7" s="25"/>
      <c r="H7" s="4"/>
    </row>
    <row r="8" spans="1:8" ht="18.75" x14ac:dyDescent="0.3">
      <c r="A8" s="5"/>
      <c r="C8" s="3"/>
      <c r="D8" s="32"/>
      <c r="E8" s="25"/>
      <c r="H8" s="4"/>
    </row>
    <row r="9" spans="1:8" ht="18.75" x14ac:dyDescent="0.3">
      <c r="A9" s="5" t="s">
        <v>221</v>
      </c>
      <c r="C9" s="3"/>
      <c r="D9" s="28">
        <v>27072</v>
      </c>
      <c r="E9" s="25"/>
      <c r="H9" s="4">
        <f>(D9/1.19)*0.19</f>
        <v>4322.4201680672268</v>
      </c>
    </row>
    <row r="10" spans="1:8" ht="18.75" x14ac:dyDescent="0.3">
      <c r="A10" s="5"/>
      <c r="C10" s="3"/>
      <c r="D10" s="28"/>
      <c r="E10" s="25"/>
      <c r="H10" s="4"/>
    </row>
    <row r="11" spans="1:8" ht="19.5" thickBot="1" x14ac:dyDescent="0.35">
      <c r="A11" s="5"/>
      <c r="C11" s="3"/>
      <c r="D11" s="22"/>
      <c r="E11" s="25"/>
      <c r="H11" s="22"/>
    </row>
    <row r="12" spans="1:8" ht="18.75" customHeight="1" x14ac:dyDescent="0.3">
      <c r="D12" s="4">
        <f>SUM(D7:D11)</f>
        <v>27072</v>
      </c>
      <c r="H12" s="4">
        <f>SUM(H7:H11)</f>
        <v>4322.4201680672268</v>
      </c>
    </row>
    <row r="13" spans="1:8" ht="18.75" x14ac:dyDescent="0.3">
      <c r="A13" s="5"/>
      <c r="C13" s="3"/>
      <c r="D13" s="4"/>
      <c r="H13" s="4"/>
    </row>
    <row r="15" spans="1:8" ht="18.75" x14ac:dyDescent="0.3">
      <c r="A15" s="5"/>
      <c r="C15" s="3"/>
      <c r="D15" s="4"/>
      <c r="H15" s="4"/>
    </row>
    <row r="16" spans="1:8" ht="15.75" thickBot="1" x14ac:dyDescent="0.3">
      <c r="D16" s="7"/>
      <c r="H16" s="7"/>
    </row>
    <row r="18" spans="1:8" ht="18.75" x14ac:dyDescent="0.3">
      <c r="C18" t="s">
        <v>4</v>
      </c>
      <c r="D18" s="4">
        <f>D3-D12</f>
        <v>14578</v>
      </c>
      <c r="G18" t="s">
        <v>5</v>
      </c>
      <c r="H18" s="4">
        <f>H3-H12</f>
        <v>2327.5798319327732</v>
      </c>
    </row>
    <row r="21" spans="1:8" ht="15.75" x14ac:dyDescent="0.25">
      <c r="A21" t="s">
        <v>6</v>
      </c>
      <c r="C21" s="8">
        <f>D18</f>
        <v>14578</v>
      </c>
      <c r="E21" t="s">
        <v>10</v>
      </c>
      <c r="H21" s="6">
        <f>C30</f>
        <v>12083.820168067226</v>
      </c>
    </row>
    <row r="23" spans="1:8" ht="15.75" x14ac:dyDescent="0.25">
      <c r="A23" t="s">
        <v>5</v>
      </c>
      <c r="B23" s="9" t="s">
        <v>7</v>
      </c>
      <c r="C23" s="8">
        <f>H18</f>
        <v>2327.5798319327732</v>
      </c>
      <c r="E23" s="13" t="s">
        <v>11</v>
      </c>
      <c r="F23" s="9" t="s">
        <v>181</v>
      </c>
      <c r="G23" s="15" t="s">
        <v>17</v>
      </c>
      <c r="H23" s="3">
        <f>-(F24*0.007)</f>
        <v>-245</v>
      </c>
    </row>
    <row r="24" spans="1:8" x14ac:dyDescent="0.25">
      <c r="F24" s="21">
        <f>D3-H3</f>
        <v>35000</v>
      </c>
    </row>
    <row r="25" spans="1:8" ht="15.75" x14ac:dyDescent="0.25">
      <c r="A25" t="s">
        <v>8</v>
      </c>
      <c r="B25" s="9" t="s">
        <v>7</v>
      </c>
      <c r="C25" s="8">
        <f>D3*0.004</f>
        <v>166.6</v>
      </c>
      <c r="F25" s="9" t="s">
        <v>13</v>
      </c>
      <c r="G25" s="16">
        <v>0.35</v>
      </c>
      <c r="H25" s="29">
        <f>-(F26*0.35)</f>
        <v>-4229.3370588235293</v>
      </c>
    </row>
    <row r="26" spans="1:8" ht="15.75" thickBot="1" x14ac:dyDescent="0.3">
      <c r="F26" s="21">
        <f>H21</f>
        <v>12083.820168067226</v>
      </c>
      <c r="H26" s="7"/>
    </row>
    <row r="27" spans="1:8" ht="15.75" x14ac:dyDescent="0.25">
      <c r="A27" t="s">
        <v>9</v>
      </c>
      <c r="B27" s="9" t="s">
        <v>7</v>
      </c>
      <c r="C27" s="10"/>
      <c r="G27" s="13" t="s">
        <v>14</v>
      </c>
      <c r="H27" s="6">
        <f>H21+H23+H25</f>
        <v>7609.4831092436971</v>
      </c>
    </row>
    <row r="28" spans="1:8" ht="15.75" thickBot="1" x14ac:dyDescent="0.3">
      <c r="A28" s="16"/>
      <c r="B28" s="14"/>
      <c r="C28" s="7"/>
    </row>
    <row r="29" spans="1:8" x14ac:dyDescent="0.25">
      <c r="E29" t="s">
        <v>151</v>
      </c>
      <c r="H29" s="20">
        <f>H27*0.5</f>
        <v>3804.7415546218485</v>
      </c>
    </row>
    <row r="30" spans="1:8" ht="15.75" x14ac:dyDescent="0.25">
      <c r="A30" t="s">
        <v>10</v>
      </c>
      <c r="C30" s="10">
        <f>C21-C23-C25-C27</f>
        <v>12083.820168067226</v>
      </c>
      <c r="H30" s="18"/>
    </row>
    <row r="31" spans="1:8" x14ac:dyDescent="0.25">
      <c r="H31" s="3"/>
    </row>
    <row r="32" spans="1:8" x14ac:dyDescent="0.25">
      <c r="H32" s="18"/>
    </row>
  </sheetData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2C2EA-52D7-4DC1-AC29-28A008F878C9}">
  <dimension ref="A1:H32"/>
  <sheetViews>
    <sheetView workbookViewId="0">
      <selection sqref="A1:XFD1048576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645</v>
      </c>
    </row>
    <row r="3" spans="1:8" ht="21" x14ac:dyDescent="0.35">
      <c r="A3" s="2" t="s">
        <v>1</v>
      </c>
      <c r="D3" s="11">
        <v>1392300</v>
      </c>
      <c r="F3" s="12" t="s">
        <v>3</v>
      </c>
      <c r="H3" s="4">
        <f>(D3/1.19)*0.19</f>
        <v>222300</v>
      </c>
    </row>
    <row r="4" spans="1:8" x14ac:dyDescent="0.25">
      <c r="A4" s="13" t="s">
        <v>32</v>
      </c>
      <c r="C4" s="26">
        <v>893</v>
      </c>
    </row>
    <row r="5" spans="1:8" ht="21" x14ac:dyDescent="0.35">
      <c r="A5" s="2" t="s">
        <v>2</v>
      </c>
    </row>
    <row r="7" spans="1:8" ht="18.75" x14ac:dyDescent="0.3">
      <c r="A7" s="5"/>
      <c r="D7" s="4"/>
      <c r="E7" s="25"/>
      <c r="H7" s="4"/>
    </row>
    <row r="8" spans="1:8" ht="18.75" x14ac:dyDescent="0.3">
      <c r="A8" s="5"/>
      <c r="C8" s="3"/>
      <c r="D8" s="32"/>
      <c r="E8" s="25"/>
      <c r="H8" s="4"/>
    </row>
    <row r="9" spans="1:8" ht="18.75" x14ac:dyDescent="0.3">
      <c r="A9" s="5" t="s">
        <v>221</v>
      </c>
      <c r="C9" s="3"/>
      <c r="D9" s="28">
        <v>716975</v>
      </c>
      <c r="E9" s="25"/>
      <c r="H9" s="4">
        <f>(D9/1.19)*0.19</f>
        <v>114475</v>
      </c>
    </row>
    <row r="10" spans="1:8" ht="18.75" x14ac:dyDescent="0.3">
      <c r="A10" s="5"/>
      <c r="C10" s="3"/>
      <c r="D10" s="28"/>
      <c r="E10" s="25"/>
      <c r="H10" s="4"/>
    </row>
    <row r="11" spans="1:8" ht="19.5" thickBot="1" x14ac:dyDescent="0.35">
      <c r="A11" s="5"/>
      <c r="C11" s="3"/>
      <c r="D11" s="22"/>
      <c r="E11" s="25"/>
      <c r="H11" s="22"/>
    </row>
    <row r="12" spans="1:8" ht="18.75" customHeight="1" x14ac:dyDescent="0.3">
      <c r="D12" s="4">
        <f>SUM(D7:D11)</f>
        <v>716975</v>
      </c>
      <c r="H12" s="4">
        <f>SUM(H7:H11)</f>
        <v>114475</v>
      </c>
    </row>
    <row r="13" spans="1:8" ht="18.75" x14ac:dyDescent="0.3">
      <c r="A13" s="5"/>
      <c r="C13" s="3"/>
      <c r="D13" s="4"/>
      <c r="H13" s="4"/>
    </row>
    <row r="15" spans="1:8" ht="18.75" x14ac:dyDescent="0.3">
      <c r="A15" s="5"/>
      <c r="C15" s="3"/>
      <c r="D15" s="4"/>
      <c r="H15" s="4"/>
    </row>
    <row r="16" spans="1:8" ht="15.75" thickBot="1" x14ac:dyDescent="0.3">
      <c r="D16" s="7"/>
      <c r="H16" s="7"/>
    </row>
    <row r="18" spans="1:8" ht="18.75" x14ac:dyDescent="0.3">
      <c r="C18" t="s">
        <v>4</v>
      </c>
      <c r="D18" s="4">
        <f>D3-D12</f>
        <v>675325</v>
      </c>
      <c r="G18" t="s">
        <v>5</v>
      </c>
      <c r="H18" s="4">
        <f>H3-H12</f>
        <v>107825</v>
      </c>
    </row>
    <row r="21" spans="1:8" ht="15.75" x14ac:dyDescent="0.25">
      <c r="A21" t="s">
        <v>6</v>
      </c>
      <c r="C21" s="8">
        <f>D18</f>
        <v>675325</v>
      </c>
      <c r="E21" t="s">
        <v>10</v>
      </c>
      <c r="H21" s="6">
        <f>C30</f>
        <v>561930.80000000005</v>
      </c>
    </row>
    <row r="23" spans="1:8" ht="15.75" x14ac:dyDescent="0.25">
      <c r="A23" t="s">
        <v>5</v>
      </c>
      <c r="B23" s="9" t="s">
        <v>7</v>
      </c>
      <c r="C23" s="8">
        <f>H18</f>
        <v>107825</v>
      </c>
      <c r="E23" s="13" t="s">
        <v>11</v>
      </c>
      <c r="F23" s="9" t="s">
        <v>181</v>
      </c>
      <c r="G23" s="15" t="s">
        <v>17</v>
      </c>
      <c r="H23" s="3">
        <f>-(F24*0.007)</f>
        <v>-8190</v>
      </c>
    </row>
    <row r="24" spans="1:8" x14ac:dyDescent="0.25">
      <c r="F24" s="21">
        <f>D3-H3</f>
        <v>1170000</v>
      </c>
    </row>
    <row r="25" spans="1:8" ht="15.75" x14ac:dyDescent="0.25">
      <c r="A25" t="s">
        <v>8</v>
      </c>
      <c r="B25" s="9" t="s">
        <v>7</v>
      </c>
      <c r="C25" s="8">
        <f>D3*0.004</f>
        <v>5569.2</v>
      </c>
      <c r="F25" s="9" t="s">
        <v>13</v>
      </c>
      <c r="G25" s="16">
        <v>0.35</v>
      </c>
      <c r="H25" s="29">
        <f>-(F26*0.35)</f>
        <v>-196675.78</v>
      </c>
    </row>
    <row r="26" spans="1:8" ht="15.75" thickBot="1" x14ac:dyDescent="0.3">
      <c r="F26" s="21">
        <f>H21</f>
        <v>561930.80000000005</v>
      </c>
      <c r="H26" s="7"/>
    </row>
    <row r="27" spans="1:8" ht="15.75" x14ac:dyDescent="0.25">
      <c r="A27" t="s">
        <v>9</v>
      </c>
      <c r="B27" s="9" t="s">
        <v>7</v>
      </c>
      <c r="C27" s="10"/>
      <c r="G27" s="13" t="s">
        <v>14</v>
      </c>
      <c r="H27" s="6">
        <f>H21+H23+H25</f>
        <v>357065.02</v>
      </c>
    </row>
    <row r="28" spans="1:8" ht="15.75" thickBot="1" x14ac:dyDescent="0.3">
      <c r="A28" s="16"/>
      <c r="B28" s="14"/>
      <c r="C28" s="7"/>
    </row>
    <row r="29" spans="1:8" x14ac:dyDescent="0.25">
      <c r="E29" t="s">
        <v>151</v>
      </c>
      <c r="H29" s="20">
        <f>H27*0.5</f>
        <v>178532.51</v>
      </c>
    </row>
    <row r="30" spans="1:8" ht="15.75" x14ac:dyDescent="0.25">
      <c r="A30" t="s">
        <v>10</v>
      </c>
      <c r="C30" s="10">
        <f>C21-C23-C25-C27</f>
        <v>561930.80000000005</v>
      </c>
      <c r="H30" s="18"/>
    </row>
    <row r="31" spans="1:8" x14ac:dyDescent="0.25">
      <c r="H31" s="3"/>
    </row>
    <row r="32" spans="1:8" x14ac:dyDescent="0.25">
      <c r="H32" s="18"/>
    </row>
  </sheetData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C09CD-6CE5-4AE7-AF68-C8395973DECE}">
  <dimension ref="A1:H32"/>
  <sheetViews>
    <sheetView topLeftCell="A10" workbookViewId="0">
      <selection sqref="A1:XFD1048576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506</v>
      </c>
    </row>
    <row r="3" spans="1:8" ht="21" x14ac:dyDescent="0.35">
      <c r="A3" s="2" t="s">
        <v>1</v>
      </c>
      <c r="D3" s="11">
        <v>43435</v>
      </c>
      <c r="F3" s="12" t="s">
        <v>3</v>
      </c>
      <c r="H3" s="4">
        <f>(D3/1.19)*0.19</f>
        <v>6935</v>
      </c>
    </row>
    <row r="4" spans="1:8" x14ac:dyDescent="0.25">
      <c r="A4" s="13" t="s">
        <v>32</v>
      </c>
      <c r="C4" s="26">
        <v>895</v>
      </c>
    </row>
    <row r="5" spans="1:8" ht="21" x14ac:dyDescent="0.35">
      <c r="A5" s="2" t="s">
        <v>2</v>
      </c>
    </row>
    <row r="7" spans="1:8" ht="18.75" x14ac:dyDescent="0.3">
      <c r="A7" s="5"/>
      <c r="D7" s="4"/>
      <c r="E7" s="25"/>
      <c r="H7" s="4"/>
    </row>
    <row r="8" spans="1:8" ht="18.75" x14ac:dyDescent="0.3">
      <c r="A8" s="5"/>
      <c r="C8" s="3"/>
      <c r="D8" s="32"/>
      <c r="E8" s="25"/>
      <c r="H8" s="4"/>
    </row>
    <row r="9" spans="1:8" ht="18.75" x14ac:dyDescent="0.3">
      <c r="A9" s="5" t="s">
        <v>106</v>
      </c>
      <c r="C9" s="3"/>
      <c r="D9" s="28">
        <v>31412</v>
      </c>
      <c r="E9" s="25"/>
      <c r="H9" s="4">
        <f>(D9/1.19)*0.19</f>
        <v>5015.3613445378151</v>
      </c>
    </row>
    <row r="10" spans="1:8" ht="18.75" x14ac:dyDescent="0.3">
      <c r="A10" s="5"/>
      <c r="C10" s="3"/>
      <c r="D10" s="28"/>
      <c r="E10" s="25"/>
      <c r="H10" s="4"/>
    </row>
    <row r="11" spans="1:8" ht="19.5" thickBot="1" x14ac:dyDescent="0.35">
      <c r="A11" s="5"/>
      <c r="C11" s="3"/>
      <c r="D11" s="22"/>
      <c r="E11" s="25"/>
      <c r="H11" s="22"/>
    </row>
    <row r="12" spans="1:8" ht="18.75" customHeight="1" x14ac:dyDescent="0.3">
      <c r="D12" s="4">
        <f>SUM(D7:D11)</f>
        <v>31412</v>
      </c>
      <c r="H12" s="4">
        <f>SUM(H7:H11)</f>
        <v>5015.3613445378151</v>
      </c>
    </row>
    <row r="13" spans="1:8" ht="18.75" x14ac:dyDescent="0.3">
      <c r="A13" s="5"/>
      <c r="C13" s="3"/>
      <c r="D13" s="4"/>
      <c r="H13" s="4"/>
    </row>
    <row r="15" spans="1:8" ht="18.75" x14ac:dyDescent="0.3">
      <c r="A15" s="5"/>
      <c r="C15" s="3"/>
      <c r="D15" s="4"/>
      <c r="H15" s="4"/>
    </row>
    <row r="16" spans="1:8" ht="15.75" thickBot="1" x14ac:dyDescent="0.3">
      <c r="D16" s="7"/>
      <c r="H16" s="7"/>
    </row>
    <row r="18" spans="1:8" ht="18.75" x14ac:dyDescent="0.3">
      <c r="C18" t="s">
        <v>4</v>
      </c>
      <c r="D18" s="4">
        <f>D3-D12</f>
        <v>12023</v>
      </c>
      <c r="G18" t="s">
        <v>5</v>
      </c>
      <c r="H18" s="4">
        <f>H3-H12</f>
        <v>1919.6386554621849</v>
      </c>
    </row>
    <row r="21" spans="1:8" ht="15.75" x14ac:dyDescent="0.25">
      <c r="A21" t="s">
        <v>6</v>
      </c>
      <c r="C21" s="8">
        <f>D18</f>
        <v>12023</v>
      </c>
      <c r="E21" t="s">
        <v>10</v>
      </c>
      <c r="H21" s="6">
        <f>C30</f>
        <v>9929.6213445378144</v>
      </c>
    </row>
    <row r="23" spans="1:8" ht="15.75" x14ac:dyDescent="0.25">
      <c r="A23" t="s">
        <v>5</v>
      </c>
      <c r="B23" s="9" t="s">
        <v>7</v>
      </c>
      <c r="C23" s="8">
        <f>H18</f>
        <v>1919.6386554621849</v>
      </c>
      <c r="E23" s="13" t="s">
        <v>11</v>
      </c>
      <c r="F23" s="9" t="s">
        <v>181</v>
      </c>
      <c r="G23" s="15" t="s">
        <v>17</v>
      </c>
      <c r="H23" s="3">
        <f>-(F24*0.007)</f>
        <v>-255.5</v>
      </c>
    </row>
    <row r="24" spans="1:8" x14ac:dyDescent="0.25">
      <c r="F24" s="21">
        <f>D3-H3</f>
        <v>36500</v>
      </c>
    </row>
    <row r="25" spans="1:8" ht="15.75" x14ac:dyDescent="0.25">
      <c r="A25" t="s">
        <v>8</v>
      </c>
      <c r="B25" s="9" t="s">
        <v>7</v>
      </c>
      <c r="C25" s="8">
        <f>D3*0.004</f>
        <v>173.74</v>
      </c>
      <c r="F25" s="9" t="s">
        <v>13</v>
      </c>
      <c r="G25" s="16">
        <v>0.35</v>
      </c>
      <c r="H25" s="29">
        <f>-(F26*0.35)</f>
        <v>-3475.3674705882349</v>
      </c>
    </row>
    <row r="26" spans="1:8" ht="15.75" thickBot="1" x14ac:dyDescent="0.3">
      <c r="F26" s="21">
        <f>H21</f>
        <v>9929.6213445378144</v>
      </c>
      <c r="H26" s="7"/>
    </row>
    <row r="27" spans="1:8" ht="15.75" x14ac:dyDescent="0.25">
      <c r="A27" t="s">
        <v>9</v>
      </c>
      <c r="B27" s="9" t="s">
        <v>7</v>
      </c>
      <c r="C27" s="10"/>
      <c r="G27" s="13" t="s">
        <v>14</v>
      </c>
      <c r="H27" s="6">
        <f>H21+H23+H25</f>
        <v>6198.7538739495794</v>
      </c>
    </row>
    <row r="28" spans="1:8" ht="15.75" thickBot="1" x14ac:dyDescent="0.3">
      <c r="A28" s="16"/>
      <c r="B28" s="14"/>
      <c r="C28" s="7"/>
    </row>
    <row r="29" spans="1:8" x14ac:dyDescent="0.25">
      <c r="E29" t="s">
        <v>151</v>
      </c>
      <c r="H29" s="20">
        <f>H27*0.5</f>
        <v>3099.3769369747897</v>
      </c>
    </row>
    <row r="30" spans="1:8" ht="15.75" x14ac:dyDescent="0.25">
      <c r="A30" t="s">
        <v>10</v>
      </c>
      <c r="C30" s="10">
        <f>C21-C23-C25-C27</f>
        <v>9929.6213445378144</v>
      </c>
      <c r="H30" s="18"/>
    </row>
    <row r="31" spans="1:8" x14ac:dyDescent="0.25">
      <c r="H31" s="3"/>
    </row>
    <row r="32" spans="1:8" x14ac:dyDescent="0.25">
      <c r="H32" s="18"/>
    </row>
  </sheetData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7A18F-284C-42A0-A1E3-721BB1B51DC4}">
  <dimension ref="A1:H32"/>
  <sheetViews>
    <sheetView topLeftCell="A7" workbookViewId="0">
      <selection sqref="A1:XFD1048576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623</v>
      </c>
    </row>
    <row r="3" spans="1:8" ht="21" x14ac:dyDescent="0.35">
      <c r="A3" s="2" t="s">
        <v>1</v>
      </c>
      <c r="D3" s="11">
        <v>699958</v>
      </c>
      <c r="F3" s="12" t="s">
        <v>3</v>
      </c>
      <c r="H3" s="4">
        <f>(D3/1.19)*0.19</f>
        <v>111758</v>
      </c>
    </row>
    <row r="4" spans="1:8" x14ac:dyDescent="0.25">
      <c r="A4" s="13" t="s">
        <v>32</v>
      </c>
      <c r="C4" s="26">
        <v>896</v>
      </c>
    </row>
    <row r="5" spans="1:8" ht="21" x14ac:dyDescent="0.35">
      <c r="A5" s="2" t="s">
        <v>2</v>
      </c>
    </row>
    <row r="7" spans="1:8" ht="18.75" x14ac:dyDescent="0.3">
      <c r="A7" s="5"/>
      <c r="D7" s="4"/>
      <c r="E7" s="25"/>
      <c r="H7" s="4"/>
    </row>
    <row r="8" spans="1:8" ht="18.75" x14ac:dyDescent="0.3">
      <c r="A8" s="5"/>
      <c r="C8" s="3"/>
      <c r="D8" s="32"/>
      <c r="E8" s="25"/>
      <c r="H8" s="4"/>
    </row>
    <row r="9" spans="1:8" ht="18.75" x14ac:dyDescent="0.3">
      <c r="A9" s="5" t="s">
        <v>376</v>
      </c>
      <c r="C9" s="3"/>
      <c r="D9" s="28">
        <v>390587</v>
      </c>
      <c r="E9" s="25"/>
      <c r="H9" s="4">
        <f>(D9/1.19)*0.19</f>
        <v>62362.630252100847</v>
      </c>
    </row>
    <row r="10" spans="1:8" ht="18.75" x14ac:dyDescent="0.3">
      <c r="A10" s="5" t="s">
        <v>221</v>
      </c>
      <c r="C10" s="3"/>
      <c r="D10" s="28">
        <v>28775</v>
      </c>
      <c r="E10" s="25"/>
      <c r="H10" s="4">
        <f>(D10/1.19)*0.19</f>
        <v>4594.3277310924377</v>
      </c>
    </row>
    <row r="11" spans="1:8" ht="19.5" thickBot="1" x14ac:dyDescent="0.35">
      <c r="A11" s="5"/>
      <c r="C11" s="3"/>
      <c r="D11" s="22"/>
      <c r="E11" s="25"/>
      <c r="H11" s="22"/>
    </row>
    <row r="12" spans="1:8" ht="18.75" customHeight="1" x14ac:dyDescent="0.3">
      <c r="D12" s="4">
        <f>SUM(D7:D11)</f>
        <v>419362</v>
      </c>
      <c r="H12" s="4">
        <f>SUM(H7:H11)</f>
        <v>66956.957983193279</v>
      </c>
    </row>
    <row r="13" spans="1:8" ht="18.75" x14ac:dyDescent="0.3">
      <c r="A13" s="5"/>
      <c r="C13" s="3"/>
      <c r="D13" s="4"/>
      <c r="H13" s="4"/>
    </row>
    <row r="15" spans="1:8" ht="18.75" x14ac:dyDescent="0.3">
      <c r="A15" s="5"/>
      <c r="C15" s="3"/>
      <c r="D15" s="4"/>
      <c r="H15" s="4"/>
    </row>
    <row r="16" spans="1:8" ht="15.75" thickBot="1" x14ac:dyDescent="0.3">
      <c r="D16" s="7"/>
      <c r="H16" s="7"/>
    </row>
    <row r="18" spans="1:8" ht="18.75" x14ac:dyDescent="0.3">
      <c r="C18" t="s">
        <v>4</v>
      </c>
      <c r="D18" s="4">
        <f>D3-D12</f>
        <v>280596</v>
      </c>
      <c r="G18" t="s">
        <v>5</v>
      </c>
      <c r="H18" s="4">
        <f>H3-H12</f>
        <v>44801.042016806721</v>
      </c>
    </row>
    <row r="21" spans="1:8" ht="15.75" x14ac:dyDescent="0.25">
      <c r="A21" t="s">
        <v>6</v>
      </c>
      <c r="C21" s="8">
        <f>D18</f>
        <v>280596</v>
      </c>
      <c r="E21" t="s">
        <v>10</v>
      </c>
      <c r="H21" s="6">
        <f>C30</f>
        <v>232995.12598319328</v>
      </c>
    </row>
    <row r="23" spans="1:8" ht="15.75" x14ac:dyDescent="0.25">
      <c r="A23" t="s">
        <v>5</v>
      </c>
      <c r="B23" s="9" t="s">
        <v>7</v>
      </c>
      <c r="C23" s="8">
        <f>H18</f>
        <v>44801.042016806721</v>
      </c>
      <c r="E23" s="13" t="s">
        <v>11</v>
      </c>
      <c r="F23" s="9" t="s">
        <v>181</v>
      </c>
      <c r="G23" s="15" t="s">
        <v>17</v>
      </c>
      <c r="H23" s="3">
        <f>-(F24*0.007)</f>
        <v>-4117.3999999999996</v>
      </c>
    </row>
    <row r="24" spans="1:8" x14ac:dyDescent="0.25">
      <c r="F24" s="21">
        <f>D3-H3</f>
        <v>588200</v>
      </c>
    </row>
    <row r="25" spans="1:8" ht="15.75" x14ac:dyDescent="0.25">
      <c r="A25" t="s">
        <v>8</v>
      </c>
      <c r="B25" s="9" t="s">
        <v>7</v>
      </c>
      <c r="C25" s="8">
        <f>D3*0.004</f>
        <v>2799.8319999999999</v>
      </c>
      <c r="F25" s="9" t="s">
        <v>13</v>
      </c>
      <c r="G25" s="16">
        <v>0.35</v>
      </c>
      <c r="H25" s="29">
        <f>-(F26*0.35)</f>
        <v>-81548.294094117649</v>
      </c>
    </row>
    <row r="26" spans="1:8" ht="15.75" thickBot="1" x14ac:dyDescent="0.3">
      <c r="F26" s="21">
        <f>H21</f>
        <v>232995.12598319328</v>
      </c>
      <c r="H26" s="7"/>
    </row>
    <row r="27" spans="1:8" ht="15.75" x14ac:dyDescent="0.25">
      <c r="A27" t="s">
        <v>9</v>
      </c>
      <c r="B27" s="9" t="s">
        <v>7</v>
      </c>
      <c r="C27" s="10"/>
      <c r="G27" s="13" t="s">
        <v>14</v>
      </c>
      <c r="H27" s="6">
        <f>H21+H23+H25</f>
        <v>147329.43188907564</v>
      </c>
    </row>
    <row r="28" spans="1:8" ht="15.75" thickBot="1" x14ac:dyDescent="0.3">
      <c r="A28" s="16"/>
      <c r="B28" s="14"/>
      <c r="C28" s="7"/>
    </row>
    <row r="29" spans="1:8" x14ac:dyDescent="0.25">
      <c r="E29" t="s">
        <v>151</v>
      </c>
      <c r="H29" s="20">
        <f>H27*0.5</f>
        <v>73664.71594453782</v>
      </c>
    </row>
    <row r="30" spans="1:8" ht="15.75" x14ac:dyDescent="0.25">
      <c r="A30" t="s">
        <v>10</v>
      </c>
      <c r="C30" s="10">
        <f>C21-C23-C25-C27</f>
        <v>232995.12598319328</v>
      </c>
      <c r="H30" s="18"/>
    </row>
    <row r="31" spans="1:8" x14ac:dyDescent="0.25">
      <c r="H31" s="3"/>
    </row>
    <row r="32" spans="1:8" x14ac:dyDescent="0.25">
      <c r="H32" s="18"/>
    </row>
  </sheetData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A9529-6127-42BF-BD14-65F57ED3D808}">
  <dimension ref="A1:H32"/>
  <sheetViews>
    <sheetView workbookViewId="0">
      <selection sqref="A1:XFD1048576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646</v>
      </c>
    </row>
    <row r="3" spans="1:8" ht="21" x14ac:dyDescent="0.35">
      <c r="A3" s="2" t="s">
        <v>1</v>
      </c>
      <c r="D3" s="11">
        <v>1571990</v>
      </c>
      <c r="F3" s="12" t="s">
        <v>3</v>
      </c>
      <c r="H3" s="4">
        <f>(D3/1.19)*0.19</f>
        <v>250990</v>
      </c>
    </row>
    <row r="4" spans="1:8" x14ac:dyDescent="0.25">
      <c r="A4" s="13" t="s">
        <v>32</v>
      </c>
      <c r="C4" s="26">
        <v>897</v>
      </c>
    </row>
    <row r="5" spans="1:8" ht="21" x14ac:dyDescent="0.35">
      <c r="A5" s="2" t="s">
        <v>2</v>
      </c>
    </row>
    <row r="7" spans="1:8" ht="18.75" x14ac:dyDescent="0.3">
      <c r="A7" s="5"/>
      <c r="D7" s="4"/>
      <c r="E7" s="25"/>
      <c r="H7" s="4"/>
    </row>
    <row r="8" spans="1:8" ht="18.75" x14ac:dyDescent="0.3">
      <c r="A8" s="5"/>
      <c r="C8" s="3"/>
      <c r="D8" s="32"/>
      <c r="E8" s="25"/>
      <c r="H8" s="4"/>
    </row>
    <row r="9" spans="1:8" ht="18.75" x14ac:dyDescent="0.3">
      <c r="A9" s="5" t="s">
        <v>647</v>
      </c>
      <c r="C9" s="3"/>
      <c r="D9" s="28">
        <v>1205827</v>
      </c>
      <c r="E9" s="25"/>
      <c r="H9" s="4">
        <f>(D9/1.19)*0.19</f>
        <v>192527</v>
      </c>
    </row>
    <row r="10" spans="1:8" ht="18.75" x14ac:dyDescent="0.3">
      <c r="A10" s="5"/>
      <c r="C10" s="3"/>
      <c r="D10" s="28"/>
      <c r="E10" s="25"/>
      <c r="H10" s="4"/>
    </row>
    <row r="11" spans="1:8" ht="19.5" thickBot="1" x14ac:dyDescent="0.35">
      <c r="A11" s="5"/>
      <c r="C11" s="3"/>
      <c r="D11" s="22"/>
      <c r="E11" s="25"/>
      <c r="H11" s="22"/>
    </row>
    <row r="12" spans="1:8" ht="18.75" customHeight="1" x14ac:dyDescent="0.3">
      <c r="D12" s="4">
        <f>SUM(D7:D11)</f>
        <v>1205827</v>
      </c>
      <c r="H12" s="4">
        <f>SUM(H7:H11)</f>
        <v>192527</v>
      </c>
    </row>
    <row r="13" spans="1:8" ht="18.75" x14ac:dyDescent="0.3">
      <c r="A13" s="5"/>
      <c r="C13" s="3"/>
      <c r="D13" s="4"/>
      <c r="H13" s="4"/>
    </row>
    <row r="15" spans="1:8" ht="18.75" x14ac:dyDescent="0.3">
      <c r="A15" s="5"/>
      <c r="C15" s="3"/>
      <c r="D15" s="4"/>
      <c r="H15" s="4"/>
    </row>
    <row r="16" spans="1:8" ht="15.75" thickBot="1" x14ac:dyDescent="0.3">
      <c r="D16" s="7"/>
      <c r="H16" s="7"/>
    </row>
    <row r="18" spans="1:8" ht="18.75" x14ac:dyDescent="0.3">
      <c r="C18" t="s">
        <v>4</v>
      </c>
      <c r="D18" s="4">
        <f>D3-D12</f>
        <v>366163</v>
      </c>
      <c r="G18" t="s">
        <v>5</v>
      </c>
      <c r="H18" s="4">
        <f>H3-H12</f>
        <v>58463</v>
      </c>
    </row>
    <row r="21" spans="1:8" ht="15.75" x14ac:dyDescent="0.25">
      <c r="A21" t="s">
        <v>6</v>
      </c>
      <c r="C21" s="8">
        <f>D18</f>
        <v>366163</v>
      </c>
      <c r="E21" t="s">
        <v>10</v>
      </c>
      <c r="H21" s="6">
        <f>C30</f>
        <v>301412.03999999998</v>
      </c>
    </row>
    <row r="23" spans="1:8" ht="15.75" x14ac:dyDescent="0.25">
      <c r="A23" t="s">
        <v>5</v>
      </c>
      <c r="B23" s="9" t="s">
        <v>7</v>
      </c>
      <c r="C23" s="8">
        <f>H18</f>
        <v>58463</v>
      </c>
      <c r="E23" s="13" t="s">
        <v>11</v>
      </c>
      <c r="F23" s="9" t="s">
        <v>181</v>
      </c>
      <c r="G23" s="15" t="s">
        <v>17</v>
      </c>
      <c r="H23" s="3">
        <f>-(F24*0.0077)</f>
        <v>-10171.700000000001</v>
      </c>
    </row>
    <row r="24" spans="1:8" x14ac:dyDescent="0.25">
      <c r="F24" s="21">
        <f>D3-H3</f>
        <v>1321000</v>
      </c>
    </row>
    <row r="25" spans="1:8" ht="15.75" x14ac:dyDescent="0.25">
      <c r="A25" t="s">
        <v>8</v>
      </c>
      <c r="B25" s="9" t="s">
        <v>7</v>
      </c>
      <c r="C25" s="8">
        <f>D3*0.004</f>
        <v>6287.96</v>
      </c>
      <c r="F25" s="9" t="s">
        <v>13</v>
      </c>
      <c r="G25" s="16">
        <v>0.35</v>
      </c>
      <c r="H25" s="29">
        <f>-(F26*0.35)</f>
        <v>-105494.21399999999</v>
      </c>
    </row>
    <row r="26" spans="1:8" ht="15.75" thickBot="1" x14ac:dyDescent="0.3">
      <c r="F26" s="21">
        <f>H21</f>
        <v>301412.03999999998</v>
      </c>
      <c r="H26" s="7"/>
    </row>
    <row r="27" spans="1:8" ht="15.75" x14ac:dyDescent="0.25">
      <c r="A27" t="s">
        <v>9</v>
      </c>
      <c r="B27" s="9" t="s">
        <v>7</v>
      </c>
      <c r="C27" s="10"/>
      <c r="G27" s="13" t="s">
        <v>14</v>
      </c>
      <c r="H27" s="6">
        <f>H21+H23+H25</f>
        <v>185746.12599999999</v>
      </c>
    </row>
    <row r="28" spans="1:8" ht="15.75" thickBot="1" x14ac:dyDescent="0.3">
      <c r="A28" s="16"/>
      <c r="B28" s="14"/>
      <c r="C28" s="7"/>
    </row>
    <row r="29" spans="1:8" x14ac:dyDescent="0.25">
      <c r="E29" t="s">
        <v>151</v>
      </c>
      <c r="H29" s="20">
        <f>H27*0.5</f>
        <v>92873.062999999995</v>
      </c>
    </row>
    <row r="30" spans="1:8" ht="15.75" x14ac:dyDescent="0.25">
      <c r="A30" t="s">
        <v>10</v>
      </c>
      <c r="C30" s="10">
        <f>C21-C23-C25-C27</f>
        <v>301412.03999999998</v>
      </c>
      <c r="H30" s="18"/>
    </row>
    <row r="31" spans="1:8" x14ac:dyDescent="0.25">
      <c r="H31" s="3"/>
    </row>
    <row r="32" spans="1:8" x14ac:dyDescent="0.25">
      <c r="H32" s="18"/>
    </row>
  </sheetData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DFE9F-7858-4FA1-8942-A140E2DAE3D4}">
  <dimension ref="A1:H32"/>
  <sheetViews>
    <sheetView workbookViewId="0">
      <selection sqref="A1:XFD1048576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614</v>
      </c>
    </row>
    <row r="3" spans="1:8" ht="21" x14ac:dyDescent="0.35">
      <c r="A3" s="2" t="s">
        <v>1</v>
      </c>
      <c r="D3" s="11">
        <v>92820</v>
      </c>
      <c r="F3" s="12" t="s">
        <v>3</v>
      </c>
      <c r="H3" s="4">
        <f>(D3/1.19)*0.19</f>
        <v>14820</v>
      </c>
    </row>
    <row r="4" spans="1:8" x14ac:dyDescent="0.25">
      <c r="A4" s="13" t="s">
        <v>32</v>
      </c>
      <c r="C4" s="26">
        <v>898</v>
      </c>
    </row>
    <row r="5" spans="1:8" ht="21" x14ac:dyDescent="0.35">
      <c r="A5" s="2" t="s">
        <v>2</v>
      </c>
    </row>
    <row r="7" spans="1:8" ht="18.75" x14ac:dyDescent="0.3">
      <c r="A7" s="5"/>
      <c r="D7" s="4"/>
      <c r="E7" s="25"/>
      <c r="H7" s="4"/>
    </row>
    <row r="8" spans="1:8" ht="18.75" x14ac:dyDescent="0.3">
      <c r="A8" s="5"/>
      <c r="C8" s="3"/>
      <c r="D8" s="32"/>
      <c r="E8" s="25"/>
      <c r="H8" s="4"/>
    </row>
    <row r="9" spans="1:8" ht="18.75" x14ac:dyDescent="0.3">
      <c r="A9" s="5" t="s">
        <v>622</v>
      </c>
      <c r="C9" s="3"/>
      <c r="D9" s="28">
        <v>67830</v>
      </c>
      <c r="E9" s="25"/>
      <c r="H9" s="4">
        <f>(D9/1.19)*0.19</f>
        <v>10830</v>
      </c>
    </row>
    <row r="10" spans="1:8" ht="18.75" x14ac:dyDescent="0.3">
      <c r="A10" s="5"/>
      <c r="C10" s="3"/>
      <c r="D10" s="28"/>
      <c r="E10" s="25"/>
      <c r="H10" s="4"/>
    </row>
    <row r="11" spans="1:8" ht="19.5" thickBot="1" x14ac:dyDescent="0.35">
      <c r="A11" s="5"/>
      <c r="C11" s="3"/>
      <c r="D11" s="22"/>
      <c r="E11" s="25"/>
      <c r="H11" s="22"/>
    </row>
    <row r="12" spans="1:8" ht="18.75" customHeight="1" x14ac:dyDescent="0.3">
      <c r="D12" s="4">
        <f>SUM(D7:D11)</f>
        <v>67830</v>
      </c>
      <c r="H12" s="4">
        <f>SUM(H7:H11)</f>
        <v>10830</v>
      </c>
    </row>
    <row r="13" spans="1:8" ht="18.75" x14ac:dyDescent="0.3">
      <c r="A13" s="5"/>
      <c r="C13" s="3"/>
      <c r="D13" s="4"/>
      <c r="H13" s="4"/>
    </row>
    <row r="15" spans="1:8" ht="18.75" x14ac:dyDescent="0.3">
      <c r="A15" s="5"/>
      <c r="C15" s="3"/>
      <c r="D15" s="4"/>
      <c r="H15" s="4"/>
    </row>
    <row r="16" spans="1:8" ht="15.75" thickBot="1" x14ac:dyDescent="0.3">
      <c r="D16" s="7"/>
      <c r="H16" s="7"/>
    </row>
    <row r="18" spans="1:8" ht="18.75" x14ac:dyDescent="0.3">
      <c r="C18" t="s">
        <v>4</v>
      </c>
      <c r="D18" s="4">
        <f>D3-D12</f>
        <v>24990</v>
      </c>
      <c r="G18" t="s">
        <v>5</v>
      </c>
      <c r="H18" s="4">
        <f>H3-H12</f>
        <v>3990</v>
      </c>
    </row>
    <row r="21" spans="1:8" ht="15.75" x14ac:dyDescent="0.25">
      <c r="A21" t="s">
        <v>6</v>
      </c>
      <c r="C21" s="8">
        <f>D18</f>
        <v>24990</v>
      </c>
      <c r="E21" t="s">
        <v>10</v>
      </c>
      <c r="H21" s="6">
        <f>C30</f>
        <v>20628.72</v>
      </c>
    </row>
    <row r="23" spans="1:8" ht="15.75" x14ac:dyDescent="0.25">
      <c r="A23" t="s">
        <v>5</v>
      </c>
      <c r="B23" s="9" t="s">
        <v>7</v>
      </c>
      <c r="C23" s="8">
        <f>H18</f>
        <v>3990</v>
      </c>
      <c r="E23" s="13" t="s">
        <v>11</v>
      </c>
      <c r="F23" s="9" t="s">
        <v>181</v>
      </c>
      <c r="G23" s="15" t="s">
        <v>17</v>
      </c>
      <c r="H23" s="3">
        <f>-(F24*0.0077)</f>
        <v>-600.6</v>
      </c>
    </row>
    <row r="24" spans="1:8" x14ac:dyDescent="0.25">
      <c r="F24" s="21">
        <f>D3-H3</f>
        <v>78000</v>
      </c>
    </row>
    <row r="25" spans="1:8" ht="15.75" x14ac:dyDescent="0.25">
      <c r="A25" t="s">
        <v>8</v>
      </c>
      <c r="B25" s="9" t="s">
        <v>7</v>
      </c>
      <c r="C25" s="8">
        <f>D3*0.004</f>
        <v>371.28000000000003</v>
      </c>
      <c r="F25" s="9" t="s">
        <v>13</v>
      </c>
      <c r="G25" s="16">
        <v>0.35</v>
      </c>
      <c r="H25" s="29">
        <f>-(F26*0.35)</f>
        <v>-7220.0519999999997</v>
      </c>
    </row>
    <row r="26" spans="1:8" ht="15.75" thickBot="1" x14ac:dyDescent="0.3">
      <c r="F26" s="21">
        <f>H21</f>
        <v>20628.72</v>
      </c>
      <c r="H26" s="7"/>
    </row>
    <row r="27" spans="1:8" ht="15.75" x14ac:dyDescent="0.25">
      <c r="A27" t="s">
        <v>9</v>
      </c>
      <c r="B27" s="9" t="s">
        <v>7</v>
      </c>
      <c r="C27" s="10"/>
      <c r="G27" s="13" t="s">
        <v>14</v>
      </c>
      <c r="H27" s="6">
        <f>H21+H23+H25</f>
        <v>12808.068000000003</v>
      </c>
    </row>
    <row r="28" spans="1:8" ht="15.75" thickBot="1" x14ac:dyDescent="0.3">
      <c r="A28" s="16"/>
      <c r="B28" s="14"/>
      <c r="C28" s="7"/>
    </row>
    <row r="29" spans="1:8" x14ac:dyDescent="0.25">
      <c r="E29" t="s">
        <v>151</v>
      </c>
      <c r="H29" s="20">
        <f>H27*0.5</f>
        <v>6404.0340000000015</v>
      </c>
    </row>
    <row r="30" spans="1:8" ht="15.75" x14ac:dyDescent="0.25">
      <c r="A30" t="s">
        <v>10</v>
      </c>
      <c r="C30" s="10">
        <f>C21-C23-C25-C27</f>
        <v>20628.72</v>
      </c>
      <c r="H30" s="18"/>
    </row>
    <row r="31" spans="1:8" x14ac:dyDescent="0.25">
      <c r="H31" s="3"/>
    </row>
    <row r="32" spans="1:8" x14ac:dyDescent="0.25">
      <c r="H32" s="18"/>
    </row>
  </sheetData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C618E-1EAF-4BF5-B965-BF579A98A128}">
  <dimension ref="A1:H32"/>
  <sheetViews>
    <sheetView workbookViewId="0">
      <selection activeCell="D10" sqref="D10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648</v>
      </c>
    </row>
    <row r="3" spans="1:8" ht="21" x14ac:dyDescent="0.35">
      <c r="A3" s="2" t="s">
        <v>1</v>
      </c>
      <c r="D3" s="11">
        <v>380800</v>
      </c>
      <c r="F3" s="12" t="s">
        <v>3</v>
      </c>
      <c r="H3" s="4">
        <f>(D3/1.19)*0.19</f>
        <v>60800</v>
      </c>
    </row>
    <row r="4" spans="1:8" x14ac:dyDescent="0.25">
      <c r="A4" s="13" t="s">
        <v>32</v>
      </c>
      <c r="C4" s="26">
        <v>899</v>
      </c>
    </row>
    <row r="5" spans="1:8" ht="21" x14ac:dyDescent="0.35">
      <c r="A5" s="2" t="s">
        <v>2</v>
      </c>
    </row>
    <row r="7" spans="1:8" ht="18.75" x14ac:dyDescent="0.3">
      <c r="A7" s="5"/>
      <c r="D7" s="4"/>
      <c r="E7" s="25"/>
      <c r="H7" s="4"/>
    </row>
    <row r="8" spans="1:8" ht="18.75" x14ac:dyDescent="0.3">
      <c r="A8" s="5"/>
      <c r="C8" s="3"/>
      <c r="D8" s="32"/>
      <c r="E8" s="25"/>
      <c r="H8" s="4"/>
    </row>
    <row r="9" spans="1:8" ht="18.75" x14ac:dyDescent="0.3">
      <c r="A9" s="5" t="s">
        <v>476</v>
      </c>
      <c r="C9" s="3"/>
      <c r="D9" s="28">
        <v>264450</v>
      </c>
      <c r="E9" s="25"/>
      <c r="H9" s="4">
        <f>(D9/1.19)*0.19</f>
        <v>42223.109243697487</v>
      </c>
    </row>
    <row r="10" spans="1:8" ht="18.75" x14ac:dyDescent="0.3">
      <c r="A10" s="5"/>
      <c r="C10" s="3"/>
      <c r="D10" s="28"/>
      <c r="E10" s="25"/>
      <c r="H10" s="4"/>
    </row>
    <row r="11" spans="1:8" ht="19.5" thickBot="1" x14ac:dyDescent="0.35">
      <c r="A11" s="5"/>
      <c r="C11" s="3"/>
      <c r="D11" s="22"/>
      <c r="E11" s="25"/>
      <c r="H11" s="22"/>
    </row>
    <row r="12" spans="1:8" ht="18.75" customHeight="1" x14ac:dyDescent="0.3">
      <c r="D12" s="4">
        <f>SUM(D7:D11)</f>
        <v>264450</v>
      </c>
      <c r="H12" s="4">
        <f>SUM(H7:H11)</f>
        <v>42223.109243697487</v>
      </c>
    </row>
    <row r="13" spans="1:8" ht="18.75" x14ac:dyDescent="0.3">
      <c r="A13" s="5"/>
      <c r="C13" s="3"/>
      <c r="D13" s="4"/>
      <c r="H13" s="4"/>
    </row>
    <row r="15" spans="1:8" ht="18.75" x14ac:dyDescent="0.3">
      <c r="A15" s="5"/>
      <c r="C15" s="3"/>
      <c r="D15" s="4"/>
      <c r="H15" s="4"/>
    </row>
    <row r="16" spans="1:8" ht="15.75" thickBot="1" x14ac:dyDescent="0.3">
      <c r="D16" s="7"/>
      <c r="H16" s="7"/>
    </row>
    <row r="18" spans="1:8" ht="18.75" x14ac:dyDescent="0.3">
      <c r="C18" t="s">
        <v>4</v>
      </c>
      <c r="D18" s="4">
        <f>D3-D12</f>
        <v>116350</v>
      </c>
      <c r="G18" t="s">
        <v>5</v>
      </c>
      <c r="H18" s="4">
        <f>H3-H12</f>
        <v>18576.890756302513</v>
      </c>
    </row>
    <row r="21" spans="1:8" ht="15.75" x14ac:dyDescent="0.25">
      <c r="A21" t="s">
        <v>6</v>
      </c>
      <c r="C21" s="8">
        <f>D18</f>
        <v>116350</v>
      </c>
      <c r="E21" t="s">
        <v>10</v>
      </c>
      <c r="H21" s="6">
        <f>C30</f>
        <v>96249.90924369749</v>
      </c>
    </row>
    <row r="23" spans="1:8" ht="15.75" x14ac:dyDescent="0.25">
      <c r="A23" t="s">
        <v>5</v>
      </c>
      <c r="B23" s="9" t="s">
        <v>7</v>
      </c>
      <c r="C23" s="8">
        <f>H18</f>
        <v>18576.890756302513</v>
      </c>
      <c r="E23" s="13" t="s">
        <v>11</v>
      </c>
      <c r="F23" s="9" t="s">
        <v>181</v>
      </c>
      <c r="G23" s="15" t="s">
        <v>17</v>
      </c>
      <c r="H23" s="3">
        <f>-(F24*0.0077)</f>
        <v>-2464</v>
      </c>
    </row>
    <row r="24" spans="1:8" x14ac:dyDescent="0.25">
      <c r="F24" s="21">
        <f>D3-H3</f>
        <v>320000</v>
      </c>
    </row>
    <row r="25" spans="1:8" ht="15.75" x14ac:dyDescent="0.25">
      <c r="A25" t="s">
        <v>8</v>
      </c>
      <c r="B25" s="9" t="s">
        <v>7</v>
      </c>
      <c r="C25" s="8">
        <f>D3*0.004</f>
        <v>1523.2</v>
      </c>
      <c r="F25" s="9" t="s">
        <v>13</v>
      </c>
      <c r="G25" s="16">
        <v>0.35</v>
      </c>
      <c r="H25" s="29">
        <f>-(F26*0.35)</f>
        <v>-33687.468235294116</v>
      </c>
    </row>
    <row r="26" spans="1:8" ht="15.75" thickBot="1" x14ac:dyDescent="0.3">
      <c r="F26" s="21">
        <f>H21</f>
        <v>96249.90924369749</v>
      </c>
      <c r="H26" s="7"/>
    </row>
    <row r="27" spans="1:8" ht="15.75" x14ac:dyDescent="0.25">
      <c r="A27" t="s">
        <v>9</v>
      </c>
      <c r="B27" s="9" t="s">
        <v>7</v>
      </c>
      <c r="C27" s="10"/>
      <c r="G27" s="13" t="s">
        <v>14</v>
      </c>
      <c r="H27" s="6">
        <f>H21+H23+H25</f>
        <v>60098.441008403373</v>
      </c>
    </row>
    <row r="28" spans="1:8" ht="15.75" thickBot="1" x14ac:dyDescent="0.3">
      <c r="A28" s="16"/>
      <c r="B28" s="14"/>
      <c r="C28" s="7"/>
    </row>
    <row r="29" spans="1:8" x14ac:dyDescent="0.25">
      <c r="E29" t="s">
        <v>151</v>
      </c>
      <c r="H29" s="20">
        <f>H27*0.5</f>
        <v>30049.220504201687</v>
      </c>
    </row>
    <row r="30" spans="1:8" ht="15.75" x14ac:dyDescent="0.25">
      <c r="A30" t="s">
        <v>10</v>
      </c>
      <c r="C30" s="10">
        <f>C21-C23-C25-C27</f>
        <v>96249.90924369749</v>
      </c>
      <c r="H30" s="18"/>
    </row>
    <row r="31" spans="1:8" x14ac:dyDescent="0.25">
      <c r="H31" s="3"/>
    </row>
    <row r="32" spans="1:8" x14ac:dyDescent="0.25">
      <c r="H32" s="18"/>
    </row>
  </sheetData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33CF9-E1BA-4819-A515-2C0CFF749323}">
  <dimension ref="A1:H32"/>
  <sheetViews>
    <sheetView topLeftCell="A7" workbookViewId="0">
      <selection activeCell="D10" sqref="D10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649</v>
      </c>
    </row>
    <row r="3" spans="1:8" ht="21" x14ac:dyDescent="0.35">
      <c r="A3" s="2" t="s">
        <v>1</v>
      </c>
      <c r="D3" s="11">
        <v>292740</v>
      </c>
      <c r="F3" s="12" t="s">
        <v>3</v>
      </c>
      <c r="H3" s="4">
        <f>(D3/1.19)*0.19</f>
        <v>46740</v>
      </c>
    </row>
    <row r="4" spans="1:8" x14ac:dyDescent="0.25">
      <c r="A4" s="13" t="s">
        <v>32</v>
      </c>
      <c r="C4" s="26">
        <v>900</v>
      </c>
    </row>
    <row r="5" spans="1:8" ht="21" x14ac:dyDescent="0.35">
      <c r="A5" s="2" t="s">
        <v>2</v>
      </c>
    </row>
    <row r="7" spans="1:8" ht="18.75" x14ac:dyDescent="0.3">
      <c r="A7" s="5"/>
      <c r="D7" s="4"/>
      <c r="E7" s="25"/>
      <c r="H7" s="4"/>
    </row>
    <row r="8" spans="1:8" ht="18.75" x14ac:dyDescent="0.3">
      <c r="A8" s="5"/>
      <c r="C8" s="3"/>
      <c r="D8" s="32"/>
      <c r="E8" s="25"/>
      <c r="H8" s="4"/>
    </row>
    <row r="9" spans="1:8" ht="18.75" x14ac:dyDescent="0.3">
      <c r="A9" s="5" t="s">
        <v>221</v>
      </c>
      <c r="C9" s="3"/>
      <c r="D9" s="28">
        <v>137130</v>
      </c>
      <c r="E9" s="25"/>
      <c r="H9" s="4">
        <f>(D9/1.19)*0.19</f>
        <v>21894.705882352941</v>
      </c>
    </row>
    <row r="10" spans="1:8" ht="18.75" x14ac:dyDescent="0.3">
      <c r="A10" s="5"/>
      <c r="C10" s="3"/>
      <c r="D10" s="28"/>
      <c r="E10" s="25"/>
      <c r="H10" s="4"/>
    </row>
    <row r="11" spans="1:8" ht="19.5" thickBot="1" x14ac:dyDescent="0.35">
      <c r="A11" s="5"/>
      <c r="C11" s="3"/>
      <c r="D11" s="22"/>
      <c r="E11" s="25"/>
      <c r="H11" s="22"/>
    </row>
    <row r="12" spans="1:8" ht="18.75" customHeight="1" x14ac:dyDescent="0.3">
      <c r="D12" s="4">
        <f>SUM(D7:D11)</f>
        <v>137130</v>
      </c>
      <c r="H12" s="4">
        <f>SUM(H7:H11)</f>
        <v>21894.705882352941</v>
      </c>
    </row>
    <row r="13" spans="1:8" ht="18.75" x14ac:dyDescent="0.3">
      <c r="A13" s="5"/>
      <c r="C13" s="3"/>
      <c r="D13" s="4"/>
      <c r="H13" s="4"/>
    </row>
    <row r="15" spans="1:8" ht="18.75" x14ac:dyDescent="0.3">
      <c r="A15" s="5"/>
      <c r="C15" s="3"/>
      <c r="D15" s="4"/>
      <c r="H15" s="4"/>
    </row>
    <row r="16" spans="1:8" ht="15.75" thickBot="1" x14ac:dyDescent="0.3">
      <c r="D16" s="7"/>
      <c r="H16" s="7"/>
    </row>
    <row r="18" spans="1:8" ht="18.75" x14ac:dyDescent="0.3">
      <c r="C18" t="s">
        <v>4</v>
      </c>
      <c r="D18" s="4">
        <f>D3-D12</f>
        <v>155610</v>
      </c>
      <c r="G18" t="s">
        <v>5</v>
      </c>
      <c r="H18" s="4">
        <f>H3-H12</f>
        <v>24845.294117647059</v>
      </c>
    </row>
    <row r="21" spans="1:8" ht="15.75" x14ac:dyDescent="0.25">
      <c r="A21" t="s">
        <v>6</v>
      </c>
      <c r="C21" s="8">
        <f>D18</f>
        <v>155610</v>
      </c>
      <c r="E21" t="s">
        <v>10</v>
      </c>
      <c r="H21" s="6">
        <f>C30</f>
        <v>129593.74588235293</v>
      </c>
    </row>
    <row r="23" spans="1:8" ht="15.75" x14ac:dyDescent="0.25">
      <c r="A23" t="s">
        <v>5</v>
      </c>
      <c r="B23" s="9" t="s">
        <v>7</v>
      </c>
      <c r="C23" s="8">
        <f>H18</f>
        <v>24845.294117647059</v>
      </c>
      <c r="E23" s="13" t="s">
        <v>11</v>
      </c>
      <c r="F23" s="9" t="s">
        <v>181</v>
      </c>
      <c r="G23" s="15" t="s">
        <v>17</v>
      </c>
      <c r="H23" s="3">
        <f>-(F24*0.0077)</f>
        <v>-1894.2</v>
      </c>
    </row>
    <row r="24" spans="1:8" x14ac:dyDescent="0.25">
      <c r="F24" s="21">
        <f>D3-H3</f>
        <v>246000</v>
      </c>
    </row>
    <row r="25" spans="1:8" ht="15.75" x14ac:dyDescent="0.25">
      <c r="A25" t="s">
        <v>8</v>
      </c>
      <c r="B25" s="9" t="s">
        <v>7</v>
      </c>
      <c r="C25" s="8">
        <f>D3*0.004</f>
        <v>1170.96</v>
      </c>
      <c r="F25" s="9" t="s">
        <v>13</v>
      </c>
      <c r="G25" s="16">
        <v>0.35</v>
      </c>
      <c r="H25" s="29">
        <f>-(F26*0.35)</f>
        <v>-45357.811058823521</v>
      </c>
    </row>
    <row r="26" spans="1:8" ht="15.75" thickBot="1" x14ac:dyDescent="0.3">
      <c r="F26" s="21">
        <f>H21</f>
        <v>129593.74588235293</v>
      </c>
      <c r="H26" s="7"/>
    </row>
    <row r="27" spans="1:8" ht="15.75" x14ac:dyDescent="0.25">
      <c r="A27" t="s">
        <v>9</v>
      </c>
      <c r="B27" s="9" t="s">
        <v>7</v>
      </c>
      <c r="C27" s="10"/>
      <c r="G27" s="13" t="s">
        <v>14</v>
      </c>
      <c r="H27" s="6">
        <f>H21+H23+H25</f>
        <v>82341.734823529405</v>
      </c>
    </row>
    <row r="28" spans="1:8" ht="15.75" thickBot="1" x14ac:dyDescent="0.3">
      <c r="A28" s="16"/>
      <c r="B28" s="14"/>
      <c r="C28" s="7"/>
    </row>
    <row r="29" spans="1:8" x14ac:dyDescent="0.25">
      <c r="E29" t="s">
        <v>151</v>
      </c>
      <c r="H29" s="20">
        <f>H27*0.5</f>
        <v>41170.867411764702</v>
      </c>
    </row>
    <row r="30" spans="1:8" ht="15.75" x14ac:dyDescent="0.25">
      <c r="A30" t="s">
        <v>10</v>
      </c>
      <c r="C30" s="10">
        <f>C21-C23-C25-C27</f>
        <v>129593.74588235293</v>
      </c>
      <c r="H30" s="18"/>
    </row>
    <row r="31" spans="1:8" x14ac:dyDescent="0.25">
      <c r="H31" s="3"/>
    </row>
    <row r="32" spans="1:8" x14ac:dyDescent="0.25">
      <c r="H32" s="18"/>
    </row>
  </sheetData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6A041-2046-4367-B3C8-F3DCC462667E}">
  <dimension ref="A1:H32"/>
  <sheetViews>
    <sheetView topLeftCell="A13" workbookViewId="0">
      <selection sqref="A1:XFD1048576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650</v>
      </c>
    </row>
    <row r="3" spans="1:8" ht="21" x14ac:dyDescent="0.35">
      <c r="A3" s="2" t="s">
        <v>1</v>
      </c>
      <c r="D3" s="11">
        <v>830620</v>
      </c>
      <c r="F3" s="12" t="s">
        <v>3</v>
      </c>
      <c r="H3" s="4">
        <f>(D3/1.19)*0.19</f>
        <v>132620</v>
      </c>
    </row>
    <row r="4" spans="1:8" x14ac:dyDescent="0.25">
      <c r="A4" s="13" t="s">
        <v>32</v>
      </c>
      <c r="C4" s="26">
        <v>901</v>
      </c>
    </row>
    <row r="5" spans="1:8" ht="21" x14ac:dyDescent="0.35">
      <c r="A5" s="2" t="s">
        <v>2</v>
      </c>
    </row>
    <row r="7" spans="1:8" ht="18.75" x14ac:dyDescent="0.3">
      <c r="A7" s="5"/>
      <c r="D7" s="4"/>
      <c r="E7" s="25"/>
      <c r="H7" s="4"/>
    </row>
    <row r="8" spans="1:8" ht="18.75" x14ac:dyDescent="0.3">
      <c r="A8" s="5"/>
      <c r="C8" s="3"/>
      <c r="D8" s="32"/>
      <c r="E8" s="25"/>
      <c r="H8" s="4"/>
    </row>
    <row r="9" spans="1:8" ht="18.75" x14ac:dyDescent="0.3">
      <c r="A9" s="5" t="s">
        <v>312</v>
      </c>
      <c r="C9" s="3"/>
      <c r="D9" s="28">
        <v>598451</v>
      </c>
      <c r="E9" s="25"/>
      <c r="H9" s="4">
        <f>(D9/1.19)*0.19</f>
        <v>95551</v>
      </c>
    </row>
    <row r="10" spans="1:8" ht="18.75" x14ac:dyDescent="0.3">
      <c r="A10" s="5"/>
      <c r="C10" s="3"/>
      <c r="D10" s="28"/>
      <c r="E10" s="25"/>
      <c r="H10" s="4"/>
    </row>
    <row r="11" spans="1:8" ht="19.5" thickBot="1" x14ac:dyDescent="0.35">
      <c r="A11" s="5"/>
      <c r="C11" s="3"/>
      <c r="D11" s="22"/>
      <c r="E11" s="25"/>
      <c r="H11" s="22"/>
    </row>
    <row r="12" spans="1:8" ht="18.75" customHeight="1" x14ac:dyDescent="0.3">
      <c r="D12" s="4">
        <f>SUM(D7:D11)</f>
        <v>598451</v>
      </c>
      <c r="H12" s="4">
        <f>SUM(H7:H11)</f>
        <v>95551</v>
      </c>
    </row>
    <row r="13" spans="1:8" ht="18.75" x14ac:dyDescent="0.3">
      <c r="A13" s="5"/>
      <c r="C13" s="3"/>
      <c r="D13" s="4"/>
      <c r="H13" s="4"/>
    </row>
    <row r="15" spans="1:8" ht="18.75" x14ac:dyDescent="0.3">
      <c r="A15" s="5"/>
      <c r="C15" s="3"/>
      <c r="D15" s="4"/>
      <c r="H15" s="4"/>
    </row>
    <row r="16" spans="1:8" ht="15.75" thickBot="1" x14ac:dyDescent="0.3">
      <c r="D16" s="7"/>
      <c r="H16" s="7"/>
    </row>
    <row r="18" spans="1:8" ht="18.75" x14ac:dyDescent="0.3">
      <c r="C18" t="s">
        <v>4</v>
      </c>
      <c r="D18" s="4">
        <f>D3-D12</f>
        <v>232169</v>
      </c>
      <c r="G18" t="s">
        <v>5</v>
      </c>
      <c r="H18" s="4">
        <f>H3-H12</f>
        <v>37069</v>
      </c>
    </row>
    <row r="21" spans="1:8" ht="15.75" x14ac:dyDescent="0.25">
      <c r="A21" t="s">
        <v>6</v>
      </c>
      <c r="C21" s="8">
        <f>D18</f>
        <v>232169</v>
      </c>
      <c r="E21" t="s">
        <v>10</v>
      </c>
      <c r="H21" s="6">
        <f>C30</f>
        <v>191777.52</v>
      </c>
    </row>
    <row r="23" spans="1:8" ht="15.75" x14ac:dyDescent="0.25">
      <c r="A23" t="s">
        <v>5</v>
      </c>
      <c r="B23" s="9" t="s">
        <v>7</v>
      </c>
      <c r="C23" s="8">
        <f>H18</f>
        <v>37069</v>
      </c>
      <c r="E23" s="13" t="s">
        <v>11</v>
      </c>
      <c r="F23" s="9" t="s">
        <v>181</v>
      </c>
      <c r="G23" s="15" t="s">
        <v>17</v>
      </c>
      <c r="H23" s="3">
        <f>-(F24*0.0077)</f>
        <v>-5374.6</v>
      </c>
    </row>
    <row r="24" spans="1:8" x14ac:dyDescent="0.25">
      <c r="F24" s="21">
        <f>D3-H3</f>
        <v>698000</v>
      </c>
    </row>
    <row r="25" spans="1:8" ht="15.75" x14ac:dyDescent="0.25">
      <c r="A25" t="s">
        <v>8</v>
      </c>
      <c r="B25" s="9" t="s">
        <v>7</v>
      </c>
      <c r="C25" s="8">
        <f>D3*0.004</f>
        <v>3322.48</v>
      </c>
      <c r="F25" s="9" t="s">
        <v>13</v>
      </c>
      <c r="G25" s="16">
        <v>0.35</v>
      </c>
      <c r="H25" s="29">
        <f>-(F26*0.35)</f>
        <v>-67122.131999999998</v>
      </c>
    </row>
    <row r="26" spans="1:8" ht="15.75" thickBot="1" x14ac:dyDescent="0.3">
      <c r="F26" s="21">
        <f>H21</f>
        <v>191777.52</v>
      </c>
      <c r="H26" s="7"/>
    </row>
    <row r="27" spans="1:8" ht="15.75" x14ac:dyDescent="0.25">
      <c r="A27" t="s">
        <v>9</v>
      </c>
      <c r="B27" s="9" t="s">
        <v>7</v>
      </c>
      <c r="C27" s="10"/>
      <c r="G27" s="13" t="s">
        <v>14</v>
      </c>
      <c r="H27" s="6">
        <f>H21+H23+H25</f>
        <v>119280.78799999999</v>
      </c>
    </row>
    <row r="28" spans="1:8" ht="15.75" thickBot="1" x14ac:dyDescent="0.3">
      <c r="A28" s="16"/>
      <c r="B28" s="14"/>
      <c r="C28" s="7"/>
    </row>
    <row r="29" spans="1:8" x14ac:dyDescent="0.25">
      <c r="E29" t="s">
        <v>151</v>
      </c>
      <c r="H29" s="20">
        <f>H27*0.5</f>
        <v>59640.393999999993</v>
      </c>
    </row>
    <row r="30" spans="1:8" ht="15.75" x14ac:dyDescent="0.25">
      <c r="A30" t="s">
        <v>10</v>
      </c>
      <c r="C30" s="10">
        <f>C21-C23-C25-C27</f>
        <v>191777.52</v>
      </c>
      <c r="H30" s="18"/>
    </row>
    <row r="31" spans="1:8" x14ac:dyDescent="0.25">
      <c r="H31" s="3"/>
    </row>
    <row r="32" spans="1:8" x14ac:dyDescent="0.25">
      <c r="H32" s="18"/>
    </row>
  </sheetData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076DF-437D-4C28-9211-F78C8A5B03E9}">
  <dimension ref="A1:H34"/>
  <sheetViews>
    <sheetView topLeftCell="A16" workbookViewId="0">
      <selection activeCell="I32" sqref="I32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651</v>
      </c>
    </row>
    <row r="3" spans="1:8" ht="21" x14ac:dyDescent="0.35">
      <c r="A3" s="2" t="s">
        <v>1</v>
      </c>
      <c r="D3" s="11">
        <v>17585582</v>
      </c>
      <c r="F3" s="12" t="s">
        <v>3</v>
      </c>
      <c r="H3" s="4">
        <f>(D3/1.19)*0.19</f>
        <v>2807782</v>
      </c>
    </row>
    <row r="4" spans="1:8" x14ac:dyDescent="0.25">
      <c r="A4" s="13" t="s">
        <v>32</v>
      </c>
      <c r="C4" s="26">
        <v>904</v>
      </c>
    </row>
    <row r="5" spans="1:8" ht="21" x14ac:dyDescent="0.35">
      <c r="A5" s="2" t="s">
        <v>2</v>
      </c>
    </row>
    <row r="7" spans="1:8" ht="18.75" x14ac:dyDescent="0.3">
      <c r="A7" s="5" t="s">
        <v>652</v>
      </c>
      <c r="D7" s="4">
        <v>1602662</v>
      </c>
      <c r="E7" s="25"/>
      <c r="H7" s="4">
        <f t="shared" ref="H7:H8" si="0">(D7/1.19)*0.19</f>
        <v>255887.21008403361</v>
      </c>
    </row>
    <row r="8" spans="1:8" ht="18.75" x14ac:dyDescent="0.3">
      <c r="A8" s="5" t="s">
        <v>476</v>
      </c>
      <c r="C8" s="3"/>
      <c r="D8" s="32">
        <v>1709245</v>
      </c>
      <c r="E8" s="25"/>
      <c r="H8" s="4">
        <f t="shared" si="0"/>
        <v>272904.66386554623</v>
      </c>
    </row>
    <row r="9" spans="1:8" ht="18.75" x14ac:dyDescent="0.3">
      <c r="A9" s="5" t="s">
        <v>480</v>
      </c>
      <c r="C9" s="3"/>
      <c r="D9" s="28">
        <v>1976060</v>
      </c>
      <c r="E9" s="25"/>
      <c r="H9" s="4">
        <f>(D9/1.19)*0.19</f>
        <v>315505.37815126055</v>
      </c>
    </row>
    <row r="10" spans="1:8" ht="18.75" x14ac:dyDescent="0.3">
      <c r="A10" s="5" t="s">
        <v>653</v>
      </c>
      <c r="C10" s="3"/>
      <c r="D10" s="28">
        <v>4981164</v>
      </c>
      <c r="E10" s="25"/>
      <c r="H10" s="4">
        <f t="shared" ref="H10:H12" si="1">(D10/1.19)*0.19</f>
        <v>795311.89915966394</v>
      </c>
    </row>
    <row r="11" spans="1:8" ht="18.75" x14ac:dyDescent="0.3">
      <c r="A11" s="5" t="s">
        <v>654</v>
      </c>
      <c r="C11" s="3"/>
      <c r="D11" s="28">
        <v>2461015</v>
      </c>
      <c r="E11" s="25"/>
      <c r="H11" s="4">
        <f t="shared" si="1"/>
        <v>392935.16806722688</v>
      </c>
    </row>
    <row r="12" spans="1:8" ht="18.75" x14ac:dyDescent="0.3">
      <c r="A12" s="5" t="s">
        <v>655</v>
      </c>
      <c r="C12" s="3"/>
      <c r="D12" s="28">
        <v>254000</v>
      </c>
      <c r="E12" s="25"/>
      <c r="H12" s="4">
        <f t="shared" si="1"/>
        <v>40554.621848739502</v>
      </c>
    </row>
    <row r="13" spans="1:8" ht="19.5" thickBot="1" x14ac:dyDescent="0.35">
      <c r="A13" s="5" t="s">
        <v>656</v>
      </c>
      <c r="C13" s="3"/>
      <c r="D13" s="22">
        <v>71320</v>
      </c>
      <c r="E13" s="25"/>
      <c r="H13" s="4"/>
    </row>
    <row r="14" spans="1:8" ht="18.75" customHeight="1" x14ac:dyDescent="0.3">
      <c r="D14" s="4">
        <f>SUM(D7:D13)</f>
        <v>13055466</v>
      </c>
      <c r="H14" s="4">
        <f>SUM(H7:H13)</f>
        <v>2073098.9411764708</v>
      </c>
    </row>
    <row r="15" spans="1:8" ht="18.75" x14ac:dyDescent="0.3">
      <c r="A15" s="5"/>
      <c r="C15" s="3"/>
      <c r="D15" s="4"/>
      <c r="H15" s="4"/>
    </row>
    <row r="17" spans="1:8" ht="18.75" x14ac:dyDescent="0.3">
      <c r="A17" s="5"/>
      <c r="C17" s="3"/>
      <c r="D17" s="4"/>
      <c r="H17" s="4"/>
    </row>
    <row r="18" spans="1:8" ht="15.75" thickBot="1" x14ac:dyDescent="0.3">
      <c r="D18" s="7"/>
      <c r="H18" s="7"/>
    </row>
    <row r="20" spans="1:8" ht="18.75" x14ac:dyDescent="0.3">
      <c r="C20" t="s">
        <v>4</v>
      </c>
      <c r="D20" s="4">
        <f>D3-D14</f>
        <v>4530116</v>
      </c>
      <c r="G20" t="s">
        <v>5</v>
      </c>
      <c r="H20" s="4">
        <f>H3-H14</f>
        <v>734683.05882352917</v>
      </c>
    </row>
    <row r="23" spans="1:8" ht="15.75" x14ac:dyDescent="0.25">
      <c r="A23" t="s">
        <v>6</v>
      </c>
      <c r="C23" s="8">
        <f>D20</f>
        <v>4530116</v>
      </c>
      <c r="E23" t="s">
        <v>10</v>
      </c>
      <c r="H23" s="6">
        <f>C32</f>
        <v>3072317.3131764708</v>
      </c>
    </row>
    <row r="25" spans="1:8" ht="15.75" x14ac:dyDescent="0.25">
      <c r="A25" t="s">
        <v>5</v>
      </c>
      <c r="B25" s="9" t="s">
        <v>7</v>
      </c>
      <c r="C25" s="8">
        <f>H20</f>
        <v>734683.05882352917</v>
      </c>
      <c r="E25" s="13" t="s">
        <v>11</v>
      </c>
      <c r="F25" s="9" t="s">
        <v>181</v>
      </c>
      <c r="G25" s="15" t="s">
        <v>17</v>
      </c>
      <c r="H25" s="3">
        <f>-(F26*0.0077)</f>
        <v>-113789.06</v>
      </c>
    </row>
    <row r="26" spans="1:8" x14ac:dyDescent="0.25">
      <c r="F26" s="21">
        <f>D3-H3</f>
        <v>14777800</v>
      </c>
    </row>
    <row r="27" spans="1:8" ht="15.75" x14ac:dyDescent="0.25">
      <c r="A27" t="s">
        <v>8</v>
      </c>
      <c r="B27" s="9" t="s">
        <v>7</v>
      </c>
      <c r="C27" s="8">
        <f>D3*0.004</f>
        <v>70342.328000000009</v>
      </c>
      <c r="F27" s="9" t="s">
        <v>13</v>
      </c>
      <c r="G27" s="16">
        <v>0.35</v>
      </c>
      <c r="H27" s="29">
        <f>-(F28*0.35)</f>
        <v>-1075311.0596117647</v>
      </c>
    </row>
    <row r="28" spans="1:8" ht="15.75" thickBot="1" x14ac:dyDescent="0.3">
      <c r="F28" s="21">
        <f>H23</f>
        <v>3072317.3131764708</v>
      </c>
      <c r="H28" s="7"/>
    </row>
    <row r="29" spans="1:8" ht="15.75" x14ac:dyDescent="0.25">
      <c r="A29" t="s">
        <v>657</v>
      </c>
      <c r="B29" s="9" t="s">
        <v>7</v>
      </c>
      <c r="C29" s="10">
        <f>D14*0.05</f>
        <v>652773.30000000005</v>
      </c>
      <c r="G29" s="13" t="s">
        <v>14</v>
      </c>
      <c r="H29" s="6">
        <f>H23+H25+H27</f>
        <v>1883217.193564706</v>
      </c>
    </row>
    <row r="30" spans="1:8" ht="15.75" thickBot="1" x14ac:dyDescent="0.3">
      <c r="A30" s="16"/>
      <c r="B30" s="14"/>
      <c r="C30" s="7"/>
    </row>
    <row r="31" spans="1:8" x14ac:dyDescent="0.25">
      <c r="E31" t="s">
        <v>151</v>
      </c>
      <c r="H31" s="20">
        <f>H29*0.5</f>
        <v>941608.59678235301</v>
      </c>
    </row>
    <row r="32" spans="1:8" ht="15.75" x14ac:dyDescent="0.25">
      <c r="A32" t="s">
        <v>10</v>
      </c>
      <c r="C32" s="10">
        <f>C23-C25-C27-C29</f>
        <v>3072317.3131764708</v>
      </c>
      <c r="H32" s="18"/>
    </row>
    <row r="33" spans="8:8" x14ac:dyDescent="0.25">
      <c r="H33" s="3"/>
    </row>
    <row r="34" spans="8:8" x14ac:dyDescent="0.25">
      <c r="H34" s="18"/>
    </row>
  </sheetData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D19E1-BF2F-4304-BDA7-6F803487BC25}">
  <dimension ref="A1:H34"/>
  <sheetViews>
    <sheetView workbookViewId="0">
      <selection sqref="A1:XFD1048576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634</v>
      </c>
    </row>
    <row r="3" spans="1:8" ht="21" x14ac:dyDescent="0.35">
      <c r="A3" s="2" t="s">
        <v>1</v>
      </c>
      <c r="D3" s="11">
        <v>618800</v>
      </c>
      <c r="F3" s="12" t="s">
        <v>3</v>
      </c>
      <c r="H3" s="4">
        <f>(D3/1.19)*0.19</f>
        <v>98800</v>
      </c>
    </row>
    <row r="4" spans="1:8" x14ac:dyDescent="0.25">
      <c r="A4" s="13" t="s">
        <v>32</v>
      </c>
      <c r="C4" s="26">
        <v>909</v>
      </c>
    </row>
    <row r="5" spans="1:8" ht="21" x14ac:dyDescent="0.35">
      <c r="A5" s="2" t="s">
        <v>2</v>
      </c>
    </row>
    <row r="7" spans="1:8" ht="18.75" x14ac:dyDescent="0.3">
      <c r="A7" s="5" t="s">
        <v>658</v>
      </c>
      <c r="D7" s="4">
        <v>300000</v>
      </c>
      <c r="E7" s="25"/>
      <c r="H7" s="4"/>
    </row>
    <row r="8" spans="1:8" ht="18.75" x14ac:dyDescent="0.3">
      <c r="A8" s="5"/>
      <c r="C8" s="3"/>
      <c r="D8" s="32"/>
      <c r="E8" s="25"/>
      <c r="H8" s="4"/>
    </row>
    <row r="9" spans="1:8" ht="18.75" x14ac:dyDescent="0.3">
      <c r="A9" s="5"/>
      <c r="C9" s="3"/>
      <c r="D9" s="28"/>
      <c r="E9" s="25"/>
      <c r="H9" s="4"/>
    </row>
    <row r="10" spans="1:8" ht="18.75" x14ac:dyDescent="0.3">
      <c r="A10" s="5"/>
      <c r="C10" s="3"/>
      <c r="D10" s="28"/>
      <c r="E10" s="25"/>
      <c r="H10" s="4"/>
    </row>
    <row r="11" spans="1:8" ht="18.75" x14ac:dyDescent="0.3">
      <c r="A11" s="5"/>
      <c r="C11" s="3"/>
      <c r="D11" s="28"/>
      <c r="E11" s="25"/>
      <c r="H11" s="4"/>
    </row>
    <row r="12" spans="1:8" ht="18.75" x14ac:dyDescent="0.3">
      <c r="A12" s="5"/>
      <c r="C12" s="3"/>
      <c r="D12" s="28"/>
      <c r="E12" s="25"/>
      <c r="H12" s="4"/>
    </row>
    <row r="13" spans="1:8" ht="19.5" thickBot="1" x14ac:dyDescent="0.35">
      <c r="A13" s="5"/>
      <c r="C13" s="3"/>
      <c r="D13" s="22"/>
      <c r="E13" s="25"/>
      <c r="H13" s="22"/>
    </row>
    <row r="14" spans="1:8" ht="18.75" customHeight="1" x14ac:dyDescent="0.3">
      <c r="D14" s="4">
        <f>SUM(D7:D13)</f>
        <v>300000</v>
      </c>
      <c r="H14" s="4">
        <f>SUM(H7:H13)</f>
        <v>0</v>
      </c>
    </row>
    <row r="15" spans="1:8" ht="18.75" x14ac:dyDescent="0.3">
      <c r="A15" s="5"/>
      <c r="C15" s="3"/>
      <c r="D15" s="4"/>
      <c r="H15" s="4"/>
    </row>
    <row r="17" spans="1:8" ht="18.75" x14ac:dyDescent="0.3">
      <c r="A17" s="5"/>
      <c r="C17" s="3"/>
      <c r="D17" s="4"/>
      <c r="H17" s="4"/>
    </row>
    <row r="18" spans="1:8" ht="15.75" thickBot="1" x14ac:dyDescent="0.3">
      <c r="D18" s="7"/>
      <c r="H18" s="7"/>
    </row>
    <row r="20" spans="1:8" ht="18.75" x14ac:dyDescent="0.3">
      <c r="C20" t="s">
        <v>4</v>
      </c>
      <c r="D20" s="4">
        <f>D3-D14</f>
        <v>318800</v>
      </c>
      <c r="G20" t="s">
        <v>5</v>
      </c>
      <c r="H20" s="4">
        <f>H3-H14</f>
        <v>98800</v>
      </c>
    </row>
    <row r="23" spans="1:8" ht="15.75" x14ac:dyDescent="0.25">
      <c r="A23" t="s">
        <v>6</v>
      </c>
      <c r="C23" s="8">
        <f>D20</f>
        <v>318800</v>
      </c>
      <c r="E23" t="s">
        <v>10</v>
      </c>
      <c r="H23" s="6">
        <f>C32</f>
        <v>217524.8</v>
      </c>
    </row>
    <row r="25" spans="1:8" ht="15.75" x14ac:dyDescent="0.25">
      <c r="A25" t="s">
        <v>5</v>
      </c>
      <c r="B25" s="9" t="s">
        <v>7</v>
      </c>
      <c r="C25" s="8">
        <f>H20</f>
        <v>98800</v>
      </c>
      <c r="E25" s="13" t="s">
        <v>11</v>
      </c>
      <c r="F25" s="9" t="s">
        <v>181</v>
      </c>
      <c r="G25" s="15" t="s">
        <v>17</v>
      </c>
      <c r="H25" s="3">
        <f>-(F26*0.0077)</f>
        <v>-4004</v>
      </c>
    </row>
    <row r="26" spans="1:8" x14ac:dyDescent="0.25">
      <c r="F26" s="21">
        <f>D3-H3</f>
        <v>520000</v>
      </c>
    </row>
    <row r="27" spans="1:8" ht="15.75" x14ac:dyDescent="0.25">
      <c r="A27" t="s">
        <v>8</v>
      </c>
      <c r="B27" s="9" t="s">
        <v>7</v>
      </c>
      <c r="C27" s="8">
        <f>D3*0.004</f>
        <v>2475.2000000000003</v>
      </c>
      <c r="F27" s="9" t="s">
        <v>13</v>
      </c>
      <c r="G27" s="16">
        <v>0.35</v>
      </c>
      <c r="H27" s="29">
        <f>-(F28*0.35)</f>
        <v>-76133.679999999993</v>
      </c>
    </row>
    <row r="28" spans="1:8" ht="15.75" thickBot="1" x14ac:dyDescent="0.3">
      <c r="F28" s="21">
        <f>H23</f>
        <v>217524.8</v>
      </c>
      <c r="H28" s="7"/>
    </row>
    <row r="29" spans="1:8" x14ac:dyDescent="0.25">
      <c r="A29" t="s">
        <v>657</v>
      </c>
      <c r="B29" s="9" t="s">
        <v>7</v>
      </c>
      <c r="G29" s="13" t="s">
        <v>14</v>
      </c>
      <c r="H29" s="6">
        <f>H23+H25+H27</f>
        <v>137387.12</v>
      </c>
    </row>
    <row r="30" spans="1:8" ht="15.75" thickBot="1" x14ac:dyDescent="0.3">
      <c r="A30" s="16"/>
      <c r="B30" s="14"/>
      <c r="C30" s="7"/>
    </row>
    <row r="31" spans="1:8" x14ac:dyDescent="0.25">
      <c r="E31" t="s">
        <v>151</v>
      </c>
      <c r="H31" s="20">
        <f>H29*0.5</f>
        <v>68693.56</v>
      </c>
    </row>
    <row r="32" spans="1:8" ht="15.75" x14ac:dyDescent="0.25">
      <c r="A32" t="s">
        <v>10</v>
      </c>
      <c r="C32" s="10">
        <f>C23-C25-C27-C29</f>
        <v>217524.8</v>
      </c>
      <c r="H32" s="18"/>
    </row>
    <row r="33" spans="8:8" x14ac:dyDescent="0.25">
      <c r="H33" s="3"/>
    </row>
    <row r="34" spans="8:8" x14ac:dyDescent="0.25">
      <c r="H34" s="18"/>
    </row>
  </sheetData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007C3-FE98-4F31-824D-D5143A664C8E}">
  <dimension ref="A1:H34"/>
  <sheetViews>
    <sheetView workbookViewId="0">
      <selection activeCell="H3" sqref="H3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364</v>
      </c>
    </row>
    <row r="3" spans="1:8" ht="21" x14ac:dyDescent="0.35">
      <c r="A3" s="2" t="s">
        <v>1</v>
      </c>
      <c r="D3" s="11">
        <v>104720</v>
      </c>
      <c r="F3" s="12" t="s">
        <v>3</v>
      </c>
      <c r="H3" s="4">
        <f>(D3/1.19)*0.19</f>
        <v>16720</v>
      </c>
    </row>
    <row r="4" spans="1:8" x14ac:dyDescent="0.25">
      <c r="A4" s="13" t="s">
        <v>32</v>
      </c>
      <c r="C4" s="26">
        <v>910</v>
      </c>
    </row>
    <row r="5" spans="1:8" ht="21" x14ac:dyDescent="0.35">
      <c r="A5" s="2" t="s">
        <v>2</v>
      </c>
    </row>
    <row r="7" spans="1:8" ht="18.75" x14ac:dyDescent="0.3">
      <c r="A7" s="5" t="s">
        <v>658</v>
      </c>
      <c r="D7" s="4">
        <v>42055</v>
      </c>
      <c r="E7" s="25"/>
      <c r="H7" s="4">
        <f>(D7/1.19)*0.19</f>
        <v>6714.6638655462193</v>
      </c>
    </row>
    <row r="8" spans="1:8" ht="18.75" x14ac:dyDescent="0.3">
      <c r="A8" s="5" t="s">
        <v>659</v>
      </c>
      <c r="C8" s="3"/>
      <c r="D8" s="32">
        <v>13000</v>
      </c>
      <c r="E8" s="25"/>
      <c r="H8" s="4"/>
    </row>
    <row r="9" spans="1:8" ht="18.75" x14ac:dyDescent="0.3">
      <c r="A9" s="5"/>
      <c r="C9" s="3"/>
      <c r="D9" s="28"/>
      <c r="E9" s="25"/>
      <c r="H9" s="4"/>
    </row>
    <row r="10" spans="1:8" ht="18.75" x14ac:dyDescent="0.3">
      <c r="A10" s="5"/>
      <c r="C10" s="3"/>
      <c r="D10" s="28"/>
      <c r="E10" s="25"/>
      <c r="H10" s="4"/>
    </row>
    <row r="11" spans="1:8" ht="18.75" x14ac:dyDescent="0.3">
      <c r="A11" s="5"/>
      <c r="C11" s="3"/>
      <c r="D11" s="28"/>
      <c r="E11" s="25"/>
      <c r="H11" s="4"/>
    </row>
    <row r="12" spans="1:8" ht="18.75" x14ac:dyDescent="0.3">
      <c r="A12" s="5"/>
      <c r="C12" s="3"/>
      <c r="D12" s="28"/>
      <c r="E12" s="25"/>
      <c r="H12" s="4"/>
    </row>
    <row r="13" spans="1:8" ht="19.5" thickBot="1" x14ac:dyDescent="0.35">
      <c r="A13" s="5"/>
      <c r="C13" s="3"/>
      <c r="D13" s="22"/>
      <c r="E13" s="25"/>
      <c r="H13" s="22"/>
    </row>
    <row r="14" spans="1:8" ht="18.75" customHeight="1" x14ac:dyDescent="0.3">
      <c r="D14" s="4">
        <f>SUM(D7:D13)</f>
        <v>55055</v>
      </c>
      <c r="H14" s="4">
        <f>SUM(H7:H13)</f>
        <v>6714.6638655462193</v>
      </c>
    </row>
    <row r="15" spans="1:8" ht="18.75" x14ac:dyDescent="0.3">
      <c r="A15" s="5"/>
      <c r="C15" s="3"/>
      <c r="D15" s="4"/>
      <c r="H15" s="4"/>
    </row>
    <row r="17" spans="1:8" ht="18.75" x14ac:dyDescent="0.3">
      <c r="A17" s="5"/>
      <c r="C17" s="3"/>
      <c r="D17" s="4"/>
      <c r="H17" s="4"/>
    </row>
    <row r="18" spans="1:8" ht="15.75" thickBot="1" x14ac:dyDescent="0.3">
      <c r="D18" s="7"/>
      <c r="H18" s="7"/>
    </row>
    <row r="20" spans="1:8" ht="18.75" x14ac:dyDescent="0.3">
      <c r="C20" t="s">
        <v>4</v>
      </c>
      <c r="D20" s="4">
        <f>D3-D14</f>
        <v>49665</v>
      </c>
      <c r="G20" t="s">
        <v>5</v>
      </c>
      <c r="H20" s="4">
        <f>H3-H14</f>
        <v>10005.336134453781</v>
      </c>
    </row>
    <row r="23" spans="1:8" ht="15.75" x14ac:dyDescent="0.25">
      <c r="A23" t="s">
        <v>6</v>
      </c>
      <c r="C23" s="8">
        <f>D20</f>
        <v>49665</v>
      </c>
      <c r="E23" t="s">
        <v>10</v>
      </c>
      <c r="H23" s="6">
        <f>C32</f>
        <v>39240.783865546218</v>
      </c>
    </row>
    <row r="25" spans="1:8" ht="15.75" x14ac:dyDescent="0.25">
      <c r="A25" t="s">
        <v>5</v>
      </c>
      <c r="B25" s="9" t="s">
        <v>7</v>
      </c>
      <c r="C25" s="8">
        <f>H20</f>
        <v>10005.336134453781</v>
      </c>
      <c r="E25" s="13" t="s">
        <v>11</v>
      </c>
      <c r="F25" s="9" t="s">
        <v>181</v>
      </c>
      <c r="G25" s="15" t="s">
        <v>17</v>
      </c>
      <c r="H25" s="3">
        <f>-(F26*0.0077)</f>
        <v>-677.6</v>
      </c>
    </row>
    <row r="26" spans="1:8" x14ac:dyDescent="0.25">
      <c r="F26" s="21">
        <f>D3-H3</f>
        <v>88000</v>
      </c>
    </row>
    <row r="27" spans="1:8" ht="15.75" x14ac:dyDescent="0.25">
      <c r="A27" t="s">
        <v>8</v>
      </c>
      <c r="B27" s="9" t="s">
        <v>7</v>
      </c>
      <c r="C27" s="8">
        <f>D3*0.004</f>
        <v>418.88</v>
      </c>
      <c r="F27" s="9" t="s">
        <v>13</v>
      </c>
      <c r="G27" s="16">
        <v>0.35</v>
      </c>
      <c r="H27" s="29">
        <f>-(F28*0.35)</f>
        <v>-13734.274352941176</v>
      </c>
    </row>
    <row r="28" spans="1:8" ht="15.75" thickBot="1" x14ac:dyDescent="0.3">
      <c r="F28" s="21">
        <f>H23</f>
        <v>39240.783865546218</v>
      </c>
      <c r="H28" s="7"/>
    </row>
    <row r="29" spans="1:8" x14ac:dyDescent="0.25">
      <c r="A29" t="s">
        <v>657</v>
      </c>
      <c r="B29" s="9" t="s">
        <v>7</v>
      </c>
      <c r="G29" s="13" t="s">
        <v>14</v>
      </c>
      <c r="H29" s="6">
        <f>H23+H25+H27</f>
        <v>24828.909512605045</v>
      </c>
    </row>
    <row r="30" spans="1:8" ht="15.75" thickBot="1" x14ac:dyDescent="0.3">
      <c r="A30" s="16"/>
      <c r="B30" s="14"/>
      <c r="C30" s="7"/>
    </row>
    <row r="31" spans="1:8" x14ac:dyDescent="0.25">
      <c r="E31" t="s">
        <v>151</v>
      </c>
      <c r="H31" s="20">
        <f>H29*0.5</f>
        <v>12414.454756302523</v>
      </c>
    </row>
    <row r="32" spans="1:8" ht="15.75" x14ac:dyDescent="0.25">
      <c r="A32" t="s">
        <v>10</v>
      </c>
      <c r="C32" s="10">
        <f>C23-C25-C27-C29</f>
        <v>39240.783865546218</v>
      </c>
      <c r="H32" s="18"/>
    </row>
    <row r="33" spans="8:8" x14ac:dyDescent="0.25">
      <c r="H33" s="3"/>
    </row>
    <row r="34" spans="8:8" x14ac:dyDescent="0.25">
      <c r="H34" s="18"/>
    </row>
  </sheetData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989A2-1C55-4A14-AA12-304DE3B58410}">
  <dimension ref="A1:H34"/>
  <sheetViews>
    <sheetView topLeftCell="A7" workbookViewId="0">
      <selection activeCell="H4" sqref="H4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660</v>
      </c>
    </row>
    <row r="3" spans="1:8" ht="21" x14ac:dyDescent="0.35">
      <c r="A3" s="2" t="s">
        <v>1</v>
      </c>
      <c r="D3" s="11">
        <v>219674</v>
      </c>
      <c r="F3" s="12" t="s">
        <v>3</v>
      </c>
      <c r="H3" s="4">
        <f>(D3/1.19)*0.19</f>
        <v>35074</v>
      </c>
    </row>
    <row r="4" spans="1:8" x14ac:dyDescent="0.25">
      <c r="A4" s="13" t="s">
        <v>32</v>
      </c>
      <c r="C4" s="26">
        <v>911</v>
      </c>
    </row>
    <row r="5" spans="1:8" ht="21" x14ac:dyDescent="0.35">
      <c r="A5" s="2" t="s">
        <v>2</v>
      </c>
    </row>
    <row r="7" spans="1:8" ht="18.75" x14ac:dyDescent="0.3">
      <c r="A7" s="5" t="s">
        <v>661</v>
      </c>
      <c r="D7" s="4">
        <v>168980</v>
      </c>
      <c r="E7" s="25"/>
      <c r="H7" s="4">
        <f>(D7/1.19)*0.19</f>
        <v>26980</v>
      </c>
    </row>
    <row r="8" spans="1:8" ht="18.75" x14ac:dyDescent="0.3">
      <c r="A8" s="5"/>
      <c r="C8" s="3"/>
      <c r="D8" s="32"/>
      <c r="E8" s="25"/>
      <c r="H8" s="4"/>
    </row>
    <row r="9" spans="1:8" ht="18.75" x14ac:dyDescent="0.3">
      <c r="A9" s="5"/>
      <c r="C9" s="3"/>
      <c r="D9" s="28"/>
      <c r="E9" s="25"/>
      <c r="H9" s="4"/>
    </row>
    <row r="10" spans="1:8" ht="18.75" x14ac:dyDescent="0.3">
      <c r="A10" s="5"/>
      <c r="C10" s="3"/>
      <c r="D10" s="28"/>
      <c r="E10" s="25"/>
      <c r="H10" s="4"/>
    </row>
    <row r="11" spans="1:8" ht="18.75" x14ac:dyDescent="0.3">
      <c r="A11" s="5"/>
      <c r="C11" s="3"/>
      <c r="D11" s="28"/>
      <c r="E11" s="25"/>
      <c r="H11" s="4"/>
    </row>
    <row r="12" spans="1:8" ht="18.75" x14ac:dyDescent="0.3">
      <c r="A12" s="5"/>
      <c r="C12" s="3"/>
      <c r="D12" s="28"/>
      <c r="E12" s="25"/>
      <c r="H12" s="4"/>
    </row>
    <row r="13" spans="1:8" ht="19.5" thickBot="1" x14ac:dyDescent="0.35">
      <c r="A13" s="5"/>
      <c r="C13" s="3"/>
      <c r="D13" s="22"/>
      <c r="E13" s="25"/>
      <c r="H13" s="22"/>
    </row>
    <row r="14" spans="1:8" ht="18.75" customHeight="1" x14ac:dyDescent="0.3">
      <c r="D14" s="4">
        <f>SUM(D7:D13)</f>
        <v>168980</v>
      </c>
      <c r="H14" s="4">
        <f>SUM(H7:H13)</f>
        <v>26980</v>
      </c>
    </row>
    <row r="15" spans="1:8" ht="18.75" x14ac:dyDescent="0.3">
      <c r="A15" s="5"/>
      <c r="C15" s="3"/>
      <c r="D15" s="4"/>
      <c r="H15" s="4"/>
    </row>
    <row r="17" spans="1:8" ht="18.75" x14ac:dyDescent="0.3">
      <c r="A17" s="5"/>
      <c r="C17" s="3"/>
      <c r="D17" s="4"/>
      <c r="H17" s="4"/>
    </row>
    <row r="18" spans="1:8" ht="15.75" thickBot="1" x14ac:dyDescent="0.3">
      <c r="D18" s="7"/>
      <c r="H18" s="7"/>
    </row>
    <row r="20" spans="1:8" ht="18.75" x14ac:dyDescent="0.3">
      <c r="C20" t="s">
        <v>4</v>
      </c>
      <c r="D20" s="4">
        <f>D3-D14</f>
        <v>50694</v>
      </c>
      <c r="G20" t="s">
        <v>5</v>
      </c>
      <c r="H20" s="4">
        <f>H3-H14</f>
        <v>8094</v>
      </c>
    </row>
    <row r="23" spans="1:8" ht="15.75" x14ac:dyDescent="0.25">
      <c r="A23" t="s">
        <v>6</v>
      </c>
      <c r="C23" s="8">
        <f>D20</f>
        <v>50694</v>
      </c>
      <c r="E23" t="s">
        <v>10</v>
      </c>
      <c r="H23" s="6">
        <f>C32</f>
        <v>41721.303999999996</v>
      </c>
    </row>
    <row r="25" spans="1:8" ht="15.75" x14ac:dyDescent="0.25">
      <c r="A25" t="s">
        <v>5</v>
      </c>
      <c r="B25" s="9" t="s">
        <v>7</v>
      </c>
      <c r="C25" s="8">
        <f>H20</f>
        <v>8094</v>
      </c>
      <c r="E25" s="13" t="s">
        <v>11</v>
      </c>
      <c r="F25" s="9" t="s">
        <v>181</v>
      </c>
      <c r="G25" s="15" t="s">
        <v>17</v>
      </c>
      <c r="H25" s="3">
        <f>-(F26*0.0077)</f>
        <v>-1421.42</v>
      </c>
    </row>
    <row r="26" spans="1:8" x14ac:dyDescent="0.25">
      <c r="F26" s="21">
        <f>D3-H3</f>
        <v>184600</v>
      </c>
    </row>
    <row r="27" spans="1:8" ht="15.75" x14ac:dyDescent="0.25">
      <c r="A27" t="s">
        <v>8</v>
      </c>
      <c r="B27" s="9" t="s">
        <v>7</v>
      </c>
      <c r="C27" s="8">
        <f>D3*0.004</f>
        <v>878.69600000000003</v>
      </c>
      <c r="F27" s="9" t="s">
        <v>13</v>
      </c>
      <c r="G27" s="16">
        <v>0.35</v>
      </c>
      <c r="H27" s="29">
        <f>-(F28*0.35)</f>
        <v>-14602.456399999997</v>
      </c>
    </row>
    <row r="28" spans="1:8" ht="15.75" thickBot="1" x14ac:dyDescent="0.3">
      <c r="F28" s="21">
        <f>H23</f>
        <v>41721.303999999996</v>
      </c>
      <c r="H28" s="7"/>
    </row>
    <row r="29" spans="1:8" x14ac:dyDescent="0.25">
      <c r="A29" t="s">
        <v>657</v>
      </c>
      <c r="B29" s="9" t="s">
        <v>7</v>
      </c>
      <c r="G29" s="13" t="s">
        <v>14</v>
      </c>
      <c r="H29" s="6">
        <f>H23+H25+H27</f>
        <v>25697.427600000003</v>
      </c>
    </row>
    <row r="30" spans="1:8" ht="15.75" thickBot="1" x14ac:dyDescent="0.3">
      <c r="A30" s="16"/>
      <c r="B30" s="14"/>
      <c r="C30" s="7"/>
    </row>
    <row r="31" spans="1:8" x14ac:dyDescent="0.25">
      <c r="E31" t="s">
        <v>151</v>
      </c>
      <c r="H31" s="20">
        <f>H29*0.5</f>
        <v>12848.713800000001</v>
      </c>
    </row>
    <row r="32" spans="1:8" ht="15.75" x14ac:dyDescent="0.25">
      <c r="A32" t="s">
        <v>10</v>
      </c>
      <c r="C32" s="10">
        <f>C23-C25-C27-C29</f>
        <v>41721.303999999996</v>
      </c>
      <c r="H32" s="18"/>
    </row>
    <row r="33" spans="8:8" x14ac:dyDescent="0.25">
      <c r="H33" s="3"/>
    </row>
    <row r="34" spans="8:8" x14ac:dyDescent="0.25">
      <c r="H34" s="18"/>
    </row>
  </sheetData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4315A-F02F-4C32-8F0C-E011946F6ECE}">
  <dimension ref="A1:H34"/>
  <sheetViews>
    <sheetView topLeftCell="A13" workbookViewId="0">
      <selection activeCell="H4" sqref="H4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662</v>
      </c>
    </row>
    <row r="3" spans="1:8" ht="21" x14ac:dyDescent="0.35">
      <c r="A3" s="2" t="s">
        <v>1</v>
      </c>
      <c r="D3" s="11">
        <v>452200</v>
      </c>
      <c r="F3" s="12" t="s">
        <v>3</v>
      </c>
      <c r="H3" s="4">
        <f>(D3/1.19)*0.19</f>
        <v>72200</v>
      </c>
    </row>
    <row r="4" spans="1:8" x14ac:dyDescent="0.25">
      <c r="A4" s="13" t="s">
        <v>32</v>
      </c>
      <c r="C4" s="26">
        <v>915</v>
      </c>
    </row>
    <row r="5" spans="1:8" ht="21" x14ac:dyDescent="0.35">
      <c r="A5" s="2" t="s">
        <v>2</v>
      </c>
    </row>
    <row r="7" spans="1:8" ht="18.75" x14ac:dyDescent="0.3">
      <c r="A7" s="5" t="s">
        <v>343</v>
      </c>
      <c r="D7" s="4">
        <v>130000</v>
      </c>
      <c r="E7" s="25"/>
      <c r="H7" s="4">
        <f>(D7/1.19)*0.19</f>
        <v>20756.302521008405</v>
      </c>
    </row>
    <row r="8" spans="1:8" ht="18.75" x14ac:dyDescent="0.3">
      <c r="A8" s="5" t="s">
        <v>312</v>
      </c>
      <c r="C8" s="3"/>
      <c r="D8" s="32">
        <v>131852</v>
      </c>
      <c r="E8" s="25"/>
      <c r="H8" s="4">
        <f>(D8/1.19)*0.19</f>
        <v>21052</v>
      </c>
    </row>
    <row r="9" spans="1:8" ht="18.75" x14ac:dyDescent="0.3">
      <c r="A9" s="5"/>
      <c r="C9" s="3"/>
      <c r="D9" s="28"/>
      <c r="E9" s="25"/>
      <c r="H9" s="4"/>
    </row>
    <row r="10" spans="1:8" ht="18.75" x14ac:dyDescent="0.3">
      <c r="A10" s="5"/>
      <c r="C10" s="3"/>
      <c r="D10" s="28"/>
      <c r="E10" s="25"/>
      <c r="H10" s="4"/>
    </row>
    <row r="11" spans="1:8" ht="18.75" x14ac:dyDescent="0.3">
      <c r="A11" s="5"/>
      <c r="C11" s="3"/>
      <c r="D11" s="28"/>
      <c r="E11" s="25"/>
      <c r="H11" s="4"/>
    </row>
    <row r="12" spans="1:8" ht="18.75" x14ac:dyDescent="0.3">
      <c r="A12" s="5"/>
      <c r="C12" s="3"/>
      <c r="D12" s="28"/>
      <c r="E12" s="25"/>
      <c r="H12" s="4"/>
    </row>
    <row r="13" spans="1:8" ht="19.5" thickBot="1" x14ac:dyDescent="0.35">
      <c r="A13" s="5"/>
      <c r="C13" s="3"/>
      <c r="D13" s="22"/>
      <c r="E13" s="25"/>
      <c r="H13" s="22"/>
    </row>
    <row r="14" spans="1:8" ht="18.75" customHeight="1" x14ac:dyDescent="0.3">
      <c r="D14" s="4">
        <f>SUM(D7:D13)</f>
        <v>261852</v>
      </c>
      <c r="H14" s="4">
        <f>SUM(H7:H13)</f>
        <v>41808.302521008402</v>
      </c>
    </row>
    <row r="15" spans="1:8" ht="18.75" x14ac:dyDescent="0.3">
      <c r="A15" s="5"/>
      <c r="C15" s="3"/>
      <c r="D15" s="4"/>
      <c r="H15" s="4"/>
    </row>
    <row r="17" spans="1:8" ht="18.75" x14ac:dyDescent="0.3">
      <c r="A17" s="5"/>
      <c r="C17" s="3"/>
      <c r="D17" s="4"/>
      <c r="H17" s="4"/>
    </row>
    <row r="18" spans="1:8" ht="15.75" thickBot="1" x14ac:dyDescent="0.3">
      <c r="D18" s="7"/>
      <c r="H18" s="7"/>
    </row>
    <row r="20" spans="1:8" ht="18.75" x14ac:dyDescent="0.3">
      <c r="C20" t="s">
        <v>4</v>
      </c>
      <c r="D20" s="4">
        <f>D3-D14</f>
        <v>190348</v>
      </c>
      <c r="G20" t="s">
        <v>5</v>
      </c>
      <c r="H20" s="4">
        <f>H3-H14</f>
        <v>30391.697478991598</v>
      </c>
    </row>
    <row r="23" spans="1:8" ht="15.75" x14ac:dyDescent="0.25">
      <c r="A23" t="s">
        <v>6</v>
      </c>
      <c r="C23" s="8">
        <f>D20</f>
        <v>190348</v>
      </c>
      <c r="E23" t="s">
        <v>10</v>
      </c>
      <c r="H23" s="6">
        <f>C32</f>
        <v>158147.50252100843</v>
      </c>
    </row>
    <row r="25" spans="1:8" ht="15.75" x14ac:dyDescent="0.25">
      <c r="A25" t="s">
        <v>5</v>
      </c>
      <c r="B25" s="9" t="s">
        <v>7</v>
      </c>
      <c r="C25" s="8">
        <f>H20</f>
        <v>30391.697478991598</v>
      </c>
      <c r="E25" s="13" t="s">
        <v>11</v>
      </c>
      <c r="F25" s="9" t="s">
        <v>181</v>
      </c>
      <c r="G25" s="15" t="s">
        <v>17</v>
      </c>
      <c r="H25" s="3">
        <f>-(F26*0.0077)</f>
        <v>-2926</v>
      </c>
    </row>
    <row r="26" spans="1:8" x14ac:dyDescent="0.25">
      <c r="F26" s="21">
        <f>D3-H3</f>
        <v>380000</v>
      </c>
    </row>
    <row r="27" spans="1:8" ht="15.75" x14ac:dyDescent="0.25">
      <c r="A27" t="s">
        <v>8</v>
      </c>
      <c r="B27" s="9" t="s">
        <v>7</v>
      </c>
      <c r="C27" s="8">
        <f>D3*0.004</f>
        <v>1808.8</v>
      </c>
      <c r="F27" s="9" t="s">
        <v>13</v>
      </c>
      <c r="G27" s="16">
        <v>0.35</v>
      </c>
      <c r="H27" s="29">
        <f>-(F28*0.35)</f>
        <v>-55351.62588235295</v>
      </c>
    </row>
    <row r="28" spans="1:8" ht="15.75" thickBot="1" x14ac:dyDescent="0.3">
      <c r="F28" s="21">
        <f>H23</f>
        <v>158147.50252100843</v>
      </c>
      <c r="H28" s="7"/>
    </row>
    <row r="29" spans="1:8" x14ac:dyDescent="0.25">
      <c r="A29" t="s">
        <v>657</v>
      </c>
      <c r="B29" s="9" t="s">
        <v>7</v>
      </c>
      <c r="G29" s="13" t="s">
        <v>14</v>
      </c>
      <c r="H29" s="6">
        <f>H23+H25+H27</f>
        <v>99869.876638655478</v>
      </c>
    </row>
    <row r="30" spans="1:8" ht="15.75" thickBot="1" x14ac:dyDescent="0.3">
      <c r="A30" s="16"/>
      <c r="B30" s="14"/>
      <c r="C30" s="7"/>
    </row>
    <row r="31" spans="1:8" x14ac:dyDescent="0.25">
      <c r="E31" t="s">
        <v>151</v>
      </c>
      <c r="H31" s="20">
        <f>H29*0.5</f>
        <v>49934.938319327739</v>
      </c>
    </row>
    <row r="32" spans="1:8" ht="15.75" x14ac:dyDescent="0.25">
      <c r="A32" t="s">
        <v>10</v>
      </c>
      <c r="C32" s="10">
        <f>C23-C25-C27-C29</f>
        <v>158147.50252100843</v>
      </c>
      <c r="H32" s="18"/>
    </row>
    <row r="33" spans="8:8" x14ac:dyDescent="0.25">
      <c r="H33" s="3"/>
    </row>
    <row r="34" spans="8:8" x14ac:dyDescent="0.25">
      <c r="H34" s="18"/>
    </row>
  </sheetData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45AC5-FF1F-4BF4-B7E5-2EFF66DF0E83}">
  <dimension ref="A1:H34"/>
  <sheetViews>
    <sheetView topLeftCell="A13" workbookViewId="0">
      <selection activeCell="H4" sqref="H4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663</v>
      </c>
    </row>
    <row r="3" spans="1:8" ht="21" x14ac:dyDescent="0.35">
      <c r="A3" s="2" t="s">
        <v>1</v>
      </c>
      <c r="D3" s="11">
        <v>809200</v>
      </c>
      <c r="F3" s="12" t="s">
        <v>3</v>
      </c>
      <c r="H3" s="4">
        <f>(D3/1.19)*0.19</f>
        <v>129200</v>
      </c>
    </row>
    <row r="4" spans="1:8" x14ac:dyDescent="0.25">
      <c r="A4" s="13" t="s">
        <v>32</v>
      </c>
      <c r="C4" s="26">
        <v>917</v>
      </c>
    </row>
    <row r="5" spans="1:8" ht="21" x14ac:dyDescent="0.35">
      <c r="A5" s="2" t="s">
        <v>2</v>
      </c>
    </row>
    <row r="7" spans="1:8" ht="18.75" x14ac:dyDescent="0.3">
      <c r="A7" s="5" t="s">
        <v>476</v>
      </c>
      <c r="D7" s="4">
        <v>606944</v>
      </c>
      <c r="E7" s="25"/>
      <c r="H7" s="4">
        <f>(D7/1.19)*0.19</f>
        <v>96907.025210084044</v>
      </c>
    </row>
    <row r="8" spans="1:8" ht="18.75" x14ac:dyDescent="0.3">
      <c r="A8" s="5"/>
      <c r="C8" s="3"/>
      <c r="D8" s="32"/>
      <c r="E8" s="25"/>
      <c r="H8" s="4">
        <f>(D8/1.19)*0.19</f>
        <v>0</v>
      </c>
    </row>
    <row r="9" spans="1:8" ht="18.75" x14ac:dyDescent="0.3">
      <c r="A9" s="5"/>
      <c r="C9" s="3"/>
      <c r="D9" s="28"/>
      <c r="E9" s="25"/>
      <c r="H9" s="4"/>
    </row>
    <row r="10" spans="1:8" ht="18.75" x14ac:dyDescent="0.3">
      <c r="A10" s="5"/>
      <c r="C10" s="3"/>
      <c r="D10" s="28"/>
      <c r="E10" s="25"/>
      <c r="H10" s="4"/>
    </row>
    <row r="11" spans="1:8" ht="18.75" x14ac:dyDescent="0.3">
      <c r="A11" s="5"/>
      <c r="C11" s="3"/>
      <c r="D11" s="28"/>
      <c r="E11" s="25"/>
      <c r="H11" s="4"/>
    </row>
    <row r="12" spans="1:8" ht="18.75" x14ac:dyDescent="0.3">
      <c r="A12" s="5"/>
      <c r="C12" s="3"/>
      <c r="D12" s="28"/>
      <c r="E12" s="25"/>
      <c r="H12" s="4"/>
    </row>
    <row r="13" spans="1:8" ht="19.5" thickBot="1" x14ac:dyDescent="0.35">
      <c r="A13" s="5"/>
      <c r="C13" s="3"/>
      <c r="D13" s="22"/>
      <c r="E13" s="25"/>
      <c r="H13" s="22"/>
    </row>
    <row r="14" spans="1:8" ht="18.75" customHeight="1" x14ac:dyDescent="0.3">
      <c r="D14" s="4">
        <f>SUM(D7:D13)</f>
        <v>606944</v>
      </c>
      <c r="H14" s="4">
        <f>SUM(H7:H13)</f>
        <v>96907.025210084044</v>
      </c>
    </row>
    <row r="15" spans="1:8" ht="18.75" x14ac:dyDescent="0.3">
      <c r="A15" s="5"/>
      <c r="C15" s="3"/>
      <c r="D15" s="4"/>
      <c r="H15" s="4"/>
    </row>
    <row r="17" spans="1:8" ht="18.75" x14ac:dyDescent="0.3">
      <c r="A17" s="5"/>
      <c r="C17" s="3"/>
      <c r="D17" s="4"/>
      <c r="H17" s="4"/>
    </row>
    <row r="18" spans="1:8" ht="15.75" thickBot="1" x14ac:dyDescent="0.3">
      <c r="D18" s="7"/>
      <c r="H18" s="7"/>
    </row>
    <row r="20" spans="1:8" ht="18.75" x14ac:dyDescent="0.3">
      <c r="C20" t="s">
        <v>4</v>
      </c>
      <c r="D20" s="4">
        <f>D3-D14</f>
        <v>202256</v>
      </c>
      <c r="G20" t="s">
        <v>5</v>
      </c>
      <c r="H20" s="4">
        <f>H3-H14</f>
        <v>32292.974789915956</v>
      </c>
    </row>
    <row r="23" spans="1:8" ht="15.75" x14ac:dyDescent="0.25">
      <c r="A23" t="s">
        <v>6</v>
      </c>
      <c r="C23" s="8">
        <f>D20</f>
        <v>202256</v>
      </c>
      <c r="E23" t="s">
        <v>10</v>
      </c>
      <c r="H23" s="6">
        <f>C32</f>
        <v>132726.22521008406</v>
      </c>
    </row>
    <row r="25" spans="1:8" ht="15.75" x14ac:dyDescent="0.25">
      <c r="A25" t="s">
        <v>5</v>
      </c>
      <c r="B25" s="9" t="s">
        <v>7</v>
      </c>
      <c r="C25" s="8">
        <f>H20</f>
        <v>32292.974789915956</v>
      </c>
      <c r="E25" s="13" t="s">
        <v>11</v>
      </c>
      <c r="F25" s="9" t="s">
        <v>181</v>
      </c>
      <c r="G25" s="15" t="s">
        <v>17</v>
      </c>
      <c r="H25" s="3">
        <f>-(F26*0.0077)</f>
        <v>-5236</v>
      </c>
    </row>
    <row r="26" spans="1:8" x14ac:dyDescent="0.25">
      <c r="F26" s="21">
        <f>D3-H3</f>
        <v>680000</v>
      </c>
    </row>
    <row r="27" spans="1:8" ht="15.75" x14ac:dyDescent="0.25">
      <c r="A27" t="s">
        <v>8</v>
      </c>
      <c r="B27" s="9" t="s">
        <v>7</v>
      </c>
      <c r="C27" s="8">
        <f>D3*0.004</f>
        <v>3236.8</v>
      </c>
      <c r="F27" s="9" t="s">
        <v>13</v>
      </c>
      <c r="G27" s="16">
        <v>0.35</v>
      </c>
      <c r="H27" s="29">
        <f>-(F28*0.35)</f>
        <v>-46454.178823529415</v>
      </c>
    </row>
    <row r="28" spans="1:8" ht="15.75" thickBot="1" x14ac:dyDescent="0.3">
      <c r="F28" s="21">
        <f>H23</f>
        <v>132726.22521008406</v>
      </c>
      <c r="H28" s="7"/>
    </row>
    <row r="29" spans="1:8" x14ac:dyDescent="0.25">
      <c r="A29" t="s">
        <v>9</v>
      </c>
      <c r="B29" s="9" t="s">
        <v>7</v>
      </c>
      <c r="C29">
        <v>34000</v>
      </c>
      <c r="G29" s="13" t="s">
        <v>14</v>
      </c>
      <c r="H29" s="6">
        <f>H23+H25+H27</f>
        <v>81036.046386554634</v>
      </c>
    </row>
    <row r="30" spans="1:8" ht="15.75" thickBot="1" x14ac:dyDescent="0.3">
      <c r="A30" s="16" t="s">
        <v>664</v>
      </c>
      <c r="B30" s="14"/>
      <c r="C30" s="7"/>
    </row>
    <row r="31" spans="1:8" x14ac:dyDescent="0.25">
      <c r="E31" t="s">
        <v>151</v>
      </c>
      <c r="H31" s="20">
        <f>H29*0.5</f>
        <v>40518.023193277317</v>
      </c>
    </row>
    <row r="32" spans="1:8" ht="15.75" x14ac:dyDescent="0.25">
      <c r="A32" t="s">
        <v>10</v>
      </c>
      <c r="C32" s="10">
        <f>C23-C25-C27-C29</f>
        <v>132726.22521008406</v>
      </c>
      <c r="H32" s="18"/>
    </row>
    <row r="33" spans="8:8" x14ac:dyDescent="0.25">
      <c r="H33" s="3"/>
    </row>
    <row r="34" spans="8:8" x14ac:dyDescent="0.25">
      <c r="H34" s="18"/>
    </row>
  </sheetData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2B7CD-7E6E-4AF1-A67D-A542312174FB}">
  <dimension ref="A1:H34"/>
  <sheetViews>
    <sheetView workbookViewId="0">
      <selection sqref="A1:XFD1048576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665</v>
      </c>
    </row>
    <row r="3" spans="1:8" ht="21" x14ac:dyDescent="0.35">
      <c r="A3" s="2" t="s">
        <v>1</v>
      </c>
      <c r="D3" s="11">
        <v>779450</v>
      </c>
      <c r="F3" s="12" t="s">
        <v>3</v>
      </c>
      <c r="H3" s="4">
        <f>(D3/1.19)*0.19</f>
        <v>124450</v>
      </c>
    </row>
    <row r="4" spans="1:8" x14ac:dyDescent="0.25">
      <c r="A4" s="13" t="s">
        <v>32</v>
      </c>
      <c r="C4" s="26">
        <v>918</v>
      </c>
    </row>
    <row r="5" spans="1:8" ht="21" x14ac:dyDescent="0.35">
      <c r="A5" s="2" t="s">
        <v>2</v>
      </c>
    </row>
    <row r="7" spans="1:8" ht="18.75" x14ac:dyDescent="0.3">
      <c r="A7" s="5" t="s">
        <v>476</v>
      </c>
      <c r="D7" s="4">
        <v>476795</v>
      </c>
      <c r="E7" s="25"/>
      <c r="H7" s="4">
        <f>(D7/1.19)*0.19</f>
        <v>76126.932773109249</v>
      </c>
    </row>
    <row r="8" spans="1:8" ht="18.75" x14ac:dyDescent="0.3">
      <c r="A8" s="5"/>
      <c r="C8" s="3"/>
      <c r="D8" s="32"/>
      <c r="E8" s="25"/>
      <c r="H8" s="4">
        <f>(D8/1.19)*0.19</f>
        <v>0</v>
      </c>
    </row>
    <row r="9" spans="1:8" ht="18.75" x14ac:dyDescent="0.3">
      <c r="A9" s="5"/>
      <c r="C9" s="3"/>
      <c r="D9" s="28"/>
      <c r="E9" s="25"/>
      <c r="H9" s="4"/>
    </row>
    <row r="10" spans="1:8" ht="18.75" x14ac:dyDescent="0.3">
      <c r="A10" s="5"/>
      <c r="C10" s="3"/>
      <c r="D10" s="28"/>
      <c r="E10" s="25"/>
      <c r="H10" s="4"/>
    </row>
    <row r="11" spans="1:8" ht="18.75" x14ac:dyDescent="0.3">
      <c r="A11" s="5"/>
      <c r="C11" s="3"/>
      <c r="D11" s="28"/>
      <c r="E11" s="25"/>
      <c r="H11" s="4"/>
    </row>
    <row r="12" spans="1:8" ht="18.75" x14ac:dyDescent="0.3">
      <c r="A12" s="5"/>
      <c r="C12" s="3"/>
      <c r="D12" s="28"/>
      <c r="E12" s="25"/>
      <c r="H12" s="4"/>
    </row>
    <row r="13" spans="1:8" ht="19.5" thickBot="1" x14ac:dyDescent="0.35">
      <c r="A13" s="5"/>
      <c r="C13" s="3"/>
      <c r="D13" s="22"/>
      <c r="E13" s="25"/>
      <c r="H13" s="22"/>
    </row>
    <row r="14" spans="1:8" ht="18.75" customHeight="1" x14ac:dyDescent="0.3">
      <c r="D14" s="4">
        <f>SUM(D7:D13)</f>
        <v>476795</v>
      </c>
      <c r="H14" s="4">
        <f>SUM(H7:H13)</f>
        <v>76126.932773109249</v>
      </c>
    </row>
    <row r="15" spans="1:8" ht="18.75" x14ac:dyDescent="0.3">
      <c r="A15" s="5"/>
      <c r="C15" s="3"/>
      <c r="D15" s="4"/>
      <c r="H15" s="4"/>
    </row>
    <row r="17" spans="1:8" ht="18.75" x14ac:dyDescent="0.3">
      <c r="A17" s="5"/>
      <c r="C17" s="3"/>
      <c r="D17" s="4"/>
      <c r="H17" s="4"/>
    </row>
    <row r="18" spans="1:8" ht="15.75" thickBot="1" x14ac:dyDescent="0.3">
      <c r="D18" s="7"/>
      <c r="H18" s="7"/>
    </row>
    <row r="20" spans="1:8" ht="18.75" x14ac:dyDescent="0.3">
      <c r="C20" t="s">
        <v>4</v>
      </c>
      <c r="D20" s="4">
        <f>D3-D14</f>
        <v>302655</v>
      </c>
      <c r="G20" t="s">
        <v>5</v>
      </c>
      <c r="H20" s="4">
        <f>H3-H14</f>
        <v>48323.067226890751</v>
      </c>
    </row>
    <row r="23" spans="1:8" ht="15.75" x14ac:dyDescent="0.25">
      <c r="A23" t="s">
        <v>6</v>
      </c>
      <c r="C23" s="8">
        <f>D20</f>
        <v>302655</v>
      </c>
      <c r="E23" t="s">
        <v>10</v>
      </c>
      <c r="H23" s="6">
        <f>C32</f>
        <v>251214.13277310925</v>
      </c>
    </row>
    <row r="25" spans="1:8" ht="15.75" x14ac:dyDescent="0.25">
      <c r="A25" t="s">
        <v>5</v>
      </c>
      <c r="B25" s="9" t="s">
        <v>7</v>
      </c>
      <c r="C25" s="8">
        <f>H20</f>
        <v>48323.067226890751</v>
      </c>
      <c r="E25" s="13" t="s">
        <v>11</v>
      </c>
      <c r="F25" s="9" t="s">
        <v>181</v>
      </c>
      <c r="G25" s="15" t="s">
        <v>17</v>
      </c>
      <c r="H25" s="3">
        <f>-(F26*0.0077)</f>
        <v>-5043.5</v>
      </c>
    </row>
    <row r="26" spans="1:8" x14ac:dyDescent="0.25">
      <c r="F26" s="21">
        <f>D3-H3</f>
        <v>655000</v>
      </c>
    </row>
    <row r="27" spans="1:8" ht="15.75" x14ac:dyDescent="0.25">
      <c r="A27" t="s">
        <v>8</v>
      </c>
      <c r="B27" s="9" t="s">
        <v>7</v>
      </c>
      <c r="C27" s="8">
        <f>D3*0.004</f>
        <v>3117.8</v>
      </c>
      <c r="F27" s="9" t="s">
        <v>13</v>
      </c>
      <c r="G27" s="16">
        <v>0.35</v>
      </c>
      <c r="H27" s="29">
        <f>-(F28*0.35)</f>
        <v>-87924.946470588227</v>
      </c>
    </row>
    <row r="28" spans="1:8" ht="15.75" thickBot="1" x14ac:dyDescent="0.3">
      <c r="F28" s="21">
        <f>H23</f>
        <v>251214.13277310925</v>
      </c>
      <c r="H28" s="7"/>
    </row>
    <row r="29" spans="1:8" x14ac:dyDescent="0.25">
      <c r="A29" t="s">
        <v>9</v>
      </c>
      <c r="B29" s="9" t="s">
        <v>7</v>
      </c>
      <c r="G29" s="13" t="s">
        <v>14</v>
      </c>
      <c r="H29" s="6">
        <f>H23+H25+H27</f>
        <v>158245.68630252103</v>
      </c>
    </row>
    <row r="30" spans="1:8" ht="15.75" thickBot="1" x14ac:dyDescent="0.3">
      <c r="A30" s="16"/>
      <c r="B30" s="14"/>
      <c r="C30" s="7"/>
    </row>
    <row r="31" spans="1:8" x14ac:dyDescent="0.25">
      <c r="E31" t="s">
        <v>151</v>
      </c>
      <c r="H31" s="20">
        <f>H29*0.5</f>
        <v>79122.843151260517</v>
      </c>
    </row>
    <row r="32" spans="1:8" ht="15.75" x14ac:dyDescent="0.25">
      <c r="A32" t="s">
        <v>10</v>
      </c>
      <c r="C32" s="10">
        <f>C23-C25-C27-C29</f>
        <v>251214.13277310925</v>
      </c>
      <c r="H32" s="18"/>
    </row>
    <row r="33" spans="8:8" x14ac:dyDescent="0.25">
      <c r="H33" s="3"/>
    </row>
    <row r="34" spans="8:8" x14ac:dyDescent="0.25">
      <c r="H34" s="18"/>
    </row>
  </sheetData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9AAF6-758D-4D5A-BEBF-A6A3E2520BB4}">
  <dimension ref="A1:H34"/>
  <sheetViews>
    <sheetView workbookViewId="0">
      <selection sqref="A1:XFD1048576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666</v>
      </c>
    </row>
    <row r="3" spans="1:8" ht="21" x14ac:dyDescent="0.35">
      <c r="A3" s="2" t="s">
        <v>1</v>
      </c>
      <c r="D3" s="11">
        <v>1014653.5</v>
      </c>
      <c r="F3" s="12" t="s">
        <v>3</v>
      </c>
      <c r="H3" s="4">
        <f>(D3/1.19)*0.19</f>
        <v>162003.5</v>
      </c>
    </row>
    <row r="4" spans="1:8" x14ac:dyDescent="0.25">
      <c r="A4" s="13" t="s">
        <v>32</v>
      </c>
      <c r="C4" s="26">
        <v>919</v>
      </c>
    </row>
    <row r="5" spans="1:8" ht="21" x14ac:dyDescent="0.35">
      <c r="A5" s="2" t="s">
        <v>2</v>
      </c>
    </row>
    <row r="7" spans="1:8" ht="18.75" x14ac:dyDescent="0.3">
      <c r="A7" s="5" t="s">
        <v>667</v>
      </c>
      <c r="D7" s="4">
        <v>779965</v>
      </c>
      <c r="E7" s="25"/>
      <c r="H7" s="4">
        <f>(D7/1.19)*0.19</f>
        <v>124532.22689075631</v>
      </c>
    </row>
    <row r="8" spans="1:8" ht="18.75" x14ac:dyDescent="0.3">
      <c r="A8" s="5"/>
      <c r="C8" s="3"/>
      <c r="D8" s="32"/>
      <c r="E8" s="25"/>
      <c r="H8" s="4">
        <f>(D8/1.19)*0.19</f>
        <v>0</v>
      </c>
    </row>
    <row r="9" spans="1:8" ht="18.75" x14ac:dyDescent="0.3">
      <c r="A9" s="5"/>
      <c r="C9" s="3"/>
      <c r="D9" s="28"/>
      <c r="E9" s="25"/>
      <c r="H9" s="4"/>
    </row>
    <row r="10" spans="1:8" ht="18.75" x14ac:dyDescent="0.3">
      <c r="A10" s="5"/>
      <c r="C10" s="3"/>
      <c r="D10" s="28"/>
      <c r="E10" s="25"/>
      <c r="H10" s="4"/>
    </row>
    <row r="11" spans="1:8" ht="18.75" x14ac:dyDescent="0.3">
      <c r="A11" s="5"/>
      <c r="C11" s="3"/>
      <c r="D11" s="28"/>
      <c r="E11" s="25"/>
      <c r="H11" s="4"/>
    </row>
    <row r="12" spans="1:8" ht="18.75" x14ac:dyDescent="0.3">
      <c r="A12" s="5"/>
      <c r="C12" s="3"/>
      <c r="D12" s="28"/>
      <c r="E12" s="25"/>
      <c r="H12" s="4"/>
    </row>
    <row r="13" spans="1:8" ht="19.5" thickBot="1" x14ac:dyDescent="0.35">
      <c r="A13" s="5"/>
      <c r="C13" s="3"/>
      <c r="D13" s="22"/>
      <c r="E13" s="25"/>
      <c r="H13" s="22"/>
    </row>
    <row r="14" spans="1:8" ht="18.75" customHeight="1" x14ac:dyDescent="0.3">
      <c r="D14" s="4">
        <f>SUM(D7:D13)</f>
        <v>779965</v>
      </c>
      <c r="H14" s="4">
        <f>SUM(H7:H13)</f>
        <v>124532.22689075631</v>
      </c>
    </row>
    <row r="15" spans="1:8" ht="18.75" x14ac:dyDescent="0.3">
      <c r="A15" s="5"/>
      <c r="C15" s="3"/>
      <c r="D15" s="4"/>
      <c r="H15" s="4"/>
    </row>
    <row r="17" spans="1:8" ht="18.75" x14ac:dyDescent="0.3">
      <c r="A17" s="5"/>
      <c r="C17" s="3"/>
      <c r="D17" s="4"/>
      <c r="H17" s="4"/>
    </row>
    <row r="18" spans="1:8" ht="15.75" thickBot="1" x14ac:dyDescent="0.3">
      <c r="D18" s="7"/>
      <c r="H18" s="7"/>
    </row>
    <row r="20" spans="1:8" ht="18.75" x14ac:dyDescent="0.3">
      <c r="C20" t="s">
        <v>4</v>
      </c>
      <c r="D20" s="4">
        <f>D3-D14</f>
        <v>234688.5</v>
      </c>
      <c r="G20" t="s">
        <v>5</v>
      </c>
      <c r="H20" s="4">
        <f>H3-H14</f>
        <v>37471.273109243688</v>
      </c>
    </row>
    <row r="23" spans="1:8" ht="15.75" x14ac:dyDescent="0.25">
      <c r="A23" t="s">
        <v>6</v>
      </c>
      <c r="C23" s="8">
        <f>D20</f>
        <v>234688.5</v>
      </c>
      <c r="E23" t="s">
        <v>10</v>
      </c>
      <c r="H23" s="6">
        <f>C32</f>
        <v>193158.61289075631</v>
      </c>
    </row>
    <row r="25" spans="1:8" ht="15.75" x14ac:dyDescent="0.25">
      <c r="A25" t="s">
        <v>5</v>
      </c>
      <c r="B25" s="9" t="s">
        <v>7</v>
      </c>
      <c r="C25" s="8">
        <f>H20</f>
        <v>37471.273109243688</v>
      </c>
      <c r="E25" s="13" t="s">
        <v>11</v>
      </c>
      <c r="F25" s="9" t="s">
        <v>181</v>
      </c>
      <c r="G25" s="15" t="s">
        <v>17</v>
      </c>
      <c r="H25" s="3">
        <f>-(F26*0.0077)</f>
        <v>-6565.4050000000007</v>
      </c>
    </row>
    <row r="26" spans="1:8" x14ac:dyDescent="0.25">
      <c r="F26" s="21">
        <f>D3-H3</f>
        <v>852650</v>
      </c>
    </row>
    <row r="27" spans="1:8" ht="15.75" x14ac:dyDescent="0.25">
      <c r="A27" t="s">
        <v>8</v>
      </c>
      <c r="B27" s="9" t="s">
        <v>7</v>
      </c>
      <c r="C27" s="8">
        <f>D3*0.004</f>
        <v>4058.614</v>
      </c>
      <c r="F27" s="9" t="s">
        <v>13</v>
      </c>
      <c r="G27" s="16">
        <v>0.35</v>
      </c>
      <c r="H27" s="29">
        <f>-(F28*0.35)</f>
        <v>-67605.514511764704</v>
      </c>
    </row>
    <row r="28" spans="1:8" ht="15.75" thickBot="1" x14ac:dyDescent="0.3">
      <c r="F28" s="21">
        <f>H23</f>
        <v>193158.61289075631</v>
      </c>
      <c r="H28" s="7"/>
    </row>
    <row r="29" spans="1:8" x14ac:dyDescent="0.25">
      <c r="A29" t="s">
        <v>9</v>
      </c>
      <c r="B29" s="9" t="s">
        <v>7</v>
      </c>
      <c r="G29" s="13" t="s">
        <v>14</v>
      </c>
      <c r="H29" s="6">
        <f>H23+H25+H27</f>
        <v>118987.69337899161</v>
      </c>
    </row>
    <row r="30" spans="1:8" ht="15.75" thickBot="1" x14ac:dyDescent="0.3">
      <c r="A30" s="16"/>
      <c r="B30" s="14"/>
      <c r="C30" s="7"/>
    </row>
    <row r="31" spans="1:8" x14ac:dyDescent="0.25">
      <c r="E31" t="s">
        <v>151</v>
      </c>
      <c r="H31" s="20">
        <f>H29*0.5</f>
        <v>59493.846689495804</v>
      </c>
    </row>
    <row r="32" spans="1:8" ht="15.75" x14ac:dyDescent="0.25">
      <c r="A32" t="s">
        <v>10</v>
      </c>
      <c r="C32" s="10">
        <f>C23-C25-C27-C29</f>
        <v>193158.61289075631</v>
      </c>
      <c r="H32" s="18"/>
    </row>
    <row r="33" spans="8:8" x14ac:dyDescent="0.25">
      <c r="H33" s="3"/>
    </row>
    <row r="34" spans="8:8" x14ac:dyDescent="0.25">
      <c r="H34" s="18"/>
    </row>
  </sheetData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B6A09-AD04-4837-8EC8-D8C3978BFCA1}">
  <dimension ref="A1:H34"/>
  <sheetViews>
    <sheetView workbookViewId="0">
      <selection sqref="A1:XFD1048576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668</v>
      </c>
    </row>
    <row r="3" spans="1:8" ht="21" x14ac:dyDescent="0.35">
      <c r="A3" s="2" t="s">
        <v>1</v>
      </c>
      <c r="D3" s="11">
        <v>30940</v>
      </c>
      <c r="F3" s="12" t="s">
        <v>3</v>
      </c>
      <c r="H3" s="4">
        <f>(D3/1.19)*0.19</f>
        <v>4940</v>
      </c>
    </row>
    <row r="4" spans="1:8" x14ac:dyDescent="0.25">
      <c r="A4" s="13" t="s">
        <v>32</v>
      </c>
      <c r="C4" s="26">
        <v>920</v>
      </c>
    </row>
    <row r="5" spans="1:8" ht="21" x14ac:dyDescent="0.35">
      <c r="A5" s="2" t="s">
        <v>2</v>
      </c>
    </row>
    <row r="7" spans="1:8" ht="18.75" x14ac:dyDescent="0.3">
      <c r="A7" s="5" t="s">
        <v>667</v>
      </c>
      <c r="D7" s="4">
        <v>18820</v>
      </c>
      <c r="E7" s="25"/>
      <c r="H7" s="4">
        <f>(D7/1.19)*0.19</f>
        <v>3004.8739495798322</v>
      </c>
    </row>
    <row r="8" spans="1:8" ht="18.75" x14ac:dyDescent="0.3">
      <c r="A8" s="5"/>
      <c r="C8" s="3"/>
      <c r="D8" s="32"/>
      <c r="E8" s="25"/>
      <c r="H8" s="4">
        <f>(D8/1.19)*0.19</f>
        <v>0</v>
      </c>
    </row>
    <row r="9" spans="1:8" ht="18.75" x14ac:dyDescent="0.3">
      <c r="A9" s="5"/>
      <c r="C9" s="3"/>
      <c r="D9" s="28"/>
      <c r="E9" s="25"/>
      <c r="H9" s="4"/>
    </row>
    <row r="10" spans="1:8" ht="18.75" x14ac:dyDescent="0.3">
      <c r="A10" s="5"/>
      <c r="C10" s="3"/>
      <c r="D10" s="28"/>
      <c r="E10" s="25"/>
      <c r="H10" s="4"/>
    </row>
    <row r="11" spans="1:8" ht="18.75" x14ac:dyDescent="0.3">
      <c r="A11" s="5"/>
      <c r="C11" s="3"/>
      <c r="D11" s="28"/>
      <c r="E11" s="25"/>
      <c r="H11" s="4"/>
    </row>
    <row r="12" spans="1:8" ht="18.75" x14ac:dyDescent="0.3">
      <c r="A12" s="5"/>
      <c r="C12" s="3"/>
      <c r="D12" s="28"/>
      <c r="E12" s="25"/>
      <c r="H12" s="4"/>
    </row>
    <row r="13" spans="1:8" ht="19.5" thickBot="1" x14ac:dyDescent="0.35">
      <c r="A13" s="5"/>
      <c r="C13" s="3"/>
      <c r="D13" s="22"/>
      <c r="E13" s="25"/>
      <c r="H13" s="22"/>
    </row>
    <row r="14" spans="1:8" ht="18.75" customHeight="1" x14ac:dyDescent="0.3">
      <c r="D14" s="4">
        <f>SUM(D7:D13)</f>
        <v>18820</v>
      </c>
      <c r="H14" s="4">
        <f>SUM(H7:H13)</f>
        <v>3004.8739495798322</v>
      </c>
    </row>
    <row r="15" spans="1:8" ht="18.75" x14ac:dyDescent="0.3">
      <c r="A15" s="5"/>
      <c r="C15" s="3"/>
      <c r="D15" s="4"/>
      <c r="H15" s="4"/>
    </row>
    <row r="17" spans="1:8" ht="18.75" x14ac:dyDescent="0.3">
      <c r="A17" s="5"/>
      <c r="C17" s="3"/>
      <c r="D17" s="4"/>
      <c r="H17" s="4"/>
    </row>
    <row r="18" spans="1:8" ht="15.75" thickBot="1" x14ac:dyDescent="0.3">
      <c r="D18" s="7"/>
      <c r="H18" s="7"/>
    </row>
    <row r="20" spans="1:8" ht="18.75" x14ac:dyDescent="0.3">
      <c r="C20" t="s">
        <v>4</v>
      </c>
      <c r="D20" s="4">
        <f>D3-D14</f>
        <v>12120</v>
      </c>
      <c r="G20" t="s">
        <v>5</v>
      </c>
      <c r="H20" s="4">
        <f>H3-H14</f>
        <v>1935.1260504201678</v>
      </c>
    </row>
    <row r="23" spans="1:8" ht="15.75" x14ac:dyDescent="0.25">
      <c r="A23" t="s">
        <v>6</v>
      </c>
      <c r="C23" s="8">
        <f>D20</f>
        <v>12120</v>
      </c>
      <c r="E23" t="s">
        <v>10</v>
      </c>
      <c r="H23" s="6">
        <f>C32</f>
        <v>10061.113949579832</v>
      </c>
    </row>
    <row r="25" spans="1:8" ht="15.75" x14ac:dyDescent="0.25">
      <c r="A25" t="s">
        <v>5</v>
      </c>
      <c r="B25" s="9" t="s">
        <v>7</v>
      </c>
      <c r="C25" s="8">
        <f>H20</f>
        <v>1935.1260504201678</v>
      </c>
      <c r="E25" s="13" t="s">
        <v>11</v>
      </c>
      <c r="F25" s="9" t="s">
        <v>181</v>
      </c>
      <c r="G25" s="15" t="s">
        <v>17</v>
      </c>
      <c r="H25" s="3">
        <f>-(F26*0.0077)</f>
        <v>-200.20000000000002</v>
      </c>
    </row>
    <row r="26" spans="1:8" x14ac:dyDescent="0.25">
      <c r="F26" s="21">
        <f>D3-H3</f>
        <v>26000</v>
      </c>
    </row>
    <row r="27" spans="1:8" ht="15.75" x14ac:dyDescent="0.25">
      <c r="A27" t="s">
        <v>8</v>
      </c>
      <c r="B27" s="9" t="s">
        <v>7</v>
      </c>
      <c r="C27" s="8">
        <f>D3*0.004</f>
        <v>123.76</v>
      </c>
      <c r="F27" s="9" t="s">
        <v>13</v>
      </c>
      <c r="G27" s="16">
        <v>0.35</v>
      </c>
      <c r="H27" s="29">
        <f>-(F28*0.35)</f>
        <v>-3521.3898823529412</v>
      </c>
    </row>
    <row r="28" spans="1:8" ht="15.75" thickBot="1" x14ac:dyDescent="0.3">
      <c r="F28" s="21">
        <f>H23</f>
        <v>10061.113949579832</v>
      </c>
      <c r="H28" s="7"/>
    </row>
    <row r="29" spans="1:8" x14ac:dyDescent="0.25">
      <c r="A29" t="s">
        <v>9</v>
      </c>
      <c r="B29" s="9" t="s">
        <v>7</v>
      </c>
      <c r="G29" s="13" t="s">
        <v>14</v>
      </c>
      <c r="H29" s="6">
        <f>H23+H25+H27</f>
        <v>6339.5240672268901</v>
      </c>
    </row>
    <row r="30" spans="1:8" ht="15.75" thickBot="1" x14ac:dyDescent="0.3">
      <c r="A30" s="16"/>
      <c r="B30" s="14"/>
      <c r="C30" s="7"/>
    </row>
    <row r="31" spans="1:8" x14ac:dyDescent="0.25">
      <c r="E31" t="s">
        <v>151</v>
      </c>
      <c r="H31" s="20">
        <f>H29*0.5</f>
        <v>3169.7620336134451</v>
      </c>
    </row>
    <row r="32" spans="1:8" ht="15.75" x14ac:dyDescent="0.25">
      <c r="A32" t="s">
        <v>10</v>
      </c>
      <c r="C32" s="10">
        <f>C23-C25-C27-C29</f>
        <v>10061.113949579832</v>
      </c>
      <c r="H32" s="18"/>
    </row>
    <row r="33" spans="8:8" x14ac:dyDescent="0.25">
      <c r="H33" s="3"/>
    </row>
    <row r="34" spans="8:8" x14ac:dyDescent="0.25">
      <c r="H34" s="18"/>
    </row>
  </sheetData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433AC-890C-41DA-97F9-8275204084F7}">
  <dimension ref="A1:H34"/>
  <sheetViews>
    <sheetView workbookViewId="0">
      <selection sqref="A1:XFD1048576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669</v>
      </c>
    </row>
    <row r="3" spans="1:8" ht="21" x14ac:dyDescent="0.35">
      <c r="A3" s="2" t="s">
        <v>1</v>
      </c>
      <c r="D3" s="11">
        <v>535500</v>
      </c>
      <c r="F3" s="12" t="s">
        <v>3</v>
      </c>
      <c r="H3" s="4">
        <f>(D3/1.19)*0.19</f>
        <v>85500</v>
      </c>
    </row>
    <row r="4" spans="1:8" x14ac:dyDescent="0.25">
      <c r="A4" s="13" t="s">
        <v>32</v>
      </c>
      <c r="C4" s="26">
        <v>922</v>
      </c>
    </row>
    <row r="5" spans="1:8" ht="21" x14ac:dyDescent="0.35">
      <c r="A5" s="2" t="s">
        <v>2</v>
      </c>
    </row>
    <row r="7" spans="1:8" ht="18.75" x14ac:dyDescent="0.3">
      <c r="A7" s="5" t="s">
        <v>476</v>
      </c>
      <c r="D7" s="4">
        <v>398000</v>
      </c>
      <c r="E7" s="25"/>
      <c r="H7" s="4">
        <f>(D7/1.19)*0.19</f>
        <v>63546.218487394966</v>
      </c>
    </row>
    <row r="8" spans="1:8" ht="18.75" x14ac:dyDescent="0.3">
      <c r="A8" s="5"/>
      <c r="C8" s="3"/>
      <c r="D8" s="32"/>
      <c r="E8" s="25"/>
      <c r="H8" s="4">
        <f>(D8/1.19)*0.19</f>
        <v>0</v>
      </c>
    </row>
    <row r="9" spans="1:8" ht="18.75" x14ac:dyDescent="0.3">
      <c r="A9" s="5"/>
      <c r="C9" s="3"/>
      <c r="D9" s="28"/>
      <c r="E9" s="25"/>
      <c r="H9" s="4"/>
    </row>
    <row r="10" spans="1:8" ht="18.75" x14ac:dyDescent="0.3">
      <c r="A10" s="5"/>
      <c r="C10" s="3"/>
      <c r="D10" s="28"/>
      <c r="E10" s="25"/>
      <c r="H10" s="4"/>
    </row>
    <row r="11" spans="1:8" ht="18.75" x14ac:dyDescent="0.3">
      <c r="A11" s="5"/>
      <c r="C11" s="3"/>
      <c r="D11" s="28"/>
      <c r="E11" s="25"/>
      <c r="H11" s="4"/>
    </row>
    <row r="12" spans="1:8" ht="18.75" x14ac:dyDescent="0.3">
      <c r="A12" s="5"/>
      <c r="C12" s="3"/>
      <c r="D12" s="28"/>
      <c r="E12" s="25"/>
      <c r="H12" s="4"/>
    </row>
    <row r="13" spans="1:8" ht="19.5" thickBot="1" x14ac:dyDescent="0.35">
      <c r="A13" s="5"/>
      <c r="C13" s="3"/>
      <c r="D13" s="22"/>
      <c r="E13" s="25"/>
      <c r="H13" s="22"/>
    </row>
    <row r="14" spans="1:8" ht="18.75" customHeight="1" x14ac:dyDescent="0.3">
      <c r="D14" s="4">
        <f>SUM(D7:D13)</f>
        <v>398000</v>
      </c>
      <c r="H14" s="4">
        <f>SUM(H7:H13)</f>
        <v>63546.218487394966</v>
      </c>
    </row>
    <row r="15" spans="1:8" ht="18.75" x14ac:dyDescent="0.3">
      <c r="A15" s="5"/>
      <c r="C15" s="3"/>
      <c r="D15" s="4"/>
      <c r="H15" s="4"/>
    </row>
    <row r="17" spans="1:8" ht="18.75" x14ac:dyDescent="0.3">
      <c r="A17" s="5"/>
      <c r="C17" s="3"/>
      <c r="D17" s="4"/>
      <c r="H17" s="4"/>
    </row>
    <row r="18" spans="1:8" ht="15.75" thickBot="1" x14ac:dyDescent="0.3">
      <c r="D18" s="7"/>
      <c r="H18" s="7"/>
    </row>
    <row r="20" spans="1:8" ht="18.75" x14ac:dyDescent="0.3">
      <c r="C20" t="s">
        <v>4</v>
      </c>
      <c r="D20" s="4">
        <f>D3-D14</f>
        <v>137500</v>
      </c>
      <c r="G20" t="s">
        <v>5</v>
      </c>
      <c r="H20" s="4">
        <f>H3-H14</f>
        <v>21953.781512605034</v>
      </c>
    </row>
    <row r="23" spans="1:8" ht="15.75" x14ac:dyDescent="0.25">
      <c r="A23" t="s">
        <v>6</v>
      </c>
      <c r="C23" s="8">
        <f>D20</f>
        <v>137500</v>
      </c>
      <c r="E23" t="s">
        <v>10</v>
      </c>
      <c r="H23" s="6">
        <f>C32</f>
        <v>113404.21848739497</v>
      </c>
    </row>
    <row r="25" spans="1:8" ht="15.75" x14ac:dyDescent="0.25">
      <c r="A25" t="s">
        <v>5</v>
      </c>
      <c r="B25" s="9" t="s">
        <v>7</v>
      </c>
      <c r="C25" s="8">
        <f>H20</f>
        <v>21953.781512605034</v>
      </c>
      <c r="E25" s="13" t="s">
        <v>11</v>
      </c>
      <c r="F25" s="9" t="s">
        <v>181</v>
      </c>
      <c r="G25" s="15" t="s">
        <v>17</v>
      </c>
      <c r="H25" s="3">
        <f>-(F26*0.0077)</f>
        <v>-3465</v>
      </c>
    </row>
    <row r="26" spans="1:8" x14ac:dyDescent="0.25">
      <c r="F26" s="21">
        <f>D3-H3</f>
        <v>450000</v>
      </c>
    </row>
    <row r="27" spans="1:8" ht="15.75" x14ac:dyDescent="0.25">
      <c r="A27" t="s">
        <v>8</v>
      </c>
      <c r="B27" s="9" t="s">
        <v>7</v>
      </c>
      <c r="C27" s="8">
        <f>D3*0.004</f>
        <v>2142</v>
      </c>
      <c r="F27" s="9" t="s">
        <v>13</v>
      </c>
      <c r="G27" s="16">
        <v>0.35</v>
      </c>
      <c r="H27" s="29">
        <f>-(F28*0.35)</f>
        <v>-39691.476470588241</v>
      </c>
    </row>
    <row r="28" spans="1:8" ht="15.75" thickBot="1" x14ac:dyDescent="0.3">
      <c r="F28" s="21">
        <f>H23</f>
        <v>113404.21848739497</v>
      </c>
      <c r="H28" s="7"/>
    </row>
    <row r="29" spans="1:8" x14ac:dyDescent="0.25">
      <c r="A29" t="s">
        <v>9</v>
      </c>
      <c r="B29" s="9" t="s">
        <v>7</v>
      </c>
      <c r="G29" s="13" t="s">
        <v>14</v>
      </c>
      <c r="H29" s="6">
        <f>H23+H25+H27</f>
        <v>70247.742016806733</v>
      </c>
    </row>
    <row r="30" spans="1:8" ht="15.75" thickBot="1" x14ac:dyDescent="0.3">
      <c r="A30" s="16"/>
      <c r="B30" s="14"/>
      <c r="C30" s="7"/>
    </row>
    <row r="31" spans="1:8" x14ac:dyDescent="0.25">
      <c r="E31" t="s">
        <v>151</v>
      </c>
      <c r="H31" s="20">
        <f>H29*0.5</f>
        <v>35123.871008403366</v>
      </c>
    </row>
    <row r="32" spans="1:8" ht="15.75" x14ac:dyDescent="0.25">
      <c r="A32" t="s">
        <v>10</v>
      </c>
      <c r="C32" s="10">
        <f>C23-C25-C27-C29</f>
        <v>113404.21848739497</v>
      </c>
      <c r="H32" s="18"/>
    </row>
    <row r="33" spans="8:8" x14ac:dyDescent="0.25">
      <c r="H33" s="3"/>
    </row>
    <row r="34" spans="8:8" x14ac:dyDescent="0.25">
      <c r="H34" s="18"/>
    </row>
  </sheetData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DA3F4-FA65-4C56-A136-5AB2B33738BA}">
  <dimension ref="A1:H34"/>
  <sheetViews>
    <sheetView topLeftCell="A7" workbookViewId="0">
      <selection activeCell="A7" sqref="A1:XFD1048576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670</v>
      </c>
    </row>
    <row r="3" spans="1:8" ht="21" x14ac:dyDescent="0.35">
      <c r="A3" s="2" t="s">
        <v>1</v>
      </c>
      <c r="D3" s="11">
        <v>1785000</v>
      </c>
      <c r="F3" s="12" t="s">
        <v>3</v>
      </c>
      <c r="H3" s="4">
        <f>(D3/1.19)*0.19</f>
        <v>285000</v>
      </c>
    </row>
    <row r="4" spans="1:8" x14ac:dyDescent="0.25">
      <c r="A4" s="13" t="s">
        <v>32</v>
      </c>
      <c r="C4" s="26">
        <v>925</v>
      </c>
    </row>
    <row r="5" spans="1:8" ht="21" x14ac:dyDescent="0.35">
      <c r="A5" s="2" t="s">
        <v>2</v>
      </c>
    </row>
    <row r="7" spans="1:8" ht="18.75" x14ac:dyDescent="0.3">
      <c r="A7" s="5" t="s">
        <v>476</v>
      </c>
      <c r="D7" s="4">
        <v>1321530</v>
      </c>
      <c r="E7" s="25"/>
      <c r="H7" s="4">
        <f>(D7/1.19)*0.19</f>
        <v>211000.58823529416</v>
      </c>
    </row>
    <row r="8" spans="1:8" ht="18.75" x14ac:dyDescent="0.3">
      <c r="A8" s="5" t="s">
        <v>39</v>
      </c>
      <c r="C8" s="3"/>
      <c r="D8" s="32">
        <v>32200</v>
      </c>
      <c r="E8" s="25"/>
      <c r="H8" s="4"/>
    </row>
    <row r="9" spans="1:8" ht="18.75" x14ac:dyDescent="0.3">
      <c r="A9" s="5"/>
      <c r="C9" s="3"/>
      <c r="D9" s="28"/>
      <c r="E9" s="25"/>
      <c r="H9" s="4"/>
    </row>
    <row r="10" spans="1:8" ht="18.75" x14ac:dyDescent="0.3">
      <c r="A10" s="5"/>
      <c r="C10" s="3"/>
      <c r="D10" s="28"/>
      <c r="E10" s="25"/>
      <c r="H10" s="4"/>
    </row>
    <row r="11" spans="1:8" ht="18.75" x14ac:dyDescent="0.3">
      <c r="A11" s="5"/>
      <c r="C11" s="3"/>
      <c r="D11" s="28"/>
      <c r="E11" s="25"/>
      <c r="H11" s="4"/>
    </row>
    <row r="12" spans="1:8" ht="18.75" x14ac:dyDescent="0.3">
      <c r="A12" s="5"/>
      <c r="C12" s="3"/>
      <c r="D12" s="28"/>
      <c r="E12" s="25"/>
      <c r="H12" s="4"/>
    </row>
    <row r="13" spans="1:8" ht="19.5" thickBot="1" x14ac:dyDescent="0.35">
      <c r="A13" s="5"/>
      <c r="C13" s="3"/>
      <c r="D13" s="22"/>
      <c r="E13" s="25"/>
      <c r="H13" s="22"/>
    </row>
    <row r="14" spans="1:8" ht="18.75" customHeight="1" x14ac:dyDescent="0.3">
      <c r="D14" s="4">
        <f>SUM(D7:D13)</f>
        <v>1353730</v>
      </c>
      <c r="H14" s="4">
        <f>SUM(H7:H13)</f>
        <v>211000.58823529416</v>
      </c>
    </row>
    <row r="15" spans="1:8" ht="18.75" x14ac:dyDescent="0.3">
      <c r="A15" s="5"/>
      <c r="C15" s="3"/>
      <c r="D15" s="4"/>
      <c r="H15" s="4"/>
    </row>
    <row r="17" spans="1:8" ht="18.75" x14ac:dyDescent="0.3">
      <c r="A17" s="5"/>
      <c r="C17" s="3"/>
      <c r="D17" s="4"/>
      <c r="H17" s="4"/>
    </row>
    <row r="18" spans="1:8" ht="15.75" thickBot="1" x14ac:dyDescent="0.3">
      <c r="D18" s="7"/>
      <c r="H18" s="7"/>
    </row>
    <row r="20" spans="1:8" ht="18.75" x14ac:dyDescent="0.3">
      <c r="C20" t="s">
        <v>4</v>
      </c>
      <c r="D20" s="4">
        <f>D3-D14</f>
        <v>431270</v>
      </c>
      <c r="G20" t="s">
        <v>5</v>
      </c>
      <c r="H20" s="4">
        <f>H3-H14</f>
        <v>73999.411764705845</v>
      </c>
    </row>
    <row r="23" spans="1:8" ht="15.75" x14ac:dyDescent="0.25">
      <c r="A23" t="s">
        <v>6</v>
      </c>
      <c r="C23" s="8">
        <f>D20</f>
        <v>431270</v>
      </c>
      <c r="E23" t="s">
        <v>10</v>
      </c>
      <c r="H23" s="6">
        <f>C32</f>
        <v>350130.58823529416</v>
      </c>
    </row>
    <row r="25" spans="1:8" ht="15.75" x14ac:dyDescent="0.25">
      <c r="A25" t="s">
        <v>5</v>
      </c>
      <c r="B25" s="9" t="s">
        <v>7</v>
      </c>
      <c r="C25" s="8">
        <f>H20</f>
        <v>73999.411764705845</v>
      </c>
      <c r="E25" s="13" t="s">
        <v>11</v>
      </c>
      <c r="F25" s="9" t="s">
        <v>181</v>
      </c>
      <c r="G25" s="15" t="s">
        <v>17</v>
      </c>
      <c r="H25" s="3">
        <f>-(F26*0.0077)</f>
        <v>-11550</v>
      </c>
    </row>
    <row r="26" spans="1:8" x14ac:dyDescent="0.25">
      <c r="F26" s="21">
        <f>D3-H3</f>
        <v>1500000</v>
      </c>
    </row>
    <row r="27" spans="1:8" ht="15.75" x14ac:dyDescent="0.25">
      <c r="A27" t="s">
        <v>8</v>
      </c>
      <c r="B27" s="9" t="s">
        <v>7</v>
      </c>
      <c r="C27" s="8">
        <f>D3*0.004</f>
        <v>7140</v>
      </c>
      <c r="F27" s="9" t="s">
        <v>13</v>
      </c>
      <c r="G27" s="16">
        <v>0.35</v>
      </c>
      <c r="H27" s="29">
        <f>-(F28*0.35)</f>
        <v>-122545.70588235295</v>
      </c>
    </row>
    <row r="28" spans="1:8" ht="15.75" thickBot="1" x14ac:dyDescent="0.3">
      <c r="F28" s="21">
        <f>H23</f>
        <v>350130.58823529416</v>
      </c>
      <c r="H28" s="7"/>
    </row>
    <row r="29" spans="1:8" x14ac:dyDescent="0.25">
      <c r="A29" t="s">
        <v>9</v>
      </c>
      <c r="B29" s="9" t="s">
        <v>7</v>
      </c>
      <c r="G29" s="13" t="s">
        <v>14</v>
      </c>
      <c r="H29" s="6">
        <f>H23+H25+H27</f>
        <v>216034.8823529412</v>
      </c>
    </row>
    <row r="30" spans="1:8" ht="15.75" thickBot="1" x14ac:dyDescent="0.3">
      <c r="A30" s="16"/>
      <c r="B30" s="14"/>
      <c r="C30" s="7"/>
    </row>
    <row r="31" spans="1:8" x14ac:dyDescent="0.25">
      <c r="E31" t="s">
        <v>151</v>
      </c>
      <c r="H31" s="20">
        <f>H29*0.5</f>
        <v>108017.4411764706</v>
      </c>
    </row>
    <row r="32" spans="1:8" ht="15.75" x14ac:dyDescent="0.25">
      <c r="A32" t="s">
        <v>10</v>
      </c>
      <c r="C32" s="10">
        <f>C23-C25-C27-C29</f>
        <v>350130.58823529416</v>
      </c>
      <c r="H32" s="18"/>
    </row>
    <row r="33" spans="8:8" x14ac:dyDescent="0.25">
      <c r="H33" s="3"/>
    </row>
    <row r="34" spans="8:8" x14ac:dyDescent="0.25">
      <c r="H34" s="18"/>
    </row>
  </sheetData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316A1-A4D3-4203-8A77-93792D874ED8}">
  <dimension ref="A1:H34"/>
  <sheetViews>
    <sheetView workbookViewId="0">
      <selection sqref="A1:XFD1048576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671</v>
      </c>
    </row>
    <row r="3" spans="1:8" ht="21" x14ac:dyDescent="0.35">
      <c r="A3" s="2" t="s">
        <v>1</v>
      </c>
      <c r="D3" s="11">
        <v>652400</v>
      </c>
      <c r="F3" s="12" t="s">
        <v>3</v>
      </c>
      <c r="H3" s="4">
        <f>(D3/1.19)*0.19</f>
        <v>104164.70588235295</v>
      </c>
    </row>
    <row r="4" spans="1:8" x14ac:dyDescent="0.25">
      <c r="A4" s="13" t="s">
        <v>32</v>
      </c>
      <c r="C4" s="26">
        <v>926</v>
      </c>
    </row>
    <row r="5" spans="1:8" ht="21" x14ac:dyDescent="0.35">
      <c r="A5" s="2" t="s">
        <v>2</v>
      </c>
    </row>
    <row r="7" spans="1:8" ht="18.75" x14ac:dyDescent="0.3">
      <c r="A7" s="5" t="s">
        <v>555</v>
      </c>
      <c r="D7" s="4">
        <v>496944</v>
      </c>
      <c r="E7" s="25"/>
      <c r="H7" s="4">
        <f>(D7/1.19)*0.19</f>
        <v>79344</v>
      </c>
    </row>
    <row r="8" spans="1:8" ht="18.75" x14ac:dyDescent="0.3">
      <c r="A8" s="5"/>
      <c r="C8" s="3"/>
      <c r="D8" s="32"/>
      <c r="E8" s="25"/>
      <c r="H8" s="4"/>
    </row>
    <row r="9" spans="1:8" ht="18.75" x14ac:dyDescent="0.3">
      <c r="A9" s="5"/>
      <c r="C9" s="3"/>
      <c r="D9" s="28"/>
      <c r="E9" s="25"/>
      <c r="H9" s="4"/>
    </row>
    <row r="10" spans="1:8" ht="18.75" x14ac:dyDescent="0.3">
      <c r="A10" s="5"/>
      <c r="C10" s="3"/>
      <c r="D10" s="28"/>
      <c r="E10" s="25"/>
      <c r="H10" s="4"/>
    </row>
    <row r="11" spans="1:8" ht="18.75" x14ac:dyDescent="0.3">
      <c r="A11" s="5"/>
      <c r="C11" s="3"/>
      <c r="D11" s="28"/>
      <c r="E11" s="25"/>
      <c r="H11" s="4"/>
    </row>
    <row r="12" spans="1:8" ht="18.75" x14ac:dyDescent="0.3">
      <c r="A12" s="5"/>
      <c r="C12" s="3"/>
      <c r="D12" s="28"/>
      <c r="E12" s="25"/>
      <c r="H12" s="4"/>
    </row>
    <row r="13" spans="1:8" ht="19.5" thickBot="1" x14ac:dyDescent="0.35">
      <c r="A13" s="5"/>
      <c r="C13" s="3"/>
      <c r="D13" s="22"/>
      <c r="E13" s="25"/>
      <c r="H13" s="22"/>
    </row>
    <row r="14" spans="1:8" ht="18.75" customHeight="1" x14ac:dyDescent="0.3">
      <c r="D14" s="4">
        <f>SUM(D7:D13)</f>
        <v>496944</v>
      </c>
      <c r="H14" s="4">
        <f>SUM(H7:H13)</f>
        <v>79344</v>
      </c>
    </row>
    <row r="15" spans="1:8" ht="18.75" x14ac:dyDescent="0.3">
      <c r="A15" s="5"/>
      <c r="C15" s="3"/>
      <c r="D15" s="4"/>
      <c r="H15" s="4"/>
    </row>
    <row r="17" spans="1:8" ht="18.75" x14ac:dyDescent="0.3">
      <c r="A17" s="5"/>
      <c r="C17" s="3"/>
      <c r="D17" s="4"/>
      <c r="H17" s="4"/>
    </row>
    <row r="18" spans="1:8" ht="15.75" thickBot="1" x14ac:dyDescent="0.3">
      <c r="D18" s="7"/>
      <c r="H18" s="7"/>
    </row>
    <row r="20" spans="1:8" ht="18.75" x14ac:dyDescent="0.3">
      <c r="C20" t="s">
        <v>4</v>
      </c>
      <c r="D20" s="4">
        <f>D3-D14</f>
        <v>155456</v>
      </c>
      <c r="G20" t="s">
        <v>5</v>
      </c>
      <c r="H20" s="4">
        <f>H3-H14</f>
        <v>24820.705882352951</v>
      </c>
    </row>
    <row r="23" spans="1:8" ht="15.75" x14ac:dyDescent="0.25">
      <c r="A23" t="s">
        <v>6</v>
      </c>
      <c r="C23" s="8">
        <f>D20</f>
        <v>155456</v>
      </c>
      <c r="E23" t="s">
        <v>10</v>
      </c>
      <c r="H23" s="6">
        <f>C32</f>
        <v>128025.69411764704</v>
      </c>
    </row>
    <row r="25" spans="1:8" ht="15.75" x14ac:dyDescent="0.25">
      <c r="A25" t="s">
        <v>5</v>
      </c>
      <c r="B25" s="9" t="s">
        <v>7</v>
      </c>
      <c r="C25" s="8">
        <f>H20</f>
        <v>24820.705882352951</v>
      </c>
      <c r="E25" s="13" t="s">
        <v>11</v>
      </c>
      <c r="F25" s="9" t="s">
        <v>181</v>
      </c>
      <c r="G25" s="15" t="s">
        <v>17</v>
      </c>
      <c r="H25" s="3">
        <f>-(F26*0.0077)</f>
        <v>-4221.411764705882</v>
      </c>
    </row>
    <row r="26" spans="1:8" x14ac:dyDescent="0.25">
      <c r="F26" s="21">
        <f>D3-H3</f>
        <v>548235.29411764699</v>
      </c>
    </row>
    <row r="27" spans="1:8" ht="15.75" x14ac:dyDescent="0.25">
      <c r="A27" t="s">
        <v>8</v>
      </c>
      <c r="B27" s="9" t="s">
        <v>7</v>
      </c>
      <c r="C27" s="8">
        <f>D3*0.004</f>
        <v>2609.6</v>
      </c>
      <c r="F27" s="9" t="s">
        <v>13</v>
      </c>
      <c r="G27" s="16">
        <v>0.35</v>
      </c>
      <c r="H27" s="29">
        <f>-(F28*0.35)</f>
        <v>-44808.992941176461</v>
      </c>
    </row>
    <row r="28" spans="1:8" ht="15.75" thickBot="1" x14ac:dyDescent="0.3">
      <c r="F28" s="21">
        <f>H23</f>
        <v>128025.69411764704</v>
      </c>
      <c r="H28" s="7"/>
    </row>
    <row r="29" spans="1:8" x14ac:dyDescent="0.25">
      <c r="A29" t="s">
        <v>9</v>
      </c>
      <c r="B29" s="9" t="s">
        <v>7</v>
      </c>
      <c r="G29" s="13" t="s">
        <v>14</v>
      </c>
      <c r="H29" s="6">
        <f>H23+H25+H27</f>
        <v>78995.289411764694</v>
      </c>
    </row>
    <row r="30" spans="1:8" ht="15.75" thickBot="1" x14ac:dyDescent="0.3">
      <c r="A30" s="16"/>
      <c r="B30" s="14"/>
      <c r="C30" s="7"/>
    </row>
    <row r="31" spans="1:8" x14ac:dyDescent="0.25">
      <c r="E31" t="s">
        <v>151</v>
      </c>
      <c r="H31" s="20">
        <f>H29*0.5</f>
        <v>39497.644705882347</v>
      </c>
    </row>
    <row r="32" spans="1:8" ht="15.75" x14ac:dyDescent="0.25">
      <c r="A32" t="s">
        <v>10</v>
      </c>
      <c r="C32" s="10">
        <f>C23-C25-C27-C29</f>
        <v>128025.69411764704</v>
      </c>
      <c r="H32" s="18"/>
    </row>
    <row r="33" spans="8:8" x14ac:dyDescent="0.25">
      <c r="H33" s="3"/>
    </row>
    <row r="34" spans="8:8" x14ac:dyDescent="0.25">
      <c r="H34" s="18"/>
    </row>
  </sheetData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E4C9F-D070-4315-924B-9175ABBC371C}">
  <dimension ref="A1:H34"/>
  <sheetViews>
    <sheetView workbookViewId="0">
      <selection activeCell="C5" sqref="C5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668</v>
      </c>
    </row>
    <row r="3" spans="1:8" ht="21" x14ac:dyDescent="0.35">
      <c r="A3" s="2" t="s">
        <v>1</v>
      </c>
      <c r="D3" s="11">
        <v>3735529</v>
      </c>
      <c r="F3" s="12" t="s">
        <v>3</v>
      </c>
      <c r="H3" s="4">
        <f>(D3/1.19)*0.19</f>
        <v>596429</v>
      </c>
    </row>
    <row r="4" spans="1:8" x14ac:dyDescent="0.25">
      <c r="A4" s="13" t="s">
        <v>32</v>
      </c>
      <c r="C4" s="26">
        <v>927</v>
      </c>
    </row>
    <row r="5" spans="1:8" ht="21" x14ac:dyDescent="0.35">
      <c r="A5" s="2" t="s">
        <v>2</v>
      </c>
    </row>
    <row r="7" spans="1:8" ht="18.75" x14ac:dyDescent="0.3">
      <c r="A7" s="5" t="s">
        <v>476</v>
      </c>
      <c r="D7" s="4">
        <v>1822195</v>
      </c>
      <c r="E7" s="25"/>
      <c r="H7" s="4">
        <f>(D7/1.19)*0.19</f>
        <v>290938.69747899164</v>
      </c>
    </row>
    <row r="8" spans="1:8" ht="18.75" x14ac:dyDescent="0.3">
      <c r="A8" s="5" t="s">
        <v>643</v>
      </c>
      <c r="C8" s="3"/>
      <c r="D8" s="32">
        <v>65000</v>
      </c>
      <c r="E8" s="25"/>
      <c r="H8" s="4">
        <f t="shared" ref="H8:H11" si="0">(D8/1.19)*0.19</f>
        <v>10378.151260504203</v>
      </c>
    </row>
    <row r="9" spans="1:8" ht="18.75" x14ac:dyDescent="0.3">
      <c r="A9" s="5" t="s">
        <v>221</v>
      </c>
      <c r="C9" s="3"/>
      <c r="D9" s="28">
        <v>611296</v>
      </c>
      <c r="E9" s="25"/>
      <c r="H9" s="4">
        <f t="shared" si="0"/>
        <v>97601.882352941189</v>
      </c>
    </row>
    <row r="10" spans="1:8" ht="18.75" x14ac:dyDescent="0.3">
      <c r="A10" s="5"/>
      <c r="C10" s="3"/>
      <c r="D10" s="28"/>
      <c r="E10" s="25"/>
      <c r="H10" s="4">
        <f t="shared" si="0"/>
        <v>0</v>
      </c>
    </row>
    <row r="11" spans="1:8" ht="18.75" x14ac:dyDescent="0.3">
      <c r="A11" s="5"/>
      <c r="C11" s="3"/>
      <c r="D11" s="28"/>
      <c r="E11" s="25"/>
      <c r="H11" s="4">
        <f t="shared" si="0"/>
        <v>0</v>
      </c>
    </row>
    <row r="12" spans="1:8" ht="18.75" x14ac:dyDescent="0.3">
      <c r="A12" s="5"/>
      <c r="C12" s="3"/>
      <c r="D12" s="28"/>
      <c r="E12" s="25"/>
      <c r="H12" s="4"/>
    </row>
    <row r="13" spans="1:8" ht="19.5" thickBot="1" x14ac:dyDescent="0.35">
      <c r="A13" s="5"/>
      <c r="C13" s="3"/>
      <c r="D13" s="22"/>
      <c r="E13" s="25"/>
      <c r="H13" s="22"/>
    </row>
    <row r="14" spans="1:8" ht="18.75" customHeight="1" x14ac:dyDescent="0.3">
      <c r="D14" s="4">
        <f>SUM(D7:D13)</f>
        <v>2498491</v>
      </c>
      <c r="H14" s="4">
        <f>SUM(H7:H13)</f>
        <v>398918.73109243705</v>
      </c>
    </row>
    <row r="15" spans="1:8" ht="18.75" x14ac:dyDescent="0.3">
      <c r="A15" s="5"/>
      <c r="C15" s="3"/>
      <c r="D15" s="4"/>
      <c r="H15" s="4"/>
    </row>
    <row r="17" spans="1:8" ht="18.75" x14ac:dyDescent="0.3">
      <c r="A17" s="5"/>
      <c r="C17" s="3"/>
      <c r="D17" s="4"/>
      <c r="H17" s="4"/>
    </row>
    <row r="18" spans="1:8" ht="15.75" thickBot="1" x14ac:dyDescent="0.3">
      <c r="D18" s="7"/>
      <c r="H18" s="7"/>
    </row>
    <row r="20" spans="1:8" ht="18.75" x14ac:dyDescent="0.3">
      <c r="C20" t="s">
        <v>4</v>
      </c>
      <c r="D20" s="4">
        <f>D3-D14</f>
        <v>1237038</v>
      </c>
      <c r="G20" t="s">
        <v>5</v>
      </c>
      <c r="H20" s="4">
        <f>H3-H14</f>
        <v>197510.26890756295</v>
      </c>
    </row>
    <row r="23" spans="1:8" ht="15.75" x14ac:dyDescent="0.25">
      <c r="A23" t="s">
        <v>6</v>
      </c>
      <c r="C23" s="8">
        <f>D20</f>
        <v>1237038</v>
      </c>
      <c r="E23" t="s">
        <v>10</v>
      </c>
      <c r="H23" s="6">
        <f>C32</f>
        <v>1024585.615092437</v>
      </c>
    </row>
    <row r="25" spans="1:8" ht="15.75" x14ac:dyDescent="0.25">
      <c r="A25" t="s">
        <v>5</v>
      </c>
      <c r="B25" s="9" t="s">
        <v>7</v>
      </c>
      <c r="C25" s="8">
        <f>H20</f>
        <v>197510.26890756295</v>
      </c>
      <c r="E25" s="13" t="s">
        <v>11</v>
      </c>
      <c r="F25" s="9" t="s">
        <v>181</v>
      </c>
      <c r="G25" s="15" t="s">
        <v>17</v>
      </c>
      <c r="H25" s="3">
        <f>-(F26*0.0077)</f>
        <v>-24171.07</v>
      </c>
    </row>
    <row r="26" spans="1:8" x14ac:dyDescent="0.25">
      <c r="F26" s="21">
        <f>D3-H3</f>
        <v>3139100</v>
      </c>
    </row>
    <row r="27" spans="1:8" ht="15.75" x14ac:dyDescent="0.25">
      <c r="A27" t="s">
        <v>8</v>
      </c>
      <c r="B27" s="9" t="s">
        <v>7</v>
      </c>
      <c r="C27" s="8">
        <f>D3*0.004</f>
        <v>14942.116</v>
      </c>
      <c r="F27" s="9" t="s">
        <v>13</v>
      </c>
      <c r="G27" s="16">
        <v>0.35</v>
      </c>
      <c r="H27" s="29">
        <f>-(F28*0.35)</f>
        <v>-358604.96528235293</v>
      </c>
    </row>
    <row r="28" spans="1:8" ht="15.75" thickBot="1" x14ac:dyDescent="0.3">
      <c r="F28" s="21">
        <f>H23</f>
        <v>1024585.615092437</v>
      </c>
      <c r="H28" s="7"/>
    </row>
    <row r="29" spans="1:8" x14ac:dyDescent="0.25">
      <c r="A29" t="s">
        <v>9</v>
      </c>
      <c r="B29" s="9" t="s">
        <v>7</v>
      </c>
      <c r="G29" s="13" t="s">
        <v>14</v>
      </c>
      <c r="H29" s="6">
        <f>H23+H25+H27</f>
        <v>641809.57981008408</v>
      </c>
    </row>
    <row r="30" spans="1:8" ht="15.75" thickBot="1" x14ac:dyDescent="0.3">
      <c r="A30" s="16"/>
      <c r="B30" s="14"/>
      <c r="C30" s="7"/>
    </row>
    <row r="31" spans="1:8" x14ac:dyDescent="0.25">
      <c r="E31" t="s">
        <v>151</v>
      </c>
      <c r="H31" s="20">
        <f>H29*0.5</f>
        <v>320904.78990504204</v>
      </c>
    </row>
    <row r="32" spans="1:8" ht="15.75" x14ac:dyDescent="0.25">
      <c r="A32" t="s">
        <v>10</v>
      </c>
      <c r="C32" s="10">
        <f>C23-C25-C27-C29</f>
        <v>1024585.615092437</v>
      </c>
      <c r="H32" s="18"/>
    </row>
    <row r="33" spans="8:8" x14ac:dyDescent="0.25">
      <c r="H33" s="3"/>
    </row>
    <row r="34" spans="8:8" x14ac:dyDescent="0.25">
      <c r="H34" s="18"/>
    </row>
  </sheetData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E09E5-1D5E-4BBC-9931-3D534955241E}">
  <dimension ref="A1:H34"/>
  <sheetViews>
    <sheetView workbookViewId="0">
      <selection sqref="A1:XFD1048576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672</v>
      </c>
    </row>
    <row r="3" spans="1:8" ht="21" x14ac:dyDescent="0.35">
      <c r="A3" s="2" t="s">
        <v>1</v>
      </c>
      <c r="D3" s="11">
        <v>69020</v>
      </c>
      <c r="F3" s="12" t="s">
        <v>3</v>
      </c>
      <c r="H3" s="4">
        <f>(D3/1.19)*0.19</f>
        <v>11020</v>
      </c>
    </row>
    <row r="4" spans="1:8" x14ac:dyDescent="0.25">
      <c r="A4" s="13" t="s">
        <v>32</v>
      </c>
      <c r="C4" s="26">
        <v>928</v>
      </c>
    </row>
    <row r="5" spans="1:8" ht="21" x14ac:dyDescent="0.35">
      <c r="A5" s="2" t="s">
        <v>2</v>
      </c>
    </row>
    <row r="7" spans="1:8" ht="18.75" x14ac:dyDescent="0.3">
      <c r="A7" s="5" t="s">
        <v>673</v>
      </c>
      <c r="D7" s="4">
        <v>18000</v>
      </c>
      <c r="E7" s="25"/>
      <c r="H7" s="4">
        <v>0</v>
      </c>
    </row>
    <row r="8" spans="1:8" ht="18.75" x14ac:dyDescent="0.3">
      <c r="A8" s="5"/>
      <c r="C8" s="3"/>
      <c r="D8" s="32"/>
      <c r="E8" s="25"/>
      <c r="H8" s="4">
        <f t="shared" ref="H8:H11" si="0">(D8/1.19)*0.19</f>
        <v>0</v>
      </c>
    </row>
    <row r="9" spans="1:8" ht="18.75" x14ac:dyDescent="0.3">
      <c r="A9" s="5"/>
      <c r="C9" s="3"/>
      <c r="D9" s="28"/>
      <c r="E9" s="25"/>
      <c r="H9" s="4">
        <f t="shared" si="0"/>
        <v>0</v>
      </c>
    </row>
    <row r="10" spans="1:8" ht="18.75" x14ac:dyDescent="0.3">
      <c r="A10" s="5"/>
      <c r="C10" s="3"/>
      <c r="D10" s="28"/>
      <c r="E10" s="25"/>
      <c r="H10" s="4">
        <f t="shared" si="0"/>
        <v>0</v>
      </c>
    </row>
    <row r="11" spans="1:8" ht="18.75" x14ac:dyDescent="0.3">
      <c r="A11" s="5"/>
      <c r="C11" s="3"/>
      <c r="D11" s="28"/>
      <c r="E11" s="25"/>
      <c r="H11" s="4">
        <f t="shared" si="0"/>
        <v>0</v>
      </c>
    </row>
    <row r="12" spans="1:8" ht="18.75" x14ac:dyDescent="0.3">
      <c r="A12" s="5"/>
      <c r="C12" s="3"/>
      <c r="D12" s="28"/>
      <c r="E12" s="25"/>
      <c r="H12" s="4"/>
    </row>
    <row r="13" spans="1:8" ht="19.5" thickBot="1" x14ac:dyDescent="0.35">
      <c r="A13" s="5"/>
      <c r="C13" s="3"/>
      <c r="D13" s="22"/>
      <c r="E13" s="25"/>
      <c r="H13" s="22"/>
    </row>
    <row r="14" spans="1:8" ht="18.75" customHeight="1" x14ac:dyDescent="0.3">
      <c r="D14" s="4">
        <f>SUM(D7:D13)</f>
        <v>18000</v>
      </c>
      <c r="H14" s="4">
        <f>SUM(H7:H13)</f>
        <v>0</v>
      </c>
    </row>
    <row r="15" spans="1:8" ht="18.75" x14ac:dyDescent="0.3">
      <c r="A15" s="5"/>
      <c r="C15" s="3"/>
      <c r="D15" s="4"/>
      <c r="H15" s="4"/>
    </row>
    <row r="17" spans="1:8" ht="18.75" x14ac:dyDescent="0.3">
      <c r="A17" s="5"/>
      <c r="C17" s="3"/>
      <c r="D17" s="4"/>
      <c r="H17" s="4"/>
    </row>
    <row r="18" spans="1:8" ht="15.75" thickBot="1" x14ac:dyDescent="0.3">
      <c r="D18" s="7"/>
      <c r="H18" s="7"/>
    </row>
    <row r="20" spans="1:8" ht="18.75" x14ac:dyDescent="0.3">
      <c r="C20" t="s">
        <v>4</v>
      </c>
      <c r="D20" s="4">
        <f>D3-D14</f>
        <v>51020</v>
      </c>
      <c r="G20" t="s">
        <v>5</v>
      </c>
      <c r="H20" s="4">
        <f>H3-H14</f>
        <v>11020</v>
      </c>
    </row>
    <row r="23" spans="1:8" ht="15.75" x14ac:dyDescent="0.25">
      <c r="A23" t="s">
        <v>6</v>
      </c>
      <c r="C23" s="8">
        <f>D20</f>
        <v>51020</v>
      </c>
      <c r="E23" t="s">
        <v>10</v>
      </c>
      <c r="H23" s="6">
        <f>C32</f>
        <v>39723.919999999998</v>
      </c>
    </row>
    <row r="25" spans="1:8" ht="15.75" x14ac:dyDescent="0.25">
      <c r="A25" t="s">
        <v>5</v>
      </c>
      <c r="B25" s="9" t="s">
        <v>7</v>
      </c>
      <c r="C25" s="8">
        <f>H20</f>
        <v>11020</v>
      </c>
      <c r="E25" s="13" t="s">
        <v>11</v>
      </c>
      <c r="F25" s="9" t="s">
        <v>181</v>
      </c>
      <c r="G25" s="15" t="s">
        <v>17</v>
      </c>
      <c r="H25" s="3">
        <f>-(F26*0.0077)</f>
        <v>-446.6</v>
      </c>
    </row>
    <row r="26" spans="1:8" x14ac:dyDescent="0.25">
      <c r="F26" s="21">
        <f>D3-H3</f>
        <v>58000</v>
      </c>
    </row>
    <row r="27" spans="1:8" ht="15.75" x14ac:dyDescent="0.25">
      <c r="A27" t="s">
        <v>8</v>
      </c>
      <c r="B27" s="9" t="s">
        <v>7</v>
      </c>
      <c r="C27" s="8">
        <f>D3*0.004</f>
        <v>276.08</v>
      </c>
      <c r="F27" s="9" t="s">
        <v>13</v>
      </c>
      <c r="G27" s="16">
        <v>0.35</v>
      </c>
      <c r="H27" s="29">
        <f>-(F28*0.35)</f>
        <v>-13903.371999999999</v>
      </c>
    </row>
    <row r="28" spans="1:8" ht="15.75" thickBot="1" x14ac:dyDescent="0.3">
      <c r="F28" s="21">
        <f>H23</f>
        <v>39723.919999999998</v>
      </c>
      <c r="H28" s="7"/>
    </row>
    <row r="29" spans="1:8" x14ac:dyDescent="0.25">
      <c r="A29" t="s">
        <v>9</v>
      </c>
      <c r="B29" s="9" t="s">
        <v>7</v>
      </c>
      <c r="G29" s="13" t="s">
        <v>14</v>
      </c>
      <c r="H29" s="6">
        <f>H23+H25+H27</f>
        <v>25373.948</v>
      </c>
    </row>
    <row r="30" spans="1:8" ht="15.75" thickBot="1" x14ac:dyDescent="0.3">
      <c r="A30" s="16"/>
      <c r="B30" s="14"/>
      <c r="C30" s="7"/>
    </row>
    <row r="31" spans="1:8" x14ac:dyDescent="0.25">
      <c r="E31" t="s">
        <v>151</v>
      </c>
      <c r="H31" s="20">
        <f>H29*0.5</f>
        <v>12686.974</v>
      </c>
    </row>
    <row r="32" spans="1:8" ht="15.75" x14ac:dyDescent="0.25">
      <c r="A32" t="s">
        <v>10</v>
      </c>
      <c r="C32" s="10">
        <f>C23-C25-C27-C29</f>
        <v>39723.919999999998</v>
      </c>
      <c r="H32" s="18"/>
    </row>
    <row r="33" spans="8:8" x14ac:dyDescent="0.25">
      <c r="H33" s="3"/>
    </row>
    <row r="34" spans="8:8" x14ac:dyDescent="0.25">
      <c r="H34" s="18"/>
    </row>
  </sheetData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879D6-9624-4D1E-9348-0EEBF1316E63}">
  <dimension ref="A1:H34"/>
  <sheetViews>
    <sheetView workbookViewId="0">
      <selection sqref="A1:XFD1048576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674</v>
      </c>
    </row>
    <row r="3" spans="1:8" ht="21" x14ac:dyDescent="0.35">
      <c r="A3" s="2" t="s">
        <v>1</v>
      </c>
      <c r="D3" s="11">
        <v>1067906</v>
      </c>
      <c r="F3" s="12" t="s">
        <v>3</v>
      </c>
      <c r="H3" s="4">
        <f>(D3/1.19)*0.19</f>
        <v>170506</v>
      </c>
    </row>
    <row r="4" spans="1:8" x14ac:dyDescent="0.25">
      <c r="A4" s="13" t="s">
        <v>32</v>
      </c>
      <c r="C4" s="26">
        <v>929</v>
      </c>
    </row>
    <row r="5" spans="1:8" ht="21" x14ac:dyDescent="0.35">
      <c r="A5" s="2" t="s">
        <v>2</v>
      </c>
    </row>
    <row r="7" spans="1:8" ht="18.75" x14ac:dyDescent="0.3">
      <c r="A7" s="5" t="s">
        <v>221</v>
      </c>
      <c r="D7" s="4">
        <v>725668</v>
      </c>
      <c r="E7" s="25"/>
      <c r="H7" s="4">
        <f>(D7/1.19)*0.19</f>
        <v>115862.95798319329</v>
      </c>
    </row>
    <row r="8" spans="1:8" ht="18.75" x14ac:dyDescent="0.3">
      <c r="A8" s="5"/>
      <c r="C8" s="3"/>
      <c r="D8" s="32"/>
      <c r="E8" s="25"/>
      <c r="H8" s="4">
        <f t="shared" ref="H8:H11" si="0">(D8/1.19)*0.19</f>
        <v>0</v>
      </c>
    </row>
    <row r="9" spans="1:8" ht="18.75" x14ac:dyDescent="0.3">
      <c r="A9" s="5"/>
      <c r="C9" s="3"/>
      <c r="D9" s="28"/>
      <c r="E9" s="25"/>
      <c r="H9" s="4">
        <f t="shared" si="0"/>
        <v>0</v>
      </c>
    </row>
    <row r="10" spans="1:8" ht="18.75" x14ac:dyDescent="0.3">
      <c r="A10" s="5"/>
      <c r="C10" s="3"/>
      <c r="D10" s="28"/>
      <c r="E10" s="25"/>
      <c r="H10" s="4">
        <f t="shared" si="0"/>
        <v>0</v>
      </c>
    </row>
    <row r="11" spans="1:8" ht="18.75" x14ac:dyDescent="0.3">
      <c r="A11" s="5"/>
      <c r="C11" s="3"/>
      <c r="D11" s="28"/>
      <c r="E11" s="25"/>
      <c r="H11" s="4">
        <f t="shared" si="0"/>
        <v>0</v>
      </c>
    </row>
    <row r="12" spans="1:8" ht="18.75" x14ac:dyDescent="0.3">
      <c r="A12" s="5"/>
      <c r="C12" s="3"/>
      <c r="D12" s="28"/>
      <c r="E12" s="25"/>
      <c r="H12" s="4"/>
    </row>
    <row r="13" spans="1:8" ht="19.5" thickBot="1" x14ac:dyDescent="0.35">
      <c r="A13" s="5"/>
      <c r="C13" s="3"/>
      <c r="D13" s="22"/>
      <c r="E13" s="25"/>
      <c r="H13" s="22"/>
    </row>
    <row r="14" spans="1:8" ht="18.75" customHeight="1" x14ac:dyDescent="0.3">
      <c r="D14" s="4">
        <f>SUM(D7:D13)</f>
        <v>725668</v>
      </c>
      <c r="H14" s="4">
        <f>SUM(H7:H13)</f>
        <v>115862.95798319329</v>
      </c>
    </row>
    <row r="15" spans="1:8" ht="18.75" x14ac:dyDescent="0.3">
      <c r="A15" s="5"/>
      <c r="C15" s="3"/>
      <c r="D15" s="4"/>
      <c r="H15" s="4"/>
    </row>
    <row r="17" spans="1:8" ht="18.75" x14ac:dyDescent="0.3">
      <c r="A17" s="5"/>
      <c r="C17" s="3"/>
      <c r="D17" s="4"/>
      <c r="H17" s="4"/>
    </row>
    <row r="18" spans="1:8" ht="15.75" thickBot="1" x14ac:dyDescent="0.3">
      <c r="D18" s="7"/>
      <c r="H18" s="7"/>
    </row>
    <row r="20" spans="1:8" ht="18.75" x14ac:dyDescent="0.3">
      <c r="C20" t="s">
        <v>4</v>
      </c>
      <c r="D20" s="4">
        <f>D3-D14</f>
        <v>342238</v>
      </c>
      <c r="G20" t="s">
        <v>5</v>
      </c>
      <c r="H20" s="4">
        <f>H3-H14</f>
        <v>54643.042016806707</v>
      </c>
    </row>
    <row r="23" spans="1:8" ht="15.75" x14ac:dyDescent="0.25">
      <c r="A23" t="s">
        <v>6</v>
      </c>
      <c r="C23" s="8">
        <f>D20</f>
        <v>342238</v>
      </c>
      <c r="E23" t="s">
        <v>10</v>
      </c>
      <c r="H23" s="6">
        <f>C32</f>
        <v>283323.33398319327</v>
      </c>
    </row>
    <row r="25" spans="1:8" ht="15.75" x14ac:dyDescent="0.25">
      <c r="A25" t="s">
        <v>5</v>
      </c>
      <c r="B25" s="9" t="s">
        <v>7</v>
      </c>
      <c r="C25" s="8">
        <f>H20</f>
        <v>54643.042016806707</v>
      </c>
      <c r="E25" s="13" t="s">
        <v>11</v>
      </c>
      <c r="F25" s="9" t="s">
        <v>181</v>
      </c>
      <c r="G25" s="15" t="s">
        <v>17</v>
      </c>
      <c r="H25" s="3">
        <f>-(F26*0.0077)</f>
        <v>-6909.9800000000005</v>
      </c>
    </row>
    <row r="26" spans="1:8" x14ac:dyDescent="0.25">
      <c r="F26" s="21">
        <f>D3-H3</f>
        <v>897400</v>
      </c>
    </row>
    <row r="27" spans="1:8" ht="15.75" x14ac:dyDescent="0.25">
      <c r="A27" t="s">
        <v>8</v>
      </c>
      <c r="B27" s="9" t="s">
        <v>7</v>
      </c>
      <c r="C27" s="8">
        <f>D3*0.004</f>
        <v>4271.6239999999998</v>
      </c>
      <c r="F27" s="9" t="s">
        <v>13</v>
      </c>
      <c r="G27" s="16">
        <v>0.35</v>
      </c>
      <c r="H27" s="29">
        <f>-(F28*0.35)</f>
        <v>-99163.166894117632</v>
      </c>
    </row>
    <row r="28" spans="1:8" ht="15.75" thickBot="1" x14ac:dyDescent="0.3">
      <c r="F28" s="21">
        <f>H23</f>
        <v>283323.33398319327</v>
      </c>
      <c r="H28" s="7"/>
    </row>
    <row r="29" spans="1:8" x14ac:dyDescent="0.25">
      <c r="A29" t="s">
        <v>9</v>
      </c>
      <c r="B29" s="9" t="s">
        <v>7</v>
      </c>
      <c r="G29" s="13" t="s">
        <v>14</v>
      </c>
      <c r="H29" s="6">
        <f>H23+H25+H27</f>
        <v>177250.18708907565</v>
      </c>
    </row>
    <row r="30" spans="1:8" ht="15.75" thickBot="1" x14ac:dyDescent="0.3">
      <c r="A30" s="16"/>
      <c r="B30" s="14"/>
      <c r="C30" s="7"/>
    </row>
    <row r="31" spans="1:8" x14ac:dyDescent="0.25">
      <c r="E31" t="s">
        <v>151</v>
      </c>
      <c r="H31" s="20">
        <f>H29*0.5</f>
        <v>88625.093544537827</v>
      </c>
    </row>
    <row r="32" spans="1:8" ht="15.75" x14ac:dyDescent="0.25">
      <c r="A32" t="s">
        <v>10</v>
      </c>
      <c r="C32" s="10">
        <f>C23-C25-C27-C29</f>
        <v>283323.33398319327</v>
      </c>
      <c r="H32" s="18"/>
    </row>
    <row r="33" spans="8:8" x14ac:dyDescent="0.25">
      <c r="H33" s="3"/>
    </row>
    <row r="34" spans="8:8" x14ac:dyDescent="0.25">
      <c r="H34" s="18"/>
    </row>
  </sheetData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5DD08-D205-4406-A8BC-66CFABCCF67A}">
  <dimension ref="A1:H34"/>
  <sheetViews>
    <sheetView workbookViewId="0">
      <selection sqref="A1:XFD1048576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675</v>
      </c>
    </row>
    <row r="3" spans="1:8" ht="21" x14ac:dyDescent="0.35">
      <c r="A3" s="2" t="s">
        <v>1</v>
      </c>
      <c r="D3" s="11">
        <v>79611</v>
      </c>
      <c r="F3" s="12" t="s">
        <v>3</v>
      </c>
      <c r="H3" s="4">
        <f>(D3/1.19)*0.19</f>
        <v>12711</v>
      </c>
    </row>
    <row r="4" spans="1:8" x14ac:dyDescent="0.25">
      <c r="A4" s="13" t="s">
        <v>32</v>
      </c>
      <c r="C4" s="26">
        <v>930</v>
      </c>
    </row>
    <row r="5" spans="1:8" ht="21" x14ac:dyDescent="0.35">
      <c r="A5" s="2" t="s">
        <v>2</v>
      </c>
    </row>
    <row r="7" spans="1:8" ht="18.75" x14ac:dyDescent="0.3">
      <c r="A7" s="5" t="s">
        <v>343</v>
      </c>
      <c r="D7" s="4">
        <v>53810</v>
      </c>
      <c r="E7" s="25"/>
      <c r="H7" s="4">
        <f>(D7/1.19)*0.19</f>
        <v>8591.5126050420167</v>
      </c>
    </row>
    <row r="8" spans="1:8" ht="18.75" x14ac:dyDescent="0.3">
      <c r="A8" s="5"/>
      <c r="C8" s="3"/>
      <c r="D8" s="32"/>
      <c r="E8" s="25"/>
      <c r="H8" s="4">
        <f t="shared" ref="H8:H11" si="0">(D8/1.19)*0.19</f>
        <v>0</v>
      </c>
    </row>
    <row r="9" spans="1:8" ht="18.75" x14ac:dyDescent="0.3">
      <c r="A9" s="5"/>
      <c r="C9" s="3"/>
      <c r="D9" s="28"/>
      <c r="E9" s="25"/>
      <c r="H9" s="4">
        <f t="shared" si="0"/>
        <v>0</v>
      </c>
    </row>
    <row r="10" spans="1:8" ht="18.75" x14ac:dyDescent="0.3">
      <c r="A10" s="5"/>
      <c r="C10" s="3"/>
      <c r="D10" s="28"/>
      <c r="E10" s="25"/>
      <c r="H10" s="4">
        <f t="shared" si="0"/>
        <v>0</v>
      </c>
    </row>
    <row r="11" spans="1:8" ht="18.75" x14ac:dyDescent="0.3">
      <c r="A11" s="5"/>
      <c r="C11" s="3"/>
      <c r="D11" s="28"/>
      <c r="E11" s="25"/>
      <c r="H11" s="4">
        <f t="shared" si="0"/>
        <v>0</v>
      </c>
    </row>
    <row r="12" spans="1:8" ht="18.75" x14ac:dyDescent="0.3">
      <c r="A12" s="5"/>
      <c r="C12" s="3"/>
      <c r="D12" s="28"/>
      <c r="E12" s="25"/>
      <c r="H12" s="4"/>
    </row>
    <row r="13" spans="1:8" ht="19.5" thickBot="1" x14ac:dyDescent="0.35">
      <c r="A13" s="5"/>
      <c r="C13" s="3"/>
      <c r="D13" s="22"/>
      <c r="E13" s="25"/>
      <c r="H13" s="22"/>
    </row>
    <row r="14" spans="1:8" ht="18.75" customHeight="1" x14ac:dyDescent="0.3">
      <c r="D14" s="4">
        <f>SUM(D7:D13)</f>
        <v>53810</v>
      </c>
      <c r="H14" s="4">
        <f>SUM(H7:H13)</f>
        <v>8591.5126050420167</v>
      </c>
    </row>
    <row r="15" spans="1:8" ht="18.75" x14ac:dyDescent="0.3">
      <c r="A15" s="5"/>
      <c r="C15" s="3"/>
      <c r="D15" s="4"/>
      <c r="H15" s="4"/>
    </row>
    <row r="17" spans="1:8" ht="18.75" x14ac:dyDescent="0.3">
      <c r="A17" s="5"/>
      <c r="C17" s="3"/>
      <c r="D17" s="4"/>
      <c r="H17" s="4"/>
    </row>
    <row r="18" spans="1:8" ht="15.75" thickBot="1" x14ac:dyDescent="0.3">
      <c r="D18" s="7"/>
      <c r="H18" s="7"/>
    </row>
    <row r="20" spans="1:8" ht="18.75" x14ac:dyDescent="0.3">
      <c r="C20" t="s">
        <v>4</v>
      </c>
      <c r="D20" s="4">
        <f>D3-D14</f>
        <v>25801</v>
      </c>
      <c r="G20" t="s">
        <v>5</v>
      </c>
      <c r="H20" s="4">
        <f>H3-H14</f>
        <v>4119.4873949579833</v>
      </c>
    </row>
    <row r="23" spans="1:8" ht="15.75" x14ac:dyDescent="0.25">
      <c r="A23" t="s">
        <v>6</v>
      </c>
      <c r="C23" s="8">
        <f>D20</f>
        <v>25801</v>
      </c>
      <c r="E23" t="s">
        <v>10</v>
      </c>
      <c r="H23" s="6">
        <f>C32</f>
        <v>21363.068605042015</v>
      </c>
    </row>
    <row r="25" spans="1:8" ht="15.75" x14ac:dyDescent="0.25">
      <c r="A25" t="s">
        <v>5</v>
      </c>
      <c r="B25" s="9" t="s">
        <v>7</v>
      </c>
      <c r="C25" s="8">
        <f>H20</f>
        <v>4119.4873949579833</v>
      </c>
      <c r="E25" s="13" t="s">
        <v>11</v>
      </c>
      <c r="F25" s="9" t="s">
        <v>181</v>
      </c>
      <c r="G25" s="15" t="s">
        <v>17</v>
      </c>
      <c r="H25" s="3">
        <f>-(F26*0.0077)</f>
        <v>-515.13</v>
      </c>
    </row>
    <row r="26" spans="1:8" x14ac:dyDescent="0.25">
      <c r="F26" s="21">
        <f>D3-H3</f>
        <v>66900</v>
      </c>
    </row>
    <row r="27" spans="1:8" ht="15.75" x14ac:dyDescent="0.25">
      <c r="A27" t="s">
        <v>8</v>
      </c>
      <c r="B27" s="9" t="s">
        <v>7</v>
      </c>
      <c r="C27" s="8">
        <f>D3*0.004</f>
        <v>318.44400000000002</v>
      </c>
      <c r="F27" s="9" t="s">
        <v>13</v>
      </c>
      <c r="G27" s="16">
        <v>0.35</v>
      </c>
      <c r="H27" s="29">
        <f>-(F28*0.35)</f>
        <v>-7477.0740117647047</v>
      </c>
    </row>
    <row r="28" spans="1:8" ht="15.75" thickBot="1" x14ac:dyDescent="0.3">
      <c r="F28" s="21">
        <f>H23</f>
        <v>21363.068605042015</v>
      </c>
      <c r="H28" s="7"/>
    </row>
    <row r="29" spans="1:8" x14ac:dyDescent="0.25">
      <c r="A29" t="s">
        <v>9</v>
      </c>
      <c r="B29" s="9" t="s">
        <v>7</v>
      </c>
      <c r="G29" s="13" t="s">
        <v>14</v>
      </c>
      <c r="H29" s="6">
        <f>H23+H25+H27</f>
        <v>13370.864593277311</v>
      </c>
    </row>
    <row r="30" spans="1:8" ht="15.75" thickBot="1" x14ac:dyDescent="0.3">
      <c r="A30" s="16"/>
      <c r="B30" s="14"/>
      <c r="C30" s="7"/>
    </row>
    <row r="31" spans="1:8" x14ac:dyDescent="0.25">
      <c r="E31" t="s">
        <v>151</v>
      </c>
      <c r="H31" s="20">
        <f>H29*0.5</f>
        <v>6685.4322966386553</v>
      </c>
    </row>
    <row r="32" spans="1:8" ht="15.75" x14ac:dyDescent="0.25">
      <c r="A32" t="s">
        <v>10</v>
      </c>
      <c r="C32" s="10">
        <f>C23-C25-C27-C29</f>
        <v>21363.068605042015</v>
      </c>
      <c r="H32" s="18"/>
    </row>
    <row r="33" spans="8:8" x14ac:dyDescent="0.25">
      <c r="H33" s="3"/>
    </row>
    <row r="34" spans="8:8" x14ac:dyDescent="0.25">
      <c r="H34" s="18"/>
    </row>
  </sheetData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F38F1-E68C-4085-A0E0-3E00D267F0DE}">
  <dimension ref="A1:H34"/>
  <sheetViews>
    <sheetView workbookViewId="0">
      <selection sqref="A1:XFD1048576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676</v>
      </c>
    </row>
    <row r="3" spans="1:8" ht="21" x14ac:dyDescent="0.35">
      <c r="A3" s="2" t="s">
        <v>1</v>
      </c>
      <c r="D3" s="11">
        <v>152320</v>
      </c>
      <c r="F3" s="12" t="s">
        <v>3</v>
      </c>
      <c r="H3" s="4">
        <f>(D3/1.19)*0.19</f>
        <v>24320</v>
      </c>
    </row>
    <row r="4" spans="1:8" x14ac:dyDescent="0.25">
      <c r="A4" s="13" t="s">
        <v>32</v>
      </c>
      <c r="C4" s="26">
        <v>932</v>
      </c>
    </row>
    <row r="5" spans="1:8" ht="21" x14ac:dyDescent="0.35">
      <c r="A5" s="2" t="s">
        <v>2</v>
      </c>
    </row>
    <row r="7" spans="1:8" ht="18.75" x14ac:dyDescent="0.3">
      <c r="A7" s="5" t="s">
        <v>622</v>
      </c>
      <c r="D7" s="4">
        <v>99008</v>
      </c>
      <c r="E7" s="25"/>
      <c r="H7" s="4">
        <f>(D7/1.19)*0.19</f>
        <v>15808</v>
      </c>
    </row>
    <row r="8" spans="1:8" ht="18.75" x14ac:dyDescent="0.3">
      <c r="A8" s="5"/>
      <c r="C8" s="3"/>
      <c r="D8" s="32"/>
      <c r="E8" s="25"/>
      <c r="H8" s="4">
        <f t="shared" ref="H8:H11" si="0">(D8/1.19)*0.19</f>
        <v>0</v>
      </c>
    </row>
    <row r="9" spans="1:8" ht="18.75" x14ac:dyDescent="0.3">
      <c r="A9" s="5"/>
      <c r="C9" s="3"/>
      <c r="D9" s="28"/>
      <c r="E9" s="25"/>
      <c r="H9" s="4">
        <f t="shared" si="0"/>
        <v>0</v>
      </c>
    </row>
    <row r="10" spans="1:8" ht="18.75" x14ac:dyDescent="0.3">
      <c r="A10" s="5"/>
      <c r="C10" s="3"/>
      <c r="D10" s="28"/>
      <c r="E10" s="25"/>
      <c r="H10" s="4">
        <f t="shared" si="0"/>
        <v>0</v>
      </c>
    </row>
    <row r="11" spans="1:8" ht="18.75" x14ac:dyDescent="0.3">
      <c r="A11" s="5"/>
      <c r="C11" s="3"/>
      <c r="D11" s="28"/>
      <c r="E11" s="25"/>
      <c r="H11" s="4">
        <f t="shared" si="0"/>
        <v>0</v>
      </c>
    </row>
    <row r="12" spans="1:8" ht="18.75" x14ac:dyDescent="0.3">
      <c r="A12" s="5"/>
      <c r="C12" s="3"/>
      <c r="D12" s="28"/>
      <c r="E12" s="25"/>
      <c r="H12" s="4"/>
    </row>
    <row r="13" spans="1:8" ht="19.5" thickBot="1" x14ac:dyDescent="0.35">
      <c r="A13" s="5"/>
      <c r="C13" s="3"/>
      <c r="D13" s="22"/>
      <c r="E13" s="25"/>
      <c r="H13" s="22"/>
    </row>
    <row r="14" spans="1:8" ht="18.75" customHeight="1" x14ac:dyDescent="0.3">
      <c r="D14" s="4">
        <f>SUM(D7:D13)</f>
        <v>99008</v>
      </c>
      <c r="H14" s="4">
        <f>SUM(H7:H13)</f>
        <v>15808</v>
      </c>
    </row>
    <row r="15" spans="1:8" ht="18.75" x14ac:dyDescent="0.3">
      <c r="A15" s="5"/>
      <c r="C15" s="3"/>
      <c r="D15" s="4"/>
      <c r="H15" s="4"/>
    </row>
    <row r="17" spans="1:8" ht="18.75" x14ac:dyDescent="0.3">
      <c r="A17" s="5"/>
      <c r="C17" s="3"/>
      <c r="D17" s="4"/>
      <c r="H17" s="4"/>
    </row>
    <row r="18" spans="1:8" ht="15.75" thickBot="1" x14ac:dyDescent="0.3">
      <c r="D18" s="7"/>
      <c r="H18" s="7"/>
    </row>
    <row r="20" spans="1:8" ht="18.75" x14ac:dyDescent="0.3">
      <c r="C20" t="s">
        <v>4</v>
      </c>
      <c r="D20" s="4">
        <f>D3-D14</f>
        <v>53312</v>
      </c>
      <c r="G20" t="s">
        <v>5</v>
      </c>
      <c r="H20" s="4">
        <f>H3-H14</f>
        <v>8512</v>
      </c>
    </row>
    <row r="23" spans="1:8" ht="15.75" x14ac:dyDescent="0.25">
      <c r="A23" t="s">
        <v>6</v>
      </c>
      <c r="C23" s="8">
        <f>D20</f>
        <v>53312</v>
      </c>
      <c r="E23" t="s">
        <v>10</v>
      </c>
      <c r="H23" s="6">
        <f>C32</f>
        <v>44190.720000000001</v>
      </c>
    </row>
    <row r="25" spans="1:8" ht="15.75" x14ac:dyDescent="0.25">
      <c r="A25" t="s">
        <v>5</v>
      </c>
      <c r="B25" s="9" t="s">
        <v>7</v>
      </c>
      <c r="C25" s="8">
        <f>H20</f>
        <v>8512</v>
      </c>
      <c r="E25" s="13" t="s">
        <v>11</v>
      </c>
      <c r="F25" s="9" t="s">
        <v>181</v>
      </c>
      <c r="G25" s="15" t="s">
        <v>17</v>
      </c>
      <c r="H25" s="3">
        <f>-(F26*0.0077)</f>
        <v>-985.6</v>
      </c>
    </row>
    <row r="26" spans="1:8" x14ac:dyDescent="0.25">
      <c r="F26" s="21">
        <f>D3-H3</f>
        <v>128000</v>
      </c>
    </row>
    <row r="27" spans="1:8" ht="15.75" x14ac:dyDescent="0.25">
      <c r="A27" t="s">
        <v>8</v>
      </c>
      <c r="B27" s="9" t="s">
        <v>7</v>
      </c>
      <c r="C27" s="8">
        <f>D3*0.004</f>
        <v>609.28</v>
      </c>
      <c r="F27" s="9" t="s">
        <v>13</v>
      </c>
      <c r="G27" s="16">
        <v>0.35</v>
      </c>
      <c r="H27" s="29">
        <f>-(F28*0.35)</f>
        <v>-15466.751999999999</v>
      </c>
    </row>
    <row r="28" spans="1:8" ht="15.75" thickBot="1" x14ac:dyDescent="0.3">
      <c r="F28" s="21">
        <f>H23</f>
        <v>44190.720000000001</v>
      </c>
      <c r="H28" s="7"/>
    </row>
    <row r="29" spans="1:8" x14ac:dyDescent="0.25">
      <c r="A29" t="s">
        <v>9</v>
      </c>
      <c r="B29" s="9" t="s">
        <v>7</v>
      </c>
      <c r="G29" s="13" t="s">
        <v>14</v>
      </c>
      <c r="H29" s="6">
        <f>H23+H25+H27</f>
        <v>27738.368000000002</v>
      </c>
    </row>
    <row r="30" spans="1:8" ht="15.75" thickBot="1" x14ac:dyDescent="0.3">
      <c r="A30" s="16"/>
      <c r="B30" s="14"/>
      <c r="C30" s="7"/>
    </row>
    <row r="31" spans="1:8" x14ac:dyDescent="0.25">
      <c r="E31" t="s">
        <v>151</v>
      </c>
      <c r="H31" s="20">
        <f>H29*0.5</f>
        <v>13869.184000000001</v>
      </c>
    </row>
    <row r="32" spans="1:8" ht="15.75" x14ac:dyDescent="0.25">
      <c r="A32" t="s">
        <v>10</v>
      </c>
      <c r="C32" s="10">
        <f>C23-C25-C27-C29</f>
        <v>44190.720000000001</v>
      </c>
      <c r="H32" s="18"/>
    </row>
    <row r="33" spans="8:8" x14ac:dyDescent="0.25">
      <c r="H33" s="3"/>
    </row>
    <row r="34" spans="8:8" x14ac:dyDescent="0.25">
      <c r="H34" s="18"/>
    </row>
  </sheetData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C9674-197D-4478-A24A-4611C679E71E}">
  <dimension ref="A1:H34"/>
  <sheetViews>
    <sheetView workbookViewId="0">
      <selection sqref="A1:XFD1048576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676</v>
      </c>
    </row>
    <row r="3" spans="1:8" ht="21" x14ac:dyDescent="0.35">
      <c r="A3" s="2" t="s">
        <v>1</v>
      </c>
      <c r="D3" s="11">
        <v>7109417</v>
      </c>
      <c r="F3" s="12" t="s">
        <v>3</v>
      </c>
      <c r="H3" s="4">
        <f>(D3/1.19)*0.19</f>
        <v>1135117</v>
      </c>
    </row>
    <row r="4" spans="1:8" x14ac:dyDescent="0.25">
      <c r="A4" s="13" t="s">
        <v>32</v>
      </c>
      <c r="C4" s="26">
        <v>933</v>
      </c>
    </row>
    <row r="5" spans="1:8" ht="21" x14ac:dyDescent="0.35">
      <c r="A5" s="2" t="s">
        <v>2</v>
      </c>
    </row>
    <row r="7" spans="1:8" ht="18.75" x14ac:dyDescent="0.3">
      <c r="A7" s="5" t="s">
        <v>622</v>
      </c>
      <c r="D7" s="4">
        <v>54359</v>
      </c>
      <c r="E7" s="25"/>
      <c r="H7" s="4">
        <f>(D7/1.19)*0.19</f>
        <v>8679.1680672268903</v>
      </c>
    </row>
    <row r="8" spans="1:8" ht="18.75" x14ac:dyDescent="0.3">
      <c r="A8" s="5" t="s">
        <v>480</v>
      </c>
      <c r="C8" s="3"/>
      <c r="D8" s="32">
        <v>2214700</v>
      </c>
      <c r="E8" s="25"/>
      <c r="H8" s="4">
        <f t="shared" ref="H8:H12" si="0">(D8/1.19)*0.19</f>
        <v>353607.56302521011</v>
      </c>
    </row>
    <row r="9" spans="1:8" ht="18.75" x14ac:dyDescent="0.3">
      <c r="A9" s="5" t="s">
        <v>652</v>
      </c>
      <c r="C9" s="3"/>
      <c r="D9" s="28">
        <v>650722</v>
      </c>
      <c r="E9" s="25"/>
      <c r="H9" s="4">
        <f t="shared" si="0"/>
        <v>103896.78991596639</v>
      </c>
    </row>
    <row r="10" spans="1:8" ht="18.75" x14ac:dyDescent="0.3">
      <c r="A10" s="5" t="s">
        <v>343</v>
      </c>
      <c r="C10" s="3"/>
      <c r="D10" s="28">
        <v>285347</v>
      </c>
      <c r="E10" s="25"/>
      <c r="H10" s="4">
        <f t="shared" si="0"/>
        <v>45559.60504201681</v>
      </c>
    </row>
    <row r="11" spans="1:8" ht="18.75" x14ac:dyDescent="0.3">
      <c r="A11" s="5" t="s">
        <v>476</v>
      </c>
      <c r="C11" s="3"/>
      <c r="D11" s="28">
        <v>1089798</v>
      </c>
      <c r="E11" s="25"/>
      <c r="H11" s="4">
        <f t="shared" si="0"/>
        <v>174001.36134453781</v>
      </c>
    </row>
    <row r="12" spans="1:8" ht="18.75" x14ac:dyDescent="0.3">
      <c r="A12" s="5" t="s">
        <v>221</v>
      </c>
      <c r="C12" s="3"/>
      <c r="D12" s="28">
        <v>845725</v>
      </c>
      <c r="E12" s="25"/>
      <c r="H12" s="4">
        <f t="shared" si="0"/>
        <v>135031.72268907563</v>
      </c>
    </row>
    <row r="13" spans="1:8" ht="19.5" thickBot="1" x14ac:dyDescent="0.35">
      <c r="A13" s="5" t="s">
        <v>656</v>
      </c>
      <c r="C13" s="3"/>
      <c r="D13" s="22">
        <v>63708</v>
      </c>
      <c r="E13" s="25"/>
      <c r="H13" s="22">
        <v>0</v>
      </c>
    </row>
    <row r="14" spans="1:8" ht="18.75" customHeight="1" x14ac:dyDescent="0.3">
      <c r="D14" s="4">
        <f>SUM(D7:D13)</f>
        <v>5204359</v>
      </c>
      <c r="H14" s="4">
        <f>SUM(H7:H13)</f>
        <v>820776.21008403366</v>
      </c>
    </row>
    <row r="15" spans="1:8" ht="18.75" x14ac:dyDescent="0.3">
      <c r="A15" s="5"/>
      <c r="C15" s="3"/>
      <c r="D15" s="4"/>
      <c r="H15" s="4"/>
    </row>
    <row r="17" spans="1:8" ht="18.75" x14ac:dyDescent="0.3">
      <c r="A17" s="5"/>
      <c r="C17" s="3"/>
      <c r="D17" s="4"/>
      <c r="H17" s="4"/>
    </row>
    <row r="18" spans="1:8" ht="15.75" thickBot="1" x14ac:dyDescent="0.3">
      <c r="D18" s="7"/>
      <c r="H18" s="7"/>
    </row>
    <row r="20" spans="1:8" ht="18.75" x14ac:dyDescent="0.3">
      <c r="C20" t="s">
        <v>4</v>
      </c>
      <c r="D20" s="4">
        <f>D3-D14</f>
        <v>1905058</v>
      </c>
      <c r="G20" t="s">
        <v>5</v>
      </c>
      <c r="H20" s="4">
        <f>H3-H14</f>
        <v>314340.78991596634</v>
      </c>
    </row>
    <row r="23" spans="1:8" ht="15.75" x14ac:dyDescent="0.25">
      <c r="A23" t="s">
        <v>6</v>
      </c>
      <c r="C23" s="8">
        <f>D20</f>
        <v>1905058</v>
      </c>
      <c r="E23" t="s">
        <v>10</v>
      </c>
      <c r="H23" s="6">
        <f>C32</f>
        <v>1562279.5420840336</v>
      </c>
    </row>
    <row r="25" spans="1:8" ht="15.75" x14ac:dyDescent="0.25">
      <c r="A25" t="s">
        <v>5</v>
      </c>
      <c r="B25" s="9" t="s">
        <v>7</v>
      </c>
      <c r="C25" s="8">
        <f>H20</f>
        <v>314340.78991596634</v>
      </c>
      <c r="E25" s="13" t="s">
        <v>11</v>
      </c>
      <c r="F25" s="9" t="s">
        <v>181</v>
      </c>
      <c r="G25" s="15" t="s">
        <v>17</v>
      </c>
      <c r="H25" s="3">
        <f>-(F26*0.0077)</f>
        <v>-46002.11</v>
      </c>
    </row>
    <row r="26" spans="1:8" x14ac:dyDescent="0.25">
      <c r="F26" s="21">
        <f>D3-H3</f>
        <v>5974300</v>
      </c>
    </row>
    <row r="27" spans="1:8" ht="15.75" x14ac:dyDescent="0.25">
      <c r="A27" t="s">
        <v>8</v>
      </c>
      <c r="B27" s="9" t="s">
        <v>7</v>
      </c>
      <c r="C27" s="8">
        <f>D3*0.004</f>
        <v>28437.668000000001</v>
      </c>
      <c r="F27" s="9" t="s">
        <v>13</v>
      </c>
      <c r="G27" s="16">
        <v>0.35</v>
      </c>
      <c r="H27" s="29">
        <f>-(F28*0.35)</f>
        <v>-546797.83972941176</v>
      </c>
    </row>
    <row r="28" spans="1:8" ht="15.75" thickBot="1" x14ac:dyDescent="0.3">
      <c r="F28" s="21">
        <f>H23</f>
        <v>1562279.5420840336</v>
      </c>
      <c r="H28" s="7"/>
    </row>
    <row r="29" spans="1:8" x14ac:dyDescent="0.25">
      <c r="A29" t="s">
        <v>9</v>
      </c>
      <c r="B29" s="9" t="s">
        <v>7</v>
      </c>
      <c r="G29" s="13" t="s">
        <v>14</v>
      </c>
      <c r="H29" s="6">
        <f>H23+H25+H27</f>
        <v>969479.59235462174</v>
      </c>
    </row>
    <row r="30" spans="1:8" ht="15.75" thickBot="1" x14ac:dyDescent="0.3">
      <c r="A30" s="16"/>
      <c r="B30" s="14"/>
      <c r="C30" s="7"/>
    </row>
    <row r="31" spans="1:8" x14ac:dyDescent="0.25">
      <c r="E31" t="s">
        <v>151</v>
      </c>
      <c r="H31" s="20">
        <f>H29*0.5</f>
        <v>484739.79617731087</v>
      </c>
    </row>
    <row r="32" spans="1:8" ht="15.75" x14ac:dyDescent="0.25">
      <c r="A32" t="s">
        <v>10</v>
      </c>
      <c r="C32" s="10">
        <f>C23-C25-C27-C29</f>
        <v>1562279.5420840336</v>
      </c>
      <c r="H32" s="18"/>
    </row>
    <row r="33" spans="8:8" x14ac:dyDescent="0.25">
      <c r="H33" s="3"/>
    </row>
    <row r="34" spans="8:8" x14ac:dyDescent="0.25">
      <c r="H34" s="18"/>
    </row>
  </sheetData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5C98F-429E-4EE4-BC94-DCC64FDC2FA4}">
  <dimension ref="A1:H34"/>
  <sheetViews>
    <sheetView workbookViewId="0">
      <selection sqref="A1:XFD1048576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677</v>
      </c>
    </row>
    <row r="3" spans="1:8" ht="21" x14ac:dyDescent="0.35">
      <c r="A3" s="2" t="s">
        <v>1</v>
      </c>
      <c r="D3" s="11">
        <v>53134</v>
      </c>
      <c r="F3" s="12" t="s">
        <v>3</v>
      </c>
      <c r="H3" s="4">
        <f>(D3/1.19)*0.19</f>
        <v>8483.5798319327732</v>
      </c>
    </row>
    <row r="4" spans="1:8" x14ac:dyDescent="0.25">
      <c r="A4" s="13" t="s">
        <v>32</v>
      </c>
      <c r="C4" s="26">
        <v>936</v>
      </c>
    </row>
    <row r="5" spans="1:8" ht="21" x14ac:dyDescent="0.35">
      <c r="A5" s="2" t="s">
        <v>2</v>
      </c>
    </row>
    <row r="7" spans="1:8" ht="18.75" x14ac:dyDescent="0.3">
      <c r="A7" s="5" t="s">
        <v>622</v>
      </c>
      <c r="D7" s="4">
        <v>34540</v>
      </c>
      <c r="E7" s="25"/>
      <c r="H7" s="4">
        <f>(D7/1.19)*0.19</f>
        <v>5514.7899159663866</v>
      </c>
    </row>
    <row r="8" spans="1:8" ht="18.75" x14ac:dyDescent="0.3">
      <c r="A8" s="5"/>
      <c r="C8" s="3"/>
      <c r="D8" s="32"/>
      <c r="E8" s="25"/>
      <c r="H8" s="4">
        <f t="shared" ref="H8:H12" si="0">(D8/1.19)*0.19</f>
        <v>0</v>
      </c>
    </row>
    <row r="9" spans="1:8" ht="18.75" x14ac:dyDescent="0.3">
      <c r="A9" s="5"/>
      <c r="C9" s="3"/>
      <c r="D9" s="28"/>
      <c r="E9" s="25"/>
      <c r="H9" s="4">
        <f t="shared" si="0"/>
        <v>0</v>
      </c>
    </row>
    <row r="10" spans="1:8" ht="18.75" x14ac:dyDescent="0.3">
      <c r="A10" s="5"/>
      <c r="C10" s="3"/>
      <c r="D10" s="28"/>
      <c r="E10" s="25"/>
      <c r="H10" s="4">
        <f t="shared" si="0"/>
        <v>0</v>
      </c>
    </row>
    <row r="11" spans="1:8" ht="18.75" x14ac:dyDescent="0.3">
      <c r="A11" s="5"/>
      <c r="C11" s="3"/>
      <c r="D11" s="28"/>
      <c r="E11" s="25"/>
      <c r="H11" s="4">
        <f t="shared" si="0"/>
        <v>0</v>
      </c>
    </row>
    <row r="12" spans="1:8" ht="18.75" x14ac:dyDescent="0.3">
      <c r="A12" s="5"/>
      <c r="C12" s="3"/>
      <c r="D12" s="28"/>
      <c r="E12" s="25"/>
      <c r="H12" s="4">
        <f t="shared" si="0"/>
        <v>0</v>
      </c>
    </row>
    <row r="13" spans="1:8" ht="19.5" thickBot="1" x14ac:dyDescent="0.35">
      <c r="A13" s="5"/>
      <c r="C13" s="3"/>
      <c r="D13" s="22"/>
      <c r="E13" s="25"/>
      <c r="H13" s="22">
        <v>0</v>
      </c>
    </row>
    <row r="14" spans="1:8" ht="18.75" customHeight="1" x14ac:dyDescent="0.3">
      <c r="D14" s="4">
        <f>SUM(D7:D13)</f>
        <v>34540</v>
      </c>
      <c r="H14" s="4">
        <f>SUM(H7:H13)</f>
        <v>5514.7899159663866</v>
      </c>
    </row>
    <row r="15" spans="1:8" ht="18.75" x14ac:dyDescent="0.3">
      <c r="A15" s="5"/>
      <c r="C15" s="3"/>
      <c r="D15" s="4"/>
      <c r="H15" s="4"/>
    </row>
    <row r="17" spans="1:8" ht="18.75" x14ac:dyDescent="0.3">
      <c r="A17" s="5"/>
      <c r="C17" s="3"/>
      <c r="D17" s="4"/>
      <c r="H17" s="4"/>
    </row>
    <row r="18" spans="1:8" ht="15.75" thickBot="1" x14ac:dyDescent="0.3">
      <c r="D18" s="7"/>
      <c r="H18" s="7"/>
    </row>
    <row r="20" spans="1:8" ht="18.75" x14ac:dyDescent="0.3">
      <c r="C20" t="s">
        <v>4</v>
      </c>
      <c r="D20" s="4">
        <f>D3-D14</f>
        <v>18594</v>
      </c>
      <c r="G20" t="s">
        <v>5</v>
      </c>
      <c r="H20" s="4">
        <f>H3-H14</f>
        <v>2968.7899159663866</v>
      </c>
    </row>
    <row r="23" spans="1:8" ht="15.75" x14ac:dyDescent="0.25">
      <c r="A23" t="s">
        <v>6</v>
      </c>
      <c r="C23" s="8">
        <f>D20</f>
        <v>18594</v>
      </c>
      <c r="E23" t="s">
        <v>10</v>
      </c>
      <c r="H23" s="6">
        <f>C32</f>
        <v>15412.674084033613</v>
      </c>
    </row>
    <row r="25" spans="1:8" ht="15.75" x14ac:dyDescent="0.25">
      <c r="A25" t="s">
        <v>5</v>
      </c>
      <c r="B25" s="9" t="s">
        <v>7</v>
      </c>
      <c r="C25" s="8">
        <f>H20</f>
        <v>2968.7899159663866</v>
      </c>
      <c r="E25" s="13" t="s">
        <v>11</v>
      </c>
      <c r="F25" s="9" t="s">
        <v>181</v>
      </c>
      <c r="G25" s="15" t="s">
        <v>17</v>
      </c>
      <c r="H25" s="3">
        <f>-(F26*0.0077)</f>
        <v>-343.80823529411765</v>
      </c>
    </row>
    <row r="26" spans="1:8" x14ac:dyDescent="0.25">
      <c r="F26" s="21">
        <f>D3-H3</f>
        <v>44650.420168067227</v>
      </c>
    </row>
    <row r="27" spans="1:8" ht="15.75" x14ac:dyDescent="0.25">
      <c r="A27" t="s">
        <v>8</v>
      </c>
      <c r="B27" s="9" t="s">
        <v>7</v>
      </c>
      <c r="C27" s="8">
        <f>D3*0.004</f>
        <v>212.536</v>
      </c>
      <c r="F27" s="9" t="s">
        <v>13</v>
      </c>
      <c r="G27" s="16">
        <v>0.35</v>
      </c>
      <c r="H27" s="29">
        <f>-(F28*0.35)</f>
        <v>-5394.4359294117639</v>
      </c>
    </row>
    <row r="28" spans="1:8" ht="15.75" thickBot="1" x14ac:dyDescent="0.3">
      <c r="F28" s="21">
        <f>H23</f>
        <v>15412.674084033613</v>
      </c>
      <c r="H28" s="7"/>
    </row>
    <row r="29" spans="1:8" x14ac:dyDescent="0.25">
      <c r="A29" t="s">
        <v>9</v>
      </c>
      <c r="B29" s="9" t="s">
        <v>7</v>
      </c>
      <c r="G29" s="13" t="s">
        <v>14</v>
      </c>
      <c r="H29" s="6">
        <f>H23+H25+H27</f>
        <v>9674.4299193277311</v>
      </c>
    </row>
    <row r="30" spans="1:8" ht="15.75" thickBot="1" x14ac:dyDescent="0.3">
      <c r="A30" s="16"/>
      <c r="B30" s="14"/>
      <c r="C30" s="7"/>
    </row>
    <row r="31" spans="1:8" x14ac:dyDescent="0.25">
      <c r="E31" t="s">
        <v>151</v>
      </c>
      <c r="H31" s="20">
        <f>H29*0.5</f>
        <v>4837.2149596638656</v>
      </c>
    </row>
    <row r="32" spans="1:8" ht="15.75" x14ac:dyDescent="0.25">
      <c r="A32" t="s">
        <v>10</v>
      </c>
      <c r="C32" s="10">
        <f>C23-C25-C27-C29</f>
        <v>15412.674084033613</v>
      </c>
      <c r="H32" s="18"/>
    </row>
    <row r="33" spans="8:8" x14ac:dyDescent="0.25">
      <c r="H33" s="3"/>
    </row>
    <row r="34" spans="8:8" x14ac:dyDescent="0.25">
      <c r="H34" s="18"/>
    </row>
  </sheetData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EF492-ABC6-485F-997F-06B479375E09}">
  <dimension ref="A1:H34"/>
  <sheetViews>
    <sheetView workbookViewId="0">
      <selection sqref="A1:XFD1048576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678</v>
      </c>
    </row>
    <row r="3" spans="1:8" ht="21" x14ac:dyDescent="0.35">
      <c r="A3" s="2" t="s">
        <v>1</v>
      </c>
      <c r="D3" s="11">
        <v>512890</v>
      </c>
      <c r="F3" s="12" t="s">
        <v>3</v>
      </c>
      <c r="H3" s="4">
        <f>(D3/1.19)*0.19</f>
        <v>81890</v>
      </c>
    </row>
    <row r="4" spans="1:8" x14ac:dyDescent="0.25">
      <c r="A4" s="13" t="s">
        <v>32</v>
      </c>
      <c r="C4" s="26">
        <v>937</v>
      </c>
    </row>
    <row r="5" spans="1:8" ht="21" x14ac:dyDescent="0.35">
      <c r="A5" s="2" t="s">
        <v>2</v>
      </c>
    </row>
    <row r="7" spans="1:8" ht="18.75" x14ac:dyDescent="0.3">
      <c r="A7" s="5" t="s">
        <v>622</v>
      </c>
      <c r="D7" s="4">
        <v>150000</v>
      </c>
      <c r="E7" s="25"/>
      <c r="H7" s="4">
        <v>0</v>
      </c>
    </row>
    <row r="8" spans="1:8" ht="18.75" x14ac:dyDescent="0.3">
      <c r="A8" s="5" t="s">
        <v>679</v>
      </c>
      <c r="C8" s="3"/>
      <c r="D8" s="32">
        <v>205700</v>
      </c>
      <c r="E8" s="25"/>
      <c r="H8" s="4">
        <f t="shared" ref="H8:H12" si="0">(D8/1.19)*0.19</f>
        <v>32842.857142857145</v>
      </c>
    </row>
    <row r="9" spans="1:8" ht="18.75" x14ac:dyDescent="0.3">
      <c r="A9" s="5"/>
      <c r="C9" s="3"/>
      <c r="D9" s="28"/>
      <c r="E9" s="25"/>
      <c r="H9" s="4">
        <f t="shared" si="0"/>
        <v>0</v>
      </c>
    </row>
    <row r="10" spans="1:8" ht="18.75" x14ac:dyDescent="0.3">
      <c r="A10" s="5"/>
      <c r="C10" s="3"/>
      <c r="D10" s="28"/>
      <c r="E10" s="25"/>
      <c r="H10" s="4">
        <f t="shared" si="0"/>
        <v>0</v>
      </c>
    </row>
    <row r="11" spans="1:8" ht="18.75" x14ac:dyDescent="0.3">
      <c r="A11" s="5"/>
      <c r="C11" s="3"/>
      <c r="D11" s="28"/>
      <c r="E11" s="25"/>
      <c r="H11" s="4">
        <f t="shared" si="0"/>
        <v>0</v>
      </c>
    </row>
    <row r="12" spans="1:8" ht="18.75" x14ac:dyDescent="0.3">
      <c r="A12" s="5"/>
      <c r="C12" s="3"/>
      <c r="D12" s="28"/>
      <c r="E12" s="25"/>
      <c r="H12" s="4">
        <f t="shared" si="0"/>
        <v>0</v>
      </c>
    </row>
    <row r="13" spans="1:8" ht="19.5" thickBot="1" x14ac:dyDescent="0.35">
      <c r="A13" s="5"/>
      <c r="C13" s="3"/>
      <c r="D13" s="22"/>
      <c r="E13" s="25"/>
      <c r="H13" s="22">
        <v>0</v>
      </c>
    </row>
    <row r="14" spans="1:8" ht="18.75" customHeight="1" x14ac:dyDescent="0.3">
      <c r="D14" s="4">
        <f>SUM(D7:D13)</f>
        <v>355700</v>
      </c>
      <c r="H14" s="4">
        <f>SUM(H7:H13)</f>
        <v>32842.857142857145</v>
      </c>
    </row>
    <row r="15" spans="1:8" ht="18.75" x14ac:dyDescent="0.3">
      <c r="A15" s="5"/>
      <c r="C15" s="3"/>
      <c r="D15" s="4"/>
      <c r="H15" s="4"/>
    </row>
    <row r="17" spans="1:8" ht="18.75" x14ac:dyDescent="0.3">
      <c r="A17" s="5"/>
      <c r="C17" s="3"/>
      <c r="D17" s="4"/>
      <c r="H17" s="4"/>
    </row>
    <row r="18" spans="1:8" ht="15.75" thickBot="1" x14ac:dyDescent="0.3">
      <c r="D18" s="7"/>
      <c r="H18" s="7"/>
    </row>
    <row r="20" spans="1:8" ht="18.75" x14ac:dyDescent="0.3">
      <c r="C20" t="s">
        <v>4</v>
      </c>
      <c r="D20" s="4">
        <f>D3-D14</f>
        <v>157190</v>
      </c>
      <c r="G20" t="s">
        <v>5</v>
      </c>
      <c r="H20" s="4">
        <f>H3-H14</f>
        <v>49047.142857142855</v>
      </c>
    </row>
    <row r="23" spans="1:8" ht="15.75" x14ac:dyDescent="0.25">
      <c r="A23" t="s">
        <v>6</v>
      </c>
      <c r="C23" s="8">
        <f>D20</f>
        <v>157190</v>
      </c>
      <c r="E23" t="s">
        <v>10</v>
      </c>
      <c r="H23" s="6">
        <f>C32</f>
        <v>106091.29714285715</v>
      </c>
    </row>
    <row r="25" spans="1:8" ht="15.75" x14ac:dyDescent="0.25">
      <c r="A25" t="s">
        <v>5</v>
      </c>
      <c r="B25" s="9" t="s">
        <v>7</v>
      </c>
      <c r="C25" s="8">
        <f>H20</f>
        <v>49047.142857142855</v>
      </c>
      <c r="E25" s="13" t="s">
        <v>11</v>
      </c>
      <c r="F25" s="9" t="s">
        <v>181</v>
      </c>
      <c r="G25" s="15" t="s">
        <v>17</v>
      </c>
      <c r="H25" s="3">
        <f>-(F26*0.0077)</f>
        <v>-3318.7000000000003</v>
      </c>
    </row>
    <row r="26" spans="1:8" x14ac:dyDescent="0.25">
      <c r="F26" s="21">
        <f>D3-H3</f>
        <v>431000</v>
      </c>
    </row>
    <row r="27" spans="1:8" ht="15.75" x14ac:dyDescent="0.25">
      <c r="A27" t="s">
        <v>8</v>
      </c>
      <c r="B27" s="9" t="s">
        <v>7</v>
      </c>
      <c r="C27" s="8">
        <f>D3*0.004</f>
        <v>2051.56</v>
      </c>
      <c r="F27" s="9" t="s">
        <v>13</v>
      </c>
      <c r="G27" s="16">
        <v>0.35</v>
      </c>
      <c r="H27" s="29">
        <f>-(F28*0.35)</f>
        <v>-37131.953999999998</v>
      </c>
    </row>
    <row r="28" spans="1:8" ht="15.75" thickBot="1" x14ac:dyDescent="0.3">
      <c r="F28" s="21">
        <f>H23</f>
        <v>106091.29714285715</v>
      </c>
      <c r="H28" s="7"/>
    </row>
    <row r="29" spans="1:8" x14ac:dyDescent="0.25">
      <c r="A29" t="s">
        <v>9</v>
      </c>
      <c r="B29" s="9" t="s">
        <v>7</v>
      </c>
      <c r="G29" s="13" t="s">
        <v>14</v>
      </c>
      <c r="H29" s="6">
        <f>H23+H25+H27</f>
        <v>65640.643142857152</v>
      </c>
    </row>
    <row r="30" spans="1:8" ht="15.75" thickBot="1" x14ac:dyDescent="0.3">
      <c r="A30" s="16"/>
      <c r="B30" s="14"/>
      <c r="C30" s="7"/>
    </row>
    <row r="31" spans="1:8" x14ac:dyDescent="0.25">
      <c r="E31" t="s">
        <v>151</v>
      </c>
      <c r="H31" s="20">
        <f>H29*0.5</f>
        <v>32820.321571428576</v>
      </c>
    </row>
    <row r="32" spans="1:8" ht="15.75" x14ac:dyDescent="0.25">
      <c r="A32" t="s">
        <v>10</v>
      </c>
      <c r="C32" s="10">
        <f>C23-C25-C27-C29</f>
        <v>106091.29714285715</v>
      </c>
      <c r="H32" s="18"/>
    </row>
    <row r="33" spans="8:8" x14ac:dyDescent="0.25">
      <c r="H33" s="3"/>
    </row>
    <row r="34" spans="8:8" x14ac:dyDescent="0.25">
      <c r="H34" s="18"/>
    </row>
  </sheetData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3FC7D-920C-4474-AD85-E5EE4498437F}">
  <dimension ref="A1:H34"/>
  <sheetViews>
    <sheetView workbookViewId="0">
      <selection sqref="A1:XFD1048576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680</v>
      </c>
    </row>
    <row r="3" spans="1:8" ht="21" x14ac:dyDescent="0.35">
      <c r="A3" s="2" t="s">
        <v>1</v>
      </c>
      <c r="D3" s="11">
        <v>103530</v>
      </c>
      <c r="F3" s="12" t="s">
        <v>3</v>
      </c>
      <c r="H3" s="4">
        <f>(D3/1.19)*0.19</f>
        <v>16530</v>
      </c>
    </row>
    <row r="4" spans="1:8" x14ac:dyDescent="0.25">
      <c r="A4" s="13" t="s">
        <v>32</v>
      </c>
      <c r="C4" s="26">
        <v>938</v>
      </c>
    </row>
    <row r="5" spans="1:8" ht="21" x14ac:dyDescent="0.35">
      <c r="A5" s="2" t="s">
        <v>2</v>
      </c>
    </row>
    <row r="7" spans="1:8" ht="18.75" x14ac:dyDescent="0.3">
      <c r="A7" s="5" t="s">
        <v>185</v>
      </c>
      <c r="D7" s="4">
        <v>63100</v>
      </c>
      <c r="E7" s="25"/>
      <c r="H7" s="4">
        <f t="shared" ref="H7:H12" si="0">(D7/1.19)*0.19</f>
        <v>10074.789915966387</v>
      </c>
    </row>
    <row r="8" spans="1:8" ht="18.75" x14ac:dyDescent="0.3">
      <c r="A8" s="5"/>
      <c r="C8" s="3"/>
      <c r="D8" s="32"/>
      <c r="E8" s="25"/>
      <c r="H8" s="4">
        <f t="shared" si="0"/>
        <v>0</v>
      </c>
    </row>
    <row r="9" spans="1:8" ht="18.75" x14ac:dyDescent="0.3">
      <c r="A9" s="5"/>
      <c r="C9" s="3"/>
      <c r="D9" s="28"/>
      <c r="E9" s="25"/>
      <c r="H9" s="4">
        <f t="shared" si="0"/>
        <v>0</v>
      </c>
    </row>
    <row r="10" spans="1:8" ht="18.75" x14ac:dyDescent="0.3">
      <c r="A10" s="5"/>
      <c r="C10" s="3"/>
      <c r="D10" s="28"/>
      <c r="E10" s="25"/>
      <c r="H10" s="4">
        <f t="shared" si="0"/>
        <v>0</v>
      </c>
    </row>
    <row r="11" spans="1:8" ht="18.75" x14ac:dyDescent="0.3">
      <c r="A11" s="5"/>
      <c r="C11" s="3"/>
      <c r="D11" s="28"/>
      <c r="E11" s="25"/>
      <c r="H11" s="4">
        <f t="shared" si="0"/>
        <v>0</v>
      </c>
    </row>
    <row r="12" spans="1:8" ht="18.75" x14ac:dyDescent="0.3">
      <c r="A12" s="5"/>
      <c r="C12" s="3"/>
      <c r="D12" s="28"/>
      <c r="E12" s="25"/>
      <c r="H12" s="4">
        <f t="shared" si="0"/>
        <v>0</v>
      </c>
    </row>
    <row r="13" spans="1:8" ht="19.5" thickBot="1" x14ac:dyDescent="0.35">
      <c r="A13" s="5"/>
      <c r="C13" s="3"/>
      <c r="D13" s="22"/>
      <c r="E13" s="25"/>
      <c r="H13" s="22">
        <v>0</v>
      </c>
    </row>
    <row r="14" spans="1:8" ht="18.75" customHeight="1" x14ac:dyDescent="0.3">
      <c r="D14" s="4">
        <f>SUM(D7:D13)</f>
        <v>63100</v>
      </c>
      <c r="H14" s="4">
        <f>SUM(H7:H13)</f>
        <v>10074.789915966387</v>
      </c>
    </row>
    <row r="15" spans="1:8" ht="18.75" x14ac:dyDescent="0.3">
      <c r="A15" s="5"/>
      <c r="C15" s="3"/>
      <c r="D15" s="4"/>
      <c r="H15" s="4"/>
    </row>
    <row r="17" spans="1:8" ht="18.75" x14ac:dyDescent="0.3">
      <c r="A17" s="5"/>
      <c r="C17" s="3"/>
      <c r="D17" s="4"/>
      <c r="H17" s="4"/>
    </row>
    <row r="18" spans="1:8" ht="15.75" thickBot="1" x14ac:dyDescent="0.3">
      <c r="D18" s="7"/>
      <c r="H18" s="7"/>
    </row>
    <row r="20" spans="1:8" ht="18.75" x14ac:dyDescent="0.3">
      <c r="C20" t="s">
        <v>4</v>
      </c>
      <c r="D20" s="4">
        <f>D3-D14</f>
        <v>40430</v>
      </c>
      <c r="G20" t="s">
        <v>5</v>
      </c>
      <c r="H20" s="4">
        <f>H3-H14</f>
        <v>6455.2100840336134</v>
      </c>
    </row>
    <row r="23" spans="1:8" ht="15.75" x14ac:dyDescent="0.25">
      <c r="A23" t="s">
        <v>6</v>
      </c>
      <c r="C23" s="8">
        <f>D20</f>
        <v>40430</v>
      </c>
      <c r="E23" t="s">
        <v>10</v>
      </c>
      <c r="H23" s="6">
        <f>C32</f>
        <v>33560.669915966384</v>
      </c>
    </row>
    <row r="25" spans="1:8" ht="15.75" x14ac:dyDescent="0.25">
      <c r="A25" t="s">
        <v>5</v>
      </c>
      <c r="B25" s="9" t="s">
        <v>7</v>
      </c>
      <c r="C25" s="8">
        <f>H20</f>
        <v>6455.2100840336134</v>
      </c>
      <c r="E25" s="13" t="s">
        <v>11</v>
      </c>
      <c r="F25" s="9" t="s">
        <v>181</v>
      </c>
      <c r="G25" s="15" t="s">
        <v>17</v>
      </c>
      <c r="H25" s="3">
        <f>-(F26*0.0077)</f>
        <v>-669.9</v>
      </c>
    </row>
    <row r="26" spans="1:8" x14ac:dyDescent="0.25">
      <c r="F26" s="21">
        <f>D3-H3</f>
        <v>87000</v>
      </c>
    </row>
    <row r="27" spans="1:8" ht="15.75" x14ac:dyDescent="0.25">
      <c r="A27" t="s">
        <v>8</v>
      </c>
      <c r="B27" s="9" t="s">
        <v>7</v>
      </c>
      <c r="C27" s="8">
        <f>D3*0.004</f>
        <v>414.12</v>
      </c>
      <c r="F27" s="9" t="s">
        <v>13</v>
      </c>
      <c r="G27" s="16">
        <v>0.35</v>
      </c>
      <c r="H27" s="29">
        <f>-(F28*0.35)</f>
        <v>-11746.234470588233</v>
      </c>
    </row>
    <row r="28" spans="1:8" ht="15.75" thickBot="1" x14ac:dyDescent="0.3">
      <c r="F28" s="21">
        <f>H23</f>
        <v>33560.669915966384</v>
      </c>
      <c r="H28" s="7"/>
    </row>
    <row r="29" spans="1:8" x14ac:dyDescent="0.25">
      <c r="A29" t="s">
        <v>9</v>
      </c>
      <c r="B29" s="9" t="s">
        <v>7</v>
      </c>
      <c r="G29" s="13" t="s">
        <v>14</v>
      </c>
      <c r="H29" s="6">
        <f>H23+H25+H27</f>
        <v>21144.535445378147</v>
      </c>
    </row>
    <row r="30" spans="1:8" ht="15.75" thickBot="1" x14ac:dyDescent="0.3">
      <c r="A30" s="16"/>
      <c r="B30" s="14"/>
      <c r="C30" s="7"/>
    </row>
    <row r="31" spans="1:8" x14ac:dyDescent="0.25">
      <c r="E31" t="s">
        <v>151</v>
      </c>
      <c r="H31" s="20">
        <f>H29*0.5</f>
        <v>10572.267722689074</v>
      </c>
    </row>
    <row r="32" spans="1:8" ht="15.75" x14ac:dyDescent="0.25">
      <c r="A32" t="s">
        <v>10</v>
      </c>
      <c r="C32" s="10">
        <f>C23-C25-C27-C29</f>
        <v>33560.669915966384</v>
      </c>
      <c r="H32" s="18"/>
    </row>
    <row r="33" spans="8:8" x14ac:dyDescent="0.25">
      <c r="H33" s="3"/>
    </row>
    <row r="34" spans="8:8" x14ac:dyDescent="0.25">
      <c r="H34" s="18"/>
    </row>
  </sheetData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B26F9-C747-45CD-8C37-F5E28E7F1BFC}">
  <dimension ref="A1:H34"/>
  <sheetViews>
    <sheetView workbookViewId="0">
      <selection sqref="A1:XFD1048576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681</v>
      </c>
    </row>
    <row r="3" spans="1:8" ht="21" x14ac:dyDescent="0.35">
      <c r="A3" s="2" t="s">
        <v>1</v>
      </c>
      <c r="D3" s="11">
        <v>157080</v>
      </c>
      <c r="F3" s="12" t="s">
        <v>3</v>
      </c>
      <c r="H3" s="4">
        <f>(D3/1.19)*0.19</f>
        <v>25080</v>
      </c>
    </row>
    <row r="4" spans="1:8" x14ac:dyDescent="0.25">
      <c r="A4" s="13" t="s">
        <v>32</v>
      </c>
      <c r="C4" s="26">
        <v>943</v>
      </c>
    </row>
    <row r="5" spans="1:8" ht="21" x14ac:dyDescent="0.35">
      <c r="A5" s="2" t="s">
        <v>2</v>
      </c>
    </row>
    <row r="7" spans="1:8" ht="18.75" x14ac:dyDescent="0.3">
      <c r="A7" s="5" t="s">
        <v>185</v>
      </c>
      <c r="D7" s="4">
        <v>113045</v>
      </c>
      <c r="E7" s="25"/>
      <c r="H7" s="4">
        <f t="shared" ref="H7:H12" si="0">(D7/1.19)*0.19</f>
        <v>18049.201680672268</v>
      </c>
    </row>
    <row r="8" spans="1:8" ht="18.75" x14ac:dyDescent="0.3">
      <c r="A8" s="5"/>
      <c r="C8" s="3"/>
      <c r="D8" s="32"/>
      <c r="E8" s="25"/>
      <c r="H8" s="4">
        <f t="shared" si="0"/>
        <v>0</v>
      </c>
    </row>
    <row r="9" spans="1:8" ht="18.75" x14ac:dyDescent="0.3">
      <c r="A9" s="5"/>
      <c r="C9" s="3"/>
      <c r="D9" s="28"/>
      <c r="E9" s="25"/>
      <c r="H9" s="4">
        <f t="shared" si="0"/>
        <v>0</v>
      </c>
    </row>
    <row r="10" spans="1:8" ht="18.75" x14ac:dyDescent="0.3">
      <c r="A10" s="5"/>
      <c r="C10" s="3"/>
      <c r="D10" s="28"/>
      <c r="E10" s="25"/>
      <c r="H10" s="4">
        <f t="shared" si="0"/>
        <v>0</v>
      </c>
    </row>
    <row r="11" spans="1:8" ht="18.75" x14ac:dyDescent="0.3">
      <c r="A11" s="5"/>
      <c r="C11" s="3"/>
      <c r="D11" s="28"/>
      <c r="E11" s="25"/>
      <c r="H11" s="4">
        <f t="shared" si="0"/>
        <v>0</v>
      </c>
    </row>
    <row r="12" spans="1:8" ht="18.75" x14ac:dyDescent="0.3">
      <c r="A12" s="5"/>
      <c r="C12" s="3"/>
      <c r="D12" s="28"/>
      <c r="E12" s="25"/>
      <c r="H12" s="4">
        <f t="shared" si="0"/>
        <v>0</v>
      </c>
    </row>
    <row r="13" spans="1:8" ht="19.5" thickBot="1" x14ac:dyDescent="0.35">
      <c r="A13" s="5"/>
      <c r="C13" s="3"/>
      <c r="D13" s="22"/>
      <c r="E13" s="25"/>
      <c r="H13" s="22">
        <v>0</v>
      </c>
    </row>
    <row r="14" spans="1:8" ht="18.75" customHeight="1" x14ac:dyDescent="0.3">
      <c r="D14" s="4">
        <f>SUM(D7:D13)</f>
        <v>113045</v>
      </c>
      <c r="H14" s="4">
        <f>SUM(H7:H13)</f>
        <v>18049.201680672268</v>
      </c>
    </row>
    <row r="15" spans="1:8" ht="18.75" x14ac:dyDescent="0.3">
      <c r="A15" s="5"/>
      <c r="C15" s="3"/>
      <c r="D15" s="4"/>
      <c r="H15" s="4"/>
    </row>
    <row r="17" spans="1:8" ht="18.75" x14ac:dyDescent="0.3">
      <c r="A17" s="5"/>
      <c r="C17" s="3"/>
      <c r="D17" s="4"/>
      <c r="H17" s="4"/>
    </row>
    <row r="18" spans="1:8" ht="15.75" thickBot="1" x14ac:dyDescent="0.3">
      <c r="D18" s="7"/>
      <c r="H18" s="7"/>
    </row>
    <row r="20" spans="1:8" ht="18.75" x14ac:dyDescent="0.3">
      <c r="C20" t="s">
        <v>4</v>
      </c>
      <c r="D20" s="4">
        <f>D3-D14</f>
        <v>44035</v>
      </c>
      <c r="G20" t="s">
        <v>5</v>
      </c>
      <c r="H20" s="4">
        <f>H3-H14</f>
        <v>7030.7983193277323</v>
      </c>
    </row>
    <row r="23" spans="1:8" ht="15.75" x14ac:dyDescent="0.25">
      <c r="A23" t="s">
        <v>6</v>
      </c>
      <c r="C23" s="8">
        <f>D20</f>
        <v>44035</v>
      </c>
      <c r="E23" t="s">
        <v>10</v>
      </c>
      <c r="H23" s="6">
        <f>C32</f>
        <v>36375.881680672268</v>
      </c>
    </row>
    <row r="25" spans="1:8" ht="15.75" x14ac:dyDescent="0.25">
      <c r="A25" t="s">
        <v>5</v>
      </c>
      <c r="B25" s="9" t="s">
        <v>7</v>
      </c>
      <c r="C25" s="8">
        <f>H20</f>
        <v>7030.7983193277323</v>
      </c>
      <c r="E25" s="13" t="s">
        <v>11</v>
      </c>
      <c r="F25" s="9" t="s">
        <v>181</v>
      </c>
      <c r="G25" s="15" t="s">
        <v>17</v>
      </c>
      <c r="H25" s="3">
        <f>-(F26*0.0077)</f>
        <v>-1016.4</v>
      </c>
    </row>
    <row r="26" spans="1:8" x14ac:dyDescent="0.25">
      <c r="F26" s="21">
        <f>D3-H3</f>
        <v>132000</v>
      </c>
    </row>
    <row r="27" spans="1:8" ht="15.75" x14ac:dyDescent="0.25">
      <c r="A27" t="s">
        <v>8</v>
      </c>
      <c r="B27" s="9" t="s">
        <v>7</v>
      </c>
      <c r="C27" s="8">
        <f>D3*0.004</f>
        <v>628.32000000000005</v>
      </c>
      <c r="F27" s="9" t="s">
        <v>13</v>
      </c>
      <c r="G27" s="16">
        <v>0.35</v>
      </c>
      <c r="H27" s="29">
        <f>-(F28*0.35)</f>
        <v>-12731.558588235293</v>
      </c>
    </row>
    <row r="28" spans="1:8" ht="15.75" thickBot="1" x14ac:dyDescent="0.3">
      <c r="F28" s="21">
        <f>H23</f>
        <v>36375.881680672268</v>
      </c>
      <c r="H28" s="7"/>
    </row>
    <row r="29" spans="1:8" x14ac:dyDescent="0.25">
      <c r="A29" t="s">
        <v>9</v>
      </c>
      <c r="B29" s="9" t="s">
        <v>7</v>
      </c>
      <c r="G29" s="13" t="s">
        <v>14</v>
      </c>
      <c r="H29" s="6">
        <f>H23+H25+H27</f>
        <v>22627.923092436973</v>
      </c>
    </row>
    <row r="30" spans="1:8" ht="15.75" thickBot="1" x14ac:dyDescent="0.3">
      <c r="A30" s="16"/>
      <c r="B30" s="14"/>
      <c r="C30" s="7"/>
    </row>
    <row r="31" spans="1:8" x14ac:dyDescent="0.25">
      <c r="E31" t="s">
        <v>151</v>
      </c>
      <c r="H31" s="20">
        <f>H29*0.5</f>
        <v>11313.961546218487</v>
      </c>
    </row>
    <row r="32" spans="1:8" ht="15.75" x14ac:dyDescent="0.25">
      <c r="A32" t="s">
        <v>10</v>
      </c>
      <c r="C32" s="10">
        <f>C23-C25-C27-C29</f>
        <v>36375.881680672268</v>
      </c>
      <c r="H32" s="18"/>
    </row>
    <row r="33" spans="8:8" x14ac:dyDescent="0.25">
      <c r="H33" s="3"/>
    </row>
    <row r="34" spans="8:8" x14ac:dyDescent="0.25">
      <c r="H34" s="18"/>
    </row>
  </sheetData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BC9DE-8670-4930-A0CE-E6A2B70B3B43}">
  <dimension ref="A1:H34"/>
  <sheetViews>
    <sheetView workbookViewId="0">
      <selection sqref="A1:XFD1048576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682</v>
      </c>
    </row>
    <row r="3" spans="1:8" ht="21" x14ac:dyDescent="0.35">
      <c r="A3" s="2" t="s">
        <v>1</v>
      </c>
      <c r="D3" s="11">
        <v>499086</v>
      </c>
      <c r="F3" s="12" t="s">
        <v>3</v>
      </c>
      <c r="H3" s="4">
        <f>(D3/1.19)*0.19</f>
        <v>79686</v>
      </c>
    </row>
    <row r="4" spans="1:8" x14ac:dyDescent="0.25">
      <c r="A4" s="13" t="s">
        <v>32</v>
      </c>
      <c r="C4" s="26">
        <v>945</v>
      </c>
    </row>
    <row r="5" spans="1:8" ht="21" x14ac:dyDescent="0.35">
      <c r="A5" s="2" t="s">
        <v>2</v>
      </c>
    </row>
    <row r="7" spans="1:8" ht="18.75" x14ac:dyDescent="0.3">
      <c r="A7" s="5" t="s">
        <v>622</v>
      </c>
      <c r="D7" s="4">
        <v>113045</v>
      </c>
      <c r="E7" s="25"/>
      <c r="H7" s="4">
        <f t="shared" ref="H7:H12" si="0">(D7/1.19)*0.19</f>
        <v>18049.201680672268</v>
      </c>
    </row>
    <row r="8" spans="1:8" ht="18.75" x14ac:dyDescent="0.3">
      <c r="A8" s="5" t="s">
        <v>683</v>
      </c>
      <c r="C8" s="3"/>
      <c r="D8" s="32">
        <v>155600</v>
      </c>
      <c r="E8" s="25"/>
      <c r="H8" s="4">
        <f t="shared" si="0"/>
        <v>24843.697478991598</v>
      </c>
    </row>
    <row r="9" spans="1:8" ht="18.75" x14ac:dyDescent="0.3">
      <c r="A9" s="5" t="s">
        <v>684</v>
      </c>
      <c r="C9" s="3"/>
      <c r="D9" s="28">
        <v>100000</v>
      </c>
      <c r="E9" s="25"/>
      <c r="H9" s="4">
        <f t="shared" si="0"/>
        <v>15966.386554621849</v>
      </c>
    </row>
    <row r="10" spans="1:8" ht="18.75" x14ac:dyDescent="0.3">
      <c r="A10" s="5"/>
      <c r="C10" s="3"/>
      <c r="D10" s="28"/>
      <c r="E10" s="25"/>
      <c r="H10" s="4">
        <f t="shared" si="0"/>
        <v>0</v>
      </c>
    </row>
    <row r="11" spans="1:8" ht="18.75" x14ac:dyDescent="0.3">
      <c r="A11" s="5"/>
      <c r="C11" s="3"/>
      <c r="D11" s="28"/>
      <c r="E11" s="25"/>
      <c r="H11" s="4">
        <f t="shared" si="0"/>
        <v>0</v>
      </c>
    </row>
    <row r="12" spans="1:8" ht="18.75" x14ac:dyDescent="0.3">
      <c r="A12" s="5"/>
      <c r="C12" s="3"/>
      <c r="D12" s="28"/>
      <c r="E12" s="25"/>
      <c r="H12" s="4">
        <f t="shared" si="0"/>
        <v>0</v>
      </c>
    </row>
    <row r="13" spans="1:8" ht="19.5" thickBot="1" x14ac:dyDescent="0.35">
      <c r="A13" s="5"/>
      <c r="C13" s="3"/>
      <c r="D13" s="22"/>
      <c r="E13" s="25"/>
      <c r="H13" s="22">
        <v>0</v>
      </c>
    </row>
    <row r="14" spans="1:8" ht="18.75" customHeight="1" x14ac:dyDescent="0.3">
      <c r="D14" s="4">
        <f>SUM(D7:D13)</f>
        <v>368645</v>
      </c>
      <c r="H14" s="4">
        <f>SUM(H7:H13)</f>
        <v>58859.285714285717</v>
      </c>
    </row>
    <row r="15" spans="1:8" ht="18.75" x14ac:dyDescent="0.3">
      <c r="A15" s="5"/>
      <c r="C15" s="3"/>
      <c r="D15" s="4"/>
      <c r="H15" s="4"/>
    </row>
    <row r="17" spans="1:8" ht="18.75" x14ac:dyDescent="0.3">
      <c r="A17" s="5"/>
      <c r="C17" s="3"/>
      <c r="D17" s="4"/>
      <c r="H17" s="4"/>
    </row>
    <row r="18" spans="1:8" ht="15.75" thickBot="1" x14ac:dyDescent="0.3">
      <c r="D18" s="7"/>
      <c r="H18" s="7"/>
    </row>
    <row r="20" spans="1:8" ht="18.75" x14ac:dyDescent="0.3">
      <c r="C20" t="s">
        <v>4</v>
      </c>
      <c r="D20" s="4">
        <f>D3-D14</f>
        <v>130441</v>
      </c>
      <c r="G20" t="s">
        <v>5</v>
      </c>
      <c r="H20" s="4">
        <f>H3-H14</f>
        <v>20826.714285714283</v>
      </c>
    </row>
    <row r="23" spans="1:8" ht="15.75" x14ac:dyDescent="0.25">
      <c r="A23" t="s">
        <v>6</v>
      </c>
      <c r="C23" s="8">
        <f>D20</f>
        <v>130441</v>
      </c>
      <c r="E23" t="s">
        <v>10</v>
      </c>
      <c r="H23" s="6">
        <f>C32</f>
        <v>107617.94171428571</v>
      </c>
    </row>
    <row r="25" spans="1:8" ht="15.75" x14ac:dyDescent="0.25">
      <c r="A25" t="s">
        <v>5</v>
      </c>
      <c r="B25" s="9" t="s">
        <v>7</v>
      </c>
      <c r="C25" s="8">
        <f>H20</f>
        <v>20826.714285714283</v>
      </c>
      <c r="E25" s="13" t="s">
        <v>11</v>
      </c>
      <c r="F25" s="9" t="s">
        <v>181</v>
      </c>
      <c r="G25" s="15" t="s">
        <v>17</v>
      </c>
      <c r="H25" s="3">
        <f>-(F26*0.0077)</f>
        <v>-3229.38</v>
      </c>
    </row>
    <row r="26" spans="1:8" x14ac:dyDescent="0.25">
      <c r="F26" s="21">
        <f>D3-H3</f>
        <v>419400</v>
      </c>
    </row>
    <row r="27" spans="1:8" ht="15.75" x14ac:dyDescent="0.25">
      <c r="A27" t="s">
        <v>8</v>
      </c>
      <c r="B27" s="9" t="s">
        <v>7</v>
      </c>
      <c r="C27" s="8">
        <f>D3*0.004</f>
        <v>1996.3440000000001</v>
      </c>
      <c r="F27" s="9" t="s">
        <v>13</v>
      </c>
      <c r="G27" s="16">
        <v>0.35</v>
      </c>
      <c r="H27" s="29">
        <f>-(F28*0.35)</f>
        <v>-37666.279599999994</v>
      </c>
    </row>
    <row r="28" spans="1:8" ht="15.75" thickBot="1" x14ac:dyDescent="0.3">
      <c r="F28" s="21">
        <f>H23</f>
        <v>107617.94171428571</v>
      </c>
      <c r="H28" s="7"/>
    </row>
    <row r="29" spans="1:8" x14ac:dyDescent="0.25">
      <c r="A29" t="s">
        <v>9</v>
      </c>
      <c r="B29" s="9" t="s">
        <v>7</v>
      </c>
      <c r="G29" s="13" t="s">
        <v>14</v>
      </c>
      <c r="H29" s="6">
        <f>H23+H25+H27</f>
        <v>66722.282114285714</v>
      </c>
    </row>
    <row r="30" spans="1:8" ht="15.75" thickBot="1" x14ac:dyDescent="0.3">
      <c r="A30" s="16"/>
      <c r="B30" s="14"/>
      <c r="C30" s="7"/>
    </row>
    <row r="31" spans="1:8" x14ac:dyDescent="0.25">
      <c r="E31" t="s">
        <v>151</v>
      </c>
      <c r="H31" s="20">
        <f>H29*0.5</f>
        <v>33361.141057142857</v>
      </c>
    </row>
    <row r="32" spans="1:8" ht="15.75" x14ac:dyDescent="0.25">
      <c r="A32" t="s">
        <v>10</v>
      </c>
      <c r="C32" s="10">
        <f>C23-C25-C27-C29</f>
        <v>107617.94171428571</v>
      </c>
      <c r="H32" s="18"/>
    </row>
    <row r="33" spans="8:8" x14ac:dyDescent="0.25">
      <c r="H33" s="3"/>
    </row>
    <row r="34" spans="8:8" x14ac:dyDescent="0.25">
      <c r="H34" s="18"/>
    </row>
  </sheetData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28460-91E7-40C9-AE96-E4019F5A3235}">
  <dimension ref="A1:H34"/>
  <sheetViews>
    <sheetView workbookViewId="0">
      <selection sqref="A1:XFD1048576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685</v>
      </c>
    </row>
    <row r="3" spans="1:8" ht="21" x14ac:dyDescent="0.35">
      <c r="A3" s="2" t="s">
        <v>1</v>
      </c>
      <c r="D3" s="11">
        <v>675700</v>
      </c>
      <c r="F3" s="12" t="s">
        <v>3</v>
      </c>
      <c r="H3" s="4">
        <f>(D3/1.19)*0.19</f>
        <v>107884.87394957984</v>
      </c>
    </row>
    <row r="4" spans="1:8" x14ac:dyDescent="0.25">
      <c r="A4" s="13" t="s">
        <v>32</v>
      </c>
      <c r="C4" s="26">
        <v>947</v>
      </c>
    </row>
    <row r="5" spans="1:8" ht="21" x14ac:dyDescent="0.35">
      <c r="A5" s="2" t="s">
        <v>2</v>
      </c>
    </row>
    <row r="7" spans="1:8" ht="18.75" x14ac:dyDescent="0.3">
      <c r="A7" s="5" t="s">
        <v>686</v>
      </c>
      <c r="D7" s="4">
        <v>411000</v>
      </c>
      <c r="E7" s="25"/>
      <c r="H7" s="4">
        <v>0</v>
      </c>
    </row>
    <row r="8" spans="1:8" ht="18.75" x14ac:dyDescent="0.3">
      <c r="A8" s="5"/>
      <c r="C8" s="3"/>
      <c r="D8" s="32"/>
      <c r="E8" s="25"/>
      <c r="H8" s="4">
        <f t="shared" ref="H8:H12" si="0">(D8/1.19)*0.19</f>
        <v>0</v>
      </c>
    </row>
    <row r="9" spans="1:8" ht="18.75" x14ac:dyDescent="0.3">
      <c r="A9" s="5"/>
      <c r="C9" s="3"/>
      <c r="D9" s="28"/>
      <c r="E9" s="25"/>
      <c r="H9" s="4">
        <f t="shared" si="0"/>
        <v>0</v>
      </c>
    </row>
    <row r="10" spans="1:8" ht="18.75" x14ac:dyDescent="0.3">
      <c r="A10" s="5"/>
      <c r="C10" s="3"/>
      <c r="D10" s="28"/>
      <c r="E10" s="25"/>
      <c r="H10" s="4">
        <f t="shared" si="0"/>
        <v>0</v>
      </c>
    </row>
    <row r="11" spans="1:8" ht="18.75" x14ac:dyDescent="0.3">
      <c r="A11" s="5"/>
      <c r="C11" s="3"/>
      <c r="D11" s="28"/>
      <c r="E11" s="25"/>
      <c r="H11" s="4">
        <f t="shared" si="0"/>
        <v>0</v>
      </c>
    </row>
    <row r="12" spans="1:8" ht="18.75" x14ac:dyDescent="0.3">
      <c r="A12" s="5"/>
      <c r="C12" s="3"/>
      <c r="D12" s="28"/>
      <c r="E12" s="25"/>
      <c r="H12" s="4">
        <f t="shared" si="0"/>
        <v>0</v>
      </c>
    </row>
    <row r="13" spans="1:8" ht="19.5" thickBot="1" x14ac:dyDescent="0.35">
      <c r="A13" s="5"/>
      <c r="C13" s="3"/>
      <c r="D13" s="22"/>
      <c r="E13" s="25"/>
      <c r="H13" s="22">
        <v>0</v>
      </c>
    </row>
    <row r="14" spans="1:8" ht="18.75" customHeight="1" x14ac:dyDescent="0.3">
      <c r="D14" s="4">
        <f>SUM(D7:D13)</f>
        <v>411000</v>
      </c>
      <c r="H14" s="4">
        <f>SUM(H7:H13)</f>
        <v>0</v>
      </c>
    </row>
    <row r="15" spans="1:8" ht="18.75" x14ac:dyDescent="0.3">
      <c r="A15" s="5"/>
      <c r="C15" s="3"/>
      <c r="D15" s="4"/>
      <c r="H15" s="4"/>
    </row>
    <row r="17" spans="1:8" ht="18.75" x14ac:dyDescent="0.3">
      <c r="A17" s="5"/>
      <c r="C17" s="3"/>
      <c r="D17" s="4"/>
      <c r="H17" s="4"/>
    </row>
    <row r="18" spans="1:8" ht="15.75" thickBot="1" x14ac:dyDescent="0.3">
      <c r="D18" s="7"/>
      <c r="H18" s="7"/>
    </row>
    <row r="20" spans="1:8" ht="18.75" x14ac:dyDescent="0.3">
      <c r="C20" t="s">
        <v>4</v>
      </c>
      <c r="D20" s="4">
        <f>D3-D14</f>
        <v>264700</v>
      </c>
      <c r="G20" t="s">
        <v>5</v>
      </c>
      <c r="H20" s="4">
        <f>H3-H14</f>
        <v>107884.87394957984</v>
      </c>
    </row>
    <row r="23" spans="1:8" ht="15.75" x14ac:dyDescent="0.25">
      <c r="A23" t="s">
        <v>6</v>
      </c>
      <c r="C23" s="8">
        <f>D20</f>
        <v>264700</v>
      </c>
      <c r="E23" t="s">
        <v>10</v>
      </c>
      <c r="H23" s="6">
        <f>C32</f>
        <v>154112.32605042018</v>
      </c>
    </row>
    <row r="25" spans="1:8" ht="15.75" x14ac:dyDescent="0.25">
      <c r="A25" t="s">
        <v>5</v>
      </c>
      <c r="B25" s="9" t="s">
        <v>7</v>
      </c>
      <c r="C25" s="8">
        <f>H20</f>
        <v>107884.87394957984</v>
      </c>
      <c r="E25" s="13" t="s">
        <v>11</v>
      </c>
      <c r="F25" s="9" t="s">
        <v>181</v>
      </c>
      <c r="G25" s="15" t="s">
        <v>17</v>
      </c>
      <c r="H25" s="3">
        <f>-(F26*0.0077)</f>
        <v>-4372.1764705882351</v>
      </c>
    </row>
    <row r="26" spans="1:8" x14ac:dyDescent="0.25">
      <c r="F26" s="21">
        <f>D3-H3</f>
        <v>567815.12605042011</v>
      </c>
    </row>
    <row r="27" spans="1:8" ht="15.75" x14ac:dyDescent="0.25">
      <c r="A27" t="s">
        <v>8</v>
      </c>
      <c r="B27" s="9" t="s">
        <v>7</v>
      </c>
      <c r="C27" s="8">
        <f>D3*0.004</f>
        <v>2702.8</v>
      </c>
      <c r="F27" s="9" t="s">
        <v>13</v>
      </c>
      <c r="G27" s="16">
        <v>0.35</v>
      </c>
      <c r="H27" s="29">
        <f>-(F28*0.35)</f>
        <v>-53939.31411764706</v>
      </c>
    </row>
    <row r="28" spans="1:8" ht="15.75" thickBot="1" x14ac:dyDescent="0.3">
      <c r="F28" s="21">
        <f>H23</f>
        <v>154112.32605042018</v>
      </c>
      <c r="H28" s="7"/>
    </row>
    <row r="29" spans="1:8" x14ac:dyDescent="0.25">
      <c r="A29" t="s">
        <v>9</v>
      </c>
      <c r="B29" s="9" t="s">
        <v>7</v>
      </c>
      <c r="G29" s="13" t="s">
        <v>14</v>
      </c>
      <c r="H29" s="6">
        <f>H23+H25+H27</f>
        <v>95800.835462184885</v>
      </c>
    </row>
    <row r="30" spans="1:8" ht="15.75" thickBot="1" x14ac:dyDescent="0.3">
      <c r="A30" s="16"/>
      <c r="B30" s="14"/>
      <c r="C30" s="7"/>
    </row>
    <row r="31" spans="1:8" x14ac:dyDescent="0.25">
      <c r="E31" t="s">
        <v>151</v>
      </c>
      <c r="H31" s="20">
        <f>H29*0.5</f>
        <v>47900.417731092442</v>
      </c>
    </row>
    <row r="32" spans="1:8" ht="15.75" x14ac:dyDescent="0.25">
      <c r="A32" t="s">
        <v>10</v>
      </c>
      <c r="C32" s="10">
        <f>C23-C25-C27-C29</f>
        <v>154112.32605042018</v>
      </c>
      <c r="H32" s="18"/>
    </row>
    <row r="33" spans="8:8" x14ac:dyDescent="0.25">
      <c r="H33" s="3"/>
    </row>
    <row r="34" spans="8:8" x14ac:dyDescent="0.25">
      <c r="H34" s="18"/>
    </row>
  </sheetData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56CF8-B02F-491A-8E14-8F916619DAD3}">
  <dimension ref="A1:H34"/>
  <sheetViews>
    <sheetView workbookViewId="0">
      <selection sqref="A1:XFD1048576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687</v>
      </c>
    </row>
    <row r="3" spans="1:8" ht="21" x14ac:dyDescent="0.35">
      <c r="A3" s="2" t="s">
        <v>1</v>
      </c>
      <c r="D3" s="11">
        <v>249900</v>
      </c>
      <c r="F3" s="12" t="s">
        <v>3</v>
      </c>
      <c r="H3" s="4">
        <f>(D3/1.19)*0.19</f>
        <v>39900</v>
      </c>
    </row>
    <row r="4" spans="1:8" x14ac:dyDescent="0.25">
      <c r="A4" s="13" t="s">
        <v>32</v>
      </c>
      <c r="C4" s="26">
        <v>948</v>
      </c>
    </row>
    <row r="5" spans="1:8" ht="21" x14ac:dyDescent="0.35">
      <c r="A5" s="2" t="s">
        <v>2</v>
      </c>
    </row>
    <row r="7" spans="1:8" ht="18.75" x14ac:dyDescent="0.3">
      <c r="A7" s="5" t="s">
        <v>686</v>
      </c>
      <c r="D7" s="4">
        <v>124900</v>
      </c>
      <c r="E7" s="25"/>
      <c r="H7" s="4">
        <f t="shared" ref="H7:H12" si="0">(D7/1.19)*0.19</f>
        <v>19942.016806722688</v>
      </c>
    </row>
    <row r="8" spans="1:8" ht="18.75" x14ac:dyDescent="0.3">
      <c r="A8" s="5"/>
      <c r="C8" s="3"/>
      <c r="D8" s="32"/>
      <c r="E8" s="25"/>
      <c r="H8" s="4">
        <f t="shared" si="0"/>
        <v>0</v>
      </c>
    </row>
    <row r="9" spans="1:8" ht="18.75" x14ac:dyDescent="0.3">
      <c r="A9" s="5"/>
      <c r="C9" s="3"/>
      <c r="D9" s="28"/>
      <c r="E9" s="25"/>
      <c r="H9" s="4">
        <f t="shared" si="0"/>
        <v>0</v>
      </c>
    </row>
    <row r="10" spans="1:8" ht="18.75" x14ac:dyDescent="0.3">
      <c r="A10" s="5"/>
      <c r="C10" s="3"/>
      <c r="D10" s="28"/>
      <c r="E10" s="25"/>
      <c r="H10" s="4">
        <f t="shared" si="0"/>
        <v>0</v>
      </c>
    </row>
    <row r="11" spans="1:8" ht="18.75" x14ac:dyDescent="0.3">
      <c r="A11" s="5"/>
      <c r="C11" s="3"/>
      <c r="D11" s="28"/>
      <c r="E11" s="25"/>
      <c r="H11" s="4">
        <f t="shared" si="0"/>
        <v>0</v>
      </c>
    </row>
    <row r="12" spans="1:8" ht="18.75" x14ac:dyDescent="0.3">
      <c r="A12" s="5"/>
      <c r="C12" s="3"/>
      <c r="D12" s="28"/>
      <c r="E12" s="25"/>
      <c r="H12" s="4">
        <f t="shared" si="0"/>
        <v>0</v>
      </c>
    </row>
    <row r="13" spans="1:8" ht="19.5" thickBot="1" x14ac:dyDescent="0.35">
      <c r="A13" s="5"/>
      <c r="C13" s="3"/>
      <c r="D13" s="22"/>
      <c r="E13" s="25"/>
      <c r="H13" s="22">
        <v>0</v>
      </c>
    </row>
    <row r="14" spans="1:8" ht="18.75" customHeight="1" x14ac:dyDescent="0.3">
      <c r="D14" s="4">
        <f>SUM(D7:D13)</f>
        <v>124900</v>
      </c>
      <c r="H14" s="4">
        <f>SUM(H7:H13)</f>
        <v>19942.016806722688</v>
      </c>
    </row>
    <row r="15" spans="1:8" ht="18.75" x14ac:dyDescent="0.3">
      <c r="A15" s="5"/>
      <c r="C15" s="3"/>
      <c r="D15" s="4"/>
      <c r="H15" s="4"/>
    </row>
    <row r="17" spans="1:8" ht="18.75" x14ac:dyDescent="0.3">
      <c r="A17" s="5"/>
      <c r="C17" s="3"/>
      <c r="D17" s="4"/>
      <c r="H17" s="4"/>
    </row>
    <row r="18" spans="1:8" ht="15.75" thickBot="1" x14ac:dyDescent="0.3">
      <c r="D18" s="7"/>
      <c r="H18" s="7"/>
    </row>
    <row r="20" spans="1:8" ht="18.75" x14ac:dyDescent="0.3">
      <c r="C20" t="s">
        <v>4</v>
      </c>
      <c r="D20" s="4">
        <f>D3-D14</f>
        <v>125000</v>
      </c>
      <c r="G20" t="s">
        <v>5</v>
      </c>
      <c r="H20" s="4">
        <f>H3-H14</f>
        <v>19957.983193277312</v>
      </c>
    </row>
    <row r="23" spans="1:8" ht="15.75" x14ac:dyDescent="0.25">
      <c r="A23" t="s">
        <v>6</v>
      </c>
      <c r="C23" s="8">
        <f>D20</f>
        <v>125000</v>
      </c>
      <c r="E23" t="s">
        <v>10</v>
      </c>
      <c r="H23" s="6">
        <f>C32</f>
        <v>104042.41680672269</v>
      </c>
    </row>
    <row r="25" spans="1:8" ht="15.75" x14ac:dyDescent="0.25">
      <c r="A25" t="s">
        <v>5</v>
      </c>
      <c r="B25" s="9" t="s">
        <v>7</v>
      </c>
      <c r="C25" s="8">
        <f>H20</f>
        <v>19957.983193277312</v>
      </c>
      <c r="E25" s="13" t="s">
        <v>11</v>
      </c>
      <c r="F25" s="9" t="s">
        <v>181</v>
      </c>
      <c r="G25" s="15" t="s">
        <v>17</v>
      </c>
      <c r="H25" s="3">
        <f>-(F26*0.0077)</f>
        <v>-1617</v>
      </c>
    </row>
    <row r="26" spans="1:8" x14ac:dyDescent="0.25">
      <c r="F26" s="21">
        <f>D3-H3</f>
        <v>210000</v>
      </c>
    </row>
    <row r="27" spans="1:8" ht="15.75" x14ac:dyDescent="0.25">
      <c r="A27" t="s">
        <v>8</v>
      </c>
      <c r="B27" s="9" t="s">
        <v>7</v>
      </c>
      <c r="C27" s="8">
        <f>D3*0.004</f>
        <v>999.6</v>
      </c>
      <c r="F27" s="9" t="s">
        <v>13</v>
      </c>
      <c r="G27" s="16">
        <v>0.35</v>
      </c>
      <c r="H27" s="29">
        <f>-(F28*0.35)</f>
        <v>-36414.845882352936</v>
      </c>
    </row>
    <row r="28" spans="1:8" ht="15.75" thickBot="1" x14ac:dyDescent="0.3">
      <c r="F28" s="21">
        <f>H23</f>
        <v>104042.41680672269</v>
      </c>
      <c r="H28" s="7"/>
    </row>
    <row r="29" spans="1:8" x14ac:dyDescent="0.25">
      <c r="A29" t="s">
        <v>9</v>
      </c>
      <c r="B29" s="9" t="s">
        <v>7</v>
      </c>
      <c r="G29" s="13" t="s">
        <v>14</v>
      </c>
      <c r="H29" s="6">
        <f>H23+H25+H27</f>
        <v>66010.570924369749</v>
      </c>
    </row>
    <row r="30" spans="1:8" ht="15.75" thickBot="1" x14ac:dyDescent="0.3">
      <c r="A30" s="16"/>
      <c r="B30" s="14"/>
      <c r="C30" s="7"/>
    </row>
    <row r="31" spans="1:8" x14ac:dyDescent="0.25">
      <c r="E31" t="s">
        <v>151</v>
      </c>
      <c r="H31" s="20">
        <f>H29*0.5</f>
        <v>33005.285462184875</v>
      </c>
    </row>
    <row r="32" spans="1:8" ht="15.75" x14ac:dyDescent="0.25">
      <c r="A32" t="s">
        <v>10</v>
      </c>
      <c r="C32" s="10">
        <f>C23-C25-C27-C29</f>
        <v>104042.41680672269</v>
      </c>
      <c r="H32" s="18"/>
    </row>
    <row r="33" spans="8:8" x14ac:dyDescent="0.25">
      <c r="H33" s="3"/>
    </row>
    <row r="34" spans="8:8" x14ac:dyDescent="0.25">
      <c r="H34" s="18"/>
    </row>
  </sheetData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A414-FF03-4772-B785-F39179DC24D1}">
  <dimension ref="A1:H34"/>
  <sheetViews>
    <sheetView workbookViewId="0">
      <selection sqref="A1:XFD1048576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688</v>
      </c>
    </row>
    <row r="3" spans="1:8" ht="21" x14ac:dyDescent="0.35">
      <c r="A3" s="2" t="s">
        <v>1</v>
      </c>
      <c r="D3" s="11">
        <v>130900</v>
      </c>
      <c r="F3" s="12" t="s">
        <v>3</v>
      </c>
      <c r="H3" s="4">
        <f>(D3/1.19)*0.19</f>
        <v>20900</v>
      </c>
    </row>
    <row r="4" spans="1:8" x14ac:dyDescent="0.25">
      <c r="A4" s="13" t="s">
        <v>32</v>
      </c>
      <c r="C4" s="26">
        <v>951</v>
      </c>
    </row>
    <row r="5" spans="1:8" ht="21" x14ac:dyDescent="0.35">
      <c r="A5" s="2" t="s">
        <v>2</v>
      </c>
    </row>
    <row r="7" spans="1:8" ht="18.75" x14ac:dyDescent="0.3">
      <c r="A7" s="5" t="s">
        <v>221</v>
      </c>
      <c r="D7" s="4">
        <v>87680</v>
      </c>
      <c r="E7" s="25"/>
      <c r="H7" s="4">
        <f t="shared" ref="H7:H12" si="0">(D7/1.19)*0.19</f>
        <v>13999.327731092439</v>
      </c>
    </row>
    <row r="8" spans="1:8" ht="18.75" x14ac:dyDescent="0.3">
      <c r="A8" s="5"/>
      <c r="C8" s="3"/>
      <c r="D8" s="32"/>
      <c r="E8" s="25"/>
      <c r="H8" s="4">
        <f t="shared" si="0"/>
        <v>0</v>
      </c>
    </row>
    <row r="9" spans="1:8" ht="18.75" x14ac:dyDescent="0.3">
      <c r="A9" s="5"/>
      <c r="C9" s="3"/>
      <c r="D9" s="28"/>
      <c r="E9" s="25"/>
      <c r="H9" s="4">
        <f t="shared" si="0"/>
        <v>0</v>
      </c>
    </row>
    <row r="10" spans="1:8" ht="18.75" x14ac:dyDescent="0.3">
      <c r="A10" s="5"/>
      <c r="C10" s="3"/>
      <c r="D10" s="28"/>
      <c r="E10" s="25"/>
      <c r="H10" s="4">
        <f t="shared" si="0"/>
        <v>0</v>
      </c>
    </row>
    <row r="11" spans="1:8" ht="18.75" x14ac:dyDescent="0.3">
      <c r="A11" s="5"/>
      <c r="C11" s="3"/>
      <c r="D11" s="28"/>
      <c r="E11" s="25"/>
      <c r="H11" s="4">
        <f t="shared" si="0"/>
        <v>0</v>
      </c>
    </row>
    <row r="12" spans="1:8" ht="18.75" x14ac:dyDescent="0.3">
      <c r="A12" s="5"/>
      <c r="C12" s="3"/>
      <c r="D12" s="28"/>
      <c r="E12" s="25"/>
      <c r="H12" s="4">
        <f t="shared" si="0"/>
        <v>0</v>
      </c>
    </row>
    <row r="13" spans="1:8" ht="19.5" thickBot="1" x14ac:dyDescent="0.35">
      <c r="A13" s="5"/>
      <c r="C13" s="3"/>
      <c r="D13" s="22"/>
      <c r="E13" s="25"/>
      <c r="H13" s="22">
        <v>0</v>
      </c>
    </row>
    <row r="14" spans="1:8" ht="18.75" customHeight="1" x14ac:dyDescent="0.3">
      <c r="D14" s="4">
        <f>SUM(D7:D13)</f>
        <v>87680</v>
      </c>
      <c r="H14" s="4">
        <f>SUM(H7:H13)</f>
        <v>13999.327731092439</v>
      </c>
    </row>
    <row r="15" spans="1:8" ht="18.75" x14ac:dyDescent="0.3">
      <c r="A15" s="5"/>
      <c r="C15" s="3"/>
      <c r="D15" s="4"/>
      <c r="H15" s="4"/>
    </row>
    <row r="17" spans="1:8" ht="18.75" x14ac:dyDescent="0.3">
      <c r="A17" s="5"/>
      <c r="C17" s="3"/>
      <c r="D17" s="4"/>
      <c r="H17" s="4"/>
    </row>
    <row r="18" spans="1:8" ht="15.75" thickBot="1" x14ac:dyDescent="0.3">
      <c r="D18" s="7"/>
      <c r="H18" s="7"/>
    </row>
    <row r="20" spans="1:8" ht="18.75" x14ac:dyDescent="0.3">
      <c r="C20" t="s">
        <v>4</v>
      </c>
      <c r="D20" s="4">
        <f>D3-D14</f>
        <v>43220</v>
      </c>
      <c r="G20" t="s">
        <v>5</v>
      </c>
      <c r="H20" s="4">
        <f>H3-H14</f>
        <v>6900.6722689075614</v>
      </c>
    </row>
    <row r="23" spans="1:8" ht="15.75" x14ac:dyDescent="0.25">
      <c r="A23" t="s">
        <v>6</v>
      </c>
      <c r="C23" s="8">
        <f>D20</f>
        <v>43220</v>
      </c>
      <c r="E23" t="s">
        <v>10</v>
      </c>
      <c r="H23" s="6">
        <f>C32</f>
        <v>35795.72773109244</v>
      </c>
    </row>
    <row r="25" spans="1:8" ht="15.75" x14ac:dyDescent="0.25">
      <c r="A25" t="s">
        <v>5</v>
      </c>
      <c r="B25" s="9" t="s">
        <v>7</v>
      </c>
      <c r="C25" s="8">
        <f>H20</f>
        <v>6900.6722689075614</v>
      </c>
      <c r="E25" s="13" t="s">
        <v>11</v>
      </c>
      <c r="F25" s="9" t="s">
        <v>181</v>
      </c>
      <c r="G25" s="15" t="s">
        <v>17</v>
      </c>
      <c r="H25" s="3">
        <f>-(F26*0.0077)</f>
        <v>-847</v>
      </c>
    </row>
    <row r="26" spans="1:8" x14ac:dyDescent="0.25">
      <c r="F26" s="21">
        <f>D3-H3</f>
        <v>110000</v>
      </c>
    </row>
    <row r="27" spans="1:8" ht="15.75" x14ac:dyDescent="0.25">
      <c r="A27" t="s">
        <v>8</v>
      </c>
      <c r="B27" s="9" t="s">
        <v>7</v>
      </c>
      <c r="C27" s="8">
        <f>D3*0.004</f>
        <v>523.6</v>
      </c>
      <c r="F27" s="9" t="s">
        <v>13</v>
      </c>
      <c r="G27" s="16">
        <v>0.35</v>
      </c>
      <c r="H27" s="29">
        <f>-(F28*0.35)</f>
        <v>-12528.504705882353</v>
      </c>
    </row>
    <row r="28" spans="1:8" ht="15.75" thickBot="1" x14ac:dyDescent="0.3">
      <c r="F28" s="21">
        <f>H23</f>
        <v>35795.72773109244</v>
      </c>
      <c r="H28" s="7"/>
    </row>
    <row r="29" spans="1:8" x14ac:dyDescent="0.25">
      <c r="A29" t="s">
        <v>9</v>
      </c>
      <c r="B29" s="9" t="s">
        <v>7</v>
      </c>
      <c r="G29" s="13" t="s">
        <v>14</v>
      </c>
      <c r="H29" s="6">
        <f>H23+H25+H27</f>
        <v>22420.223025210085</v>
      </c>
    </row>
    <row r="30" spans="1:8" ht="15.75" thickBot="1" x14ac:dyDescent="0.3">
      <c r="A30" s="16"/>
      <c r="B30" s="14"/>
      <c r="C30" s="7"/>
    </row>
    <row r="31" spans="1:8" x14ac:dyDescent="0.25">
      <c r="E31" t="s">
        <v>151</v>
      </c>
      <c r="H31" s="20">
        <f>H29*0.5</f>
        <v>11210.111512605043</v>
      </c>
    </row>
    <row r="32" spans="1:8" ht="15.75" x14ac:dyDescent="0.25">
      <c r="A32" t="s">
        <v>10</v>
      </c>
      <c r="C32" s="10">
        <f>C23-C25-C27-C29</f>
        <v>35795.72773109244</v>
      </c>
      <c r="H32" s="18"/>
    </row>
    <row r="33" spans="8:8" x14ac:dyDescent="0.25">
      <c r="H33" s="3"/>
    </row>
    <row r="34" spans="8:8" x14ac:dyDescent="0.25">
      <c r="H34" s="18"/>
    </row>
  </sheetData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49D08-82E4-4B56-A155-31886193C74A}">
  <dimension ref="A1:H34"/>
  <sheetViews>
    <sheetView workbookViewId="0">
      <selection activeCell="A13" sqref="A1:XFD1048576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689</v>
      </c>
    </row>
    <row r="3" spans="1:8" ht="21" x14ac:dyDescent="0.35">
      <c r="A3" s="2" t="s">
        <v>1</v>
      </c>
      <c r="D3" s="11">
        <v>238000</v>
      </c>
      <c r="F3" s="12" t="s">
        <v>3</v>
      </c>
      <c r="H3" s="4">
        <f>(D3/1.19)*0.19</f>
        <v>38000</v>
      </c>
    </row>
    <row r="4" spans="1:8" x14ac:dyDescent="0.25">
      <c r="A4" s="13" t="s">
        <v>32</v>
      </c>
      <c r="C4" s="26">
        <v>952</v>
      </c>
    </row>
    <row r="5" spans="1:8" ht="21" x14ac:dyDescent="0.35">
      <c r="A5" s="2" t="s">
        <v>2</v>
      </c>
    </row>
    <row r="7" spans="1:8" ht="18.75" x14ac:dyDescent="0.3">
      <c r="A7" s="5" t="s">
        <v>221</v>
      </c>
      <c r="D7" s="4">
        <v>80000</v>
      </c>
      <c r="E7" s="25"/>
      <c r="H7" s="4">
        <v>0</v>
      </c>
    </row>
    <row r="8" spans="1:8" ht="18.75" x14ac:dyDescent="0.3">
      <c r="A8" s="5"/>
      <c r="C8" s="3"/>
      <c r="D8" s="32"/>
      <c r="E8" s="25"/>
      <c r="H8" s="4">
        <f t="shared" ref="H8:H12" si="0">(D8/1.19)*0.19</f>
        <v>0</v>
      </c>
    </row>
    <row r="9" spans="1:8" ht="18.75" x14ac:dyDescent="0.3">
      <c r="A9" s="5"/>
      <c r="C9" s="3"/>
      <c r="D9" s="28"/>
      <c r="E9" s="25"/>
      <c r="H9" s="4">
        <f t="shared" si="0"/>
        <v>0</v>
      </c>
    </row>
    <row r="10" spans="1:8" ht="18.75" x14ac:dyDescent="0.3">
      <c r="A10" s="5"/>
      <c r="C10" s="3"/>
      <c r="D10" s="28"/>
      <c r="E10" s="25"/>
      <c r="H10" s="4">
        <f t="shared" si="0"/>
        <v>0</v>
      </c>
    </row>
    <row r="11" spans="1:8" ht="18.75" x14ac:dyDescent="0.3">
      <c r="A11" s="5"/>
      <c r="C11" s="3"/>
      <c r="D11" s="28"/>
      <c r="E11" s="25"/>
      <c r="H11" s="4">
        <f t="shared" si="0"/>
        <v>0</v>
      </c>
    </row>
    <row r="12" spans="1:8" ht="18.75" x14ac:dyDescent="0.3">
      <c r="A12" s="5"/>
      <c r="C12" s="3"/>
      <c r="D12" s="28"/>
      <c r="E12" s="25"/>
      <c r="H12" s="4">
        <f t="shared" si="0"/>
        <v>0</v>
      </c>
    </row>
    <row r="13" spans="1:8" ht="19.5" thickBot="1" x14ac:dyDescent="0.35">
      <c r="A13" s="5"/>
      <c r="C13" s="3"/>
      <c r="D13" s="22"/>
      <c r="E13" s="25"/>
      <c r="H13" s="22">
        <v>0</v>
      </c>
    </row>
    <row r="14" spans="1:8" ht="18.75" customHeight="1" x14ac:dyDescent="0.3">
      <c r="D14" s="4">
        <f>SUM(D7:D13)</f>
        <v>80000</v>
      </c>
      <c r="H14" s="4">
        <f>SUM(H7:H13)</f>
        <v>0</v>
      </c>
    </row>
    <row r="15" spans="1:8" ht="18.75" x14ac:dyDescent="0.3">
      <c r="A15" s="5"/>
      <c r="C15" s="3"/>
      <c r="D15" s="4"/>
      <c r="H15" s="4"/>
    </row>
    <row r="17" spans="1:8" ht="18.75" x14ac:dyDescent="0.3">
      <c r="A17" s="5"/>
      <c r="C17" s="3"/>
      <c r="D17" s="4"/>
      <c r="H17" s="4"/>
    </row>
    <row r="18" spans="1:8" ht="15.75" thickBot="1" x14ac:dyDescent="0.3">
      <c r="D18" s="7"/>
      <c r="H18" s="7"/>
    </row>
    <row r="20" spans="1:8" ht="18.75" x14ac:dyDescent="0.3">
      <c r="C20" t="s">
        <v>4</v>
      </c>
      <c r="D20" s="4">
        <f>D3-D14</f>
        <v>158000</v>
      </c>
      <c r="G20" t="s">
        <v>5</v>
      </c>
      <c r="H20" s="4">
        <f>H3-H14</f>
        <v>38000</v>
      </c>
    </row>
    <row r="23" spans="1:8" ht="15.75" x14ac:dyDescent="0.25">
      <c r="A23" t="s">
        <v>6</v>
      </c>
      <c r="C23" s="8">
        <f>D20</f>
        <v>158000</v>
      </c>
      <c r="E23" t="s">
        <v>10</v>
      </c>
      <c r="H23" s="6">
        <f>C32</f>
        <v>119048</v>
      </c>
    </row>
    <row r="25" spans="1:8" ht="15.75" x14ac:dyDescent="0.25">
      <c r="A25" t="s">
        <v>5</v>
      </c>
      <c r="B25" s="9" t="s">
        <v>7</v>
      </c>
      <c r="C25" s="8">
        <f>H20</f>
        <v>38000</v>
      </c>
      <c r="E25" s="13" t="s">
        <v>11</v>
      </c>
      <c r="F25" s="9" t="s">
        <v>181</v>
      </c>
      <c r="G25" s="15" t="s">
        <v>17</v>
      </c>
      <c r="H25" s="3">
        <f>-(F26*0.0077)</f>
        <v>-1540</v>
      </c>
    </row>
    <row r="26" spans="1:8" x14ac:dyDescent="0.25">
      <c r="F26" s="21">
        <f>D3-H3</f>
        <v>200000</v>
      </c>
    </row>
    <row r="27" spans="1:8" ht="15.75" x14ac:dyDescent="0.25">
      <c r="A27" t="s">
        <v>8</v>
      </c>
      <c r="B27" s="9" t="s">
        <v>7</v>
      </c>
      <c r="C27" s="8">
        <f>D3*0.004</f>
        <v>952</v>
      </c>
      <c r="F27" s="9" t="s">
        <v>13</v>
      </c>
      <c r="G27" s="16">
        <v>0.35</v>
      </c>
      <c r="H27" s="29">
        <f>-(F28*0.35)</f>
        <v>-41666.799999999996</v>
      </c>
    </row>
    <row r="28" spans="1:8" ht="15.75" thickBot="1" x14ac:dyDescent="0.3">
      <c r="F28" s="21">
        <f>H23</f>
        <v>119048</v>
      </c>
      <c r="H28" s="7"/>
    </row>
    <row r="29" spans="1:8" x14ac:dyDescent="0.25">
      <c r="A29" t="s">
        <v>9</v>
      </c>
      <c r="B29" s="9" t="s">
        <v>7</v>
      </c>
      <c r="G29" s="13" t="s">
        <v>14</v>
      </c>
      <c r="H29" s="6">
        <f>H23+H25+H27</f>
        <v>75841.200000000012</v>
      </c>
    </row>
    <row r="30" spans="1:8" ht="15.75" thickBot="1" x14ac:dyDescent="0.3">
      <c r="A30" s="16"/>
      <c r="B30" s="14"/>
      <c r="C30" s="7"/>
    </row>
    <row r="31" spans="1:8" x14ac:dyDescent="0.25">
      <c r="E31" t="s">
        <v>151</v>
      </c>
      <c r="H31" s="20">
        <f>H29*0.5</f>
        <v>37920.600000000006</v>
      </c>
    </row>
    <row r="32" spans="1:8" ht="15.75" x14ac:dyDescent="0.25">
      <c r="A32" t="s">
        <v>10</v>
      </c>
      <c r="C32" s="10">
        <f>C23-C25-C27-C29</f>
        <v>119048</v>
      </c>
      <c r="H32" s="18"/>
    </row>
    <row r="33" spans="8:8" x14ac:dyDescent="0.25">
      <c r="H33" s="3"/>
    </row>
    <row r="34" spans="8:8" x14ac:dyDescent="0.25">
      <c r="H34" s="18"/>
    </row>
  </sheetData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D0DF7-BB7F-4D08-88C4-08C227C57236}">
  <dimension ref="A1:H34"/>
  <sheetViews>
    <sheetView workbookViewId="0">
      <selection sqref="A1:XFD1048576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690</v>
      </c>
    </row>
    <row r="3" spans="1:8" ht="21" x14ac:dyDescent="0.35">
      <c r="A3" s="2" t="s">
        <v>1</v>
      </c>
      <c r="D3" s="11">
        <v>20825</v>
      </c>
      <c r="F3" s="12" t="s">
        <v>3</v>
      </c>
      <c r="H3" s="4">
        <f>(D3/1.19)*0.19</f>
        <v>3325</v>
      </c>
    </row>
    <row r="4" spans="1:8" x14ac:dyDescent="0.25">
      <c r="A4" s="13" t="s">
        <v>32</v>
      </c>
      <c r="C4" s="26">
        <v>953</v>
      </c>
    </row>
    <row r="5" spans="1:8" ht="21" x14ac:dyDescent="0.35">
      <c r="A5" s="2" t="s">
        <v>2</v>
      </c>
    </row>
    <row r="7" spans="1:8" ht="18.75" x14ac:dyDescent="0.3">
      <c r="A7" s="5" t="s">
        <v>221</v>
      </c>
      <c r="D7" s="4">
        <v>17150</v>
      </c>
      <c r="E7" s="25"/>
      <c r="H7" s="4">
        <f t="shared" ref="H7:H12" si="0">(D7/1.19)*0.19</f>
        <v>2738.2352941176473</v>
      </c>
    </row>
    <row r="8" spans="1:8" ht="18.75" x14ac:dyDescent="0.3">
      <c r="A8" s="5"/>
      <c r="C8" s="3"/>
      <c r="D8" s="32"/>
      <c r="E8" s="25"/>
      <c r="H8" s="4">
        <f t="shared" si="0"/>
        <v>0</v>
      </c>
    </row>
    <row r="9" spans="1:8" ht="18.75" x14ac:dyDescent="0.3">
      <c r="A9" s="5"/>
      <c r="C9" s="3"/>
      <c r="D9" s="28"/>
      <c r="E9" s="25"/>
      <c r="H9" s="4">
        <f t="shared" si="0"/>
        <v>0</v>
      </c>
    </row>
    <row r="10" spans="1:8" ht="18.75" x14ac:dyDescent="0.3">
      <c r="A10" s="5"/>
      <c r="C10" s="3"/>
      <c r="D10" s="28"/>
      <c r="E10" s="25"/>
      <c r="H10" s="4">
        <f t="shared" si="0"/>
        <v>0</v>
      </c>
    </row>
    <row r="11" spans="1:8" ht="18.75" x14ac:dyDescent="0.3">
      <c r="A11" s="5"/>
      <c r="C11" s="3"/>
      <c r="D11" s="28"/>
      <c r="E11" s="25"/>
      <c r="H11" s="4">
        <f t="shared" si="0"/>
        <v>0</v>
      </c>
    </row>
    <row r="12" spans="1:8" ht="18.75" x14ac:dyDescent="0.3">
      <c r="A12" s="5"/>
      <c r="C12" s="3"/>
      <c r="D12" s="28"/>
      <c r="E12" s="25"/>
      <c r="H12" s="4">
        <f t="shared" si="0"/>
        <v>0</v>
      </c>
    </row>
    <row r="13" spans="1:8" ht="19.5" thickBot="1" x14ac:dyDescent="0.35">
      <c r="A13" s="5"/>
      <c r="C13" s="3"/>
      <c r="D13" s="22"/>
      <c r="E13" s="25"/>
      <c r="H13" s="22">
        <v>0</v>
      </c>
    </row>
    <row r="14" spans="1:8" ht="18.75" customHeight="1" x14ac:dyDescent="0.3">
      <c r="D14" s="4">
        <f>SUM(D7:D13)</f>
        <v>17150</v>
      </c>
      <c r="H14" s="4">
        <f>SUM(H7:H13)</f>
        <v>2738.2352941176473</v>
      </c>
    </row>
    <row r="15" spans="1:8" ht="18.75" x14ac:dyDescent="0.3">
      <c r="A15" s="5"/>
      <c r="C15" s="3"/>
      <c r="D15" s="4"/>
      <c r="H15" s="4"/>
    </row>
    <row r="17" spans="1:8" ht="18.75" x14ac:dyDescent="0.3">
      <c r="A17" s="5"/>
      <c r="C17" s="3"/>
      <c r="D17" s="4"/>
      <c r="H17" s="4"/>
    </row>
    <row r="18" spans="1:8" ht="15.75" thickBot="1" x14ac:dyDescent="0.3">
      <c r="D18" s="7"/>
      <c r="H18" s="7"/>
    </row>
    <row r="20" spans="1:8" ht="18.75" x14ac:dyDescent="0.3">
      <c r="C20" t="s">
        <v>4</v>
      </c>
      <c r="D20" s="4">
        <f>D3-D14</f>
        <v>3675</v>
      </c>
      <c r="G20" t="s">
        <v>5</v>
      </c>
      <c r="H20" s="4">
        <f>H3-H14</f>
        <v>586.7647058823527</v>
      </c>
    </row>
    <row r="23" spans="1:8" ht="15.75" x14ac:dyDescent="0.25">
      <c r="A23" t="s">
        <v>6</v>
      </c>
      <c r="C23" s="8">
        <f>D20</f>
        <v>3675</v>
      </c>
      <c r="E23" t="s">
        <v>10</v>
      </c>
      <c r="H23" s="6">
        <f>C32</f>
        <v>3004.9352941176471</v>
      </c>
    </row>
    <row r="25" spans="1:8" ht="15.75" x14ac:dyDescent="0.25">
      <c r="A25" t="s">
        <v>5</v>
      </c>
      <c r="B25" s="9" t="s">
        <v>7</v>
      </c>
      <c r="C25" s="8">
        <f>H20</f>
        <v>586.7647058823527</v>
      </c>
      <c r="E25" s="13" t="s">
        <v>11</v>
      </c>
      <c r="F25" s="9" t="s">
        <v>181</v>
      </c>
      <c r="G25" s="15" t="s">
        <v>17</v>
      </c>
      <c r="H25" s="3">
        <f>-(F26*0.0077)</f>
        <v>-134.75</v>
      </c>
    </row>
    <row r="26" spans="1:8" x14ac:dyDescent="0.25">
      <c r="F26" s="21">
        <f>D3-H3</f>
        <v>17500</v>
      </c>
    </row>
    <row r="27" spans="1:8" ht="15.75" x14ac:dyDescent="0.25">
      <c r="A27" t="s">
        <v>8</v>
      </c>
      <c r="B27" s="9" t="s">
        <v>7</v>
      </c>
      <c r="C27" s="8">
        <f>D3*0.004</f>
        <v>83.3</v>
      </c>
      <c r="F27" s="9" t="s">
        <v>13</v>
      </c>
      <c r="G27" s="16">
        <v>0.35</v>
      </c>
      <c r="H27" s="29">
        <f>-(F28*0.35)</f>
        <v>-1051.7273529411764</v>
      </c>
    </row>
    <row r="28" spans="1:8" ht="15.75" thickBot="1" x14ac:dyDescent="0.3">
      <c r="F28" s="21">
        <f>H23</f>
        <v>3004.9352941176471</v>
      </c>
      <c r="H28" s="7"/>
    </row>
    <row r="29" spans="1:8" x14ac:dyDescent="0.25">
      <c r="A29" t="s">
        <v>9</v>
      </c>
      <c r="B29" s="9" t="s">
        <v>7</v>
      </c>
      <c r="G29" s="13" t="s">
        <v>14</v>
      </c>
      <c r="H29" s="6">
        <f>H23+H25+H27</f>
        <v>1818.4579411764707</v>
      </c>
    </row>
    <row r="30" spans="1:8" ht="15.75" thickBot="1" x14ac:dyDescent="0.3">
      <c r="A30" s="16"/>
      <c r="B30" s="14"/>
      <c r="C30" s="7"/>
    </row>
    <row r="31" spans="1:8" x14ac:dyDescent="0.25">
      <c r="E31" t="s">
        <v>151</v>
      </c>
      <c r="H31" s="20">
        <f>H29*0.5</f>
        <v>909.22897058823537</v>
      </c>
    </row>
    <row r="32" spans="1:8" ht="15.75" x14ac:dyDescent="0.25">
      <c r="A32" t="s">
        <v>10</v>
      </c>
      <c r="C32" s="10">
        <f>C23-C25-C27-C29</f>
        <v>3004.9352941176471</v>
      </c>
      <c r="H32" s="18"/>
    </row>
    <row r="33" spans="8:8" x14ac:dyDescent="0.25">
      <c r="H33" s="3"/>
    </row>
    <row r="34" spans="8:8" x14ac:dyDescent="0.25">
      <c r="H34" s="18"/>
    </row>
  </sheetData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F76D1-1038-4398-A20E-3C95A6F898D2}">
  <dimension ref="A1:H34"/>
  <sheetViews>
    <sheetView workbookViewId="0">
      <selection sqref="A1:XFD1048576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691</v>
      </c>
    </row>
    <row r="3" spans="1:8" ht="21" x14ac:dyDescent="0.35">
      <c r="A3" s="2" t="s">
        <v>1</v>
      </c>
      <c r="D3" s="11">
        <v>879548</v>
      </c>
      <c r="F3" s="12" t="s">
        <v>3</v>
      </c>
      <c r="H3" s="4">
        <f>(D3/1.19)*0.19</f>
        <v>140432.03361344538</v>
      </c>
    </row>
    <row r="4" spans="1:8" x14ac:dyDescent="0.25">
      <c r="A4" s="13" t="s">
        <v>32</v>
      </c>
      <c r="C4" s="26">
        <v>955</v>
      </c>
    </row>
    <row r="5" spans="1:8" ht="21" x14ac:dyDescent="0.35">
      <c r="A5" s="2" t="s">
        <v>2</v>
      </c>
    </row>
    <row r="7" spans="1:8" ht="18.75" x14ac:dyDescent="0.3">
      <c r="A7" s="5" t="s">
        <v>555</v>
      </c>
      <c r="D7" s="4">
        <v>334269</v>
      </c>
      <c r="E7" s="25"/>
      <c r="H7" s="4">
        <f t="shared" ref="H7:H12" si="0">(D7/1.19)*0.19</f>
        <v>53370.680672268907</v>
      </c>
    </row>
    <row r="8" spans="1:8" ht="18.75" x14ac:dyDescent="0.3">
      <c r="A8" s="5" t="s">
        <v>312</v>
      </c>
      <c r="C8" s="3"/>
      <c r="D8" s="32">
        <v>249543</v>
      </c>
      <c r="E8" s="25"/>
      <c r="H8" s="4">
        <f t="shared" si="0"/>
        <v>39843</v>
      </c>
    </row>
    <row r="9" spans="1:8" ht="18.75" x14ac:dyDescent="0.3">
      <c r="A9" s="5"/>
      <c r="C9" s="3"/>
      <c r="D9" s="28"/>
      <c r="E9" s="25"/>
      <c r="H9" s="4">
        <f t="shared" si="0"/>
        <v>0</v>
      </c>
    </row>
    <row r="10" spans="1:8" ht="18.75" x14ac:dyDescent="0.3">
      <c r="A10" s="5"/>
      <c r="C10" s="3"/>
      <c r="D10" s="28"/>
      <c r="E10" s="25"/>
      <c r="H10" s="4">
        <f t="shared" si="0"/>
        <v>0</v>
      </c>
    </row>
    <row r="11" spans="1:8" ht="18.75" x14ac:dyDescent="0.3">
      <c r="A11" s="5"/>
      <c r="C11" s="3"/>
      <c r="D11" s="28"/>
      <c r="E11" s="25"/>
      <c r="H11" s="4">
        <f t="shared" si="0"/>
        <v>0</v>
      </c>
    </row>
    <row r="12" spans="1:8" ht="18.75" x14ac:dyDescent="0.3">
      <c r="A12" s="5"/>
      <c r="C12" s="3"/>
      <c r="D12" s="28"/>
      <c r="E12" s="25"/>
      <c r="H12" s="4">
        <f t="shared" si="0"/>
        <v>0</v>
      </c>
    </row>
    <row r="13" spans="1:8" ht="19.5" thickBot="1" x14ac:dyDescent="0.35">
      <c r="A13" s="5"/>
      <c r="C13" s="3"/>
      <c r="D13" s="22"/>
      <c r="E13" s="25"/>
      <c r="H13" s="22">
        <v>0</v>
      </c>
    </row>
    <row r="14" spans="1:8" ht="18.75" customHeight="1" x14ac:dyDescent="0.3">
      <c r="D14" s="4">
        <f>SUM(D7:D13)</f>
        <v>583812</v>
      </c>
      <c r="H14" s="4">
        <f>SUM(H7:H13)</f>
        <v>93213.680672268907</v>
      </c>
    </row>
    <row r="15" spans="1:8" ht="18.75" x14ac:dyDescent="0.3">
      <c r="A15" s="5"/>
      <c r="C15" s="3"/>
      <c r="D15" s="4"/>
      <c r="H15" s="4"/>
    </row>
    <row r="17" spans="1:8" ht="18.75" x14ac:dyDescent="0.3">
      <c r="A17" s="5"/>
      <c r="C17" s="3"/>
      <c r="D17" s="4"/>
      <c r="H17" s="4"/>
    </row>
    <row r="18" spans="1:8" ht="15.75" thickBot="1" x14ac:dyDescent="0.3">
      <c r="D18" s="7"/>
      <c r="H18" s="7"/>
    </row>
    <row r="20" spans="1:8" ht="18.75" x14ac:dyDescent="0.3">
      <c r="C20" t="s">
        <v>4</v>
      </c>
      <c r="D20" s="4">
        <f>D3-D14</f>
        <v>295736</v>
      </c>
      <c r="G20" t="s">
        <v>5</v>
      </c>
      <c r="H20" s="4">
        <f>H3-H14</f>
        <v>47218.352941176476</v>
      </c>
    </row>
    <row r="23" spans="1:8" ht="15.75" x14ac:dyDescent="0.25">
      <c r="A23" t="s">
        <v>6</v>
      </c>
      <c r="C23" s="8">
        <f>D20</f>
        <v>295736</v>
      </c>
      <c r="E23" t="s">
        <v>10</v>
      </c>
      <c r="H23" s="6">
        <f>C32</f>
        <v>244999.45505882351</v>
      </c>
    </row>
    <row r="25" spans="1:8" ht="15.75" x14ac:dyDescent="0.25">
      <c r="A25" t="s">
        <v>5</v>
      </c>
      <c r="B25" s="9" t="s">
        <v>7</v>
      </c>
      <c r="C25" s="8">
        <f>H20</f>
        <v>47218.352941176476</v>
      </c>
      <c r="E25" s="13" t="s">
        <v>11</v>
      </c>
      <c r="F25" s="9" t="s">
        <v>181</v>
      </c>
      <c r="G25" s="15" t="s">
        <v>17</v>
      </c>
      <c r="H25" s="3">
        <f>-(F26*0.0077)</f>
        <v>-5691.1929411764713</v>
      </c>
    </row>
    <row r="26" spans="1:8" x14ac:dyDescent="0.25">
      <c r="F26" s="21">
        <f>D3-H3</f>
        <v>739115.96638655465</v>
      </c>
    </row>
    <row r="27" spans="1:8" ht="15.75" x14ac:dyDescent="0.25">
      <c r="A27" t="s">
        <v>8</v>
      </c>
      <c r="B27" s="9" t="s">
        <v>7</v>
      </c>
      <c r="C27" s="8">
        <f>D3*0.004</f>
        <v>3518.192</v>
      </c>
      <c r="F27" s="9" t="s">
        <v>13</v>
      </c>
      <c r="G27" s="16">
        <v>0.35</v>
      </c>
      <c r="H27" s="29">
        <f>-(F28*0.35)</f>
        <v>-85749.80927058823</v>
      </c>
    </row>
    <row r="28" spans="1:8" ht="15.75" thickBot="1" x14ac:dyDescent="0.3">
      <c r="F28" s="21">
        <f>H23</f>
        <v>244999.45505882351</v>
      </c>
      <c r="H28" s="7"/>
    </row>
    <row r="29" spans="1:8" x14ac:dyDescent="0.25">
      <c r="A29" t="s">
        <v>9</v>
      </c>
      <c r="B29" s="9" t="s">
        <v>7</v>
      </c>
      <c r="G29" s="13" t="s">
        <v>14</v>
      </c>
      <c r="H29" s="6">
        <f>H23+H25+H27</f>
        <v>153558.45284705883</v>
      </c>
    </row>
    <row r="30" spans="1:8" ht="15.75" thickBot="1" x14ac:dyDescent="0.3">
      <c r="A30" s="16"/>
      <c r="B30" s="14"/>
      <c r="C30" s="7"/>
    </row>
    <row r="31" spans="1:8" x14ac:dyDescent="0.25">
      <c r="E31" t="s">
        <v>151</v>
      </c>
      <c r="H31" s="20">
        <f>H29*0.5</f>
        <v>76779.226423529413</v>
      </c>
    </row>
    <row r="32" spans="1:8" ht="15.75" x14ac:dyDescent="0.25">
      <c r="A32" t="s">
        <v>10</v>
      </c>
      <c r="C32" s="10">
        <f>C23-C25-C27-C29</f>
        <v>244999.45505882351</v>
      </c>
      <c r="H32" s="18"/>
    </row>
    <row r="33" spans="8:8" x14ac:dyDescent="0.25">
      <c r="H33" s="3"/>
    </row>
    <row r="34" spans="8:8" x14ac:dyDescent="0.25">
      <c r="H34" s="18"/>
    </row>
  </sheetData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F8867-1D9A-4605-8CE0-A309BA85F285}">
  <dimension ref="A1:H34"/>
  <sheetViews>
    <sheetView workbookViewId="0">
      <selection sqref="A1:XFD1048576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692</v>
      </c>
    </row>
    <row r="3" spans="1:8" ht="21" x14ac:dyDescent="0.35">
      <c r="A3" s="2" t="s">
        <v>1</v>
      </c>
      <c r="D3" s="11">
        <v>709485</v>
      </c>
      <c r="F3" s="12" t="s">
        <v>3</v>
      </c>
      <c r="H3" s="4">
        <f>(D3/1.19)*0.19</f>
        <v>113279.11764705883</v>
      </c>
    </row>
    <row r="4" spans="1:8" x14ac:dyDescent="0.25">
      <c r="A4" s="13" t="s">
        <v>32</v>
      </c>
      <c r="C4" s="26">
        <v>956</v>
      </c>
    </row>
    <row r="5" spans="1:8" ht="21" x14ac:dyDescent="0.35">
      <c r="A5" s="2" t="s">
        <v>2</v>
      </c>
    </row>
    <row r="7" spans="1:8" ht="18.75" x14ac:dyDescent="0.3">
      <c r="A7" s="5" t="s">
        <v>343</v>
      </c>
      <c r="D7" s="4">
        <v>544439</v>
      </c>
      <c r="E7" s="25"/>
      <c r="H7" s="4">
        <f t="shared" ref="H7:H12" si="0">(D7/1.19)*0.19</f>
        <v>86927.23529411765</v>
      </c>
    </row>
    <row r="8" spans="1:8" ht="18.75" x14ac:dyDescent="0.3">
      <c r="A8" s="5"/>
      <c r="C8" s="3"/>
      <c r="D8" s="32"/>
      <c r="E8" s="25"/>
      <c r="H8" s="4">
        <f t="shared" si="0"/>
        <v>0</v>
      </c>
    </row>
    <row r="9" spans="1:8" ht="18.75" x14ac:dyDescent="0.3">
      <c r="A9" s="5"/>
      <c r="C9" s="3"/>
      <c r="D9" s="28"/>
      <c r="E9" s="25"/>
      <c r="H9" s="4">
        <f t="shared" si="0"/>
        <v>0</v>
      </c>
    </row>
    <row r="10" spans="1:8" ht="18.75" x14ac:dyDescent="0.3">
      <c r="A10" s="5"/>
      <c r="C10" s="3"/>
      <c r="D10" s="28"/>
      <c r="E10" s="25"/>
      <c r="H10" s="4">
        <f t="shared" si="0"/>
        <v>0</v>
      </c>
    </row>
    <row r="11" spans="1:8" ht="18.75" x14ac:dyDescent="0.3">
      <c r="A11" s="5"/>
      <c r="C11" s="3"/>
      <c r="D11" s="28"/>
      <c r="E11" s="25"/>
      <c r="H11" s="4">
        <f t="shared" si="0"/>
        <v>0</v>
      </c>
    </row>
    <row r="12" spans="1:8" ht="18.75" x14ac:dyDescent="0.3">
      <c r="A12" s="5"/>
      <c r="C12" s="3"/>
      <c r="D12" s="28"/>
      <c r="E12" s="25"/>
      <c r="H12" s="4">
        <f t="shared" si="0"/>
        <v>0</v>
      </c>
    </row>
    <row r="13" spans="1:8" ht="19.5" thickBot="1" x14ac:dyDescent="0.35">
      <c r="A13" s="5"/>
      <c r="C13" s="3"/>
      <c r="D13" s="22"/>
      <c r="E13" s="25"/>
      <c r="H13" s="22">
        <v>0</v>
      </c>
    </row>
    <row r="14" spans="1:8" ht="18.75" customHeight="1" x14ac:dyDescent="0.3">
      <c r="D14" s="4">
        <f>SUM(D7:D13)</f>
        <v>544439</v>
      </c>
      <c r="H14" s="4">
        <f>SUM(H7:H13)</f>
        <v>86927.23529411765</v>
      </c>
    </row>
    <row r="15" spans="1:8" ht="18.75" x14ac:dyDescent="0.3">
      <c r="A15" s="5"/>
      <c r="C15" s="3"/>
      <c r="D15" s="4"/>
      <c r="H15" s="4"/>
    </row>
    <row r="17" spans="1:8" ht="18.75" x14ac:dyDescent="0.3">
      <c r="A17" s="5"/>
      <c r="C17" s="3"/>
      <c r="D17" s="4"/>
      <c r="H17" s="4"/>
    </row>
    <row r="18" spans="1:8" ht="15.75" thickBot="1" x14ac:dyDescent="0.3">
      <c r="D18" s="7"/>
      <c r="H18" s="7"/>
    </row>
    <row r="20" spans="1:8" ht="18.75" x14ac:dyDescent="0.3">
      <c r="C20" t="s">
        <v>4</v>
      </c>
      <c r="D20" s="4">
        <f>D3-D14</f>
        <v>165046</v>
      </c>
      <c r="G20" t="s">
        <v>5</v>
      </c>
      <c r="H20" s="4">
        <f>H3-H14</f>
        <v>26351.882352941175</v>
      </c>
    </row>
    <row r="23" spans="1:8" ht="15.75" x14ac:dyDescent="0.25">
      <c r="A23" t="s">
        <v>6</v>
      </c>
      <c r="C23" s="8">
        <f>D20</f>
        <v>165046</v>
      </c>
      <c r="E23" t="s">
        <v>10</v>
      </c>
      <c r="H23" s="6">
        <f>C32</f>
        <v>135856.17764705882</v>
      </c>
    </row>
    <row r="25" spans="1:8" ht="15.75" x14ac:dyDescent="0.25">
      <c r="A25" t="s">
        <v>5</v>
      </c>
      <c r="B25" s="9" t="s">
        <v>7</v>
      </c>
      <c r="C25" s="8">
        <f>H20</f>
        <v>26351.882352941175</v>
      </c>
      <c r="E25" s="13" t="s">
        <v>11</v>
      </c>
      <c r="F25" s="9" t="s">
        <v>181</v>
      </c>
      <c r="G25" s="15" t="s">
        <v>17</v>
      </c>
      <c r="H25" s="3">
        <f>-(F26*0.0077)</f>
        <v>-4590.785294117647</v>
      </c>
    </row>
    <row r="26" spans="1:8" x14ac:dyDescent="0.25">
      <c r="F26" s="21">
        <f>D3-H3</f>
        <v>596205.8823529412</v>
      </c>
    </row>
    <row r="27" spans="1:8" ht="15.75" x14ac:dyDescent="0.25">
      <c r="A27" t="s">
        <v>8</v>
      </c>
      <c r="B27" s="9" t="s">
        <v>7</v>
      </c>
      <c r="C27" s="8">
        <f>D3*0.004</f>
        <v>2837.94</v>
      </c>
      <c r="F27" s="9" t="s">
        <v>13</v>
      </c>
      <c r="G27" s="16">
        <v>0.35</v>
      </c>
      <c r="H27" s="29">
        <f>-(F28*0.35)</f>
        <v>-47549.662176470585</v>
      </c>
    </row>
    <row r="28" spans="1:8" ht="15.75" thickBot="1" x14ac:dyDescent="0.3">
      <c r="F28" s="21">
        <f>H23</f>
        <v>135856.17764705882</v>
      </c>
      <c r="H28" s="7"/>
    </row>
    <row r="29" spans="1:8" x14ac:dyDescent="0.25">
      <c r="A29" t="s">
        <v>9</v>
      </c>
      <c r="B29" s="9" t="s">
        <v>7</v>
      </c>
      <c r="G29" s="13" t="s">
        <v>14</v>
      </c>
      <c r="H29" s="6">
        <f>H23+H25+H27</f>
        <v>83715.730176470592</v>
      </c>
    </row>
    <row r="30" spans="1:8" ht="15.75" thickBot="1" x14ac:dyDescent="0.3">
      <c r="A30" s="16"/>
      <c r="B30" s="14"/>
      <c r="C30" s="7"/>
    </row>
    <row r="31" spans="1:8" x14ac:dyDescent="0.25">
      <c r="E31" t="s">
        <v>151</v>
      </c>
      <c r="H31" s="20">
        <f>H29*0.5</f>
        <v>41857.865088235296</v>
      </c>
    </row>
    <row r="32" spans="1:8" ht="15.75" x14ac:dyDescent="0.25">
      <c r="A32" t="s">
        <v>10</v>
      </c>
      <c r="C32" s="10">
        <f>C23-C25-C27-C29</f>
        <v>135856.17764705882</v>
      </c>
      <c r="H32" s="18"/>
    </row>
    <row r="33" spans="8:8" x14ac:dyDescent="0.25">
      <c r="H33" s="3"/>
    </row>
    <row r="34" spans="8:8" x14ac:dyDescent="0.25">
      <c r="H34" s="18"/>
    </row>
  </sheetData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564A4-3C08-4522-979B-52A25A244CE0}">
  <dimension ref="A1:H34"/>
  <sheetViews>
    <sheetView workbookViewId="0">
      <selection sqref="A1:XFD1048576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693</v>
      </c>
    </row>
    <row r="3" spans="1:8" ht="21" x14ac:dyDescent="0.35">
      <c r="A3" s="2" t="s">
        <v>1</v>
      </c>
      <c r="D3" s="11">
        <v>535500</v>
      </c>
      <c r="F3" s="12" t="s">
        <v>3</v>
      </c>
      <c r="H3" s="4">
        <f>(D3/1.19)*0.19</f>
        <v>85500</v>
      </c>
    </row>
    <row r="4" spans="1:8" x14ac:dyDescent="0.25">
      <c r="A4" s="13" t="s">
        <v>32</v>
      </c>
      <c r="C4" s="26">
        <v>959</v>
      </c>
    </row>
    <row r="5" spans="1:8" ht="21" x14ac:dyDescent="0.35">
      <c r="A5" s="2" t="s">
        <v>2</v>
      </c>
    </row>
    <row r="7" spans="1:8" ht="18.75" x14ac:dyDescent="0.3">
      <c r="A7" s="5" t="s">
        <v>484</v>
      </c>
      <c r="D7" s="4">
        <v>403389</v>
      </c>
      <c r="E7" s="25"/>
      <c r="H7" s="4">
        <f t="shared" ref="H7:H12" si="0">(D7/1.19)*0.19</f>
        <v>64406.647058823539</v>
      </c>
    </row>
    <row r="8" spans="1:8" ht="18.75" x14ac:dyDescent="0.3">
      <c r="A8" s="5"/>
      <c r="C8" s="3"/>
      <c r="D8" s="32"/>
      <c r="E8" s="25"/>
      <c r="H8" s="4">
        <f t="shared" si="0"/>
        <v>0</v>
      </c>
    </row>
    <row r="9" spans="1:8" ht="18.75" x14ac:dyDescent="0.3">
      <c r="A9" s="5"/>
      <c r="C9" s="3"/>
      <c r="D9" s="28"/>
      <c r="E9" s="25"/>
      <c r="H9" s="4">
        <f t="shared" si="0"/>
        <v>0</v>
      </c>
    </row>
    <row r="10" spans="1:8" ht="18.75" x14ac:dyDescent="0.3">
      <c r="A10" s="5"/>
      <c r="C10" s="3"/>
      <c r="D10" s="28"/>
      <c r="E10" s="25"/>
      <c r="H10" s="4">
        <f t="shared" si="0"/>
        <v>0</v>
      </c>
    </row>
    <row r="11" spans="1:8" ht="18.75" x14ac:dyDescent="0.3">
      <c r="A11" s="5"/>
      <c r="C11" s="3"/>
      <c r="D11" s="28"/>
      <c r="E11" s="25"/>
      <c r="H11" s="4">
        <f t="shared" si="0"/>
        <v>0</v>
      </c>
    </row>
    <row r="12" spans="1:8" ht="18.75" x14ac:dyDescent="0.3">
      <c r="A12" s="5"/>
      <c r="C12" s="3"/>
      <c r="D12" s="28"/>
      <c r="E12" s="25"/>
      <c r="H12" s="4">
        <f t="shared" si="0"/>
        <v>0</v>
      </c>
    </row>
    <row r="13" spans="1:8" ht="19.5" thickBot="1" x14ac:dyDescent="0.35">
      <c r="A13" s="5"/>
      <c r="C13" s="3"/>
      <c r="D13" s="22"/>
      <c r="E13" s="25"/>
      <c r="H13" s="22">
        <v>0</v>
      </c>
    </row>
    <row r="14" spans="1:8" ht="18.75" customHeight="1" x14ac:dyDescent="0.3">
      <c r="D14" s="4">
        <f>SUM(D7:D13)</f>
        <v>403389</v>
      </c>
      <c r="H14" s="4">
        <f>SUM(H7:H13)</f>
        <v>64406.647058823539</v>
      </c>
    </row>
    <row r="15" spans="1:8" ht="18.75" x14ac:dyDescent="0.3">
      <c r="A15" s="5"/>
      <c r="C15" s="3"/>
      <c r="D15" s="4"/>
      <c r="H15" s="4"/>
    </row>
    <row r="17" spans="1:8" ht="18.75" x14ac:dyDescent="0.3">
      <c r="A17" s="5"/>
      <c r="C17" s="3"/>
      <c r="D17" s="4"/>
      <c r="H17" s="4"/>
    </row>
    <row r="18" spans="1:8" ht="15.75" thickBot="1" x14ac:dyDescent="0.3">
      <c r="D18" s="7"/>
      <c r="H18" s="7"/>
    </row>
    <row r="20" spans="1:8" ht="18.75" x14ac:dyDescent="0.3">
      <c r="C20" t="s">
        <v>4</v>
      </c>
      <c r="D20" s="4">
        <f>D3-D14</f>
        <v>132111</v>
      </c>
      <c r="G20" t="s">
        <v>5</v>
      </c>
      <c r="H20" s="4">
        <f>H3-H14</f>
        <v>21093.352941176461</v>
      </c>
    </row>
    <row r="23" spans="1:8" ht="15.75" x14ac:dyDescent="0.25">
      <c r="A23" t="s">
        <v>6</v>
      </c>
      <c r="C23" s="8">
        <f>D20</f>
        <v>132111</v>
      </c>
      <c r="E23" t="s">
        <v>10</v>
      </c>
      <c r="H23" s="6">
        <f>C32</f>
        <v>108875.64705882354</v>
      </c>
    </row>
    <row r="25" spans="1:8" ht="15.75" x14ac:dyDescent="0.25">
      <c r="A25" t="s">
        <v>5</v>
      </c>
      <c r="B25" s="9" t="s">
        <v>7</v>
      </c>
      <c r="C25" s="8">
        <f>H20</f>
        <v>21093.352941176461</v>
      </c>
      <c r="E25" s="13" t="s">
        <v>11</v>
      </c>
      <c r="F25" s="9" t="s">
        <v>181</v>
      </c>
      <c r="G25" s="15" t="s">
        <v>17</v>
      </c>
      <c r="H25" s="3">
        <f>-(F26*0.0077)</f>
        <v>-3465</v>
      </c>
    </row>
    <row r="26" spans="1:8" x14ac:dyDescent="0.25">
      <c r="F26" s="21">
        <f>D3-H3</f>
        <v>450000</v>
      </c>
    </row>
    <row r="27" spans="1:8" ht="15.75" x14ac:dyDescent="0.25">
      <c r="A27" t="s">
        <v>8</v>
      </c>
      <c r="B27" s="9" t="s">
        <v>7</v>
      </c>
      <c r="C27" s="8">
        <f>D3*0.004</f>
        <v>2142</v>
      </c>
      <c r="F27" s="9" t="s">
        <v>13</v>
      </c>
      <c r="G27" s="16">
        <v>0.35</v>
      </c>
      <c r="H27" s="29">
        <f>-(F28*0.35)</f>
        <v>-38106.476470588233</v>
      </c>
    </row>
    <row r="28" spans="1:8" ht="15.75" thickBot="1" x14ac:dyDescent="0.3">
      <c r="F28" s="21">
        <f>H23</f>
        <v>108875.64705882354</v>
      </c>
      <c r="H28" s="7"/>
    </row>
    <row r="29" spans="1:8" x14ac:dyDescent="0.25">
      <c r="A29" t="s">
        <v>9</v>
      </c>
      <c r="B29" s="9" t="s">
        <v>7</v>
      </c>
      <c r="G29" s="13" t="s">
        <v>14</v>
      </c>
      <c r="H29" s="6">
        <f>H23+H25+H27</f>
        <v>67304.170588235313</v>
      </c>
    </row>
    <row r="30" spans="1:8" ht="15.75" thickBot="1" x14ac:dyDescent="0.3">
      <c r="A30" s="16"/>
      <c r="B30" s="14"/>
      <c r="C30" s="7"/>
    </row>
    <row r="31" spans="1:8" x14ac:dyDescent="0.25">
      <c r="E31" t="s">
        <v>151</v>
      </c>
      <c r="H31" s="20">
        <f>H29*0.5</f>
        <v>33652.085294117656</v>
      </c>
    </row>
    <row r="32" spans="1:8" ht="15.75" x14ac:dyDescent="0.25">
      <c r="A32" t="s">
        <v>10</v>
      </c>
      <c r="C32" s="10">
        <f>C23-C25-C27-C29</f>
        <v>108875.64705882354</v>
      </c>
      <c r="H32" s="18"/>
    </row>
    <row r="33" spans="8:8" x14ac:dyDescent="0.25">
      <c r="H33" s="3"/>
    </row>
    <row r="34" spans="8:8" x14ac:dyDescent="0.25">
      <c r="H34" s="18"/>
    </row>
  </sheetData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8D76E-24F6-4084-B5BE-E4669C5C0470}">
  <dimension ref="A1:H34"/>
  <sheetViews>
    <sheetView topLeftCell="A13" workbookViewId="0">
      <selection activeCell="K30" sqref="K30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694</v>
      </c>
    </row>
    <row r="3" spans="1:8" ht="21" x14ac:dyDescent="0.35">
      <c r="A3" s="2" t="s">
        <v>1</v>
      </c>
      <c r="D3" s="11">
        <v>357000</v>
      </c>
      <c r="F3" s="12" t="s">
        <v>3</v>
      </c>
      <c r="H3" s="4">
        <f>(D3/1.19)*0.19</f>
        <v>57000</v>
      </c>
    </row>
    <row r="4" spans="1:8" x14ac:dyDescent="0.25">
      <c r="A4" s="13" t="s">
        <v>32</v>
      </c>
      <c r="C4" s="26">
        <v>961</v>
      </c>
    </row>
    <row r="5" spans="1:8" ht="21" x14ac:dyDescent="0.35">
      <c r="A5" s="2" t="s">
        <v>2</v>
      </c>
    </row>
    <row r="7" spans="1:8" ht="18.75" x14ac:dyDescent="0.3">
      <c r="A7" s="5" t="s">
        <v>343</v>
      </c>
      <c r="D7" s="4">
        <v>252273</v>
      </c>
      <c r="E7" s="25"/>
      <c r="H7" s="4">
        <f t="shared" ref="H7:H12" si="0">(D7/1.19)*0.19</f>
        <v>40278.882352941175</v>
      </c>
    </row>
    <row r="8" spans="1:8" ht="18.75" x14ac:dyDescent="0.3">
      <c r="A8" s="5"/>
      <c r="C8" s="3"/>
      <c r="D8" s="32"/>
      <c r="E8" s="25"/>
      <c r="H8" s="4">
        <f t="shared" si="0"/>
        <v>0</v>
      </c>
    </row>
    <row r="9" spans="1:8" ht="18.75" x14ac:dyDescent="0.3">
      <c r="A9" s="5"/>
      <c r="C9" s="3"/>
      <c r="D9" s="28"/>
      <c r="E9" s="25"/>
      <c r="H9" s="4">
        <f t="shared" si="0"/>
        <v>0</v>
      </c>
    </row>
    <row r="10" spans="1:8" ht="18.75" x14ac:dyDescent="0.3">
      <c r="A10" s="5"/>
      <c r="C10" s="3"/>
      <c r="D10" s="28"/>
      <c r="E10" s="25"/>
      <c r="H10" s="4">
        <f t="shared" si="0"/>
        <v>0</v>
      </c>
    </row>
    <row r="11" spans="1:8" ht="18.75" x14ac:dyDescent="0.3">
      <c r="A11" s="5"/>
      <c r="C11" s="3"/>
      <c r="D11" s="28"/>
      <c r="E11" s="25"/>
      <c r="H11" s="4">
        <f t="shared" si="0"/>
        <v>0</v>
      </c>
    </row>
    <row r="12" spans="1:8" ht="18.75" x14ac:dyDescent="0.3">
      <c r="A12" s="5"/>
      <c r="C12" s="3"/>
      <c r="D12" s="28"/>
      <c r="E12" s="25"/>
      <c r="H12" s="4">
        <f t="shared" si="0"/>
        <v>0</v>
      </c>
    </row>
    <row r="13" spans="1:8" ht="19.5" thickBot="1" x14ac:dyDescent="0.35">
      <c r="A13" s="5"/>
      <c r="C13" s="3"/>
      <c r="D13" s="22"/>
      <c r="E13" s="25"/>
      <c r="H13" s="22">
        <v>0</v>
      </c>
    </row>
    <row r="14" spans="1:8" ht="18.75" customHeight="1" x14ac:dyDescent="0.3">
      <c r="D14" s="4">
        <f>SUM(D7:D13)</f>
        <v>252273</v>
      </c>
      <c r="H14" s="4">
        <f>SUM(H7:H13)</f>
        <v>40278.882352941175</v>
      </c>
    </row>
    <row r="15" spans="1:8" ht="18.75" x14ac:dyDescent="0.3">
      <c r="A15" s="5"/>
      <c r="C15" s="3"/>
      <c r="D15" s="4"/>
      <c r="H15" s="4"/>
    </row>
    <row r="17" spans="1:8" ht="18.75" x14ac:dyDescent="0.3">
      <c r="A17" s="5"/>
      <c r="C17" s="3"/>
      <c r="D17" s="4"/>
      <c r="H17" s="4"/>
    </row>
    <row r="18" spans="1:8" ht="15.75" thickBot="1" x14ac:dyDescent="0.3">
      <c r="D18" s="7"/>
      <c r="H18" s="7"/>
    </row>
    <row r="20" spans="1:8" ht="18.75" x14ac:dyDescent="0.3">
      <c r="C20" t="s">
        <v>4</v>
      </c>
      <c r="D20" s="4">
        <f>D3-D14</f>
        <v>104727</v>
      </c>
      <c r="G20" t="s">
        <v>5</v>
      </c>
      <c r="H20" s="4">
        <f>H3-H14</f>
        <v>16721.117647058825</v>
      </c>
    </row>
    <row r="23" spans="1:8" ht="15.75" x14ac:dyDescent="0.25">
      <c r="A23" t="s">
        <v>6</v>
      </c>
      <c r="C23" s="8">
        <f>D20</f>
        <v>104727</v>
      </c>
      <c r="E23" t="s">
        <v>10</v>
      </c>
      <c r="H23" s="6">
        <f>C32</f>
        <v>86577.882352941175</v>
      </c>
    </row>
    <row r="25" spans="1:8" ht="15.75" x14ac:dyDescent="0.25">
      <c r="A25" t="s">
        <v>5</v>
      </c>
      <c r="B25" s="9" t="s">
        <v>7</v>
      </c>
      <c r="C25" s="8">
        <f>H20</f>
        <v>16721.117647058825</v>
      </c>
      <c r="E25" s="13" t="s">
        <v>11</v>
      </c>
      <c r="F25" s="9" t="s">
        <v>181</v>
      </c>
      <c r="G25" s="15" t="s">
        <v>17</v>
      </c>
      <c r="H25" s="3">
        <f>-(F26*0.0077)</f>
        <v>-2310</v>
      </c>
    </row>
    <row r="26" spans="1:8" x14ac:dyDescent="0.25">
      <c r="F26" s="21">
        <f>D3-H3</f>
        <v>300000</v>
      </c>
    </row>
    <row r="27" spans="1:8" ht="15.75" x14ac:dyDescent="0.25">
      <c r="A27" t="s">
        <v>8</v>
      </c>
      <c r="B27" s="9" t="s">
        <v>7</v>
      </c>
      <c r="C27" s="8">
        <f>D3*0.004</f>
        <v>1428</v>
      </c>
      <c r="F27" s="9" t="s">
        <v>13</v>
      </c>
      <c r="G27" s="16">
        <v>0.35</v>
      </c>
      <c r="H27" s="29">
        <f>-(F28*0.35)</f>
        <v>-30302.25882352941</v>
      </c>
    </row>
    <row r="28" spans="1:8" ht="15.75" thickBot="1" x14ac:dyDescent="0.3">
      <c r="F28" s="21">
        <f>H23</f>
        <v>86577.882352941175</v>
      </c>
      <c r="H28" s="7"/>
    </row>
    <row r="29" spans="1:8" x14ac:dyDescent="0.25">
      <c r="A29" t="s">
        <v>9</v>
      </c>
      <c r="B29" s="9" t="s">
        <v>7</v>
      </c>
      <c r="G29" s="13" t="s">
        <v>14</v>
      </c>
      <c r="H29" s="6">
        <f>H23+H25+H27</f>
        <v>53965.623529411765</v>
      </c>
    </row>
    <row r="30" spans="1:8" ht="15.75" thickBot="1" x14ac:dyDescent="0.3">
      <c r="A30" s="16"/>
      <c r="B30" s="14"/>
      <c r="C30" s="7"/>
    </row>
    <row r="31" spans="1:8" x14ac:dyDescent="0.25">
      <c r="E31" t="s">
        <v>151</v>
      </c>
      <c r="H31" s="20">
        <f>H29*0.5</f>
        <v>26982.811764705883</v>
      </c>
    </row>
    <row r="32" spans="1:8" ht="15.75" x14ac:dyDescent="0.25">
      <c r="A32" t="s">
        <v>10</v>
      </c>
      <c r="C32" s="10">
        <f>C23-C25-C27-C29</f>
        <v>86577.882352941175</v>
      </c>
      <c r="H32" s="18"/>
    </row>
    <row r="33" spans="8:8" x14ac:dyDescent="0.25">
      <c r="H33" s="3"/>
    </row>
    <row r="34" spans="8:8" x14ac:dyDescent="0.25">
      <c r="H34" s="18"/>
    </row>
  </sheetData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54BEF-204F-4A62-ACB4-DB58616E7AA7}">
  <dimension ref="A1:H34"/>
  <sheetViews>
    <sheetView workbookViewId="0">
      <selection sqref="A1:XFD1048576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695</v>
      </c>
    </row>
    <row r="3" spans="1:8" ht="21" x14ac:dyDescent="0.35">
      <c r="A3" s="2" t="s">
        <v>1</v>
      </c>
      <c r="D3" s="11">
        <v>130900</v>
      </c>
      <c r="F3" s="12" t="s">
        <v>3</v>
      </c>
      <c r="H3" s="4">
        <f>(D3/1.19)*0.19</f>
        <v>20900</v>
      </c>
    </row>
    <row r="4" spans="1:8" x14ac:dyDescent="0.25">
      <c r="A4" s="13" t="s">
        <v>32</v>
      </c>
      <c r="C4" s="26">
        <v>964</v>
      </c>
    </row>
    <row r="5" spans="1:8" ht="21" x14ac:dyDescent="0.35">
      <c r="A5" s="2" t="s">
        <v>2</v>
      </c>
    </row>
    <row r="7" spans="1:8" ht="18.75" x14ac:dyDescent="0.3">
      <c r="A7" s="5" t="s">
        <v>343</v>
      </c>
      <c r="D7" s="4">
        <v>100741</v>
      </c>
      <c r="E7" s="25"/>
      <c r="H7" s="4">
        <f t="shared" ref="H7:H12" si="0">(D7/1.19)*0.19</f>
        <v>16084.697478991597</v>
      </c>
    </row>
    <row r="8" spans="1:8" ht="18.75" x14ac:dyDescent="0.3">
      <c r="A8" s="5"/>
      <c r="C8" s="3"/>
      <c r="D8" s="32"/>
      <c r="E8" s="25"/>
      <c r="H8" s="4">
        <f t="shared" si="0"/>
        <v>0</v>
      </c>
    </row>
    <row r="9" spans="1:8" ht="18.75" x14ac:dyDescent="0.3">
      <c r="A9" s="5"/>
      <c r="C9" s="3"/>
      <c r="D9" s="28"/>
      <c r="E9" s="25"/>
      <c r="H9" s="4">
        <f t="shared" si="0"/>
        <v>0</v>
      </c>
    </row>
    <row r="10" spans="1:8" ht="18.75" x14ac:dyDescent="0.3">
      <c r="A10" s="5"/>
      <c r="C10" s="3"/>
      <c r="D10" s="28"/>
      <c r="E10" s="25"/>
      <c r="H10" s="4">
        <f t="shared" si="0"/>
        <v>0</v>
      </c>
    </row>
    <row r="11" spans="1:8" ht="18.75" x14ac:dyDescent="0.3">
      <c r="A11" s="5"/>
      <c r="C11" s="3"/>
      <c r="D11" s="28"/>
      <c r="E11" s="25"/>
      <c r="H11" s="4">
        <f t="shared" si="0"/>
        <v>0</v>
      </c>
    </row>
    <row r="12" spans="1:8" ht="18.75" x14ac:dyDescent="0.3">
      <c r="A12" s="5"/>
      <c r="C12" s="3"/>
      <c r="D12" s="28"/>
      <c r="E12" s="25"/>
      <c r="H12" s="4">
        <f t="shared" si="0"/>
        <v>0</v>
      </c>
    </row>
    <row r="13" spans="1:8" ht="19.5" thickBot="1" x14ac:dyDescent="0.35">
      <c r="A13" s="5"/>
      <c r="C13" s="3"/>
      <c r="D13" s="22"/>
      <c r="E13" s="25"/>
      <c r="H13" s="22">
        <v>0</v>
      </c>
    </row>
    <row r="14" spans="1:8" ht="18.75" customHeight="1" x14ac:dyDescent="0.3">
      <c r="D14" s="4">
        <f>SUM(D7:D13)</f>
        <v>100741</v>
      </c>
      <c r="H14" s="4">
        <f>SUM(H7:H13)</f>
        <v>16084.697478991597</v>
      </c>
    </row>
    <row r="15" spans="1:8" ht="18.75" x14ac:dyDescent="0.3">
      <c r="A15" s="5"/>
      <c r="C15" s="3"/>
      <c r="D15" s="4"/>
      <c r="H15" s="4"/>
    </row>
    <row r="17" spans="1:8" ht="18.75" x14ac:dyDescent="0.3">
      <c r="A17" s="5"/>
      <c r="C17" s="3"/>
      <c r="D17" s="4"/>
      <c r="H17" s="4"/>
    </row>
    <row r="18" spans="1:8" ht="15.75" thickBot="1" x14ac:dyDescent="0.3">
      <c r="D18" s="7"/>
      <c r="H18" s="7"/>
    </row>
    <row r="20" spans="1:8" ht="18.75" x14ac:dyDescent="0.3">
      <c r="C20" t="s">
        <v>4</v>
      </c>
      <c r="D20" s="4">
        <f>D3-D14</f>
        <v>30159</v>
      </c>
      <c r="G20" t="s">
        <v>5</v>
      </c>
      <c r="H20" s="4">
        <f>H3-H14</f>
        <v>4815.3025210084033</v>
      </c>
    </row>
    <row r="23" spans="1:8" ht="15.75" x14ac:dyDescent="0.25">
      <c r="A23" t="s">
        <v>6</v>
      </c>
      <c r="C23" s="8">
        <f>D20</f>
        <v>30159</v>
      </c>
      <c r="E23" t="s">
        <v>10</v>
      </c>
      <c r="H23" s="6">
        <f>C32</f>
        <v>24820.0974789916</v>
      </c>
    </row>
    <row r="25" spans="1:8" ht="15.75" x14ac:dyDescent="0.25">
      <c r="A25" t="s">
        <v>5</v>
      </c>
      <c r="B25" s="9" t="s">
        <v>7</v>
      </c>
      <c r="C25" s="8">
        <f>H20</f>
        <v>4815.3025210084033</v>
      </c>
      <c r="E25" s="13" t="s">
        <v>11</v>
      </c>
      <c r="F25" s="9" t="s">
        <v>181</v>
      </c>
      <c r="G25" s="15" t="s">
        <v>17</v>
      </c>
      <c r="H25" s="3">
        <f>-(F26*0.0077)</f>
        <v>-847</v>
      </c>
    </row>
    <row r="26" spans="1:8" x14ac:dyDescent="0.25">
      <c r="F26" s="21">
        <f>D3-H3</f>
        <v>110000</v>
      </c>
    </row>
    <row r="27" spans="1:8" ht="15.75" x14ac:dyDescent="0.25">
      <c r="A27" t="s">
        <v>8</v>
      </c>
      <c r="B27" s="9" t="s">
        <v>7</v>
      </c>
      <c r="C27" s="8">
        <f>D3*0.004</f>
        <v>523.6</v>
      </c>
      <c r="F27" s="9" t="s">
        <v>13</v>
      </c>
      <c r="G27" s="16">
        <v>0.35</v>
      </c>
      <c r="H27" s="29">
        <f>-(F28*0.35)</f>
        <v>-8687.0341176470592</v>
      </c>
    </row>
    <row r="28" spans="1:8" ht="15.75" thickBot="1" x14ac:dyDescent="0.3">
      <c r="F28" s="21">
        <f>H23</f>
        <v>24820.0974789916</v>
      </c>
      <c r="H28" s="7"/>
    </row>
    <row r="29" spans="1:8" x14ac:dyDescent="0.25">
      <c r="A29" t="s">
        <v>9</v>
      </c>
      <c r="B29" s="9" t="s">
        <v>7</v>
      </c>
      <c r="G29" s="13" t="s">
        <v>14</v>
      </c>
      <c r="H29" s="6">
        <f>H23+H25+H27</f>
        <v>15286.063361344541</v>
      </c>
    </row>
    <row r="30" spans="1:8" ht="15.75" thickBot="1" x14ac:dyDescent="0.3">
      <c r="A30" s="16"/>
      <c r="B30" s="14"/>
      <c r="C30" s="7"/>
    </row>
    <row r="31" spans="1:8" x14ac:dyDescent="0.25">
      <c r="E31" t="s">
        <v>151</v>
      </c>
      <c r="H31" s="20">
        <f>H29*0.5</f>
        <v>7643.0316806722703</v>
      </c>
    </row>
    <row r="32" spans="1:8" ht="15.75" x14ac:dyDescent="0.25">
      <c r="A32" t="s">
        <v>10</v>
      </c>
      <c r="C32" s="10">
        <f>C23-C25-C27-C29</f>
        <v>24820.0974789916</v>
      </c>
      <c r="H32" s="18"/>
    </row>
    <row r="33" spans="8:8" x14ac:dyDescent="0.25">
      <c r="H33" s="3"/>
    </row>
    <row r="34" spans="8:8" x14ac:dyDescent="0.25">
      <c r="H34" s="18"/>
    </row>
  </sheetData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77B5A-A1CF-4B62-B6DA-9F20BA819E68}">
  <dimension ref="A1:H34"/>
  <sheetViews>
    <sheetView topLeftCell="A7" workbookViewId="0">
      <selection activeCell="K28" sqref="K28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461</v>
      </c>
    </row>
    <row r="3" spans="1:8" ht="21" x14ac:dyDescent="0.35">
      <c r="A3" s="2" t="s">
        <v>1</v>
      </c>
      <c r="D3" s="11">
        <v>1245618</v>
      </c>
      <c r="F3" s="12" t="s">
        <v>3</v>
      </c>
      <c r="H3" s="4">
        <f>(D3/1.19)*0.19</f>
        <v>198880.18487394959</v>
      </c>
    </row>
    <row r="4" spans="1:8" x14ac:dyDescent="0.25">
      <c r="A4" s="13" t="s">
        <v>32</v>
      </c>
      <c r="C4" s="26">
        <v>968</v>
      </c>
    </row>
    <row r="5" spans="1:8" ht="21" x14ac:dyDescent="0.35">
      <c r="A5" s="2" t="s">
        <v>2</v>
      </c>
    </row>
    <row r="7" spans="1:8" ht="18.75" x14ac:dyDescent="0.3">
      <c r="A7" s="5" t="s">
        <v>479</v>
      </c>
      <c r="D7" s="4">
        <v>67536</v>
      </c>
      <c r="E7" s="25"/>
      <c r="H7" s="4">
        <f t="shared" ref="H7:H12" si="0">(D7/1.19)*0.19</f>
        <v>10783.058823529413</v>
      </c>
    </row>
    <row r="8" spans="1:8" ht="18.75" x14ac:dyDescent="0.3">
      <c r="A8" s="5" t="s">
        <v>699</v>
      </c>
      <c r="C8" s="3"/>
      <c r="D8" s="32">
        <v>260000</v>
      </c>
      <c r="E8" s="25"/>
      <c r="H8" s="4">
        <f t="shared" si="0"/>
        <v>41512.60504201681</v>
      </c>
    </row>
    <row r="9" spans="1:8" ht="18.75" x14ac:dyDescent="0.3">
      <c r="A9" s="5" t="s">
        <v>700</v>
      </c>
      <c r="C9" s="3"/>
      <c r="D9" s="28">
        <v>222000</v>
      </c>
      <c r="E9" s="25"/>
      <c r="H9" s="4">
        <f t="shared" si="0"/>
        <v>35445.378151260506</v>
      </c>
    </row>
    <row r="10" spans="1:8" ht="18.75" x14ac:dyDescent="0.3">
      <c r="A10" s="5" t="s">
        <v>221</v>
      </c>
      <c r="C10" s="3"/>
      <c r="D10" s="28">
        <v>85000</v>
      </c>
      <c r="E10" s="25"/>
      <c r="H10" s="4">
        <f t="shared" si="0"/>
        <v>13571.428571428572</v>
      </c>
    </row>
    <row r="11" spans="1:8" ht="18.75" x14ac:dyDescent="0.3">
      <c r="A11" s="5"/>
      <c r="C11" s="3"/>
      <c r="D11" s="28"/>
      <c r="E11" s="25"/>
      <c r="H11" s="4">
        <f t="shared" si="0"/>
        <v>0</v>
      </c>
    </row>
    <row r="12" spans="1:8" ht="18.75" x14ac:dyDescent="0.3">
      <c r="A12" s="5"/>
      <c r="C12" s="3"/>
      <c r="D12" s="28"/>
      <c r="E12" s="25"/>
      <c r="H12" s="4">
        <f t="shared" si="0"/>
        <v>0</v>
      </c>
    </row>
    <row r="13" spans="1:8" ht="19.5" thickBot="1" x14ac:dyDescent="0.35">
      <c r="A13" s="5"/>
      <c r="C13" s="3"/>
      <c r="D13" s="22"/>
      <c r="E13" s="25"/>
      <c r="H13" s="22">
        <v>0</v>
      </c>
    </row>
    <row r="14" spans="1:8" ht="18.75" customHeight="1" x14ac:dyDescent="0.3">
      <c r="D14" s="4">
        <f>SUM(D7:D13)</f>
        <v>634536</v>
      </c>
      <c r="H14" s="4">
        <f>SUM(H7:H13)</f>
        <v>101312.4705882353</v>
      </c>
    </row>
    <row r="15" spans="1:8" ht="18.75" x14ac:dyDescent="0.3">
      <c r="A15" s="5"/>
      <c r="C15" s="3"/>
      <c r="D15" s="4"/>
      <c r="H15" s="4"/>
    </row>
    <row r="17" spans="1:8" ht="18.75" x14ac:dyDescent="0.3">
      <c r="A17" s="5"/>
      <c r="C17" s="3"/>
      <c r="D17" s="4"/>
      <c r="H17" s="4"/>
    </row>
    <row r="18" spans="1:8" ht="15.75" thickBot="1" x14ac:dyDescent="0.3">
      <c r="D18" s="7"/>
      <c r="H18" s="7"/>
    </row>
    <row r="20" spans="1:8" ht="18.75" x14ac:dyDescent="0.3">
      <c r="C20" t="s">
        <v>4</v>
      </c>
      <c r="D20" s="4">
        <f>D3-D14</f>
        <v>611082</v>
      </c>
      <c r="G20" t="s">
        <v>5</v>
      </c>
      <c r="H20" s="4">
        <f>H3-H14</f>
        <v>97567.71428571429</v>
      </c>
    </row>
    <row r="23" spans="1:8" ht="15.75" x14ac:dyDescent="0.25">
      <c r="A23" t="s">
        <v>6</v>
      </c>
      <c r="C23" s="8">
        <f>D20</f>
        <v>611082</v>
      </c>
      <c r="E23" t="s">
        <v>10</v>
      </c>
      <c r="H23" s="6">
        <f>C32</f>
        <v>508531.81371428567</v>
      </c>
    </row>
    <row r="25" spans="1:8" ht="15.75" x14ac:dyDescent="0.25">
      <c r="A25" t="s">
        <v>5</v>
      </c>
      <c r="B25" s="9" t="s">
        <v>7</v>
      </c>
      <c r="C25" s="8">
        <f>H20</f>
        <v>97567.71428571429</v>
      </c>
      <c r="E25" s="13" t="s">
        <v>11</v>
      </c>
      <c r="F25" s="9" t="s">
        <v>181</v>
      </c>
      <c r="G25" s="15" t="s">
        <v>17</v>
      </c>
      <c r="H25" s="3">
        <f>-(F26*0.0077)</f>
        <v>-8059.8811764705879</v>
      </c>
    </row>
    <row r="26" spans="1:8" x14ac:dyDescent="0.25">
      <c r="F26" s="21">
        <f>D3-H3</f>
        <v>1046737.8151260504</v>
      </c>
    </row>
    <row r="27" spans="1:8" ht="15.75" x14ac:dyDescent="0.25">
      <c r="A27" t="s">
        <v>8</v>
      </c>
      <c r="B27" s="9" t="s">
        <v>7</v>
      </c>
      <c r="C27" s="8">
        <f>D3*0.004</f>
        <v>4982.4719999999998</v>
      </c>
      <c r="F27" s="9" t="s">
        <v>13</v>
      </c>
      <c r="G27" s="16">
        <v>0.35</v>
      </c>
      <c r="H27" s="29">
        <f>-(F28*0.35)</f>
        <v>-177986.13479999997</v>
      </c>
    </row>
    <row r="28" spans="1:8" ht="15.75" thickBot="1" x14ac:dyDescent="0.3">
      <c r="F28" s="21">
        <f>H23</f>
        <v>508531.81371428567</v>
      </c>
      <c r="H28" s="7"/>
    </row>
    <row r="29" spans="1:8" x14ac:dyDescent="0.25">
      <c r="A29" t="s">
        <v>9</v>
      </c>
      <c r="B29" s="9" t="s">
        <v>7</v>
      </c>
      <c r="G29" s="13" t="s">
        <v>14</v>
      </c>
      <c r="H29" s="6">
        <f>H23+H25+H27</f>
        <v>322485.79773781507</v>
      </c>
    </row>
    <row r="30" spans="1:8" ht="15.75" thickBot="1" x14ac:dyDescent="0.3">
      <c r="A30" s="16"/>
      <c r="B30" s="14"/>
      <c r="C30" s="7"/>
    </row>
    <row r="31" spans="1:8" x14ac:dyDescent="0.25">
      <c r="E31" t="s">
        <v>151</v>
      </c>
      <c r="H31" s="20">
        <f>H29*0.5</f>
        <v>161242.89886890753</v>
      </c>
    </row>
    <row r="32" spans="1:8" ht="15.75" x14ac:dyDescent="0.25">
      <c r="A32" t="s">
        <v>10</v>
      </c>
      <c r="C32" s="10">
        <f>C23-C25-C27-C29</f>
        <v>508531.81371428567</v>
      </c>
      <c r="H32" s="18"/>
    </row>
    <row r="33" spans="8:8" x14ac:dyDescent="0.25">
      <c r="H33" s="3"/>
    </row>
    <row r="34" spans="8:8" x14ac:dyDescent="0.25">
      <c r="H34" s="18"/>
    </row>
  </sheetData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A335F-6553-456F-81FB-74D6B8156B2C}">
  <dimension ref="A1:H34"/>
  <sheetViews>
    <sheetView topLeftCell="A13" workbookViewId="0">
      <selection activeCell="D12" sqref="D12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640</v>
      </c>
    </row>
    <row r="3" spans="1:8" ht="21" x14ac:dyDescent="0.35">
      <c r="A3" s="2" t="s">
        <v>1</v>
      </c>
      <c r="D3" s="11">
        <v>2309496</v>
      </c>
      <c r="F3" s="12" t="s">
        <v>3</v>
      </c>
      <c r="H3" s="4">
        <f>(D3/1.19)*0.19</f>
        <v>368743.0588235294</v>
      </c>
    </row>
    <row r="4" spans="1:8" x14ac:dyDescent="0.25">
      <c r="A4" s="13" t="s">
        <v>32</v>
      </c>
      <c r="C4" s="26">
        <v>973</v>
      </c>
    </row>
    <row r="5" spans="1:8" ht="21" x14ac:dyDescent="0.35">
      <c r="A5" s="2" t="s">
        <v>2</v>
      </c>
    </row>
    <row r="7" spans="1:8" ht="18.75" x14ac:dyDescent="0.3">
      <c r="A7" s="5" t="s">
        <v>106</v>
      </c>
      <c r="D7" s="4">
        <v>136390</v>
      </c>
      <c r="E7" s="25"/>
      <c r="H7" s="4">
        <f t="shared" ref="H7:H12" si="0">(D7/1.19)*0.19</f>
        <v>21776.554621848743</v>
      </c>
    </row>
    <row r="8" spans="1:8" ht="18.75" x14ac:dyDescent="0.3">
      <c r="A8" s="5" t="s">
        <v>221</v>
      </c>
      <c r="C8" s="3"/>
      <c r="D8" s="32">
        <v>793051</v>
      </c>
      <c r="E8" s="25"/>
      <c r="H8" s="4">
        <f t="shared" si="0"/>
        <v>126621.58823529413</v>
      </c>
    </row>
    <row r="9" spans="1:8" ht="18.75" x14ac:dyDescent="0.3">
      <c r="A9" s="5" t="s">
        <v>652</v>
      </c>
      <c r="C9" s="3"/>
      <c r="D9" s="28">
        <v>664000</v>
      </c>
      <c r="E9" s="25"/>
      <c r="H9" s="4">
        <f t="shared" si="0"/>
        <v>106016.80672268907</v>
      </c>
    </row>
    <row r="10" spans="1:8" ht="18.75" x14ac:dyDescent="0.3">
      <c r="A10" s="5" t="s">
        <v>622</v>
      </c>
      <c r="C10" s="3"/>
      <c r="D10" s="28">
        <v>150000</v>
      </c>
      <c r="E10" s="25"/>
      <c r="H10" s="4">
        <f t="shared" si="0"/>
        <v>23949.579831932773</v>
      </c>
    </row>
    <row r="11" spans="1:8" ht="18.75" x14ac:dyDescent="0.3">
      <c r="A11" s="5" t="s">
        <v>141</v>
      </c>
      <c r="C11" s="3"/>
      <c r="D11" s="28">
        <v>31000</v>
      </c>
      <c r="E11" s="25"/>
      <c r="H11" s="4">
        <f t="shared" si="0"/>
        <v>4949.5798319327732</v>
      </c>
    </row>
    <row r="12" spans="1:8" ht="18.75" x14ac:dyDescent="0.3">
      <c r="A12" s="5"/>
      <c r="C12" s="3"/>
      <c r="D12" s="28"/>
      <c r="E12" s="25"/>
      <c r="H12" s="4">
        <f t="shared" si="0"/>
        <v>0</v>
      </c>
    </row>
    <row r="13" spans="1:8" ht="19.5" thickBot="1" x14ac:dyDescent="0.35">
      <c r="A13" s="5"/>
      <c r="C13" s="3"/>
      <c r="D13" s="22"/>
      <c r="E13" s="25"/>
      <c r="H13" s="22">
        <v>0</v>
      </c>
    </row>
    <row r="14" spans="1:8" ht="18.75" customHeight="1" x14ac:dyDescent="0.3">
      <c r="D14" s="4">
        <f>SUM(D7:D13)</f>
        <v>1774441</v>
      </c>
      <c r="H14" s="4">
        <f>SUM(H7:H13)</f>
        <v>283314.10924369749</v>
      </c>
    </row>
    <row r="15" spans="1:8" ht="18.75" x14ac:dyDescent="0.3">
      <c r="A15" s="5"/>
      <c r="C15" s="3"/>
      <c r="D15" s="4"/>
      <c r="H15" s="4"/>
    </row>
    <row r="17" spans="1:8" ht="18.75" x14ac:dyDescent="0.3">
      <c r="A17" s="5"/>
      <c r="C17" s="3"/>
      <c r="D17" s="4"/>
      <c r="H17" s="4"/>
    </row>
    <row r="18" spans="1:8" ht="15.75" thickBot="1" x14ac:dyDescent="0.3">
      <c r="D18" s="7"/>
      <c r="H18" s="7"/>
    </row>
    <row r="20" spans="1:8" ht="18.75" x14ac:dyDescent="0.3">
      <c r="C20" t="s">
        <v>4</v>
      </c>
      <c r="D20" s="4">
        <f>D3-D14</f>
        <v>535055</v>
      </c>
      <c r="G20" t="s">
        <v>5</v>
      </c>
      <c r="H20" s="4">
        <f>H3-H14</f>
        <v>85428.949579831911</v>
      </c>
    </row>
    <row r="23" spans="1:8" ht="15.75" x14ac:dyDescent="0.25">
      <c r="A23" t="s">
        <v>6</v>
      </c>
      <c r="C23" s="8">
        <f>D20</f>
        <v>535055</v>
      </c>
      <c r="E23" t="s">
        <v>10</v>
      </c>
      <c r="H23" s="6">
        <f>C32</f>
        <v>440388.06642016809</v>
      </c>
    </row>
    <row r="25" spans="1:8" ht="15.75" x14ac:dyDescent="0.25">
      <c r="A25" t="s">
        <v>5</v>
      </c>
      <c r="B25" s="9" t="s">
        <v>7</v>
      </c>
      <c r="C25" s="8">
        <f>H20</f>
        <v>85428.949579831911</v>
      </c>
      <c r="E25" s="13" t="s">
        <v>11</v>
      </c>
      <c r="F25" s="9" t="s">
        <v>181</v>
      </c>
      <c r="G25" s="15" t="s">
        <v>17</v>
      </c>
      <c r="H25" s="3">
        <f>-(F26*0.0077)</f>
        <v>-14943.797647058824</v>
      </c>
    </row>
    <row r="26" spans="1:8" x14ac:dyDescent="0.25">
      <c r="F26" s="21">
        <f>D3-H3</f>
        <v>1940752.9411764706</v>
      </c>
    </row>
    <row r="27" spans="1:8" ht="15.75" x14ac:dyDescent="0.25">
      <c r="A27" t="s">
        <v>8</v>
      </c>
      <c r="B27" s="9" t="s">
        <v>7</v>
      </c>
      <c r="C27" s="8">
        <f>D3*0.004</f>
        <v>9237.9840000000004</v>
      </c>
      <c r="F27" s="9" t="s">
        <v>13</v>
      </c>
      <c r="G27" s="16">
        <v>0.35</v>
      </c>
      <c r="H27" s="29">
        <f>-(F28*0.35)</f>
        <v>-154135.82324705881</v>
      </c>
    </row>
    <row r="28" spans="1:8" ht="15.75" thickBot="1" x14ac:dyDescent="0.3">
      <c r="F28" s="21">
        <f>H23</f>
        <v>440388.06642016809</v>
      </c>
      <c r="H28" s="7"/>
    </row>
    <row r="29" spans="1:8" x14ac:dyDescent="0.25">
      <c r="A29" t="s">
        <v>9</v>
      </c>
      <c r="B29" s="9" t="s">
        <v>7</v>
      </c>
      <c r="G29" s="13" t="s">
        <v>14</v>
      </c>
      <c r="H29" s="6">
        <f>H23+H25+H27</f>
        <v>271308.4455260504</v>
      </c>
    </row>
    <row r="30" spans="1:8" ht="15.75" thickBot="1" x14ac:dyDescent="0.3">
      <c r="A30" s="16"/>
      <c r="B30" s="14"/>
      <c r="C30" s="7"/>
    </row>
    <row r="31" spans="1:8" x14ac:dyDescent="0.25">
      <c r="E31" t="s">
        <v>151</v>
      </c>
      <c r="H31" s="20">
        <f>H29*0.5</f>
        <v>135654.2227630252</v>
      </c>
    </row>
    <row r="32" spans="1:8" ht="15.75" x14ac:dyDescent="0.25">
      <c r="A32" t="s">
        <v>10</v>
      </c>
      <c r="C32" s="10">
        <f>C23-C25-C27-C29</f>
        <v>440388.06642016809</v>
      </c>
      <c r="H32" s="18"/>
    </row>
    <row r="33" spans="8:8" x14ac:dyDescent="0.25">
      <c r="H33" s="3"/>
    </row>
    <row r="34" spans="8:8" x14ac:dyDescent="0.25">
      <c r="H34" s="18"/>
    </row>
  </sheetData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92FE1-9CA9-468F-8AE3-2DCF85CCE7B4}">
  <dimension ref="A1:H34"/>
  <sheetViews>
    <sheetView topLeftCell="A16" workbookViewId="0">
      <selection sqref="A1:XFD1048576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696</v>
      </c>
    </row>
    <row r="3" spans="1:8" ht="21" x14ac:dyDescent="0.35">
      <c r="A3" s="2" t="s">
        <v>1</v>
      </c>
      <c r="D3" s="11">
        <v>1047200</v>
      </c>
      <c r="F3" s="12" t="s">
        <v>3</v>
      </c>
      <c r="H3" s="4">
        <f>(D3/1.19)*0.19</f>
        <v>167200</v>
      </c>
    </row>
    <row r="4" spans="1:8" x14ac:dyDescent="0.25">
      <c r="A4" s="13" t="s">
        <v>32</v>
      </c>
      <c r="C4" s="26">
        <v>974</v>
      </c>
    </row>
    <row r="5" spans="1:8" ht="21" x14ac:dyDescent="0.35">
      <c r="A5" s="2" t="s">
        <v>2</v>
      </c>
    </row>
    <row r="7" spans="1:8" ht="18.75" x14ac:dyDescent="0.3">
      <c r="A7" s="5" t="s">
        <v>476</v>
      </c>
      <c r="D7" s="4">
        <v>689200</v>
      </c>
      <c r="E7" s="25"/>
      <c r="H7" s="4">
        <f t="shared" ref="H7:H12" si="0">(D7/1.19)*0.19</f>
        <v>110040.33613445378</v>
      </c>
    </row>
    <row r="8" spans="1:8" ht="18.75" x14ac:dyDescent="0.3">
      <c r="A8" s="5"/>
      <c r="C8" s="3"/>
      <c r="D8" s="32"/>
      <c r="E8" s="25"/>
      <c r="H8" s="4">
        <f t="shared" si="0"/>
        <v>0</v>
      </c>
    </row>
    <row r="9" spans="1:8" ht="18.75" x14ac:dyDescent="0.3">
      <c r="A9" s="5"/>
      <c r="C9" s="3"/>
      <c r="D9" s="28"/>
      <c r="E9" s="25"/>
      <c r="H9" s="4">
        <f t="shared" si="0"/>
        <v>0</v>
      </c>
    </row>
    <row r="10" spans="1:8" ht="18.75" x14ac:dyDescent="0.3">
      <c r="A10" s="5"/>
      <c r="C10" s="3"/>
      <c r="D10" s="28"/>
      <c r="E10" s="25"/>
      <c r="H10" s="4">
        <f t="shared" si="0"/>
        <v>0</v>
      </c>
    </row>
    <row r="11" spans="1:8" ht="18.75" x14ac:dyDescent="0.3">
      <c r="A11" s="5"/>
      <c r="C11" s="3"/>
      <c r="D11" s="28"/>
      <c r="E11" s="25"/>
      <c r="H11" s="4">
        <f t="shared" si="0"/>
        <v>0</v>
      </c>
    </row>
    <row r="12" spans="1:8" ht="18.75" x14ac:dyDescent="0.3">
      <c r="A12" s="5"/>
      <c r="C12" s="3"/>
      <c r="D12" s="28"/>
      <c r="E12" s="25"/>
      <c r="H12" s="4">
        <f t="shared" si="0"/>
        <v>0</v>
      </c>
    </row>
    <row r="13" spans="1:8" ht="19.5" thickBot="1" x14ac:dyDescent="0.35">
      <c r="A13" s="5"/>
      <c r="C13" s="3"/>
      <c r="D13" s="22"/>
      <c r="E13" s="25"/>
      <c r="H13" s="22">
        <v>0</v>
      </c>
    </row>
    <row r="14" spans="1:8" ht="18.75" customHeight="1" x14ac:dyDescent="0.3">
      <c r="D14" s="4">
        <f>SUM(D7:D13)</f>
        <v>689200</v>
      </c>
      <c r="H14" s="4">
        <f>SUM(H7:H13)</f>
        <v>110040.33613445378</v>
      </c>
    </row>
    <row r="15" spans="1:8" ht="18.75" x14ac:dyDescent="0.3">
      <c r="A15" s="5"/>
      <c r="C15" s="3"/>
      <c r="D15" s="4"/>
      <c r="H15" s="4"/>
    </row>
    <row r="17" spans="1:8" ht="18.75" x14ac:dyDescent="0.3">
      <c r="A17" s="5"/>
      <c r="C17" s="3"/>
      <c r="D17" s="4"/>
      <c r="H17" s="4"/>
    </row>
    <row r="18" spans="1:8" ht="15.75" thickBot="1" x14ac:dyDescent="0.3">
      <c r="D18" s="7"/>
      <c r="H18" s="7"/>
    </row>
    <row r="20" spans="1:8" ht="18.75" x14ac:dyDescent="0.3">
      <c r="C20" t="s">
        <v>4</v>
      </c>
      <c r="D20" s="4">
        <f>D3-D14</f>
        <v>358000</v>
      </c>
      <c r="G20" t="s">
        <v>5</v>
      </c>
      <c r="H20" s="4">
        <f>H3-H14</f>
        <v>57159.663865546216</v>
      </c>
    </row>
    <row r="23" spans="1:8" ht="15.75" x14ac:dyDescent="0.25">
      <c r="A23" t="s">
        <v>6</v>
      </c>
      <c r="C23" s="8">
        <f>D20</f>
        <v>358000</v>
      </c>
      <c r="E23" t="s">
        <v>10</v>
      </c>
      <c r="H23" s="6">
        <f>C32</f>
        <v>296651.53613445378</v>
      </c>
    </row>
    <row r="25" spans="1:8" ht="15.75" x14ac:dyDescent="0.25">
      <c r="A25" t="s">
        <v>5</v>
      </c>
      <c r="B25" s="9" t="s">
        <v>7</v>
      </c>
      <c r="C25" s="8">
        <f>H20</f>
        <v>57159.663865546216</v>
      </c>
      <c r="E25" s="13" t="s">
        <v>11</v>
      </c>
      <c r="F25" s="9" t="s">
        <v>181</v>
      </c>
      <c r="G25" s="15" t="s">
        <v>17</v>
      </c>
      <c r="H25" s="3">
        <f>-(F26*0.0077)</f>
        <v>-6776</v>
      </c>
    </row>
    <row r="26" spans="1:8" x14ac:dyDescent="0.25">
      <c r="F26" s="21">
        <f>D3-H3</f>
        <v>880000</v>
      </c>
    </row>
    <row r="27" spans="1:8" ht="15.75" x14ac:dyDescent="0.25">
      <c r="A27" t="s">
        <v>8</v>
      </c>
      <c r="B27" s="9" t="s">
        <v>7</v>
      </c>
      <c r="C27" s="8">
        <f>D3*0.004</f>
        <v>4188.8</v>
      </c>
      <c r="F27" s="9" t="s">
        <v>13</v>
      </c>
      <c r="G27" s="16">
        <v>0.35</v>
      </c>
      <c r="H27" s="29">
        <f>-(F28*0.35)</f>
        <v>-103828.03764705882</v>
      </c>
    </row>
    <row r="28" spans="1:8" ht="15.75" thickBot="1" x14ac:dyDescent="0.3">
      <c r="F28" s="21">
        <f>H23</f>
        <v>296651.53613445378</v>
      </c>
      <c r="H28" s="7"/>
    </row>
    <row r="29" spans="1:8" x14ac:dyDescent="0.25">
      <c r="A29" t="s">
        <v>9</v>
      </c>
      <c r="B29" s="9" t="s">
        <v>7</v>
      </c>
      <c r="G29" s="13" t="s">
        <v>14</v>
      </c>
      <c r="H29" s="6">
        <f>H23+H25+H27</f>
        <v>186047.49848739494</v>
      </c>
    </row>
    <row r="30" spans="1:8" ht="15.75" thickBot="1" x14ac:dyDescent="0.3">
      <c r="A30" s="16"/>
      <c r="B30" s="14"/>
      <c r="C30" s="7"/>
    </row>
    <row r="31" spans="1:8" x14ac:dyDescent="0.25">
      <c r="E31" t="s">
        <v>151</v>
      </c>
      <c r="H31" s="20">
        <f>H29*0.5</f>
        <v>93023.749243697472</v>
      </c>
    </row>
    <row r="32" spans="1:8" ht="15.75" x14ac:dyDescent="0.25">
      <c r="A32" t="s">
        <v>10</v>
      </c>
      <c r="C32" s="10">
        <f>C23-C25-C27-C29</f>
        <v>296651.53613445378</v>
      </c>
      <c r="H32" s="18"/>
    </row>
    <row r="33" spans="8:8" x14ac:dyDescent="0.25">
      <c r="H33" s="3"/>
    </row>
    <row r="34" spans="8:8" x14ac:dyDescent="0.25">
      <c r="H34" s="18"/>
    </row>
  </sheetData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6E810-FF19-44AB-A10E-D3F014355263}">
  <dimension ref="A1:H34"/>
  <sheetViews>
    <sheetView topLeftCell="A13" workbookViewId="0">
      <selection sqref="A1:XFD1048576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697</v>
      </c>
    </row>
    <row r="3" spans="1:8" ht="21" x14ac:dyDescent="0.35">
      <c r="A3" s="2" t="s">
        <v>1</v>
      </c>
      <c r="D3" s="11">
        <v>359380</v>
      </c>
      <c r="F3" s="12" t="s">
        <v>3</v>
      </c>
      <c r="H3" s="4">
        <f>(D3/1.19)*0.19</f>
        <v>57380</v>
      </c>
    </row>
    <row r="4" spans="1:8" x14ac:dyDescent="0.25">
      <c r="A4" s="13" t="s">
        <v>32</v>
      </c>
      <c r="C4" s="26">
        <v>975</v>
      </c>
    </row>
    <row r="5" spans="1:8" ht="21" x14ac:dyDescent="0.35">
      <c r="A5" s="2" t="s">
        <v>2</v>
      </c>
    </row>
    <row r="7" spans="1:8" ht="18.75" x14ac:dyDescent="0.3">
      <c r="A7" s="5" t="s">
        <v>476</v>
      </c>
      <c r="D7" s="4">
        <v>216000</v>
      </c>
      <c r="E7" s="25"/>
      <c r="H7" s="4">
        <f t="shared" ref="H7:H12" si="0">(D7/1.19)*0.19</f>
        <v>34487.39495798319</v>
      </c>
    </row>
    <row r="8" spans="1:8" ht="18.75" x14ac:dyDescent="0.3">
      <c r="A8" s="5" t="s">
        <v>698</v>
      </c>
      <c r="C8" s="3"/>
      <c r="D8" s="32">
        <v>30000</v>
      </c>
      <c r="E8" s="25"/>
      <c r="H8" s="4">
        <v>0</v>
      </c>
    </row>
    <row r="9" spans="1:8" ht="18.75" x14ac:dyDescent="0.3">
      <c r="A9" s="5"/>
      <c r="C9" s="3"/>
      <c r="D9" s="28"/>
      <c r="E9" s="25"/>
      <c r="H9" s="4">
        <f t="shared" si="0"/>
        <v>0</v>
      </c>
    </row>
    <row r="10" spans="1:8" ht="18.75" x14ac:dyDescent="0.3">
      <c r="A10" s="5"/>
      <c r="C10" s="3"/>
      <c r="D10" s="28"/>
      <c r="E10" s="25"/>
      <c r="H10" s="4">
        <f t="shared" si="0"/>
        <v>0</v>
      </c>
    </row>
    <row r="11" spans="1:8" ht="18.75" x14ac:dyDescent="0.3">
      <c r="A11" s="5"/>
      <c r="C11" s="3"/>
      <c r="D11" s="28"/>
      <c r="E11" s="25"/>
      <c r="H11" s="4">
        <f t="shared" si="0"/>
        <v>0</v>
      </c>
    </row>
    <row r="12" spans="1:8" ht="18.75" x14ac:dyDescent="0.3">
      <c r="A12" s="5"/>
      <c r="C12" s="3"/>
      <c r="D12" s="28"/>
      <c r="E12" s="25"/>
      <c r="H12" s="4">
        <f t="shared" si="0"/>
        <v>0</v>
      </c>
    </row>
    <row r="13" spans="1:8" ht="19.5" thickBot="1" x14ac:dyDescent="0.35">
      <c r="A13" s="5"/>
      <c r="C13" s="3"/>
      <c r="D13" s="22"/>
      <c r="E13" s="25"/>
      <c r="H13" s="22">
        <v>0</v>
      </c>
    </row>
    <row r="14" spans="1:8" ht="18.75" customHeight="1" x14ac:dyDescent="0.3">
      <c r="D14" s="4">
        <f>SUM(D7:D13)</f>
        <v>246000</v>
      </c>
      <c r="H14" s="4">
        <f>SUM(H7:H13)</f>
        <v>34487.39495798319</v>
      </c>
    </row>
    <row r="15" spans="1:8" ht="18.75" x14ac:dyDescent="0.3">
      <c r="A15" s="5"/>
      <c r="C15" s="3"/>
      <c r="D15" s="4"/>
      <c r="H15" s="4"/>
    </row>
    <row r="17" spans="1:8" ht="18.75" x14ac:dyDescent="0.3">
      <c r="A17" s="5"/>
      <c r="C17" s="3"/>
      <c r="D17" s="4"/>
      <c r="H17" s="4"/>
    </row>
    <row r="18" spans="1:8" ht="15.75" thickBot="1" x14ac:dyDescent="0.3">
      <c r="D18" s="7"/>
      <c r="H18" s="7"/>
    </row>
    <row r="20" spans="1:8" ht="18.75" x14ac:dyDescent="0.3">
      <c r="C20" t="s">
        <v>4</v>
      </c>
      <c r="D20" s="4">
        <f>D3-D14</f>
        <v>113380</v>
      </c>
      <c r="G20" t="s">
        <v>5</v>
      </c>
      <c r="H20" s="4">
        <f>H3-H14</f>
        <v>22892.60504201681</v>
      </c>
    </row>
    <row r="23" spans="1:8" ht="15.75" x14ac:dyDescent="0.25">
      <c r="A23" t="s">
        <v>6</v>
      </c>
      <c r="C23" s="8">
        <f>D20</f>
        <v>113380</v>
      </c>
      <c r="E23" t="s">
        <v>10</v>
      </c>
      <c r="H23" s="6">
        <f>C32</f>
        <v>89049.874957983193</v>
      </c>
    </row>
    <row r="25" spans="1:8" ht="15.75" x14ac:dyDescent="0.25">
      <c r="A25" t="s">
        <v>5</v>
      </c>
      <c r="B25" s="9" t="s">
        <v>7</v>
      </c>
      <c r="C25" s="8">
        <f>H20</f>
        <v>22892.60504201681</v>
      </c>
      <c r="E25" s="13" t="s">
        <v>11</v>
      </c>
      <c r="F25" s="9" t="s">
        <v>181</v>
      </c>
      <c r="G25" s="15" t="s">
        <v>17</v>
      </c>
      <c r="H25" s="3">
        <f>-(F26*0.0077)</f>
        <v>-2325.4</v>
      </c>
    </row>
    <row r="26" spans="1:8" x14ac:dyDescent="0.25">
      <c r="F26" s="21">
        <f>D3-H3</f>
        <v>302000</v>
      </c>
    </row>
    <row r="27" spans="1:8" ht="15.75" x14ac:dyDescent="0.25">
      <c r="A27" t="s">
        <v>8</v>
      </c>
      <c r="B27" s="9" t="s">
        <v>7</v>
      </c>
      <c r="C27" s="8">
        <f>D3*0.004</f>
        <v>1437.52</v>
      </c>
      <c r="F27" s="9" t="s">
        <v>13</v>
      </c>
      <c r="G27" s="16">
        <v>0.35</v>
      </c>
      <c r="H27" s="29">
        <f>-(F28*0.35)</f>
        <v>-31167.456235294114</v>
      </c>
    </row>
    <row r="28" spans="1:8" ht="15.75" thickBot="1" x14ac:dyDescent="0.3">
      <c r="F28" s="21">
        <f>H23</f>
        <v>89049.874957983193</v>
      </c>
      <c r="H28" s="7"/>
    </row>
    <row r="29" spans="1:8" x14ac:dyDescent="0.25">
      <c r="A29" t="s">
        <v>9</v>
      </c>
      <c r="B29" s="9" t="s">
        <v>7</v>
      </c>
      <c r="G29" s="13" t="s">
        <v>14</v>
      </c>
      <c r="H29" s="6">
        <f>H23+H25+H27</f>
        <v>55557.018722689085</v>
      </c>
    </row>
    <row r="30" spans="1:8" ht="15.75" thickBot="1" x14ac:dyDescent="0.3">
      <c r="A30" s="16"/>
      <c r="B30" s="14"/>
      <c r="C30" s="7"/>
    </row>
    <row r="31" spans="1:8" x14ac:dyDescent="0.25">
      <c r="E31" t="s">
        <v>151</v>
      </c>
      <c r="H31" s="20">
        <f>H29*0.5</f>
        <v>27778.509361344542</v>
      </c>
    </row>
    <row r="32" spans="1:8" ht="15.75" x14ac:dyDescent="0.25">
      <c r="A32" t="s">
        <v>10</v>
      </c>
      <c r="C32" s="10">
        <f>C23-C25-C27-C29</f>
        <v>89049.874957983193</v>
      </c>
      <c r="H32" s="18"/>
    </row>
    <row r="33" spans="8:8" x14ac:dyDescent="0.25">
      <c r="H33" s="3"/>
    </row>
    <row r="34" spans="8:8" x14ac:dyDescent="0.25">
      <c r="H34" s="18"/>
    </row>
  </sheetData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B5099-BC73-40ED-A10D-1AF9809DFAEA}">
  <dimension ref="A1:H34"/>
  <sheetViews>
    <sheetView topLeftCell="A10" workbookViewId="0">
      <selection sqref="A1:XFD1048576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701</v>
      </c>
    </row>
    <row r="3" spans="1:8" ht="21" x14ac:dyDescent="0.35">
      <c r="A3" s="2" t="s">
        <v>1</v>
      </c>
      <c r="D3" s="11">
        <v>756007</v>
      </c>
      <c r="F3" s="12" t="s">
        <v>3</v>
      </c>
      <c r="H3" s="4">
        <f>(D3/1.19)*0.19</f>
        <v>120707</v>
      </c>
    </row>
    <row r="4" spans="1:8" x14ac:dyDescent="0.25">
      <c r="A4" s="13" t="s">
        <v>32</v>
      </c>
      <c r="C4" s="26">
        <v>976</v>
      </c>
    </row>
    <row r="5" spans="1:8" ht="21" x14ac:dyDescent="0.35">
      <c r="A5" s="2" t="s">
        <v>2</v>
      </c>
    </row>
    <row r="7" spans="1:8" ht="18.75" x14ac:dyDescent="0.3">
      <c r="A7" s="5" t="s">
        <v>221</v>
      </c>
      <c r="D7" s="4">
        <v>625056</v>
      </c>
      <c r="E7" s="25"/>
      <c r="H7" s="4">
        <f t="shared" ref="H7:H12" si="0">(D7/1.19)*0.19</f>
        <v>99798.857142857145</v>
      </c>
    </row>
    <row r="8" spans="1:8" ht="18.75" x14ac:dyDescent="0.3">
      <c r="A8" s="5"/>
      <c r="C8" s="3"/>
      <c r="D8" s="32"/>
      <c r="E8" s="25"/>
      <c r="H8" s="4">
        <v>0</v>
      </c>
    </row>
    <row r="9" spans="1:8" ht="18.75" x14ac:dyDescent="0.3">
      <c r="A9" s="5"/>
      <c r="C9" s="3"/>
      <c r="D9" s="28"/>
      <c r="E9" s="25"/>
      <c r="H9" s="4">
        <f t="shared" si="0"/>
        <v>0</v>
      </c>
    </row>
    <row r="10" spans="1:8" ht="18.75" x14ac:dyDescent="0.3">
      <c r="A10" s="5"/>
      <c r="C10" s="3"/>
      <c r="D10" s="28"/>
      <c r="E10" s="25"/>
      <c r="H10" s="4">
        <f t="shared" si="0"/>
        <v>0</v>
      </c>
    </row>
    <row r="11" spans="1:8" ht="18.75" x14ac:dyDescent="0.3">
      <c r="A11" s="5"/>
      <c r="C11" s="3"/>
      <c r="D11" s="28"/>
      <c r="E11" s="25"/>
      <c r="H11" s="4">
        <f t="shared" si="0"/>
        <v>0</v>
      </c>
    </row>
    <row r="12" spans="1:8" ht="18.75" x14ac:dyDescent="0.3">
      <c r="A12" s="5"/>
      <c r="C12" s="3"/>
      <c r="D12" s="28"/>
      <c r="E12" s="25"/>
      <c r="H12" s="4">
        <f t="shared" si="0"/>
        <v>0</v>
      </c>
    </row>
    <row r="13" spans="1:8" ht="19.5" thickBot="1" x14ac:dyDescent="0.35">
      <c r="A13" s="5"/>
      <c r="C13" s="3"/>
      <c r="D13" s="22"/>
      <c r="E13" s="25"/>
      <c r="H13" s="22">
        <v>0</v>
      </c>
    </row>
    <row r="14" spans="1:8" ht="18.75" customHeight="1" x14ac:dyDescent="0.3">
      <c r="D14" s="4">
        <f>SUM(D7:D13)</f>
        <v>625056</v>
      </c>
      <c r="H14" s="4">
        <f>SUM(H7:H13)</f>
        <v>99798.857142857145</v>
      </c>
    </row>
    <row r="15" spans="1:8" ht="18.75" x14ac:dyDescent="0.3">
      <c r="A15" s="5"/>
      <c r="C15" s="3"/>
      <c r="D15" s="4"/>
      <c r="H15" s="4"/>
    </row>
    <row r="17" spans="1:8" ht="18.75" x14ac:dyDescent="0.3">
      <c r="A17" s="5"/>
      <c r="C17" s="3"/>
      <c r="D17" s="4"/>
      <c r="H17" s="4"/>
    </row>
    <row r="18" spans="1:8" ht="15.75" thickBot="1" x14ac:dyDescent="0.3">
      <c r="D18" s="7"/>
      <c r="H18" s="7"/>
    </row>
    <row r="20" spans="1:8" ht="18.75" x14ac:dyDescent="0.3">
      <c r="C20" t="s">
        <v>4</v>
      </c>
      <c r="D20" s="4">
        <f>D3-D14</f>
        <v>130951</v>
      </c>
      <c r="G20" t="s">
        <v>5</v>
      </c>
      <c r="H20" s="4">
        <f>H3-H14</f>
        <v>20908.142857142855</v>
      </c>
    </row>
    <row r="23" spans="1:8" ht="15.75" x14ac:dyDescent="0.25">
      <c r="A23" t="s">
        <v>6</v>
      </c>
      <c r="C23" s="8">
        <f>D20</f>
        <v>130951</v>
      </c>
      <c r="E23" t="s">
        <v>10</v>
      </c>
      <c r="H23" s="6">
        <f>C32</f>
        <v>75253.829142857139</v>
      </c>
    </row>
    <row r="25" spans="1:8" ht="15.75" x14ac:dyDescent="0.25">
      <c r="A25" t="s">
        <v>5</v>
      </c>
      <c r="B25" s="9" t="s">
        <v>7</v>
      </c>
      <c r="C25" s="8">
        <f>H20</f>
        <v>20908.142857142855</v>
      </c>
      <c r="E25" s="13" t="s">
        <v>11</v>
      </c>
      <c r="F25" s="9" t="s">
        <v>181</v>
      </c>
      <c r="G25" s="15" t="s">
        <v>17</v>
      </c>
      <c r="H25" s="3">
        <f>-(F26*0.0077)</f>
        <v>-4891.8100000000004</v>
      </c>
    </row>
    <row r="26" spans="1:8" x14ac:dyDescent="0.25">
      <c r="F26" s="21">
        <f>D3-H3</f>
        <v>635300</v>
      </c>
    </row>
    <row r="27" spans="1:8" ht="15.75" x14ac:dyDescent="0.25">
      <c r="A27" t="s">
        <v>8</v>
      </c>
      <c r="B27" s="9" t="s">
        <v>7</v>
      </c>
      <c r="C27" s="8">
        <f>D3*0.004</f>
        <v>3024.0280000000002</v>
      </c>
      <c r="F27" s="9" t="s">
        <v>13</v>
      </c>
      <c r="G27" s="16">
        <v>0.35</v>
      </c>
      <c r="H27" s="29">
        <f>-(F28*0.35)</f>
        <v>-26338.840199999999</v>
      </c>
    </row>
    <row r="28" spans="1:8" ht="15.75" thickBot="1" x14ac:dyDescent="0.3">
      <c r="F28" s="21">
        <f>H23</f>
        <v>75253.829142857139</v>
      </c>
      <c r="H28" s="7"/>
    </row>
    <row r="29" spans="1:8" x14ac:dyDescent="0.25">
      <c r="A29" t="s">
        <v>9</v>
      </c>
      <c r="B29" s="9" t="s">
        <v>7</v>
      </c>
      <c r="C29" s="6">
        <f>F26*0.05</f>
        <v>31765</v>
      </c>
      <c r="G29" s="13" t="s">
        <v>14</v>
      </c>
      <c r="H29" s="6">
        <f>H23+H25+H27</f>
        <v>44023.178942857143</v>
      </c>
    </row>
    <row r="30" spans="1:8" ht="15.75" thickBot="1" x14ac:dyDescent="0.3">
      <c r="A30" s="16" t="s">
        <v>702</v>
      </c>
      <c r="B30" s="16">
        <v>0.05</v>
      </c>
      <c r="C30" s="7"/>
    </row>
    <row r="31" spans="1:8" x14ac:dyDescent="0.25">
      <c r="E31" t="s">
        <v>151</v>
      </c>
      <c r="H31" s="20">
        <f>H29*0.5</f>
        <v>22011.589471428571</v>
      </c>
    </row>
    <row r="32" spans="1:8" ht="15.75" x14ac:dyDescent="0.25">
      <c r="A32" t="s">
        <v>10</v>
      </c>
      <c r="C32" s="10">
        <f>C23-C25-C27-C29</f>
        <v>75253.829142857139</v>
      </c>
      <c r="H32" s="18"/>
    </row>
    <row r="33" spans="8:8" x14ac:dyDescent="0.25">
      <c r="H33" s="3"/>
    </row>
    <row r="34" spans="8:8" x14ac:dyDescent="0.25">
      <c r="H34" s="18"/>
    </row>
  </sheetData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4AF62-3A8C-47B7-B1E2-E1F227C322A2}">
  <dimension ref="A1:H34"/>
  <sheetViews>
    <sheetView topLeftCell="A10" workbookViewId="0">
      <selection activeCell="C29" sqref="C29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703</v>
      </c>
    </row>
    <row r="3" spans="1:8" ht="21" x14ac:dyDescent="0.35">
      <c r="A3" s="2" t="s">
        <v>1</v>
      </c>
      <c r="D3" s="11">
        <v>416500</v>
      </c>
      <c r="F3" s="12" t="s">
        <v>3</v>
      </c>
      <c r="H3" s="4">
        <f>(D3/1.19)*0.19</f>
        <v>66500</v>
      </c>
    </row>
    <row r="4" spans="1:8" x14ac:dyDescent="0.25">
      <c r="A4" s="13" t="s">
        <v>32</v>
      </c>
      <c r="C4" s="26">
        <v>982</v>
      </c>
    </row>
    <row r="5" spans="1:8" ht="21" x14ac:dyDescent="0.35">
      <c r="A5" s="2" t="s">
        <v>2</v>
      </c>
    </row>
    <row r="7" spans="1:8" ht="18.75" x14ac:dyDescent="0.3">
      <c r="A7" s="5" t="s">
        <v>221</v>
      </c>
      <c r="D7" s="4">
        <v>316500</v>
      </c>
      <c r="E7" s="25"/>
      <c r="H7" s="4">
        <f t="shared" ref="H7:H12" si="0">(D7/1.19)*0.19</f>
        <v>50533.613445378156</v>
      </c>
    </row>
    <row r="8" spans="1:8" ht="18.75" x14ac:dyDescent="0.3">
      <c r="A8" s="5"/>
      <c r="C8" s="3"/>
      <c r="D8" s="32"/>
      <c r="E8" s="25"/>
      <c r="H8" s="4">
        <v>0</v>
      </c>
    </row>
    <row r="9" spans="1:8" ht="18.75" x14ac:dyDescent="0.3">
      <c r="A9" s="5"/>
      <c r="C9" s="3"/>
      <c r="D9" s="28"/>
      <c r="E9" s="25"/>
      <c r="H9" s="4">
        <f t="shared" si="0"/>
        <v>0</v>
      </c>
    </row>
    <row r="10" spans="1:8" ht="18.75" x14ac:dyDescent="0.3">
      <c r="A10" s="5"/>
      <c r="C10" s="3"/>
      <c r="D10" s="28"/>
      <c r="E10" s="25"/>
      <c r="H10" s="4">
        <f t="shared" si="0"/>
        <v>0</v>
      </c>
    </row>
    <row r="11" spans="1:8" ht="18.75" x14ac:dyDescent="0.3">
      <c r="A11" s="5"/>
      <c r="C11" s="3"/>
      <c r="D11" s="28"/>
      <c r="E11" s="25"/>
      <c r="H11" s="4">
        <f t="shared" si="0"/>
        <v>0</v>
      </c>
    </row>
    <row r="12" spans="1:8" ht="18.75" x14ac:dyDescent="0.3">
      <c r="A12" s="5"/>
      <c r="C12" s="3"/>
      <c r="D12" s="28"/>
      <c r="E12" s="25"/>
      <c r="H12" s="4">
        <f t="shared" si="0"/>
        <v>0</v>
      </c>
    </row>
    <row r="13" spans="1:8" ht="19.5" thickBot="1" x14ac:dyDescent="0.35">
      <c r="A13" s="5"/>
      <c r="C13" s="3"/>
      <c r="D13" s="22"/>
      <c r="E13" s="25"/>
      <c r="H13" s="22">
        <v>0</v>
      </c>
    </row>
    <row r="14" spans="1:8" ht="18.75" customHeight="1" x14ac:dyDescent="0.3">
      <c r="D14" s="4">
        <f>SUM(D7:D13)</f>
        <v>316500</v>
      </c>
      <c r="H14" s="4">
        <f>SUM(H7:H13)</f>
        <v>50533.613445378156</v>
      </c>
    </row>
    <row r="15" spans="1:8" ht="18.75" x14ac:dyDescent="0.3">
      <c r="A15" s="5"/>
      <c r="C15" s="3"/>
      <c r="D15" s="4"/>
      <c r="H15" s="4"/>
    </row>
    <row r="17" spans="1:8" ht="18.75" x14ac:dyDescent="0.3">
      <c r="A17" s="5"/>
      <c r="C17" s="3"/>
      <c r="D17" s="4"/>
      <c r="H17" s="4"/>
    </row>
    <row r="18" spans="1:8" ht="15.75" thickBot="1" x14ac:dyDescent="0.3">
      <c r="D18" s="7"/>
      <c r="H18" s="7"/>
    </row>
    <row r="20" spans="1:8" ht="18.75" x14ac:dyDescent="0.3">
      <c r="C20" t="s">
        <v>4</v>
      </c>
      <c r="D20" s="4">
        <f>D3-D14</f>
        <v>100000</v>
      </c>
      <c r="G20" t="s">
        <v>5</v>
      </c>
      <c r="H20" s="4">
        <f>H3-H14</f>
        <v>15966.386554621844</v>
      </c>
    </row>
    <row r="23" spans="1:8" ht="15.75" x14ac:dyDescent="0.25">
      <c r="A23" t="s">
        <v>6</v>
      </c>
      <c r="C23" s="8">
        <f>D20</f>
        <v>100000</v>
      </c>
      <c r="E23" t="s">
        <v>10</v>
      </c>
      <c r="H23" s="6">
        <f>C32</f>
        <v>82367.613445378156</v>
      </c>
    </row>
    <row r="25" spans="1:8" ht="15.75" x14ac:dyDescent="0.25">
      <c r="A25" t="s">
        <v>5</v>
      </c>
      <c r="B25" s="9" t="s">
        <v>7</v>
      </c>
      <c r="C25" s="8">
        <f>H20</f>
        <v>15966.386554621844</v>
      </c>
      <c r="E25" s="13" t="s">
        <v>11</v>
      </c>
      <c r="F25" s="9" t="s">
        <v>181</v>
      </c>
      <c r="G25" s="15" t="s">
        <v>17</v>
      </c>
      <c r="H25" s="3">
        <f>-(F26*0.0077)</f>
        <v>-2695</v>
      </c>
    </row>
    <row r="26" spans="1:8" x14ac:dyDescent="0.25">
      <c r="F26" s="21">
        <f>D3-H3</f>
        <v>350000</v>
      </c>
    </row>
    <row r="27" spans="1:8" ht="15.75" x14ac:dyDescent="0.25">
      <c r="A27" t="s">
        <v>8</v>
      </c>
      <c r="B27" s="9" t="s">
        <v>7</v>
      </c>
      <c r="C27" s="8">
        <f>D3*0.004</f>
        <v>1666</v>
      </c>
      <c r="F27" s="9" t="s">
        <v>13</v>
      </c>
      <c r="G27" s="16">
        <v>0.35</v>
      </c>
      <c r="H27" s="29">
        <f>-(F28*0.35)</f>
        <v>-28828.664705882351</v>
      </c>
    </row>
    <row r="28" spans="1:8" ht="15.75" thickBot="1" x14ac:dyDescent="0.3">
      <c r="F28" s="21">
        <f>H23</f>
        <v>82367.613445378156</v>
      </c>
      <c r="H28" s="7"/>
    </row>
    <row r="29" spans="1:8" x14ac:dyDescent="0.25">
      <c r="A29" t="s">
        <v>9</v>
      </c>
      <c r="B29" s="9" t="s">
        <v>7</v>
      </c>
      <c r="C29" s="6"/>
      <c r="G29" s="13" t="s">
        <v>14</v>
      </c>
      <c r="H29" s="6">
        <f>H23+H25+H27</f>
        <v>50843.948739495805</v>
      </c>
    </row>
    <row r="30" spans="1:8" ht="15.75" thickBot="1" x14ac:dyDescent="0.3">
      <c r="A30" s="16"/>
      <c r="B30" s="16"/>
      <c r="C30" s="7"/>
    </row>
    <row r="31" spans="1:8" x14ac:dyDescent="0.25">
      <c r="E31" t="s">
        <v>151</v>
      </c>
      <c r="H31" s="20">
        <f>H29*0.5</f>
        <v>25421.974369747903</v>
      </c>
    </row>
    <row r="32" spans="1:8" ht="15.75" x14ac:dyDescent="0.25">
      <c r="A32" t="s">
        <v>10</v>
      </c>
      <c r="C32" s="10">
        <f>C23-C25-C27-C29</f>
        <v>82367.613445378156</v>
      </c>
      <c r="H32" s="18"/>
    </row>
    <row r="33" spans="8:8" x14ac:dyDescent="0.25">
      <c r="H33" s="3"/>
    </row>
    <row r="34" spans="8:8" x14ac:dyDescent="0.25">
      <c r="H34" s="18"/>
    </row>
  </sheetData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7B883-AE57-4E26-9BA2-9786A1CBACFE}">
  <dimension ref="A1:H34"/>
  <sheetViews>
    <sheetView topLeftCell="A13" workbookViewId="0">
      <selection activeCell="C29" sqref="C29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703</v>
      </c>
    </row>
    <row r="3" spans="1:8" ht="21" x14ac:dyDescent="0.35">
      <c r="A3" s="2" t="s">
        <v>1</v>
      </c>
      <c r="D3" s="11">
        <v>38675</v>
      </c>
      <c r="F3" s="12" t="s">
        <v>3</v>
      </c>
      <c r="H3" s="4">
        <f>(D3/1.19)*0.19</f>
        <v>6175</v>
      </c>
    </row>
    <row r="4" spans="1:8" x14ac:dyDescent="0.25">
      <c r="A4" s="13" t="s">
        <v>32</v>
      </c>
      <c r="C4" s="26">
        <v>984</v>
      </c>
    </row>
    <row r="5" spans="1:8" ht="21" x14ac:dyDescent="0.35">
      <c r="A5" s="2" t="s">
        <v>2</v>
      </c>
    </row>
    <row r="7" spans="1:8" ht="18.75" x14ac:dyDescent="0.3">
      <c r="A7" s="5" t="s">
        <v>221</v>
      </c>
      <c r="D7" s="4">
        <v>27300</v>
      </c>
      <c r="E7" s="25"/>
      <c r="H7" s="4">
        <f t="shared" ref="H7:H12" si="0">(D7/1.19)*0.19</f>
        <v>4358.8235294117649</v>
      </c>
    </row>
    <row r="8" spans="1:8" ht="18.75" x14ac:dyDescent="0.3">
      <c r="A8" s="5"/>
      <c r="C8" s="3"/>
      <c r="D8" s="32"/>
      <c r="E8" s="25"/>
      <c r="H8" s="4">
        <v>0</v>
      </c>
    </row>
    <row r="9" spans="1:8" ht="18.75" x14ac:dyDescent="0.3">
      <c r="A9" s="5"/>
      <c r="C9" s="3"/>
      <c r="D9" s="28"/>
      <c r="E9" s="25"/>
      <c r="H9" s="4">
        <f t="shared" si="0"/>
        <v>0</v>
      </c>
    </row>
    <row r="10" spans="1:8" ht="18.75" x14ac:dyDescent="0.3">
      <c r="A10" s="5"/>
      <c r="C10" s="3"/>
      <c r="D10" s="28"/>
      <c r="E10" s="25"/>
      <c r="H10" s="4">
        <f t="shared" si="0"/>
        <v>0</v>
      </c>
    </row>
    <row r="11" spans="1:8" ht="18.75" x14ac:dyDescent="0.3">
      <c r="A11" s="5"/>
      <c r="C11" s="3"/>
      <c r="D11" s="28"/>
      <c r="E11" s="25"/>
      <c r="H11" s="4">
        <f t="shared" si="0"/>
        <v>0</v>
      </c>
    </row>
    <row r="12" spans="1:8" ht="18.75" x14ac:dyDescent="0.3">
      <c r="A12" s="5"/>
      <c r="C12" s="3"/>
      <c r="D12" s="28"/>
      <c r="E12" s="25"/>
      <c r="H12" s="4">
        <f t="shared" si="0"/>
        <v>0</v>
      </c>
    </row>
    <row r="13" spans="1:8" ht="19.5" thickBot="1" x14ac:dyDescent="0.35">
      <c r="A13" s="5"/>
      <c r="C13" s="3"/>
      <c r="D13" s="22"/>
      <c r="E13" s="25"/>
      <c r="H13" s="22">
        <v>0</v>
      </c>
    </row>
    <row r="14" spans="1:8" ht="18.75" customHeight="1" x14ac:dyDescent="0.3">
      <c r="D14" s="4">
        <f>SUM(D7:D13)</f>
        <v>27300</v>
      </c>
      <c r="H14" s="4">
        <f>SUM(H7:H13)</f>
        <v>4358.8235294117649</v>
      </c>
    </row>
    <row r="15" spans="1:8" ht="18.75" x14ac:dyDescent="0.3">
      <c r="A15" s="5"/>
      <c r="C15" s="3"/>
      <c r="D15" s="4"/>
      <c r="H15" s="4"/>
    </row>
    <row r="17" spans="1:8" ht="18.75" x14ac:dyDescent="0.3">
      <c r="A17" s="5"/>
      <c r="C17" s="3"/>
      <c r="D17" s="4"/>
      <c r="H17" s="4"/>
    </row>
    <row r="18" spans="1:8" ht="15.75" thickBot="1" x14ac:dyDescent="0.3">
      <c r="D18" s="7"/>
      <c r="H18" s="7"/>
    </row>
    <row r="20" spans="1:8" ht="18.75" x14ac:dyDescent="0.3">
      <c r="C20" t="s">
        <v>4</v>
      </c>
      <c r="D20" s="4">
        <f>D3-D14</f>
        <v>11375</v>
      </c>
      <c r="G20" t="s">
        <v>5</v>
      </c>
      <c r="H20" s="4">
        <f>H3-H14</f>
        <v>1816.1764705882351</v>
      </c>
    </row>
    <row r="23" spans="1:8" ht="15.75" x14ac:dyDescent="0.25">
      <c r="A23" t="s">
        <v>6</v>
      </c>
      <c r="C23" s="8">
        <f>D20</f>
        <v>11375</v>
      </c>
      <c r="E23" t="s">
        <v>10</v>
      </c>
      <c r="H23" s="6">
        <f>C32</f>
        <v>9404.123529411765</v>
      </c>
    </row>
    <row r="25" spans="1:8" ht="15.75" x14ac:dyDescent="0.25">
      <c r="A25" t="s">
        <v>5</v>
      </c>
      <c r="B25" s="9" t="s">
        <v>7</v>
      </c>
      <c r="C25" s="8">
        <f>H20</f>
        <v>1816.1764705882351</v>
      </c>
      <c r="E25" s="13" t="s">
        <v>11</v>
      </c>
      <c r="F25" s="9" t="s">
        <v>181</v>
      </c>
      <c r="G25" s="15" t="s">
        <v>17</v>
      </c>
      <c r="H25" s="3">
        <f>-(F26*0.0077)</f>
        <v>-250.25</v>
      </c>
    </row>
    <row r="26" spans="1:8" x14ac:dyDescent="0.25">
      <c r="F26" s="21">
        <f>D3-H3</f>
        <v>32500</v>
      </c>
    </row>
    <row r="27" spans="1:8" ht="15.75" x14ac:dyDescent="0.25">
      <c r="A27" t="s">
        <v>8</v>
      </c>
      <c r="B27" s="9" t="s">
        <v>7</v>
      </c>
      <c r="C27" s="8">
        <f>D3*0.004</f>
        <v>154.70000000000002</v>
      </c>
      <c r="F27" s="9" t="s">
        <v>13</v>
      </c>
      <c r="G27" s="16">
        <v>0.35</v>
      </c>
      <c r="H27" s="29">
        <f>-(F28*0.35)</f>
        <v>-3291.4432352941176</v>
      </c>
    </row>
    <row r="28" spans="1:8" ht="15.75" thickBot="1" x14ac:dyDescent="0.3">
      <c r="F28" s="21">
        <f>H23</f>
        <v>9404.123529411765</v>
      </c>
      <c r="H28" s="7"/>
    </row>
    <row r="29" spans="1:8" x14ac:dyDescent="0.25">
      <c r="A29" t="s">
        <v>9</v>
      </c>
      <c r="B29" s="9" t="s">
        <v>7</v>
      </c>
      <c r="C29" s="6"/>
      <c r="G29" s="13" t="s">
        <v>14</v>
      </c>
      <c r="H29" s="6">
        <f>H23+H25+H27</f>
        <v>5862.4302941176475</v>
      </c>
    </row>
    <row r="30" spans="1:8" ht="15.75" thickBot="1" x14ac:dyDescent="0.3">
      <c r="A30" s="16"/>
      <c r="B30" s="16"/>
      <c r="C30" s="7"/>
    </row>
    <row r="31" spans="1:8" x14ac:dyDescent="0.25">
      <c r="E31" t="s">
        <v>151</v>
      </c>
      <c r="H31" s="20">
        <f>H29*0.5</f>
        <v>2931.2151470588237</v>
      </c>
    </row>
    <row r="32" spans="1:8" ht="15.75" x14ac:dyDescent="0.25">
      <c r="A32" t="s">
        <v>10</v>
      </c>
      <c r="C32" s="10">
        <f>C23-C25-C27-C29</f>
        <v>9404.123529411765</v>
      </c>
      <c r="H32" s="18"/>
    </row>
    <row r="33" spans="8:8" x14ac:dyDescent="0.25">
      <c r="H33" s="3"/>
    </row>
    <row r="34" spans="8:8" x14ac:dyDescent="0.25">
      <c r="H34" s="18"/>
    </row>
  </sheetData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022D3-2206-4E5B-928B-6E204AEBEBA8}">
  <dimension ref="A1:H34"/>
  <sheetViews>
    <sheetView topLeftCell="A13" workbookViewId="0">
      <selection activeCell="N30" sqref="N30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704</v>
      </c>
    </row>
    <row r="3" spans="1:8" ht="21" x14ac:dyDescent="0.35">
      <c r="A3" s="2" t="s">
        <v>1</v>
      </c>
      <c r="D3" s="11">
        <v>32500</v>
      </c>
      <c r="F3" s="12" t="s">
        <v>3</v>
      </c>
      <c r="H3" s="4">
        <f>(D3/1.19)*0.19</f>
        <v>5189.0756302521013</v>
      </c>
    </row>
    <row r="4" spans="1:8" x14ac:dyDescent="0.25">
      <c r="A4" s="13" t="s">
        <v>32</v>
      </c>
      <c r="C4" s="26">
        <v>987</v>
      </c>
    </row>
    <row r="5" spans="1:8" ht="21" x14ac:dyDescent="0.35">
      <c r="A5" s="2" t="s">
        <v>2</v>
      </c>
    </row>
    <row r="7" spans="1:8" ht="18.75" x14ac:dyDescent="0.3">
      <c r="A7" s="5" t="s">
        <v>498</v>
      </c>
      <c r="D7" s="4">
        <v>22920</v>
      </c>
      <c r="E7" s="25"/>
      <c r="H7" s="4">
        <f t="shared" ref="H7:H12" si="0">(D7/1.19)*0.19</f>
        <v>3659.4957983193281</v>
      </c>
    </row>
    <row r="8" spans="1:8" ht="18.75" x14ac:dyDescent="0.3">
      <c r="A8" s="5"/>
      <c r="C8" s="3"/>
      <c r="D8" s="32"/>
      <c r="E8" s="25"/>
      <c r="H8" s="4">
        <v>0</v>
      </c>
    </row>
    <row r="9" spans="1:8" ht="18.75" x14ac:dyDescent="0.3">
      <c r="A9" s="5"/>
      <c r="C9" s="3"/>
      <c r="D9" s="28"/>
      <c r="E9" s="25"/>
      <c r="H9" s="4">
        <f t="shared" si="0"/>
        <v>0</v>
      </c>
    </row>
    <row r="10" spans="1:8" ht="18.75" x14ac:dyDescent="0.3">
      <c r="A10" s="5"/>
      <c r="C10" s="3"/>
      <c r="D10" s="28"/>
      <c r="E10" s="25"/>
      <c r="H10" s="4">
        <f t="shared" si="0"/>
        <v>0</v>
      </c>
    </row>
    <row r="11" spans="1:8" ht="18.75" x14ac:dyDescent="0.3">
      <c r="A11" s="5"/>
      <c r="C11" s="3"/>
      <c r="D11" s="28"/>
      <c r="E11" s="25"/>
      <c r="H11" s="4">
        <f t="shared" si="0"/>
        <v>0</v>
      </c>
    </row>
    <row r="12" spans="1:8" ht="18.75" x14ac:dyDescent="0.3">
      <c r="A12" s="5"/>
      <c r="C12" s="3"/>
      <c r="D12" s="28"/>
      <c r="E12" s="25"/>
      <c r="H12" s="4">
        <f t="shared" si="0"/>
        <v>0</v>
      </c>
    </row>
    <row r="13" spans="1:8" ht="19.5" thickBot="1" x14ac:dyDescent="0.35">
      <c r="A13" s="5"/>
      <c r="C13" s="3"/>
      <c r="D13" s="22"/>
      <c r="E13" s="25"/>
      <c r="H13" s="22">
        <v>0</v>
      </c>
    </row>
    <row r="14" spans="1:8" ht="18.75" customHeight="1" x14ac:dyDescent="0.3">
      <c r="D14" s="4">
        <f>SUM(D7:D13)</f>
        <v>22920</v>
      </c>
      <c r="H14" s="4">
        <f>SUM(H7:H13)</f>
        <v>3659.4957983193281</v>
      </c>
    </row>
    <row r="15" spans="1:8" ht="18.75" x14ac:dyDescent="0.3">
      <c r="A15" s="5"/>
      <c r="C15" s="3"/>
      <c r="D15" s="4"/>
      <c r="H15" s="4"/>
    </row>
    <row r="17" spans="1:8" ht="18.75" x14ac:dyDescent="0.3">
      <c r="A17" s="5"/>
      <c r="C17" s="3"/>
      <c r="D17" s="4"/>
      <c r="H17" s="4"/>
    </row>
    <row r="18" spans="1:8" ht="15.75" thickBot="1" x14ac:dyDescent="0.3">
      <c r="D18" s="7"/>
      <c r="H18" s="7"/>
    </row>
    <row r="20" spans="1:8" ht="18.75" x14ac:dyDescent="0.3">
      <c r="C20" t="s">
        <v>4</v>
      </c>
      <c r="D20" s="4">
        <f>D3-D14</f>
        <v>9580</v>
      </c>
      <c r="G20" t="s">
        <v>5</v>
      </c>
      <c r="H20" s="4">
        <f>H3-H14</f>
        <v>1529.5798319327732</v>
      </c>
    </row>
    <row r="23" spans="1:8" ht="15.75" x14ac:dyDescent="0.25">
      <c r="A23" t="s">
        <v>6</v>
      </c>
      <c r="C23" s="8">
        <f>D20</f>
        <v>9580</v>
      </c>
      <c r="E23" t="s">
        <v>10</v>
      </c>
      <c r="H23" s="6">
        <f>C32</f>
        <v>7920.4201680672268</v>
      </c>
    </row>
    <row r="25" spans="1:8" ht="15.75" x14ac:dyDescent="0.25">
      <c r="A25" t="s">
        <v>5</v>
      </c>
      <c r="B25" s="9" t="s">
        <v>7</v>
      </c>
      <c r="C25" s="8">
        <f>H20</f>
        <v>1529.5798319327732</v>
      </c>
      <c r="E25" s="13" t="s">
        <v>11</v>
      </c>
      <c r="F25" s="9" t="s">
        <v>181</v>
      </c>
      <c r="G25" s="15" t="s">
        <v>17</v>
      </c>
      <c r="H25" s="3">
        <f>-(F26*0.0077)</f>
        <v>-210.29411764705884</v>
      </c>
    </row>
    <row r="26" spans="1:8" x14ac:dyDescent="0.25">
      <c r="F26" s="21">
        <f>D3-H3</f>
        <v>27310.9243697479</v>
      </c>
    </row>
    <row r="27" spans="1:8" ht="15.75" x14ac:dyDescent="0.25">
      <c r="A27" t="s">
        <v>8</v>
      </c>
      <c r="B27" s="9" t="s">
        <v>7</v>
      </c>
      <c r="C27" s="8">
        <f>D3*0.004</f>
        <v>130</v>
      </c>
      <c r="F27" s="9" t="s">
        <v>13</v>
      </c>
      <c r="G27" s="16">
        <v>0.35</v>
      </c>
      <c r="H27" s="29">
        <f>-(F28*0.35)</f>
        <v>-2772.1470588235293</v>
      </c>
    </row>
    <row r="28" spans="1:8" ht="15.75" thickBot="1" x14ac:dyDescent="0.3">
      <c r="F28" s="21">
        <f>H23</f>
        <v>7920.4201680672268</v>
      </c>
      <c r="H28" s="7"/>
    </row>
    <row r="29" spans="1:8" x14ac:dyDescent="0.25">
      <c r="A29" t="s">
        <v>9</v>
      </c>
      <c r="B29" s="9" t="s">
        <v>7</v>
      </c>
      <c r="C29" s="6"/>
      <c r="G29" s="13" t="s">
        <v>14</v>
      </c>
      <c r="H29" s="6">
        <f>H23+H25+H27</f>
        <v>4937.9789915966394</v>
      </c>
    </row>
    <row r="30" spans="1:8" ht="15.75" thickBot="1" x14ac:dyDescent="0.3">
      <c r="A30" s="16"/>
      <c r="B30" s="16"/>
      <c r="C30" s="7"/>
    </row>
    <row r="31" spans="1:8" x14ac:dyDescent="0.25">
      <c r="E31" t="s">
        <v>151</v>
      </c>
      <c r="H31" s="20">
        <f>H29*0.5</f>
        <v>2468.9894957983197</v>
      </c>
    </row>
    <row r="32" spans="1:8" ht="15.75" x14ac:dyDescent="0.25">
      <c r="A32" t="s">
        <v>10</v>
      </c>
      <c r="C32" s="10">
        <f>C23-C25-C27-C29</f>
        <v>7920.4201680672268</v>
      </c>
      <c r="H32" s="18"/>
    </row>
    <row r="33" spans="8:8" x14ac:dyDescent="0.25">
      <c r="H33" s="3"/>
    </row>
    <row r="34" spans="8:8" x14ac:dyDescent="0.25">
      <c r="H34" s="18"/>
    </row>
  </sheetData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1AFBF-6871-457D-914C-1B9907D9632A}">
  <dimension ref="A1:H34"/>
  <sheetViews>
    <sheetView topLeftCell="A16" workbookViewId="0">
      <selection activeCell="C29" sqref="C29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705</v>
      </c>
    </row>
    <row r="3" spans="1:8" ht="21" x14ac:dyDescent="0.35">
      <c r="A3" s="2" t="s">
        <v>1</v>
      </c>
      <c r="D3" s="11">
        <v>157080</v>
      </c>
      <c r="F3" s="12" t="s">
        <v>3</v>
      </c>
      <c r="H3" s="4">
        <f>(D3/1.19)*0.19</f>
        <v>25080</v>
      </c>
    </row>
    <row r="4" spans="1:8" x14ac:dyDescent="0.25">
      <c r="A4" s="13" t="s">
        <v>32</v>
      </c>
      <c r="C4" s="26">
        <v>991</v>
      </c>
    </row>
    <row r="5" spans="1:8" ht="21" x14ac:dyDescent="0.35">
      <c r="A5" s="2" t="s">
        <v>2</v>
      </c>
    </row>
    <row r="7" spans="1:8" ht="18.75" x14ac:dyDescent="0.3">
      <c r="A7" s="5" t="s">
        <v>706</v>
      </c>
      <c r="D7" s="4">
        <v>117915</v>
      </c>
      <c r="E7" s="25"/>
      <c r="H7" s="4">
        <f t="shared" ref="H7:H12" si="0">(D7/1.19)*0.19</f>
        <v>18826.764705882353</v>
      </c>
    </row>
    <row r="8" spans="1:8" ht="18.75" x14ac:dyDescent="0.3">
      <c r="A8" s="5"/>
      <c r="C8" s="3"/>
      <c r="D8" s="32"/>
      <c r="E8" s="25"/>
      <c r="H8" s="4">
        <v>0</v>
      </c>
    </row>
    <row r="9" spans="1:8" ht="18.75" x14ac:dyDescent="0.3">
      <c r="A9" s="5"/>
      <c r="C9" s="3"/>
      <c r="D9" s="28"/>
      <c r="E9" s="25"/>
      <c r="H9" s="4">
        <f t="shared" si="0"/>
        <v>0</v>
      </c>
    </row>
    <row r="10" spans="1:8" ht="18.75" x14ac:dyDescent="0.3">
      <c r="A10" s="5"/>
      <c r="C10" s="3"/>
      <c r="D10" s="28"/>
      <c r="E10" s="25"/>
      <c r="H10" s="4">
        <f t="shared" si="0"/>
        <v>0</v>
      </c>
    </row>
    <row r="11" spans="1:8" ht="18.75" x14ac:dyDescent="0.3">
      <c r="A11" s="5"/>
      <c r="C11" s="3"/>
      <c r="D11" s="28"/>
      <c r="E11" s="25"/>
      <c r="H11" s="4">
        <f t="shared" si="0"/>
        <v>0</v>
      </c>
    </row>
    <row r="12" spans="1:8" ht="18.75" x14ac:dyDescent="0.3">
      <c r="A12" s="5"/>
      <c r="C12" s="3"/>
      <c r="D12" s="28"/>
      <c r="E12" s="25"/>
      <c r="H12" s="4">
        <f t="shared" si="0"/>
        <v>0</v>
      </c>
    </row>
    <row r="13" spans="1:8" ht="19.5" thickBot="1" x14ac:dyDescent="0.35">
      <c r="A13" s="5"/>
      <c r="C13" s="3"/>
      <c r="D13" s="22"/>
      <c r="E13" s="25"/>
      <c r="H13" s="22">
        <v>0</v>
      </c>
    </row>
    <row r="14" spans="1:8" ht="18.75" customHeight="1" x14ac:dyDescent="0.3">
      <c r="D14" s="4">
        <f>SUM(D7:D13)</f>
        <v>117915</v>
      </c>
      <c r="H14" s="4">
        <f>SUM(H7:H13)</f>
        <v>18826.764705882353</v>
      </c>
    </row>
    <row r="15" spans="1:8" ht="18.75" x14ac:dyDescent="0.3">
      <c r="A15" s="5"/>
      <c r="C15" s="3"/>
      <c r="D15" s="4"/>
      <c r="H15" s="4"/>
    </row>
    <row r="17" spans="1:8" ht="18.75" x14ac:dyDescent="0.3">
      <c r="A17" s="5"/>
      <c r="C17" s="3"/>
      <c r="D17" s="4"/>
      <c r="H17" s="4"/>
    </row>
    <row r="18" spans="1:8" ht="15.75" thickBot="1" x14ac:dyDescent="0.3">
      <c r="D18" s="7"/>
      <c r="H18" s="7"/>
    </row>
    <row r="20" spans="1:8" ht="18.75" x14ac:dyDescent="0.3">
      <c r="C20" t="s">
        <v>4</v>
      </c>
      <c r="D20" s="4">
        <f>D3-D14</f>
        <v>39165</v>
      </c>
      <c r="G20" t="s">
        <v>5</v>
      </c>
      <c r="H20" s="4">
        <f>H3-H14</f>
        <v>6253.2352941176468</v>
      </c>
    </row>
    <row r="23" spans="1:8" ht="15.75" x14ac:dyDescent="0.25">
      <c r="A23" t="s">
        <v>6</v>
      </c>
      <c r="C23" s="8">
        <f>D20</f>
        <v>39165</v>
      </c>
      <c r="E23" t="s">
        <v>10</v>
      </c>
      <c r="H23" s="6">
        <f>C32</f>
        <v>32283.44470588235</v>
      </c>
    </row>
    <row r="25" spans="1:8" ht="15.75" x14ac:dyDescent="0.25">
      <c r="A25" t="s">
        <v>5</v>
      </c>
      <c r="B25" s="9" t="s">
        <v>7</v>
      </c>
      <c r="C25" s="8">
        <f>H20</f>
        <v>6253.2352941176468</v>
      </c>
      <c r="E25" s="13" t="s">
        <v>11</v>
      </c>
      <c r="F25" s="9" t="s">
        <v>181</v>
      </c>
      <c r="G25" s="15" t="s">
        <v>17</v>
      </c>
      <c r="H25" s="3">
        <f>-(F26*0.0077)</f>
        <v>-1016.4</v>
      </c>
    </row>
    <row r="26" spans="1:8" x14ac:dyDescent="0.25">
      <c r="F26" s="21">
        <f>D3-H3</f>
        <v>132000</v>
      </c>
    </row>
    <row r="27" spans="1:8" ht="15.75" x14ac:dyDescent="0.25">
      <c r="A27" t="s">
        <v>8</v>
      </c>
      <c r="B27" s="9" t="s">
        <v>7</v>
      </c>
      <c r="C27" s="8">
        <f>D3*0.004</f>
        <v>628.32000000000005</v>
      </c>
      <c r="F27" s="9" t="s">
        <v>13</v>
      </c>
      <c r="G27" s="16">
        <v>0.35</v>
      </c>
      <c r="H27" s="29">
        <f>-(F28*0.35)</f>
        <v>-11299.205647058821</v>
      </c>
    </row>
    <row r="28" spans="1:8" ht="15.75" thickBot="1" x14ac:dyDescent="0.3">
      <c r="F28" s="21">
        <f>H23</f>
        <v>32283.44470588235</v>
      </c>
      <c r="H28" s="7"/>
    </row>
    <row r="29" spans="1:8" x14ac:dyDescent="0.25">
      <c r="A29" t="s">
        <v>9</v>
      </c>
      <c r="B29" s="9" t="s">
        <v>7</v>
      </c>
      <c r="C29" s="6"/>
      <c r="G29" s="13" t="s">
        <v>14</v>
      </c>
      <c r="H29" s="6">
        <f>H23+H25+H27</f>
        <v>19967.839058823527</v>
      </c>
    </row>
    <row r="30" spans="1:8" ht="15.75" thickBot="1" x14ac:dyDescent="0.3">
      <c r="A30" s="16"/>
      <c r="B30" s="16"/>
      <c r="C30" s="7"/>
    </row>
    <row r="31" spans="1:8" x14ac:dyDescent="0.25">
      <c r="E31" t="s">
        <v>151</v>
      </c>
      <c r="H31" s="20">
        <f>H29*0.5</f>
        <v>9983.9195294117635</v>
      </c>
    </row>
    <row r="32" spans="1:8" ht="15.75" x14ac:dyDescent="0.25">
      <c r="A32" t="s">
        <v>10</v>
      </c>
      <c r="C32" s="10">
        <f>C23-C25-C27-C29</f>
        <v>32283.44470588235</v>
      </c>
      <c r="H32" s="18"/>
    </row>
    <row r="33" spans="8:8" x14ac:dyDescent="0.25">
      <c r="H33" s="3"/>
    </row>
    <row r="34" spans="8:8" x14ac:dyDescent="0.25">
      <c r="H34" s="18"/>
    </row>
  </sheetData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FBC29-2770-4DDC-A58F-324A6EE65A14}">
  <dimension ref="A1:H30"/>
  <sheetViews>
    <sheetView topLeftCell="A7" workbookViewId="0">
      <selection activeCell="D13" sqref="D13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725</v>
      </c>
    </row>
    <row r="3" spans="1:8" ht="21" x14ac:dyDescent="0.35">
      <c r="A3" s="2" t="s">
        <v>1</v>
      </c>
      <c r="D3" s="11">
        <v>560252</v>
      </c>
      <c r="F3" s="12" t="s">
        <v>3</v>
      </c>
      <c r="H3" s="11">
        <f>(D3/1.19)*0.19</f>
        <v>89452</v>
      </c>
    </row>
    <row r="4" spans="1:8" x14ac:dyDescent="0.25">
      <c r="A4" s="13" t="s">
        <v>32</v>
      </c>
      <c r="C4" s="26">
        <v>993</v>
      </c>
    </row>
    <row r="5" spans="1:8" ht="21" x14ac:dyDescent="0.35">
      <c r="A5" s="2" t="s">
        <v>2</v>
      </c>
    </row>
    <row r="7" spans="1:8" ht="18.75" x14ac:dyDescent="0.3">
      <c r="A7" s="5"/>
      <c r="D7" s="4"/>
      <c r="H7" s="4"/>
    </row>
    <row r="8" spans="1:8" ht="18.75" x14ac:dyDescent="0.3">
      <c r="A8" s="5"/>
      <c r="D8" s="4"/>
      <c r="H8" s="4"/>
    </row>
    <row r="9" spans="1:8" ht="18.75" x14ac:dyDescent="0.3">
      <c r="A9" s="5"/>
      <c r="B9" s="5"/>
      <c r="C9" s="5"/>
      <c r="D9" s="4"/>
      <c r="H9" s="4"/>
    </row>
    <row r="10" spans="1:8" ht="18.75" x14ac:dyDescent="0.3">
      <c r="A10" s="5" t="s">
        <v>224</v>
      </c>
      <c r="B10" s="5"/>
      <c r="C10" s="5"/>
      <c r="D10" s="4">
        <v>130900</v>
      </c>
      <c r="H10" s="4">
        <f>(D10/1.19)*0.19</f>
        <v>20900</v>
      </c>
    </row>
    <row r="11" spans="1:8" ht="18.75" x14ac:dyDescent="0.3">
      <c r="A11" s="5" t="s">
        <v>221</v>
      </c>
      <c r="B11" s="5"/>
      <c r="C11" s="5"/>
      <c r="D11" s="4">
        <v>6600</v>
      </c>
      <c r="H11" s="4">
        <f t="shared" ref="H11:H12" si="0">(D11/1.19)*0.19</f>
        <v>1053.7815126050421</v>
      </c>
    </row>
    <row r="12" spans="1:8" ht="18.75" x14ac:dyDescent="0.3">
      <c r="A12" s="5" t="s">
        <v>11</v>
      </c>
      <c r="B12" s="5"/>
      <c r="C12" s="5"/>
      <c r="D12" s="4">
        <v>120000</v>
      </c>
      <c r="H12" s="4">
        <f t="shared" si="0"/>
        <v>19159.663865546219</v>
      </c>
    </row>
    <row r="13" spans="1:8" ht="19.5" thickBot="1" x14ac:dyDescent="0.35">
      <c r="A13" s="5"/>
      <c r="B13" s="5"/>
      <c r="C13" s="5"/>
      <c r="D13" s="30"/>
      <c r="E13" s="25"/>
      <c r="H13" s="30"/>
    </row>
    <row r="14" spans="1:8" ht="19.5" thickTop="1" x14ac:dyDescent="0.3">
      <c r="D14" s="4">
        <f>SUM(D7:D13)</f>
        <v>257500</v>
      </c>
      <c r="H14" s="31">
        <f>SUM(H7:H13)</f>
        <v>41113.445378151257</v>
      </c>
    </row>
    <row r="16" spans="1:8" ht="18.75" x14ac:dyDescent="0.3">
      <c r="C16" t="s">
        <v>4</v>
      </c>
      <c r="D16" s="4">
        <f>D3-D14</f>
        <v>302752</v>
      </c>
      <c r="G16" t="s">
        <v>5</v>
      </c>
      <c r="H16" s="4">
        <f>H3-H14</f>
        <v>48338.554621848743</v>
      </c>
    </row>
    <row r="18" spans="1:8" x14ac:dyDescent="0.25">
      <c r="G18" t="s">
        <v>523</v>
      </c>
    </row>
    <row r="19" spans="1:8" ht="15.75" x14ac:dyDescent="0.25">
      <c r="A19" t="s">
        <v>6</v>
      </c>
      <c r="C19" s="8">
        <f>D16</f>
        <v>302752</v>
      </c>
      <c r="E19" t="s">
        <v>10</v>
      </c>
      <c r="H19" s="6">
        <f>C28</f>
        <v>252172.43737815125</v>
      </c>
    </row>
    <row r="21" spans="1:8" ht="15.75" x14ac:dyDescent="0.25">
      <c r="A21" t="s">
        <v>5</v>
      </c>
      <c r="B21" s="9" t="s">
        <v>7</v>
      </c>
      <c r="C21" s="8">
        <f>H16</f>
        <v>48338.554621848743</v>
      </c>
      <c r="E21" s="13" t="s">
        <v>11</v>
      </c>
      <c r="F21" s="9" t="s">
        <v>12</v>
      </c>
      <c r="G21" s="15" t="s">
        <v>17</v>
      </c>
      <c r="H21" s="3">
        <f>-(F22*0.0077)</f>
        <v>-3625.1600000000003</v>
      </c>
    </row>
    <row r="22" spans="1:8" x14ac:dyDescent="0.25">
      <c r="F22" s="21">
        <f>D3-H3</f>
        <v>470800</v>
      </c>
    </row>
    <row r="23" spans="1:8" ht="16.5" thickBot="1" x14ac:dyDescent="0.3">
      <c r="A23" t="s">
        <v>8</v>
      </c>
      <c r="B23" s="9" t="s">
        <v>7</v>
      </c>
      <c r="C23" s="8">
        <f>D3*0.004</f>
        <v>2241.0080000000003</v>
      </c>
      <c r="F23" s="9" t="s">
        <v>13</v>
      </c>
      <c r="G23" s="16">
        <v>0.35</v>
      </c>
      <c r="H23" s="17">
        <f>-(F24*0.35)</f>
        <v>-88260.353082352929</v>
      </c>
    </row>
    <row r="24" spans="1:8" x14ac:dyDescent="0.25">
      <c r="F24" s="21">
        <f>H19</f>
        <v>252172.43737815125</v>
      </c>
    </row>
    <row r="25" spans="1:8" x14ac:dyDescent="0.25">
      <c r="A25" t="s">
        <v>9</v>
      </c>
      <c r="B25" s="9" t="s">
        <v>7</v>
      </c>
      <c r="G25" s="13" t="s">
        <v>14</v>
      </c>
      <c r="H25" s="6">
        <f>H19+H21+H23</f>
        <v>160286.92429579832</v>
      </c>
    </row>
    <row r="26" spans="1:8" ht="15.75" thickBot="1" x14ac:dyDescent="0.3">
      <c r="A26" s="33" t="s">
        <v>726</v>
      </c>
      <c r="B26" s="14"/>
      <c r="C26" s="7"/>
    </row>
    <row r="27" spans="1:8" x14ac:dyDescent="0.25">
      <c r="E27" t="s">
        <v>149</v>
      </c>
      <c r="H27" s="20">
        <f>H25*0.4</f>
        <v>64114.76971831933</v>
      </c>
    </row>
    <row r="28" spans="1:8" ht="15.75" x14ac:dyDescent="0.25">
      <c r="A28" t="s">
        <v>10</v>
      </c>
      <c r="C28" s="10">
        <f>C19-C21-C23-C25</f>
        <v>252172.43737815125</v>
      </c>
      <c r="H28" s="18"/>
    </row>
    <row r="29" spans="1:8" x14ac:dyDescent="0.25">
      <c r="H29" s="3"/>
    </row>
    <row r="30" spans="1:8" x14ac:dyDescent="0.25">
      <c r="H30" s="18"/>
    </row>
  </sheetData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DD5FC-2048-4BA3-B060-3A1EB132F82F}">
  <dimension ref="A1:H34"/>
  <sheetViews>
    <sheetView topLeftCell="A13" workbookViewId="0">
      <selection activeCell="C29" sqref="C29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707</v>
      </c>
    </row>
    <row r="3" spans="1:8" ht="21" x14ac:dyDescent="0.35">
      <c r="A3" s="2" t="s">
        <v>1</v>
      </c>
      <c r="D3" s="11">
        <v>41769</v>
      </c>
      <c r="F3" s="12" t="s">
        <v>3</v>
      </c>
      <c r="H3" s="4">
        <f>(D3/1.19)*0.19</f>
        <v>6669</v>
      </c>
    </row>
    <row r="4" spans="1:8" x14ac:dyDescent="0.25">
      <c r="A4" s="13" t="s">
        <v>32</v>
      </c>
      <c r="C4" s="26">
        <v>996</v>
      </c>
    </row>
    <row r="5" spans="1:8" ht="21" x14ac:dyDescent="0.35">
      <c r="A5" s="2" t="s">
        <v>2</v>
      </c>
    </row>
    <row r="7" spans="1:8" ht="18.75" x14ac:dyDescent="0.3">
      <c r="A7" s="5" t="s">
        <v>221</v>
      </c>
      <c r="D7" s="4">
        <v>26000</v>
      </c>
      <c r="E7" s="25"/>
      <c r="H7" s="4">
        <f t="shared" ref="H7:H12" si="0">(D7/1.19)*0.19</f>
        <v>4151.2605042016812</v>
      </c>
    </row>
    <row r="8" spans="1:8" ht="18.75" x14ac:dyDescent="0.3">
      <c r="A8" s="5"/>
      <c r="C8" s="3"/>
      <c r="D8" s="32"/>
      <c r="E8" s="25"/>
      <c r="H8" s="4">
        <v>0</v>
      </c>
    </row>
    <row r="9" spans="1:8" ht="18.75" x14ac:dyDescent="0.3">
      <c r="A9" s="5"/>
      <c r="C9" s="3"/>
      <c r="D9" s="28"/>
      <c r="E9" s="25"/>
      <c r="H9" s="4">
        <f t="shared" si="0"/>
        <v>0</v>
      </c>
    </row>
    <row r="10" spans="1:8" ht="18.75" x14ac:dyDescent="0.3">
      <c r="A10" s="5"/>
      <c r="C10" s="3"/>
      <c r="D10" s="28"/>
      <c r="E10" s="25"/>
      <c r="H10" s="4">
        <f t="shared" si="0"/>
        <v>0</v>
      </c>
    </row>
    <row r="11" spans="1:8" ht="18.75" x14ac:dyDescent="0.3">
      <c r="A11" s="5"/>
      <c r="C11" s="3"/>
      <c r="D11" s="28"/>
      <c r="E11" s="25"/>
      <c r="H11" s="4">
        <f t="shared" si="0"/>
        <v>0</v>
      </c>
    </row>
    <row r="12" spans="1:8" ht="18.75" x14ac:dyDescent="0.3">
      <c r="A12" s="5"/>
      <c r="C12" s="3"/>
      <c r="D12" s="28"/>
      <c r="E12" s="25"/>
      <c r="H12" s="4">
        <f t="shared" si="0"/>
        <v>0</v>
      </c>
    </row>
    <row r="13" spans="1:8" ht="19.5" thickBot="1" x14ac:dyDescent="0.35">
      <c r="A13" s="5"/>
      <c r="C13" s="3"/>
      <c r="D13" s="22"/>
      <c r="E13" s="25"/>
      <c r="H13" s="22">
        <v>0</v>
      </c>
    </row>
    <row r="14" spans="1:8" ht="18.75" customHeight="1" x14ac:dyDescent="0.3">
      <c r="D14" s="4">
        <f>SUM(D7:D13)</f>
        <v>26000</v>
      </c>
      <c r="H14" s="4">
        <f>SUM(H7:H13)</f>
        <v>4151.2605042016812</v>
      </c>
    </row>
    <row r="15" spans="1:8" ht="18.75" x14ac:dyDescent="0.3">
      <c r="A15" s="5"/>
      <c r="C15" s="3"/>
      <c r="D15" s="4"/>
      <c r="H15" s="4"/>
    </row>
    <row r="17" spans="1:8" ht="18.75" x14ac:dyDescent="0.3">
      <c r="A17" s="5"/>
      <c r="C17" s="3"/>
      <c r="D17" s="4"/>
      <c r="H17" s="4"/>
    </row>
    <row r="18" spans="1:8" ht="15.75" thickBot="1" x14ac:dyDescent="0.3">
      <c r="D18" s="7"/>
      <c r="H18" s="7"/>
    </row>
    <row r="20" spans="1:8" ht="18.75" x14ac:dyDescent="0.3">
      <c r="C20" t="s">
        <v>4</v>
      </c>
      <c r="D20" s="4">
        <f>D3-D14</f>
        <v>15769</v>
      </c>
      <c r="G20" t="s">
        <v>5</v>
      </c>
      <c r="H20" s="4">
        <f>H3-H14</f>
        <v>2517.7394957983188</v>
      </c>
    </row>
    <row r="23" spans="1:8" ht="15.75" x14ac:dyDescent="0.25">
      <c r="A23" t="s">
        <v>6</v>
      </c>
      <c r="C23" s="8">
        <f>D20</f>
        <v>15769</v>
      </c>
      <c r="E23" t="s">
        <v>10</v>
      </c>
      <c r="H23" s="6">
        <f>C32</f>
        <v>13084.184504201681</v>
      </c>
    </row>
    <row r="25" spans="1:8" ht="15.75" x14ac:dyDescent="0.25">
      <c r="A25" t="s">
        <v>5</v>
      </c>
      <c r="B25" s="9" t="s">
        <v>7</v>
      </c>
      <c r="C25" s="8">
        <f>H20</f>
        <v>2517.7394957983188</v>
      </c>
      <c r="E25" s="13" t="s">
        <v>11</v>
      </c>
      <c r="F25" s="9" t="s">
        <v>181</v>
      </c>
      <c r="G25" s="15" t="s">
        <v>17</v>
      </c>
      <c r="H25" s="3">
        <f>-(F26*0.0077)</f>
        <v>-270.27</v>
      </c>
    </row>
    <row r="26" spans="1:8" x14ac:dyDescent="0.25">
      <c r="F26" s="21">
        <f>D3-H3</f>
        <v>35100</v>
      </c>
    </row>
    <row r="27" spans="1:8" ht="15.75" x14ac:dyDescent="0.25">
      <c r="A27" t="s">
        <v>8</v>
      </c>
      <c r="B27" s="9" t="s">
        <v>7</v>
      </c>
      <c r="C27" s="8">
        <f>D3*0.004</f>
        <v>167.07599999999999</v>
      </c>
      <c r="F27" s="9" t="s">
        <v>13</v>
      </c>
      <c r="G27" s="16">
        <v>0.35</v>
      </c>
      <c r="H27" s="29">
        <f>-(F28*0.35)</f>
        <v>-4579.4645764705883</v>
      </c>
    </row>
    <row r="28" spans="1:8" ht="15.75" thickBot="1" x14ac:dyDescent="0.3">
      <c r="F28" s="21">
        <f>H23</f>
        <v>13084.184504201681</v>
      </c>
      <c r="H28" s="7"/>
    </row>
    <row r="29" spans="1:8" x14ac:dyDescent="0.25">
      <c r="A29" t="s">
        <v>9</v>
      </c>
      <c r="B29" s="9" t="s">
        <v>7</v>
      </c>
      <c r="C29" s="6"/>
      <c r="G29" s="13" t="s">
        <v>14</v>
      </c>
      <c r="H29" s="6">
        <f>H23+H25+H27</f>
        <v>8234.4499277310933</v>
      </c>
    </row>
    <row r="30" spans="1:8" ht="15.75" thickBot="1" x14ac:dyDescent="0.3">
      <c r="A30" s="16"/>
      <c r="B30" s="16"/>
      <c r="C30" s="7"/>
    </row>
    <row r="31" spans="1:8" x14ac:dyDescent="0.25">
      <c r="E31" t="s">
        <v>151</v>
      </c>
      <c r="H31" s="20">
        <f>H29*0.5</f>
        <v>4117.2249638655467</v>
      </c>
    </row>
    <row r="32" spans="1:8" ht="15.75" x14ac:dyDescent="0.25">
      <c r="A32" t="s">
        <v>10</v>
      </c>
      <c r="C32" s="10">
        <f>C23-C25-C27-C29</f>
        <v>13084.184504201681</v>
      </c>
      <c r="H32" s="18"/>
    </row>
    <row r="33" spans="8:8" x14ac:dyDescent="0.25">
      <c r="H33" s="3"/>
    </row>
    <row r="34" spans="8:8" x14ac:dyDescent="0.25">
      <c r="H34" s="18"/>
    </row>
  </sheetData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BBC88-DD66-49DF-9D15-B3DF6B0F7380}">
  <dimension ref="A1:H34"/>
  <sheetViews>
    <sheetView topLeftCell="A13" workbookViewId="0">
      <selection activeCell="C29" sqref="C29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708</v>
      </c>
    </row>
    <row r="3" spans="1:8" ht="21" x14ac:dyDescent="0.35">
      <c r="A3" s="2" t="s">
        <v>1</v>
      </c>
      <c r="D3" s="11">
        <v>428400</v>
      </c>
      <c r="F3" s="12" t="s">
        <v>3</v>
      </c>
      <c r="H3" s="4">
        <f>(D3/1.19)*0.19</f>
        <v>68400</v>
      </c>
    </row>
    <row r="4" spans="1:8" x14ac:dyDescent="0.25">
      <c r="A4" s="13" t="s">
        <v>32</v>
      </c>
      <c r="C4" s="26">
        <v>997</v>
      </c>
    </row>
    <row r="5" spans="1:8" ht="21" x14ac:dyDescent="0.35">
      <c r="A5" s="2" t="s">
        <v>2</v>
      </c>
    </row>
    <row r="7" spans="1:8" ht="18.75" x14ac:dyDescent="0.3">
      <c r="A7" s="5" t="s">
        <v>472</v>
      </c>
      <c r="D7" s="4">
        <v>308508</v>
      </c>
      <c r="E7" s="25"/>
      <c r="H7" s="4">
        <f t="shared" ref="H7:H12" si="0">(D7/1.19)*0.19</f>
        <v>49257.579831932773</v>
      </c>
    </row>
    <row r="8" spans="1:8" ht="18.75" x14ac:dyDescent="0.3">
      <c r="A8" s="5"/>
      <c r="C8" s="3"/>
      <c r="D8" s="32"/>
      <c r="E8" s="25"/>
      <c r="H8" s="4">
        <v>0</v>
      </c>
    </row>
    <row r="9" spans="1:8" ht="18.75" x14ac:dyDescent="0.3">
      <c r="A9" s="5"/>
      <c r="C9" s="3"/>
      <c r="D9" s="28"/>
      <c r="E9" s="25"/>
      <c r="H9" s="4">
        <f t="shared" si="0"/>
        <v>0</v>
      </c>
    </row>
    <row r="10" spans="1:8" ht="18.75" x14ac:dyDescent="0.3">
      <c r="A10" s="5"/>
      <c r="C10" s="3"/>
      <c r="D10" s="28"/>
      <c r="E10" s="25"/>
      <c r="H10" s="4">
        <f t="shared" si="0"/>
        <v>0</v>
      </c>
    </row>
    <row r="11" spans="1:8" ht="18.75" x14ac:dyDescent="0.3">
      <c r="A11" s="5"/>
      <c r="C11" s="3"/>
      <c r="D11" s="28"/>
      <c r="E11" s="25"/>
      <c r="H11" s="4">
        <f t="shared" si="0"/>
        <v>0</v>
      </c>
    </row>
    <row r="12" spans="1:8" ht="18.75" x14ac:dyDescent="0.3">
      <c r="A12" s="5"/>
      <c r="C12" s="3"/>
      <c r="D12" s="28"/>
      <c r="E12" s="25"/>
      <c r="H12" s="4">
        <f t="shared" si="0"/>
        <v>0</v>
      </c>
    </row>
    <row r="13" spans="1:8" ht="19.5" thickBot="1" x14ac:dyDescent="0.35">
      <c r="A13" s="5"/>
      <c r="C13" s="3"/>
      <c r="D13" s="22"/>
      <c r="E13" s="25"/>
      <c r="H13" s="22">
        <v>0</v>
      </c>
    </row>
    <row r="14" spans="1:8" ht="18.75" customHeight="1" x14ac:dyDescent="0.3">
      <c r="D14" s="4">
        <f>SUM(D7:D13)</f>
        <v>308508</v>
      </c>
      <c r="H14" s="4">
        <f>SUM(H7:H13)</f>
        <v>49257.579831932773</v>
      </c>
    </row>
    <row r="15" spans="1:8" ht="18.75" x14ac:dyDescent="0.3">
      <c r="A15" s="5"/>
      <c r="C15" s="3"/>
      <c r="D15" s="4"/>
      <c r="H15" s="4"/>
    </row>
    <row r="17" spans="1:8" ht="18.75" x14ac:dyDescent="0.3">
      <c r="A17" s="5"/>
      <c r="C17" s="3"/>
      <c r="D17" s="4"/>
      <c r="H17" s="4"/>
    </row>
    <row r="18" spans="1:8" ht="15.75" thickBot="1" x14ac:dyDescent="0.3">
      <c r="D18" s="7"/>
      <c r="H18" s="7"/>
    </row>
    <row r="20" spans="1:8" ht="18.75" x14ac:dyDescent="0.3">
      <c r="C20" t="s">
        <v>4</v>
      </c>
      <c r="D20" s="4">
        <f>D3-D14</f>
        <v>119892</v>
      </c>
      <c r="G20" t="s">
        <v>5</v>
      </c>
      <c r="H20" s="4">
        <f>H3-H14</f>
        <v>19142.420168067227</v>
      </c>
    </row>
    <row r="23" spans="1:8" ht="15.75" x14ac:dyDescent="0.25">
      <c r="A23" t="s">
        <v>6</v>
      </c>
      <c r="C23" s="8">
        <f>D20</f>
        <v>119892</v>
      </c>
      <c r="E23" t="s">
        <v>10</v>
      </c>
      <c r="H23" s="6">
        <f>C32</f>
        <v>99035.979831932767</v>
      </c>
    </row>
    <row r="25" spans="1:8" ht="15.75" x14ac:dyDescent="0.25">
      <c r="A25" t="s">
        <v>5</v>
      </c>
      <c r="B25" s="9" t="s">
        <v>7</v>
      </c>
      <c r="C25" s="8">
        <f>H20</f>
        <v>19142.420168067227</v>
      </c>
      <c r="E25" s="13" t="s">
        <v>11</v>
      </c>
      <c r="F25" s="9" t="s">
        <v>181</v>
      </c>
      <c r="G25" s="15" t="s">
        <v>17</v>
      </c>
      <c r="H25" s="3">
        <f>-(F26*0.0077)</f>
        <v>-2772</v>
      </c>
    </row>
    <row r="26" spans="1:8" x14ac:dyDescent="0.25">
      <c r="F26" s="21">
        <f>D3-H3</f>
        <v>360000</v>
      </c>
    </row>
    <row r="27" spans="1:8" ht="15.75" x14ac:dyDescent="0.25">
      <c r="A27" t="s">
        <v>8</v>
      </c>
      <c r="B27" s="9" t="s">
        <v>7</v>
      </c>
      <c r="C27" s="8">
        <f>D3*0.004</f>
        <v>1713.6000000000001</v>
      </c>
      <c r="F27" s="9" t="s">
        <v>13</v>
      </c>
      <c r="G27" s="16">
        <v>0.35</v>
      </c>
      <c r="H27" s="29">
        <f>-(F28*0.35)</f>
        <v>-34662.592941176466</v>
      </c>
    </row>
    <row r="28" spans="1:8" ht="15.75" thickBot="1" x14ac:dyDescent="0.3">
      <c r="F28" s="21">
        <f>H23</f>
        <v>99035.979831932767</v>
      </c>
      <c r="H28" s="7"/>
    </row>
    <row r="29" spans="1:8" x14ac:dyDescent="0.25">
      <c r="A29" t="s">
        <v>9</v>
      </c>
      <c r="B29" s="9" t="s">
        <v>7</v>
      </c>
      <c r="C29" s="6"/>
      <c r="G29" s="13" t="s">
        <v>14</v>
      </c>
      <c r="H29" s="6">
        <f>H23+H25+H27</f>
        <v>61601.386890756301</v>
      </c>
    </row>
    <row r="30" spans="1:8" ht="15.75" thickBot="1" x14ac:dyDescent="0.3">
      <c r="A30" s="16"/>
      <c r="B30" s="16"/>
      <c r="C30" s="7"/>
    </row>
    <row r="31" spans="1:8" x14ac:dyDescent="0.25">
      <c r="E31" t="s">
        <v>151</v>
      </c>
      <c r="H31" s="20">
        <f>H29*0.5</f>
        <v>30800.69344537815</v>
      </c>
    </row>
    <row r="32" spans="1:8" ht="15.75" x14ac:dyDescent="0.25">
      <c r="A32" t="s">
        <v>10</v>
      </c>
      <c r="C32" s="10">
        <f>C23-C25-C27-C29</f>
        <v>99035.979831932767</v>
      </c>
      <c r="H32" s="18"/>
    </row>
    <row r="33" spans="8:8" x14ac:dyDescent="0.25">
      <c r="H33" s="3"/>
    </row>
    <row r="34" spans="8:8" x14ac:dyDescent="0.25">
      <c r="H34" s="18"/>
    </row>
  </sheetData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6C5D7-1290-44E0-88E1-79F0F7A6ABD4}">
  <dimension ref="A1:H34"/>
  <sheetViews>
    <sheetView topLeftCell="A10" workbookViewId="0">
      <selection activeCell="I34" sqref="I34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709</v>
      </c>
    </row>
    <row r="3" spans="1:8" ht="21" x14ac:dyDescent="0.35">
      <c r="A3" s="2" t="s">
        <v>1</v>
      </c>
      <c r="D3" s="11">
        <v>164220</v>
      </c>
      <c r="F3" s="12" t="s">
        <v>3</v>
      </c>
      <c r="H3" s="4">
        <f>(D3/1.19)*0.19</f>
        <v>26220</v>
      </c>
    </row>
    <row r="4" spans="1:8" x14ac:dyDescent="0.25">
      <c r="A4" s="13" t="s">
        <v>32</v>
      </c>
      <c r="C4" s="26">
        <v>998</v>
      </c>
    </row>
    <row r="5" spans="1:8" ht="21" x14ac:dyDescent="0.35">
      <c r="A5" s="2" t="s">
        <v>2</v>
      </c>
    </row>
    <row r="7" spans="1:8" ht="18.75" x14ac:dyDescent="0.3">
      <c r="A7" s="5" t="s">
        <v>221</v>
      </c>
      <c r="D7" s="4">
        <v>100000</v>
      </c>
      <c r="E7" s="25"/>
      <c r="H7" s="4">
        <f t="shared" ref="H7:H12" si="0">(D7/1.19)*0.19</f>
        <v>15966.386554621849</v>
      </c>
    </row>
    <row r="8" spans="1:8" ht="18.75" x14ac:dyDescent="0.3">
      <c r="A8" s="5"/>
      <c r="C8" s="3"/>
      <c r="D8" s="32"/>
      <c r="E8" s="25"/>
      <c r="H8" s="4">
        <v>0</v>
      </c>
    </row>
    <row r="9" spans="1:8" ht="18.75" x14ac:dyDescent="0.3">
      <c r="A9" s="5"/>
      <c r="C9" s="3"/>
      <c r="D9" s="28"/>
      <c r="E9" s="25"/>
      <c r="H9" s="4">
        <f t="shared" si="0"/>
        <v>0</v>
      </c>
    </row>
    <row r="10" spans="1:8" ht="18.75" x14ac:dyDescent="0.3">
      <c r="A10" s="5"/>
      <c r="C10" s="3"/>
      <c r="D10" s="28"/>
      <c r="E10" s="25"/>
      <c r="H10" s="4">
        <f t="shared" si="0"/>
        <v>0</v>
      </c>
    </row>
    <row r="11" spans="1:8" ht="18.75" x14ac:dyDescent="0.3">
      <c r="A11" s="5"/>
      <c r="C11" s="3"/>
      <c r="D11" s="28"/>
      <c r="E11" s="25"/>
      <c r="H11" s="4">
        <f t="shared" si="0"/>
        <v>0</v>
      </c>
    </row>
    <row r="12" spans="1:8" ht="18.75" x14ac:dyDescent="0.3">
      <c r="A12" s="5"/>
      <c r="C12" s="3"/>
      <c r="D12" s="28"/>
      <c r="E12" s="25"/>
      <c r="H12" s="4">
        <f t="shared" si="0"/>
        <v>0</v>
      </c>
    </row>
    <row r="13" spans="1:8" ht="19.5" thickBot="1" x14ac:dyDescent="0.35">
      <c r="A13" s="5"/>
      <c r="C13" s="3"/>
      <c r="D13" s="22"/>
      <c r="E13" s="25"/>
      <c r="H13" s="22">
        <v>0</v>
      </c>
    </row>
    <row r="14" spans="1:8" ht="18.75" customHeight="1" x14ac:dyDescent="0.3">
      <c r="D14" s="4">
        <f>SUM(D7:D13)</f>
        <v>100000</v>
      </c>
      <c r="H14" s="4">
        <f>SUM(H7:H13)</f>
        <v>15966.386554621849</v>
      </c>
    </row>
    <row r="15" spans="1:8" ht="18.75" x14ac:dyDescent="0.3">
      <c r="A15" s="5"/>
      <c r="C15" s="3"/>
      <c r="D15" s="4"/>
      <c r="H15" s="4"/>
    </row>
    <row r="17" spans="1:8" ht="18.75" x14ac:dyDescent="0.3">
      <c r="A17" s="5"/>
      <c r="C17" s="3"/>
      <c r="D17" s="4"/>
      <c r="H17" s="4"/>
    </row>
    <row r="18" spans="1:8" ht="15.75" thickBot="1" x14ac:dyDescent="0.3">
      <c r="D18" s="7"/>
      <c r="H18" s="7"/>
    </row>
    <row r="20" spans="1:8" ht="18.75" x14ac:dyDescent="0.3">
      <c r="C20" t="s">
        <v>4</v>
      </c>
      <c r="D20" s="4">
        <f>D3-D14</f>
        <v>64220</v>
      </c>
      <c r="G20" t="s">
        <v>5</v>
      </c>
      <c r="H20" s="4">
        <f>H3-H14</f>
        <v>10253.613445378151</v>
      </c>
    </row>
    <row r="23" spans="1:8" ht="15.75" x14ac:dyDescent="0.25">
      <c r="A23" t="s">
        <v>6</v>
      </c>
      <c r="C23" s="8">
        <f>D20</f>
        <v>64220</v>
      </c>
      <c r="E23" t="s">
        <v>10</v>
      </c>
      <c r="H23" s="6">
        <f>C32</f>
        <v>53309.506554621854</v>
      </c>
    </row>
    <row r="25" spans="1:8" ht="15.75" x14ac:dyDescent="0.25">
      <c r="A25" t="s">
        <v>5</v>
      </c>
      <c r="B25" s="9" t="s">
        <v>7</v>
      </c>
      <c r="C25" s="8">
        <f>H20</f>
        <v>10253.613445378151</v>
      </c>
      <c r="E25" s="13" t="s">
        <v>11</v>
      </c>
      <c r="F25" s="9" t="s">
        <v>181</v>
      </c>
      <c r="G25" s="15" t="s">
        <v>17</v>
      </c>
      <c r="H25" s="3">
        <f>-(F26*0.0077)</f>
        <v>-1062.6000000000001</v>
      </c>
    </row>
    <row r="26" spans="1:8" x14ac:dyDescent="0.25">
      <c r="F26" s="21">
        <f>D3-H3</f>
        <v>138000</v>
      </c>
    </row>
    <row r="27" spans="1:8" ht="15.75" x14ac:dyDescent="0.25">
      <c r="A27" t="s">
        <v>8</v>
      </c>
      <c r="B27" s="9" t="s">
        <v>7</v>
      </c>
      <c r="C27" s="8">
        <f>D3*0.004</f>
        <v>656.88</v>
      </c>
      <c r="F27" s="9" t="s">
        <v>13</v>
      </c>
      <c r="G27" s="16">
        <v>0.35</v>
      </c>
      <c r="H27" s="29">
        <f>-(F28*0.35)</f>
        <v>-18658.327294117647</v>
      </c>
    </row>
    <row r="28" spans="1:8" ht="15.75" thickBot="1" x14ac:dyDescent="0.3">
      <c r="F28" s="21">
        <f>H23</f>
        <v>53309.506554621854</v>
      </c>
      <c r="H28" s="7"/>
    </row>
    <row r="29" spans="1:8" x14ac:dyDescent="0.25">
      <c r="A29" t="s">
        <v>9</v>
      </c>
      <c r="B29" s="9" t="s">
        <v>7</v>
      </c>
      <c r="C29" s="6"/>
      <c r="G29" s="13" t="s">
        <v>14</v>
      </c>
      <c r="H29" s="6">
        <f>H23+H25+H27</f>
        <v>33588.579260504208</v>
      </c>
    </row>
    <row r="30" spans="1:8" ht="15.75" thickBot="1" x14ac:dyDescent="0.3">
      <c r="A30" s="16"/>
      <c r="B30" s="16"/>
      <c r="C30" s="7"/>
    </row>
    <row r="31" spans="1:8" x14ac:dyDescent="0.25">
      <c r="E31" t="s">
        <v>151</v>
      </c>
      <c r="H31" s="20">
        <f>H29*0.5</f>
        <v>16794.289630252104</v>
      </c>
    </row>
    <row r="32" spans="1:8" ht="15.75" x14ac:dyDescent="0.25">
      <c r="A32" t="s">
        <v>10</v>
      </c>
      <c r="C32" s="10">
        <f>C23-C25-C27-C29</f>
        <v>53309.506554621854</v>
      </c>
      <c r="H32" s="18"/>
    </row>
    <row r="33" spans="8:8" x14ac:dyDescent="0.25">
      <c r="H33" s="3"/>
    </row>
    <row r="34" spans="8:8" x14ac:dyDescent="0.25">
      <c r="H34" s="18"/>
    </row>
  </sheetData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7AB0A-E00C-4E78-BDF2-F8186B2E3104}">
  <dimension ref="A1:H34"/>
  <sheetViews>
    <sheetView topLeftCell="A10" workbookViewId="0">
      <selection activeCell="C29" sqref="C29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710</v>
      </c>
    </row>
    <row r="3" spans="1:8" ht="21" x14ac:dyDescent="0.35">
      <c r="A3" s="2" t="s">
        <v>1</v>
      </c>
      <c r="D3" s="11">
        <v>195160</v>
      </c>
      <c r="F3" s="12" t="s">
        <v>3</v>
      </c>
      <c r="H3" s="4">
        <f>(D3/1.19)*0.19</f>
        <v>31160</v>
      </c>
    </row>
    <row r="4" spans="1:8" x14ac:dyDescent="0.25">
      <c r="A4" s="13" t="s">
        <v>32</v>
      </c>
      <c r="C4" s="26">
        <v>999</v>
      </c>
    </row>
    <row r="5" spans="1:8" ht="21" x14ac:dyDescent="0.35">
      <c r="A5" s="2" t="s">
        <v>2</v>
      </c>
    </row>
    <row r="7" spans="1:8" ht="18.75" x14ac:dyDescent="0.3">
      <c r="A7" s="5" t="s">
        <v>221</v>
      </c>
      <c r="D7" s="4">
        <v>146000</v>
      </c>
      <c r="E7" s="25"/>
      <c r="H7" s="4">
        <f t="shared" ref="H7:H12" si="0">(D7/1.19)*0.19</f>
        <v>23310.9243697479</v>
      </c>
    </row>
    <row r="8" spans="1:8" ht="18.75" x14ac:dyDescent="0.3">
      <c r="A8" s="5"/>
      <c r="C8" s="3"/>
      <c r="D8" s="32"/>
      <c r="E8" s="25"/>
      <c r="H8" s="4">
        <v>0</v>
      </c>
    </row>
    <row r="9" spans="1:8" ht="18.75" x14ac:dyDescent="0.3">
      <c r="A9" s="5"/>
      <c r="C9" s="3"/>
      <c r="D9" s="28"/>
      <c r="E9" s="25"/>
      <c r="H9" s="4">
        <f t="shared" si="0"/>
        <v>0</v>
      </c>
    </row>
    <row r="10" spans="1:8" ht="18.75" x14ac:dyDescent="0.3">
      <c r="A10" s="5"/>
      <c r="C10" s="3"/>
      <c r="D10" s="28"/>
      <c r="E10" s="25"/>
      <c r="H10" s="4">
        <f t="shared" si="0"/>
        <v>0</v>
      </c>
    </row>
    <row r="11" spans="1:8" ht="18.75" x14ac:dyDescent="0.3">
      <c r="A11" s="5"/>
      <c r="C11" s="3"/>
      <c r="D11" s="28"/>
      <c r="E11" s="25"/>
      <c r="H11" s="4">
        <f t="shared" si="0"/>
        <v>0</v>
      </c>
    </row>
    <row r="12" spans="1:8" ht="18.75" x14ac:dyDescent="0.3">
      <c r="A12" s="5"/>
      <c r="C12" s="3"/>
      <c r="D12" s="28"/>
      <c r="E12" s="25"/>
      <c r="H12" s="4">
        <f t="shared" si="0"/>
        <v>0</v>
      </c>
    </row>
    <row r="13" spans="1:8" ht="19.5" thickBot="1" x14ac:dyDescent="0.35">
      <c r="A13" s="5"/>
      <c r="C13" s="3"/>
      <c r="D13" s="22"/>
      <c r="E13" s="25"/>
      <c r="H13" s="22">
        <v>0</v>
      </c>
    </row>
    <row r="14" spans="1:8" ht="18.75" customHeight="1" x14ac:dyDescent="0.3">
      <c r="D14" s="4">
        <f>SUM(D7:D13)</f>
        <v>146000</v>
      </c>
      <c r="H14" s="4">
        <f>SUM(H7:H13)</f>
        <v>23310.9243697479</v>
      </c>
    </row>
    <row r="15" spans="1:8" ht="18.75" x14ac:dyDescent="0.3">
      <c r="A15" s="5"/>
      <c r="C15" s="3"/>
      <c r="D15" s="4"/>
      <c r="H15" s="4"/>
    </row>
    <row r="17" spans="1:8" ht="18.75" x14ac:dyDescent="0.3">
      <c r="A17" s="5"/>
      <c r="C17" s="3"/>
      <c r="D17" s="4"/>
      <c r="H17" s="4"/>
    </row>
    <row r="18" spans="1:8" ht="15.75" thickBot="1" x14ac:dyDescent="0.3">
      <c r="D18" s="7"/>
      <c r="H18" s="7"/>
    </row>
    <row r="20" spans="1:8" ht="18.75" x14ac:dyDescent="0.3">
      <c r="C20" t="s">
        <v>4</v>
      </c>
      <c r="D20" s="4">
        <f>D3-D14</f>
        <v>49160</v>
      </c>
      <c r="G20" t="s">
        <v>5</v>
      </c>
      <c r="H20" s="4">
        <f>H3-H14</f>
        <v>7849.0756302521004</v>
      </c>
    </row>
    <row r="23" spans="1:8" ht="15.75" x14ac:dyDescent="0.25">
      <c r="A23" t="s">
        <v>6</v>
      </c>
      <c r="C23" s="8">
        <f>D20</f>
        <v>49160</v>
      </c>
      <c r="E23" t="s">
        <v>10</v>
      </c>
      <c r="H23" s="6">
        <f>C32</f>
        <v>40530.284369747897</v>
      </c>
    </row>
    <row r="25" spans="1:8" ht="15.75" x14ac:dyDescent="0.25">
      <c r="A25" t="s">
        <v>5</v>
      </c>
      <c r="B25" s="9" t="s">
        <v>7</v>
      </c>
      <c r="C25" s="8">
        <f>H20</f>
        <v>7849.0756302521004</v>
      </c>
      <c r="E25" s="13" t="s">
        <v>11</v>
      </c>
      <c r="F25" s="9" t="s">
        <v>181</v>
      </c>
      <c r="G25" s="15" t="s">
        <v>17</v>
      </c>
      <c r="H25" s="3">
        <f>-(F26*0.0077)</f>
        <v>-1262.8</v>
      </c>
    </row>
    <row r="26" spans="1:8" x14ac:dyDescent="0.25">
      <c r="F26" s="21">
        <f>D3-H3</f>
        <v>164000</v>
      </c>
    </row>
    <row r="27" spans="1:8" ht="15.75" x14ac:dyDescent="0.25">
      <c r="A27" t="s">
        <v>8</v>
      </c>
      <c r="B27" s="9" t="s">
        <v>7</v>
      </c>
      <c r="C27" s="8">
        <f>D3*0.004</f>
        <v>780.64</v>
      </c>
      <c r="F27" s="9" t="s">
        <v>13</v>
      </c>
      <c r="G27" s="16">
        <v>0.35</v>
      </c>
      <c r="H27" s="29">
        <f>-(F28*0.35)</f>
        <v>-14185.599529411764</v>
      </c>
    </row>
    <row r="28" spans="1:8" ht="15.75" thickBot="1" x14ac:dyDescent="0.3">
      <c r="F28" s="21">
        <f>H23</f>
        <v>40530.284369747897</v>
      </c>
      <c r="H28" s="7"/>
    </row>
    <row r="29" spans="1:8" x14ac:dyDescent="0.25">
      <c r="A29" t="s">
        <v>9</v>
      </c>
      <c r="B29" s="9" t="s">
        <v>7</v>
      </c>
      <c r="C29" s="6"/>
      <c r="G29" s="13" t="s">
        <v>14</v>
      </c>
      <c r="H29" s="6">
        <f>H23+H25+H27</f>
        <v>25081.88484033613</v>
      </c>
    </row>
    <row r="30" spans="1:8" ht="15.75" thickBot="1" x14ac:dyDescent="0.3">
      <c r="A30" s="16"/>
      <c r="B30" s="16"/>
      <c r="C30" s="7"/>
    </row>
    <row r="31" spans="1:8" x14ac:dyDescent="0.25">
      <c r="E31" t="s">
        <v>151</v>
      </c>
      <c r="H31" s="20">
        <f>H29*0.5</f>
        <v>12540.942420168065</v>
      </c>
    </row>
    <row r="32" spans="1:8" ht="15.75" x14ac:dyDescent="0.25">
      <c r="A32" t="s">
        <v>10</v>
      </c>
      <c r="C32" s="10">
        <f>C23-C25-C27-C29</f>
        <v>40530.284369747897</v>
      </c>
      <c r="H32" s="18"/>
    </row>
    <row r="33" spans="8:8" x14ac:dyDescent="0.25">
      <c r="H33" s="3"/>
    </row>
    <row r="34" spans="8:8" x14ac:dyDescent="0.25">
      <c r="H34" s="18"/>
    </row>
  </sheetData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B24F5-54EE-4ACB-AA36-31BEA13DD626}">
  <dimension ref="A1:H34"/>
  <sheetViews>
    <sheetView topLeftCell="A16" workbookViewId="0">
      <selection activeCell="C29" sqref="C29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711</v>
      </c>
    </row>
    <row r="3" spans="1:8" ht="21" x14ac:dyDescent="0.35">
      <c r="A3" s="2" t="s">
        <v>1</v>
      </c>
      <c r="D3" s="11">
        <v>409142</v>
      </c>
      <c r="F3" s="12" t="s">
        <v>3</v>
      </c>
      <c r="H3" s="4">
        <f>(D3/1.19)*0.19</f>
        <v>65325.193277310922</v>
      </c>
    </row>
    <row r="4" spans="1:8" x14ac:dyDescent="0.25">
      <c r="A4" s="13" t="s">
        <v>32</v>
      </c>
      <c r="C4" s="26">
        <v>1000</v>
      </c>
    </row>
    <row r="5" spans="1:8" ht="21" x14ac:dyDescent="0.35">
      <c r="A5" s="2" t="s">
        <v>2</v>
      </c>
    </row>
    <row r="7" spans="1:8" ht="18.75" x14ac:dyDescent="0.3">
      <c r="A7" s="5" t="s">
        <v>667</v>
      </c>
      <c r="D7" s="4">
        <v>329025</v>
      </c>
      <c r="E7" s="25"/>
      <c r="H7" s="4">
        <f t="shared" ref="H7:H12" si="0">(D7/1.19)*0.19</f>
        <v>52533.403361344535</v>
      </c>
    </row>
    <row r="8" spans="1:8" ht="18.75" x14ac:dyDescent="0.3">
      <c r="A8" s="5"/>
      <c r="C8" s="3"/>
      <c r="D8" s="32"/>
      <c r="E8" s="25"/>
      <c r="H8" s="4">
        <v>0</v>
      </c>
    </row>
    <row r="9" spans="1:8" ht="18.75" x14ac:dyDescent="0.3">
      <c r="A9" s="5"/>
      <c r="C9" s="3"/>
      <c r="D9" s="28"/>
      <c r="E9" s="25"/>
      <c r="H9" s="4">
        <f t="shared" si="0"/>
        <v>0</v>
      </c>
    </row>
    <row r="10" spans="1:8" ht="18.75" x14ac:dyDescent="0.3">
      <c r="A10" s="5"/>
      <c r="C10" s="3"/>
      <c r="D10" s="28"/>
      <c r="E10" s="25"/>
      <c r="H10" s="4">
        <f t="shared" si="0"/>
        <v>0</v>
      </c>
    </row>
    <row r="11" spans="1:8" ht="18.75" x14ac:dyDescent="0.3">
      <c r="A11" s="5"/>
      <c r="C11" s="3"/>
      <c r="D11" s="28"/>
      <c r="E11" s="25"/>
      <c r="H11" s="4">
        <f t="shared" si="0"/>
        <v>0</v>
      </c>
    </row>
    <row r="12" spans="1:8" ht="18.75" x14ac:dyDescent="0.3">
      <c r="A12" s="5"/>
      <c r="C12" s="3"/>
      <c r="D12" s="28"/>
      <c r="E12" s="25"/>
      <c r="H12" s="4">
        <f t="shared" si="0"/>
        <v>0</v>
      </c>
    </row>
    <row r="13" spans="1:8" ht="19.5" thickBot="1" x14ac:dyDescent="0.35">
      <c r="A13" s="5"/>
      <c r="C13" s="3"/>
      <c r="D13" s="22"/>
      <c r="E13" s="25"/>
      <c r="H13" s="22">
        <v>0</v>
      </c>
    </row>
    <row r="14" spans="1:8" ht="18.75" customHeight="1" x14ac:dyDescent="0.3">
      <c r="D14" s="4">
        <f>SUM(D7:D13)</f>
        <v>329025</v>
      </c>
      <c r="H14" s="4">
        <f>SUM(H7:H13)</f>
        <v>52533.403361344535</v>
      </c>
    </row>
    <row r="15" spans="1:8" ht="18.75" x14ac:dyDescent="0.3">
      <c r="A15" s="5"/>
      <c r="C15" s="3"/>
      <c r="D15" s="4"/>
      <c r="H15" s="4"/>
    </row>
    <row r="17" spans="1:8" ht="18.75" x14ac:dyDescent="0.3">
      <c r="A17" s="5"/>
      <c r="C17" s="3"/>
      <c r="D17" s="4"/>
      <c r="H17" s="4"/>
    </row>
    <row r="18" spans="1:8" ht="15.75" thickBot="1" x14ac:dyDescent="0.3">
      <c r="D18" s="7"/>
      <c r="H18" s="7"/>
    </row>
    <row r="20" spans="1:8" ht="18.75" x14ac:dyDescent="0.3">
      <c r="C20" t="s">
        <v>4</v>
      </c>
      <c r="D20" s="4">
        <f>D3-D14</f>
        <v>80117</v>
      </c>
      <c r="G20" t="s">
        <v>5</v>
      </c>
      <c r="H20" s="4">
        <f>H3-H14</f>
        <v>12791.789915966387</v>
      </c>
    </row>
    <row r="23" spans="1:8" ht="15.75" x14ac:dyDescent="0.25">
      <c r="A23" t="s">
        <v>6</v>
      </c>
      <c r="C23" s="8">
        <f>D20</f>
        <v>80117</v>
      </c>
      <c r="E23" t="s">
        <v>10</v>
      </c>
      <c r="H23" s="6">
        <f>C32</f>
        <v>65688.642084033607</v>
      </c>
    </row>
    <row r="25" spans="1:8" ht="15.75" x14ac:dyDescent="0.25">
      <c r="A25" t="s">
        <v>5</v>
      </c>
      <c r="B25" s="9" t="s">
        <v>7</v>
      </c>
      <c r="C25" s="8">
        <f>H20</f>
        <v>12791.789915966387</v>
      </c>
      <c r="E25" s="13" t="s">
        <v>11</v>
      </c>
      <c r="F25" s="9" t="s">
        <v>181</v>
      </c>
      <c r="G25" s="15" t="s">
        <v>17</v>
      </c>
      <c r="H25" s="3">
        <f>-(F26*0.0077)</f>
        <v>-2647.389411764706</v>
      </c>
    </row>
    <row r="26" spans="1:8" x14ac:dyDescent="0.25">
      <c r="F26" s="21">
        <f>D3-H3</f>
        <v>343816.80672268907</v>
      </c>
    </row>
    <row r="27" spans="1:8" ht="15.75" x14ac:dyDescent="0.25">
      <c r="A27" t="s">
        <v>8</v>
      </c>
      <c r="B27" s="9" t="s">
        <v>7</v>
      </c>
      <c r="C27" s="8">
        <f>D3*0.004</f>
        <v>1636.568</v>
      </c>
      <c r="F27" s="9" t="s">
        <v>13</v>
      </c>
      <c r="G27" s="16">
        <v>0.35</v>
      </c>
      <c r="H27" s="29">
        <f>-(F28*0.35)</f>
        <v>-22991.024729411762</v>
      </c>
    </row>
    <row r="28" spans="1:8" ht="15.75" thickBot="1" x14ac:dyDescent="0.3">
      <c r="F28" s="21">
        <f>H23</f>
        <v>65688.642084033607</v>
      </c>
      <c r="H28" s="7"/>
    </row>
    <row r="29" spans="1:8" x14ac:dyDescent="0.25">
      <c r="A29" t="s">
        <v>9</v>
      </c>
      <c r="B29" s="9" t="s">
        <v>7</v>
      </c>
      <c r="C29" s="6"/>
      <c r="G29" s="13" t="s">
        <v>14</v>
      </c>
      <c r="H29" s="6">
        <f>H23+H25+H27</f>
        <v>40050.227942857135</v>
      </c>
    </row>
    <row r="30" spans="1:8" ht="15.75" thickBot="1" x14ac:dyDescent="0.3">
      <c r="A30" s="16"/>
      <c r="B30" s="16"/>
      <c r="C30" s="7"/>
    </row>
    <row r="31" spans="1:8" x14ac:dyDescent="0.25">
      <c r="E31" t="s">
        <v>151</v>
      </c>
      <c r="H31" s="20">
        <f>H29*0.5</f>
        <v>20025.113971428567</v>
      </c>
    </row>
    <row r="32" spans="1:8" ht="15.75" x14ac:dyDescent="0.25">
      <c r="A32" t="s">
        <v>10</v>
      </c>
      <c r="C32" s="10">
        <f>C23-C25-C27-C29</f>
        <v>65688.642084033607</v>
      </c>
      <c r="H32" s="18"/>
    </row>
    <row r="33" spans="8:8" x14ac:dyDescent="0.25">
      <c r="H33" s="3"/>
    </row>
    <row r="34" spans="8:8" x14ac:dyDescent="0.25">
      <c r="H34" s="18"/>
    </row>
  </sheetData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91ED9-1D85-45D2-BB8B-8557BBF12712}">
  <dimension ref="A1:H34"/>
  <sheetViews>
    <sheetView topLeftCell="A13" workbookViewId="0">
      <selection activeCell="C29" sqref="C29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712</v>
      </c>
    </row>
    <row r="3" spans="1:8" ht="21" x14ac:dyDescent="0.35">
      <c r="A3" s="2" t="s">
        <v>1</v>
      </c>
      <c r="D3" s="11">
        <v>815150</v>
      </c>
      <c r="F3" s="12" t="s">
        <v>3</v>
      </c>
      <c r="H3" s="4">
        <f>(D3/1.19)*0.19</f>
        <v>130150</v>
      </c>
    </row>
    <row r="4" spans="1:8" x14ac:dyDescent="0.25">
      <c r="A4" s="13" t="s">
        <v>32</v>
      </c>
      <c r="C4" s="26">
        <v>1001</v>
      </c>
    </row>
    <row r="5" spans="1:8" ht="21" x14ac:dyDescent="0.35">
      <c r="A5" s="2" t="s">
        <v>2</v>
      </c>
    </row>
    <row r="7" spans="1:8" ht="18.75" x14ac:dyDescent="0.3">
      <c r="A7" s="5" t="s">
        <v>221</v>
      </c>
      <c r="D7" s="4">
        <v>610572</v>
      </c>
      <c r="E7" s="25"/>
      <c r="H7" s="4">
        <f t="shared" ref="H7:H12" si="0">(D7/1.19)*0.19</f>
        <v>97486.285714285725</v>
      </c>
    </row>
    <row r="8" spans="1:8" ht="18.75" x14ac:dyDescent="0.3">
      <c r="A8" s="5"/>
      <c r="C8" s="3"/>
      <c r="D8" s="32"/>
      <c r="E8" s="25"/>
      <c r="H8" s="4">
        <v>0</v>
      </c>
    </row>
    <row r="9" spans="1:8" ht="18.75" x14ac:dyDescent="0.3">
      <c r="A9" s="5"/>
      <c r="C9" s="3"/>
      <c r="D9" s="28"/>
      <c r="E9" s="25"/>
      <c r="H9" s="4">
        <f t="shared" si="0"/>
        <v>0</v>
      </c>
    </row>
    <row r="10" spans="1:8" ht="18.75" x14ac:dyDescent="0.3">
      <c r="A10" s="5"/>
      <c r="C10" s="3"/>
      <c r="D10" s="28"/>
      <c r="E10" s="25"/>
      <c r="H10" s="4">
        <f t="shared" si="0"/>
        <v>0</v>
      </c>
    </row>
    <row r="11" spans="1:8" ht="18.75" x14ac:dyDescent="0.3">
      <c r="A11" s="5"/>
      <c r="C11" s="3"/>
      <c r="D11" s="28"/>
      <c r="E11" s="25"/>
      <c r="H11" s="4">
        <f t="shared" si="0"/>
        <v>0</v>
      </c>
    </row>
    <row r="12" spans="1:8" ht="18.75" x14ac:dyDescent="0.3">
      <c r="A12" s="5"/>
      <c r="C12" s="3"/>
      <c r="D12" s="28"/>
      <c r="E12" s="25"/>
      <c r="H12" s="4">
        <f t="shared" si="0"/>
        <v>0</v>
      </c>
    </row>
    <row r="13" spans="1:8" ht="19.5" thickBot="1" x14ac:dyDescent="0.35">
      <c r="A13" s="5"/>
      <c r="C13" s="3"/>
      <c r="D13" s="22"/>
      <c r="E13" s="25"/>
      <c r="H13" s="22">
        <v>0</v>
      </c>
    </row>
    <row r="14" spans="1:8" ht="18.75" customHeight="1" x14ac:dyDescent="0.3">
      <c r="D14" s="4">
        <f>SUM(D7:D13)</f>
        <v>610572</v>
      </c>
      <c r="H14" s="4">
        <f>SUM(H7:H13)</f>
        <v>97486.285714285725</v>
      </c>
    </row>
    <row r="15" spans="1:8" ht="18.75" x14ac:dyDescent="0.3">
      <c r="A15" s="5"/>
      <c r="C15" s="3"/>
      <c r="D15" s="4"/>
      <c r="H15" s="4"/>
    </row>
    <row r="17" spans="1:8" ht="18.75" x14ac:dyDescent="0.3">
      <c r="A17" s="5"/>
      <c r="C17" s="3"/>
      <c r="D17" s="4"/>
      <c r="H17" s="4"/>
    </row>
    <row r="18" spans="1:8" ht="15.75" thickBot="1" x14ac:dyDescent="0.3">
      <c r="D18" s="7"/>
      <c r="H18" s="7"/>
    </row>
    <row r="20" spans="1:8" ht="18.75" x14ac:dyDescent="0.3">
      <c r="C20" t="s">
        <v>4</v>
      </c>
      <c r="D20" s="4">
        <f>D3-D14</f>
        <v>204578</v>
      </c>
      <c r="G20" t="s">
        <v>5</v>
      </c>
      <c r="H20" s="4">
        <f>H3-H14</f>
        <v>32663.714285714275</v>
      </c>
    </row>
    <row r="23" spans="1:8" ht="15.75" x14ac:dyDescent="0.25">
      <c r="A23" t="s">
        <v>6</v>
      </c>
      <c r="C23" s="8">
        <f>D20</f>
        <v>204578</v>
      </c>
      <c r="E23" t="s">
        <v>10</v>
      </c>
      <c r="H23" s="6">
        <f>C32</f>
        <v>168653.68571428573</v>
      </c>
    </row>
    <row r="25" spans="1:8" ht="15.75" x14ac:dyDescent="0.25">
      <c r="A25" t="s">
        <v>5</v>
      </c>
      <c r="B25" s="9" t="s">
        <v>7</v>
      </c>
      <c r="C25" s="8">
        <f>H20</f>
        <v>32663.714285714275</v>
      </c>
      <c r="E25" s="13" t="s">
        <v>11</v>
      </c>
      <c r="F25" s="9" t="s">
        <v>181</v>
      </c>
      <c r="G25" s="15" t="s">
        <v>17</v>
      </c>
      <c r="H25" s="3">
        <f>-(F26*0.0077)</f>
        <v>-5274.5</v>
      </c>
    </row>
    <row r="26" spans="1:8" x14ac:dyDescent="0.25">
      <c r="F26" s="21">
        <f>D3-H3</f>
        <v>685000</v>
      </c>
    </row>
    <row r="27" spans="1:8" ht="15.75" x14ac:dyDescent="0.25">
      <c r="A27" t="s">
        <v>8</v>
      </c>
      <c r="B27" s="9" t="s">
        <v>7</v>
      </c>
      <c r="C27" s="8">
        <f>D3*0.004</f>
        <v>3260.6</v>
      </c>
      <c r="F27" s="9" t="s">
        <v>13</v>
      </c>
      <c r="G27" s="16">
        <v>0.35</v>
      </c>
      <c r="H27" s="29">
        <f>-(F28*0.35)</f>
        <v>-59028.79</v>
      </c>
    </row>
    <row r="28" spans="1:8" ht="15.75" thickBot="1" x14ac:dyDescent="0.3">
      <c r="F28" s="21">
        <f>H23</f>
        <v>168653.68571428573</v>
      </c>
      <c r="H28" s="7"/>
    </row>
    <row r="29" spans="1:8" x14ac:dyDescent="0.25">
      <c r="A29" t="s">
        <v>9</v>
      </c>
      <c r="B29" s="9" t="s">
        <v>7</v>
      </c>
      <c r="C29" s="6"/>
      <c r="G29" s="13" t="s">
        <v>14</v>
      </c>
      <c r="H29" s="6">
        <f>H23+H25+H27</f>
        <v>104350.39571428573</v>
      </c>
    </row>
    <row r="30" spans="1:8" ht="15.75" thickBot="1" x14ac:dyDescent="0.3">
      <c r="A30" s="16"/>
      <c r="B30" s="16"/>
      <c r="C30" s="7"/>
    </row>
    <row r="31" spans="1:8" x14ac:dyDescent="0.25">
      <c r="E31" t="s">
        <v>151</v>
      </c>
      <c r="H31" s="20">
        <f>H29*0.5</f>
        <v>52175.197857142863</v>
      </c>
    </row>
    <row r="32" spans="1:8" ht="15.75" x14ac:dyDescent="0.25">
      <c r="A32" t="s">
        <v>10</v>
      </c>
      <c r="C32" s="10">
        <f>C23-C25-C27-C29</f>
        <v>168653.68571428573</v>
      </c>
      <c r="H32" s="18"/>
    </row>
    <row r="33" spans="8:8" x14ac:dyDescent="0.25">
      <c r="H33" s="3"/>
    </row>
    <row r="34" spans="8:8" x14ac:dyDescent="0.25">
      <c r="H34" s="18"/>
    </row>
  </sheetData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490D5-AA1B-44C8-817F-E7F63DA7BC2C}">
  <dimension ref="A1:H34"/>
  <sheetViews>
    <sheetView topLeftCell="A13" workbookViewId="0">
      <selection activeCell="L29" sqref="L29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713</v>
      </c>
    </row>
    <row r="3" spans="1:8" ht="21" x14ac:dyDescent="0.35">
      <c r="A3" s="2" t="s">
        <v>1</v>
      </c>
      <c r="D3" s="11">
        <v>66640</v>
      </c>
      <c r="F3" s="12" t="s">
        <v>3</v>
      </c>
      <c r="H3" s="4">
        <f>(D3/1.19)*0.19</f>
        <v>10640</v>
      </c>
    </row>
    <row r="4" spans="1:8" x14ac:dyDescent="0.25">
      <c r="A4" s="13" t="s">
        <v>32</v>
      </c>
      <c r="C4" s="26">
        <v>1004</v>
      </c>
    </row>
    <row r="5" spans="1:8" ht="21" x14ac:dyDescent="0.35">
      <c r="A5" s="2" t="s">
        <v>2</v>
      </c>
    </row>
    <row r="7" spans="1:8" ht="18.75" x14ac:dyDescent="0.3">
      <c r="A7" s="5" t="s">
        <v>221</v>
      </c>
      <c r="D7" s="4">
        <v>44600</v>
      </c>
      <c r="E7" s="25"/>
      <c r="H7" s="4">
        <f t="shared" ref="H7:H12" si="0">(D7/1.19)*0.19</f>
        <v>7121.0084033613448</v>
      </c>
    </row>
    <row r="8" spans="1:8" ht="18.75" x14ac:dyDescent="0.3">
      <c r="A8" s="5"/>
      <c r="C8" s="3"/>
      <c r="D8" s="32"/>
      <c r="E8" s="25"/>
      <c r="H8" s="4">
        <v>0</v>
      </c>
    </row>
    <row r="9" spans="1:8" ht="18.75" x14ac:dyDescent="0.3">
      <c r="A9" s="5"/>
      <c r="C9" s="3"/>
      <c r="D9" s="28"/>
      <c r="E9" s="25"/>
      <c r="H9" s="4">
        <f t="shared" si="0"/>
        <v>0</v>
      </c>
    </row>
    <row r="10" spans="1:8" ht="18.75" x14ac:dyDescent="0.3">
      <c r="A10" s="5"/>
      <c r="C10" s="3"/>
      <c r="D10" s="28"/>
      <c r="E10" s="25"/>
      <c r="H10" s="4">
        <f t="shared" si="0"/>
        <v>0</v>
      </c>
    </row>
    <row r="11" spans="1:8" ht="18.75" x14ac:dyDescent="0.3">
      <c r="A11" s="5"/>
      <c r="C11" s="3"/>
      <c r="D11" s="28"/>
      <c r="E11" s="25"/>
      <c r="H11" s="4">
        <f t="shared" si="0"/>
        <v>0</v>
      </c>
    </row>
    <row r="12" spans="1:8" ht="18.75" x14ac:dyDescent="0.3">
      <c r="A12" s="5"/>
      <c r="C12" s="3"/>
      <c r="D12" s="28"/>
      <c r="E12" s="25"/>
      <c r="H12" s="4">
        <f t="shared" si="0"/>
        <v>0</v>
      </c>
    </row>
    <row r="13" spans="1:8" ht="19.5" thickBot="1" x14ac:dyDescent="0.35">
      <c r="A13" s="5"/>
      <c r="C13" s="3"/>
      <c r="D13" s="22"/>
      <c r="E13" s="25"/>
      <c r="H13" s="22">
        <v>0</v>
      </c>
    </row>
    <row r="14" spans="1:8" ht="18.75" customHeight="1" x14ac:dyDescent="0.3">
      <c r="D14" s="4">
        <f>SUM(D7:D13)</f>
        <v>44600</v>
      </c>
      <c r="H14" s="4">
        <f>SUM(H7:H13)</f>
        <v>7121.0084033613448</v>
      </c>
    </row>
    <row r="15" spans="1:8" ht="18.75" x14ac:dyDescent="0.3">
      <c r="A15" s="5"/>
      <c r="C15" s="3"/>
      <c r="D15" s="4"/>
      <c r="H15" s="4"/>
    </row>
    <row r="17" spans="1:8" ht="18.75" x14ac:dyDescent="0.3">
      <c r="A17" s="5"/>
      <c r="C17" s="3"/>
      <c r="D17" s="4"/>
      <c r="H17" s="4"/>
    </row>
    <row r="18" spans="1:8" ht="15.75" thickBot="1" x14ac:dyDescent="0.3">
      <c r="D18" s="7"/>
      <c r="H18" s="7"/>
    </row>
    <row r="20" spans="1:8" ht="18.75" x14ac:dyDescent="0.3">
      <c r="C20" t="s">
        <v>4</v>
      </c>
      <c r="D20" s="4">
        <f>D3-D14</f>
        <v>22040</v>
      </c>
      <c r="G20" t="s">
        <v>5</v>
      </c>
      <c r="H20" s="4">
        <f>H3-H14</f>
        <v>3518.9915966386552</v>
      </c>
    </row>
    <row r="23" spans="1:8" ht="15.75" x14ac:dyDescent="0.25">
      <c r="A23" t="s">
        <v>6</v>
      </c>
      <c r="C23" s="8">
        <f>D20</f>
        <v>22040</v>
      </c>
      <c r="E23" t="s">
        <v>10</v>
      </c>
      <c r="H23" s="6">
        <f>C32</f>
        <v>18254.448403361344</v>
      </c>
    </row>
    <row r="25" spans="1:8" ht="15.75" x14ac:dyDescent="0.25">
      <c r="A25" t="s">
        <v>5</v>
      </c>
      <c r="B25" s="9" t="s">
        <v>7</v>
      </c>
      <c r="C25" s="8">
        <f>H20</f>
        <v>3518.9915966386552</v>
      </c>
      <c r="E25" s="13" t="s">
        <v>11</v>
      </c>
      <c r="F25" s="9" t="s">
        <v>181</v>
      </c>
      <c r="G25" s="15" t="s">
        <v>17</v>
      </c>
      <c r="H25" s="3">
        <f>-(F26*0.0077)</f>
        <v>-431.2</v>
      </c>
    </row>
    <row r="26" spans="1:8" x14ac:dyDescent="0.25">
      <c r="F26" s="21">
        <f>D3-H3</f>
        <v>56000</v>
      </c>
    </row>
    <row r="27" spans="1:8" ht="15.75" x14ac:dyDescent="0.25">
      <c r="A27" t="s">
        <v>8</v>
      </c>
      <c r="B27" s="9" t="s">
        <v>7</v>
      </c>
      <c r="C27" s="8">
        <f>D3*0.004</f>
        <v>266.56</v>
      </c>
      <c r="F27" s="9" t="s">
        <v>13</v>
      </c>
      <c r="G27" s="16">
        <v>0.35</v>
      </c>
      <c r="H27" s="29">
        <f>-(F28*0.35)</f>
        <v>-6389.05694117647</v>
      </c>
    </row>
    <row r="28" spans="1:8" ht="15.75" thickBot="1" x14ac:dyDescent="0.3">
      <c r="F28" s="21">
        <f>H23</f>
        <v>18254.448403361344</v>
      </c>
      <c r="H28" s="7"/>
    </row>
    <row r="29" spans="1:8" x14ac:dyDescent="0.25">
      <c r="A29" t="s">
        <v>9</v>
      </c>
      <c r="B29" s="9" t="s">
        <v>7</v>
      </c>
      <c r="C29" s="6"/>
      <c r="G29" s="13" t="s">
        <v>14</v>
      </c>
      <c r="H29" s="6">
        <f>H23+H25+H27</f>
        <v>11434.191462184874</v>
      </c>
    </row>
    <row r="30" spans="1:8" ht="15.75" thickBot="1" x14ac:dyDescent="0.3">
      <c r="A30" s="16"/>
      <c r="B30" s="16"/>
      <c r="C30" s="7"/>
    </row>
    <row r="31" spans="1:8" x14ac:dyDescent="0.25">
      <c r="E31" t="s">
        <v>151</v>
      </c>
      <c r="H31" s="20">
        <f>H29*0.5</f>
        <v>5717.0957310924368</v>
      </c>
    </row>
    <row r="32" spans="1:8" ht="15.75" x14ac:dyDescent="0.25">
      <c r="A32" t="s">
        <v>10</v>
      </c>
      <c r="C32" s="10">
        <f>C23-C25-C27-C29</f>
        <v>18254.448403361344</v>
      </c>
      <c r="H32" s="18"/>
    </row>
    <row r="33" spans="8:8" x14ac:dyDescent="0.25">
      <c r="H33" s="3"/>
    </row>
    <row r="34" spans="8:8" x14ac:dyDescent="0.25">
      <c r="H34" s="18"/>
    </row>
  </sheetData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55CCB-18AD-45BC-9C88-4A48DE7B01F7}">
  <dimension ref="A1:H34"/>
  <sheetViews>
    <sheetView topLeftCell="A13" workbookViewId="0">
      <selection activeCell="C29" sqref="C29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714</v>
      </c>
    </row>
    <row r="3" spans="1:8" ht="21" x14ac:dyDescent="0.35">
      <c r="A3" s="2" t="s">
        <v>1</v>
      </c>
      <c r="D3" s="11">
        <v>141015</v>
      </c>
      <c r="F3" s="12" t="s">
        <v>3</v>
      </c>
      <c r="H3" s="4">
        <f>(D3/1.19)*0.19</f>
        <v>22515</v>
      </c>
    </row>
    <row r="4" spans="1:8" x14ac:dyDescent="0.25">
      <c r="A4" s="13" t="s">
        <v>32</v>
      </c>
      <c r="C4" s="26">
        <v>1005</v>
      </c>
    </row>
    <row r="5" spans="1:8" ht="21" x14ac:dyDescent="0.35">
      <c r="A5" s="2" t="s">
        <v>2</v>
      </c>
    </row>
    <row r="7" spans="1:8" ht="18.75" x14ac:dyDescent="0.3">
      <c r="A7" s="5" t="s">
        <v>667</v>
      </c>
      <c r="D7" s="4">
        <v>90607</v>
      </c>
      <c r="E7" s="25"/>
      <c r="H7" s="4">
        <f t="shared" ref="H7:H12" si="0">(D7/1.19)*0.19</f>
        <v>14466.663865546219</v>
      </c>
    </row>
    <row r="8" spans="1:8" ht="18.75" x14ac:dyDescent="0.3">
      <c r="A8" s="5"/>
      <c r="C8" s="3"/>
      <c r="D8" s="32"/>
      <c r="E8" s="25"/>
      <c r="H8" s="4">
        <v>0</v>
      </c>
    </row>
    <row r="9" spans="1:8" ht="18.75" x14ac:dyDescent="0.3">
      <c r="A9" s="5"/>
      <c r="C9" s="3"/>
      <c r="D9" s="28"/>
      <c r="E9" s="25"/>
      <c r="H9" s="4">
        <f t="shared" si="0"/>
        <v>0</v>
      </c>
    </row>
    <row r="10" spans="1:8" ht="18.75" x14ac:dyDescent="0.3">
      <c r="A10" s="5"/>
      <c r="C10" s="3"/>
      <c r="D10" s="28"/>
      <c r="E10" s="25"/>
      <c r="H10" s="4">
        <f t="shared" si="0"/>
        <v>0</v>
      </c>
    </row>
    <row r="11" spans="1:8" ht="18.75" x14ac:dyDescent="0.3">
      <c r="A11" s="5"/>
      <c r="C11" s="3"/>
      <c r="D11" s="28"/>
      <c r="E11" s="25"/>
      <c r="H11" s="4">
        <f t="shared" si="0"/>
        <v>0</v>
      </c>
    </row>
    <row r="12" spans="1:8" ht="18.75" x14ac:dyDescent="0.3">
      <c r="A12" s="5"/>
      <c r="C12" s="3"/>
      <c r="D12" s="28"/>
      <c r="E12" s="25"/>
      <c r="H12" s="4">
        <f t="shared" si="0"/>
        <v>0</v>
      </c>
    </row>
    <row r="13" spans="1:8" ht="19.5" thickBot="1" x14ac:dyDescent="0.35">
      <c r="A13" s="5"/>
      <c r="C13" s="3"/>
      <c r="D13" s="22"/>
      <c r="E13" s="25"/>
      <c r="H13" s="22">
        <v>0</v>
      </c>
    </row>
    <row r="14" spans="1:8" ht="18.75" customHeight="1" x14ac:dyDescent="0.3">
      <c r="D14" s="4">
        <f>SUM(D7:D13)</f>
        <v>90607</v>
      </c>
      <c r="H14" s="4">
        <f>SUM(H7:H13)</f>
        <v>14466.663865546219</v>
      </c>
    </row>
    <row r="15" spans="1:8" ht="18.75" x14ac:dyDescent="0.3">
      <c r="A15" s="5"/>
      <c r="C15" s="3"/>
      <c r="D15" s="4"/>
      <c r="H15" s="4"/>
    </row>
    <row r="17" spans="1:8" ht="18.75" x14ac:dyDescent="0.3">
      <c r="A17" s="5"/>
      <c r="C17" s="3"/>
      <c r="D17" s="4"/>
      <c r="H17" s="4"/>
    </row>
    <row r="18" spans="1:8" ht="15.75" thickBot="1" x14ac:dyDescent="0.3">
      <c r="D18" s="7"/>
      <c r="H18" s="7"/>
    </row>
    <row r="20" spans="1:8" ht="18.75" x14ac:dyDescent="0.3">
      <c r="C20" t="s">
        <v>4</v>
      </c>
      <c r="D20" s="4">
        <f>D3-D14</f>
        <v>50408</v>
      </c>
      <c r="G20" t="s">
        <v>5</v>
      </c>
      <c r="H20" s="4">
        <f>H3-H14</f>
        <v>8048.3361344537807</v>
      </c>
    </row>
    <row r="23" spans="1:8" ht="15.75" x14ac:dyDescent="0.25">
      <c r="A23" t="s">
        <v>6</v>
      </c>
      <c r="C23" s="8">
        <f>D20</f>
        <v>50408</v>
      </c>
      <c r="E23" t="s">
        <v>10</v>
      </c>
      <c r="H23" s="6">
        <f>C32</f>
        <v>41795.603865546218</v>
      </c>
    </row>
    <row r="25" spans="1:8" ht="15.75" x14ac:dyDescent="0.25">
      <c r="A25" t="s">
        <v>5</v>
      </c>
      <c r="B25" s="9" t="s">
        <v>7</v>
      </c>
      <c r="C25" s="8">
        <f>H20</f>
        <v>8048.3361344537807</v>
      </c>
      <c r="E25" s="13" t="s">
        <v>11</v>
      </c>
      <c r="F25" s="9" t="s">
        <v>181</v>
      </c>
      <c r="G25" s="15" t="s">
        <v>17</v>
      </c>
      <c r="H25" s="3">
        <f>-(F26*0.0077)</f>
        <v>-912.45</v>
      </c>
    </row>
    <row r="26" spans="1:8" x14ac:dyDescent="0.25">
      <c r="F26" s="21">
        <f>D3-H3</f>
        <v>118500</v>
      </c>
    </row>
    <row r="27" spans="1:8" ht="15.75" x14ac:dyDescent="0.25">
      <c r="A27" t="s">
        <v>8</v>
      </c>
      <c r="B27" s="9" t="s">
        <v>7</v>
      </c>
      <c r="C27" s="8">
        <f>D3*0.004</f>
        <v>564.06000000000006</v>
      </c>
      <c r="F27" s="9" t="s">
        <v>13</v>
      </c>
      <c r="G27" s="16">
        <v>0.35</v>
      </c>
      <c r="H27" s="29">
        <f>-(F28*0.35)</f>
        <v>-14628.461352941174</v>
      </c>
    </row>
    <row r="28" spans="1:8" ht="15.75" thickBot="1" x14ac:dyDescent="0.3">
      <c r="F28" s="21">
        <f>H23</f>
        <v>41795.603865546218</v>
      </c>
      <c r="H28" s="7"/>
    </row>
    <row r="29" spans="1:8" x14ac:dyDescent="0.25">
      <c r="A29" t="s">
        <v>9</v>
      </c>
      <c r="B29" s="9" t="s">
        <v>7</v>
      </c>
      <c r="C29" s="6"/>
      <c r="G29" s="13" t="s">
        <v>14</v>
      </c>
      <c r="H29" s="6">
        <f>H23+H25+H27</f>
        <v>26254.692512605048</v>
      </c>
    </row>
    <row r="30" spans="1:8" ht="15.75" thickBot="1" x14ac:dyDescent="0.3">
      <c r="A30" s="16"/>
      <c r="B30" s="16"/>
      <c r="C30" s="7"/>
    </row>
    <row r="31" spans="1:8" x14ac:dyDescent="0.25">
      <c r="E31" t="s">
        <v>151</v>
      </c>
      <c r="H31" s="20">
        <f>H29*0.5</f>
        <v>13127.346256302524</v>
      </c>
    </row>
    <row r="32" spans="1:8" ht="15.75" x14ac:dyDescent="0.25">
      <c r="A32" t="s">
        <v>10</v>
      </c>
      <c r="C32" s="10">
        <f>C23-C25-C27-C29</f>
        <v>41795.603865546218</v>
      </c>
      <c r="H32" s="18"/>
    </row>
    <row r="33" spans="8:8" x14ac:dyDescent="0.25">
      <c r="H33" s="3"/>
    </row>
    <row r="34" spans="8:8" x14ac:dyDescent="0.25">
      <c r="H34" s="18"/>
    </row>
  </sheetData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3C117-C3DE-45A2-A6DC-77A6BFB03D78}">
  <dimension ref="A1:H34"/>
  <sheetViews>
    <sheetView topLeftCell="A10" workbookViewId="0">
      <selection activeCell="C29" sqref="C29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715</v>
      </c>
    </row>
    <row r="3" spans="1:8" ht="21" x14ac:dyDescent="0.35">
      <c r="A3" s="2" t="s">
        <v>1</v>
      </c>
      <c r="D3" s="11">
        <v>414120</v>
      </c>
      <c r="F3" s="12" t="s">
        <v>3</v>
      </c>
      <c r="H3" s="4">
        <f>(D3/1.19)*0.19</f>
        <v>66120</v>
      </c>
    </row>
    <row r="4" spans="1:8" x14ac:dyDescent="0.25">
      <c r="A4" s="13" t="s">
        <v>32</v>
      </c>
      <c r="C4" s="26">
        <v>1005</v>
      </c>
    </row>
    <row r="5" spans="1:8" ht="21" x14ac:dyDescent="0.35">
      <c r="A5" s="2" t="s">
        <v>2</v>
      </c>
    </row>
    <row r="7" spans="1:8" ht="18.75" x14ac:dyDescent="0.3">
      <c r="A7" s="5" t="s">
        <v>476</v>
      </c>
      <c r="D7" s="4">
        <v>239400</v>
      </c>
      <c r="E7" s="25"/>
      <c r="H7" s="4">
        <f t="shared" ref="H7:H12" si="0">(D7/1.19)*0.19</f>
        <v>38223.529411764706</v>
      </c>
    </row>
    <row r="8" spans="1:8" ht="18.75" x14ac:dyDescent="0.3">
      <c r="A8" s="5" t="s">
        <v>343</v>
      </c>
      <c r="C8" s="3"/>
      <c r="D8" s="32">
        <v>18000</v>
      </c>
      <c r="E8" s="25"/>
      <c r="H8" s="4">
        <f t="shared" si="0"/>
        <v>2873.9495798319331</v>
      </c>
    </row>
    <row r="9" spans="1:8" ht="18.75" x14ac:dyDescent="0.3">
      <c r="A9" s="5"/>
      <c r="C9" s="3"/>
      <c r="D9" s="28"/>
      <c r="E9" s="25"/>
      <c r="H9" s="4">
        <f t="shared" si="0"/>
        <v>0</v>
      </c>
    </row>
    <row r="10" spans="1:8" ht="18.75" x14ac:dyDescent="0.3">
      <c r="A10" s="5"/>
      <c r="C10" s="3"/>
      <c r="D10" s="28"/>
      <c r="E10" s="25"/>
      <c r="H10" s="4">
        <f t="shared" si="0"/>
        <v>0</v>
      </c>
    </row>
    <row r="11" spans="1:8" ht="18.75" x14ac:dyDescent="0.3">
      <c r="A11" s="5"/>
      <c r="C11" s="3"/>
      <c r="D11" s="28"/>
      <c r="E11" s="25"/>
      <c r="H11" s="4">
        <f t="shared" si="0"/>
        <v>0</v>
      </c>
    </row>
    <row r="12" spans="1:8" ht="18.75" x14ac:dyDescent="0.3">
      <c r="A12" s="5"/>
      <c r="C12" s="3"/>
      <c r="D12" s="28"/>
      <c r="E12" s="25"/>
      <c r="H12" s="4">
        <f t="shared" si="0"/>
        <v>0</v>
      </c>
    </row>
    <row r="13" spans="1:8" ht="19.5" thickBot="1" x14ac:dyDescent="0.35">
      <c r="A13" s="5"/>
      <c r="C13" s="3"/>
      <c r="D13" s="22"/>
      <c r="E13" s="25"/>
      <c r="H13" s="22">
        <v>0</v>
      </c>
    </row>
    <row r="14" spans="1:8" ht="18.75" customHeight="1" x14ac:dyDescent="0.3">
      <c r="D14" s="4">
        <f>SUM(D7:D13)</f>
        <v>257400</v>
      </c>
      <c r="H14" s="4">
        <f>SUM(H7:H13)</f>
        <v>41097.478991596639</v>
      </c>
    </row>
    <row r="15" spans="1:8" ht="18.75" x14ac:dyDescent="0.3">
      <c r="A15" s="5"/>
      <c r="C15" s="3"/>
      <c r="D15" s="4"/>
      <c r="H15" s="4"/>
    </row>
    <row r="17" spans="1:8" ht="18.75" x14ac:dyDescent="0.3">
      <c r="A17" s="5"/>
      <c r="C17" s="3"/>
      <c r="D17" s="4"/>
      <c r="H17" s="4"/>
    </row>
    <row r="18" spans="1:8" ht="15.75" thickBot="1" x14ac:dyDescent="0.3">
      <c r="D18" s="7"/>
      <c r="H18" s="7"/>
    </row>
    <row r="20" spans="1:8" ht="18.75" x14ac:dyDescent="0.3">
      <c r="C20" t="s">
        <v>4</v>
      </c>
      <c r="D20" s="4">
        <f>D3-D14</f>
        <v>156720</v>
      </c>
      <c r="G20" t="s">
        <v>5</v>
      </c>
      <c r="H20" s="4">
        <f>H3-H14</f>
        <v>25022.521008403361</v>
      </c>
    </row>
    <row r="23" spans="1:8" ht="15.75" x14ac:dyDescent="0.25">
      <c r="A23" t="s">
        <v>6</v>
      </c>
      <c r="C23" s="8">
        <f>D20</f>
        <v>156720</v>
      </c>
      <c r="E23" t="s">
        <v>10</v>
      </c>
      <c r="H23" s="6">
        <f>C32</f>
        <v>130040.99899159664</v>
      </c>
    </row>
    <row r="25" spans="1:8" ht="15.75" x14ac:dyDescent="0.25">
      <c r="A25" t="s">
        <v>5</v>
      </c>
      <c r="B25" s="9" t="s">
        <v>7</v>
      </c>
      <c r="C25" s="8">
        <f>H20</f>
        <v>25022.521008403361</v>
      </c>
      <c r="E25" s="13" t="s">
        <v>11</v>
      </c>
      <c r="F25" s="9" t="s">
        <v>181</v>
      </c>
      <c r="G25" s="15" t="s">
        <v>17</v>
      </c>
      <c r="H25" s="3">
        <f>-(F26*0.0077)</f>
        <v>-2679.6</v>
      </c>
    </row>
    <row r="26" spans="1:8" x14ac:dyDescent="0.25">
      <c r="F26" s="21">
        <f>D3-H3</f>
        <v>348000</v>
      </c>
    </row>
    <row r="27" spans="1:8" ht="15.75" x14ac:dyDescent="0.25">
      <c r="A27" t="s">
        <v>8</v>
      </c>
      <c r="B27" s="9" t="s">
        <v>7</v>
      </c>
      <c r="C27" s="8">
        <f>D3*0.004</f>
        <v>1656.48</v>
      </c>
      <c r="F27" s="9" t="s">
        <v>13</v>
      </c>
      <c r="G27" s="16">
        <v>0.35</v>
      </c>
      <c r="H27" s="29">
        <f>-(F28*0.35)</f>
        <v>-45514.349647058822</v>
      </c>
    </row>
    <row r="28" spans="1:8" ht="15.75" thickBot="1" x14ac:dyDescent="0.3">
      <c r="F28" s="21">
        <f>H23</f>
        <v>130040.99899159664</v>
      </c>
      <c r="H28" s="7"/>
    </row>
    <row r="29" spans="1:8" x14ac:dyDescent="0.25">
      <c r="A29" t="s">
        <v>9</v>
      </c>
      <c r="B29" s="9" t="s">
        <v>7</v>
      </c>
      <c r="C29" s="6"/>
      <c r="G29" s="13" t="s">
        <v>14</v>
      </c>
      <c r="H29" s="6">
        <f>H23+H25+H27</f>
        <v>81847.049344537809</v>
      </c>
    </row>
    <row r="30" spans="1:8" ht="15.75" thickBot="1" x14ac:dyDescent="0.3">
      <c r="A30" s="16"/>
      <c r="B30" s="16"/>
      <c r="C30" s="7"/>
    </row>
    <row r="31" spans="1:8" x14ac:dyDescent="0.25">
      <c r="E31" t="s">
        <v>151</v>
      </c>
      <c r="H31" s="20">
        <f>H29*0.5</f>
        <v>40923.524672268904</v>
      </c>
    </row>
    <row r="32" spans="1:8" ht="15.75" x14ac:dyDescent="0.25">
      <c r="A32" t="s">
        <v>10</v>
      </c>
      <c r="C32" s="10">
        <f>C23-C25-C27-C29</f>
        <v>130040.99899159664</v>
      </c>
      <c r="H32" s="18"/>
    </row>
    <row r="33" spans="8:8" x14ac:dyDescent="0.25">
      <c r="H33" s="3"/>
    </row>
    <row r="34" spans="8:8" x14ac:dyDescent="0.25">
      <c r="H34" s="18"/>
    </row>
  </sheetData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08CA6-1D36-4A9E-8ABE-FBAD1766BC00}">
  <dimension ref="A1:H34"/>
  <sheetViews>
    <sheetView topLeftCell="A13" workbookViewId="0">
      <selection activeCell="C29" sqref="C29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716</v>
      </c>
    </row>
    <row r="3" spans="1:8" ht="21" x14ac:dyDescent="0.35">
      <c r="A3" s="2" t="s">
        <v>1</v>
      </c>
      <c r="D3" s="11">
        <v>77350</v>
      </c>
      <c r="F3" s="12" t="s">
        <v>3</v>
      </c>
      <c r="H3" s="4">
        <f>(D3/1.19)*0.19</f>
        <v>12350</v>
      </c>
    </row>
    <row r="4" spans="1:8" x14ac:dyDescent="0.25">
      <c r="A4" s="13" t="s">
        <v>32</v>
      </c>
      <c r="C4" s="26">
        <v>1011</v>
      </c>
    </row>
    <row r="5" spans="1:8" ht="21" x14ac:dyDescent="0.35">
      <c r="A5" s="2" t="s">
        <v>2</v>
      </c>
    </row>
    <row r="7" spans="1:8" ht="18.75" x14ac:dyDescent="0.3">
      <c r="A7" s="5" t="s">
        <v>221</v>
      </c>
      <c r="D7" s="4">
        <v>50000</v>
      </c>
      <c r="E7" s="25"/>
      <c r="H7" s="4">
        <f t="shared" ref="H7:H12" si="0">(D7/1.19)*0.19</f>
        <v>7983.1932773109247</v>
      </c>
    </row>
    <row r="8" spans="1:8" ht="18.75" x14ac:dyDescent="0.3">
      <c r="A8" s="5"/>
      <c r="C8" s="3"/>
      <c r="D8" s="32"/>
      <c r="E8" s="25"/>
      <c r="H8" s="4">
        <f t="shared" si="0"/>
        <v>0</v>
      </c>
    </row>
    <row r="9" spans="1:8" ht="18.75" x14ac:dyDescent="0.3">
      <c r="A9" s="5"/>
      <c r="C9" s="3"/>
      <c r="D9" s="28"/>
      <c r="E9" s="25"/>
      <c r="H9" s="4">
        <f t="shared" si="0"/>
        <v>0</v>
      </c>
    </row>
    <row r="10" spans="1:8" ht="18.75" x14ac:dyDescent="0.3">
      <c r="A10" s="5"/>
      <c r="C10" s="3"/>
      <c r="D10" s="28"/>
      <c r="E10" s="25"/>
      <c r="H10" s="4">
        <f t="shared" si="0"/>
        <v>0</v>
      </c>
    </row>
    <row r="11" spans="1:8" ht="18.75" x14ac:dyDescent="0.3">
      <c r="A11" s="5"/>
      <c r="C11" s="3"/>
      <c r="D11" s="28"/>
      <c r="E11" s="25"/>
      <c r="H11" s="4">
        <f t="shared" si="0"/>
        <v>0</v>
      </c>
    </row>
    <row r="12" spans="1:8" ht="18.75" x14ac:dyDescent="0.3">
      <c r="A12" s="5"/>
      <c r="C12" s="3"/>
      <c r="D12" s="28"/>
      <c r="E12" s="25"/>
      <c r="H12" s="4">
        <f t="shared" si="0"/>
        <v>0</v>
      </c>
    </row>
    <row r="13" spans="1:8" ht="19.5" thickBot="1" x14ac:dyDescent="0.35">
      <c r="A13" s="5"/>
      <c r="C13" s="3"/>
      <c r="D13" s="22"/>
      <c r="E13" s="25"/>
      <c r="H13" s="22">
        <v>0</v>
      </c>
    </row>
    <row r="14" spans="1:8" ht="18.75" customHeight="1" x14ac:dyDescent="0.3">
      <c r="D14" s="4">
        <f>SUM(D7:D13)</f>
        <v>50000</v>
      </c>
      <c r="H14" s="4">
        <f>SUM(H7:H13)</f>
        <v>7983.1932773109247</v>
      </c>
    </row>
    <row r="15" spans="1:8" ht="18.75" x14ac:dyDescent="0.3">
      <c r="A15" s="5"/>
      <c r="C15" s="3"/>
      <c r="D15" s="4"/>
      <c r="H15" s="4"/>
    </row>
    <row r="17" spans="1:8" ht="18.75" x14ac:dyDescent="0.3">
      <c r="A17" s="5"/>
      <c r="C17" s="3"/>
      <c r="D17" s="4"/>
      <c r="H17" s="4"/>
    </row>
    <row r="18" spans="1:8" ht="15.75" thickBot="1" x14ac:dyDescent="0.3">
      <c r="D18" s="7"/>
      <c r="H18" s="7"/>
    </row>
    <row r="20" spans="1:8" ht="18.75" x14ac:dyDescent="0.3">
      <c r="C20" t="s">
        <v>4</v>
      </c>
      <c r="D20" s="4">
        <f>D3-D14</f>
        <v>27350</v>
      </c>
      <c r="G20" t="s">
        <v>5</v>
      </c>
      <c r="H20" s="4">
        <f>H3-H14</f>
        <v>4366.8067226890753</v>
      </c>
    </row>
    <row r="23" spans="1:8" ht="15.75" x14ac:dyDescent="0.25">
      <c r="A23" t="s">
        <v>6</v>
      </c>
      <c r="C23" s="8">
        <f>D20</f>
        <v>27350</v>
      </c>
      <c r="E23" t="s">
        <v>10</v>
      </c>
      <c r="H23" s="6">
        <f>C32</f>
        <v>22673.793277310924</v>
      </c>
    </row>
    <row r="25" spans="1:8" ht="15.75" x14ac:dyDescent="0.25">
      <c r="A25" t="s">
        <v>5</v>
      </c>
      <c r="B25" s="9" t="s">
        <v>7</v>
      </c>
      <c r="C25" s="8">
        <f>H20</f>
        <v>4366.8067226890753</v>
      </c>
      <c r="E25" s="13" t="s">
        <v>11</v>
      </c>
      <c r="F25" s="9" t="s">
        <v>181</v>
      </c>
      <c r="G25" s="15" t="s">
        <v>17</v>
      </c>
      <c r="H25" s="3">
        <f>-(F26*0.0077)</f>
        <v>-500.5</v>
      </c>
    </row>
    <row r="26" spans="1:8" x14ac:dyDescent="0.25">
      <c r="F26" s="21">
        <f>D3-H3</f>
        <v>65000</v>
      </c>
    </row>
    <row r="27" spans="1:8" ht="15.75" x14ac:dyDescent="0.25">
      <c r="A27" t="s">
        <v>8</v>
      </c>
      <c r="B27" s="9" t="s">
        <v>7</v>
      </c>
      <c r="C27" s="8">
        <f>D3*0.004</f>
        <v>309.40000000000003</v>
      </c>
      <c r="F27" s="9" t="s">
        <v>13</v>
      </c>
      <c r="G27" s="16">
        <v>0.35</v>
      </c>
      <c r="H27" s="29">
        <f>-(F28*0.35)</f>
        <v>-7935.8276470588225</v>
      </c>
    </row>
    <row r="28" spans="1:8" ht="15.75" thickBot="1" x14ac:dyDescent="0.3">
      <c r="F28" s="21">
        <f>H23</f>
        <v>22673.793277310924</v>
      </c>
      <c r="H28" s="7"/>
    </row>
    <row r="29" spans="1:8" x14ac:dyDescent="0.25">
      <c r="A29" t="s">
        <v>9</v>
      </c>
      <c r="B29" s="9" t="s">
        <v>7</v>
      </c>
      <c r="C29" s="6"/>
      <c r="G29" s="13" t="s">
        <v>14</v>
      </c>
      <c r="H29" s="6">
        <f>H23+H25+H27</f>
        <v>14237.465630252102</v>
      </c>
    </row>
    <row r="30" spans="1:8" ht="15.75" thickBot="1" x14ac:dyDescent="0.3">
      <c r="A30" s="16"/>
      <c r="B30" s="16"/>
      <c r="C30" s="7"/>
    </row>
    <row r="31" spans="1:8" x14ac:dyDescent="0.25">
      <c r="E31" t="s">
        <v>151</v>
      </c>
      <c r="H31" s="20">
        <f>H29*0.5</f>
        <v>7118.7328151260508</v>
      </c>
    </row>
    <row r="32" spans="1:8" ht="15.75" x14ac:dyDescent="0.25">
      <c r="A32" t="s">
        <v>10</v>
      </c>
      <c r="C32" s="10">
        <f>C23-C25-C27-C29</f>
        <v>22673.793277310924</v>
      </c>
      <c r="H32" s="18"/>
    </row>
    <row r="33" spans="8:8" x14ac:dyDescent="0.25">
      <c r="H33" s="3"/>
    </row>
    <row r="34" spans="8:8" x14ac:dyDescent="0.25">
      <c r="H34" s="18"/>
    </row>
  </sheetData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E712E-B7C9-4A6D-83B2-8744624E9535}">
  <dimension ref="A1:H34"/>
  <sheetViews>
    <sheetView topLeftCell="A16" workbookViewId="0">
      <selection activeCell="C29" sqref="C29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717</v>
      </c>
    </row>
    <row r="3" spans="1:8" ht="21" x14ac:dyDescent="0.35">
      <c r="A3" s="2" t="s">
        <v>1</v>
      </c>
      <c r="D3" s="11">
        <v>360000</v>
      </c>
      <c r="F3" s="12" t="s">
        <v>3</v>
      </c>
      <c r="H3" s="4">
        <f>(D3/1.19)*0.19</f>
        <v>57478.991596638662</v>
      </c>
    </row>
    <row r="4" spans="1:8" x14ac:dyDescent="0.25">
      <c r="A4" s="13" t="s">
        <v>32</v>
      </c>
      <c r="C4" s="26">
        <v>1012</v>
      </c>
    </row>
    <row r="5" spans="1:8" ht="21" x14ac:dyDescent="0.35">
      <c r="A5" s="2" t="s">
        <v>2</v>
      </c>
    </row>
    <row r="7" spans="1:8" ht="18.75" x14ac:dyDescent="0.3">
      <c r="A7" s="5" t="s">
        <v>718</v>
      </c>
      <c r="D7" s="4">
        <v>280000</v>
      </c>
      <c r="E7" s="25"/>
      <c r="H7" s="4">
        <f t="shared" ref="H7:H12" si="0">(D7/1.19)*0.19</f>
        <v>44705.882352941175</v>
      </c>
    </row>
    <row r="8" spans="1:8" ht="18.75" x14ac:dyDescent="0.3">
      <c r="A8" s="5"/>
      <c r="C8" s="3"/>
      <c r="D8" s="32"/>
      <c r="E8" s="25"/>
      <c r="H8" s="4">
        <f t="shared" si="0"/>
        <v>0</v>
      </c>
    </row>
    <row r="9" spans="1:8" ht="18.75" x14ac:dyDescent="0.3">
      <c r="A9" s="5"/>
      <c r="C9" s="3"/>
      <c r="D9" s="28"/>
      <c r="E9" s="25"/>
      <c r="H9" s="4">
        <f t="shared" si="0"/>
        <v>0</v>
      </c>
    </row>
    <row r="10" spans="1:8" ht="18.75" x14ac:dyDescent="0.3">
      <c r="A10" s="5"/>
      <c r="C10" s="3"/>
      <c r="D10" s="28"/>
      <c r="E10" s="25"/>
      <c r="H10" s="4">
        <f t="shared" si="0"/>
        <v>0</v>
      </c>
    </row>
    <row r="11" spans="1:8" ht="18.75" x14ac:dyDescent="0.3">
      <c r="A11" s="5"/>
      <c r="C11" s="3"/>
      <c r="D11" s="28"/>
      <c r="E11" s="25"/>
      <c r="H11" s="4">
        <f t="shared" si="0"/>
        <v>0</v>
      </c>
    </row>
    <row r="12" spans="1:8" ht="18.75" x14ac:dyDescent="0.3">
      <c r="A12" s="5"/>
      <c r="C12" s="3"/>
      <c r="D12" s="28"/>
      <c r="E12" s="25"/>
      <c r="H12" s="4">
        <f t="shared" si="0"/>
        <v>0</v>
      </c>
    </row>
    <row r="13" spans="1:8" ht="19.5" thickBot="1" x14ac:dyDescent="0.35">
      <c r="A13" s="5"/>
      <c r="C13" s="3"/>
      <c r="D13" s="22"/>
      <c r="E13" s="25"/>
      <c r="H13" s="22">
        <v>0</v>
      </c>
    </row>
    <row r="14" spans="1:8" ht="18.75" customHeight="1" x14ac:dyDescent="0.3">
      <c r="D14" s="4">
        <f>SUM(D7:D13)</f>
        <v>280000</v>
      </c>
      <c r="H14" s="4">
        <f>SUM(H7:H13)</f>
        <v>44705.882352941175</v>
      </c>
    </row>
    <row r="15" spans="1:8" ht="18.75" x14ac:dyDescent="0.3">
      <c r="A15" s="5"/>
      <c r="C15" s="3"/>
      <c r="D15" s="4"/>
      <c r="H15" s="4"/>
    </row>
    <row r="17" spans="1:8" ht="18.75" x14ac:dyDescent="0.3">
      <c r="A17" s="5"/>
      <c r="C17" s="3"/>
      <c r="D17" s="4"/>
      <c r="H17" s="4"/>
    </row>
    <row r="18" spans="1:8" ht="15.75" thickBot="1" x14ac:dyDescent="0.3">
      <c r="D18" s="7"/>
      <c r="H18" s="7"/>
    </row>
    <row r="20" spans="1:8" ht="18.75" x14ac:dyDescent="0.3">
      <c r="C20" t="s">
        <v>4</v>
      </c>
      <c r="D20" s="4">
        <f>D3-D14</f>
        <v>80000</v>
      </c>
      <c r="G20" t="s">
        <v>5</v>
      </c>
      <c r="H20" s="4">
        <f>H3-H14</f>
        <v>12773.109243697487</v>
      </c>
    </row>
    <row r="23" spans="1:8" ht="15.75" x14ac:dyDescent="0.25">
      <c r="A23" t="s">
        <v>6</v>
      </c>
      <c r="C23" s="8">
        <f>D20</f>
        <v>80000</v>
      </c>
      <c r="E23" t="s">
        <v>10</v>
      </c>
      <c r="H23" s="6">
        <f>C32</f>
        <v>65786.890756302513</v>
      </c>
    </row>
    <row r="25" spans="1:8" ht="15.75" x14ac:dyDescent="0.25">
      <c r="A25" t="s">
        <v>5</v>
      </c>
      <c r="B25" s="9" t="s">
        <v>7</v>
      </c>
      <c r="C25" s="8">
        <f>H20</f>
        <v>12773.109243697487</v>
      </c>
      <c r="E25" s="13" t="s">
        <v>11</v>
      </c>
      <c r="F25" s="9" t="s">
        <v>181</v>
      </c>
      <c r="G25" s="15" t="s">
        <v>17</v>
      </c>
      <c r="H25" s="3">
        <f>-(F26*0.0077)</f>
        <v>-2329.411764705882</v>
      </c>
    </row>
    <row r="26" spans="1:8" x14ac:dyDescent="0.25">
      <c r="F26" s="21">
        <f>D3-H3</f>
        <v>302521.00840336131</v>
      </c>
    </row>
    <row r="27" spans="1:8" ht="15.75" x14ac:dyDescent="0.25">
      <c r="A27" t="s">
        <v>8</v>
      </c>
      <c r="B27" s="9" t="s">
        <v>7</v>
      </c>
      <c r="C27" s="8">
        <f>D3*0.004</f>
        <v>1440</v>
      </c>
      <c r="F27" s="9" t="s">
        <v>13</v>
      </c>
      <c r="G27" s="16">
        <v>0.35</v>
      </c>
      <c r="H27" s="29">
        <f>-(F28*0.35)</f>
        <v>-23025.411764705877</v>
      </c>
    </row>
    <row r="28" spans="1:8" ht="15.75" thickBot="1" x14ac:dyDescent="0.3">
      <c r="F28" s="21">
        <f>H23</f>
        <v>65786.890756302513</v>
      </c>
      <c r="H28" s="7"/>
    </row>
    <row r="29" spans="1:8" x14ac:dyDescent="0.25">
      <c r="A29" t="s">
        <v>9</v>
      </c>
      <c r="B29" s="9" t="s">
        <v>7</v>
      </c>
      <c r="C29" s="6"/>
      <c r="G29" s="13" t="s">
        <v>14</v>
      </c>
      <c r="H29" s="6">
        <f>H23+H25+H27</f>
        <v>40432.067226890751</v>
      </c>
    </row>
    <row r="30" spans="1:8" ht="15.75" thickBot="1" x14ac:dyDescent="0.3">
      <c r="A30" s="16"/>
      <c r="B30" s="16"/>
      <c r="C30" s="7"/>
    </row>
    <row r="31" spans="1:8" x14ac:dyDescent="0.25">
      <c r="E31" t="s">
        <v>151</v>
      </c>
      <c r="H31" s="20">
        <f>H29*0.5</f>
        <v>20216.033613445376</v>
      </c>
    </row>
    <row r="32" spans="1:8" ht="15.75" x14ac:dyDescent="0.25">
      <c r="A32" t="s">
        <v>10</v>
      </c>
      <c r="C32" s="10">
        <f>C23-C25-C27-C29</f>
        <v>65786.890756302513</v>
      </c>
      <c r="H32" s="18"/>
    </row>
    <row r="33" spans="8:8" x14ac:dyDescent="0.25">
      <c r="H33" s="3"/>
    </row>
    <row r="34" spans="8:8" x14ac:dyDescent="0.25">
      <c r="H34" s="18"/>
    </row>
  </sheetData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00624-2F26-48C9-9454-86F106CD92A4}">
  <dimension ref="A1:H34"/>
  <sheetViews>
    <sheetView topLeftCell="A13" workbookViewId="0">
      <selection activeCell="C29" sqref="C29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716</v>
      </c>
    </row>
    <row r="3" spans="1:8" ht="21" x14ac:dyDescent="0.35">
      <c r="A3" s="2" t="s">
        <v>1</v>
      </c>
      <c r="D3" s="11">
        <v>16660</v>
      </c>
      <c r="F3" s="12" t="s">
        <v>3</v>
      </c>
      <c r="H3" s="4">
        <f>(D3/1.19)*0.19</f>
        <v>2660</v>
      </c>
    </row>
    <row r="4" spans="1:8" x14ac:dyDescent="0.25">
      <c r="A4" s="13" t="s">
        <v>32</v>
      </c>
      <c r="C4" s="26">
        <v>1013</v>
      </c>
    </row>
    <row r="5" spans="1:8" ht="21" x14ac:dyDescent="0.35">
      <c r="A5" s="2" t="s">
        <v>2</v>
      </c>
    </row>
    <row r="7" spans="1:8" ht="18.75" x14ac:dyDescent="0.3">
      <c r="A7" s="5" t="s">
        <v>622</v>
      </c>
      <c r="D7" s="4">
        <v>12000</v>
      </c>
      <c r="E7" s="25"/>
      <c r="H7" s="4">
        <f t="shared" ref="H7:H12" si="0">(D7/1.19)*0.19</f>
        <v>1915.966386554622</v>
      </c>
    </row>
    <row r="8" spans="1:8" ht="18.75" x14ac:dyDescent="0.3">
      <c r="A8" s="5"/>
      <c r="C8" s="3"/>
      <c r="D8" s="32"/>
      <c r="E8" s="25"/>
      <c r="H8" s="4">
        <f t="shared" si="0"/>
        <v>0</v>
      </c>
    </row>
    <row r="9" spans="1:8" ht="18.75" x14ac:dyDescent="0.3">
      <c r="A9" s="5"/>
      <c r="C9" s="3"/>
      <c r="D9" s="28"/>
      <c r="E9" s="25"/>
      <c r="H9" s="4">
        <f t="shared" si="0"/>
        <v>0</v>
      </c>
    </row>
    <row r="10" spans="1:8" ht="18.75" x14ac:dyDescent="0.3">
      <c r="A10" s="5"/>
      <c r="C10" s="3"/>
      <c r="D10" s="28"/>
      <c r="E10" s="25"/>
      <c r="H10" s="4">
        <f t="shared" si="0"/>
        <v>0</v>
      </c>
    </row>
    <row r="11" spans="1:8" ht="18.75" x14ac:dyDescent="0.3">
      <c r="A11" s="5"/>
      <c r="C11" s="3"/>
      <c r="D11" s="28"/>
      <c r="E11" s="25"/>
      <c r="H11" s="4">
        <f t="shared" si="0"/>
        <v>0</v>
      </c>
    </row>
    <row r="12" spans="1:8" ht="18.75" x14ac:dyDescent="0.3">
      <c r="A12" s="5"/>
      <c r="C12" s="3"/>
      <c r="D12" s="28"/>
      <c r="E12" s="25"/>
      <c r="H12" s="4">
        <f t="shared" si="0"/>
        <v>0</v>
      </c>
    </row>
    <row r="13" spans="1:8" ht="19.5" thickBot="1" x14ac:dyDescent="0.35">
      <c r="A13" s="5"/>
      <c r="C13" s="3"/>
      <c r="D13" s="22"/>
      <c r="E13" s="25"/>
      <c r="H13" s="22">
        <v>0</v>
      </c>
    </row>
    <row r="14" spans="1:8" ht="18.75" customHeight="1" x14ac:dyDescent="0.3">
      <c r="D14" s="4">
        <f>SUM(D7:D13)</f>
        <v>12000</v>
      </c>
      <c r="H14" s="4">
        <f>SUM(H7:H13)</f>
        <v>1915.966386554622</v>
      </c>
    </row>
    <row r="15" spans="1:8" ht="18.75" x14ac:dyDescent="0.3">
      <c r="A15" s="5"/>
      <c r="C15" s="3"/>
      <c r="D15" s="4"/>
      <c r="H15" s="4"/>
    </row>
    <row r="17" spans="1:8" ht="18.75" x14ac:dyDescent="0.3">
      <c r="A17" s="5"/>
      <c r="C17" s="3"/>
      <c r="D17" s="4"/>
      <c r="H17" s="4"/>
    </row>
    <row r="18" spans="1:8" ht="15.75" thickBot="1" x14ac:dyDescent="0.3">
      <c r="D18" s="7"/>
      <c r="H18" s="7"/>
    </row>
    <row r="20" spans="1:8" ht="18.75" x14ac:dyDescent="0.3">
      <c r="C20" t="s">
        <v>4</v>
      </c>
      <c r="D20" s="4">
        <f>D3-D14</f>
        <v>4660</v>
      </c>
      <c r="G20" t="s">
        <v>5</v>
      </c>
      <c r="H20" s="4">
        <f>H3-H14</f>
        <v>744.03361344537802</v>
      </c>
    </row>
    <row r="23" spans="1:8" ht="15.75" x14ac:dyDescent="0.25">
      <c r="A23" t="s">
        <v>6</v>
      </c>
      <c r="C23" s="8">
        <f>D20</f>
        <v>4660</v>
      </c>
      <c r="E23" t="s">
        <v>10</v>
      </c>
      <c r="H23" s="6">
        <f>C32</f>
        <v>3849.3263865546219</v>
      </c>
    </row>
    <row r="25" spans="1:8" ht="15.75" x14ac:dyDescent="0.25">
      <c r="A25" t="s">
        <v>5</v>
      </c>
      <c r="B25" s="9" t="s">
        <v>7</v>
      </c>
      <c r="C25" s="8">
        <f>H20</f>
        <v>744.03361344537802</v>
      </c>
      <c r="E25" s="13" t="s">
        <v>11</v>
      </c>
      <c r="F25" s="9" t="s">
        <v>181</v>
      </c>
      <c r="G25" s="15" t="s">
        <v>17</v>
      </c>
      <c r="H25" s="3">
        <f>-(F26*0.0077)</f>
        <v>-107.8</v>
      </c>
    </row>
    <row r="26" spans="1:8" x14ac:dyDescent="0.25">
      <c r="F26" s="21">
        <f>D3-H3</f>
        <v>14000</v>
      </c>
    </row>
    <row r="27" spans="1:8" ht="15.75" x14ac:dyDescent="0.25">
      <c r="A27" t="s">
        <v>8</v>
      </c>
      <c r="B27" s="9" t="s">
        <v>7</v>
      </c>
      <c r="C27" s="8">
        <f>D3*0.004</f>
        <v>66.64</v>
      </c>
      <c r="F27" s="9" t="s">
        <v>13</v>
      </c>
      <c r="G27" s="16">
        <v>0.35</v>
      </c>
      <c r="H27" s="29">
        <f>-(F28*0.35)</f>
        <v>-1347.2642352941175</v>
      </c>
    </row>
    <row r="28" spans="1:8" ht="15.75" thickBot="1" x14ac:dyDescent="0.3">
      <c r="F28" s="21">
        <f>H23</f>
        <v>3849.3263865546219</v>
      </c>
      <c r="H28" s="7"/>
    </row>
    <row r="29" spans="1:8" x14ac:dyDescent="0.25">
      <c r="A29" t="s">
        <v>9</v>
      </c>
      <c r="B29" s="9" t="s">
        <v>7</v>
      </c>
      <c r="C29" s="6"/>
      <c r="G29" s="13" t="s">
        <v>14</v>
      </c>
      <c r="H29" s="6">
        <f>H23+H25+H27</f>
        <v>2394.2621512605042</v>
      </c>
    </row>
    <row r="30" spans="1:8" ht="15.75" thickBot="1" x14ac:dyDescent="0.3">
      <c r="A30" s="16"/>
      <c r="B30" s="16"/>
      <c r="C30" s="7"/>
    </row>
    <row r="31" spans="1:8" x14ac:dyDescent="0.25">
      <c r="E31" t="s">
        <v>151</v>
      </c>
      <c r="H31" s="20">
        <f>H29*0.5</f>
        <v>1197.1310756302521</v>
      </c>
    </row>
    <row r="32" spans="1:8" ht="15.75" x14ac:dyDescent="0.25">
      <c r="A32" t="s">
        <v>10</v>
      </c>
      <c r="C32" s="10">
        <f>C23-C25-C27-C29</f>
        <v>3849.3263865546219</v>
      </c>
      <c r="H32" s="18"/>
    </row>
    <row r="33" spans="8:8" x14ac:dyDescent="0.25">
      <c r="H33" s="3"/>
    </row>
    <row r="34" spans="8:8" x14ac:dyDescent="0.25">
      <c r="H34" s="18"/>
    </row>
  </sheetData>
  <pageMargins left="0.7" right="0.7" top="0.75" bottom="0.75" header="0.3" footer="0.3"/>
</worksheet>
</file>

<file path=xl/worksheets/sheet4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806DC-C26F-4D55-9B4C-3A66CE47B486}">
  <dimension ref="A1:H34"/>
  <sheetViews>
    <sheetView topLeftCell="A13" workbookViewId="0">
      <selection activeCell="C29" sqref="C29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719</v>
      </c>
    </row>
    <row r="3" spans="1:8" ht="21" x14ac:dyDescent="0.35">
      <c r="A3" s="2" t="s">
        <v>1</v>
      </c>
      <c r="D3" s="11">
        <v>272510</v>
      </c>
      <c r="F3" s="12" t="s">
        <v>3</v>
      </c>
      <c r="H3" s="4">
        <f>(D3/1.19)*0.19</f>
        <v>43510</v>
      </c>
    </row>
    <row r="4" spans="1:8" x14ac:dyDescent="0.25">
      <c r="A4" s="13" t="s">
        <v>32</v>
      </c>
      <c r="C4" s="26">
        <v>1016</v>
      </c>
    </row>
    <row r="5" spans="1:8" ht="21" x14ac:dyDescent="0.35">
      <c r="A5" s="2" t="s">
        <v>2</v>
      </c>
    </row>
    <row r="7" spans="1:8" ht="18.75" x14ac:dyDescent="0.3">
      <c r="A7" s="5" t="s">
        <v>720</v>
      </c>
      <c r="D7" s="4">
        <v>226100</v>
      </c>
      <c r="E7" s="25"/>
      <c r="H7" s="4">
        <f t="shared" ref="H7:H12" si="0">(D7/1.19)*0.19</f>
        <v>36100</v>
      </c>
    </row>
    <row r="8" spans="1:8" ht="18.75" x14ac:dyDescent="0.3">
      <c r="A8" s="5"/>
      <c r="C8" s="3"/>
      <c r="D8" s="32"/>
      <c r="E8" s="25"/>
      <c r="H8" s="4">
        <f t="shared" si="0"/>
        <v>0</v>
      </c>
    </row>
    <row r="9" spans="1:8" ht="18.75" x14ac:dyDescent="0.3">
      <c r="A9" s="5"/>
      <c r="C9" s="3"/>
      <c r="D9" s="28"/>
      <c r="E9" s="25"/>
      <c r="H9" s="4">
        <f t="shared" si="0"/>
        <v>0</v>
      </c>
    </row>
    <row r="10" spans="1:8" ht="18.75" x14ac:dyDescent="0.3">
      <c r="A10" s="5"/>
      <c r="C10" s="3"/>
      <c r="D10" s="28"/>
      <c r="E10" s="25"/>
      <c r="H10" s="4">
        <f t="shared" si="0"/>
        <v>0</v>
      </c>
    </row>
    <row r="11" spans="1:8" ht="18.75" x14ac:dyDescent="0.3">
      <c r="A11" s="5"/>
      <c r="C11" s="3"/>
      <c r="D11" s="28"/>
      <c r="E11" s="25"/>
      <c r="H11" s="4">
        <f t="shared" si="0"/>
        <v>0</v>
      </c>
    </row>
    <row r="12" spans="1:8" ht="18.75" x14ac:dyDescent="0.3">
      <c r="A12" s="5"/>
      <c r="C12" s="3"/>
      <c r="D12" s="28"/>
      <c r="E12" s="25"/>
      <c r="H12" s="4">
        <f t="shared" si="0"/>
        <v>0</v>
      </c>
    </row>
    <row r="13" spans="1:8" ht="19.5" thickBot="1" x14ac:dyDescent="0.35">
      <c r="A13" s="5"/>
      <c r="C13" s="3"/>
      <c r="D13" s="22"/>
      <c r="E13" s="25"/>
      <c r="H13" s="22">
        <v>0</v>
      </c>
    </row>
    <row r="14" spans="1:8" ht="18.75" customHeight="1" x14ac:dyDescent="0.3">
      <c r="D14" s="4">
        <f>SUM(D7:D13)</f>
        <v>226100</v>
      </c>
      <c r="H14" s="4">
        <f>SUM(H7:H13)</f>
        <v>36100</v>
      </c>
    </row>
    <row r="15" spans="1:8" ht="18.75" x14ac:dyDescent="0.3">
      <c r="A15" s="5"/>
      <c r="C15" s="3"/>
      <c r="D15" s="4"/>
      <c r="H15" s="4"/>
    </row>
    <row r="17" spans="1:8" ht="18.75" x14ac:dyDescent="0.3">
      <c r="A17" s="5"/>
      <c r="C17" s="3"/>
      <c r="D17" s="4"/>
      <c r="H17" s="4"/>
    </row>
    <row r="18" spans="1:8" ht="15.75" thickBot="1" x14ac:dyDescent="0.3">
      <c r="D18" s="7"/>
      <c r="H18" s="7"/>
    </row>
    <row r="20" spans="1:8" ht="18.75" x14ac:dyDescent="0.3">
      <c r="C20" t="s">
        <v>4</v>
      </c>
      <c r="D20" s="4">
        <f>D3-D14</f>
        <v>46410</v>
      </c>
      <c r="G20" t="s">
        <v>5</v>
      </c>
      <c r="H20" s="4">
        <f>H3-H14</f>
        <v>7410</v>
      </c>
    </row>
    <row r="23" spans="1:8" ht="15.75" x14ac:dyDescent="0.25">
      <c r="A23" t="s">
        <v>6</v>
      </c>
      <c r="C23" s="8">
        <f>D20</f>
        <v>46410</v>
      </c>
      <c r="E23" t="s">
        <v>10</v>
      </c>
      <c r="H23" s="6">
        <f>C32</f>
        <v>37909.96</v>
      </c>
    </row>
    <row r="25" spans="1:8" ht="15.75" x14ac:dyDescent="0.25">
      <c r="A25" t="s">
        <v>5</v>
      </c>
      <c r="B25" s="9" t="s">
        <v>7</v>
      </c>
      <c r="C25" s="8">
        <f>H20</f>
        <v>7410</v>
      </c>
      <c r="E25" s="13" t="s">
        <v>11</v>
      </c>
      <c r="F25" s="9" t="s">
        <v>181</v>
      </c>
      <c r="G25" s="15" t="s">
        <v>17</v>
      </c>
      <c r="H25" s="3">
        <f>-(F26*0.0077)</f>
        <v>-1763.3</v>
      </c>
    </row>
    <row r="26" spans="1:8" x14ac:dyDescent="0.25">
      <c r="F26" s="21">
        <f>D3-H3</f>
        <v>229000</v>
      </c>
    </row>
    <row r="27" spans="1:8" ht="15.75" x14ac:dyDescent="0.25">
      <c r="A27" t="s">
        <v>8</v>
      </c>
      <c r="B27" s="9" t="s">
        <v>7</v>
      </c>
      <c r="C27" s="8">
        <f>D3*0.004</f>
        <v>1090.04</v>
      </c>
      <c r="F27" s="9" t="s">
        <v>13</v>
      </c>
      <c r="G27" s="16">
        <v>0.35</v>
      </c>
      <c r="H27" s="29">
        <f>-(F28*0.35)</f>
        <v>-13268.485999999999</v>
      </c>
    </row>
    <row r="28" spans="1:8" ht="15.75" thickBot="1" x14ac:dyDescent="0.3">
      <c r="F28" s="21">
        <f>H23</f>
        <v>37909.96</v>
      </c>
      <c r="H28" s="7"/>
    </row>
    <row r="29" spans="1:8" x14ac:dyDescent="0.25">
      <c r="A29" t="s">
        <v>9</v>
      </c>
      <c r="B29" s="9" t="s">
        <v>7</v>
      </c>
      <c r="C29" s="6"/>
      <c r="G29" s="13" t="s">
        <v>14</v>
      </c>
      <c r="H29" s="6">
        <f>H23+H25+H27</f>
        <v>22878.173999999999</v>
      </c>
    </row>
    <row r="30" spans="1:8" ht="15.75" thickBot="1" x14ac:dyDescent="0.3">
      <c r="A30" s="16"/>
      <c r="B30" s="16"/>
      <c r="C30" s="7"/>
    </row>
    <row r="31" spans="1:8" x14ac:dyDescent="0.25">
      <c r="E31" t="s">
        <v>151</v>
      </c>
      <c r="H31" s="20">
        <f>H29*0.5</f>
        <v>11439.087</v>
      </c>
    </row>
    <row r="32" spans="1:8" ht="15.75" x14ac:dyDescent="0.25">
      <c r="A32" t="s">
        <v>10</v>
      </c>
      <c r="C32" s="10">
        <f>C23-C25-C27-C29</f>
        <v>37909.96</v>
      </c>
      <c r="H32" s="18"/>
    </row>
    <row r="33" spans="8:8" x14ac:dyDescent="0.25">
      <c r="H33" s="3"/>
    </row>
    <row r="34" spans="8:8" x14ac:dyDescent="0.25">
      <c r="H34" s="18"/>
    </row>
  </sheetData>
  <pageMargins left="0.7" right="0.7" top="0.75" bottom="0.75" header="0.3" footer="0.3"/>
</worksheet>
</file>

<file path=xl/worksheets/sheet4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2E977-E131-4489-9312-FC936546C1C9}">
  <dimension ref="A1:H34"/>
  <sheetViews>
    <sheetView topLeftCell="A10" workbookViewId="0">
      <selection activeCell="C29" sqref="C29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721</v>
      </c>
    </row>
    <row r="3" spans="1:8" ht="21" x14ac:dyDescent="0.35">
      <c r="A3" s="2" t="s">
        <v>1</v>
      </c>
      <c r="D3" s="11">
        <v>228480</v>
      </c>
      <c r="F3" s="12" t="s">
        <v>3</v>
      </c>
      <c r="H3" s="4">
        <f>(D3/1.19)*0.19</f>
        <v>36480</v>
      </c>
    </row>
    <row r="4" spans="1:8" x14ac:dyDescent="0.25">
      <c r="A4" s="13" t="s">
        <v>32</v>
      </c>
      <c r="C4" s="26">
        <v>1017</v>
      </c>
    </row>
    <row r="5" spans="1:8" ht="21" x14ac:dyDescent="0.35">
      <c r="A5" s="2" t="s">
        <v>2</v>
      </c>
    </row>
    <row r="7" spans="1:8" ht="18.75" x14ac:dyDescent="0.3">
      <c r="A7" s="5" t="s">
        <v>343</v>
      </c>
      <c r="D7" s="4">
        <v>115200</v>
      </c>
      <c r="E7" s="25"/>
      <c r="H7" s="4">
        <f t="shared" ref="H7:H12" si="0">(D7/1.19)*0.19</f>
        <v>18393.277310924368</v>
      </c>
    </row>
    <row r="8" spans="1:8" ht="18.75" x14ac:dyDescent="0.3">
      <c r="A8" s="5"/>
      <c r="C8" s="3"/>
      <c r="D8" s="32"/>
      <c r="E8" s="25"/>
      <c r="H8" s="4">
        <f t="shared" si="0"/>
        <v>0</v>
      </c>
    </row>
    <row r="9" spans="1:8" ht="18.75" x14ac:dyDescent="0.3">
      <c r="A9" s="5"/>
      <c r="C9" s="3"/>
      <c r="D9" s="28"/>
      <c r="E9" s="25"/>
      <c r="H9" s="4">
        <f t="shared" si="0"/>
        <v>0</v>
      </c>
    </row>
    <row r="10" spans="1:8" ht="18.75" x14ac:dyDescent="0.3">
      <c r="A10" s="5"/>
      <c r="C10" s="3"/>
      <c r="D10" s="28"/>
      <c r="E10" s="25"/>
      <c r="H10" s="4">
        <f t="shared" si="0"/>
        <v>0</v>
      </c>
    </row>
    <row r="11" spans="1:8" ht="18.75" x14ac:dyDescent="0.3">
      <c r="A11" s="5"/>
      <c r="C11" s="3"/>
      <c r="D11" s="28"/>
      <c r="E11" s="25"/>
      <c r="H11" s="4">
        <f t="shared" si="0"/>
        <v>0</v>
      </c>
    </row>
    <row r="12" spans="1:8" ht="18.75" x14ac:dyDescent="0.3">
      <c r="A12" s="5"/>
      <c r="C12" s="3"/>
      <c r="D12" s="28"/>
      <c r="E12" s="25"/>
      <c r="H12" s="4">
        <f t="shared" si="0"/>
        <v>0</v>
      </c>
    </row>
    <row r="13" spans="1:8" ht="19.5" thickBot="1" x14ac:dyDescent="0.35">
      <c r="A13" s="5"/>
      <c r="C13" s="3"/>
      <c r="D13" s="22"/>
      <c r="E13" s="25"/>
      <c r="H13" s="22">
        <v>0</v>
      </c>
    </row>
    <row r="14" spans="1:8" ht="18.75" customHeight="1" x14ac:dyDescent="0.3">
      <c r="D14" s="4">
        <f>SUM(D7:D13)</f>
        <v>115200</v>
      </c>
      <c r="H14" s="4">
        <f>SUM(H7:H13)</f>
        <v>18393.277310924368</v>
      </c>
    </row>
    <row r="15" spans="1:8" ht="18.75" x14ac:dyDescent="0.3">
      <c r="A15" s="5"/>
      <c r="C15" s="3"/>
      <c r="D15" s="4"/>
      <c r="H15" s="4"/>
    </row>
    <row r="17" spans="1:8" ht="18.75" x14ac:dyDescent="0.3">
      <c r="A17" s="5"/>
      <c r="C17" s="3"/>
      <c r="D17" s="4"/>
      <c r="H17" s="4"/>
    </row>
    <row r="18" spans="1:8" ht="15.75" thickBot="1" x14ac:dyDescent="0.3">
      <c r="D18" s="7"/>
      <c r="H18" s="7"/>
    </row>
    <row r="20" spans="1:8" ht="18.75" x14ac:dyDescent="0.3">
      <c r="C20" t="s">
        <v>4</v>
      </c>
      <c r="D20" s="4">
        <f>D3-D14</f>
        <v>113280</v>
      </c>
      <c r="G20" t="s">
        <v>5</v>
      </c>
      <c r="H20" s="4">
        <f>H3-H14</f>
        <v>18086.722689075632</v>
      </c>
    </row>
    <row r="23" spans="1:8" ht="15.75" x14ac:dyDescent="0.25">
      <c r="A23" t="s">
        <v>6</v>
      </c>
      <c r="C23" s="8">
        <f>D20</f>
        <v>113280</v>
      </c>
      <c r="E23" t="s">
        <v>10</v>
      </c>
      <c r="H23" s="6">
        <f>C32</f>
        <v>94279.357310924373</v>
      </c>
    </row>
    <row r="25" spans="1:8" ht="15.75" x14ac:dyDescent="0.25">
      <c r="A25" t="s">
        <v>5</v>
      </c>
      <c r="B25" s="9" t="s">
        <v>7</v>
      </c>
      <c r="C25" s="8">
        <f>H20</f>
        <v>18086.722689075632</v>
      </c>
      <c r="E25" s="13" t="s">
        <v>11</v>
      </c>
      <c r="F25" s="9" t="s">
        <v>181</v>
      </c>
      <c r="G25" s="15" t="s">
        <v>17</v>
      </c>
      <c r="H25" s="3">
        <f>-(F26*0.0077)</f>
        <v>-1478.4</v>
      </c>
    </row>
    <row r="26" spans="1:8" x14ac:dyDescent="0.25">
      <c r="F26" s="21">
        <f>D3-H3</f>
        <v>192000</v>
      </c>
    </row>
    <row r="27" spans="1:8" ht="15.75" x14ac:dyDescent="0.25">
      <c r="A27" t="s">
        <v>8</v>
      </c>
      <c r="B27" s="9" t="s">
        <v>7</v>
      </c>
      <c r="C27" s="8">
        <f>D3*0.004</f>
        <v>913.92000000000007</v>
      </c>
      <c r="F27" s="9" t="s">
        <v>13</v>
      </c>
      <c r="G27" s="16">
        <v>0.35</v>
      </c>
      <c r="H27" s="29">
        <f>-(F28*0.35)</f>
        <v>-32997.775058823529</v>
      </c>
    </row>
    <row r="28" spans="1:8" ht="15.75" thickBot="1" x14ac:dyDescent="0.3">
      <c r="F28" s="21">
        <f>H23</f>
        <v>94279.357310924373</v>
      </c>
      <c r="H28" s="7"/>
    </row>
    <row r="29" spans="1:8" x14ac:dyDescent="0.25">
      <c r="A29" t="s">
        <v>9</v>
      </c>
      <c r="B29" s="9" t="s">
        <v>7</v>
      </c>
      <c r="C29" s="6"/>
      <c r="G29" s="13" t="s">
        <v>14</v>
      </c>
      <c r="H29" s="6">
        <f>H23+H25+H27</f>
        <v>59803.182252100851</v>
      </c>
    </row>
    <row r="30" spans="1:8" ht="15.75" thickBot="1" x14ac:dyDescent="0.3">
      <c r="A30" s="16"/>
      <c r="B30" s="16"/>
      <c r="C30" s="7"/>
    </row>
    <row r="31" spans="1:8" x14ac:dyDescent="0.25">
      <c r="E31" t="s">
        <v>151</v>
      </c>
      <c r="H31" s="20">
        <f>H29*0.5</f>
        <v>29901.591126050425</v>
      </c>
    </row>
    <row r="32" spans="1:8" ht="15.75" x14ac:dyDescent="0.25">
      <c r="A32" t="s">
        <v>10</v>
      </c>
      <c r="C32" s="10">
        <f>C23-C25-C27-C29</f>
        <v>94279.357310924373</v>
      </c>
      <c r="H32" s="18"/>
    </row>
    <row r="33" spans="8:8" x14ac:dyDescent="0.25">
      <c r="H33" s="3"/>
    </row>
    <row r="34" spans="8:8" x14ac:dyDescent="0.25">
      <c r="H34" s="18"/>
    </row>
  </sheetData>
  <pageMargins left="0.7" right="0.7" top="0.75" bottom="0.75" header="0.3" footer="0.3"/>
</worksheet>
</file>

<file path=xl/worksheets/sheet4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2330C-21BA-4F53-9D64-CED27FC67A70}">
  <dimension ref="A1:H34"/>
  <sheetViews>
    <sheetView topLeftCell="A13" workbookViewId="0">
      <selection activeCell="C29" sqref="C29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722</v>
      </c>
    </row>
    <row r="3" spans="1:8" ht="21" x14ac:dyDescent="0.35">
      <c r="A3" s="2" t="s">
        <v>1</v>
      </c>
      <c r="D3" s="11">
        <v>587764</v>
      </c>
      <c r="F3" s="12" t="s">
        <v>3</v>
      </c>
      <c r="H3" s="4">
        <f>(D3/1.19)*0.19</f>
        <v>93844.672268907569</v>
      </c>
    </row>
    <row r="4" spans="1:8" x14ac:dyDescent="0.25">
      <c r="A4" s="13" t="s">
        <v>32</v>
      </c>
      <c r="C4" s="26">
        <v>1022</v>
      </c>
    </row>
    <row r="5" spans="1:8" ht="21" x14ac:dyDescent="0.35">
      <c r="A5" s="2" t="s">
        <v>2</v>
      </c>
    </row>
    <row r="7" spans="1:8" ht="18.75" x14ac:dyDescent="0.3">
      <c r="A7" s="5" t="s">
        <v>472</v>
      </c>
      <c r="D7" s="4">
        <v>359000</v>
      </c>
      <c r="E7" s="25"/>
      <c r="H7" s="4">
        <f t="shared" ref="H7:H12" si="0">(D7/1.19)*0.19</f>
        <v>57319.327731092446</v>
      </c>
    </row>
    <row r="8" spans="1:8" ht="18.75" x14ac:dyDescent="0.3">
      <c r="A8" s="5"/>
      <c r="C8" s="3"/>
      <c r="D8" s="32"/>
      <c r="E8" s="25"/>
      <c r="H8" s="4">
        <f t="shared" si="0"/>
        <v>0</v>
      </c>
    </row>
    <row r="9" spans="1:8" ht="18.75" x14ac:dyDescent="0.3">
      <c r="A9" s="5"/>
      <c r="C9" s="3"/>
      <c r="D9" s="28"/>
      <c r="E9" s="25"/>
      <c r="H9" s="4">
        <f t="shared" si="0"/>
        <v>0</v>
      </c>
    </row>
    <row r="10" spans="1:8" ht="18.75" x14ac:dyDescent="0.3">
      <c r="A10" s="5"/>
      <c r="C10" s="3"/>
      <c r="D10" s="28"/>
      <c r="E10" s="25"/>
      <c r="H10" s="4">
        <f t="shared" si="0"/>
        <v>0</v>
      </c>
    </row>
    <row r="11" spans="1:8" ht="18.75" x14ac:dyDescent="0.3">
      <c r="A11" s="5"/>
      <c r="C11" s="3"/>
      <c r="D11" s="28"/>
      <c r="E11" s="25"/>
      <c r="H11" s="4">
        <f t="shared" si="0"/>
        <v>0</v>
      </c>
    </row>
    <row r="12" spans="1:8" ht="18.75" x14ac:dyDescent="0.3">
      <c r="A12" s="5"/>
      <c r="C12" s="3"/>
      <c r="D12" s="28"/>
      <c r="E12" s="25"/>
      <c r="H12" s="4">
        <f t="shared" si="0"/>
        <v>0</v>
      </c>
    </row>
    <row r="13" spans="1:8" ht="19.5" thickBot="1" x14ac:dyDescent="0.35">
      <c r="A13" s="5"/>
      <c r="C13" s="3"/>
      <c r="D13" s="22"/>
      <c r="E13" s="25"/>
      <c r="H13" s="22">
        <v>0</v>
      </c>
    </row>
    <row r="14" spans="1:8" ht="18.75" customHeight="1" x14ac:dyDescent="0.3">
      <c r="D14" s="4">
        <f>SUM(D7:D13)</f>
        <v>359000</v>
      </c>
      <c r="H14" s="4">
        <f>SUM(H7:H13)</f>
        <v>57319.327731092446</v>
      </c>
    </row>
    <row r="15" spans="1:8" ht="18.75" x14ac:dyDescent="0.3">
      <c r="A15" s="5"/>
      <c r="C15" s="3"/>
      <c r="D15" s="4"/>
      <c r="H15" s="4"/>
    </row>
    <row r="17" spans="1:8" ht="18.75" x14ac:dyDescent="0.3">
      <c r="A17" s="5"/>
      <c r="C17" s="3"/>
      <c r="D17" s="4"/>
      <c r="H17" s="4"/>
    </row>
    <row r="18" spans="1:8" ht="15.75" thickBot="1" x14ac:dyDescent="0.3">
      <c r="D18" s="7"/>
      <c r="H18" s="7"/>
    </row>
    <row r="20" spans="1:8" ht="18.75" x14ac:dyDescent="0.3">
      <c r="C20" t="s">
        <v>4</v>
      </c>
      <c r="D20" s="4">
        <f>D3-D14</f>
        <v>228764</v>
      </c>
      <c r="G20" t="s">
        <v>5</v>
      </c>
      <c r="H20" s="4">
        <f>H3-H14</f>
        <v>36525.344537815123</v>
      </c>
    </row>
    <row r="23" spans="1:8" ht="15.75" x14ac:dyDescent="0.25">
      <c r="A23" t="s">
        <v>6</v>
      </c>
      <c r="C23" s="8">
        <f>D20</f>
        <v>228764</v>
      </c>
      <c r="E23" t="s">
        <v>10</v>
      </c>
      <c r="H23" s="6">
        <f>C32</f>
        <v>189887.59946218485</v>
      </c>
    </row>
    <row r="25" spans="1:8" ht="15.75" x14ac:dyDescent="0.25">
      <c r="A25" t="s">
        <v>5</v>
      </c>
      <c r="B25" s="9" t="s">
        <v>7</v>
      </c>
      <c r="C25" s="8">
        <f>H20</f>
        <v>36525.344537815123</v>
      </c>
      <c r="E25" s="13" t="s">
        <v>11</v>
      </c>
      <c r="F25" s="9" t="s">
        <v>181</v>
      </c>
      <c r="G25" s="15" t="s">
        <v>17</v>
      </c>
      <c r="H25" s="3">
        <f>-(F26*0.0077)</f>
        <v>-3803.1788235294121</v>
      </c>
    </row>
    <row r="26" spans="1:8" x14ac:dyDescent="0.25">
      <c r="F26" s="21">
        <f>D3-H3</f>
        <v>493919.32773109246</v>
      </c>
    </row>
    <row r="27" spans="1:8" ht="15.75" x14ac:dyDescent="0.25">
      <c r="A27" t="s">
        <v>8</v>
      </c>
      <c r="B27" s="9" t="s">
        <v>7</v>
      </c>
      <c r="C27" s="8">
        <f>D3*0.004</f>
        <v>2351.056</v>
      </c>
      <c r="F27" s="9" t="s">
        <v>13</v>
      </c>
      <c r="G27" s="16">
        <v>0.35</v>
      </c>
      <c r="H27" s="29">
        <f>-(F28*0.35)</f>
        <v>-66460.659811764694</v>
      </c>
    </row>
    <row r="28" spans="1:8" ht="15.75" thickBot="1" x14ac:dyDescent="0.3">
      <c r="F28" s="21">
        <f>H23</f>
        <v>189887.59946218485</v>
      </c>
      <c r="H28" s="7"/>
    </row>
    <row r="29" spans="1:8" x14ac:dyDescent="0.25">
      <c r="A29" t="s">
        <v>9</v>
      </c>
      <c r="B29" s="9" t="s">
        <v>7</v>
      </c>
      <c r="C29" s="6"/>
      <c r="G29" s="13" t="s">
        <v>14</v>
      </c>
      <c r="H29" s="6">
        <f>H23+H25+H27</f>
        <v>119623.76082689074</v>
      </c>
    </row>
    <row r="30" spans="1:8" ht="15.75" thickBot="1" x14ac:dyDescent="0.3">
      <c r="A30" s="16"/>
      <c r="B30" s="16"/>
      <c r="C30" s="7"/>
    </row>
    <row r="31" spans="1:8" x14ac:dyDescent="0.25">
      <c r="E31" t="s">
        <v>151</v>
      </c>
      <c r="H31" s="20">
        <f>H29*0.5</f>
        <v>59811.880413445368</v>
      </c>
    </row>
    <row r="32" spans="1:8" ht="15.75" x14ac:dyDescent="0.25">
      <c r="A32" t="s">
        <v>10</v>
      </c>
      <c r="C32" s="10">
        <f>C23-C25-C27-C29</f>
        <v>189887.59946218485</v>
      </c>
      <c r="H32" s="18"/>
    </row>
    <row r="33" spans="8:8" x14ac:dyDescent="0.25">
      <c r="H33" s="3"/>
    </row>
    <row r="34" spans="8:8" x14ac:dyDescent="0.25">
      <c r="H34" s="18"/>
    </row>
  </sheetData>
  <pageMargins left="0.7" right="0.7" top="0.75" bottom="0.75" header="0.3" footer="0.3"/>
</worksheet>
</file>

<file path=xl/worksheets/sheet4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144CC-C8A1-431B-9C07-CAE507A8F6C5}">
  <dimension ref="A1:H34"/>
  <sheetViews>
    <sheetView topLeftCell="A16" workbookViewId="0">
      <selection activeCell="C29" sqref="C29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723</v>
      </c>
    </row>
    <row r="3" spans="1:8" ht="21" x14ac:dyDescent="0.35">
      <c r="A3" s="2" t="s">
        <v>1</v>
      </c>
      <c r="D3" s="11">
        <v>53907</v>
      </c>
      <c r="F3" s="12" t="s">
        <v>3</v>
      </c>
      <c r="H3" s="4">
        <f>(D3/1.19)*0.19</f>
        <v>8607</v>
      </c>
    </row>
    <row r="4" spans="1:8" x14ac:dyDescent="0.25">
      <c r="A4" s="13" t="s">
        <v>32</v>
      </c>
      <c r="C4" s="26">
        <v>1023</v>
      </c>
    </row>
    <row r="5" spans="1:8" ht="21" x14ac:dyDescent="0.35">
      <c r="A5" s="2" t="s">
        <v>2</v>
      </c>
    </row>
    <row r="7" spans="1:8" ht="18.75" x14ac:dyDescent="0.3">
      <c r="A7" s="5" t="s">
        <v>221</v>
      </c>
      <c r="D7" s="4">
        <v>32200</v>
      </c>
      <c r="E7" s="25"/>
      <c r="H7" s="4">
        <f t="shared" ref="H7:H12" si="0">(D7/1.19)*0.19</f>
        <v>5141.1764705882351</v>
      </c>
    </row>
    <row r="8" spans="1:8" ht="18.75" x14ac:dyDescent="0.3">
      <c r="A8" s="5"/>
      <c r="C8" s="3"/>
      <c r="D8" s="32"/>
      <c r="E8" s="25"/>
      <c r="H8" s="4">
        <f t="shared" si="0"/>
        <v>0</v>
      </c>
    </row>
    <row r="9" spans="1:8" ht="18.75" x14ac:dyDescent="0.3">
      <c r="A9" s="5"/>
      <c r="C9" s="3"/>
      <c r="D9" s="28"/>
      <c r="E9" s="25"/>
      <c r="H9" s="4">
        <f t="shared" si="0"/>
        <v>0</v>
      </c>
    </row>
    <row r="10" spans="1:8" ht="18.75" x14ac:dyDescent="0.3">
      <c r="A10" s="5"/>
      <c r="C10" s="3"/>
      <c r="D10" s="28"/>
      <c r="E10" s="25"/>
      <c r="H10" s="4">
        <f t="shared" si="0"/>
        <v>0</v>
      </c>
    </row>
    <row r="11" spans="1:8" ht="18.75" x14ac:dyDescent="0.3">
      <c r="A11" s="5"/>
      <c r="C11" s="3"/>
      <c r="D11" s="28"/>
      <c r="E11" s="25"/>
      <c r="H11" s="4">
        <f t="shared" si="0"/>
        <v>0</v>
      </c>
    </row>
    <row r="12" spans="1:8" ht="18.75" x14ac:dyDescent="0.3">
      <c r="A12" s="5"/>
      <c r="C12" s="3"/>
      <c r="D12" s="28"/>
      <c r="E12" s="25"/>
      <c r="H12" s="4">
        <f t="shared" si="0"/>
        <v>0</v>
      </c>
    </row>
    <row r="13" spans="1:8" ht="19.5" thickBot="1" x14ac:dyDescent="0.35">
      <c r="A13" s="5"/>
      <c r="C13" s="3"/>
      <c r="D13" s="22"/>
      <c r="E13" s="25"/>
      <c r="H13" s="22">
        <v>0</v>
      </c>
    </row>
    <row r="14" spans="1:8" ht="18.75" customHeight="1" x14ac:dyDescent="0.3">
      <c r="D14" s="4">
        <f>SUM(D7:D13)</f>
        <v>32200</v>
      </c>
      <c r="H14" s="4">
        <f>SUM(H7:H13)</f>
        <v>5141.1764705882351</v>
      </c>
    </row>
    <row r="15" spans="1:8" ht="18.75" x14ac:dyDescent="0.3">
      <c r="A15" s="5"/>
      <c r="C15" s="3"/>
      <c r="D15" s="4"/>
      <c r="H15" s="4"/>
    </row>
    <row r="17" spans="1:8" ht="18.75" x14ac:dyDescent="0.3">
      <c r="A17" s="5"/>
      <c r="C17" s="3"/>
      <c r="D17" s="4"/>
      <c r="H17" s="4"/>
    </row>
    <row r="18" spans="1:8" ht="15.75" thickBot="1" x14ac:dyDescent="0.3">
      <c r="D18" s="7"/>
      <c r="H18" s="7"/>
    </row>
    <row r="20" spans="1:8" ht="18.75" x14ac:dyDescent="0.3">
      <c r="C20" t="s">
        <v>4</v>
      </c>
      <c r="D20" s="4">
        <f>D3-D14</f>
        <v>21707</v>
      </c>
      <c r="G20" t="s">
        <v>5</v>
      </c>
      <c r="H20" s="4">
        <f>H3-H14</f>
        <v>3465.8235294117649</v>
      </c>
    </row>
    <row r="23" spans="1:8" ht="15.75" x14ac:dyDescent="0.25">
      <c r="A23" t="s">
        <v>6</v>
      </c>
      <c r="C23" s="8">
        <f>D20</f>
        <v>21707</v>
      </c>
      <c r="E23" t="s">
        <v>10</v>
      </c>
      <c r="H23" s="6">
        <f>C32</f>
        <v>18025.548470588234</v>
      </c>
    </row>
    <row r="25" spans="1:8" ht="15.75" x14ac:dyDescent="0.25">
      <c r="A25" t="s">
        <v>5</v>
      </c>
      <c r="B25" s="9" t="s">
        <v>7</v>
      </c>
      <c r="C25" s="8">
        <f>H20</f>
        <v>3465.8235294117649</v>
      </c>
      <c r="E25" s="13" t="s">
        <v>11</v>
      </c>
      <c r="F25" s="9" t="s">
        <v>181</v>
      </c>
      <c r="G25" s="15" t="s">
        <v>17</v>
      </c>
      <c r="H25" s="3">
        <f>-(F26*0.0077)</f>
        <v>-348.81</v>
      </c>
    </row>
    <row r="26" spans="1:8" x14ac:dyDescent="0.25">
      <c r="F26" s="21">
        <f>D3-H3</f>
        <v>45300</v>
      </c>
    </row>
    <row r="27" spans="1:8" ht="15.75" x14ac:dyDescent="0.25">
      <c r="A27" t="s">
        <v>8</v>
      </c>
      <c r="B27" s="9" t="s">
        <v>7</v>
      </c>
      <c r="C27" s="8">
        <f>D3*0.004</f>
        <v>215.62800000000001</v>
      </c>
      <c r="F27" s="9" t="s">
        <v>13</v>
      </c>
      <c r="G27" s="16">
        <v>0.35</v>
      </c>
      <c r="H27" s="29">
        <f>-(F28*0.35)</f>
        <v>-6308.9419647058812</v>
      </c>
    </row>
    <row r="28" spans="1:8" ht="15.75" thickBot="1" x14ac:dyDescent="0.3">
      <c r="F28" s="21">
        <f>H23</f>
        <v>18025.548470588234</v>
      </c>
      <c r="H28" s="7"/>
    </row>
    <row r="29" spans="1:8" x14ac:dyDescent="0.25">
      <c r="A29" t="s">
        <v>9</v>
      </c>
      <c r="B29" s="9" t="s">
        <v>7</v>
      </c>
      <c r="C29" s="6"/>
      <c r="G29" s="13" t="s">
        <v>14</v>
      </c>
      <c r="H29" s="6">
        <f>H23+H25+H27</f>
        <v>11367.79650588235</v>
      </c>
    </row>
    <row r="30" spans="1:8" ht="15.75" thickBot="1" x14ac:dyDescent="0.3">
      <c r="A30" s="16"/>
      <c r="B30" s="16"/>
      <c r="C30" s="7"/>
    </row>
    <row r="31" spans="1:8" x14ac:dyDescent="0.25">
      <c r="E31" t="s">
        <v>151</v>
      </c>
      <c r="H31" s="20">
        <f>H29*0.5</f>
        <v>5683.8982529411751</v>
      </c>
    </row>
    <row r="32" spans="1:8" ht="15.75" x14ac:dyDescent="0.25">
      <c r="A32" t="s">
        <v>10</v>
      </c>
      <c r="C32" s="10">
        <f>C23-C25-C27-C29</f>
        <v>18025.548470588234</v>
      </c>
      <c r="H32" s="18"/>
    </row>
    <row r="33" spans="8:8" x14ac:dyDescent="0.25">
      <c r="H33" s="3"/>
    </row>
    <row r="34" spans="8:8" x14ac:dyDescent="0.25">
      <c r="H34" s="18"/>
    </row>
  </sheetData>
  <pageMargins left="0.7" right="0.7" top="0.75" bottom="0.75" header="0.3" footer="0.3"/>
</worksheet>
</file>

<file path=xl/worksheets/sheet4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96E5A-4E59-4FA8-84AE-58EC8D4C1E21}">
  <dimension ref="A1:H34"/>
  <sheetViews>
    <sheetView topLeftCell="A16" workbookViewId="0">
      <selection activeCell="H40" sqref="H40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724</v>
      </c>
    </row>
    <row r="3" spans="1:8" ht="21" x14ac:dyDescent="0.35">
      <c r="A3" s="2" t="s">
        <v>1</v>
      </c>
      <c r="D3" s="11">
        <v>85680</v>
      </c>
      <c r="F3" s="12" t="s">
        <v>3</v>
      </c>
      <c r="H3" s="4">
        <f>(D3/1.19)*0.19</f>
        <v>13680</v>
      </c>
    </row>
    <row r="4" spans="1:8" x14ac:dyDescent="0.25">
      <c r="A4" s="13" t="s">
        <v>32</v>
      </c>
      <c r="C4" s="26">
        <v>1024</v>
      </c>
    </row>
    <row r="5" spans="1:8" ht="21" x14ac:dyDescent="0.35">
      <c r="A5" s="2" t="s">
        <v>2</v>
      </c>
    </row>
    <row r="7" spans="1:8" ht="18.75" x14ac:dyDescent="0.3">
      <c r="A7" s="5" t="s">
        <v>221</v>
      </c>
      <c r="D7" s="4">
        <v>50110</v>
      </c>
      <c r="E7" s="25"/>
      <c r="H7" s="4">
        <f t="shared" ref="H7:H12" si="0">(D7/1.19)*0.19</f>
        <v>8000.7563025210093</v>
      </c>
    </row>
    <row r="8" spans="1:8" ht="18.75" x14ac:dyDescent="0.3">
      <c r="A8" s="5"/>
      <c r="C8" s="3"/>
      <c r="D8" s="32"/>
      <c r="E8" s="25"/>
      <c r="H8" s="4">
        <f t="shared" si="0"/>
        <v>0</v>
      </c>
    </row>
    <row r="9" spans="1:8" ht="18.75" x14ac:dyDescent="0.3">
      <c r="A9" s="5"/>
      <c r="C9" s="3"/>
      <c r="D9" s="28"/>
      <c r="E9" s="25"/>
      <c r="H9" s="4">
        <f t="shared" si="0"/>
        <v>0</v>
      </c>
    </row>
    <row r="10" spans="1:8" ht="18.75" x14ac:dyDescent="0.3">
      <c r="A10" s="5"/>
      <c r="C10" s="3"/>
      <c r="D10" s="28"/>
      <c r="E10" s="25"/>
      <c r="H10" s="4">
        <f t="shared" si="0"/>
        <v>0</v>
      </c>
    </row>
    <row r="11" spans="1:8" ht="18.75" x14ac:dyDescent="0.3">
      <c r="A11" s="5"/>
      <c r="C11" s="3"/>
      <c r="D11" s="28"/>
      <c r="E11" s="25"/>
      <c r="H11" s="4">
        <f t="shared" si="0"/>
        <v>0</v>
      </c>
    </row>
    <row r="12" spans="1:8" ht="18.75" x14ac:dyDescent="0.3">
      <c r="A12" s="5"/>
      <c r="C12" s="3"/>
      <c r="D12" s="28"/>
      <c r="E12" s="25"/>
      <c r="H12" s="4">
        <f t="shared" si="0"/>
        <v>0</v>
      </c>
    </row>
    <row r="13" spans="1:8" ht="19.5" thickBot="1" x14ac:dyDescent="0.35">
      <c r="A13" s="5"/>
      <c r="C13" s="3"/>
      <c r="D13" s="22"/>
      <c r="E13" s="25"/>
      <c r="H13" s="22">
        <v>0</v>
      </c>
    </row>
    <row r="14" spans="1:8" ht="18.75" customHeight="1" x14ac:dyDescent="0.3">
      <c r="D14" s="4">
        <f>SUM(D7:D13)</f>
        <v>50110</v>
      </c>
      <c r="H14" s="4">
        <f>SUM(H7:H13)</f>
        <v>8000.7563025210093</v>
      </c>
    </row>
    <row r="15" spans="1:8" ht="18.75" x14ac:dyDescent="0.3">
      <c r="A15" s="5"/>
      <c r="C15" s="3"/>
      <c r="D15" s="4"/>
      <c r="H15" s="4"/>
    </row>
    <row r="17" spans="1:8" ht="18.75" x14ac:dyDescent="0.3">
      <c r="A17" s="5"/>
      <c r="C17" s="3"/>
      <c r="D17" s="4"/>
      <c r="H17" s="4"/>
    </row>
    <row r="18" spans="1:8" ht="15.75" thickBot="1" x14ac:dyDescent="0.3">
      <c r="D18" s="7"/>
      <c r="H18" s="7"/>
    </row>
    <row r="20" spans="1:8" ht="18.75" x14ac:dyDescent="0.3">
      <c r="C20" t="s">
        <v>4</v>
      </c>
      <c r="D20" s="4">
        <f>D3-D14</f>
        <v>35570</v>
      </c>
      <c r="G20" t="s">
        <v>5</v>
      </c>
      <c r="H20" s="4">
        <f>H3-H14</f>
        <v>5679.2436974789907</v>
      </c>
    </row>
    <row r="23" spans="1:8" ht="15.75" x14ac:dyDescent="0.25">
      <c r="A23" t="s">
        <v>6</v>
      </c>
      <c r="C23" s="8">
        <f>D20</f>
        <v>35570</v>
      </c>
      <c r="E23" t="s">
        <v>10</v>
      </c>
      <c r="H23" s="6">
        <f>C32</f>
        <v>29548.03630252101</v>
      </c>
    </row>
    <row r="25" spans="1:8" ht="15.75" x14ac:dyDescent="0.25">
      <c r="A25" t="s">
        <v>5</v>
      </c>
      <c r="B25" s="9" t="s">
        <v>7</v>
      </c>
      <c r="C25" s="8">
        <f>H20</f>
        <v>5679.2436974789907</v>
      </c>
      <c r="E25" s="13" t="s">
        <v>11</v>
      </c>
      <c r="F25" s="9" t="s">
        <v>181</v>
      </c>
      <c r="G25" s="15" t="s">
        <v>17</v>
      </c>
      <c r="H25" s="3">
        <f>-(F26*0.0077)</f>
        <v>-554.4</v>
      </c>
    </row>
    <row r="26" spans="1:8" x14ac:dyDescent="0.25">
      <c r="F26" s="21">
        <f>D3-H3</f>
        <v>72000</v>
      </c>
    </row>
    <row r="27" spans="1:8" ht="15.75" x14ac:dyDescent="0.25">
      <c r="A27" t="s">
        <v>8</v>
      </c>
      <c r="B27" s="9" t="s">
        <v>7</v>
      </c>
      <c r="C27" s="8">
        <f>D3*0.004</f>
        <v>342.72</v>
      </c>
      <c r="F27" s="9" t="s">
        <v>13</v>
      </c>
      <c r="G27" s="16">
        <v>0.35</v>
      </c>
      <c r="H27" s="29">
        <f>-(F28*0.35)</f>
        <v>-10341.812705882352</v>
      </c>
    </row>
    <row r="28" spans="1:8" ht="15.75" thickBot="1" x14ac:dyDescent="0.3">
      <c r="F28" s="21">
        <f>H23</f>
        <v>29548.03630252101</v>
      </c>
      <c r="H28" s="7"/>
    </row>
    <row r="29" spans="1:8" x14ac:dyDescent="0.25">
      <c r="A29" t="s">
        <v>9</v>
      </c>
      <c r="B29" s="9" t="s">
        <v>7</v>
      </c>
      <c r="C29" s="6"/>
      <c r="G29" s="13" t="s">
        <v>14</v>
      </c>
      <c r="H29" s="6">
        <f>H23+H25+H27</f>
        <v>18651.823596638656</v>
      </c>
    </row>
    <row r="30" spans="1:8" ht="15.75" thickBot="1" x14ac:dyDescent="0.3">
      <c r="A30" s="16"/>
      <c r="B30" s="16"/>
      <c r="C30" s="7"/>
    </row>
    <row r="31" spans="1:8" x14ac:dyDescent="0.25">
      <c r="E31" t="s">
        <v>151</v>
      </c>
      <c r="H31" s="20">
        <f>H29*0.5</f>
        <v>9325.9117983193282</v>
      </c>
    </row>
    <row r="32" spans="1:8" ht="15.75" x14ac:dyDescent="0.25">
      <c r="A32" t="s">
        <v>10</v>
      </c>
      <c r="C32" s="10">
        <f>C23-C25-C27-C29</f>
        <v>29548.03630252101</v>
      </c>
      <c r="H32" s="18"/>
    </row>
    <row r="33" spans="8:8" x14ac:dyDescent="0.25">
      <c r="H33" s="3"/>
    </row>
    <row r="34" spans="8:8" x14ac:dyDescent="0.25">
      <c r="H34" s="18"/>
    </row>
  </sheetData>
  <pageMargins left="0.7" right="0.7" top="0.75" bottom="0.75" header="0.3" footer="0.3"/>
</worksheet>
</file>

<file path=xl/worksheets/sheet4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EE630-B00A-43C9-BBD5-1752773ECA6C}">
  <dimension ref="A1:H34"/>
  <sheetViews>
    <sheetView topLeftCell="A10" workbookViewId="0">
      <selection activeCell="J29" sqref="J29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727</v>
      </c>
    </row>
    <row r="3" spans="1:8" ht="21" x14ac:dyDescent="0.35">
      <c r="A3" s="2" t="s">
        <v>1</v>
      </c>
      <c r="D3" s="11">
        <v>136850</v>
      </c>
      <c r="F3" s="12" t="s">
        <v>3</v>
      </c>
      <c r="H3" s="4">
        <f>(D3/1.19)*0.19</f>
        <v>21850</v>
      </c>
    </row>
    <row r="4" spans="1:8" x14ac:dyDescent="0.25">
      <c r="A4" s="13" t="s">
        <v>32</v>
      </c>
      <c r="C4" s="26">
        <v>1026</v>
      </c>
    </row>
    <row r="5" spans="1:8" ht="21" x14ac:dyDescent="0.35">
      <c r="A5" s="2" t="s">
        <v>2</v>
      </c>
    </row>
    <row r="7" spans="1:8" ht="18.75" x14ac:dyDescent="0.3">
      <c r="A7" s="5" t="s">
        <v>221</v>
      </c>
      <c r="D7" s="4">
        <v>98175</v>
      </c>
      <c r="E7" s="25"/>
      <c r="H7" s="4">
        <f t="shared" ref="H7:H12" si="0">(D7/1.19)*0.19</f>
        <v>15675</v>
      </c>
    </row>
    <row r="8" spans="1:8" ht="18.75" x14ac:dyDescent="0.3">
      <c r="A8" s="5"/>
      <c r="C8" s="3"/>
      <c r="D8" s="32"/>
      <c r="E8" s="25"/>
      <c r="H8" s="4">
        <f t="shared" si="0"/>
        <v>0</v>
      </c>
    </row>
    <row r="9" spans="1:8" ht="18.75" x14ac:dyDescent="0.3">
      <c r="A9" s="5"/>
      <c r="C9" s="3"/>
      <c r="D9" s="28"/>
      <c r="E9" s="25"/>
      <c r="H9" s="4">
        <f t="shared" si="0"/>
        <v>0</v>
      </c>
    </row>
    <row r="10" spans="1:8" ht="18.75" x14ac:dyDescent="0.3">
      <c r="A10" s="5"/>
      <c r="C10" s="3"/>
      <c r="D10" s="28"/>
      <c r="E10" s="25"/>
      <c r="H10" s="4">
        <f t="shared" si="0"/>
        <v>0</v>
      </c>
    </row>
    <row r="11" spans="1:8" ht="18.75" x14ac:dyDescent="0.3">
      <c r="A11" s="5"/>
      <c r="C11" s="3"/>
      <c r="D11" s="28"/>
      <c r="E11" s="25"/>
      <c r="H11" s="4">
        <f t="shared" si="0"/>
        <v>0</v>
      </c>
    </row>
    <row r="12" spans="1:8" ht="18.75" x14ac:dyDescent="0.3">
      <c r="A12" s="5"/>
      <c r="C12" s="3"/>
      <c r="D12" s="28"/>
      <c r="E12" s="25"/>
      <c r="H12" s="4">
        <f t="shared" si="0"/>
        <v>0</v>
      </c>
    </row>
    <row r="13" spans="1:8" ht="19.5" thickBot="1" x14ac:dyDescent="0.35">
      <c r="A13" s="5"/>
      <c r="C13" s="3"/>
      <c r="D13" s="22"/>
      <c r="E13" s="25"/>
      <c r="H13" s="22">
        <v>0</v>
      </c>
    </row>
    <row r="14" spans="1:8" ht="18.75" customHeight="1" x14ac:dyDescent="0.3">
      <c r="D14" s="4">
        <f>SUM(D7:D13)</f>
        <v>98175</v>
      </c>
      <c r="H14" s="4">
        <f>SUM(H7:H13)</f>
        <v>15675</v>
      </c>
    </row>
    <row r="15" spans="1:8" ht="18.75" x14ac:dyDescent="0.3">
      <c r="A15" s="5"/>
      <c r="C15" s="3"/>
      <c r="D15" s="4"/>
      <c r="H15" s="4"/>
    </row>
    <row r="17" spans="1:8" ht="18.75" x14ac:dyDescent="0.3">
      <c r="A17" s="5"/>
      <c r="C17" s="3"/>
      <c r="D17" s="4"/>
      <c r="H17" s="4"/>
    </row>
    <row r="18" spans="1:8" ht="15.75" thickBot="1" x14ac:dyDescent="0.3">
      <c r="D18" s="7"/>
      <c r="H18" s="7"/>
    </row>
    <row r="20" spans="1:8" ht="18.75" x14ac:dyDescent="0.3">
      <c r="C20" t="s">
        <v>4</v>
      </c>
      <c r="D20" s="4">
        <f>D3-D14</f>
        <v>38675</v>
      </c>
      <c r="G20" t="s">
        <v>5</v>
      </c>
      <c r="H20" s="4">
        <f>H3-H14</f>
        <v>6175</v>
      </c>
    </row>
    <row r="23" spans="1:8" ht="15.75" x14ac:dyDescent="0.25">
      <c r="A23" t="s">
        <v>6</v>
      </c>
      <c r="C23" s="8">
        <f>D20</f>
        <v>38675</v>
      </c>
      <c r="E23" t="s">
        <v>10</v>
      </c>
      <c r="H23" s="6">
        <f>C32</f>
        <v>31952.6</v>
      </c>
    </row>
    <row r="25" spans="1:8" ht="15.75" x14ac:dyDescent="0.25">
      <c r="A25" t="s">
        <v>5</v>
      </c>
      <c r="B25" s="9" t="s">
        <v>7</v>
      </c>
      <c r="C25" s="8">
        <f>H20</f>
        <v>6175</v>
      </c>
      <c r="E25" s="13" t="s">
        <v>11</v>
      </c>
      <c r="F25" s="9" t="s">
        <v>181</v>
      </c>
      <c r="G25" s="15" t="s">
        <v>17</v>
      </c>
      <c r="H25" s="3">
        <f>-(F26*0.0077)</f>
        <v>-885.5</v>
      </c>
    </row>
    <row r="26" spans="1:8" x14ac:dyDescent="0.25">
      <c r="F26" s="21">
        <f>D3-H3</f>
        <v>115000</v>
      </c>
    </row>
    <row r="27" spans="1:8" ht="15.75" x14ac:dyDescent="0.25">
      <c r="A27" t="s">
        <v>8</v>
      </c>
      <c r="B27" s="9" t="s">
        <v>7</v>
      </c>
      <c r="C27" s="8">
        <f>D3*0.004</f>
        <v>547.4</v>
      </c>
      <c r="F27" s="9" t="s">
        <v>13</v>
      </c>
      <c r="G27" s="16">
        <v>0.35</v>
      </c>
      <c r="H27" s="29">
        <f>-(F28*0.35)</f>
        <v>-11183.409999999998</v>
      </c>
    </row>
    <row r="28" spans="1:8" ht="15.75" thickBot="1" x14ac:dyDescent="0.3">
      <c r="F28" s="21">
        <f>H23</f>
        <v>31952.6</v>
      </c>
      <c r="H28" s="7"/>
    </row>
    <row r="29" spans="1:8" x14ac:dyDescent="0.25">
      <c r="A29" t="s">
        <v>9</v>
      </c>
      <c r="B29" s="9" t="s">
        <v>7</v>
      </c>
      <c r="C29" s="6"/>
      <c r="G29" s="13" t="s">
        <v>14</v>
      </c>
      <c r="H29" s="6">
        <f>H23+H25+H27</f>
        <v>19883.690000000002</v>
      </c>
    </row>
    <row r="30" spans="1:8" ht="15.75" thickBot="1" x14ac:dyDescent="0.3">
      <c r="A30" s="16"/>
      <c r="B30" s="16"/>
      <c r="C30" s="7"/>
    </row>
    <row r="31" spans="1:8" x14ac:dyDescent="0.25">
      <c r="E31" t="s">
        <v>151</v>
      </c>
      <c r="H31" s="20">
        <f>H29*0.5</f>
        <v>9941.8450000000012</v>
      </c>
    </row>
    <row r="32" spans="1:8" ht="15.75" x14ac:dyDescent="0.25">
      <c r="A32" t="s">
        <v>10</v>
      </c>
      <c r="C32" s="10">
        <f>C23-C25-C27-C29</f>
        <v>31952.6</v>
      </c>
      <c r="H32" s="18"/>
    </row>
    <row r="33" spans="8:8" x14ac:dyDescent="0.25">
      <c r="H33" s="3"/>
    </row>
    <row r="34" spans="8:8" x14ac:dyDescent="0.25">
      <c r="H34" s="18"/>
    </row>
  </sheetData>
  <pageMargins left="0.7" right="0.7" top="0.75" bottom="0.75" header="0.3" footer="0.3"/>
</worksheet>
</file>

<file path=xl/worksheets/sheet4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0E24A-46D0-44B7-B8D3-562E6EC17870}">
  <dimension ref="A1:H34"/>
  <sheetViews>
    <sheetView topLeftCell="A16" workbookViewId="0">
      <selection activeCell="C29" sqref="C29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728</v>
      </c>
    </row>
    <row r="3" spans="1:8" ht="21" x14ac:dyDescent="0.35">
      <c r="A3" s="2" t="s">
        <v>1</v>
      </c>
      <c r="D3" s="11">
        <v>791035</v>
      </c>
      <c r="F3" s="12" t="s">
        <v>3</v>
      </c>
      <c r="H3" s="4">
        <f>(D3/1.19)*0.19</f>
        <v>126299.70588235295</v>
      </c>
    </row>
    <row r="4" spans="1:8" x14ac:dyDescent="0.25">
      <c r="A4" s="13" t="s">
        <v>32</v>
      </c>
      <c r="C4" s="26">
        <v>1029</v>
      </c>
    </row>
    <row r="5" spans="1:8" ht="21" x14ac:dyDescent="0.35">
      <c r="A5" s="2" t="s">
        <v>2</v>
      </c>
    </row>
    <row r="7" spans="1:8" ht="18.75" x14ac:dyDescent="0.3">
      <c r="A7" s="5" t="s">
        <v>699</v>
      </c>
      <c r="D7" s="4">
        <v>437400</v>
      </c>
      <c r="E7" s="25"/>
      <c r="H7" s="4">
        <f t="shared" ref="H7:H12" si="0">(D7/1.19)*0.19</f>
        <v>69836.97478991597</v>
      </c>
    </row>
    <row r="8" spans="1:8" ht="18.75" x14ac:dyDescent="0.3">
      <c r="A8" s="5" t="s">
        <v>221</v>
      </c>
      <c r="C8" s="3"/>
      <c r="D8" s="32">
        <v>19500</v>
      </c>
      <c r="E8" s="25"/>
      <c r="H8" s="4">
        <f t="shared" si="0"/>
        <v>3113.4453781512607</v>
      </c>
    </row>
    <row r="9" spans="1:8" ht="18.75" x14ac:dyDescent="0.3">
      <c r="A9" s="5"/>
      <c r="C9" s="3"/>
      <c r="D9" s="28"/>
      <c r="E9" s="25"/>
      <c r="H9" s="4">
        <f t="shared" si="0"/>
        <v>0</v>
      </c>
    </row>
    <row r="10" spans="1:8" ht="18.75" x14ac:dyDescent="0.3">
      <c r="A10" s="5"/>
      <c r="C10" s="3"/>
      <c r="D10" s="28"/>
      <c r="E10" s="25"/>
      <c r="H10" s="4">
        <f t="shared" si="0"/>
        <v>0</v>
      </c>
    </row>
    <row r="11" spans="1:8" ht="18.75" x14ac:dyDescent="0.3">
      <c r="A11" s="5"/>
      <c r="C11" s="3"/>
      <c r="D11" s="28"/>
      <c r="E11" s="25"/>
      <c r="H11" s="4">
        <f t="shared" si="0"/>
        <v>0</v>
      </c>
    </row>
    <row r="12" spans="1:8" ht="18.75" x14ac:dyDescent="0.3">
      <c r="A12" s="5"/>
      <c r="C12" s="3"/>
      <c r="D12" s="28"/>
      <c r="E12" s="25"/>
      <c r="H12" s="4">
        <f t="shared" si="0"/>
        <v>0</v>
      </c>
    </row>
    <row r="13" spans="1:8" ht="19.5" thickBot="1" x14ac:dyDescent="0.35">
      <c r="A13" s="5"/>
      <c r="C13" s="3"/>
      <c r="D13" s="22"/>
      <c r="E13" s="25"/>
      <c r="H13" s="22">
        <v>0</v>
      </c>
    </row>
    <row r="14" spans="1:8" ht="18.75" customHeight="1" x14ac:dyDescent="0.3">
      <c r="D14" s="4">
        <f>SUM(D7:D13)</f>
        <v>456900</v>
      </c>
      <c r="H14" s="4">
        <f>SUM(H7:H13)</f>
        <v>72950.420168067227</v>
      </c>
    </row>
    <row r="15" spans="1:8" ht="18.75" x14ac:dyDescent="0.3">
      <c r="A15" s="5"/>
      <c r="C15" s="3"/>
      <c r="D15" s="4"/>
      <c r="H15" s="4"/>
    </row>
    <row r="17" spans="1:8" ht="18.75" x14ac:dyDescent="0.3">
      <c r="A17" s="5"/>
      <c r="C17" s="3"/>
      <c r="D17" s="4"/>
      <c r="H17" s="4"/>
    </row>
    <row r="18" spans="1:8" ht="15.75" thickBot="1" x14ac:dyDescent="0.3">
      <c r="D18" s="7"/>
      <c r="H18" s="7"/>
    </row>
    <row r="20" spans="1:8" ht="18.75" x14ac:dyDescent="0.3">
      <c r="C20" t="s">
        <v>4</v>
      </c>
      <c r="D20" s="4">
        <f>D3-D14</f>
        <v>334135</v>
      </c>
      <c r="G20" t="s">
        <v>5</v>
      </c>
      <c r="H20" s="4">
        <f>H3-H14</f>
        <v>53349.285714285725</v>
      </c>
    </row>
    <row r="23" spans="1:8" ht="15.75" x14ac:dyDescent="0.25">
      <c r="A23" t="s">
        <v>6</v>
      </c>
      <c r="C23" s="8">
        <f>D20</f>
        <v>334135</v>
      </c>
      <c r="E23" t="s">
        <v>10</v>
      </c>
      <c r="H23" s="6">
        <f>C32</f>
        <v>277621.57428571425</v>
      </c>
    </row>
    <row r="25" spans="1:8" ht="15.75" x14ac:dyDescent="0.25">
      <c r="A25" t="s">
        <v>5</v>
      </c>
      <c r="B25" s="9" t="s">
        <v>7</v>
      </c>
      <c r="C25" s="8">
        <f>H20</f>
        <v>53349.285714285725</v>
      </c>
      <c r="E25" s="13" t="s">
        <v>11</v>
      </c>
      <c r="F25" s="9" t="s">
        <v>181</v>
      </c>
      <c r="G25" s="15" t="s">
        <v>17</v>
      </c>
      <c r="H25" s="3">
        <f>-(F26*0.0077)</f>
        <v>-5118.4617647058822</v>
      </c>
    </row>
    <row r="26" spans="1:8" x14ac:dyDescent="0.25">
      <c r="F26" s="21">
        <f>D3-H3</f>
        <v>664735.29411764699</v>
      </c>
    </row>
    <row r="27" spans="1:8" ht="15.75" x14ac:dyDescent="0.25">
      <c r="A27" t="s">
        <v>8</v>
      </c>
      <c r="B27" s="9" t="s">
        <v>7</v>
      </c>
      <c r="C27" s="8">
        <f>D3*0.004</f>
        <v>3164.14</v>
      </c>
      <c r="F27" s="9" t="s">
        <v>13</v>
      </c>
      <c r="G27" s="16">
        <v>0.35</v>
      </c>
      <c r="H27" s="29">
        <f>-(F28*0.35)</f>
        <v>-97167.550999999978</v>
      </c>
    </row>
    <row r="28" spans="1:8" ht="15.75" thickBot="1" x14ac:dyDescent="0.3">
      <c r="F28" s="21">
        <f>H23</f>
        <v>277621.57428571425</v>
      </c>
      <c r="H28" s="7"/>
    </row>
    <row r="29" spans="1:8" x14ac:dyDescent="0.25">
      <c r="A29" t="s">
        <v>9</v>
      </c>
      <c r="B29" s="9" t="s">
        <v>7</v>
      </c>
      <c r="C29" s="6"/>
      <c r="G29" s="13" t="s">
        <v>14</v>
      </c>
      <c r="H29" s="6">
        <f>H23+H25+H27</f>
        <v>175335.56152100838</v>
      </c>
    </row>
    <row r="30" spans="1:8" ht="15.75" thickBot="1" x14ac:dyDescent="0.3">
      <c r="A30" s="16"/>
      <c r="B30" s="16"/>
      <c r="C30" s="7"/>
    </row>
    <row r="31" spans="1:8" x14ac:dyDescent="0.25">
      <c r="E31" t="s">
        <v>151</v>
      </c>
      <c r="H31" s="20">
        <f>H29*0.5</f>
        <v>87667.780760504189</v>
      </c>
    </row>
    <row r="32" spans="1:8" ht="15.75" x14ac:dyDescent="0.25">
      <c r="A32" t="s">
        <v>10</v>
      </c>
      <c r="C32" s="10">
        <f>C23-C25-C27-C29</f>
        <v>277621.57428571425</v>
      </c>
      <c r="H32" s="18"/>
    </row>
    <row r="33" spans="8:8" x14ac:dyDescent="0.25">
      <c r="H33" s="3"/>
    </row>
    <row r="34" spans="8:8" x14ac:dyDescent="0.25">
      <c r="H34" s="18"/>
    </row>
  </sheetData>
  <pageMargins left="0.7" right="0.7" top="0.75" bottom="0.75" header="0.3" footer="0.3"/>
</worksheet>
</file>

<file path=xl/worksheets/sheet4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14512-9A56-48A4-809F-DBC1A91C57DB}">
  <dimension ref="A1:H34"/>
  <sheetViews>
    <sheetView workbookViewId="0">
      <selection sqref="A1:XFD1048576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729</v>
      </c>
    </row>
    <row r="3" spans="1:8" ht="21" x14ac:dyDescent="0.35">
      <c r="A3" s="2" t="s">
        <v>1</v>
      </c>
      <c r="D3" s="11">
        <v>470050</v>
      </c>
      <c r="F3" s="12" t="s">
        <v>3</v>
      </c>
      <c r="H3" s="4">
        <f>(D3/1.19)*0.19</f>
        <v>75050</v>
      </c>
    </row>
    <row r="4" spans="1:8" x14ac:dyDescent="0.25">
      <c r="A4" s="13" t="s">
        <v>32</v>
      </c>
      <c r="C4" s="26">
        <v>1031</v>
      </c>
    </row>
    <row r="5" spans="1:8" ht="21" x14ac:dyDescent="0.35">
      <c r="A5" s="2" t="s">
        <v>2</v>
      </c>
    </row>
    <row r="7" spans="1:8" ht="18.75" x14ac:dyDescent="0.3">
      <c r="A7" s="5" t="s">
        <v>730</v>
      </c>
      <c r="D7" s="4">
        <v>345100</v>
      </c>
      <c r="E7" s="25"/>
      <c r="H7" s="4">
        <f t="shared" ref="H7:H12" si="0">(D7/1.19)*0.19</f>
        <v>55100</v>
      </c>
    </row>
    <row r="8" spans="1:8" ht="18.75" x14ac:dyDescent="0.3">
      <c r="A8" s="5"/>
      <c r="C8" s="3"/>
      <c r="D8" s="32"/>
      <c r="E8" s="25"/>
      <c r="H8" s="4">
        <f t="shared" si="0"/>
        <v>0</v>
      </c>
    </row>
    <row r="9" spans="1:8" ht="18.75" x14ac:dyDescent="0.3">
      <c r="A9" s="5"/>
      <c r="C9" s="3"/>
      <c r="D9" s="28"/>
      <c r="E9" s="25"/>
      <c r="H9" s="4">
        <f t="shared" si="0"/>
        <v>0</v>
      </c>
    </row>
    <row r="10" spans="1:8" ht="18.75" x14ac:dyDescent="0.3">
      <c r="A10" s="5"/>
      <c r="C10" s="3"/>
      <c r="D10" s="28"/>
      <c r="E10" s="25"/>
      <c r="H10" s="4">
        <f t="shared" si="0"/>
        <v>0</v>
      </c>
    </row>
    <row r="11" spans="1:8" ht="18.75" x14ac:dyDescent="0.3">
      <c r="A11" s="5"/>
      <c r="C11" s="3"/>
      <c r="D11" s="28"/>
      <c r="E11" s="25"/>
      <c r="H11" s="4">
        <f t="shared" si="0"/>
        <v>0</v>
      </c>
    </row>
    <row r="12" spans="1:8" ht="18.75" x14ac:dyDescent="0.3">
      <c r="A12" s="5"/>
      <c r="C12" s="3"/>
      <c r="D12" s="28"/>
      <c r="E12" s="25"/>
      <c r="H12" s="4">
        <f t="shared" si="0"/>
        <v>0</v>
      </c>
    </row>
    <row r="13" spans="1:8" ht="19.5" thickBot="1" x14ac:dyDescent="0.35">
      <c r="A13" s="5"/>
      <c r="C13" s="3"/>
      <c r="D13" s="22"/>
      <c r="E13" s="25"/>
      <c r="H13" s="22">
        <v>0</v>
      </c>
    </row>
    <row r="14" spans="1:8" ht="18.75" customHeight="1" x14ac:dyDescent="0.3">
      <c r="D14" s="4">
        <f>SUM(D7:D13)</f>
        <v>345100</v>
      </c>
      <c r="H14" s="4">
        <f>SUM(H7:H13)</f>
        <v>55100</v>
      </c>
    </row>
    <row r="15" spans="1:8" ht="18.75" x14ac:dyDescent="0.3">
      <c r="A15" s="5"/>
      <c r="C15" s="3"/>
      <c r="D15" s="4"/>
      <c r="H15" s="4"/>
    </row>
    <row r="17" spans="1:8" ht="18.75" x14ac:dyDescent="0.3">
      <c r="A17" s="5"/>
      <c r="C17" s="3"/>
      <c r="D17" s="4"/>
      <c r="H17" s="4"/>
    </row>
    <row r="18" spans="1:8" ht="15.75" thickBot="1" x14ac:dyDescent="0.3">
      <c r="D18" s="7"/>
      <c r="H18" s="7"/>
    </row>
    <row r="20" spans="1:8" ht="18.75" x14ac:dyDescent="0.3">
      <c r="C20" t="s">
        <v>4</v>
      </c>
      <c r="D20" s="4">
        <f>D3-D14</f>
        <v>124950</v>
      </c>
      <c r="G20" t="s">
        <v>5</v>
      </c>
      <c r="H20" s="4">
        <f>H3-H14</f>
        <v>19950</v>
      </c>
    </row>
    <row r="23" spans="1:8" ht="15.75" x14ac:dyDescent="0.25">
      <c r="A23" t="s">
        <v>6</v>
      </c>
      <c r="C23" s="8">
        <f>D20</f>
        <v>124950</v>
      </c>
      <c r="E23" t="s">
        <v>10</v>
      </c>
      <c r="H23" s="6">
        <f>C32</f>
        <v>103119.8</v>
      </c>
    </row>
    <row r="25" spans="1:8" ht="15.75" x14ac:dyDescent="0.25">
      <c r="A25" t="s">
        <v>5</v>
      </c>
      <c r="B25" s="9" t="s">
        <v>7</v>
      </c>
      <c r="C25" s="8">
        <f>H20</f>
        <v>19950</v>
      </c>
      <c r="E25" s="13" t="s">
        <v>11</v>
      </c>
      <c r="F25" s="9" t="s">
        <v>181</v>
      </c>
      <c r="G25" s="15" t="s">
        <v>17</v>
      </c>
      <c r="H25" s="3">
        <f>-(F26*0.0077)</f>
        <v>-3041.5</v>
      </c>
    </row>
    <row r="26" spans="1:8" x14ac:dyDescent="0.25">
      <c r="F26" s="21">
        <f>D3-H3</f>
        <v>395000</v>
      </c>
    </row>
    <row r="27" spans="1:8" ht="15.75" x14ac:dyDescent="0.25">
      <c r="A27" t="s">
        <v>8</v>
      </c>
      <c r="B27" s="9" t="s">
        <v>7</v>
      </c>
      <c r="C27" s="8">
        <f>D3*0.004</f>
        <v>1880.2</v>
      </c>
      <c r="F27" s="9" t="s">
        <v>13</v>
      </c>
      <c r="G27" s="16">
        <v>0.35</v>
      </c>
      <c r="H27" s="29">
        <f>-(F28*0.35)</f>
        <v>-36091.93</v>
      </c>
    </row>
    <row r="28" spans="1:8" ht="15.75" thickBot="1" x14ac:dyDescent="0.3">
      <c r="F28" s="21">
        <f>H23</f>
        <v>103119.8</v>
      </c>
      <c r="H28" s="7"/>
    </row>
    <row r="29" spans="1:8" x14ac:dyDescent="0.25">
      <c r="A29" t="s">
        <v>9</v>
      </c>
      <c r="B29" s="9" t="s">
        <v>7</v>
      </c>
      <c r="C29" s="6"/>
      <c r="G29" s="13" t="s">
        <v>14</v>
      </c>
      <c r="H29" s="6">
        <f>H23+H25+H27</f>
        <v>63986.37</v>
      </c>
    </row>
    <row r="30" spans="1:8" ht="15.75" thickBot="1" x14ac:dyDescent="0.3">
      <c r="A30" s="16"/>
      <c r="B30" s="16"/>
      <c r="C30" s="7"/>
    </row>
    <row r="31" spans="1:8" x14ac:dyDescent="0.25">
      <c r="E31" t="s">
        <v>151</v>
      </c>
      <c r="H31" s="20">
        <f>H29*0.5</f>
        <v>31993.185000000001</v>
      </c>
    </row>
    <row r="32" spans="1:8" ht="15.75" x14ac:dyDescent="0.25">
      <c r="A32" t="s">
        <v>10</v>
      </c>
      <c r="C32" s="10">
        <f>C23-C25-C27-C29</f>
        <v>103119.8</v>
      </c>
      <c r="H32" s="18"/>
    </row>
    <row r="33" spans="8:8" x14ac:dyDescent="0.25">
      <c r="H33" s="3"/>
    </row>
    <row r="34" spans="8:8" x14ac:dyDescent="0.25">
      <c r="H34" s="18"/>
    </row>
  </sheetData>
  <pageMargins left="0.7" right="0.7" top="0.75" bottom="0.75" header="0.3" footer="0.3"/>
</worksheet>
</file>

<file path=xl/worksheets/sheet4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3A3FC-ED9F-4607-97D5-2F8FF842AA89}">
  <dimension ref="A1:H34"/>
  <sheetViews>
    <sheetView workbookViewId="0">
      <selection activeCell="E10" sqref="E10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731</v>
      </c>
    </row>
    <row r="3" spans="1:8" ht="21" x14ac:dyDescent="0.35">
      <c r="A3" s="2" t="s">
        <v>1</v>
      </c>
      <c r="D3" s="11">
        <v>181832</v>
      </c>
      <c r="F3" s="12" t="s">
        <v>3</v>
      </c>
      <c r="H3" s="4">
        <f>(D3/1.19)*0.19</f>
        <v>29032</v>
      </c>
    </row>
    <row r="4" spans="1:8" x14ac:dyDescent="0.25">
      <c r="A4" s="13" t="s">
        <v>32</v>
      </c>
      <c r="C4" s="26">
        <v>1033</v>
      </c>
    </row>
    <row r="5" spans="1:8" ht="21" x14ac:dyDescent="0.35">
      <c r="A5" s="2" t="s">
        <v>2</v>
      </c>
    </row>
    <row r="7" spans="1:8" ht="18.75" x14ac:dyDescent="0.3">
      <c r="A7" s="5" t="s">
        <v>221</v>
      </c>
      <c r="D7" s="4">
        <v>142780</v>
      </c>
      <c r="E7" s="25"/>
      <c r="H7" s="4">
        <f t="shared" ref="H7:H12" si="0">(D7/1.19)*0.19</f>
        <v>22796.806722689078</v>
      </c>
    </row>
    <row r="8" spans="1:8" ht="18.75" x14ac:dyDescent="0.3">
      <c r="A8" s="5"/>
      <c r="C8" s="3"/>
      <c r="D8" s="32"/>
      <c r="E8" s="25"/>
      <c r="H8" s="4">
        <f t="shared" si="0"/>
        <v>0</v>
      </c>
    </row>
    <row r="9" spans="1:8" ht="18.75" x14ac:dyDescent="0.3">
      <c r="A9" s="5"/>
      <c r="C9" s="3"/>
      <c r="D9" s="28"/>
      <c r="E9" s="25"/>
      <c r="H9" s="4">
        <f t="shared" si="0"/>
        <v>0</v>
      </c>
    </row>
    <row r="10" spans="1:8" ht="18.75" x14ac:dyDescent="0.3">
      <c r="A10" s="5"/>
      <c r="C10" s="3"/>
      <c r="D10" s="28"/>
      <c r="E10" s="25"/>
      <c r="H10" s="4">
        <f t="shared" si="0"/>
        <v>0</v>
      </c>
    </row>
    <row r="11" spans="1:8" ht="18.75" x14ac:dyDescent="0.3">
      <c r="A11" s="5"/>
      <c r="C11" s="3"/>
      <c r="D11" s="28"/>
      <c r="E11" s="25"/>
      <c r="H11" s="4">
        <f t="shared" si="0"/>
        <v>0</v>
      </c>
    </row>
    <row r="12" spans="1:8" ht="18.75" x14ac:dyDescent="0.3">
      <c r="A12" s="5"/>
      <c r="C12" s="3"/>
      <c r="D12" s="28"/>
      <c r="E12" s="25"/>
      <c r="H12" s="4">
        <f t="shared" si="0"/>
        <v>0</v>
      </c>
    </row>
    <row r="13" spans="1:8" ht="19.5" thickBot="1" x14ac:dyDescent="0.35">
      <c r="A13" s="5"/>
      <c r="C13" s="3"/>
      <c r="D13" s="22"/>
      <c r="E13" s="25"/>
      <c r="H13" s="22">
        <v>0</v>
      </c>
    </row>
    <row r="14" spans="1:8" ht="18.75" customHeight="1" x14ac:dyDescent="0.3">
      <c r="D14" s="4">
        <f>SUM(D7:D13)</f>
        <v>142780</v>
      </c>
      <c r="H14" s="4">
        <f>SUM(H7:H13)</f>
        <v>22796.806722689078</v>
      </c>
    </row>
    <row r="15" spans="1:8" ht="18.75" x14ac:dyDescent="0.3">
      <c r="A15" s="5"/>
      <c r="C15" s="3"/>
      <c r="D15" s="4"/>
      <c r="H15" s="4"/>
    </row>
    <row r="17" spans="1:8" ht="18.75" x14ac:dyDescent="0.3">
      <c r="A17" s="5"/>
      <c r="C17" s="3"/>
      <c r="D17" s="4"/>
      <c r="H17" s="4"/>
    </row>
    <row r="18" spans="1:8" ht="15.75" thickBot="1" x14ac:dyDescent="0.3">
      <c r="D18" s="7"/>
      <c r="H18" s="7"/>
    </row>
    <row r="20" spans="1:8" ht="18.75" x14ac:dyDescent="0.3">
      <c r="C20" t="s">
        <v>4</v>
      </c>
      <c r="D20" s="4">
        <f>D3-D14</f>
        <v>39052</v>
      </c>
      <c r="G20" t="s">
        <v>5</v>
      </c>
      <c r="H20" s="4">
        <f>H3-H14</f>
        <v>6235.193277310922</v>
      </c>
    </row>
    <row r="23" spans="1:8" ht="15.75" x14ac:dyDescent="0.25">
      <c r="A23" t="s">
        <v>6</v>
      </c>
      <c r="C23" s="8">
        <f>D20</f>
        <v>39052</v>
      </c>
      <c r="E23" t="s">
        <v>10</v>
      </c>
      <c r="H23" s="6">
        <f>C32</f>
        <v>32089.478722689077</v>
      </c>
    </row>
    <row r="25" spans="1:8" ht="15.75" x14ac:dyDescent="0.25">
      <c r="A25" t="s">
        <v>5</v>
      </c>
      <c r="B25" s="9" t="s">
        <v>7</v>
      </c>
      <c r="C25" s="8">
        <f>H20</f>
        <v>6235.193277310922</v>
      </c>
      <c r="E25" s="13" t="s">
        <v>11</v>
      </c>
      <c r="F25" s="9" t="s">
        <v>181</v>
      </c>
      <c r="G25" s="15" t="s">
        <v>17</v>
      </c>
      <c r="H25" s="3">
        <f>-(F26*0.0077)</f>
        <v>-1176.56</v>
      </c>
    </row>
    <row r="26" spans="1:8" x14ac:dyDescent="0.25">
      <c r="F26" s="21">
        <f>D3-H3</f>
        <v>152800</v>
      </c>
    </row>
    <row r="27" spans="1:8" ht="15.75" x14ac:dyDescent="0.25">
      <c r="A27" t="s">
        <v>8</v>
      </c>
      <c r="B27" s="9" t="s">
        <v>7</v>
      </c>
      <c r="C27" s="8">
        <f>D3*0.004</f>
        <v>727.32799999999997</v>
      </c>
      <c r="F27" s="9" t="s">
        <v>13</v>
      </c>
      <c r="G27" s="16">
        <v>0.35</v>
      </c>
      <c r="H27" s="29">
        <f>-(F28*0.35)</f>
        <v>-11231.317552941176</v>
      </c>
    </row>
    <row r="28" spans="1:8" ht="15.75" thickBot="1" x14ac:dyDescent="0.3">
      <c r="F28" s="21">
        <f>H23</f>
        <v>32089.478722689077</v>
      </c>
      <c r="H28" s="7"/>
    </row>
    <row r="29" spans="1:8" x14ac:dyDescent="0.25">
      <c r="A29" t="s">
        <v>9</v>
      </c>
      <c r="B29" s="9" t="s">
        <v>7</v>
      </c>
      <c r="C29" s="6"/>
      <c r="G29" s="13" t="s">
        <v>14</v>
      </c>
      <c r="H29" s="6">
        <f>H23+H25+H27</f>
        <v>19681.601169747897</v>
      </c>
    </row>
    <row r="30" spans="1:8" ht="15.75" thickBot="1" x14ac:dyDescent="0.3">
      <c r="A30" s="16"/>
      <c r="B30" s="16"/>
      <c r="C30" s="7"/>
    </row>
    <row r="31" spans="1:8" x14ac:dyDescent="0.25">
      <c r="E31" t="s">
        <v>151</v>
      </c>
      <c r="H31" s="20">
        <f>H29*0.5</f>
        <v>9840.8005848739485</v>
      </c>
    </row>
    <row r="32" spans="1:8" ht="15.75" x14ac:dyDescent="0.25">
      <c r="A32" t="s">
        <v>10</v>
      </c>
      <c r="C32" s="10">
        <f>C23-C25-C27-C29</f>
        <v>32089.478722689077</v>
      </c>
      <c r="H32" s="18"/>
    </row>
    <row r="33" spans="8:8" x14ac:dyDescent="0.25">
      <c r="H33" s="3"/>
    </row>
    <row r="34" spans="8:8" x14ac:dyDescent="0.25">
      <c r="H34" s="18"/>
    </row>
  </sheetData>
  <pageMargins left="0.7" right="0.7" top="0.75" bottom="0.75" header="0.3" footer="0.3"/>
</worksheet>
</file>

<file path=xl/worksheets/sheet4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80969-012A-4F9C-B6EF-9879181C3FF7}">
  <dimension ref="A1:H34"/>
  <sheetViews>
    <sheetView workbookViewId="0">
      <selection sqref="A1:XFD1048576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732</v>
      </c>
    </row>
    <row r="3" spans="1:8" ht="21" x14ac:dyDescent="0.35">
      <c r="A3" s="2" t="s">
        <v>1</v>
      </c>
      <c r="D3" s="11">
        <v>414120</v>
      </c>
      <c r="F3" s="12" t="s">
        <v>3</v>
      </c>
      <c r="H3" s="4">
        <f>(D3/1.19)*0.19</f>
        <v>66120</v>
      </c>
    </row>
    <row r="4" spans="1:8" x14ac:dyDescent="0.25">
      <c r="A4" s="13" t="s">
        <v>32</v>
      </c>
      <c r="C4" s="26">
        <v>1039</v>
      </c>
    </row>
    <row r="5" spans="1:8" ht="21" x14ac:dyDescent="0.35">
      <c r="A5" s="2" t="s">
        <v>2</v>
      </c>
    </row>
    <row r="7" spans="1:8" ht="18.75" x14ac:dyDescent="0.3">
      <c r="A7" s="5" t="s">
        <v>221</v>
      </c>
      <c r="D7" s="4">
        <v>249840</v>
      </c>
      <c r="E7" s="25"/>
      <c r="H7" s="4">
        <f t="shared" ref="H7:H12" si="0">(D7/1.19)*0.19</f>
        <v>39890.420168067227</v>
      </c>
    </row>
    <row r="8" spans="1:8" ht="18.75" x14ac:dyDescent="0.3">
      <c r="A8" s="5"/>
      <c r="C8" s="3"/>
      <c r="D8" s="32"/>
      <c r="E8" s="25"/>
      <c r="H8" s="4">
        <f t="shared" si="0"/>
        <v>0</v>
      </c>
    </row>
    <row r="9" spans="1:8" ht="18.75" x14ac:dyDescent="0.3">
      <c r="A9" s="5"/>
      <c r="C9" s="3"/>
      <c r="D9" s="28"/>
      <c r="E9" s="25"/>
      <c r="H9" s="4">
        <f t="shared" si="0"/>
        <v>0</v>
      </c>
    </row>
    <row r="10" spans="1:8" ht="18.75" x14ac:dyDescent="0.3">
      <c r="A10" s="5"/>
      <c r="C10" s="3"/>
      <c r="D10" s="28"/>
      <c r="E10" s="25"/>
      <c r="H10" s="4">
        <f t="shared" si="0"/>
        <v>0</v>
      </c>
    </row>
    <row r="11" spans="1:8" ht="18.75" x14ac:dyDescent="0.3">
      <c r="A11" s="5"/>
      <c r="C11" s="3"/>
      <c r="D11" s="28"/>
      <c r="E11" s="25"/>
      <c r="H11" s="4">
        <f t="shared" si="0"/>
        <v>0</v>
      </c>
    </row>
    <row r="12" spans="1:8" ht="18.75" x14ac:dyDescent="0.3">
      <c r="A12" s="5"/>
      <c r="C12" s="3"/>
      <c r="D12" s="28"/>
      <c r="E12" s="25"/>
      <c r="H12" s="4">
        <f t="shared" si="0"/>
        <v>0</v>
      </c>
    </row>
    <row r="13" spans="1:8" ht="19.5" thickBot="1" x14ac:dyDescent="0.35">
      <c r="A13" s="5"/>
      <c r="C13" s="3"/>
      <c r="D13" s="22"/>
      <c r="E13" s="25"/>
      <c r="H13" s="22">
        <v>0</v>
      </c>
    </row>
    <row r="14" spans="1:8" ht="18.75" customHeight="1" x14ac:dyDescent="0.3">
      <c r="D14" s="4">
        <f>SUM(D7:D13)</f>
        <v>249840</v>
      </c>
      <c r="H14" s="4">
        <f>SUM(H7:H13)</f>
        <v>39890.420168067227</v>
      </c>
    </row>
    <row r="15" spans="1:8" ht="18.75" x14ac:dyDescent="0.3">
      <c r="A15" s="5"/>
      <c r="C15" s="3"/>
      <c r="D15" s="4"/>
      <c r="H15" s="4"/>
    </row>
    <row r="17" spans="1:8" ht="18.75" x14ac:dyDescent="0.3">
      <c r="A17" s="5"/>
      <c r="C17" s="3"/>
      <c r="D17" s="4"/>
      <c r="H17" s="4"/>
    </row>
    <row r="18" spans="1:8" ht="15.75" thickBot="1" x14ac:dyDescent="0.3">
      <c r="D18" s="7"/>
      <c r="H18" s="7"/>
    </row>
    <row r="20" spans="1:8" ht="18.75" x14ac:dyDescent="0.3">
      <c r="C20" t="s">
        <v>4</v>
      </c>
      <c r="D20" s="4">
        <f>D3-D14</f>
        <v>164280</v>
      </c>
      <c r="G20" t="s">
        <v>5</v>
      </c>
      <c r="H20" s="4">
        <f>H3-H14</f>
        <v>26229.579831932773</v>
      </c>
    </row>
    <row r="23" spans="1:8" ht="15.75" x14ac:dyDescent="0.25">
      <c r="A23" t="s">
        <v>6</v>
      </c>
      <c r="C23" s="8">
        <f>D20</f>
        <v>164280</v>
      </c>
      <c r="E23" t="s">
        <v>10</v>
      </c>
      <c r="H23" s="6">
        <f>C32</f>
        <v>136393.9401680672</v>
      </c>
    </row>
    <row r="25" spans="1:8" ht="15.75" x14ac:dyDescent="0.25">
      <c r="A25" t="s">
        <v>5</v>
      </c>
      <c r="B25" s="9" t="s">
        <v>7</v>
      </c>
      <c r="C25" s="8">
        <f>H20</f>
        <v>26229.579831932773</v>
      </c>
      <c r="E25" s="13" t="s">
        <v>11</v>
      </c>
      <c r="F25" s="9" t="s">
        <v>181</v>
      </c>
      <c r="G25" s="15" t="s">
        <v>17</v>
      </c>
      <c r="H25" s="3">
        <f>-(F26*0.0077)</f>
        <v>-2679.6</v>
      </c>
    </row>
    <row r="26" spans="1:8" x14ac:dyDescent="0.25">
      <c r="F26" s="21">
        <f>D3-H3</f>
        <v>348000</v>
      </c>
    </row>
    <row r="27" spans="1:8" ht="15.75" x14ac:dyDescent="0.25">
      <c r="A27" t="s">
        <v>8</v>
      </c>
      <c r="B27" s="9" t="s">
        <v>7</v>
      </c>
      <c r="C27" s="8">
        <f>D3*0.004</f>
        <v>1656.48</v>
      </c>
      <c r="F27" s="9" t="s">
        <v>13</v>
      </c>
      <c r="G27" s="16">
        <v>0.35</v>
      </c>
      <c r="H27" s="29">
        <f>-(F28*0.35)</f>
        <v>-47737.879058823521</v>
      </c>
    </row>
    <row r="28" spans="1:8" ht="15.75" thickBot="1" x14ac:dyDescent="0.3">
      <c r="F28" s="21">
        <f>H23</f>
        <v>136393.9401680672</v>
      </c>
      <c r="H28" s="7"/>
    </row>
    <row r="29" spans="1:8" x14ac:dyDescent="0.25">
      <c r="A29" t="s">
        <v>9</v>
      </c>
      <c r="B29" s="9" t="s">
        <v>7</v>
      </c>
      <c r="C29" s="6"/>
      <c r="G29" s="13" t="s">
        <v>14</v>
      </c>
      <c r="H29" s="6">
        <f>H23+H25+H27</f>
        <v>85976.461109243683</v>
      </c>
    </row>
    <row r="30" spans="1:8" ht="15.75" thickBot="1" x14ac:dyDescent="0.3">
      <c r="A30" s="16"/>
      <c r="B30" s="16"/>
      <c r="C30" s="7"/>
    </row>
    <row r="31" spans="1:8" x14ac:dyDescent="0.25">
      <c r="E31" t="s">
        <v>151</v>
      </c>
      <c r="H31" s="20">
        <f>H29*0.5</f>
        <v>42988.230554621841</v>
      </c>
    </row>
    <row r="32" spans="1:8" ht="15.75" x14ac:dyDescent="0.25">
      <c r="A32" t="s">
        <v>10</v>
      </c>
      <c r="C32" s="10">
        <f>C23-C25-C27-C29</f>
        <v>136393.9401680672</v>
      </c>
      <c r="H32" s="18"/>
    </row>
    <row r="33" spans="8:8" x14ac:dyDescent="0.25">
      <c r="H33" s="3"/>
    </row>
    <row r="34" spans="8:8" x14ac:dyDescent="0.25">
      <c r="H34" s="18"/>
    </row>
  </sheetData>
  <pageMargins left="0.7" right="0.7" top="0.75" bottom="0.75" header="0.3" footer="0.3"/>
</worksheet>
</file>

<file path=xl/worksheets/sheet4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81028-9979-4874-AF4C-EC39C5834BD6}">
  <dimension ref="A1:H34"/>
  <sheetViews>
    <sheetView workbookViewId="0">
      <selection sqref="A1:XFD1048576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603</v>
      </c>
    </row>
    <row r="3" spans="1:8" ht="21" x14ac:dyDescent="0.35">
      <c r="A3" s="2" t="s">
        <v>1</v>
      </c>
      <c r="D3" s="11">
        <v>380086</v>
      </c>
      <c r="F3" s="12" t="s">
        <v>3</v>
      </c>
      <c r="H3" s="4">
        <f>(D3/1.19)*0.19</f>
        <v>60686</v>
      </c>
    </row>
    <row r="4" spans="1:8" x14ac:dyDescent="0.25">
      <c r="A4" s="13" t="s">
        <v>32</v>
      </c>
      <c r="C4" s="26">
        <v>1041</v>
      </c>
    </row>
    <row r="5" spans="1:8" ht="21" x14ac:dyDescent="0.35">
      <c r="A5" s="2" t="s">
        <v>2</v>
      </c>
    </row>
    <row r="7" spans="1:8" ht="18.75" x14ac:dyDescent="0.3">
      <c r="A7" s="5" t="s">
        <v>221</v>
      </c>
      <c r="D7" s="4">
        <v>256347</v>
      </c>
      <c r="E7" s="25"/>
      <c r="H7" s="4">
        <f t="shared" ref="H7:H12" si="0">(D7/1.19)*0.19</f>
        <v>40929.352941176476</v>
      </c>
    </row>
    <row r="8" spans="1:8" ht="18.75" x14ac:dyDescent="0.3">
      <c r="A8" s="5"/>
      <c r="C8" s="3"/>
      <c r="D8" s="32"/>
      <c r="E8" s="25"/>
      <c r="H8" s="4">
        <f t="shared" si="0"/>
        <v>0</v>
      </c>
    </row>
    <row r="9" spans="1:8" ht="18.75" x14ac:dyDescent="0.3">
      <c r="A9" s="5"/>
      <c r="C9" s="3"/>
      <c r="D9" s="28"/>
      <c r="E9" s="25"/>
      <c r="H9" s="4">
        <f t="shared" si="0"/>
        <v>0</v>
      </c>
    </row>
    <row r="10" spans="1:8" ht="18.75" x14ac:dyDescent="0.3">
      <c r="A10" s="5"/>
      <c r="C10" s="3"/>
      <c r="D10" s="28"/>
      <c r="E10" s="25"/>
      <c r="H10" s="4">
        <f t="shared" si="0"/>
        <v>0</v>
      </c>
    </row>
    <row r="11" spans="1:8" ht="18.75" x14ac:dyDescent="0.3">
      <c r="A11" s="5"/>
      <c r="C11" s="3"/>
      <c r="D11" s="28"/>
      <c r="E11" s="25"/>
      <c r="H11" s="4">
        <f t="shared" si="0"/>
        <v>0</v>
      </c>
    </row>
    <row r="12" spans="1:8" ht="18.75" x14ac:dyDescent="0.3">
      <c r="A12" s="5"/>
      <c r="C12" s="3"/>
      <c r="D12" s="28"/>
      <c r="E12" s="25"/>
      <c r="H12" s="4">
        <f t="shared" si="0"/>
        <v>0</v>
      </c>
    </row>
    <row r="13" spans="1:8" ht="19.5" thickBot="1" x14ac:dyDescent="0.35">
      <c r="A13" s="5"/>
      <c r="C13" s="3"/>
      <c r="D13" s="22"/>
      <c r="E13" s="25"/>
      <c r="H13" s="22">
        <v>0</v>
      </c>
    </row>
    <row r="14" spans="1:8" ht="18.75" customHeight="1" x14ac:dyDescent="0.3">
      <c r="D14" s="4">
        <f>SUM(D7:D13)</f>
        <v>256347</v>
      </c>
      <c r="H14" s="4">
        <f>SUM(H7:H13)</f>
        <v>40929.352941176476</v>
      </c>
    </row>
    <row r="15" spans="1:8" ht="18.75" x14ac:dyDescent="0.3">
      <c r="A15" s="5"/>
      <c r="C15" s="3"/>
      <c r="D15" s="4"/>
      <c r="H15" s="4"/>
    </row>
    <row r="17" spans="1:8" ht="18.75" x14ac:dyDescent="0.3">
      <c r="A17" s="5"/>
      <c r="C17" s="3"/>
      <c r="D17" s="4"/>
      <c r="H17" s="4"/>
    </row>
    <row r="18" spans="1:8" ht="15.75" thickBot="1" x14ac:dyDescent="0.3">
      <c r="D18" s="7"/>
      <c r="H18" s="7"/>
    </row>
    <row r="20" spans="1:8" ht="18.75" x14ac:dyDescent="0.3">
      <c r="C20" t="s">
        <v>4</v>
      </c>
      <c r="D20" s="4">
        <f>D3-D14</f>
        <v>123739</v>
      </c>
      <c r="G20" t="s">
        <v>5</v>
      </c>
      <c r="H20" s="4">
        <f>H3-H14</f>
        <v>19756.647058823524</v>
      </c>
    </row>
    <row r="23" spans="1:8" ht="15.75" x14ac:dyDescent="0.25">
      <c r="A23" t="s">
        <v>6</v>
      </c>
      <c r="C23" s="8">
        <f>D20</f>
        <v>123739</v>
      </c>
      <c r="E23" t="s">
        <v>10</v>
      </c>
      <c r="H23" s="6">
        <f>C32</f>
        <v>102462.00894117648</v>
      </c>
    </row>
    <row r="25" spans="1:8" ht="15.75" x14ac:dyDescent="0.25">
      <c r="A25" t="s">
        <v>5</v>
      </c>
      <c r="B25" s="9" t="s">
        <v>7</v>
      </c>
      <c r="C25" s="8">
        <f>H20</f>
        <v>19756.647058823524</v>
      </c>
      <c r="E25" s="13" t="s">
        <v>11</v>
      </c>
      <c r="F25" s="9" t="s">
        <v>181</v>
      </c>
      <c r="G25" s="15" t="s">
        <v>17</v>
      </c>
      <c r="H25" s="3">
        <f>-(F26*0.0077)</f>
        <v>-2459.38</v>
      </c>
    </row>
    <row r="26" spans="1:8" x14ac:dyDescent="0.25">
      <c r="F26" s="21">
        <f>D3-H3</f>
        <v>319400</v>
      </c>
    </row>
    <row r="27" spans="1:8" ht="15.75" x14ac:dyDescent="0.25">
      <c r="A27" t="s">
        <v>8</v>
      </c>
      <c r="B27" s="9" t="s">
        <v>7</v>
      </c>
      <c r="C27" s="8">
        <f>D3*0.004</f>
        <v>1520.3440000000001</v>
      </c>
      <c r="F27" s="9" t="s">
        <v>13</v>
      </c>
      <c r="G27" s="16">
        <v>0.35</v>
      </c>
      <c r="H27" s="29">
        <f>-(F28*0.35)</f>
        <v>-35861.703129411762</v>
      </c>
    </row>
    <row r="28" spans="1:8" ht="15.75" thickBot="1" x14ac:dyDescent="0.3">
      <c r="F28" s="21">
        <f>H23</f>
        <v>102462.00894117648</v>
      </c>
      <c r="H28" s="7"/>
    </row>
    <row r="29" spans="1:8" x14ac:dyDescent="0.25">
      <c r="A29" t="s">
        <v>9</v>
      </c>
      <c r="B29" s="9" t="s">
        <v>7</v>
      </c>
      <c r="C29" s="6"/>
      <c r="G29" s="13" t="s">
        <v>14</v>
      </c>
      <c r="H29" s="6">
        <f>H23+H25+H27</f>
        <v>64140.925811764711</v>
      </c>
    </row>
    <row r="30" spans="1:8" ht="15.75" thickBot="1" x14ac:dyDescent="0.3">
      <c r="A30" s="16"/>
      <c r="B30" s="16"/>
      <c r="C30" s="7"/>
    </row>
    <row r="31" spans="1:8" x14ac:dyDescent="0.25">
      <c r="E31" t="s">
        <v>151</v>
      </c>
      <c r="H31" s="20">
        <f>H29*0.5</f>
        <v>32070.462905882356</v>
      </c>
    </row>
    <row r="32" spans="1:8" ht="15.75" x14ac:dyDescent="0.25">
      <c r="A32" t="s">
        <v>10</v>
      </c>
      <c r="C32" s="10">
        <f>C23-C25-C27-C29</f>
        <v>102462.00894117648</v>
      </c>
      <c r="H32" s="18"/>
    </row>
    <row r="33" spans="8:8" x14ac:dyDescent="0.25">
      <c r="H33" s="3"/>
    </row>
    <row r="34" spans="8:8" x14ac:dyDescent="0.25">
      <c r="H34" s="18"/>
    </row>
  </sheetData>
  <pageMargins left="0.7" right="0.7" top="0.75" bottom="0.75" header="0.3" footer="0.3"/>
</worksheet>
</file>

<file path=xl/worksheets/sheet4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53E65-DBE8-40A3-B56C-A93E79353DB7}">
  <dimension ref="A1:H34"/>
  <sheetViews>
    <sheetView workbookViewId="0">
      <selection sqref="A1:XFD1048576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733</v>
      </c>
    </row>
    <row r="3" spans="1:8" ht="21" x14ac:dyDescent="0.35">
      <c r="A3" s="2" t="s">
        <v>1</v>
      </c>
      <c r="D3" s="11">
        <v>10948</v>
      </c>
      <c r="F3" s="12" t="s">
        <v>3</v>
      </c>
      <c r="H3" s="4">
        <f>(D3/1.19)*0.19</f>
        <v>1748</v>
      </c>
    </row>
    <row r="4" spans="1:8" x14ac:dyDescent="0.25">
      <c r="A4" s="13" t="s">
        <v>32</v>
      </c>
      <c r="C4" s="26">
        <v>1042</v>
      </c>
    </row>
    <row r="5" spans="1:8" ht="21" x14ac:dyDescent="0.35">
      <c r="A5" s="2" t="s">
        <v>2</v>
      </c>
    </row>
    <row r="7" spans="1:8" ht="18.75" x14ac:dyDescent="0.3">
      <c r="A7" s="5" t="s">
        <v>221</v>
      </c>
      <c r="D7" s="4">
        <v>4600</v>
      </c>
      <c r="E7" s="25"/>
      <c r="H7" s="4">
        <f t="shared" ref="H7:H12" si="0">(D7/1.19)*0.19</f>
        <v>734.45378151260502</v>
      </c>
    </row>
    <row r="8" spans="1:8" ht="18.75" x14ac:dyDescent="0.3">
      <c r="A8" s="5"/>
      <c r="C8" s="3"/>
      <c r="D8" s="32"/>
      <c r="E8" s="25"/>
      <c r="H8" s="4">
        <f t="shared" si="0"/>
        <v>0</v>
      </c>
    </row>
    <row r="9" spans="1:8" ht="18.75" x14ac:dyDescent="0.3">
      <c r="A9" s="5"/>
      <c r="C9" s="3"/>
      <c r="D9" s="28"/>
      <c r="E9" s="25"/>
      <c r="H9" s="4">
        <f t="shared" si="0"/>
        <v>0</v>
      </c>
    </row>
    <row r="10" spans="1:8" ht="18.75" x14ac:dyDescent="0.3">
      <c r="A10" s="5"/>
      <c r="C10" s="3"/>
      <c r="D10" s="28"/>
      <c r="E10" s="25"/>
      <c r="H10" s="4">
        <f t="shared" si="0"/>
        <v>0</v>
      </c>
    </row>
    <row r="11" spans="1:8" ht="18.75" x14ac:dyDescent="0.3">
      <c r="A11" s="5"/>
      <c r="C11" s="3"/>
      <c r="D11" s="28"/>
      <c r="E11" s="25"/>
      <c r="H11" s="4">
        <f t="shared" si="0"/>
        <v>0</v>
      </c>
    </row>
    <row r="12" spans="1:8" ht="18.75" x14ac:dyDescent="0.3">
      <c r="A12" s="5"/>
      <c r="C12" s="3"/>
      <c r="D12" s="28"/>
      <c r="E12" s="25"/>
      <c r="H12" s="4">
        <f t="shared" si="0"/>
        <v>0</v>
      </c>
    </row>
    <row r="13" spans="1:8" ht="19.5" thickBot="1" x14ac:dyDescent="0.35">
      <c r="A13" s="5"/>
      <c r="C13" s="3"/>
      <c r="D13" s="22"/>
      <c r="E13" s="25"/>
      <c r="H13" s="22">
        <v>0</v>
      </c>
    </row>
    <row r="14" spans="1:8" ht="18.75" customHeight="1" x14ac:dyDescent="0.3">
      <c r="D14" s="4">
        <f>SUM(D7:D13)</f>
        <v>4600</v>
      </c>
      <c r="H14" s="4">
        <f>SUM(H7:H13)</f>
        <v>734.45378151260502</v>
      </c>
    </row>
    <row r="15" spans="1:8" ht="18.75" x14ac:dyDescent="0.3">
      <c r="A15" s="5"/>
      <c r="C15" s="3"/>
      <c r="D15" s="4"/>
      <c r="H15" s="4"/>
    </row>
    <row r="17" spans="1:8" ht="18.75" x14ac:dyDescent="0.3">
      <c r="A17" s="5"/>
      <c r="C17" s="3"/>
      <c r="D17" s="4"/>
      <c r="H17" s="4"/>
    </row>
    <row r="18" spans="1:8" ht="15.75" thickBot="1" x14ac:dyDescent="0.3">
      <c r="D18" s="7"/>
      <c r="H18" s="7"/>
    </row>
    <row r="20" spans="1:8" ht="18.75" x14ac:dyDescent="0.3">
      <c r="C20" t="s">
        <v>4</v>
      </c>
      <c r="D20" s="4">
        <f>D3-D14</f>
        <v>6348</v>
      </c>
      <c r="G20" t="s">
        <v>5</v>
      </c>
      <c r="H20" s="4">
        <f>H3-H14</f>
        <v>1013.546218487395</v>
      </c>
    </row>
    <row r="23" spans="1:8" ht="15.75" x14ac:dyDescent="0.25">
      <c r="A23" t="s">
        <v>6</v>
      </c>
      <c r="C23" s="8">
        <f>D20</f>
        <v>6348</v>
      </c>
      <c r="E23" t="s">
        <v>10</v>
      </c>
      <c r="H23" s="6">
        <f>C32</f>
        <v>5290.6617815126046</v>
      </c>
    </row>
    <row r="25" spans="1:8" ht="15.75" x14ac:dyDescent="0.25">
      <c r="A25" t="s">
        <v>5</v>
      </c>
      <c r="B25" s="9" t="s">
        <v>7</v>
      </c>
      <c r="C25" s="8">
        <f>H20</f>
        <v>1013.546218487395</v>
      </c>
      <c r="E25" s="13" t="s">
        <v>11</v>
      </c>
      <c r="F25" s="9" t="s">
        <v>181</v>
      </c>
      <c r="G25" s="15" t="s">
        <v>17</v>
      </c>
      <c r="H25" s="3">
        <f>-(F26*0.0077)</f>
        <v>-70.84</v>
      </c>
    </row>
    <row r="26" spans="1:8" x14ac:dyDescent="0.25">
      <c r="F26" s="21">
        <f>D3-H3</f>
        <v>9200</v>
      </c>
    </row>
    <row r="27" spans="1:8" ht="15.75" x14ac:dyDescent="0.25">
      <c r="A27" t="s">
        <v>8</v>
      </c>
      <c r="B27" s="9" t="s">
        <v>7</v>
      </c>
      <c r="C27" s="8">
        <f>D3*0.004</f>
        <v>43.792000000000002</v>
      </c>
      <c r="F27" s="9" t="s">
        <v>13</v>
      </c>
      <c r="G27" s="16">
        <v>0.35</v>
      </c>
      <c r="H27" s="29">
        <f>-(F28*0.35)</f>
        <v>-1851.7316235294115</v>
      </c>
    </row>
    <row r="28" spans="1:8" ht="15.75" thickBot="1" x14ac:dyDescent="0.3">
      <c r="F28" s="21">
        <f>H23</f>
        <v>5290.6617815126046</v>
      </c>
      <c r="H28" s="7"/>
    </row>
    <row r="29" spans="1:8" x14ac:dyDescent="0.25">
      <c r="A29" t="s">
        <v>9</v>
      </c>
      <c r="B29" s="9" t="s">
        <v>7</v>
      </c>
      <c r="C29" s="6"/>
      <c r="G29" s="13" t="s">
        <v>14</v>
      </c>
      <c r="H29" s="6">
        <f>H23+H25+H27</f>
        <v>3368.090157983193</v>
      </c>
    </row>
    <row r="30" spans="1:8" ht="15.75" thickBot="1" x14ac:dyDescent="0.3">
      <c r="A30" s="16"/>
      <c r="B30" s="16"/>
      <c r="C30" s="7"/>
    </row>
    <row r="31" spans="1:8" x14ac:dyDescent="0.25">
      <c r="E31" t="s">
        <v>151</v>
      </c>
      <c r="H31" s="20">
        <f>H29*0.5</f>
        <v>1684.0450789915965</v>
      </c>
    </row>
    <row r="32" spans="1:8" ht="15.75" x14ac:dyDescent="0.25">
      <c r="A32" t="s">
        <v>10</v>
      </c>
      <c r="C32" s="10">
        <f>C23-C25-C27-C29</f>
        <v>5290.6617815126046</v>
      </c>
      <c r="H32" s="18"/>
    </row>
    <row r="33" spans="8:8" x14ac:dyDescent="0.25">
      <c r="H33" s="3"/>
    </row>
    <row r="34" spans="8:8" x14ac:dyDescent="0.25">
      <c r="H34" s="18"/>
    </row>
  </sheetData>
  <pageMargins left="0.7" right="0.7" top="0.75" bottom="0.75" header="0.3" footer="0.3"/>
</worksheet>
</file>

<file path=xl/worksheets/sheet4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30362-3FDC-445E-99F5-9C7DC8004CB9}">
  <dimension ref="A1:H34"/>
  <sheetViews>
    <sheetView workbookViewId="0">
      <selection sqref="A1:XFD1048576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734</v>
      </c>
    </row>
    <row r="3" spans="1:8" ht="21" x14ac:dyDescent="0.35">
      <c r="A3" s="2" t="s">
        <v>1</v>
      </c>
      <c r="D3" s="11">
        <v>158865</v>
      </c>
      <c r="F3" s="12" t="s">
        <v>3</v>
      </c>
      <c r="H3" s="4">
        <f>(D3/1.19)*0.19</f>
        <v>25365</v>
      </c>
    </row>
    <row r="4" spans="1:8" x14ac:dyDescent="0.25">
      <c r="A4" s="13" t="s">
        <v>32</v>
      </c>
      <c r="C4" s="26">
        <v>1043</v>
      </c>
    </row>
    <row r="5" spans="1:8" ht="21" x14ac:dyDescent="0.35">
      <c r="A5" s="2" t="s">
        <v>2</v>
      </c>
    </row>
    <row r="7" spans="1:8" ht="18.75" x14ac:dyDescent="0.3">
      <c r="A7" s="5" t="s">
        <v>221</v>
      </c>
      <c r="D7" s="4">
        <v>115140</v>
      </c>
      <c r="E7" s="25"/>
      <c r="H7" s="4">
        <f t="shared" ref="H7:H12" si="0">(D7/1.19)*0.19</f>
        <v>18383.697478991595</v>
      </c>
    </row>
    <row r="8" spans="1:8" ht="18.75" x14ac:dyDescent="0.3">
      <c r="A8" s="5"/>
      <c r="C8" s="3"/>
      <c r="D8" s="32"/>
      <c r="E8" s="25"/>
      <c r="H8" s="4">
        <f t="shared" si="0"/>
        <v>0</v>
      </c>
    </row>
    <row r="9" spans="1:8" ht="18.75" x14ac:dyDescent="0.3">
      <c r="A9" s="5"/>
      <c r="C9" s="3"/>
      <c r="D9" s="28"/>
      <c r="E9" s="25"/>
      <c r="H9" s="4">
        <f t="shared" si="0"/>
        <v>0</v>
      </c>
    </row>
    <row r="10" spans="1:8" ht="18.75" x14ac:dyDescent="0.3">
      <c r="A10" s="5"/>
      <c r="C10" s="3"/>
      <c r="D10" s="28"/>
      <c r="E10" s="25"/>
      <c r="H10" s="4">
        <f t="shared" si="0"/>
        <v>0</v>
      </c>
    </row>
    <row r="11" spans="1:8" ht="18.75" x14ac:dyDescent="0.3">
      <c r="A11" s="5"/>
      <c r="C11" s="3"/>
      <c r="D11" s="28"/>
      <c r="E11" s="25"/>
      <c r="H11" s="4">
        <f t="shared" si="0"/>
        <v>0</v>
      </c>
    </row>
    <row r="12" spans="1:8" ht="18.75" x14ac:dyDescent="0.3">
      <c r="A12" s="5"/>
      <c r="C12" s="3"/>
      <c r="D12" s="28"/>
      <c r="E12" s="25"/>
      <c r="H12" s="4">
        <f t="shared" si="0"/>
        <v>0</v>
      </c>
    </row>
    <row r="13" spans="1:8" ht="19.5" thickBot="1" x14ac:dyDescent="0.35">
      <c r="A13" s="5"/>
      <c r="C13" s="3"/>
      <c r="D13" s="22"/>
      <c r="E13" s="25"/>
      <c r="H13" s="22">
        <v>0</v>
      </c>
    </row>
    <row r="14" spans="1:8" ht="18.75" customHeight="1" x14ac:dyDescent="0.3">
      <c r="D14" s="4">
        <f>SUM(D7:D13)</f>
        <v>115140</v>
      </c>
      <c r="H14" s="4">
        <f>SUM(H7:H13)</f>
        <v>18383.697478991595</v>
      </c>
    </row>
    <row r="15" spans="1:8" ht="18.75" x14ac:dyDescent="0.3">
      <c r="A15" s="5"/>
      <c r="C15" s="3"/>
      <c r="D15" s="4"/>
      <c r="H15" s="4"/>
    </row>
    <row r="17" spans="1:8" ht="18.75" x14ac:dyDescent="0.3">
      <c r="A17" s="5"/>
      <c r="C17" s="3"/>
      <c r="D17" s="4"/>
      <c r="H17" s="4"/>
    </row>
    <row r="18" spans="1:8" ht="15.75" thickBot="1" x14ac:dyDescent="0.3">
      <c r="D18" s="7"/>
      <c r="H18" s="7"/>
    </row>
    <row r="20" spans="1:8" ht="18.75" x14ac:dyDescent="0.3">
      <c r="C20" t="s">
        <v>4</v>
      </c>
      <c r="D20" s="4">
        <f>D3-D14</f>
        <v>43725</v>
      </c>
      <c r="G20" t="s">
        <v>5</v>
      </c>
      <c r="H20" s="4">
        <f>H3-H14</f>
        <v>6981.3025210084052</v>
      </c>
    </row>
    <row r="23" spans="1:8" ht="15.75" x14ac:dyDescent="0.25">
      <c r="A23" t="s">
        <v>6</v>
      </c>
      <c r="C23" s="8">
        <f>D20</f>
        <v>43725</v>
      </c>
      <c r="E23" t="s">
        <v>10</v>
      </c>
      <c r="H23" s="6">
        <f>C32</f>
        <v>36108.237478991599</v>
      </c>
    </row>
    <row r="25" spans="1:8" ht="15.75" x14ac:dyDescent="0.25">
      <c r="A25" t="s">
        <v>5</v>
      </c>
      <c r="B25" s="9" t="s">
        <v>7</v>
      </c>
      <c r="C25" s="8">
        <f>H20</f>
        <v>6981.3025210084052</v>
      </c>
      <c r="E25" s="13" t="s">
        <v>11</v>
      </c>
      <c r="F25" s="9" t="s">
        <v>181</v>
      </c>
      <c r="G25" s="15" t="s">
        <v>17</v>
      </c>
      <c r="H25" s="3">
        <f>-(F26*0.0077)</f>
        <v>-1027.95</v>
      </c>
    </row>
    <row r="26" spans="1:8" x14ac:dyDescent="0.25">
      <c r="F26" s="21">
        <f>D3-H3</f>
        <v>133500</v>
      </c>
    </row>
    <row r="27" spans="1:8" ht="15.75" x14ac:dyDescent="0.25">
      <c r="A27" t="s">
        <v>8</v>
      </c>
      <c r="B27" s="9" t="s">
        <v>7</v>
      </c>
      <c r="C27" s="8">
        <f>D3*0.004</f>
        <v>635.46</v>
      </c>
      <c r="F27" s="9" t="s">
        <v>13</v>
      </c>
      <c r="G27" s="16">
        <v>0.35</v>
      </c>
      <c r="H27" s="29">
        <f>-(F28*0.35)</f>
        <v>-12637.883117647059</v>
      </c>
    </row>
    <row r="28" spans="1:8" ht="15.75" thickBot="1" x14ac:dyDescent="0.3">
      <c r="F28" s="21">
        <f>H23</f>
        <v>36108.237478991599</v>
      </c>
      <c r="H28" s="7"/>
    </row>
    <row r="29" spans="1:8" x14ac:dyDescent="0.25">
      <c r="A29" t="s">
        <v>9</v>
      </c>
      <c r="B29" s="9" t="s">
        <v>7</v>
      </c>
      <c r="C29" s="6"/>
      <c r="G29" s="13" t="s">
        <v>14</v>
      </c>
      <c r="H29" s="6">
        <f>H23+H25+H27</f>
        <v>22442.404361344543</v>
      </c>
    </row>
    <row r="30" spans="1:8" ht="15.75" thickBot="1" x14ac:dyDescent="0.3">
      <c r="A30" s="16"/>
      <c r="B30" s="16"/>
      <c r="C30" s="7"/>
    </row>
    <row r="31" spans="1:8" x14ac:dyDescent="0.25">
      <c r="E31" t="s">
        <v>151</v>
      </c>
      <c r="H31" s="20">
        <f>H29*0.5</f>
        <v>11221.202180672271</v>
      </c>
    </row>
    <row r="32" spans="1:8" ht="15.75" x14ac:dyDescent="0.25">
      <c r="A32" t="s">
        <v>10</v>
      </c>
      <c r="C32" s="10">
        <f>C23-C25-C27-C29</f>
        <v>36108.237478991599</v>
      </c>
      <c r="H32" s="18"/>
    </row>
    <row r="33" spans="8:8" x14ac:dyDescent="0.25">
      <c r="H33" s="3"/>
    </row>
    <row r="34" spans="8:8" x14ac:dyDescent="0.25">
      <c r="H34" s="18"/>
    </row>
  </sheetData>
  <pageMargins left="0.7" right="0.7" top="0.75" bottom="0.75" header="0.3" footer="0.3"/>
</worksheet>
</file>

<file path=xl/worksheets/sheet4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B8035-A3D7-4EA9-9A7F-BEF68BDCBDCE}">
  <dimension ref="A1:H34"/>
  <sheetViews>
    <sheetView workbookViewId="0">
      <selection sqref="A1:XFD1048576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713</v>
      </c>
    </row>
    <row r="3" spans="1:8" ht="21" x14ac:dyDescent="0.35">
      <c r="A3" s="2" t="s">
        <v>1</v>
      </c>
      <c r="D3" s="11">
        <v>161840</v>
      </c>
      <c r="F3" s="12" t="s">
        <v>3</v>
      </c>
      <c r="H3" s="4">
        <f>(D3/1.19)*0.19</f>
        <v>25840</v>
      </c>
    </row>
    <row r="4" spans="1:8" x14ac:dyDescent="0.25">
      <c r="A4" s="13" t="s">
        <v>32</v>
      </c>
      <c r="C4" s="26">
        <v>1044</v>
      </c>
    </row>
    <row r="5" spans="1:8" ht="21" x14ac:dyDescent="0.35">
      <c r="A5" s="2" t="s">
        <v>2</v>
      </c>
    </row>
    <row r="7" spans="1:8" ht="18.75" x14ac:dyDescent="0.3">
      <c r="A7" s="5" t="s">
        <v>221</v>
      </c>
      <c r="D7" s="4">
        <v>117300</v>
      </c>
      <c r="E7" s="25"/>
      <c r="H7" s="4">
        <f t="shared" ref="H7:H12" si="0">(D7/1.19)*0.19</f>
        <v>18728.571428571431</v>
      </c>
    </row>
    <row r="8" spans="1:8" ht="18.75" x14ac:dyDescent="0.3">
      <c r="A8" s="5"/>
      <c r="C8" s="3"/>
      <c r="D8" s="32"/>
      <c r="E8" s="25"/>
      <c r="H8" s="4">
        <f t="shared" si="0"/>
        <v>0</v>
      </c>
    </row>
    <row r="9" spans="1:8" ht="18.75" x14ac:dyDescent="0.3">
      <c r="A9" s="5"/>
      <c r="C9" s="3"/>
      <c r="D9" s="28"/>
      <c r="E9" s="25"/>
      <c r="H9" s="4">
        <f t="shared" si="0"/>
        <v>0</v>
      </c>
    </row>
    <row r="10" spans="1:8" ht="18.75" x14ac:dyDescent="0.3">
      <c r="A10" s="5"/>
      <c r="C10" s="3"/>
      <c r="D10" s="28"/>
      <c r="E10" s="25"/>
      <c r="H10" s="4">
        <f t="shared" si="0"/>
        <v>0</v>
      </c>
    </row>
    <row r="11" spans="1:8" ht="18.75" x14ac:dyDescent="0.3">
      <c r="A11" s="5"/>
      <c r="C11" s="3"/>
      <c r="D11" s="28"/>
      <c r="E11" s="25"/>
      <c r="H11" s="4">
        <f t="shared" si="0"/>
        <v>0</v>
      </c>
    </row>
    <row r="12" spans="1:8" ht="18.75" x14ac:dyDescent="0.3">
      <c r="A12" s="5"/>
      <c r="C12" s="3"/>
      <c r="D12" s="28"/>
      <c r="E12" s="25"/>
      <c r="H12" s="4">
        <f t="shared" si="0"/>
        <v>0</v>
      </c>
    </row>
    <row r="13" spans="1:8" ht="19.5" thickBot="1" x14ac:dyDescent="0.35">
      <c r="A13" s="5"/>
      <c r="C13" s="3"/>
      <c r="D13" s="22"/>
      <c r="E13" s="25"/>
      <c r="H13" s="22">
        <v>0</v>
      </c>
    </row>
    <row r="14" spans="1:8" ht="18.75" customHeight="1" x14ac:dyDescent="0.3">
      <c r="D14" s="4">
        <f>SUM(D7:D13)</f>
        <v>117300</v>
      </c>
      <c r="H14" s="4">
        <f>SUM(H7:H13)</f>
        <v>18728.571428571431</v>
      </c>
    </row>
    <row r="15" spans="1:8" ht="18.75" x14ac:dyDescent="0.3">
      <c r="A15" s="5"/>
      <c r="C15" s="3"/>
      <c r="D15" s="4"/>
      <c r="H15" s="4"/>
    </row>
    <row r="17" spans="1:8" ht="18.75" x14ac:dyDescent="0.3">
      <c r="A17" s="5"/>
      <c r="C17" s="3"/>
      <c r="D17" s="4"/>
      <c r="H17" s="4"/>
    </row>
    <row r="18" spans="1:8" ht="15.75" thickBot="1" x14ac:dyDescent="0.3">
      <c r="D18" s="7"/>
      <c r="H18" s="7"/>
    </row>
    <row r="20" spans="1:8" ht="18.75" x14ac:dyDescent="0.3">
      <c r="C20" t="s">
        <v>4</v>
      </c>
      <c r="D20" s="4">
        <f>D3-D14</f>
        <v>44540</v>
      </c>
      <c r="G20" t="s">
        <v>5</v>
      </c>
      <c r="H20" s="4">
        <f>H3-H14</f>
        <v>7111.4285714285688</v>
      </c>
    </row>
    <row r="23" spans="1:8" ht="15.75" x14ac:dyDescent="0.25">
      <c r="A23" t="s">
        <v>6</v>
      </c>
      <c r="C23" s="8">
        <f>D20</f>
        <v>44540</v>
      </c>
      <c r="E23" t="s">
        <v>10</v>
      </c>
      <c r="H23" s="6">
        <f>C32</f>
        <v>36781.211428571434</v>
      </c>
    </row>
    <row r="25" spans="1:8" ht="15.75" x14ac:dyDescent="0.25">
      <c r="A25" t="s">
        <v>5</v>
      </c>
      <c r="B25" s="9" t="s">
        <v>7</v>
      </c>
      <c r="C25" s="8">
        <f>H20</f>
        <v>7111.4285714285688</v>
      </c>
      <c r="E25" s="13" t="s">
        <v>11</v>
      </c>
      <c r="F25" s="9" t="s">
        <v>181</v>
      </c>
      <c r="G25" s="15" t="s">
        <v>17</v>
      </c>
      <c r="H25" s="3">
        <f>-(F26*0.0077)</f>
        <v>-1047.2</v>
      </c>
    </row>
    <row r="26" spans="1:8" x14ac:dyDescent="0.25">
      <c r="F26" s="21">
        <f>D3-H3</f>
        <v>136000</v>
      </c>
    </row>
    <row r="27" spans="1:8" ht="15.75" x14ac:dyDescent="0.25">
      <c r="A27" t="s">
        <v>8</v>
      </c>
      <c r="B27" s="9" t="s">
        <v>7</v>
      </c>
      <c r="C27" s="8">
        <f>D3*0.004</f>
        <v>647.36</v>
      </c>
      <c r="F27" s="9" t="s">
        <v>13</v>
      </c>
      <c r="G27" s="16">
        <v>0.35</v>
      </c>
      <c r="H27" s="29">
        <f>-(F28*0.35)</f>
        <v>-12873.424000000001</v>
      </c>
    </row>
    <row r="28" spans="1:8" ht="15.75" thickBot="1" x14ac:dyDescent="0.3">
      <c r="F28" s="21">
        <f>H23</f>
        <v>36781.211428571434</v>
      </c>
      <c r="H28" s="7"/>
    </row>
    <row r="29" spans="1:8" x14ac:dyDescent="0.25">
      <c r="A29" t="s">
        <v>9</v>
      </c>
      <c r="B29" s="9" t="s">
        <v>7</v>
      </c>
      <c r="C29" s="6"/>
      <c r="G29" s="13" t="s">
        <v>14</v>
      </c>
      <c r="H29" s="6">
        <f>H23+H25+H27</f>
        <v>22860.587428571438</v>
      </c>
    </row>
    <row r="30" spans="1:8" ht="15.75" thickBot="1" x14ac:dyDescent="0.3">
      <c r="A30" s="16"/>
      <c r="B30" s="16"/>
      <c r="C30" s="7"/>
    </row>
    <row r="31" spans="1:8" x14ac:dyDescent="0.25">
      <c r="E31" t="s">
        <v>151</v>
      </c>
      <c r="H31" s="20">
        <f>H29*0.5</f>
        <v>11430.293714285719</v>
      </c>
    </row>
    <row r="32" spans="1:8" ht="15.75" x14ac:dyDescent="0.25">
      <c r="A32" t="s">
        <v>10</v>
      </c>
      <c r="C32" s="10">
        <f>C23-C25-C27-C29</f>
        <v>36781.211428571434</v>
      </c>
      <c r="H32" s="18"/>
    </row>
    <row r="33" spans="8:8" x14ac:dyDescent="0.25">
      <c r="H33" s="3"/>
    </row>
    <row r="34" spans="8:8" x14ac:dyDescent="0.25">
      <c r="H34" s="18"/>
    </row>
  </sheetData>
  <pageMargins left="0.7" right="0.7" top="0.75" bottom="0.75" header="0.3" footer="0.3"/>
</worksheet>
</file>

<file path=xl/worksheets/sheet4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6F7CE-A7C3-4C70-AD7C-3F77F7880D55}">
  <dimension ref="A1:H34"/>
  <sheetViews>
    <sheetView workbookViewId="0">
      <selection sqref="A1:XFD1048576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735</v>
      </c>
    </row>
    <row r="3" spans="1:8" ht="21" x14ac:dyDescent="0.35">
      <c r="A3" s="2" t="s">
        <v>1</v>
      </c>
      <c r="D3" s="11">
        <v>222768</v>
      </c>
      <c r="F3" s="12" t="s">
        <v>3</v>
      </c>
      <c r="H3" s="4">
        <f>(D3/1.19)*0.19</f>
        <v>35568</v>
      </c>
    </row>
    <row r="4" spans="1:8" x14ac:dyDescent="0.25">
      <c r="A4" s="13" t="s">
        <v>32</v>
      </c>
      <c r="C4" s="26">
        <v>1045</v>
      </c>
    </row>
    <row r="5" spans="1:8" ht="21" x14ac:dyDescent="0.35">
      <c r="A5" s="2" t="s">
        <v>2</v>
      </c>
    </row>
    <row r="7" spans="1:8" ht="18.75" x14ac:dyDescent="0.3">
      <c r="A7" s="5" t="s">
        <v>221</v>
      </c>
      <c r="D7" s="4">
        <v>149100</v>
      </c>
      <c r="E7" s="25"/>
      <c r="H7" s="4">
        <f t="shared" ref="H7:H12" si="0">(D7/1.19)*0.19</f>
        <v>23805.882352941178</v>
      </c>
    </row>
    <row r="8" spans="1:8" ht="18.75" x14ac:dyDescent="0.3">
      <c r="A8" s="5"/>
      <c r="C8" s="3"/>
      <c r="D8" s="32"/>
      <c r="E8" s="25"/>
      <c r="H8" s="4">
        <f t="shared" si="0"/>
        <v>0</v>
      </c>
    </row>
    <row r="9" spans="1:8" ht="18.75" x14ac:dyDescent="0.3">
      <c r="A9" s="5"/>
      <c r="C9" s="3"/>
      <c r="D9" s="28"/>
      <c r="E9" s="25"/>
      <c r="H9" s="4">
        <f t="shared" si="0"/>
        <v>0</v>
      </c>
    </row>
    <row r="10" spans="1:8" ht="18.75" x14ac:dyDescent="0.3">
      <c r="A10" s="5"/>
      <c r="C10" s="3"/>
      <c r="D10" s="28"/>
      <c r="E10" s="25"/>
      <c r="H10" s="4">
        <f t="shared" si="0"/>
        <v>0</v>
      </c>
    </row>
    <row r="11" spans="1:8" ht="18.75" x14ac:dyDescent="0.3">
      <c r="A11" s="5"/>
      <c r="C11" s="3"/>
      <c r="D11" s="28"/>
      <c r="E11" s="25"/>
      <c r="H11" s="4">
        <f t="shared" si="0"/>
        <v>0</v>
      </c>
    </row>
    <row r="12" spans="1:8" ht="18.75" x14ac:dyDescent="0.3">
      <c r="A12" s="5"/>
      <c r="C12" s="3"/>
      <c r="D12" s="28"/>
      <c r="E12" s="25"/>
      <c r="H12" s="4">
        <f t="shared" si="0"/>
        <v>0</v>
      </c>
    </row>
    <row r="13" spans="1:8" ht="19.5" thickBot="1" x14ac:dyDescent="0.35">
      <c r="A13" s="5"/>
      <c r="C13" s="3"/>
      <c r="D13" s="22"/>
      <c r="E13" s="25"/>
      <c r="H13" s="22">
        <v>0</v>
      </c>
    </row>
    <row r="14" spans="1:8" ht="18.75" customHeight="1" x14ac:dyDescent="0.3">
      <c r="D14" s="4">
        <f>SUM(D7:D13)</f>
        <v>149100</v>
      </c>
      <c r="H14" s="4">
        <f>SUM(H7:H13)</f>
        <v>23805.882352941178</v>
      </c>
    </row>
    <row r="15" spans="1:8" ht="18.75" x14ac:dyDescent="0.3">
      <c r="A15" s="5"/>
      <c r="C15" s="3"/>
      <c r="D15" s="4"/>
      <c r="H15" s="4"/>
    </row>
    <row r="17" spans="1:8" ht="18.75" x14ac:dyDescent="0.3">
      <c r="A17" s="5"/>
      <c r="C17" s="3"/>
      <c r="D17" s="4"/>
      <c r="H17" s="4"/>
    </row>
    <row r="18" spans="1:8" ht="15.75" thickBot="1" x14ac:dyDescent="0.3">
      <c r="D18" s="7"/>
      <c r="H18" s="7"/>
    </row>
    <row r="20" spans="1:8" ht="18.75" x14ac:dyDescent="0.3">
      <c r="C20" t="s">
        <v>4</v>
      </c>
      <c r="D20" s="4">
        <f>D3-D14</f>
        <v>73668</v>
      </c>
      <c r="G20" t="s">
        <v>5</v>
      </c>
      <c r="H20" s="4">
        <f>H3-H14</f>
        <v>11762.117647058822</v>
      </c>
    </row>
    <row r="23" spans="1:8" ht="15.75" x14ac:dyDescent="0.25">
      <c r="A23" t="s">
        <v>6</v>
      </c>
      <c r="C23" s="8">
        <f>D20</f>
        <v>73668</v>
      </c>
      <c r="E23" t="s">
        <v>10</v>
      </c>
      <c r="H23" s="6">
        <f>C32</f>
        <v>61014.810352941175</v>
      </c>
    </row>
    <row r="25" spans="1:8" ht="15.75" x14ac:dyDescent="0.25">
      <c r="A25" t="s">
        <v>5</v>
      </c>
      <c r="B25" s="9" t="s">
        <v>7</v>
      </c>
      <c r="C25" s="8">
        <f>H20</f>
        <v>11762.117647058822</v>
      </c>
      <c r="E25" s="13" t="s">
        <v>11</v>
      </c>
      <c r="F25" s="9" t="s">
        <v>181</v>
      </c>
      <c r="G25" s="15" t="s">
        <v>17</v>
      </c>
      <c r="H25" s="3">
        <f>-(F26*0.0077)</f>
        <v>-1441.44</v>
      </c>
    </row>
    <row r="26" spans="1:8" x14ac:dyDescent="0.25">
      <c r="F26" s="21">
        <f>D3-H3</f>
        <v>187200</v>
      </c>
    </row>
    <row r="27" spans="1:8" ht="15.75" x14ac:dyDescent="0.25">
      <c r="A27" t="s">
        <v>8</v>
      </c>
      <c r="B27" s="9" t="s">
        <v>7</v>
      </c>
      <c r="C27" s="8">
        <f>D3*0.004</f>
        <v>891.072</v>
      </c>
      <c r="F27" s="9" t="s">
        <v>13</v>
      </c>
      <c r="G27" s="16">
        <v>0.35</v>
      </c>
      <c r="H27" s="29">
        <f>-(F28*0.35)</f>
        <v>-21355.18362352941</v>
      </c>
    </row>
    <row r="28" spans="1:8" ht="15.75" thickBot="1" x14ac:dyDescent="0.3">
      <c r="F28" s="21">
        <f>H23</f>
        <v>61014.810352941175</v>
      </c>
      <c r="H28" s="7"/>
    </row>
    <row r="29" spans="1:8" x14ac:dyDescent="0.25">
      <c r="A29" t="s">
        <v>9</v>
      </c>
      <c r="B29" s="9" t="s">
        <v>7</v>
      </c>
      <c r="C29" s="6"/>
      <c r="G29" s="13" t="s">
        <v>14</v>
      </c>
      <c r="H29" s="6">
        <f>H23+H25+H27</f>
        <v>38218.186729411762</v>
      </c>
    </row>
    <row r="30" spans="1:8" ht="15.75" thickBot="1" x14ac:dyDescent="0.3">
      <c r="A30" s="16"/>
      <c r="B30" s="16"/>
      <c r="C30" s="7"/>
    </row>
    <row r="31" spans="1:8" x14ac:dyDescent="0.25">
      <c r="E31" t="s">
        <v>151</v>
      </c>
      <c r="H31" s="20">
        <f>H29*0.5</f>
        <v>19109.093364705881</v>
      </c>
    </row>
    <row r="32" spans="1:8" ht="15.75" x14ac:dyDescent="0.25">
      <c r="A32" t="s">
        <v>10</v>
      </c>
      <c r="C32" s="10">
        <f>C23-C25-C27-C29</f>
        <v>61014.810352941175</v>
      </c>
      <c r="H32" s="18"/>
    </row>
    <row r="33" spans="8:8" x14ac:dyDescent="0.25">
      <c r="H33" s="3"/>
    </row>
    <row r="34" spans="8:8" x14ac:dyDescent="0.25">
      <c r="H34" s="18"/>
    </row>
  </sheetData>
  <pageMargins left="0.7" right="0.7" top="0.75" bottom="0.75" header="0.3" footer="0.3"/>
</worksheet>
</file>

<file path=xl/worksheets/sheet4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EFB7A-B1EA-4019-874C-5EFAED7F5136}">
  <dimension ref="A1:H34"/>
  <sheetViews>
    <sheetView workbookViewId="0">
      <selection sqref="A1:XFD1048576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736</v>
      </c>
    </row>
    <row r="3" spans="1:8" ht="21" x14ac:dyDescent="0.35">
      <c r="A3" s="2" t="s">
        <v>1</v>
      </c>
      <c r="D3" s="11">
        <v>46410</v>
      </c>
      <c r="F3" s="12" t="s">
        <v>3</v>
      </c>
      <c r="H3" s="4">
        <f>(D3/1.19)*0.19</f>
        <v>7410</v>
      </c>
    </row>
    <row r="4" spans="1:8" x14ac:dyDescent="0.25">
      <c r="A4" s="13" t="s">
        <v>32</v>
      </c>
      <c r="C4" s="26">
        <v>1046</v>
      </c>
    </row>
    <row r="5" spans="1:8" ht="21" x14ac:dyDescent="0.35">
      <c r="A5" s="2" t="s">
        <v>2</v>
      </c>
    </row>
    <row r="7" spans="1:8" ht="18.75" x14ac:dyDescent="0.3">
      <c r="A7" s="5" t="s">
        <v>221</v>
      </c>
      <c r="D7" s="4">
        <v>27800</v>
      </c>
      <c r="E7" s="25"/>
      <c r="H7" s="4">
        <f t="shared" ref="H7:H12" si="0">(D7/1.19)*0.19</f>
        <v>4438.6554621848736</v>
      </c>
    </row>
    <row r="8" spans="1:8" ht="18.75" x14ac:dyDescent="0.3">
      <c r="A8" s="5"/>
      <c r="C8" s="3"/>
      <c r="D8" s="32"/>
      <c r="E8" s="25"/>
      <c r="H8" s="4">
        <f t="shared" si="0"/>
        <v>0</v>
      </c>
    </row>
    <row r="9" spans="1:8" ht="18.75" x14ac:dyDescent="0.3">
      <c r="A9" s="5"/>
      <c r="C9" s="3"/>
      <c r="D9" s="28"/>
      <c r="E9" s="25"/>
      <c r="H9" s="4">
        <f t="shared" si="0"/>
        <v>0</v>
      </c>
    </row>
    <row r="10" spans="1:8" ht="18.75" x14ac:dyDescent="0.3">
      <c r="A10" s="5"/>
      <c r="C10" s="3"/>
      <c r="D10" s="28"/>
      <c r="E10" s="25"/>
      <c r="H10" s="4">
        <f t="shared" si="0"/>
        <v>0</v>
      </c>
    </row>
    <row r="11" spans="1:8" ht="18.75" x14ac:dyDescent="0.3">
      <c r="A11" s="5"/>
      <c r="C11" s="3"/>
      <c r="D11" s="28"/>
      <c r="E11" s="25"/>
      <c r="H11" s="4">
        <f t="shared" si="0"/>
        <v>0</v>
      </c>
    </row>
    <row r="12" spans="1:8" ht="18.75" x14ac:dyDescent="0.3">
      <c r="A12" s="5"/>
      <c r="C12" s="3"/>
      <c r="D12" s="28"/>
      <c r="E12" s="25"/>
      <c r="H12" s="4">
        <f t="shared" si="0"/>
        <v>0</v>
      </c>
    </row>
    <row r="13" spans="1:8" ht="19.5" thickBot="1" x14ac:dyDescent="0.35">
      <c r="A13" s="5"/>
      <c r="C13" s="3"/>
      <c r="D13" s="22"/>
      <c r="E13" s="25"/>
      <c r="H13" s="22">
        <v>0</v>
      </c>
    </row>
    <row r="14" spans="1:8" ht="18.75" customHeight="1" x14ac:dyDescent="0.3">
      <c r="D14" s="4">
        <f>SUM(D7:D13)</f>
        <v>27800</v>
      </c>
      <c r="H14" s="4">
        <f>SUM(H7:H13)</f>
        <v>4438.6554621848736</v>
      </c>
    </row>
    <row r="15" spans="1:8" ht="18.75" x14ac:dyDescent="0.3">
      <c r="A15" s="5"/>
      <c r="C15" s="3"/>
      <c r="D15" s="4"/>
      <c r="H15" s="4"/>
    </row>
    <row r="17" spans="1:8" ht="18.75" x14ac:dyDescent="0.3">
      <c r="A17" s="5"/>
      <c r="C17" s="3"/>
      <c r="D17" s="4"/>
      <c r="H17" s="4"/>
    </row>
    <row r="18" spans="1:8" ht="15.75" thickBot="1" x14ac:dyDescent="0.3">
      <c r="D18" s="7"/>
      <c r="H18" s="7"/>
    </row>
    <row r="20" spans="1:8" ht="18.75" x14ac:dyDescent="0.3">
      <c r="C20" t="s">
        <v>4</v>
      </c>
      <c r="D20" s="4">
        <f>D3-D14</f>
        <v>18610</v>
      </c>
      <c r="G20" t="s">
        <v>5</v>
      </c>
      <c r="H20" s="4">
        <f>H3-H14</f>
        <v>2971.3445378151264</v>
      </c>
    </row>
    <row r="23" spans="1:8" ht="15.75" x14ac:dyDescent="0.25">
      <c r="A23" t="s">
        <v>6</v>
      </c>
      <c r="C23" s="8">
        <f>D20</f>
        <v>18610</v>
      </c>
      <c r="E23" t="s">
        <v>10</v>
      </c>
      <c r="H23" s="6">
        <f>C32</f>
        <v>15453.015462184874</v>
      </c>
    </row>
    <row r="25" spans="1:8" ht="15.75" x14ac:dyDescent="0.25">
      <c r="A25" t="s">
        <v>5</v>
      </c>
      <c r="B25" s="9" t="s">
        <v>7</v>
      </c>
      <c r="C25" s="8">
        <f>H20</f>
        <v>2971.3445378151264</v>
      </c>
      <c r="E25" s="13" t="s">
        <v>11</v>
      </c>
      <c r="F25" s="9" t="s">
        <v>181</v>
      </c>
      <c r="G25" s="15" t="s">
        <v>17</v>
      </c>
      <c r="H25" s="3">
        <f>-(F26*0.0077)</f>
        <v>-300.3</v>
      </c>
    </row>
    <row r="26" spans="1:8" x14ac:dyDescent="0.25">
      <c r="F26" s="21">
        <f>D3-H3</f>
        <v>39000</v>
      </c>
    </row>
    <row r="27" spans="1:8" ht="15.75" x14ac:dyDescent="0.25">
      <c r="A27" t="s">
        <v>8</v>
      </c>
      <c r="B27" s="9" t="s">
        <v>7</v>
      </c>
      <c r="C27" s="8">
        <f>D3*0.004</f>
        <v>185.64000000000001</v>
      </c>
      <c r="F27" s="9" t="s">
        <v>13</v>
      </c>
      <c r="G27" s="16">
        <v>0.35</v>
      </c>
      <c r="H27" s="29">
        <f>-(F28*0.35)</f>
        <v>-5408.5554117647052</v>
      </c>
    </row>
    <row r="28" spans="1:8" ht="15.75" thickBot="1" x14ac:dyDescent="0.3">
      <c r="F28" s="21">
        <f>H23</f>
        <v>15453.015462184874</v>
      </c>
      <c r="H28" s="7"/>
    </row>
    <row r="29" spans="1:8" x14ac:dyDescent="0.25">
      <c r="A29" t="s">
        <v>9</v>
      </c>
      <c r="B29" s="9" t="s">
        <v>7</v>
      </c>
      <c r="C29" s="6"/>
      <c r="G29" s="13" t="s">
        <v>14</v>
      </c>
      <c r="H29" s="6">
        <f>H23+H25+H27</f>
        <v>9744.1600504201706</v>
      </c>
    </row>
    <row r="30" spans="1:8" ht="15.75" thickBot="1" x14ac:dyDescent="0.3">
      <c r="A30" s="16"/>
      <c r="B30" s="16"/>
      <c r="C30" s="7"/>
    </row>
    <row r="31" spans="1:8" x14ac:dyDescent="0.25">
      <c r="E31" t="s">
        <v>151</v>
      </c>
      <c r="H31" s="20">
        <f>H29*0.5</f>
        <v>4872.0800252100853</v>
      </c>
    </row>
    <row r="32" spans="1:8" ht="15.75" x14ac:dyDescent="0.25">
      <c r="A32" t="s">
        <v>10</v>
      </c>
      <c r="C32" s="10">
        <f>C23-C25-C27-C29</f>
        <v>15453.015462184874</v>
      </c>
      <c r="H32" s="18"/>
    </row>
    <row r="33" spans="8:8" x14ac:dyDescent="0.25">
      <c r="H33" s="3"/>
    </row>
    <row r="34" spans="8:8" x14ac:dyDescent="0.25">
      <c r="H34" s="18"/>
    </row>
  </sheetData>
  <pageMargins left="0.7" right="0.7" top="0.75" bottom="0.75" header="0.3" footer="0.3"/>
</worksheet>
</file>

<file path=xl/worksheets/sheet4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C5DD8-8127-4D46-A89C-30F71D5D5086}">
  <dimension ref="A1:H34"/>
  <sheetViews>
    <sheetView workbookViewId="0">
      <selection sqref="A1:XFD1048576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714</v>
      </c>
    </row>
    <row r="3" spans="1:8" ht="21" x14ac:dyDescent="0.35">
      <c r="A3" s="2" t="s">
        <v>1</v>
      </c>
      <c r="D3" s="11">
        <v>318920</v>
      </c>
      <c r="F3" s="12" t="s">
        <v>3</v>
      </c>
      <c r="H3" s="4">
        <f>(D3/1.19)*0.19</f>
        <v>50920</v>
      </c>
    </row>
    <row r="4" spans="1:8" x14ac:dyDescent="0.25">
      <c r="A4" s="13" t="s">
        <v>32</v>
      </c>
      <c r="C4" s="26">
        <v>1050</v>
      </c>
    </row>
    <row r="5" spans="1:8" ht="21" x14ac:dyDescent="0.35">
      <c r="A5" s="2" t="s">
        <v>2</v>
      </c>
    </row>
    <row r="7" spans="1:8" ht="18.75" x14ac:dyDescent="0.3">
      <c r="A7" s="5" t="s">
        <v>221</v>
      </c>
      <c r="D7" s="4">
        <v>245000</v>
      </c>
      <c r="E7" s="25"/>
      <c r="H7" s="4">
        <f t="shared" ref="H7:H12" si="0">(D7/1.19)*0.19</f>
        <v>39117.647058823532</v>
      </c>
    </row>
    <row r="8" spans="1:8" ht="18.75" x14ac:dyDescent="0.3">
      <c r="A8" s="5"/>
      <c r="C8" s="3"/>
      <c r="D8" s="32"/>
      <c r="E8" s="25"/>
      <c r="H8" s="4">
        <f t="shared" si="0"/>
        <v>0</v>
      </c>
    </row>
    <row r="9" spans="1:8" ht="18.75" x14ac:dyDescent="0.3">
      <c r="A9" s="5"/>
      <c r="C9" s="3"/>
      <c r="D9" s="28"/>
      <c r="E9" s="25"/>
      <c r="H9" s="4">
        <f t="shared" si="0"/>
        <v>0</v>
      </c>
    </row>
    <row r="10" spans="1:8" ht="18.75" x14ac:dyDescent="0.3">
      <c r="A10" s="5"/>
      <c r="C10" s="3"/>
      <c r="D10" s="28"/>
      <c r="E10" s="25"/>
      <c r="H10" s="4">
        <f t="shared" si="0"/>
        <v>0</v>
      </c>
    </row>
    <row r="11" spans="1:8" ht="18.75" x14ac:dyDescent="0.3">
      <c r="A11" s="5"/>
      <c r="C11" s="3"/>
      <c r="D11" s="28"/>
      <c r="E11" s="25"/>
      <c r="H11" s="4">
        <f t="shared" si="0"/>
        <v>0</v>
      </c>
    </row>
    <row r="12" spans="1:8" ht="18.75" x14ac:dyDescent="0.3">
      <c r="A12" s="5"/>
      <c r="C12" s="3"/>
      <c r="D12" s="28"/>
      <c r="E12" s="25"/>
      <c r="H12" s="4">
        <f t="shared" si="0"/>
        <v>0</v>
      </c>
    </row>
    <row r="13" spans="1:8" ht="19.5" thickBot="1" x14ac:dyDescent="0.35">
      <c r="A13" s="5"/>
      <c r="C13" s="3"/>
      <c r="D13" s="22"/>
      <c r="E13" s="25"/>
      <c r="H13" s="22">
        <v>0</v>
      </c>
    </row>
    <row r="14" spans="1:8" ht="18.75" customHeight="1" x14ac:dyDescent="0.3">
      <c r="D14" s="4">
        <f>SUM(D7:D13)</f>
        <v>245000</v>
      </c>
      <c r="H14" s="4">
        <f>SUM(H7:H13)</f>
        <v>39117.647058823532</v>
      </c>
    </row>
    <row r="15" spans="1:8" ht="18.75" x14ac:dyDescent="0.3">
      <c r="A15" s="5"/>
      <c r="C15" s="3"/>
      <c r="D15" s="4"/>
      <c r="H15" s="4"/>
    </row>
    <row r="17" spans="1:8" ht="18.75" x14ac:dyDescent="0.3">
      <c r="A17" s="5"/>
      <c r="C17" s="3"/>
      <c r="D17" s="4"/>
      <c r="H17" s="4"/>
    </row>
    <row r="18" spans="1:8" ht="15.75" thickBot="1" x14ac:dyDescent="0.3">
      <c r="D18" s="7"/>
      <c r="H18" s="7"/>
    </row>
    <row r="20" spans="1:8" ht="18.75" x14ac:dyDescent="0.3">
      <c r="C20" t="s">
        <v>4</v>
      </c>
      <c r="D20" s="4">
        <f>D3-D14</f>
        <v>73920</v>
      </c>
      <c r="G20" t="s">
        <v>5</v>
      </c>
      <c r="H20" s="4">
        <f>H3-H14</f>
        <v>11802.352941176468</v>
      </c>
    </row>
    <row r="23" spans="1:8" ht="15.75" x14ac:dyDescent="0.25">
      <c r="A23" t="s">
        <v>6</v>
      </c>
      <c r="C23" s="8">
        <f>D20</f>
        <v>73920</v>
      </c>
      <c r="E23" t="s">
        <v>10</v>
      </c>
      <c r="H23" s="6">
        <f>C32</f>
        <v>60841.967058823531</v>
      </c>
    </row>
    <row r="25" spans="1:8" ht="15.75" x14ac:dyDescent="0.25">
      <c r="A25" t="s">
        <v>5</v>
      </c>
      <c r="B25" s="9" t="s">
        <v>7</v>
      </c>
      <c r="C25" s="8">
        <f>H20</f>
        <v>11802.352941176468</v>
      </c>
      <c r="E25" s="13" t="s">
        <v>11</v>
      </c>
      <c r="F25" s="9" t="s">
        <v>181</v>
      </c>
      <c r="G25" s="15" t="s">
        <v>17</v>
      </c>
      <c r="H25" s="3">
        <f>-(F26*0.0077)</f>
        <v>-2063.6</v>
      </c>
    </row>
    <row r="26" spans="1:8" x14ac:dyDescent="0.25">
      <c r="F26" s="21">
        <f>D3-H3</f>
        <v>268000</v>
      </c>
    </row>
    <row r="27" spans="1:8" ht="15.75" x14ac:dyDescent="0.25">
      <c r="A27" t="s">
        <v>8</v>
      </c>
      <c r="B27" s="9" t="s">
        <v>7</v>
      </c>
      <c r="C27" s="8">
        <f>D3*0.004</f>
        <v>1275.68</v>
      </c>
      <c r="F27" s="9" t="s">
        <v>13</v>
      </c>
      <c r="G27" s="16">
        <v>0.35</v>
      </c>
      <c r="H27" s="29">
        <f>-(F28*0.35)</f>
        <v>-21294.688470588233</v>
      </c>
    </row>
    <row r="28" spans="1:8" ht="15.75" thickBot="1" x14ac:dyDescent="0.3">
      <c r="F28" s="21">
        <f>H23</f>
        <v>60841.967058823531</v>
      </c>
      <c r="H28" s="7"/>
    </row>
    <row r="29" spans="1:8" x14ac:dyDescent="0.25">
      <c r="A29" t="s">
        <v>9</v>
      </c>
      <c r="B29" s="9" t="s">
        <v>7</v>
      </c>
      <c r="C29" s="6"/>
      <c r="G29" s="13" t="s">
        <v>14</v>
      </c>
      <c r="H29" s="6">
        <f>H23+H25+H27</f>
        <v>37483.6785882353</v>
      </c>
    </row>
    <row r="30" spans="1:8" ht="15.75" thickBot="1" x14ac:dyDescent="0.3">
      <c r="A30" s="16"/>
      <c r="B30" s="16"/>
      <c r="C30" s="7"/>
    </row>
    <row r="31" spans="1:8" x14ac:dyDescent="0.25">
      <c r="E31" t="s">
        <v>151</v>
      </c>
      <c r="H31" s="20">
        <f>H29*0.5</f>
        <v>18741.83929411765</v>
      </c>
    </row>
    <row r="32" spans="1:8" ht="15.75" x14ac:dyDescent="0.25">
      <c r="A32" t="s">
        <v>10</v>
      </c>
      <c r="C32" s="10">
        <f>C23-C25-C27-C29</f>
        <v>60841.967058823531</v>
      </c>
      <c r="H32" s="18"/>
    </row>
    <row r="33" spans="8:8" x14ac:dyDescent="0.25">
      <c r="H33" s="3"/>
    </row>
    <row r="34" spans="8:8" x14ac:dyDescent="0.25">
      <c r="H34" s="18"/>
    </row>
  </sheetData>
  <pageMargins left="0.7" right="0.7" top="0.75" bottom="0.75" header="0.3" footer="0.3"/>
</worksheet>
</file>

<file path=xl/worksheets/sheet4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17F54-7247-47AA-AD32-21A6CB66D60A}">
  <dimension ref="A1:H34"/>
  <sheetViews>
    <sheetView workbookViewId="0">
      <selection sqref="A1:XFD1048576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737</v>
      </c>
    </row>
    <row r="3" spans="1:8" ht="21" x14ac:dyDescent="0.35">
      <c r="A3" s="2" t="s">
        <v>1</v>
      </c>
      <c r="D3" s="11">
        <v>65450</v>
      </c>
      <c r="F3" s="12" t="s">
        <v>3</v>
      </c>
      <c r="H3" s="4">
        <f>(D3/1.19)*0.19</f>
        <v>10450</v>
      </c>
    </row>
    <row r="4" spans="1:8" x14ac:dyDescent="0.25">
      <c r="A4" s="13" t="s">
        <v>32</v>
      </c>
      <c r="C4" s="26">
        <v>1053</v>
      </c>
    </row>
    <row r="5" spans="1:8" ht="21" x14ac:dyDescent="0.35">
      <c r="A5" s="2" t="s">
        <v>2</v>
      </c>
    </row>
    <row r="7" spans="1:8" ht="18.75" x14ac:dyDescent="0.3">
      <c r="A7" s="5" t="s">
        <v>221</v>
      </c>
      <c r="D7" s="4">
        <v>44800</v>
      </c>
      <c r="E7" s="25"/>
      <c r="H7" s="4">
        <f t="shared" ref="H7:H12" si="0">(D7/1.19)*0.19</f>
        <v>7152.9411764705883</v>
      </c>
    </row>
    <row r="8" spans="1:8" ht="18.75" x14ac:dyDescent="0.3">
      <c r="A8" s="5"/>
      <c r="C8" s="3"/>
      <c r="D8" s="32"/>
      <c r="E8" s="25"/>
      <c r="H8" s="4">
        <f t="shared" si="0"/>
        <v>0</v>
      </c>
    </row>
    <row r="9" spans="1:8" ht="18.75" x14ac:dyDescent="0.3">
      <c r="A9" s="5"/>
      <c r="C9" s="3"/>
      <c r="D9" s="28"/>
      <c r="E9" s="25"/>
      <c r="H9" s="4">
        <f t="shared" si="0"/>
        <v>0</v>
      </c>
    </row>
    <row r="10" spans="1:8" ht="18.75" x14ac:dyDescent="0.3">
      <c r="A10" s="5"/>
      <c r="C10" s="3"/>
      <c r="D10" s="28"/>
      <c r="E10" s="25"/>
      <c r="H10" s="4">
        <f t="shared" si="0"/>
        <v>0</v>
      </c>
    </row>
    <row r="11" spans="1:8" ht="18.75" x14ac:dyDescent="0.3">
      <c r="A11" s="5"/>
      <c r="C11" s="3"/>
      <c r="D11" s="28"/>
      <c r="E11" s="25"/>
      <c r="H11" s="4">
        <f t="shared" si="0"/>
        <v>0</v>
      </c>
    </row>
    <row r="12" spans="1:8" ht="18.75" x14ac:dyDescent="0.3">
      <c r="A12" s="5"/>
      <c r="C12" s="3"/>
      <c r="D12" s="28"/>
      <c r="E12" s="25"/>
      <c r="H12" s="4">
        <f t="shared" si="0"/>
        <v>0</v>
      </c>
    </row>
    <row r="13" spans="1:8" ht="19.5" thickBot="1" x14ac:dyDescent="0.35">
      <c r="A13" s="5"/>
      <c r="C13" s="3"/>
      <c r="D13" s="22"/>
      <c r="E13" s="25"/>
      <c r="H13" s="22">
        <v>0</v>
      </c>
    </row>
    <row r="14" spans="1:8" ht="18.75" customHeight="1" x14ac:dyDescent="0.3">
      <c r="D14" s="4">
        <f>SUM(D7:D13)</f>
        <v>44800</v>
      </c>
      <c r="H14" s="4">
        <f>SUM(H7:H13)</f>
        <v>7152.9411764705883</v>
      </c>
    </row>
    <row r="15" spans="1:8" ht="18.75" x14ac:dyDescent="0.3">
      <c r="A15" s="5"/>
      <c r="C15" s="3"/>
      <c r="D15" s="4"/>
      <c r="H15" s="4"/>
    </row>
    <row r="17" spans="1:8" ht="18.75" x14ac:dyDescent="0.3">
      <c r="A17" s="5"/>
      <c r="C17" s="3"/>
      <c r="D17" s="4"/>
      <c r="H17" s="4"/>
    </row>
    <row r="18" spans="1:8" ht="15.75" thickBot="1" x14ac:dyDescent="0.3">
      <c r="D18" s="7"/>
      <c r="H18" s="7"/>
    </row>
    <row r="20" spans="1:8" ht="18.75" x14ac:dyDescent="0.3">
      <c r="C20" t="s">
        <v>4</v>
      </c>
      <c r="D20" s="4">
        <f>D3-D14</f>
        <v>20650</v>
      </c>
      <c r="G20" t="s">
        <v>5</v>
      </c>
      <c r="H20" s="4">
        <f>H3-H14</f>
        <v>3297.0588235294117</v>
      </c>
    </row>
    <row r="23" spans="1:8" ht="15.75" x14ac:dyDescent="0.25">
      <c r="A23" t="s">
        <v>6</v>
      </c>
      <c r="C23" s="8">
        <f>D20</f>
        <v>20650</v>
      </c>
      <c r="E23" t="s">
        <v>10</v>
      </c>
      <c r="H23" s="6">
        <f>C32</f>
        <v>17091.141176470588</v>
      </c>
    </row>
    <row r="25" spans="1:8" ht="15.75" x14ac:dyDescent="0.25">
      <c r="A25" t="s">
        <v>5</v>
      </c>
      <c r="B25" s="9" t="s">
        <v>7</v>
      </c>
      <c r="C25" s="8">
        <f>H20</f>
        <v>3297.0588235294117</v>
      </c>
      <c r="E25" s="13" t="s">
        <v>11</v>
      </c>
      <c r="F25" s="9" t="s">
        <v>181</v>
      </c>
      <c r="G25" s="15" t="s">
        <v>17</v>
      </c>
      <c r="H25" s="3">
        <f>-(F26*0.0077)</f>
        <v>-423.5</v>
      </c>
    </row>
    <row r="26" spans="1:8" x14ac:dyDescent="0.25">
      <c r="F26" s="21">
        <f>D3-H3</f>
        <v>55000</v>
      </c>
    </row>
    <row r="27" spans="1:8" ht="15.75" x14ac:dyDescent="0.25">
      <c r="A27" t="s">
        <v>8</v>
      </c>
      <c r="B27" s="9" t="s">
        <v>7</v>
      </c>
      <c r="C27" s="8">
        <f>D3*0.004</f>
        <v>261.8</v>
      </c>
      <c r="F27" s="9" t="s">
        <v>13</v>
      </c>
      <c r="G27" s="16">
        <v>0.35</v>
      </c>
      <c r="H27" s="29">
        <f>-(F28*0.35)</f>
        <v>-5981.8994117647053</v>
      </c>
    </row>
    <row r="28" spans="1:8" ht="15.75" thickBot="1" x14ac:dyDescent="0.3">
      <c r="F28" s="21">
        <f>H23</f>
        <v>17091.141176470588</v>
      </c>
      <c r="H28" s="7"/>
    </row>
    <row r="29" spans="1:8" x14ac:dyDescent="0.25">
      <c r="A29" t="s">
        <v>9</v>
      </c>
      <c r="B29" s="9" t="s">
        <v>7</v>
      </c>
      <c r="C29" s="6"/>
      <c r="G29" s="13" t="s">
        <v>14</v>
      </c>
      <c r="H29" s="6">
        <f>H23+H25+H27</f>
        <v>10685.741764705883</v>
      </c>
    </row>
    <row r="30" spans="1:8" ht="15.75" thickBot="1" x14ac:dyDescent="0.3">
      <c r="A30" s="16"/>
      <c r="B30" s="16"/>
      <c r="C30" s="7"/>
    </row>
    <row r="31" spans="1:8" x14ac:dyDescent="0.25">
      <c r="E31" t="s">
        <v>151</v>
      </c>
      <c r="H31" s="20">
        <f>H29*0.5</f>
        <v>5342.8708823529414</v>
      </c>
    </row>
    <row r="32" spans="1:8" ht="15.75" x14ac:dyDescent="0.25">
      <c r="A32" t="s">
        <v>10</v>
      </c>
      <c r="C32" s="10">
        <f>C23-C25-C27-C29</f>
        <v>17091.141176470588</v>
      </c>
      <c r="H32" s="18"/>
    </row>
    <row r="33" spans="8:8" x14ac:dyDescent="0.25">
      <c r="H33" s="3"/>
    </row>
    <row r="34" spans="8:8" x14ac:dyDescent="0.25">
      <c r="H34" s="18"/>
    </row>
  </sheetData>
  <pageMargins left="0.7" right="0.7" top="0.75" bottom="0.75" header="0.3" footer="0.3"/>
</worksheet>
</file>

<file path=xl/worksheets/sheet4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E096F-9886-4D5D-8FB5-8D7A2421E3BC}">
  <dimension ref="A1:H34"/>
  <sheetViews>
    <sheetView workbookViewId="0">
      <selection sqref="A1:XFD1048576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738</v>
      </c>
    </row>
    <row r="3" spans="1:8" ht="21" x14ac:dyDescent="0.35">
      <c r="A3" s="2" t="s">
        <v>1</v>
      </c>
      <c r="D3" s="11">
        <v>166600</v>
      </c>
      <c r="F3" s="12" t="s">
        <v>3</v>
      </c>
      <c r="H3" s="4">
        <f>(D3/1.19)*0.19</f>
        <v>26600</v>
      </c>
    </row>
    <row r="4" spans="1:8" x14ac:dyDescent="0.25">
      <c r="A4" s="13" t="s">
        <v>32</v>
      </c>
      <c r="C4" s="26">
        <v>1054</v>
      </c>
    </row>
    <row r="5" spans="1:8" ht="21" x14ac:dyDescent="0.35">
      <c r="A5" s="2" t="s">
        <v>2</v>
      </c>
    </row>
    <row r="7" spans="1:8" ht="18.75" x14ac:dyDescent="0.3">
      <c r="A7" s="5" t="s">
        <v>221</v>
      </c>
      <c r="D7" s="4">
        <v>110600</v>
      </c>
      <c r="E7" s="25"/>
      <c r="H7" s="4">
        <f t="shared" ref="H7:H12" si="0">(D7/1.19)*0.19</f>
        <v>17658.823529411766</v>
      </c>
    </row>
    <row r="8" spans="1:8" ht="18.75" x14ac:dyDescent="0.3">
      <c r="A8" s="5"/>
      <c r="C8" s="3"/>
      <c r="D8" s="32"/>
      <c r="E8" s="25"/>
      <c r="H8" s="4">
        <f t="shared" si="0"/>
        <v>0</v>
      </c>
    </row>
    <row r="9" spans="1:8" ht="18.75" x14ac:dyDescent="0.3">
      <c r="A9" s="5"/>
      <c r="C9" s="3"/>
      <c r="D9" s="28"/>
      <c r="E9" s="25"/>
      <c r="H9" s="4">
        <f t="shared" si="0"/>
        <v>0</v>
      </c>
    </row>
    <row r="10" spans="1:8" ht="18.75" x14ac:dyDescent="0.3">
      <c r="A10" s="5"/>
      <c r="C10" s="3"/>
      <c r="D10" s="28"/>
      <c r="E10" s="25"/>
      <c r="H10" s="4">
        <f t="shared" si="0"/>
        <v>0</v>
      </c>
    </row>
    <row r="11" spans="1:8" ht="18.75" x14ac:dyDescent="0.3">
      <c r="A11" s="5"/>
      <c r="C11" s="3"/>
      <c r="D11" s="28"/>
      <c r="E11" s="25"/>
      <c r="H11" s="4">
        <f t="shared" si="0"/>
        <v>0</v>
      </c>
    </row>
    <row r="12" spans="1:8" ht="18.75" x14ac:dyDescent="0.3">
      <c r="A12" s="5"/>
      <c r="C12" s="3"/>
      <c r="D12" s="28"/>
      <c r="E12" s="25"/>
      <c r="H12" s="4">
        <f t="shared" si="0"/>
        <v>0</v>
      </c>
    </row>
    <row r="13" spans="1:8" ht="19.5" thickBot="1" x14ac:dyDescent="0.35">
      <c r="A13" s="5"/>
      <c r="C13" s="3"/>
      <c r="D13" s="22"/>
      <c r="E13" s="25"/>
      <c r="H13" s="22">
        <v>0</v>
      </c>
    </row>
    <row r="14" spans="1:8" ht="18.75" customHeight="1" x14ac:dyDescent="0.3">
      <c r="D14" s="4">
        <f>SUM(D7:D13)</f>
        <v>110600</v>
      </c>
      <c r="H14" s="4">
        <f>SUM(H7:H13)</f>
        <v>17658.823529411766</v>
      </c>
    </row>
    <row r="15" spans="1:8" ht="18.75" x14ac:dyDescent="0.3">
      <c r="A15" s="5"/>
      <c r="C15" s="3"/>
      <c r="D15" s="4"/>
      <c r="H15" s="4"/>
    </row>
    <row r="17" spans="1:8" ht="18.75" x14ac:dyDescent="0.3">
      <c r="A17" s="5"/>
      <c r="C17" s="3"/>
      <c r="D17" s="4"/>
      <c r="H17" s="4"/>
    </row>
    <row r="18" spans="1:8" ht="15.75" thickBot="1" x14ac:dyDescent="0.3">
      <c r="D18" s="7"/>
      <c r="H18" s="7"/>
    </row>
    <row r="20" spans="1:8" ht="18.75" x14ac:dyDescent="0.3">
      <c r="C20" t="s">
        <v>4</v>
      </c>
      <c r="D20" s="4">
        <f>D3-D14</f>
        <v>56000</v>
      </c>
      <c r="G20" t="s">
        <v>5</v>
      </c>
      <c r="H20" s="4">
        <f>H3-H14</f>
        <v>8941.1764705882342</v>
      </c>
    </row>
    <row r="23" spans="1:8" ht="15.75" x14ac:dyDescent="0.25">
      <c r="A23" t="s">
        <v>6</v>
      </c>
      <c r="C23" s="8">
        <f>D20</f>
        <v>56000</v>
      </c>
      <c r="E23" t="s">
        <v>10</v>
      </c>
      <c r="H23" s="6">
        <f>C32</f>
        <v>46392.423529411761</v>
      </c>
    </row>
    <row r="25" spans="1:8" ht="15.75" x14ac:dyDescent="0.25">
      <c r="A25" t="s">
        <v>5</v>
      </c>
      <c r="B25" s="9" t="s">
        <v>7</v>
      </c>
      <c r="C25" s="8">
        <f>H20</f>
        <v>8941.1764705882342</v>
      </c>
      <c r="E25" s="13" t="s">
        <v>11</v>
      </c>
      <c r="F25" s="9" t="s">
        <v>181</v>
      </c>
      <c r="G25" s="15" t="s">
        <v>17</v>
      </c>
      <c r="H25" s="3">
        <f>-(F26*0.0077)</f>
        <v>-1078</v>
      </c>
    </row>
    <row r="26" spans="1:8" x14ac:dyDescent="0.25">
      <c r="F26" s="21">
        <f>D3-H3</f>
        <v>140000</v>
      </c>
    </row>
    <row r="27" spans="1:8" ht="15.75" x14ac:dyDescent="0.25">
      <c r="A27" t="s">
        <v>8</v>
      </c>
      <c r="B27" s="9" t="s">
        <v>7</v>
      </c>
      <c r="C27" s="8">
        <f>D3*0.004</f>
        <v>666.4</v>
      </c>
      <c r="F27" s="9" t="s">
        <v>13</v>
      </c>
      <c r="G27" s="16">
        <v>0.35</v>
      </c>
      <c r="H27" s="29">
        <f>-(F28*0.35)</f>
        <v>-16237.348235294116</v>
      </c>
    </row>
    <row r="28" spans="1:8" ht="15.75" thickBot="1" x14ac:dyDescent="0.3">
      <c r="F28" s="21">
        <f>H23</f>
        <v>46392.423529411761</v>
      </c>
      <c r="H28" s="7"/>
    </row>
    <row r="29" spans="1:8" x14ac:dyDescent="0.25">
      <c r="A29" t="s">
        <v>9</v>
      </c>
      <c r="B29" s="9" t="s">
        <v>7</v>
      </c>
      <c r="C29" s="6"/>
      <c r="G29" s="13" t="s">
        <v>14</v>
      </c>
      <c r="H29" s="6">
        <f>H23+H25+H27</f>
        <v>29077.075294117647</v>
      </c>
    </row>
    <row r="30" spans="1:8" ht="15.75" thickBot="1" x14ac:dyDescent="0.3">
      <c r="A30" s="16"/>
      <c r="B30" s="16"/>
      <c r="C30" s="7"/>
    </row>
    <row r="31" spans="1:8" x14ac:dyDescent="0.25">
      <c r="E31" t="s">
        <v>151</v>
      </c>
      <c r="H31" s="20">
        <f>H29*0.5</f>
        <v>14538.537647058823</v>
      </c>
    </row>
    <row r="32" spans="1:8" ht="15.75" x14ac:dyDescent="0.25">
      <c r="A32" t="s">
        <v>10</v>
      </c>
      <c r="C32" s="10">
        <f>C23-C25-C27-C29</f>
        <v>46392.423529411761</v>
      </c>
      <c r="H32" s="18"/>
    </row>
    <row r="33" spans="8:8" x14ac:dyDescent="0.25">
      <c r="H33" s="3"/>
    </row>
    <row r="34" spans="8:8" x14ac:dyDescent="0.25">
      <c r="H34" s="18"/>
    </row>
  </sheetData>
  <pageMargins left="0.7" right="0.7" top="0.75" bottom="0.75" header="0.3" footer="0.3"/>
</worksheet>
</file>

<file path=xl/worksheets/sheet4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82CA2-949F-49DB-961B-C07A56EB52AA}">
  <dimension ref="A1:H34"/>
  <sheetViews>
    <sheetView workbookViewId="0">
      <selection sqref="A1:XFD1048576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739</v>
      </c>
    </row>
    <row r="3" spans="1:8" ht="21" x14ac:dyDescent="0.35">
      <c r="A3" s="2" t="s">
        <v>1</v>
      </c>
      <c r="D3" s="11">
        <v>999600</v>
      </c>
      <c r="F3" s="12" t="s">
        <v>3</v>
      </c>
      <c r="H3" s="4">
        <f>(D3/1.19)*0.19</f>
        <v>159600</v>
      </c>
    </row>
    <row r="4" spans="1:8" x14ac:dyDescent="0.25">
      <c r="A4" s="13" t="s">
        <v>32</v>
      </c>
      <c r="C4" s="26">
        <v>1056</v>
      </c>
    </row>
    <row r="5" spans="1:8" ht="21" x14ac:dyDescent="0.35">
      <c r="A5" s="2" t="s">
        <v>2</v>
      </c>
    </row>
    <row r="7" spans="1:8" ht="18.75" x14ac:dyDescent="0.3">
      <c r="A7" s="5" t="s">
        <v>221</v>
      </c>
      <c r="D7" s="4">
        <v>686400</v>
      </c>
      <c r="E7" s="25"/>
      <c r="H7" s="4">
        <f t="shared" ref="H7:H12" si="0">(D7/1.19)*0.19</f>
        <v>109593.27731092437</v>
      </c>
    </row>
    <row r="8" spans="1:8" ht="18.75" x14ac:dyDescent="0.3">
      <c r="A8" s="5"/>
      <c r="C8" s="3"/>
      <c r="D8" s="32"/>
      <c r="E8" s="25"/>
      <c r="H8" s="4">
        <f t="shared" si="0"/>
        <v>0</v>
      </c>
    </row>
    <row r="9" spans="1:8" ht="18.75" x14ac:dyDescent="0.3">
      <c r="A9" s="5"/>
      <c r="C9" s="3"/>
      <c r="D9" s="28"/>
      <c r="E9" s="25"/>
      <c r="H9" s="4">
        <f t="shared" si="0"/>
        <v>0</v>
      </c>
    </row>
    <row r="10" spans="1:8" ht="18.75" x14ac:dyDescent="0.3">
      <c r="A10" s="5"/>
      <c r="C10" s="3"/>
      <c r="D10" s="28"/>
      <c r="E10" s="25"/>
      <c r="H10" s="4">
        <f t="shared" si="0"/>
        <v>0</v>
      </c>
    </row>
    <row r="11" spans="1:8" ht="18.75" x14ac:dyDescent="0.3">
      <c r="A11" s="5"/>
      <c r="C11" s="3"/>
      <c r="D11" s="28"/>
      <c r="E11" s="25"/>
      <c r="H11" s="4">
        <f t="shared" si="0"/>
        <v>0</v>
      </c>
    </row>
    <row r="12" spans="1:8" ht="18.75" x14ac:dyDescent="0.3">
      <c r="A12" s="5"/>
      <c r="C12" s="3"/>
      <c r="D12" s="28"/>
      <c r="E12" s="25"/>
      <c r="H12" s="4">
        <f t="shared" si="0"/>
        <v>0</v>
      </c>
    </row>
    <row r="13" spans="1:8" ht="19.5" thickBot="1" x14ac:dyDescent="0.35">
      <c r="A13" s="5"/>
      <c r="C13" s="3"/>
      <c r="D13" s="22"/>
      <c r="E13" s="25"/>
      <c r="H13" s="22">
        <v>0</v>
      </c>
    </row>
    <row r="14" spans="1:8" ht="18.75" customHeight="1" x14ac:dyDescent="0.3">
      <c r="D14" s="4">
        <f>SUM(D7:D13)</f>
        <v>686400</v>
      </c>
      <c r="H14" s="4">
        <f>SUM(H7:H13)</f>
        <v>109593.27731092437</v>
      </c>
    </row>
    <row r="15" spans="1:8" ht="18.75" x14ac:dyDescent="0.3">
      <c r="A15" s="5"/>
      <c r="C15" s="3"/>
      <c r="D15" s="4"/>
      <c r="H15" s="4"/>
    </row>
    <row r="17" spans="1:8" ht="18.75" x14ac:dyDescent="0.3">
      <c r="A17" s="5"/>
      <c r="C17" s="3"/>
      <c r="D17" s="4"/>
      <c r="H17" s="4"/>
    </row>
    <row r="18" spans="1:8" ht="15.75" thickBot="1" x14ac:dyDescent="0.3">
      <c r="D18" s="7"/>
      <c r="H18" s="7"/>
    </row>
    <row r="20" spans="1:8" ht="18.75" x14ac:dyDescent="0.3">
      <c r="C20" t="s">
        <v>4</v>
      </c>
      <c r="D20" s="4">
        <f>D3-D14</f>
        <v>313200</v>
      </c>
      <c r="G20" t="s">
        <v>5</v>
      </c>
      <c r="H20" s="4">
        <f>H3-H14</f>
        <v>50006.722689075628</v>
      </c>
    </row>
    <row r="23" spans="1:8" ht="15.75" x14ac:dyDescent="0.25">
      <c r="A23" t="s">
        <v>6</v>
      </c>
      <c r="C23" s="8">
        <f>D20</f>
        <v>313200</v>
      </c>
      <c r="E23" t="s">
        <v>10</v>
      </c>
      <c r="H23" s="6">
        <f>C32</f>
        <v>259194.87731092438</v>
      </c>
    </row>
    <row r="25" spans="1:8" ht="15.75" x14ac:dyDescent="0.25">
      <c r="A25" t="s">
        <v>5</v>
      </c>
      <c r="B25" s="9" t="s">
        <v>7</v>
      </c>
      <c r="C25" s="8">
        <f>H20</f>
        <v>50006.722689075628</v>
      </c>
      <c r="E25" s="13" t="s">
        <v>11</v>
      </c>
      <c r="F25" s="9" t="s">
        <v>181</v>
      </c>
      <c r="G25" s="15" t="s">
        <v>17</v>
      </c>
      <c r="H25" s="3">
        <f>-(F26*0.0077)</f>
        <v>-6468</v>
      </c>
    </row>
    <row r="26" spans="1:8" x14ac:dyDescent="0.25">
      <c r="F26" s="21">
        <f>D3-H3</f>
        <v>840000</v>
      </c>
    </row>
    <row r="27" spans="1:8" ht="15.75" x14ac:dyDescent="0.25">
      <c r="A27" t="s">
        <v>8</v>
      </c>
      <c r="B27" s="9" t="s">
        <v>7</v>
      </c>
      <c r="C27" s="8">
        <f>D3*0.004</f>
        <v>3998.4</v>
      </c>
      <c r="F27" s="9" t="s">
        <v>13</v>
      </c>
      <c r="G27" s="16">
        <v>0.35</v>
      </c>
      <c r="H27" s="29">
        <f>-(F28*0.35)</f>
        <v>-90718.207058823522</v>
      </c>
    </row>
    <row r="28" spans="1:8" ht="15.75" thickBot="1" x14ac:dyDescent="0.3">
      <c r="F28" s="21">
        <f>H23</f>
        <v>259194.87731092438</v>
      </c>
      <c r="H28" s="7"/>
    </row>
    <row r="29" spans="1:8" x14ac:dyDescent="0.25">
      <c r="A29" t="s">
        <v>9</v>
      </c>
      <c r="B29" s="9" t="s">
        <v>7</v>
      </c>
      <c r="C29" s="6"/>
      <c r="G29" s="13" t="s">
        <v>14</v>
      </c>
      <c r="H29" s="6">
        <f>H23+H25+H27</f>
        <v>162008.67025210086</v>
      </c>
    </row>
    <row r="30" spans="1:8" ht="15.75" thickBot="1" x14ac:dyDescent="0.3">
      <c r="A30" s="16"/>
      <c r="B30" s="16"/>
      <c r="C30" s="7"/>
    </row>
    <row r="31" spans="1:8" x14ac:dyDescent="0.25">
      <c r="E31" t="s">
        <v>151</v>
      </c>
      <c r="H31" s="20">
        <f>H29*0.5</f>
        <v>81004.335126050428</v>
      </c>
    </row>
    <row r="32" spans="1:8" ht="15.75" x14ac:dyDescent="0.25">
      <c r="A32" t="s">
        <v>10</v>
      </c>
      <c r="C32" s="10">
        <f>C23-C25-C27-C29</f>
        <v>259194.87731092438</v>
      </c>
      <c r="H32" s="18"/>
    </row>
    <row r="33" spans="8:8" x14ac:dyDescent="0.25">
      <c r="H33" s="3"/>
    </row>
    <row r="34" spans="8:8" x14ac:dyDescent="0.25">
      <c r="H34" s="18"/>
    </row>
  </sheetData>
  <pageMargins left="0.7" right="0.7" top="0.75" bottom="0.75" header="0.3" footer="0.3"/>
</worksheet>
</file>

<file path=xl/worksheets/sheet4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4B7F3-C274-4D9F-8642-4BAAF607718E}">
  <dimension ref="A1:H34"/>
  <sheetViews>
    <sheetView workbookViewId="0">
      <selection sqref="A1:XFD1048576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740</v>
      </c>
    </row>
    <row r="3" spans="1:8" ht="21" x14ac:dyDescent="0.35">
      <c r="A3" s="2" t="s">
        <v>1</v>
      </c>
      <c r="D3" s="11">
        <v>1178100</v>
      </c>
      <c r="F3" s="12" t="s">
        <v>3</v>
      </c>
      <c r="H3" s="4">
        <f>(D3/1.19)*0.19</f>
        <v>188100</v>
      </c>
    </row>
    <row r="4" spans="1:8" x14ac:dyDescent="0.25">
      <c r="A4" s="13" t="s">
        <v>32</v>
      </c>
      <c r="C4" s="26">
        <v>1057</v>
      </c>
    </row>
    <row r="5" spans="1:8" ht="21" x14ac:dyDescent="0.35">
      <c r="A5" s="2" t="s">
        <v>2</v>
      </c>
    </row>
    <row r="7" spans="1:8" ht="18.75" x14ac:dyDescent="0.3">
      <c r="A7" s="5" t="s">
        <v>221</v>
      </c>
      <c r="D7" s="4">
        <v>907280</v>
      </c>
      <c r="E7" s="25"/>
      <c r="H7" s="4">
        <f t="shared" ref="H7:H12" si="0">(D7/1.19)*0.19</f>
        <v>144859.83193277312</v>
      </c>
    </row>
    <row r="8" spans="1:8" ht="18.75" x14ac:dyDescent="0.3">
      <c r="A8" s="5"/>
      <c r="C8" s="3"/>
      <c r="D8" s="32"/>
      <c r="E8" s="25"/>
      <c r="H8" s="4">
        <f t="shared" si="0"/>
        <v>0</v>
      </c>
    </row>
    <row r="9" spans="1:8" ht="18.75" x14ac:dyDescent="0.3">
      <c r="A9" s="5"/>
      <c r="C9" s="3"/>
      <c r="D9" s="28"/>
      <c r="E9" s="25"/>
      <c r="H9" s="4">
        <f t="shared" si="0"/>
        <v>0</v>
      </c>
    </row>
    <row r="10" spans="1:8" ht="18.75" x14ac:dyDescent="0.3">
      <c r="A10" s="5"/>
      <c r="C10" s="3"/>
      <c r="D10" s="28"/>
      <c r="E10" s="25"/>
      <c r="H10" s="4">
        <f t="shared" si="0"/>
        <v>0</v>
      </c>
    </row>
    <row r="11" spans="1:8" ht="18.75" x14ac:dyDescent="0.3">
      <c r="A11" s="5"/>
      <c r="C11" s="3"/>
      <c r="D11" s="28"/>
      <c r="E11" s="25"/>
      <c r="H11" s="4">
        <f t="shared" si="0"/>
        <v>0</v>
      </c>
    </row>
    <row r="12" spans="1:8" ht="18.75" x14ac:dyDescent="0.3">
      <c r="A12" s="5"/>
      <c r="C12" s="3"/>
      <c r="D12" s="28"/>
      <c r="E12" s="25"/>
      <c r="H12" s="4">
        <f t="shared" si="0"/>
        <v>0</v>
      </c>
    </row>
    <row r="13" spans="1:8" ht="19.5" thickBot="1" x14ac:dyDescent="0.35">
      <c r="A13" s="5"/>
      <c r="C13" s="3"/>
      <c r="D13" s="22"/>
      <c r="E13" s="25"/>
      <c r="H13" s="22">
        <v>0</v>
      </c>
    </row>
    <row r="14" spans="1:8" ht="18.75" customHeight="1" x14ac:dyDescent="0.3">
      <c r="D14" s="4">
        <f>SUM(D7:D13)</f>
        <v>907280</v>
      </c>
      <c r="H14" s="4">
        <f>SUM(H7:H13)</f>
        <v>144859.83193277312</v>
      </c>
    </row>
    <row r="15" spans="1:8" ht="18.75" x14ac:dyDescent="0.3">
      <c r="A15" s="5"/>
      <c r="C15" s="3"/>
      <c r="D15" s="4"/>
      <c r="H15" s="4"/>
    </row>
    <row r="17" spans="1:8" ht="18.75" x14ac:dyDescent="0.3">
      <c r="A17" s="5"/>
      <c r="C17" s="3"/>
      <c r="D17" s="4"/>
      <c r="H17" s="4"/>
    </row>
    <row r="18" spans="1:8" ht="15.75" thickBot="1" x14ac:dyDescent="0.3">
      <c r="D18" s="7"/>
      <c r="H18" s="7"/>
    </row>
    <row r="20" spans="1:8" ht="18.75" x14ac:dyDescent="0.3">
      <c r="C20" t="s">
        <v>4</v>
      </c>
      <c r="D20" s="4">
        <f>D3-D14</f>
        <v>270820</v>
      </c>
      <c r="G20" t="s">
        <v>5</v>
      </c>
      <c r="H20" s="4">
        <f>H3-H14</f>
        <v>43240.168067226885</v>
      </c>
    </row>
    <row r="23" spans="1:8" ht="15.75" x14ac:dyDescent="0.25">
      <c r="A23" t="s">
        <v>6</v>
      </c>
      <c r="C23" s="8">
        <f>D20</f>
        <v>270820</v>
      </c>
      <c r="E23" t="s">
        <v>10</v>
      </c>
      <c r="H23" s="6">
        <f>C32</f>
        <v>222867.43193277312</v>
      </c>
    </row>
    <row r="25" spans="1:8" ht="15.75" x14ac:dyDescent="0.25">
      <c r="A25" t="s">
        <v>5</v>
      </c>
      <c r="B25" s="9" t="s">
        <v>7</v>
      </c>
      <c r="C25" s="8">
        <f>H20</f>
        <v>43240.168067226885</v>
      </c>
      <c r="E25" s="13" t="s">
        <v>11</v>
      </c>
      <c r="F25" s="9" t="s">
        <v>181</v>
      </c>
      <c r="G25" s="15" t="s">
        <v>17</v>
      </c>
      <c r="H25" s="3">
        <f>-(F26*0.0077)</f>
        <v>-7623</v>
      </c>
    </row>
    <row r="26" spans="1:8" x14ac:dyDescent="0.25">
      <c r="F26" s="21">
        <f>D3-H3</f>
        <v>990000</v>
      </c>
    </row>
    <row r="27" spans="1:8" ht="15.75" x14ac:dyDescent="0.25">
      <c r="A27" t="s">
        <v>8</v>
      </c>
      <c r="B27" s="9" t="s">
        <v>7</v>
      </c>
      <c r="C27" s="8">
        <f>D3*0.004</f>
        <v>4712.4000000000005</v>
      </c>
      <c r="F27" s="9" t="s">
        <v>13</v>
      </c>
      <c r="G27" s="16">
        <v>0.35</v>
      </c>
      <c r="H27" s="29">
        <f>-(F28*0.35)</f>
        <v>-78003.601176470591</v>
      </c>
    </row>
    <row r="28" spans="1:8" ht="15.75" thickBot="1" x14ac:dyDescent="0.3">
      <c r="F28" s="21">
        <f>H23</f>
        <v>222867.43193277312</v>
      </c>
      <c r="H28" s="7"/>
    </row>
    <row r="29" spans="1:8" x14ac:dyDescent="0.25">
      <c r="A29" t="s">
        <v>9</v>
      </c>
      <c r="B29" s="9" t="s">
        <v>7</v>
      </c>
      <c r="C29" s="6"/>
      <c r="G29" s="13" t="s">
        <v>14</v>
      </c>
      <c r="H29" s="6">
        <f>H23+H25+H27</f>
        <v>137240.83075630252</v>
      </c>
    </row>
    <row r="30" spans="1:8" ht="15.75" thickBot="1" x14ac:dyDescent="0.3">
      <c r="A30" s="16"/>
      <c r="B30" s="16"/>
      <c r="C30" s="7"/>
    </row>
    <row r="31" spans="1:8" x14ac:dyDescent="0.25">
      <c r="E31" t="s">
        <v>151</v>
      </c>
      <c r="H31" s="20">
        <f>H29*0.5</f>
        <v>68620.415378151258</v>
      </c>
    </row>
    <row r="32" spans="1:8" ht="15.75" x14ac:dyDescent="0.25">
      <c r="A32" t="s">
        <v>10</v>
      </c>
      <c r="C32" s="10">
        <f>C23-C25-C27-C29</f>
        <v>222867.43193277312</v>
      </c>
      <c r="H32" s="18"/>
    </row>
    <row r="33" spans="8:8" x14ac:dyDescent="0.25">
      <c r="H33" s="3"/>
    </row>
    <row r="34" spans="8:8" x14ac:dyDescent="0.25">
      <c r="H34" s="18"/>
    </row>
  </sheetData>
  <pageMargins left="0.7" right="0.7" top="0.75" bottom="0.75" header="0.3" footer="0.3"/>
</worksheet>
</file>

<file path=xl/worksheets/sheet4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77DFF-1DD6-4B1D-B654-654435FBEF4B}">
  <dimension ref="A1:H34"/>
  <sheetViews>
    <sheetView workbookViewId="0">
      <selection sqref="A1:XFD1048576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741</v>
      </c>
    </row>
    <row r="3" spans="1:8" ht="21" x14ac:dyDescent="0.35">
      <c r="A3" s="2" t="s">
        <v>1</v>
      </c>
      <c r="D3" s="11">
        <v>223720</v>
      </c>
      <c r="F3" s="12" t="s">
        <v>3</v>
      </c>
      <c r="H3" s="4">
        <f>(D3/1.19)*0.19</f>
        <v>35720</v>
      </c>
    </row>
    <row r="4" spans="1:8" x14ac:dyDescent="0.25">
      <c r="A4" s="13" t="s">
        <v>32</v>
      </c>
      <c r="C4" s="26">
        <v>1058</v>
      </c>
    </row>
    <row r="5" spans="1:8" ht="21" x14ac:dyDescent="0.35">
      <c r="A5" s="2" t="s">
        <v>2</v>
      </c>
    </row>
    <row r="7" spans="1:8" ht="18.75" x14ac:dyDescent="0.3">
      <c r="A7" s="5" t="s">
        <v>221</v>
      </c>
      <c r="D7" s="4">
        <v>173257</v>
      </c>
      <c r="E7" s="25"/>
      <c r="H7" s="4">
        <f t="shared" ref="H7:H12" si="0">(D7/1.19)*0.19</f>
        <v>27662.882352941178</v>
      </c>
    </row>
    <row r="8" spans="1:8" ht="18.75" x14ac:dyDescent="0.3">
      <c r="A8" s="5"/>
      <c r="C8" s="3"/>
      <c r="D8" s="32"/>
      <c r="E8" s="25"/>
      <c r="H8" s="4">
        <f t="shared" si="0"/>
        <v>0</v>
      </c>
    </row>
    <row r="9" spans="1:8" ht="18.75" x14ac:dyDescent="0.3">
      <c r="A9" s="5"/>
      <c r="C9" s="3"/>
      <c r="D9" s="28"/>
      <c r="E9" s="25"/>
      <c r="H9" s="4">
        <f t="shared" si="0"/>
        <v>0</v>
      </c>
    </row>
    <row r="10" spans="1:8" ht="18.75" x14ac:dyDescent="0.3">
      <c r="A10" s="5"/>
      <c r="C10" s="3"/>
      <c r="D10" s="28"/>
      <c r="E10" s="25"/>
      <c r="H10" s="4">
        <f t="shared" si="0"/>
        <v>0</v>
      </c>
    </row>
    <row r="11" spans="1:8" ht="18.75" x14ac:dyDescent="0.3">
      <c r="A11" s="5"/>
      <c r="C11" s="3"/>
      <c r="D11" s="28"/>
      <c r="E11" s="25"/>
      <c r="H11" s="4">
        <f t="shared" si="0"/>
        <v>0</v>
      </c>
    </row>
    <row r="12" spans="1:8" ht="18.75" x14ac:dyDescent="0.3">
      <c r="A12" s="5"/>
      <c r="C12" s="3"/>
      <c r="D12" s="28"/>
      <c r="E12" s="25"/>
      <c r="H12" s="4">
        <f t="shared" si="0"/>
        <v>0</v>
      </c>
    </row>
    <row r="13" spans="1:8" ht="19.5" thickBot="1" x14ac:dyDescent="0.35">
      <c r="A13" s="5"/>
      <c r="C13" s="3"/>
      <c r="D13" s="22"/>
      <c r="E13" s="25"/>
      <c r="H13" s="22">
        <v>0</v>
      </c>
    </row>
    <row r="14" spans="1:8" ht="18.75" customHeight="1" x14ac:dyDescent="0.3">
      <c r="D14" s="4">
        <f>SUM(D7:D13)</f>
        <v>173257</v>
      </c>
      <c r="H14" s="4">
        <f>SUM(H7:H13)</f>
        <v>27662.882352941178</v>
      </c>
    </row>
    <row r="15" spans="1:8" ht="18.75" x14ac:dyDescent="0.3">
      <c r="A15" s="5"/>
      <c r="C15" s="3"/>
      <c r="D15" s="4"/>
      <c r="H15" s="4"/>
    </row>
    <row r="17" spans="1:8" ht="18.75" x14ac:dyDescent="0.3">
      <c r="A17" s="5"/>
      <c r="C17" s="3"/>
      <c r="D17" s="4"/>
      <c r="H17" s="4"/>
    </row>
    <row r="18" spans="1:8" ht="15.75" thickBot="1" x14ac:dyDescent="0.3">
      <c r="D18" s="7"/>
      <c r="H18" s="7"/>
    </row>
    <row r="20" spans="1:8" ht="18.75" x14ac:dyDescent="0.3">
      <c r="C20" t="s">
        <v>4</v>
      </c>
      <c r="D20" s="4">
        <f>D3-D14</f>
        <v>50463</v>
      </c>
      <c r="G20" t="s">
        <v>5</v>
      </c>
      <c r="H20" s="4">
        <f>H3-H14</f>
        <v>8057.1176470588216</v>
      </c>
    </row>
    <row r="23" spans="1:8" ht="15.75" x14ac:dyDescent="0.25">
      <c r="A23" t="s">
        <v>6</v>
      </c>
      <c r="C23" s="8">
        <f>D20</f>
        <v>50463</v>
      </c>
      <c r="E23" t="s">
        <v>10</v>
      </c>
      <c r="H23" s="6">
        <f>C32</f>
        <v>41511.002352941177</v>
      </c>
    </row>
    <row r="25" spans="1:8" ht="15.75" x14ac:dyDescent="0.25">
      <c r="A25" t="s">
        <v>5</v>
      </c>
      <c r="B25" s="9" t="s">
        <v>7</v>
      </c>
      <c r="C25" s="8">
        <f>H20</f>
        <v>8057.1176470588216</v>
      </c>
      <c r="E25" s="13" t="s">
        <v>11</v>
      </c>
      <c r="F25" s="9" t="s">
        <v>181</v>
      </c>
      <c r="G25" s="15" t="s">
        <v>17</v>
      </c>
      <c r="H25" s="3">
        <f>-(F26*0.0077)</f>
        <v>-1447.6000000000001</v>
      </c>
    </row>
    <row r="26" spans="1:8" x14ac:dyDescent="0.25">
      <c r="F26" s="21">
        <f>D3-H3</f>
        <v>188000</v>
      </c>
    </row>
    <row r="27" spans="1:8" ht="15.75" x14ac:dyDescent="0.25">
      <c r="A27" t="s">
        <v>8</v>
      </c>
      <c r="B27" s="9" t="s">
        <v>7</v>
      </c>
      <c r="C27" s="8">
        <f>D3*0.004</f>
        <v>894.88</v>
      </c>
      <c r="F27" s="9" t="s">
        <v>13</v>
      </c>
      <c r="G27" s="16">
        <v>0.35</v>
      </c>
      <c r="H27" s="29">
        <f>-(F28*0.35)</f>
        <v>-14528.85082352941</v>
      </c>
    </row>
    <row r="28" spans="1:8" ht="15.75" thickBot="1" x14ac:dyDescent="0.3">
      <c r="F28" s="21">
        <f>H23</f>
        <v>41511.002352941177</v>
      </c>
      <c r="H28" s="7"/>
    </row>
    <row r="29" spans="1:8" x14ac:dyDescent="0.25">
      <c r="A29" t="s">
        <v>9</v>
      </c>
      <c r="B29" s="9" t="s">
        <v>7</v>
      </c>
      <c r="C29" s="6"/>
      <c r="G29" s="13" t="s">
        <v>14</v>
      </c>
      <c r="H29" s="6">
        <f>H23+H25+H27</f>
        <v>25534.551529411769</v>
      </c>
    </row>
    <row r="30" spans="1:8" ht="15.75" thickBot="1" x14ac:dyDescent="0.3">
      <c r="A30" s="16"/>
      <c r="B30" s="16"/>
      <c r="C30" s="7"/>
    </row>
    <row r="31" spans="1:8" x14ac:dyDescent="0.25">
      <c r="E31" t="s">
        <v>151</v>
      </c>
      <c r="H31" s="20">
        <f>H29*0.5</f>
        <v>12767.275764705884</v>
      </c>
    </row>
    <row r="32" spans="1:8" ht="15.75" x14ac:dyDescent="0.25">
      <c r="A32" t="s">
        <v>10</v>
      </c>
      <c r="C32" s="10">
        <f>C23-C25-C27-C29</f>
        <v>41511.002352941177</v>
      </c>
      <c r="H32" s="18"/>
    </row>
    <row r="33" spans="8:8" x14ac:dyDescent="0.25">
      <c r="H33" s="3"/>
    </row>
    <row r="34" spans="8:8" x14ac:dyDescent="0.25">
      <c r="H34" s="18"/>
    </row>
  </sheetData>
  <pageMargins left="0.7" right="0.7" top="0.75" bottom="0.75" header="0.3" footer="0.3"/>
</worksheet>
</file>

<file path=xl/worksheets/sheet4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1CFB0-2FA3-45C9-A0CD-F973A98B398D}">
  <dimension ref="A1:H34"/>
  <sheetViews>
    <sheetView workbookViewId="0">
      <selection sqref="A1:XFD1048576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709</v>
      </c>
    </row>
    <row r="3" spans="1:8" ht="21" x14ac:dyDescent="0.35">
      <c r="A3" s="2" t="s">
        <v>1</v>
      </c>
      <c r="D3" s="11">
        <v>312732</v>
      </c>
      <c r="F3" s="12" t="s">
        <v>3</v>
      </c>
      <c r="H3" s="4">
        <f>(D3/1.19)*0.19</f>
        <v>49932</v>
      </c>
    </row>
    <row r="4" spans="1:8" x14ac:dyDescent="0.25">
      <c r="A4" s="13" t="s">
        <v>32</v>
      </c>
      <c r="C4" s="26">
        <v>1059</v>
      </c>
    </row>
    <row r="5" spans="1:8" ht="21" x14ac:dyDescent="0.35">
      <c r="A5" s="2" t="s">
        <v>2</v>
      </c>
    </row>
    <row r="7" spans="1:8" ht="18.75" x14ac:dyDescent="0.3">
      <c r="A7" s="5" t="s">
        <v>221</v>
      </c>
      <c r="D7" s="4">
        <v>246066</v>
      </c>
      <c r="E7" s="25"/>
      <c r="H7" s="4">
        <f t="shared" ref="H7:H12" si="0">(D7/1.19)*0.19</f>
        <v>39287.848739495799</v>
      </c>
    </row>
    <row r="8" spans="1:8" ht="18.75" x14ac:dyDescent="0.3">
      <c r="A8" s="5"/>
      <c r="C8" s="3"/>
      <c r="D8" s="32"/>
      <c r="E8" s="25"/>
      <c r="H8" s="4">
        <f t="shared" si="0"/>
        <v>0</v>
      </c>
    </row>
    <row r="9" spans="1:8" ht="18.75" x14ac:dyDescent="0.3">
      <c r="A9" s="5"/>
      <c r="C9" s="3"/>
      <c r="D9" s="28"/>
      <c r="E9" s="25"/>
      <c r="H9" s="4">
        <f t="shared" si="0"/>
        <v>0</v>
      </c>
    </row>
    <row r="10" spans="1:8" ht="18.75" x14ac:dyDescent="0.3">
      <c r="A10" s="5"/>
      <c r="C10" s="3"/>
      <c r="D10" s="28"/>
      <c r="E10" s="25"/>
      <c r="H10" s="4">
        <f t="shared" si="0"/>
        <v>0</v>
      </c>
    </row>
    <row r="11" spans="1:8" ht="18.75" x14ac:dyDescent="0.3">
      <c r="A11" s="5"/>
      <c r="C11" s="3"/>
      <c r="D11" s="28"/>
      <c r="E11" s="25"/>
      <c r="H11" s="4">
        <f t="shared" si="0"/>
        <v>0</v>
      </c>
    </row>
    <row r="12" spans="1:8" ht="18.75" x14ac:dyDescent="0.3">
      <c r="A12" s="5"/>
      <c r="C12" s="3"/>
      <c r="D12" s="28"/>
      <c r="E12" s="25"/>
      <c r="H12" s="4">
        <f t="shared" si="0"/>
        <v>0</v>
      </c>
    </row>
    <row r="13" spans="1:8" ht="19.5" thickBot="1" x14ac:dyDescent="0.35">
      <c r="A13" s="5"/>
      <c r="C13" s="3"/>
      <c r="D13" s="22"/>
      <c r="E13" s="25"/>
      <c r="H13" s="22">
        <v>0</v>
      </c>
    </row>
    <row r="14" spans="1:8" ht="18.75" customHeight="1" x14ac:dyDescent="0.3">
      <c r="D14" s="4">
        <f>SUM(D7:D13)</f>
        <v>246066</v>
      </c>
      <c r="H14" s="4">
        <f>SUM(H7:H13)</f>
        <v>39287.848739495799</v>
      </c>
    </row>
    <row r="15" spans="1:8" ht="18.75" x14ac:dyDescent="0.3">
      <c r="A15" s="5"/>
      <c r="C15" s="3"/>
      <c r="D15" s="4"/>
      <c r="H15" s="4"/>
    </row>
    <row r="17" spans="1:8" ht="18.75" x14ac:dyDescent="0.3">
      <c r="A17" s="5"/>
      <c r="C17" s="3"/>
      <c r="D17" s="4"/>
      <c r="H17" s="4"/>
    </row>
    <row r="18" spans="1:8" ht="15.75" thickBot="1" x14ac:dyDescent="0.3">
      <c r="D18" s="7"/>
      <c r="H18" s="7"/>
    </row>
    <row r="20" spans="1:8" ht="18.75" x14ac:dyDescent="0.3">
      <c r="C20" t="s">
        <v>4</v>
      </c>
      <c r="D20" s="4">
        <f>D3-D14</f>
        <v>66666</v>
      </c>
      <c r="G20" t="s">
        <v>5</v>
      </c>
      <c r="H20" s="4">
        <f>H3-H14</f>
        <v>10644.151260504201</v>
      </c>
    </row>
    <row r="23" spans="1:8" ht="15.75" x14ac:dyDescent="0.25">
      <c r="A23" t="s">
        <v>6</v>
      </c>
      <c r="C23" s="8">
        <f>D20</f>
        <v>66666</v>
      </c>
      <c r="E23" t="s">
        <v>10</v>
      </c>
      <c r="H23" s="6">
        <f>C32</f>
        <v>54770.920739495799</v>
      </c>
    </row>
    <row r="25" spans="1:8" ht="15.75" x14ac:dyDescent="0.25">
      <c r="A25" t="s">
        <v>5</v>
      </c>
      <c r="B25" s="9" t="s">
        <v>7</v>
      </c>
      <c r="C25" s="8">
        <f>H20</f>
        <v>10644.151260504201</v>
      </c>
      <c r="E25" s="13" t="s">
        <v>11</v>
      </c>
      <c r="F25" s="9" t="s">
        <v>181</v>
      </c>
      <c r="G25" s="15" t="s">
        <v>17</v>
      </c>
      <c r="H25" s="3">
        <f>-(F26*0.0077)</f>
        <v>-2023.5600000000002</v>
      </c>
    </row>
    <row r="26" spans="1:8" x14ac:dyDescent="0.25">
      <c r="F26" s="21">
        <f>D3-H3</f>
        <v>262800</v>
      </c>
    </row>
    <row r="27" spans="1:8" ht="15.75" x14ac:dyDescent="0.25">
      <c r="A27" t="s">
        <v>8</v>
      </c>
      <c r="B27" s="9" t="s">
        <v>7</v>
      </c>
      <c r="C27" s="8">
        <f>D3*0.004</f>
        <v>1250.9280000000001</v>
      </c>
      <c r="F27" s="9" t="s">
        <v>13</v>
      </c>
      <c r="G27" s="16">
        <v>0.35</v>
      </c>
      <c r="H27" s="29">
        <f>-(F28*0.35)</f>
        <v>-19169.822258823529</v>
      </c>
    </row>
    <row r="28" spans="1:8" ht="15.75" thickBot="1" x14ac:dyDescent="0.3">
      <c r="F28" s="21">
        <f>H23</f>
        <v>54770.920739495799</v>
      </c>
      <c r="H28" s="7"/>
    </row>
    <row r="29" spans="1:8" x14ac:dyDescent="0.25">
      <c r="A29" t="s">
        <v>9</v>
      </c>
      <c r="B29" s="9" t="s">
        <v>7</v>
      </c>
      <c r="C29" s="6"/>
      <c r="G29" s="13" t="s">
        <v>14</v>
      </c>
      <c r="H29" s="6">
        <f>H23+H25+H27</f>
        <v>33577.538480672272</v>
      </c>
    </row>
    <row r="30" spans="1:8" ht="15.75" thickBot="1" x14ac:dyDescent="0.3">
      <c r="A30" s="16"/>
      <c r="B30" s="16"/>
      <c r="C30" s="7"/>
    </row>
    <row r="31" spans="1:8" x14ac:dyDescent="0.25">
      <c r="E31" t="s">
        <v>151</v>
      </c>
      <c r="H31" s="20">
        <f>H29*0.5</f>
        <v>16788.769240336136</v>
      </c>
    </row>
    <row r="32" spans="1:8" ht="15.75" x14ac:dyDescent="0.25">
      <c r="A32" t="s">
        <v>10</v>
      </c>
      <c r="C32" s="10">
        <f>C23-C25-C27-C29</f>
        <v>54770.920739495799</v>
      </c>
      <c r="H32" s="18"/>
    </row>
    <row r="33" spans="8:8" x14ac:dyDescent="0.25">
      <c r="H33" s="3"/>
    </row>
    <row r="34" spans="8:8" x14ac:dyDescent="0.25">
      <c r="H34" s="18"/>
    </row>
  </sheetData>
  <pageMargins left="0.7" right="0.7" top="0.75" bottom="0.75" header="0.3" footer="0.3"/>
</worksheet>
</file>

<file path=xl/worksheets/sheet4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4F4F8-DBB8-4B7C-84E0-E661EC35AB8F}">
  <dimension ref="A1:H34"/>
  <sheetViews>
    <sheetView topLeftCell="A10" workbookViewId="0">
      <selection activeCell="I8" sqref="I8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742</v>
      </c>
    </row>
    <row r="3" spans="1:8" ht="21" x14ac:dyDescent="0.35">
      <c r="A3" s="2" t="s">
        <v>1</v>
      </c>
      <c r="D3" s="11">
        <v>3784200</v>
      </c>
      <c r="F3" s="12" t="s">
        <v>3</v>
      </c>
      <c r="H3" s="4">
        <f>(D3/1.19)*0.19</f>
        <v>604200</v>
      </c>
    </row>
    <row r="4" spans="1:8" x14ac:dyDescent="0.25">
      <c r="A4" s="13" t="s">
        <v>32</v>
      </c>
      <c r="C4" s="26">
        <v>1061</v>
      </c>
    </row>
    <row r="5" spans="1:8" ht="21" x14ac:dyDescent="0.35">
      <c r="A5" s="2" t="s">
        <v>2</v>
      </c>
    </row>
    <row r="7" spans="1:8" ht="18.75" x14ac:dyDescent="0.3">
      <c r="A7" s="5" t="s">
        <v>221</v>
      </c>
      <c r="D7" s="4">
        <v>2760000</v>
      </c>
      <c r="E7" s="25"/>
      <c r="H7" s="4">
        <f t="shared" ref="H7:H12" si="0">(D7/1.19)*0.19</f>
        <v>440672.26890756306</v>
      </c>
    </row>
    <row r="8" spans="1:8" ht="18.75" x14ac:dyDescent="0.3">
      <c r="A8" s="5" t="s">
        <v>743</v>
      </c>
      <c r="C8" s="3"/>
      <c r="D8" s="32">
        <v>75522</v>
      </c>
      <c r="E8" s="25"/>
      <c r="H8" s="4"/>
    </row>
    <row r="9" spans="1:8" ht="18.75" x14ac:dyDescent="0.3">
      <c r="A9" s="5"/>
      <c r="C9" s="3"/>
      <c r="D9" s="28"/>
      <c r="E9" s="25"/>
      <c r="H9" s="4">
        <f t="shared" si="0"/>
        <v>0</v>
      </c>
    </row>
    <row r="10" spans="1:8" ht="18.75" x14ac:dyDescent="0.3">
      <c r="A10" s="5"/>
      <c r="C10" s="3"/>
      <c r="D10" s="28"/>
      <c r="E10" s="25"/>
      <c r="H10" s="4">
        <f t="shared" si="0"/>
        <v>0</v>
      </c>
    </row>
    <row r="11" spans="1:8" ht="18.75" x14ac:dyDescent="0.3">
      <c r="A11" s="5"/>
      <c r="C11" s="3"/>
      <c r="D11" s="28"/>
      <c r="E11" s="25"/>
      <c r="H11" s="4">
        <f t="shared" si="0"/>
        <v>0</v>
      </c>
    </row>
    <row r="12" spans="1:8" ht="18.75" x14ac:dyDescent="0.3">
      <c r="A12" s="5"/>
      <c r="C12" s="3"/>
      <c r="D12" s="28"/>
      <c r="E12" s="25"/>
      <c r="H12" s="4">
        <f t="shared" si="0"/>
        <v>0</v>
      </c>
    </row>
    <row r="13" spans="1:8" ht="19.5" thickBot="1" x14ac:dyDescent="0.35">
      <c r="A13" s="5"/>
      <c r="C13" s="3"/>
      <c r="D13" s="22"/>
      <c r="E13" s="25"/>
      <c r="H13" s="22">
        <v>0</v>
      </c>
    </row>
    <row r="14" spans="1:8" ht="18.75" customHeight="1" x14ac:dyDescent="0.3">
      <c r="D14" s="4">
        <f>SUM(D7:D13)</f>
        <v>2835522</v>
      </c>
      <c r="H14" s="4">
        <f>SUM(H7:H13)</f>
        <v>440672.26890756306</v>
      </c>
    </row>
    <row r="15" spans="1:8" ht="18.75" x14ac:dyDescent="0.3">
      <c r="A15" s="5"/>
      <c r="C15" s="3"/>
      <c r="D15" s="4"/>
      <c r="H15" s="4"/>
    </row>
    <row r="17" spans="1:8" ht="18.75" x14ac:dyDescent="0.3">
      <c r="A17" s="5"/>
      <c r="C17" s="3"/>
      <c r="D17" s="4"/>
      <c r="H17" s="4"/>
    </row>
    <row r="18" spans="1:8" ht="15.75" thickBot="1" x14ac:dyDescent="0.3">
      <c r="D18" s="7"/>
      <c r="H18" s="7"/>
    </row>
    <row r="20" spans="1:8" ht="18.75" x14ac:dyDescent="0.3">
      <c r="C20" t="s">
        <v>4</v>
      </c>
      <c r="D20" s="4">
        <f>D3-D14</f>
        <v>948678</v>
      </c>
      <c r="G20" t="s">
        <v>5</v>
      </c>
      <c r="H20" s="4">
        <f>H3-H14</f>
        <v>163527.73109243694</v>
      </c>
    </row>
    <row r="23" spans="1:8" ht="15.75" x14ac:dyDescent="0.25">
      <c r="A23" t="s">
        <v>6</v>
      </c>
      <c r="C23" s="8">
        <f>D20</f>
        <v>948678</v>
      </c>
      <c r="E23" t="s">
        <v>10</v>
      </c>
      <c r="H23" s="6">
        <f>C32</f>
        <v>770013.46890756302</v>
      </c>
    </row>
    <row r="25" spans="1:8" ht="15.75" x14ac:dyDescent="0.25">
      <c r="A25" t="s">
        <v>5</v>
      </c>
      <c r="B25" s="9" t="s">
        <v>7</v>
      </c>
      <c r="C25" s="8">
        <f>H20</f>
        <v>163527.73109243694</v>
      </c>
      <c r="E25" s="13" t="s">
        <v>11</v>
      </c>
      <c r="F25" s="9" t="s">
        <v>181</v>
      </c>
      <c r="G25" s="15" t="s">
        <v>17</v>
      </c>
      <c r="H25" s="3">
        <f>-(F26*0.0077)</f>
        <v>-24486</v>
      </c>
    </row>
    <row r="26" spans="1:8" x14ac:dyDescent="0.25">
      <c r="F26" s="21">
        <f>D3-H3</f>
        <v>3180000</v>
      </c>
    </row>
    <row r="27" spans="1:8" ht="15.75" x14ac:dyDescent="0.25">
      <c r="A27" t="s">
        <v>8</v>
      </c>
      <c r="B27" s="9" t="s">
        <v>7</v>
      </c>
      <c r="C27" s="8">
        <f>D3*0.004</f>
        <v>15136.800000000001</v>
      </c>
      <c r="F27" s="9" t="s">
        <v>13</v>
      </c>
      <c r="G27" s="16">
        <v>0.35</v>
      </c>
      <c r="H27" s="29">
        <f>-(F28*0.35)</f>
        <v>-269504.71411764703</v>
      </c>
    </row>
    <row r="28" spans="1:8" ht="15.75" thickBot="1" x14ac:dyDescent="0.3">
      <c r="F28" s="21">
        <f>H23</f>
        <v>770013.46890756302</v>
      </c>
      <c r="H28" s="7"/>
    </row>
    <row r="29" spans="1:8" x14ac:dyDescent="0.25">
      <c r="A29" t="s">
        <v>9</v>
      </c>
      <c r="B29" s="9" t="s">
        <v>7</v>
      </c>
      <c r="C29" s="6"/>
      <c r="G29" s="13" t="s">
        <v>14</v>
      </c>
      <c r="H29" s="6">
        <f>H23+H25+H27</f>
        <v>476022.75478991598</v>
      </c>
    </row>
    <row r="30" spans="1:8" ht="15.75" thickBot="1" x14ac:dyDescent="0.3">
      <c r="A30" s="16"/>
      <c r="B30" s="16"/>
      <c r="C30" s="7"/>
    </row>
    <row r="31" spans="1:8" x14ac:dyDescent="0.25">
      <c r="E31" t="s">
        <v>151</v>
      </c>
      <c r="H31" s="20">
        <f>H29*0.5</f>
        <v>238011.37739495799</v>
      </c>
    </row>
    <row r="32" spans="1:8" ht="15.75" x14ac:dyDescent="0.25">
      <c r="A32" t="s">
        <v>10</v>
      </c>
      <c r="C32" s="10">
        <f>C23-C25-C27-C29</f>
        <v>770013.46890756302</v>
      </c>
      <c r="H32" s="18"/>
    </row>
    <row r="33" spans="8:8" x14ac:dyDescent="0.25">
      <c r="H33" s="3"/>
    </row>
    <row r="34" spans="8:8" x14ac:dyDescent="0.25">
      <c r="H34" s="18"/>
    </row>
  </sheetData>
  <pageMargins left="0.7" right="0.7" top="0.75" bottom="0.75" header="0.3" footer="0.3"/>
</worksheet>
</file>

<file path=xl/worksheets/sheet4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951EA-90DF-4278-83E2-268436F4C980}">
  <dimension ref="A1:H34"/>
  <sheetViews>
    <sheetView workbookViewId="0">
      <selection sqref="A1:XFD1048576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742</v>
      </c>
    </row>
    <row r="3" spans="1:8" ht="21" x14ac:dyDescent="0.35">
      <c r="A3" s="2" t="s">
        <v>1</v>
      </c>
      <c r="D3" s="11">
        <v>590240</v>
      </c>
      <c r="F3" s="12" t="s">
        <v>3</v>
      </c>
      <c r="H3" s="4">
        <f>(D3/1.19)*0.19</f>
        <v>94240</v>
      </c>
    </row>
    <row r="4" spans="1:8" x14ac:dyDescent="0.25">
      <c r="A4" s="13" t="s">
        <v>32</v>
      </c>
      <c r="C4" s="26">
        <v>1062</v>
      </c>
    </row>
    <row r="5" spans="1:8" ht="21" x14ac:dyDescent="0.35">
      <c r="A5" s="2" t="s">
        <v>2</v>
      </c>
    </row>
    <row r="7" spans="1:8" ht="18.75" x14ac:dyDescent="0.3">
      <c r="A7" s="5" t="s">
        <v>221</v>
      </c>
      <c r="D7" s="4">
        <v>315000</v>
      </c>
      <c r="E7" s="25"/>
      <c r="H7" s="4">
        <f t="shared" ref="H7:H12" si="0">(D7/1.19)*0.19</f>
        <v>50294.117647058833</v>
      </c>
    </row>
    <row r="8" spans="1:8" ht="18.75" x14ac:dyDescent="0.3">
      <c r="A8" s="5" t="s">
        <v>311</v>
      </c>
      <c r="C8" s="3"/>
      <c r="D8" s="32">
        <v>35000</v>
      </c>
      <c r="E8" s="25"/>
      <c r="H8" s="4"/>
    </row>
    <row r="9" spans="1:8" ht="18.75" x14ac:dyDescent="0.3">
      <c r="A9" s="5"/>
      <c r="C9" s="3"/>
      <c r="D9" s="28"/>
      <c r="E9" s="25"/>
      <c r="H9" s="4">
        <f t="shared" si="0"/>
        <v>0</v>
      </c>
    </row>
    <row r="10" spans="1:8" ht="18.75" x14ac:dyDescent="0.3">
      <c r="A10" s="5"/>
      <c r="C10" s="3"/>
      <c r="D10" s="28"/>
      <c r="E10" s="25"/>
      <c r="H10" s="4">
        <f t="shared" si="0"/>
        <v>0</v>
      </c>
    </row>
    <row r="11" spans="1:8" ht="18.75" x14ac:dyDescent="0.3">
      <c r="A11" s="5"/>
      <c r="C11" s="3"/>
      <c r="D11" s="28"/>
      <c r="E11" s="25"/>
      <c r="H11" s="4">
        <f t="shared" si="0"/>
        <v>0</v>
      </c>
    </row>
    <row r="12" spans="1:8" ht="18.75" x14ac:dyDescent="0.3">
      <c r="A12" s="5"/>
      <c r="C12" s="3"/>
      <c r="D12" s="28"/>
      <c r="E12" s="25"/>
      <c r="H12" s="4">
        <f t="shared" si="0"/>
        <v>0</v>
      </c>
    </row>
    <row r="13" spans="1:8" ht="19.5" thickBot="1" x14ac:dyDescent="0.35">
      <c r="A13" s="5"/>
      <c r="C13" s="3"/>
      <c r="D13" s="22"/>
      <c r="E13" s="25"/>
      <c r="H13" s="22">
        <v>0</v>
      </c>
    </row>
    <row r="14" spans="1:8" ht="18.75" customHeight="1" x14ac:dyDescent="0.3">
      <c r="D14" s="4">
        <f>SUM(D7:D13)</f>
        <v>350000</v>
      </c>
      <c r="H14" s="4">
        <f>SUM(H7:H13)</f>
        <v>50294.117647058833</v>
      </c>
    </row>
    <row r="15" spans="1:8" ht="18.75" x14ac:dyDescent="0.3">
      <c r="A15" s="5"/>
      <c r="C15" s="3"/>
      <c r="D15" s="4"/>
      <c r="H15" s="4"/>
    </row>
    <row r="17" spans="1:8" ht="18.75" x14ac:dyDescent="0.3">
      <c r="A17" s="5"/>
      <c r="C17" s="3"/>
      <c r="D17" s="4"/>
      <c r="H17" s="4"/>
    </row>
    <row r="18" spans="1:8" ht="15.75" thickBot="1" x14ac:dyDescent="0.3">
      <c r="D18" s="7"/>
      <c r="H18" s="7"/>
    </row>
    <row r="20" spans="1:8" ht="18.75" x14ac:dyDescent="0.3">
      <c r="C20" t="s">
        <v>4</v>
      </c>
      <c r="D20" s="4">
        <f>D3-D14</f>
        <v>240240</v>
      </c>
      <c r="G20" t="s">
        <v>5</v>
      </c>
      <c r="H20" s="4">
        <f>H3-H14</f>
        <v>43945.882352941167</v>
      </c>
    </row>
    <row r="23" spans="1:8" ht="15.75" x14ac:dyDescent="0.25">
      <c r="A23" t="s">
        <v>6</v>
      </c>
      <c r="C23" s="8">
        <f>D20</f>
        <v>240240</v>
      </c>
      <c r="E23" t="s">
        <v>10</v>
      </c>
      <c r="H23" s="6">
        <f>C32</f>
        <v>193933.15764705883</v>
      </c>
    </row>
    <row r="25" spans="1:8" ht="15.75" x14ac:dyDescent="0.25">
      <c r="A25" t="s">
        <v>5</v>
      </c>
      <c r="B25" s="9" t="s">
        <v>7</v>
      </c>
      <c r="C25" s="8">
        <f>H20</f>
        <v>43945.882352941167</v>
      </c>
      <c r="E25" s="13" t="s">
        <v>11</v>
      </c>
      <c r="F25" s="9" t="s">
        <v>181</v>
      </c>
      <c r="G25" s="15" t="s">
        <v>17</v>
      </c>
      <c r="H25" s="3">
        <f>-(F26*0.0077)</f>
        <v>-3819.2000000000003</v>
      </c>
    </row>
    <row r="26" spans="1:8" x14ac:dyDescent="0.25">
      <c r="F26" s="21">
        <f>D3-H3</f>
        <v>496000</v>
      </c>
    </row>
    <row r="27" spans="1:8" ht="15.75" x14ac:dyDescent="0.25">
      <c r="A27" t="s">
        <v>8</v>
      </c>
      <c r="B27" s="9" t="s">
        <v>7</v>
      </c>
      <c r="C27" s="8">
        <f>D3*0.004</f>
        <v>2360.96</v>
      </c>
      <c r="F27" s="9" t="s">
        <v>13</v>
      </c>
      <c r="G27" s="16">
        <v>0.35</v>
      </c>
      <c r="H27" s="29">
        <f>-(F28*0.35)</f>
        <v>-67876.605176470592</v>
      </c>
    </row>
    <row r="28" spans="1:8" ht="15.75" thickBot="1" x14ac:dyDescent="0.3">
      <c r="F28" s="21">
        <f>H23</f>
        <v>193933.15764705883</v>
      </c>
      <c r="H28" s="7"/>
    </row>
    <row r="29" spans="1:8" x14ac:dyDescent="0.25">
      <c r="A29" t="s">
        <v>9</v>
      </c>
      <c r="B29" s="9" t="s">
        <v>7</v>
      </c>
      <c r="C29" s="6"/>
      <c r="G29" s="13" t="s">
        <v>14</v>
      </c>
      <c r="H29" s="6">
        <f>H23+H25+H27</f>
        <v>122237.35247058823</v>
      </c>
    </row>
    <row r="30" spans="1:8" ht="15.75" thickBot="1" x14ac:dyDescent="0.3">
      <c r="A30" s="16"/>
      <c r="B30" s="16"/>
      <c r="C30" s="7"/>
    </row>
    <row r="31" spans="1:8" x14ac:dyDescent="0.25">
      <c r="E31" t="s">
        <v>151</v>
      </c>
      <c r="H31" s="20">
        <f>H29*0.5</f>
        <v>61118.676235294115</v>
      </c>
    </row>
    <row r="32" spans="1:8" ht="15.75" x14ac:dyDescent="0.25">
      <c r="A32" t="s">
        <v>10</v>
      </c>
      <c r="C32" s="10">
        <f>C23-C25-C27-C29</f>
        <v>193933.15764705883</v>
      </c>
      <c r="H32" s="18"/>
    </row>
    <row r="33" spans="8:8" x14ac:dyDescent="0.25">
      <c r="H33" s="3"/>
    </row>
    <row r="34" spans="8:8" x14ac:dyDescent="0.25">
      <c r="H34" s="18"/>
    </row>
  </sheetData>
  <pageMargins left="0.7" right="0.7" top="0.75" bottom="0.75" header="0.3" footer="0.3"/>
</worksheet>
</file>

<file path=xl/worksheets/sheet4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E9B01-905C-4F77-88C9-3E7CC3AFC2B8}">
  <dimension ref="A1:H34"/>
  <sheetViews>
    <sheetView workbookViewId="0">
      <selection activeCell="M16" sqref="M16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733</v>
      </c>
    </row>
    <row r="3" spans="1:8" ht="21" x14ac:dyDescent="0.35">
      <c r="A3" s="2" t="s">
        <v>1</v>
      </c>
      <c r="D3" s="11">
        <v>833000</v>
      </c>
      <c r="F3" s="12" t="s">
        <v>3</v>
      </c>
      <c r="H3" s="4">
        <f>(D3/1.19)*0.19</f>
        <v>133000</v>
      </c>
    </row>
    <row r="4" spans="1:8" x14ac:dyDescent="0.25">
      <c r="A4" s="13" t="s">
        <v>32</v>
      </c>
      <c r="C4" s="26">
        <v>1063</v>
      </c>
    </row>
    <row r="5" spans="1:8" ht="21" x14ac:dyDescent="0.35">
      <c r="A5" s="2" t="s">
        <v>2</v>
      </c>
    </row>
    <row r="7" spans="1:8" ht="18.75" x14ac:dyDescent="0.3">
      <c r="A7" s="5" t="s">
        <v>221</v>
      </c>
      <c r="D7" s="4">
        <v>578050</v>
      </c>
      <c r="E7" s="25"/>
      <c r="H7" s="4">
        <f t="shared" ref="H7:H12" si="0">(D7/1.19)*0.19</f>
        <v>92293.697478991598</v>
      </c>
    </row>
    <row r="8" spans="1:8" ht="18.75" x14ac:dyDescent="0.3">
      <c r="A8" s="5"/>
      <c r="C8" s="3"/>
      <c r="D8" s="32"/>
      <c r="E8" s="25"/>
      <c r="H8" s="4"/>
    </row>
    <row r="9" spans="1:8" ht="18.75" x14ac:dyDescent="0.3">
      <c r="A9" s="5"/>
      <c r="C9" s="3"/>
      <c r="D9" s="28"/>
      <c r="E9" s="25"/>
      <c r="H9" s="4">
        <f t="shared" si="0"/>
        <v>0</v>
      </c>
    </row>
    <row r="10" spans="1:8" ht="18.75" x14ac:dyDescent="0.3">
      <c r="A10" s="5"/>
      <c r="C10" s="3"/>
      <c r="D10" s="28"/>
      <c r="E10" s="25"/>
      <c r="H10" s="4">
        <f t="shared" si="0"/>
        <v>0</v>
      </c>
    </row>
    <row r="11" spans="1:8" ht="18.75" x14ac:dyDescent="0.3">
      <c r="A11" s="5"/>
      <c r="C11" s="3"/>
      <c r="D11" s="28"/>
      <c r="E11" s="25"/>
      <c r="H11" s="4">
        <f t="shared" si="0"/>
        <v>0</v>
      </c>
    </row>
    <row r="12" spans="1:8" ht="18.75" x14ac:dyDescent="0.3">
      <c r="A12" s="5"/>
      <c r="C12" s="3"/>
      <c r="D12" s="28"/>
      <c r="E12" s="25"/>
      <c r="H12" s="4">
        <f t="shared" si="0"/>
        <v>0</v>
      </c>
    </row>
    <row r="13" spans="1:8" ht="19.5" thickBot="1" x14ac:dyDescent="0.35">
      <c r="A13" s="5"/>
      <c r="C13" s="3"/>
      <c r="D13" s="22"/>
      <c r="E13" s="25"/>
      <c r="H13" s="22">
        <v>0</v>
      </c>
    </row>
    <row r="14" spans="1:8" ht="18.75" customHeight="1" x14ac:dyDescent="0.3">
      <c r="D14" s="4">
        <f>SUM(D7:D13)</f>
        <v>578050</v>
      </c>
      <c r="H14" s="4">
        <f>SUM(H7:H13)</f>
        <v>92293.697478991598</v>
      </c>
    </row>
    <row r="15" spans="1:8" ht="18.75" x14ac:dyDescent="0.3">
      <c r="A15" s="5"/>
      <c r="C15" s="3"/>
      <c r="D15" s="4"/>
      <c r="H15" s="4"/>
    </row>
    <row r="17" spans="1:8" ht="18.75" x14ac:dyDescent="0.3">
      <c r="A17" s="5"/>
      <c r="C17" s="3"/>
      <c r="D17" s="4"/>
      <c r="H17" s="4"/>
    </row>
    <row r="18" spans="1:8" ht="15.75" thickBot="1" x14ac:dyDescent="0.3">
      <c r="D18" s="7"/>
      <c r="H18" s="7"/>
    </row>
    <row r="20" spans="1:8" ht="18.75" x14ac:dyDescent="0.3">
      <c r="C20" t="s">
        <v>4</v>
      </c>
      <c r="D20" s="4">
        <f>D3-D14</f>
        <v>254950</v>
      </c>
      <c r="G20" t="s">
        <v>5</v>
      </c>
      <c r="H20" s="4">
        <f>H3-H14</f>
        <v>40706.302521008402</v>
      </c>
    </row>
    <row r="23" spans="1:8" ht="15.75" x14ac:dyDescent="0.25">
      <c r="A23" t="s">
        <v>6</v>
      </c>
      <c r="C23" s="8">
        <f>D20</f>
        <v>254950</v>
      </c>
      <c r="E23" t="s">
        <v>10</v>
      </c>
      <c r="H23" s="6">
        <f>C32</f>
        <v>210911.69747899158</v>
      </c>
    </row>
    <row r="25" spans="1:8" ht="15.75" x14ac:dyDescent="0.25">
      <c r="A25" t="s">
        <v>5</v>
      </c>
      <c r="B25" s="9" t="s">
        <v>7</v>
      </c>
      <c r="C25" s="8">
        <f>H20</f>
        <v>40706.302521008402</v>
      </c>
      <c r="E25" s="13" t="s">
        <v>11</v>
      </c>
      <c r="F25" s="9" t="s">
        <v>181</v>
      </c>
      <c r="G25" s="15" t="s">
        <v>17</v>
      </c>
      <c r="H25" s="3">
        <f>-(F26*0.0077)</f>
        <v>-5390</v>
      </c>
    </row>
    <row r="26" spans="1:8" x14ac:dyDescent="0.25">
      <c r="F26" s="21">
        <f>D3-H3</f>
        <v>700000</v>
      </c>
    </row>
    <row r="27" spans="1:8" ht="15.75" x14ac:dyDescent="0.25">
      <c r="A27" t="s">
        <v>8</v>
      </c>
      <c r="B27" s="9" t="s">
        <v>7</v>
      </c>
      <c r="C27" s="8">
        <f>D3*0.004</f>
        <v>3332</v>
      </c>
      <c r="F27" s="9" t="s">
        <v>13</v>
      </c>
      <c r="G27" s="16">
        <v>0.35</v>
      </c>
      <c r="H27" s="29">
        <f>-(F28*0.35)</f>
        <v>-73819.094117647051</v>
      </c>
    </row>
    <row r="28" spans="1:8" ht="15.75" thickBot="1" x14ac:dyDescent="0.3">
      <c r="F28" s="21">
        <f>H23</f>
        <v>210911.69747899158</v>
      </c>
      <c r="H28" s="7"/>
    </row>
    <row r="29" spans="1:8" x14ac:dyDescent="0.25">
      <c r="A29" t="s">
        <v>9</v>
      </c>
      <c r="B29" s="9" t="s">
        <v>7</v>
      </c>
      <c r="C29" s="6"/>
      <c r="G29" s="13" t="s">
        <v>14</v>
      </c>
      <c r="H29" s="6">
        <f>H23+H25+H27</f>
        <v>131702.60336134455</v>
      </c>
    </row>
    <row r="30" spans="1:8" ht="15.75" thickBot="1" x14ac:dyDescent="0.3">
      <c r="A30" s="16"/>
      <c r="B30" s="16"/>
      <c r="C30" s="7"/>
    </row>
    <row r="31" spans="1:8" x14ac:dyDescent="0.25">
      <c r="E31" t="s">
        <v>151</v>
      </c>
      <c r="H31" s="20">
        <f>H29*0.5</f>
        <v>65851.301680672274</v>
      </c>
    </row>
    <row r="32" spans="1:8" ht="15.75" x14ac:dyDescent="0.25">
      <c r="A32" t="s">
        <v>10</v>
      </c>
      <c r="C32" s="10">
        <f>C23-C25-C27-C29</f>
        <v>210911.69747899158</v>
      </c>
      <c r="H32" s="18"/>
    </row>
    <row r="33" spans="8:8" x14ac:dyDescent="0.25">
      <c r="H33" s="3"/>
    </row>
    <row r="34" spans="8:8" x14ac:dyDescent="0.25">
      <c r="H34" s="18"/>
    </row>
  </sheetData>
  <pageMargins left="0.7" right="0.7" top="0.75" bottom="0.75" header="0.3" footer="0.3"/>
</worksheet>
</file>

<file path=xl/worksheets/sheet4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D6100-F1AA-4A33-8901-EAEA7A338D43}">
  <dimension ref="A1:H34"/>
  <sheetViews>
    <sheetView workbookViewId="0">
      <selection sqref="A1:XFD1048576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744</v>
      </c>
    </row>
    <row r="3" spans="1:8" ht="21" x14ac:dyDescent="0.35">
      <c r="A3" s="2" t="s">
        <v>1</v>
      </c>
      <c r="D3" s="11">
        <v>487900</v>
      </c>
      <c r="F3" s="12" t="s">
        <v>3</v>
      </c>
      <c r="H3" s="4">
        <f>(D3/1.19)*0.19</f>
        <v>77900</v>
      </c>
    </row>
    <row r="4" spans="1:8" x14ac:dyDescent="0.25">
      <c r="A4" s="13" t="s">
        <v>32</v>
      </c>
      <c r="C4" s="26">
        <v>1065</v>
      </c>
    </row>
    <row r="5" spans="1:8" ht="21" x14ac:dyDescent="0.35">
      <c r="A5" s="2" t="s">
        <v>2</v>
      </c>
    </row>
    <row r="7" spans="1:8" ht="18.75" x14ac:dyDescent="0.3">
      <c r="A7" s="5" t="s">
        <v>221</v>
      </c>
      <c r="D7" s="4">
        <v>333200</v>
      </c>
      <c r="E7" s="25"/>
      <c r="H7" s="4">
        <f t="shared" ref="H7:H12" si="0">(D7/1.19)*0.19</f>
        <v>53200</v>
      </c>
    </row>
    <row r="8" spans="1:8" ht="18.75" x14ac:dyDescent="0.3">
      <c r="A8" s="5"/>
      <c r="C8" s="3"/>
      <c r="D8" s="32"/>
      <c r="E8" s="25"/>
      <c r="H8" s="4"/>
    </row>
    <row r="9" spans="1:8" ht="18.75" x14ac:dyDescent="0.3">
      <c r="A9" s="5"/>
      <c r="C9" s="3"/>
      <c r="D9" s="28"/>
      <c r="E9" s="25"/>
      <c r="H9" s="4">
        <f t="shared" si="0"/>
        <v>0</v>
      </c>
    </row>
    <row r="10" spans="1:8" ht="18.75" x14ac:dyDescent="0.3">
      <c r="A10" s="5"/>
      <c r="C10" s="3"/>
      <c r="D10" s="28"/>
      <c r="E10" s="25"/>
      <c r="H10" s="4">
        <f t="shared" si="0"/>
        <v>0</v>
      </c>
    </row>
    <row r="11" spans="1:8" ht="18.75" x14ac:dyDescent="0.3">
      <c r="A11" s="5"/>
      <c r="C11" s="3"/>
      <c r="D11" s="28"/>
      <c r="E11" s="25"/>
      <c r="H11" s="4">
        <f t="shared" si="0"/>
        <v>0</v>
      </c>
    </row>
    <row r="12" spans="1:8" ht="18.75" x14ac:dyDescent="0.3">
      <c r="A12" s="5"/>
      <c r="C12" s="3"/>
      <c r="D12" s="28"/>
      <c r="E12" s="25"/>
      <c r="H12" s="4">
        <f t="shared" si="0"/>
        <v>0</v>
      </c>
    </row>
    <row r="13" spans="1:8" ht="19.5" thickBot="1" x14ac:dyDescent="0.35">
      <c r="A13" s="5"/>
      <c r="C13" s="3"/>
      <c r="D13" s="22"/>
      <c r="E13" s="25"/>
      <c r="H13" s="22">
        <v>0</v>
      </c>
    </row>
    <row r="14" spans="1:8" ht="18.75" customHeight="1" x14ac:dyDescent="0.3">
      <c r="D14" s="4">
        <f>SUM(D7:D13)</f>
        <v>333200</v>
      </c>
      <c r="H14" s="4">
        <f>SUM(H7:H13)</f>
        <v>53200</v>
      </c>
    </row>
    <row r="15" spans="1:8" ht="18.75" x14ac:dyDescent="0.3">
      <c r="A15" s="5"/>
      <c r="C15" s="3"/>
      <c r="D15" s="4"/>
      <c r="H15" s="4"/>
    </row>
    <row r="17" spans="1:8" ht="18.75" x14ac:dyDescent="0.3">
      <c r="A17" s="5"/>
      <c r="C17" s="3"/>
      <c r="D17" s="4"/>
      <c r="H17" s="4"/>
    </row>
    <row r="18" spans="1:8" ht="15.75" thickBot="1" x14ac:dyDescent="0.3">
      <c r="D18" s="7"/>
      <c r="H18" s="7"/>
    </row>
    <row r="20" spans="1:8" ht="18.75" x14ac:dyDescent="0.3">
      <c r="C20" t="s">
        <v>4</v>
      </c>
      <c r="D20" s="4">
        <f>D3-D14</f>
        <v>154700</v>
      </c>
      <c r="G20" t="s">
        <v>5</v>
      </c>
      <c r="H20" s="4">
        <f>H3-H14</f>
        <v>24700</v>
      </c>
    </row>
    <row r="23" spans="1:8" ht="15.75" x14ac:dyDescent="0.25">
      <c r="A23" t="s">
        <v>6</v>
      </c>
      <c r="C23" s="8">
        <f>D20</f>
        <v>154700</v>
      </c>
      <c r="E23" t="s">
        <v>10</v>
      </c>
      <c r="H23" s="6">
        <f>C32</f>
        <v>128048.4</v>
      </c>
    </row>
    <row r="25" spans="1:8" ht="15.75" x14ac:dyDescent="0.25">
      <c r="A25" t="s">
        <v>5</v>
      </c>
      <c r="B25" s="9" t="s">
        <v>7</v>
      </c>
      <c r="C25" s="8">
        <f>H20</f>
        <v>24700</v>
      </c>
      <c r="E25" s="13" t="s">
        <v>11</v>
      </c>
      <c r="F25" s="9" t="s">
        <v>181</v>
      </c>
      <c r="G25" s="15" t="s">
        <v>17</v>
      </c>
      <c r="H25" s="3">
        <f>-(F26*0.0077)</f>
        <v>-3157</v>
      </c>
    </row>
    <row r="26" spans="1:8" x14ac:dyDescent="0.25">
      <c r="F26" s="21">
        <f>D3-H3</f>
        <v>410000</v>
      </c>
    </row>
    <row r="27" spans="1:8" ht="15.75" x14ac:dyDescent="0.25">
      <c r="A27" t="s">
        <v>8</v>
      </c>
      <c r="B27" s="9" t="s">
        <v>7</v>
      </c>
      <c r="C27" s="8">
        <f>D3*0.004</f>
        <v>1951.6000000000001</v>
      </c>
      <c r="F27" s="9" t="s">
        <v>13</v>
      </c>
      <c r="G27" s="16">
        <v>0.35</v>
      </c>
      <c r="H27" s="29">
        <f>-(F28*0.35)</f>
        <v>-44816.939999999995</v>
      </c>
    </row>
    <row r="28" spans="1:8" ht="15.75" thickBot="1" x14ac:dyDescent="0.3">
      <c r="F28" s="21">
        <f>H23</f>
        <v>128048.4</v>
      </c>
      <c r="H28" s="7"/>
    </row>
    <row r="29" spans="1:8" x14ac:dyDescent="0.25">
      <c r="A29" t="s">
        <v>9</v>
      </c>
      <c r="B29" s="9" t="s">
        <v>7</v>
      </c>
      <c r="C29" s="6"/>
      <c r="G29" s="13" t="s">
        <v>14</v>
      </c>
      <c r="H29" s="6">
        <f>H23+H25+H27</f>
        <v>80074.459999999992</v>
      </c>
    </row>
    <row r="30" spans="1:8" ht="15.75" thickBot="1" x14ac:dyDescent="0.3">
      <c r="A30" s="16"/>
      <c r="B30" s="16"/>
      <c r="C30" s="7"/>
    </row>
    <row r="31" spans="1:8" x14ac:dyDescent="0.25">
      <c r="E31" t="s">
        <v>151</v>
      </c>
      <c r="H31" s="20">
        <f>H29*0.5</f>
        <v>40037.229999999996</v>
      </c>
    </row>
    <row r="32" spans="1:8" ht="15.75" x14ac:dyDescent="0.25">
      <c r="A32" t="s">
        <v>10</v>
      </c>
      <c r="C32" s="10">
        <f>C23-C25-C27-C29</f>
        <v>128048.4</v>
      </c>
      <c r="H32" s="18"/>
    </row>
    <row r="33" spans="8:8" x14ac:dyDescent="0.25">
      <c r="H33" s="3"/>
    </row>
    <row r="34" spans="8:8" x14ac:dyDescent="0.25">
      <c r="H34" s="18"/>
    </row>
  </sheetData>
  <pageMargins left="0.7" right="0.7" top="0.75" bottom="0.75" header="0.3" footer="0.3"/>
</worksheet>
</file>

<file path=xl/worksheets/sheet4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B6397-8A89-446C-A067-C4A4311674EC}">
  <dimension ref="A1:H34"/>
  <sheetViews>
    <sheetView workbookViewId="0">
      <selection sqref="A1:XFD1048576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744</v>
      </c>
    </row>
    <row r="3" spans="1:8" ht="21" x14ac:dyDescent="0.35">
      <c r="A3" s="2" t="s">
        <v>1</v>
      </c>
      <c r="D3" s="11">
        <v>487900</v>
      </c>
      <c r="F3" s="12" t="s">
        <v>3</v>
      </c>
      <c r="H3" s="4">
        <f>(D3/1.19)*0.19</f>
        <v>77900</v>
      </c>
    </row>
    <row r="4" spans="1:8" x14ac:dyDescent="0.25">
      <c r="A4" s="13" t="s">
        <v>32</v>
      </c>
      <c r="C4" s="26">
        <v>1065</v>
      </c>
    </row>
    <row r="5" spans="1:8" ht="21" x14ac:dyDescent="0.35">
      <c r="A5" s="2" t="s">
        <v>2</v>
      </c>
    </row>
    <row r="7" spans="1:8" ht="18.75" x14ac:dyDescent="0.3">
      <c r="A7" s="5" t="s">
        <v>221</v>
      </c>
      <c r="D7" s="4">
        <v>333200</v>
      </c>
      <c r="E7" s="25"/>
      <c r="H7" s="4">
        <f t="shared" ref="H7:H12" si="0">(D7/1.19)*0.19</f>
        <v>53200</v>
      </c>
    </row>
    <row r="8" spans="1:8" ht="18.75" x14ac:dyDescent="0.3">
      <c r="A8" s="5"/>
      <c r="C8" s="3"/>
      <c r="D8" s="32"/>
      <c r="E8" s="25"/>
      <c r="H8" s="4"/>
    </row>
    <row r="9" spans="1:8" ht="18.75" x14ac:dyDescent="0.3">
      <c r="A9" s="5"/>
      <c r="C9" s="3"/>
      <c r="D9" s="28"/>
      <c r="E9" s="25"/>
      <c r="H9" s="4">
        <f t="shared" si="0"/>
        <v>0</v>
      </c>
    </row>
    <row r="10" spans="1:8" ht="18.75" x14ac:dyDescent="0.3">
      <c r="A10" s="5"/>
      <c r="C10" s="3"/>
      <c r="D10" s="28"/>
      <c r="E10" s="25"/>
      <c r="H10" s="4">
        <f t="shared" si="0"/>
        <v>0</v>
      </c>
    </row>
    <row r="11" spans="1:8" ht="18.75" x14ac:dyDescent="0.3">
      <c r="A11" s="5"/>
      <c r="C11" s="3"/>
      <c r="D11" s="28"/>
      <c r="E11" s="25"/>
      <c r="H11" s="4">
        <f t="shared" si="0"/>
        <v>0</v>
      </c>
    </row>
    <row r="12" spans="1:8" ht="18.75" x14ac:dyDescent="0.3">
      <c r="A12" s="5"/>
      <c r="C12" s="3"/>
      <c r="D12" s="28"/>
      <c r="E12" s="25"/>
      <c r="H12" s="4">
        <f t="shared" si="0"/>
        <v>0</v>
      </c>
    </row>
    <row r="13" spans="1:8" ht="19.5" thickBot="1" x14ac:dyDescent="0.35">
      <c r="A13" s="5"/>
      <c r="C13" s="3"/>
      <c r="D13" s="22"/>
      <c r="E13" s="25"/>
      <c r="H13" s="22">
        <v>0</v>
      </c>
    </row>
    <row r="14" spans="1:8" ht="18.75" customHeight="1" x14ac:dyDescent="0.3">
      <c r="D14" s="4">
        <f>SUM(D7:D13)</f>
        <v>333200</v>
      </c>
      <c r="H14" s="4">
        <f>SUM(H7:H13)</f>
        <v>53200</v>
      </c>
    </row>
    <row r="15" spans="1:8" ht="18.75" x14ac:dyDescent="0.3">
      <c r="A15" s="5"/>
      <c r="C15" s="3"/>
      <c r="D15" s="4"/>
      <c r="H15" s="4"/>
    </row>
    <row r="17" spans="1:8" ht="18.75" x14ac:dyDescent="0.3">
      <c r="A17" s="5"/>
      <c r="C17" s="3"/>
      <c r="D17" s="4"/>
      <c r="H17" s="4"/>
    </row>
    <row r="18" spans="1:8" ht="15.75" thickBot="1" x14ac:dyDescent="0.3">
      <c r="D18" s="7"/>
      <c r="H18" s="7"/>
    </row>
    <row r="20" spans="1:8" ht="18.75" x14ac:dyDescent="0.3">
      <c r="C20" t="s">
        <v>4</v>
      </c>
      <c r="D20" s="4">
        <f>D3-D14</f>
        <v>154700</v>
      </c>
      <c r="G20" t="s">
        <v>5</v>
      </c>
      <c r="H20" s="4">
        <f>H3-H14</f>
        <v>24700</v>
      </c>
    </row>
    <row r="23" spans="1:8" ht="15.75" x14ac:dyDescent="0.25">
      <c r="A23" t="s">
        <v>6</v>
      </c>
      <c r="C23" s="8">
        <f>D20</f>
        <v>154700</v>
      </c>
      <c r="E23" t="s">
        <v>10</v>
      </c>
      <c r="H23" s="6">
        <f>C32</f>
        <v>128048.4</v>
      </c>
    </row>
    <row r="25" spans="1:8" ht="15.75" x14ac:dyDescent="0.25">
      <c r="A25" t="s">
        <v>5</v>
      </c>
      <c r="B25" s="9" t="s">
        <v>7</v>
      </c>
      <c r="C25" s="8">
        <f>H20</f>
        <v>24700</v>
      </c>
      <c r="E25" s="13" t="s">
        <v>11</v>
      </c>
      <c r="F25" s="9" t="s">
        <v>181</v>
      </c>
      <c r="G25" s="15" t="s">
        <v>17</v>
      </c>
      <c r="H25" s="3">
        <f>-(F26*0.0077)</f>
        <v>-3157</v>
      </c>
    </row>
    <row r="26" spans="1:8" x14ac:dyDescent="0.25">
      <c r="F26" s="21">
        <f>D3-H3</f>
        <v>410000</v>
      </c>
    </row>
    <row r="27" spans="1:8" ht="15.75" x14ac:dyDescent="0.25">
      <c r="A27" t="s">
        <v>8</v>
      </c>
      <c r="B27" s="9" t="s">
        <v>7</v>
      </c>
      <c r="C27" s="8">
        <f>D3*0.004</f>
        <v>1951.6000000000001</v>
      </c>
      <c r="F27" s="9" t="s">
        <v>13</v>
      </c>
      <c r="G27" s="16">
        <v>0.35</v>
      </c>
      <c r="H27" s="29">
        <f>-(F28*0.35)</f>
        <v>-44816.939999999995</v>
      </c>
    </row>
    <row r="28" spans="1:8" ht="15.75" thickBot="1" x14ac:dyDescent="0.3">
      <c r="F28" s="21">
        <f>H23</f>
        <v>128048.4</v>
      </c>
      <c r="H28" s="7"/>
    </row>
    <row r="29" spans="1:8" x14ac:dyDescent="0.25">
      <c r="A29" t="s">
        <v>9</v>
      </c>
      <c r="B29" s="9" t="s">
        <v>7</v>
      </c>
      <c r="C29" s="6"/>
      <c r="G29" s="13" t="s">
        <v>14</v>
      </c>
      <c r="H29" s="6">
        <f>H23+H25+H27</f>
        <v>80074.459999999992</v>
      </c>
    </row>
    <row r="30" spans="1:8" ht="15.75" thickBot="1" x14ac:dyDescent="0.3">
      <c r="A30" s="16"/>
      <c r="B30" s="16"/>
      <c r="C30" s="7"/>
    </row>
    <row r="31" spans="1:8" x14ac:dyDescent="0.25">
      <c r="E31" t="s">
        <v>151</v>
      </c>
      <c r="H31" s="20">
        <f>H29*0.5</f>
        <v>40037.229999999996</v>
      </c>
    </row>
    <row r="32" spans="1:8" ht="15.75" x14ac:dyDescent="0.25">
      <c r="A32" t="s">
        <v>10</v>
      </c>
      <c r="C32" s="10">
        <f>C23-C25-C27-C29</f>
        <v>128048.4</v>
      </c>
      <c r="H32" s="18"/>
    </row>
    <row r="33" spans="8:8" x14ac:dyDescent="0.25">
      <c r="H33" s="3"/>
    </row>
    <row r="34" spans="8:8" x14ac:dyDescent="0.25">
      <c r="H34" s="18"/>
    </row>
  </sheetData>
  <pageMargins left="0.7" right="0.7" top="0.75" bottom="0.75" header="0.3" footer="0.3"/>
</worksheet>
</file>

<file path=xl/worksheets/sheet4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95269-6497-4CE2-9D68-5714B811B0DA}">
  <dimension ref="A1:H34"/>
  <sheetViews>
    <sheetView workbookViewId="0">
      <selection sqref="A1:XFD1048576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745</v>
      </c>
    </row>
    <row r="3" spans="1:8" ht="21" x14ac:dyDescent="0.35">
      <c r="A3" s="2" t="s">
        <v>1</v>
      </c>
      <c r="D3" s="11">
        <v>235620</v>
      </c>
      <c r="F3" s="12" t="s">
        <v>3</v>
      </c>
      <c r="H3" s="4">
        <f>(D3/1.19)*0.19</f>
        <v>37620</v>
      </c>
    </row>
    <row r="4" spans="1:8" x14ac:dyDescent="0.25">
      <c r="A4" s="13" t="s">
        <v>32</v>
      </c>
      <c r="C4" s="26">
        <v>1067</v>
      </c>
    </row>
    <row r="5" spans="1:8" ht="21" x14ac:dyDescent="0.35">
      <c r="A5" s="2" t="s">
        <v>2</v>
      </c>
    </row>
    <row r="7" spans="1:8" ht="18.75" x14ac:dyDescent="0.3">
      <c r="A7" s="5" t="s">
        <v>221</v>
      </c>
      <c r="D7" s="4">
        <v>180000</v>
      </c>
      <c r="E7" s="25"/>
      <c r="H7" s="4">
        <f t="shared" ref="H7:H12" si="0">(D7/1.19)*0.19</f>
        <v>28739.495798319331</v>
      </c>
    </row>
    <row r="8" spans="1:8" ht="18.75" x14ac:dyDescent="0.3">
      <c r="A8" s="5"/>
      <c r="C8" s="3"/>
      <c r="D8" s="32"/>
      <c r="E8" s="25"/>
      <c r="H8" s="4"/>
    </row>
    <row r="9" spans="1:8" ht="18.75" x14ac:dyDescent="0.3">
      <c r="A9" s="5"/>
      <c r="C9" s="3"/>
      <c r="D9" s="28"/>
      <c r="E9" s="25"/>
      <c r="H9" s="4">
        <f t="shared" si="0"/>
        <v>0</v>
      </c>
    </row>
    <row r="10" spans="1:8" ht="18.75" x14ac:dyDescent="0.3">
      <c r="A10" s="5"/>
      <c r="C10" s="3"/>
      <c r="D10" s="28"/>
      <c r="E10" s="25"/>
      <c r="H10" s="4">
        <f t="shared" si="0"/>
        <v>0</v>
      </c>
    </row>
    <row r="11" spans="1:8" ht="18.75" x14ac:dyDescent="0.3">
      <c r="A11" s="5"/>
      <c r="C11" s="3"/>
      <c r="D11" s="28"/>
      <c r="E11" s="25"/>
      <c r="H11" s="4">
        <f t="shared" si="0"/>
        <v>0</v>
      </c>
    </row>
    <row r="12" spans="1:8" ht="18.75" x14ac:dyDescent="0.3">
      <c r="A12" s="5"/>
      <c r="C12" s="3"/>
      <c r="D12" s="28"/>
      <c r="E12" s="25"/>
      <c r="H12" s="4">
        <f t="shared" si="0"/>
        <v>0</v>
      </c>
    </row>
    <row r="13" spans="1:8" ht="19.5" thickBot="1" x14ac:dyDescent="0.35">
      <c r="A13" s="5"/>
      <c r="C13" s="3"/>
      <c r="D13" s="22"/>
      <c r="E13" s="25"/>
      <c r="H13" s="22">
        <v>0</v>
      </c>
    </row>
    <row r="14" spans="1:8" ht="18.75" customHeight="1" x14ac:dyDescent="0.3">
      <c r="D14" s="4">
        <f>SUM(D7:D13)</f>
        <v>180000</v>
      </c>
      <c r="H14" s="4">
        <f>SUM(H7:H13)</f>
        <v>28739.495798319331</v>
      </c>
    </row>
    <row r="15" spans="1:8" ht="18.75" x14ac:dyDescent="0.3">
      <c r="A15" s="5"/>
      <c r="C15" s="3"/>
      <c r="D15" s="4"/>
      <c r="H15" s="4"/>
    </row>
    <row r="17" spans="1:8" ht="18.75" x14ac:dyDescent="0.3">
      <c r="A17" s="5"/>
      <c r="C17" s="3"/>
      <c r="D17" s="4"/>
      <c r="H17" s="4"/>
    </row>
    <row r="18" spans="1:8" ht="15.75" thickBot="1" x14ac:dyDescent="0.3">
      <c r="D18" s="7"/>
      <c r="H18" s="7"/>
    </row>
    <row r="20" spans="1:8" ht="18.75" x14ac:dyDescent="0.3">
      <c r="C20" t="s">
        <v>4</v>
      </c>
      <c r="D20" s="4">
        <f>D3-D14</f>
        <v>55620</v>
      </c>
      <c r="G20" t="s">
        <v>5</v>
      </c>
      <c r="H20" s="4">
        <f>H3-H14</f>
        <v>8880.5042016806692</v>
      </c>
    </row>
    <row r="23" spans="1:8" ht="15.75" x14ac:dyDescent="0.25">
      <c r="A23" t="s">
        <v>6</v>
      </c>
      <c r="C23" s="8">
        <f>D20</f>
        <v>55620</v>
      </c>
      <c r="E23" t="s">
        <v>10</v>
      </c>
      <c r="H23" s="6">
        <f>C32</f>
        <v>45797.015798319328</v>
      </c>
    </row>
    <row r="25" spans="1:8" ht="15.75" x14ac:dyDescent="0.25">
      <c r="A25" t="s">
        <v>5</v>
      </c>
      <c r="B25" s="9" t="s">
        <v>7</v>
      </c>
      <c r="C25" s="8">
        <f>H20</f>
        <v>8880.5042016806692</v>
      </c>
      <c r="E25" s="13" t="s">
        <v>11</v>
      </c>
      <c r="F25" s="9" t="s">
        <v>181</v>
      </c>
      <c r="G25" s="15" t="s">
        <v>17</v>
      </c>
      <c r="H25" s="3">
        <f>-(F26*0.0077)</f>
        <v>-1524.6000000000001</v>
      </c>
    </row>
    <row r="26" spans="1:8" x14ac:dyDescent="0.25">
      <c r="F26" s="21">
        <f>D3-H3</f>
        <v>198000</v>
      </c>
    </row>
    <row r="27" spans="1:8" ht="15.75" x14ac:dyDescent="0.25">
      <c r="A27" t="s">
        <v>8</v>
      </c>
      <c r="B27" s="9" t="s">
        <v>7</v>
      </c>
      <c r="C27" s="8">
        <f>D3*0.004</f>
        <v>942.48</v>
      </c>
      <c r="F27" s="9" t="s">
        <v>13</v>
      </c>
      <c r="G27" s="16">
        <v>0.35</v>
      </c>
      <c r="H27" s="29">
        <f>-(F28*0.35)</f>
        <v>-16028.955529411764</v>
      </c>
    </row>
    <row r="28" spans="1:8" ht="15.75" thickBot="1" x14ac:dyDescent="0.3">
      <c r="F28" s="21">
        <f>H23</f>
        <v>45797.015798319328</v>
      </c>
      <c r="H28" s="7"/>
    </row>
    <row r="29" spans="1:8" x14ac:dyDescent="0.25">
      <c r="A29" t="s">
        <v>9</v>
      </c>
      <c r="B29" s="9" t="s">
        <v>7</v>
      </c>
      <c r="C29" s="6"/>
      <c r="G29" s="13" t="s">
        <v>14</v>
      </c>
      <c r="H29" s="6">
        <f>H23+H25+H27</f>
        <v>28243.460268907565</v>
      </c>
    </row>
    <row r="30" spans="1:8" ht="15.75" thickBot="1" x14ac:dyDescent="0.3">
      <c r="A30" s="16"/>
      <c r="B30" s="16"/>
      <c r="C30" s="7"/>
    </row>
    <row r="31" spans="1:8" x14ac:dyDescent="0.25">
      <c r="E31" t="s">
        <v>151</v>
      </c>
      <c r="H31" s="20">
        <f>H29*0.5</f>
        <v>14121.730134453783</v>
      </c>
    </row>
    <row r="32" spans="1:8" ht="15.75" x14ac:dyDescent="0.25">
      <c r="A32" t="s">
        <v>10</v>
      </c>
      <c r="C32" s="10">
        <f>C23-C25-C27-C29</f>
        <v>45797.015798319328</v>
      </c>
      <c r="H32" s="18"/>
    </row>
    <row r="33" spans="8:8" x14ac:dyDescent="0.25">
      <c r="H33" s="3"/>
    </row>
    <row r="34" spans="8:8" x14ac:dyDescent="0.25">
      <c r="H34" s="18"/>
    </row>
  </sheetData>
  <pageMargins left="0.7" right="0.7" top="0.75" bottom="0.75" header="0.3" footer="0.3"/>
</worksheet>
</file>

<file path=xl/worksheets/sheet4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FD565-AE2B-4FE9-BE0A-31F5AC6E0CB2}">
  <dimension ref="A1:H34"/>
  <sheetViews>
    <sheetView workbookViewId="0">
      <selection sqref="A1:XFD1048576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746</v>
      </c>
    </row>
    <row r="3" spans="1:8" ht="21" x14ac:dyDescent="0.35">
      <c r="A3" s="2" t="s">
        <v>1</v>
      </c>
      <c r="D3" s="11">
        <v>153320</v>
      </c>
      <c r="F3" s="12" t="s">
        <v>3</v>
      </c>
      <c r="H3" s="4">
        <f>(D3/1.19)*0.19</f>
        <v>24479.663865546219</v>
      </c>
    </row>
    <row r="4" spans="1:8" x14ac:dyDescent="0.25">
      <c r="A4" s="13" t="s">
        <v>32</v>
      </c>
      <c r="C4" s="26">
        <v>1069</v>
      </c>
    </row>
    <row r="5" spans="1:8" ht="21" x14ac:dyDescent="0.35">
      <c r="A5" s="2" t="s">
        <v>2</v>
      </c>
    </row>
    <row r="7" spans="1:8" ht="18.75" x14ac:dyDescent="0.3">
      <c r="A7" s="5" t="s">
        <v>221</v>
      </c>
      <c r="D7" s="4">
        <v>117651</v>
      </c>
      <c r="E7" s="25"/>
      <c r="H7" s="4">
        <f t="shared" ref="H7:H12" si="0">(D7/1.19)*0.19</f>
        <v>18784.613445378152</v>
      </c>
    </row>
    <row r="8" spans="1:8" ht="18.75" x14ac:dyDescent="0.3">
      <c r="A8" s="5"/>
      <c r="C8" s="3"/>
      <c r="D8" s="32"/>
      <c r="E8" s="25"/>
      <c r="H8" s="4"/>
    </row>
    <row r="9" spans="1:8" ht="18.75" x14ac:dyDescent="0.3">
      <c r="A9" s="5"/>
      <c r="C9" s="3"/>
      <c r="D9" s="28"/>
      <c r="E9" s="25"/>
      <c r="H9" s="4">
        <f t="shared" si="0"/>
        <v>0</v>
      </c>
    </row>
    <row r="10" spans="1:8" ht="18.75" x14ac:dyDescent="0.3">
      <c r="A10" s="5"/>
      <c r="C10" s="3"/>
      <c r="D10" s="28"/>
      <c r="E10" s="25"/>
      <c r="H10" s="4">
        <f t="shared" si="0"/>
        <v>0</v>
      </c>
    </row>
    <row r="11" spans="1:8" ht="18.75" x14ac:dyDescent="0.3">
      <c r="A11" s="5"/>
      <c r="C11" s="3"/>
      <c r="D11" s="28"/>
      <c r="E11" s="25"/>
      <c r="H11" s="4">
        <f t="shared" si="0"/>
        <v>0</v>
      </c>
    </row>
    <row r="12" spans="1:8" ht="18.75" x14ac:dyDescent="0.3">
      <c r="A12" s="5"/>
      <c r="C12" s="3"/>
      <c r="D12" s="28"/>
      <c r="E12" s="25"/>
      <c r="H12" s="4">
        <f t="shared" si="0"/>
        <v>0</v>
      </c>
    </row>
    <row r="13" spans="1:8" ht="19.5" thickBot="1" x14ac:dyDescent="0.35">
      <c r="A13" s="5"/>
      <c r="C13" s="3"/>
      <c r="D13" s="22"/>
      <c r="E13" s="25"/>
      <c r="H13" s="22">
        <v>0</v>
      </c>
    </row>
    <row r="14" spans="1:8" ht="18.75" customHeight="1" x14ac:dyDescent="0.3">
      <c r="D14" s="4">
        <f>SUM(D7:D13)</f>
        <v>117651</v>
      </c>
      <c r="H14" s="4">
        <f>SUM(H7:H13)</f>
        <v>18784.613445378152</v>
      </c>
    </row>
    <row r="15" spans="1:8" ht="18.75" x14ac:dyDescent="0.3">
      <c r="A15" s="5"/>
      <c r="C15" s="3"/>
      <c r="D15" s="4"/>
      <c r="H15" s="4"/>
    </row>
    <row r="17" spans="1:8" ht="18.75" x14ac:dyDescent="0.3">
      <c r="A17" s="5"/>
      <c r="C17" s="3"/>
      <c r="D17" s="4"/>
      <c r="H17" s="4"/>
    </row>
    <row r="18" spans="1:8" ht="15.75" thickBot="1" x14ac:dyDescent="0.3">
      <c r="D18" s="7"/>
      <c r="H18" s="7"/>
    </row>
    <row r="20" spans="1:8" ht="18.75" x14ac:dyDescent="0.3">
      <c r="C20" t="s">
        <v>4</v>
      </c>
      <c r="D20" s="4">
        <f>D3-D14</f>
        <v>35669</v>
      </c>
      <c r="G20" t="s">
        <v>5</v>
      </c>
      <c r="H20" s="4">
        <f>H3-H14</f>
        <v>5695.0504201680669</v>
      </c>
    </row>
    <row r="23" spans="1:8" ht="15.75" x14ac:dyDescent="0.25">
      <c r="A23" t="s">
        <v>6</v>
      </c>
      <c r="C23" s="8">
        <f>D20</f>
        <v>35669</v>
      </c>
      <c r="E23" t="s">
        <v>10</v>
      </c>
      <c r="H23" s="6">
        <f>C32</f>
        <v>29360.669579831934</v>
      </c>
    </row>
    <row r="25" spans="1:8" ht="15.75" x14ac:dyDescent="0.25">
      <c r="A25" t="s">
        <v>5</v>
      </c>
      <c r="B25" s="9" t="s">
        <v>7</v>
      </c>
      <c r="C25" s="8">
        <f>H20</f>
        <v>5695.0504201680669</v>
      </c>
      <c r="E25" s="13" t="s">
        <v>11</v>
      </c>
      <c r="F25" s="9" t="s">
        <v>181</v>
      </c>
      <c r="G25" s="15" t="s">
        <v>17</v>
      </c>
      <c r="H25" s="3">
        <f>-(F26*0.0077)</f>
        <v>-992.07058823529417</v>
      </c>
    </row>
    <row r="26" spans="1:8" x14ac:dyDescent="0.25">
      <c r="F26" s="21">
        <f>D3-H3</f>
        <v>128840.33613445378</v>
      </c>
    </row>
    <row r="27" spans="1:8" ht="15.75" x14ac:dyDescent="0.25">
      <c r="A27" t="s">
        <v>8</v>
      </c>
      <c r="B27" s="9" t="s">
        <v>7</v>
      </c>
      <c r="C27" s="8">
        <f>D3*0.004</f>
        <v>613.28</v>
      </c>
      <c r="F27" s="9" t="s">
        <v>13</v>
      </c>
      <c r="G27" s="16">
        <v>0.35</v>
      </c>
      <c r="H27" s="29">
        <f>-(F28*0.35)</f>
        <v>-10276.234352941176</v>
      </c>
    </row>
    <row r="28" spans="1:8" ht="15.75" thickBot="1" x14ac:dyDescent="0.3">
      <c r="F28" s="21">
        <f>H23</f>
        <v>29360.669579831934</v>
      </c>
      <c r="H28" s="7"/>
    </row>
    <row r="29" spans="1:8" x14ac:dyDescent="0.25">
      <c r="A29" t="s">
        <v>9</v>
      </c>
      <c r="B29" s="9" t="s">
        <v>7</v>
      </c>
      <c r="C29" s="6"/>
      <c r="G29" s="13" t="s">
        <v>14</v>
      </c>
      <c r="H29" s="6">
        <f>H23+H25+H27</f>
        <v>18092.364638655461</v>
      </c>
    </row>
    <row r="30" spans="1:8" ht="15.75" thickBot="1" x14ac:dyDescent="0.3">
      <c r="A30" s="16"/>
      <c r="B30" s="16"/>
      <c r="C30" s="7"/>
    </row>
    <row r="31" spans="1:8" x14ac:dyDescent="0.25">
      <c r="E31" t="s">
        <v>151</v>
      </c>
      <c r="H31" s="20">
        <f>H29*0.5</f>
        <v>9046.1823193277305</v>
      </c>
    </row>
    <row r="32" spans="1:8" ht="15.75" x14ac:dyDescent="0.25">
      <c r="A32" t="s">
        <v>10</v>
      </c>
      <c r="C32" s="10">
        <f>C23-C25-C27-C29</f>
        <v>29360.669579831934</v>
      </c>
      <c r="H32" s="18"/>
    </row>
    <row r="33" spans="8:8" x14ac:dyDescent="0.25">
      <c r="H33" s="3"/>
    </row>
    <row r="34" spans="8:8" x14ac:dyDescent="0.25">
      <c r="H34" s="18"/>
    </row>
  </sheetData>
  <pageMargins left="0.7" right="0.7" top="0.75" bottom="0.75" header="0.3" footer="0.3"/>
</worksheet>
</file>

<file path=xl/worksheets/sheet4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339A2-2677-49A0-96FA-DD5A71F78220}">
  <dimension ref="A1:H34"/>
  <sheetViews>
    <sheetView workbookViewId="0">
      <selection sqref="A1:XFD1048576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747</v>
      </c>
    </row>
    <row r="3" spans="1:8" ht="21" x14ac:dyDescent="0.35">
      <c r="A3" s="2" t="s">
        <v>1</v>
      </c>
      <c r="D3" s="11">
        <v>185640</v>
      </c>
      <c r="F3" s="12" t="s">
        <v>3</v>
      </c>
      <c r="H3" s="4">
        <f>(D3/1.19)*0.19</f>
        <v>29640</v>
      </c>
    </row>
    <row r="4" spans="1:8" x14ac:dyDescent="0.25">
      <c r="A4" s="13" t="s">
        <v>32</v>
      </c>
      <c r="C4" s="26">
        <v>1071</v>
      </c>
    </row>
    <row r="5" spans="1:8" ht="21" x14ac:dyDescent="0.35">
      <c r="A5" s="2" t="s">
        <v>2</v>
      </c>
    </row>
    <row r="7" spans="1:8" ht="18.75" x14ac:dyDescent="0.3">
      <c r="A7" s="5" t="s">
        <v>221</v>
      </c>
      <c r="D7" s="4">
        <v>126500</v>
      </c>
      <c r="E7" s="25"/>
      <c r="H7" s="4">
        <f t="shared" ref="H7:H12" si="0">(D7/1.19)*0.19</f>
        <v>20197.478991596639</v>
      </c>
    </row>
    <row r="8" spans="1:8" ht="18.75" x14ac:dyDescent="0.3">
      <c r="A8" s="5"/>
      <c r="C8" s="3"/>
      <c r="D8" s="32"/>
      <c r="E8" s="25"/>
      <c r="H8" s="4"/>
    </row>
    <row r="9" spans="1:8" ht="18.75" x14ac:dyDescent="0.3">
      <c r="A9" s="5"/>
      <c r="C9" s="3"/>
      <c r="D9" s="28"/>
      <c r="E9" s="25"/>
      <c r="H9" s="4">
        <f t="shared" si="0"/>
        <v>0</v>
      </c>
    </row>
    <row r="10" spans="1:8" ht="18.75" x14ac:dyDescent="0.3">
      <c r="A10" s="5"/>
      <c r="C10" s="3"/>
      <c r="D10" s="28"/>
      <c r="E10" s="25"/>
      <c r="H10" s="4">
        <f t="shared" si="0"/>
        <v>0</v>
      </c>
    </row>
    <row r="11" spans="1:8" ht="18.75" x14ac:dyDescent="0.3">
      <c r="A11" s="5"/>
      <c r="C11" s="3"/>
      <c r="D11" s="28"/>
      <c r="E11" s="25"/>
      <c r="H11" s="4">
        <f t="shared" si="0"/>
        <v>0</v>
      </c>
    </row>
    <row r="12" spans="1:8" ht="18.75" x14ac:dyDescent="0.3">
      <c r="A12" s="5"/>
      <c r="C12" s="3"/>
      <c r="D12" s="28"/>
      <c r="E12" s="25"/>
      <c r="H12" s="4">
        <f t="shared" si="0"/>
        <v>0</v>
      </c>
    </row>
    <row r="13" spans="1:8" ht="19.5" thickBot="1" x14ac:dyDescent="0.35">
      <c r="A13" s="5"/>
      <c r="C13" s="3"/>
      <c r="D13" s="22"/>
      <c r="E13" s="25"/>
      <c r="H13" s="22">
        <v>0</v>
      </c>
    </row>
    <row r="14" spans="1:8" ht="18.75" customHeight="1" x14ac:dyDescent="0.3">
      <c r="D14" s="4">
        <f>SUM(D7:D13)</f>
        <v>126500</v>
      </c>
      <c r="H14" s="4">
        <f>SUM(H7:H13)</f>
        <v>20197.478991596639</v>
      </c>
    </row>
    <row r="15" spans="1:8" ht="18.75" x14ac:dyDescent="0.3">
      <c r="A15" s="5"/>
      <c r="C15" s="3"/>
      <c r="D15" s="4"/>
      <c r="H15" s="4"/>
    </row>
    <row r="17" spans="1:8" ht="18.75" x14ac:dyDescent="0.3">
      <c r="A17" s="5"/>
      <c r="C17" s="3"/>
      <c r="D17" s="4"/>
      <c r="H17" s="4"/>
    </row>
    <row r="18" spans="1:8" ht="15.75" thickBot="1" x14ac:dyDescent="0.3">
      <c r="D18" s="7"/>
      <c r="H18" s="7"/>
    </row>
    <row r="20" spans="1:8" ht="18.75" x14ac:dyDescent="0.3">
      <c r="C20" t="s">
        <v>4</v>
      </c>
      <c r="D20" s="4">
        <f>D3-D14</f>
        <v>59140</v>
      </c>
      <c r="G20" t="s">
        <v>5</v>
      </c>
      <c r="H20" s="4">
        <f>H3-H14</f>
        <v>9442.5210084033606</v>
      </c>
    </row>
    <row r="23" spans="1:8" ht="15.75" x14ac:dyDescent="0.25">
      <c r="A23" t="s">
        <v>6</v>
      </c>
      <c r="C23" s="8">
        <f>D20</f>
        <v>59140</v>
      </c>
      <c r="E23" t="s">
        <v>10</v>
      </c>
      <c r="H23" s="6">
        <f>C32</f>
        <v>48954.918991596642</v>
      </c>
    </row>
    <row r="25" spans="1:8" ht="15.75" x14ac:dyDescent="0.25">
      <c r="A25" t="s">
        <v>5</v>
      </c>
      <c r="B25" s="9" t="s">
        <v>7</v>
      </c>
      <c r="C25" s="8">
        <f>H20</f>
        <v>9442.5210084033606</v>
      </c>
      <c r="E25" s="13" t="s">
        <v>11</v>
      </c>
      <c r="F25" s="9" t="s">
        <v>181</v>
      </c>
      <c r="G25" s="15" t="s">
        <v>17</v>
      </c>
      <c r="H25" s="3">
        <f>-(F26*0.0077)</f>
        <v>-1201.2</v>
      </c>
    </row>
    <row r="26" spans="1:8" x14ac:dyDescent="0.25">
      <c r="F26" s="21">
        <f>D3-H3</f>
        <v>156000</v>
      </c>
    </row>
    <row r="27" spans="1:8" ht="15.75" x14ac:dyDescent="0.25">
      <c r="A27" t="s">
        <v>8</v>
      </c>
      <c r="B27" s="9" t="s">
        <v>7</v>
      </c>
      <c r="C27" s="8">
        <f>D3*0.004</f>
        <v>742.56000000000006</v>
      </c>
      <c r="F27" s="9" t="s">
        <v>13</v>
      </c>
      <c r="G27" s="16">
        <v>0.35</v>
      </c>
      <c r="H27" s="29">
        <f>-(F28*0.35)</f>
        <v>-17134.221647058825</v>
      </c>
    </row>
    <row r="28" spans="1:8" ht="15.75" thickBot="1" x14ac:dyDescent="0.3">
      <c r="F28" s="21">
        <f>H23</f>
        <v>48954.918991596642</v>
      </c>
      <c r="H28" s="7"/>
    </row>
    <row r="29" spans="1:8" x14ac:dyDescent="0.25">
      <c r="A29" t="s">
        <v>9</v>
      </c>
      <c r="B29" s="9" t="s">
        <v>7</v>
      </c>
      <c r="C29" s="6"/>
      <c r="G29" s="13" t="s">
        <v>14</v>
      </c>
      <c r="H29" s="6">
        <f>H23+H25+H27</f>
        <v>30619.49734453782</v>
      </c>
    </row>
    <row r="30" spans="1:8" ht="15.75" thickBot="1" x14ac:dyDescent="0.3">
      <c r="A30" s="16"/>
      <c r="B30" s="16"/>
      <c r="C30" s="7"/>
    </row>
    <row r="31" spans="1:8" x14ac:dyDescent="0.25">
      <c r="E31" t="s">
        <v>151</v>
      </c>
      <c r="H31" s="20">
        <f>H29*0.5</f>
        <v>15309.74867226891</v>
      </c>
    </row>
    <row r="32" spans="1:8" ht="15.75" x14ac:dyDescent="0.25">
      <c r="A32" t="s">
        <v>10</v>
      </c>
      <c r="C32" s="10">
        <f>C23-C25-C27-C29</f>
        <v>48954.918991596642</v>
      </c>
      <c r="H32" s="18"/>
    </row>
    <row r="33" spans="8:8" x14ac:dyDescent="0.25">
      <c r="H33" s="3"/>
    </row>
    <row r="34" spans="8:8" x14ac:dyDescent="0.25">
      <c r="H34" s="18"/>
    </row>
  </sheetData>
  <pageMargins left="0.7" right="0.7" top="0.75" bottom="0.75" header="0.3" footer="0.3"/>
</worksheet>
</file>

<file path=xl/worksheets/sheet4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6D5CA-AA62-4FB1-BCED-6B7336D4E65A}">
  <dimension ref="A1:H34"/>
  <sheetViews>
    <sheetView workbookViewId="0">
      <selection sqref="A1:XFD1048576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537</v>
      </c>
    </row>
    <row r="3" spans="1:8" ht="21" x14ac:dyDescent="0.35">
      <c r="A3" s="2" t="s">
        <v>1</v>
      </c>
      <c r="D3" s="11">
        <v>124950</v>
      </c>
      <c r="F3" s="12" t="s">
        <v>3</v>
      </c>
      <c r="H3" s="4">
        <f>(D3/1.19)*0.19</f>
        <v>19950</v>
      </c>
    </row>
    <row r="4" spans="1:8" x14ac:dyDescent="0.25">
      <c r="A4" s="13" t="s">
        <v>32</v>
      </c>
      <c r="C4" s="26">
        <v>1073</v>
      </c>
    </row>
    <row r="5" spans="1:8" ht="21" x14ac:dyDescent="0.35">
      <c r="A5" s="2" t="s">
        <v>2</v>
      </c>
    </row>
    <row r="7" spans="1:8" ht="18.75" x14ac:dyDescent="0.3">
      <c r="A7" s="5" t="s">
        <v>221</v>
      </c>
      <c r="D7" s="4">
        <v>79000</v>
      </c>
      <c r="E7" s="25"/>
      <c r="H7" s="4">
        <f t="shared" ref="H7:H12" si="0">(D7/1.19)*0.19</f>
        <v>12613.445378151262</v>
      </c>
    </row>
    <row r="8" spans="1:8" ht="18.75" x14ac:dyDescent="0.3">
      <c r="A8" s="5"/>
      <c r="C8" s="3"/>
      <c r="D8" s="32"/>
      <c r="E8" s="25"/>
      <c r="H8" s="4"/>
    </row>
    <row r="9" spans="1:8" ht="18.75" x14ac:dyDescent="0.3">
      <c r="A9" s="5"/>
      <c r="C9" s="3"/>
      <c r="D9" s="28"/>
      <c r="E9" s="25"/>
      <c r="H9" s="4">
        <f t="shared" si="0"/>
        <v>0</v>
      </c>
    </row>
    <row r="10" spans="1:8" ht="18.75" x14ac:dyDescent="0.3">
      <c r="A10" s="5"/>
      <c r="C10" s="3"/>
      <c r="D10" s="28"/>
      <c r="E10" s="25"/>
      <c r="H10" s="4">
        <f t="shared" si="0"/>
        <v>0</v>
      </c>
    </row>
    <row r="11" spans="1:8" ht="18.75" x14ac:dyDescent="0.3">
      <c r="A11" s="5"/>
      <c r="C11" s="3"/>
      <c r="D11" s="28"/>
      <c r="E11" s="25"/>
      <c r="H11" s="4">
        <f t="shared" si="0"/>
        <v>0</v>
      </c>
    </row>
    <row r="12" spans="1:8" ht="18.75" x14ac:dyDescent="0.3">
      <c r="A12" s="5"/>
      <c r="C12" s="3"/>
      <c r="D12" s="28"/>
      <c r="E12" s="25"/>
      <c r="H12" s="4">
        <f t="shared" si="0"/>
        <v>0</v>
      </c>
    </row>
    <row r="13" spans="1:8" ht="19.5" thickBot="1" x14ac:dyDescent="0.35">
      <c r="A13" s="5"/>
      <c r="C13" s="3"/>
      <c r="D13" s="22"/>
      <c r="E13" s="25"/>
      <c r="H13" s="22">
        <v>0</v>
      </c>
    </row>
    <row r="14" spans="1:8" ht="18.75" customHeight="1" x14ac:dyDescent="0.3">
      <c r="D14" s="4">
        <f>SUM(D7:D13)</f>
        <v>79000</v>
      </c>
      <c r="H14" s="4">
        <f>SUM(H7:H13)</f>
        <v>12613.445378151262</v>
      </c>
    </row>
    <row r="15" spans="1:8" ht="18.75" x14ac:dyDescent="0.3">
      <c r="A15" s="5"/>
      <c r="C15" s="3"/>
      <c r="D15" s="4"/>
      <c r="H15" s="4"/>
    </row>
    <row r="17" spans="1:8" ht="18.75" x14ac:dyDescent="0.3">
      <c r="A17" s="5"/>
      <c r="C17" s="3"/>
      <c r="D17" s="4"/>
      <c r="H17" s="4"/>
    </row>
    <row r="18" spans="1:8" ht="15.75" thickBot="1" x14ac:dyDescent="0.3">
      <c r="D18" s="7"/>
      <c r="H18" s="7"/>
    </row>
    <row r="20" spans="1:8" ht="18.75" x14ac:dyDescent="0.3">
      <c r="C20" t="s">
        <v>4</v>
      </c>
      <c r="D20" s="4">
        <f>D3-D14</f>
        <v>45950</v>
      </c>
      <c r="G20" t="s">
        <v>5</v>
      </c>
      <c r="H20" s="4">
        <f>H3-H14</f>
        <v>7336.554621848738</v>
      </c>
    </row>
    <row r="23" spans="1:8" ht="15.75" x14ac:dyDescent="0.25">
      <c r="A23" t="s">
        <v>6</v>
      </c>
      <c r="C23" s="8">
        <f>D20</f>
        <v>45950</v>
      </c>
      <c r="E23" t="s">
        <v>10</v>
      </c>
      <c r="H23" s="6">
        <f>C32</f>
        <v>38113.645378151261</v>
      </c>
    </row>
    <row r="25" spans="1:8" ht="15.75" x14ac:dyDescent="0.25">
      <c r="A25" t="s">
        <v>5</v>
      </c>
      <c r="B25" s="9" t="s">
        <v>7</v>
      </c>
      <c r="C25" s="8">
        <f>H20</f>
        <v>7336.554621848738</v>
      </c>
      <c r="E25" s="13" t="s">
        <v>11</v>
      </c>
      <c r="F25" s="9" t="s">
        <v>181</v>
      </c>
      <c r="G25" s="15" t="s">
        <v>17</v>
      </c>
      <c r="H25" s="3">
        <f>-(F26*0.0077)</f>
        <v>-808.5</v>
      </c>
    </row>
    <row r="26" spans="1:8" x14ac:dyDescent="0.25">
      <c r="F26" s="21">
        <f>D3-H3</f>
        <v>105000</v>
      </c>
    </row>
    <row r="27" spans="1:8" ht="15.75" x14ac:dyDescent="0.25">
      <c r="A27" t="s">
        <v>8</v>
      </c>
      <c r="B27" s="9" t="s">
        <v>7</v>
      </c>
      <c r="C27" s="8">
        <f>D3*0.004</f>
        <v>499.8</v>
      </c>
      <c r="F27" s="9" t="s">
        <v>13</v>
      </c>
      <c r="G27" s="16">
        <v>0.35</v>
      </c>
      <c r="H27" s="29">
        <f>-(F28*0.35)</f>
        <v>-13339.77588235294</v>
      </c>
    </row>
    <row r="28" spans="1:8" ht="15.75" thickBot="1" x14ac:dyDescent="0.3">
      <c r="F28" s="21">
        <f>H23</f>
        <v>38113.645378151261</v>
      </c>
      <c r="H28" s="7"/>
    </row>
    <row r="29" spans="1:8" x14ac:dyDescent="0.25">
      <c r="A29" t="s">
        <v>9</v>
      </c>
      <c r="B29" s="9" t="s">
        <v>7</v>
      </c>
      <c r="C29" s="6"/>
      <c r="G29" s="13" t="s">
        <v>14</v>
      </c>
      <c r="H29" s="6">
        <f>H23+H25+H27</f>
        <v>23965.369495798321</v>
      </c>
    </row>
    <row r="30" spans="1:8" ht="15.75" thickBot="1" x14ac:dyDescent="0.3">
      <c r="A30" s="16"/>
      <c r="B30" s="16"/>
      <c r="C30" s="7"/>
    </row>
    <row r="31" spans="1:8" x14ac:dyDescent="0.25">
      <c r="E31" t="s">
        <v>151</v>
      </c>
      <c r="H31" s="20">
        <f>H29*0.5</f>
        <v>11982.68474789916</v>
      </c>
    </row>
    <row r="32" spans="1:8" ht="15.75" x14ac:dyDescent="0.25">
      <c r="A32" t="s">
        <v>10</v>
      </c>
      <c r="C32" s="10">
        <f>C23-C25-C27-C29</f>
        <v>38113.645378151261</v>
      </c>
      <c r="H32" s="18"/>
    </row>
    <row r="33" spans="8:8" x14ac:dyDescent="0.25">
      <c r="H33" s="3"/>
    </row>
    <row r="34" spans="8:8" x14ac:dyDescent="0.25">
      <c r="H34" s="18"/>
    </row>
  </sheetData>
  <pageMargins left="0.7" right="0.7" top="0.75" bottom="0.75" header="0.3" footer="0.3"/>
</worksheet>
</file>

<file path=xl/worksheets/sheet4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B53F6-9F1D-4482-9458-873A162DFE31}">
  <dimension ref="A1:H34"/>
  <sheetViews>
    <sheetView workbookViewId="0">
      <selection sqref="A1:XFD1048576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748</v>
      </c>
    </row>
    <row r="3" spans="1:8" ht="21" x14ac:dyDescent="0.35">
      <c r="A3" s="2" t="s">
        <v>1</v>
      </c>
      <c r="D3" s="11">
        <v>841330</v>
      </c>
      <c r="F3" s="12" t="s">
        <v>3</v>
      </c>
      <c r="H3" s="4">
        <f>(D3/1.19)*0.19</f>
        <v>134330</v>
      </c>
    </row>
    <row r="4" spans="1:8" x14ac:dyDescent="0.25">
      <c r="A4" s="13" t="s">
        <v>32</v>
      </c>
      <c r="C4" s="26">
        <v>1075</v>
      </c>
    </row>
    <row r="5" spans="1:8" ht="21" x14ac:dyDescent="0.35">
      <c r="A5" s="2" t="s">
        <v>2</v>
      </c>
    </row>
    <row r="7" spans="1:8" ht="18.75" x14ac:dyDescent="0.3">
      <c r="A7" s="5" t="s">
        <v>221</v>
      </c>
      <c r="D7" s="4">
        <v>647055</v>
      </c>
      <c r="E7" s="25"/>
      <c r="H7" s="4">
        <f t="shared" ref="H7:H12" si="0">(D7/1.19)*0.19</f>
        <v>103311.3025210084</v>
      </c>
    </row>
    <row r="8" spans="1:8" ht="18.75" x14ac:dyDescent="0.3">
      <c r="A8" s="5"/>
      <c r="C8" s="3"/>
      <c r="D8" s="32"/>
      <c r="E8" s="25"/>
      <c r="H8" s="4"/>
    </row>
    <row r="9" spans="1:8" ht="18.75" x14ac:dyDescent="0.3">
      <c r="A9" s="5"/>
      <c r="C9" s="3"/>
      <c r="D9" s="28"/>
      <c r="E9" s="25"/>
      <c r="H9" s="4">
        <f t="shared" si="0"/>
        <v>0</v>
      </c>
    </row>
    <row r="10" spans="1:8" ht="18.75" x14ac:dyDescent="0.3">
      <c r="A10" s="5"/>
      <c r="C10" s="3"/>
      <c r="D10" s="28"/>
      <c r="E10" s="25"/>
      <c r="H10" s="4">
        <f t="shared" si="0"/>
        <v>0</v>
      </c>
    </row>
    <row r="11" spans="1:8" ht="18.75" x14ac:dyDescent="0.3">
      <c r="A11" s="5"/>
      <c r="C11" s="3"/>
      <c r="D11" s="28"/>
      <c r="E11" s="25"/>
      <c r="H11" s="4">
        <f t="shared" si="0"/>
        <v>0</v>
      </c>
    </row>
    <row r="12" spans="1:8" ht="18.75" x14ac:dyDescent="0.3">
      <c r="A12" s="5"/>
      <c r="C12" s="3"/>
      <c r="D12" s="28"/>
      <c r="E12" s="25"/>
      <c r="H12" s="4">
        <f t="shared" si="0"/>
        <v>0</v>
      </c>
    </row>
    <row r="13" spans="1:8" ht="19.5" thickBot="1" x14ac:dyDescent="0.35">
      <c r="A13" s="5"/>
      <c r="C13" s="3"/>
      <c r="D13" s="22"/>
      <c r="E13" s="25"/>
      <c r="H13" s="22">
        <v>0</v>
      </c>
    </row>
    <row r="14" spans="1:8" ht="18.75" customHeight="1" x14ac:dyDescent="0.3">
      <c r="D14" s="4">
        <f>SUM(D7:D13)</f>
        <v>647055</v>
      </c>
      <c r="H14" s="4">
        <f>SUM(H7:H13)</f>
        <v>103311.3025210084</v>
      </c>
    </row>
    <row r="15" spans="1:8" ht="18.75" x14ac:dyDescent="0.3">
      <c r="A15" s="5"/>
      <c r="C15" s="3"/>
      <c r="D15" s="4"/>
      <c r="H15" s="4"/>
    </row>
    <row r="17" spans="1:8" ht="18.75" x14ac:dyDescent="0.3">
      <c r="A17" s="5"/>
      <c r="C17" s="3"/>
      <c r="D17" s="4"/>
      <c r="H17" s="4"/>
    </row>
    <row r="18" spans="1:8" ht="15.75" thickBot="1" x14ac:dyDescent="0.3">
      <c r="D18" s="7"/>
      <c r="H18" s="7"/>
    </row>
    <row r="20" spans="1:8" ht="18.75" x14ac:dyDescent="0.3">
      <c r="C20" t="s">
        <v>4</v>
      </c>
      <c r="D20" s="4">
        <f>D3-D14</f>
        <v>194275</v>
      </c>
      <c r="G20" t="s">
        <v>5</v>
      </c>
      <c r="H20" s="4">
        <f>H3-H14</f>
        <v>31018.697478991598</v>
      </c>
    </row>
    <row r="23" spans="1:8" ht="15.75" x14ac:dyDescent="0.25">
      <c r="A23" t="s">
        <v>6</v>
      </c>
      <c r="C23" s="8">
        <f>D20</f>
        <v>194275</v>
      </c>
      <c r="E23" t="s">
        <v>10</v>
      </c>
      <c r="H23" s="6">
        <f>C32</f>
        <v>159890.98252100841</v>
      </c>
    </row>
    <row r="25" spans="1:8" ht="15.75" x14ac:dyDescent="0.25">
      <c r="A25" t="s">
        <v>5</v>
      </c>
      <c r="B25" s="9" t="s">
        <v>7</v>
      </c>
      <c r="C25" s="8">
        <f>H20</f>
        <v>31018.697478991598</v>
      </c>
      <c r="E25" s="13" t="s">
        <v>11</v>
      </c>
      <c r="F25" s="9" t="s">
        <v>181</v>
      </c>
      <c r="G25" s="15" t="s">
        <v>17</v>
      </c>
      <c r="H25" s="3">
        <f>-(F26*0.0077)</f>
        <v>-5443.9000000000005</v>
      </c>
    </row>
    <row r="26" spans="1:8" x14ac:dyDescent="0.25">
      <c r="F26" s="21">
        <f>D3-H3</f>
        <v>707000</v>
      </c>
    </row>
    <row r="27" spans="1:8" ht="15.75" x14ac:dyDescent="0.25">
      <c r="A27" t="s">
        <v>8</v>
      </c>
      <c r="B27" s="9" t="s">
        <v>7</v>
      </c>
      <c r="C27" s="8">
        <f>D3*0.004</f>
        <v>3365.32</v>
      </c>
      <c r="F27" s="9" t="s">
        <v>13</v>
      </c>
      <c r="G27" s="16">
        <v>0.35</v>
      </c>
      <c r="H27" s="29">
        <f>-(F28*0.35)</f>
        <v>-55961.843882352943</v>
      </c>
    </row>
    <row r="28" spans="1:8" ht="15.75" thickBot="1" x14ac:dyDescent="0.3">
      <c r="F28" s="21">
        <f>H23</f>
        <v>159890.98252100841</v>
      </c>
      <c r="H28" s="7"/>
    </row>
    <row r="29" spans="1:8" x14ac:dyDescent="0.25">
      <c r="A29" t="s">
        <v>9</v>
      </c>
      <c r="B29" s="9" t="s">
        <v>7</v>
      </c>
      <c r="C29" s="6"/>
      <c r="G29" s="13" t="s">
        <v>14</v>
      </c>
      <c r="H29" s="6">
        <f>H23+H25+H27</f>
        <v>98485.238638655472</v>
      </c>
    </row>
    <row r="30" spans="1:8" ht="15.75" thickBot="1" x14ac:dyDescent="0.3">
      <c r="A30" s="16"/>
      <c r="B30" s="16"/>
      <c r="C30" s="7"/>
    </row>
    <row r="31" spans="1:8" x14ac:dyDescent="0.25">
      <c r="E31" t="s">
        <v>151</v>
      </c>
      <c r="H31" s="20">
        <f>H29*0.5</f>
        <v>49242.619319327736</v>
      </c>
    </row>
    <row r="32" spans="1:8" ht="15.75" x14ac:dyDescent="0.25">
      <c r="A32" t="s">
        <v>10</v>
      </c>
      <c r="C32" s="10">
        <f>C23-C25-C27-C29</f>
        <v>159890.98252100841</v>
      </c>
      <c r="H32" s="18"/>
    </row>
    <row r="33" spans="8:8" x14ac:dyDescent="0.25">
      <c r="H33" s="3"/>
    </row>
    <row r="34" spans="8:8" x14ac:dyDescent="0.25">
      <c r="H34" s="18"/>
    </row>
  </sheetData>
  <pageMargins left="0.7" right="0.7" top="0.75" bottom="0.75" header="0.3" footer="0.3"/>
</worksheet>
</file>

<file path=xl/worksheets/sheet4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720D6-CFE5-4857-84AE-C45EBA02BF91}">
  <dimension ref="A1:H34"/>
  <sheetViews>
    <sheetView workbookViewId="0">
      <selection sqref="A1:XFD1048576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748</v>
      </c>
    </row>
    <row r="3" spans="1:8" ht="21" x14ac:dyDescent="0.35">
      <c r="A3" s="2" t="s">
        <v>1</v>
      </c>
      <c r="D3" s="11">
        <v>74970</v>
      </c>
      <c r="F3" s="12" t="s">
        <v>3</v>
      </c>
      <c r="H3" s="4">
        <f>(D3/1.19)*0.19</f>
        <v>11970</v>
      </c>
    </row>
    <row r="4" spans="1:8" x14ac:dyDescent="0.25">
      <c r="A4" s="13" t="s">
        <v>32</v>
      </c>
      <c r="C4" s="26">
        <v>1076</v>
      </c>
    </row>
    <row r="5" spans="1:8" ht="21" x14ac:dyDescent="0.35">
      <c r="A5" s="2" t="s">
        <v>2</v>
      </c>
    </row>
    <row r="7" spans="1:8" ht="18.75" x14ac:dyDescent="0.3">
      <c r="A7" s="5" t="s">
        <v>221</v>
      </c>
      <c r="D7" s="4">
        <v>57043</v>
      </c>
      <c r="E7" s="25"/>
      <c r="H7" s="4">
        <f t="shared" ref="H7:H12" si="0">(D7/1.19)*0.19</f>
        <v>9107.7058823529424</v>
      </c>
    </row>
    <row r="8" spans="1:8" ht="18.75" x14ac:dyDescent="0.3">
      <c r="A8" s="5"/>
      <c r="C8" s="3"/>
      <c r="D8" s="32"/>
      <c r="E8" s="25"/>
      <c r="H8" s="4"/>
    </row>
    <row r="9" spans="1:8" ht="18.75" x14ac:dyDescent="0.3">
      <c r="A9" s="5"/>
      <c r="C9" s="3"/>
      <c r="D9" s="28"/>
      <c r="E9" s="25"/>
      <c r="H9" s="4">
        <f t="shared" si="0"/>
        <v>0</v>
      </c>
    </row>
    <row r="10" spans="1:8" ht="18.75" x14ac:dyDescent="0.3">
      <c r="A10" s="5"/>
      <c r="C10" s="3"/>
      <c r="D10" s="28"/>
      <c r="E10" s="25"/>
      <c r="H10" s="4">
        <f t="shared" si="0"/>
        <v>0</v>
      </c>
    </row>
    <row r="11" spans="1:8" ht="18.75" x14ac:dyDescent="0.3">
      <c r="A11" s="5"/>
      <c r="C11" s="3"/>
      <c r="D11" s="28"/>
      <c r="E11" s="25"/>
      <c r="H11" s="4">
        <f t="shared" si="0"/>
        <v>0</v>
      </c>
    </row>
    <row r="12" spans="1:8" ht="18.75" x14ac:dyDescent="0.3">
      <c r="A12" s="5"/>
      <c r="C12" s="3"/>
      <c r="D12" s="28"/>
      <c r="E12" s="25"/>
      <c r="H12" s="4">
        <f t="shared" si="0"/>
        <v>0</v>
      </c>
    </row>
    <row r="13" spans="1:8" ht="19.5" thickBot="1" x14ac:dyDescent="0.35">
      <c r="A13" s="5"/>
      <c r="C13" s="3"/>
      <c r="D13" s="22"/>
      <c r="E13" s="25"/>
      <c r="H13" s="22">
        <v>0</v>
      </c>
    </row>
    <row r="14" spans="1:8" ht="18.75" customHeight="1" x14ac:dyDescent="0.3">
      <c r="D14" s="4">
        <f>SUM(D7:D13)</f>
        <v>57043</v>
      </c>
      <c r="H14" s="4">
        <f>SUM(H7:H13)</f>
        <v>9107.7058823529424</v>
      </c>
    </row>
    <row r="15" spans="1:8" ht="18.75" x14ac:dyDescent="0.3">
      <c r="A15" s="5"/>
      <c r="C15" s="3"/>
      <c r="D15" s="4"/>
      <c r="H15" s="4"/>
    </row>
    <row r="17" spans="1:8" ht="18.75" x14ac:dyDescent="0.3">
      <c r="A17" s="5"/>
      <c r="C17" s="3"/>
      <c r="D17" s="4"/>
      <c r="H17" s="4"/>
    </row>
    <row r="18" spans="1:8" ht="15.75" thickBot="1" x14ac:dyDescent="0.3">
      <c r="D18" s="7"/>
      <c r="H18" s="7"/>
    </row>
    <row r="20" spans="1:8" ht="18.75" x14ac:dyDescent="0.3">
      <c r="C20" t="s">
        <v>4</v>
      </c>
      <c r="D20" s="4">
        <f>D3-D14</f>
        <v>17927</v>
      </c>
      <c r="G20" t="s">
        <v>5</v>
      </c>
      <c r="H20" s="4">
        <f>H3-H14</f>
        <v>2862.2941176470576</v>
      </c>
    </row>
    <row r="23" spans="1:8" ht="15.75" x14ac:dyDescent="0.25">
      <c r="A23" t="s">
        <v>6</v>
      </c>
      <c r="C23" s="8">
        <f>D20</f>
        <v>17927</v>
      </c>
      <c r="E23" t="s">
        <v>10</v>
      </c>
      <c r="H23" s="6">
        <f>C32</f>
        <v>14764.825882352943</v>
      </c>
    </row>
    <row r="25" spans="1:8" ht="15.75" x14ac:dyDescent="0.25">
      <c r="A25" t="s">
        <v>5</v>
      </c>
      <c r="B25" s="9" t="s">
        <v>7</v>
      </c>
      <c r="C25" s="8">
        <f>H20</f>
        <v>2862.2941176470576</v>
      </c>
      <c r="E25" s="13" t="s">
        <v>11</v>
      </c>
      <c r="F25" s="9" t="s">
        <v>181</v>
      </c>
      <c r="G25" s="15" t="s">
        <v>17</v>
      </c>
      <c r="H25" s="3">
        <f>-(F26*0.0077)</f>
        <v>-485.1</v>
      </c>
    </row>
    <row r="26" spans="1:8" x14ac:dyDescent="0.25">
      <c r="F26" s="21">
        <f>D3-H3</f>
        <v>63000</v>
      </c>
    </row>
    <row r="27" spans="1:8" ht="15.75" x14ac:dyDescent="0.25">
      <c r="A27" t="s">
        <v>8</v>
      </c>
      <c r="B27" s="9" t="s">
        <v>7</v>
      </c>
      <c r="C27" s="8">
        <f>D3*0.004</f>
        <v>299.88</v>
      </c>
      <c r="F27" s="9" t="s">
        <v>13</v>
      </c>
      <c r="G27" s="16">
        <v>0.35</v>
      </c>
      <c r="H27" s="29">
        <f>-(F28*0.35)</f>
        <v>-5167.6890588235301</v>
      </c>
    </row>
    <row r="28" spans="1:8" ht="15.75" thickBot="1" x14ac:dyDescent="0.3">
      <c r="F28" s="21">
        <f>H23</f>
        <v>14764.825882352943</v>
      </c>
      <c r="H28" s="7"/>
    </row>
    <row r="29" spans="1:8" x14ac:dyDescent="0.25">
      <c r="A29" t="s">
        <v>9</v>
      </c>
      <c r="B29" s="9" t="s">
        <v>7</v>
      </c>
      <c r="C29" s="6"/>
      <c r="G29" s="13" t="s">
        <v>14</v>
      </c>
      <c r="H29" s="6">
        <f>H23+H25+H27</f>
        <v>9112.0368235294118</v>
      </c>
    </row>
    <row r="30" spans="1:8" ht="15.75" thickBot="1" x14ac:dyDescent="0.3">
      <c r="A30" s="16"/>
      <c r="B30" s="16"/>
      <c r="C30" s="7"/>
    </row>
    <row r="31" spans="1:8" x14ac:dyDescent="0.25">
      <c r="E31" t="s">
        <v>151</v>
      </c>
      <c r="H31" s="20">
        <f>H29*0.5</f>
        <v>4556.0184117647059</v>
      </c>
    </row>
    <row r="32" spans="1:8" ht="15.75" x14ac:dyDescent="0.25">
      <c r="A32" t="s">
        <v>10</v>
      </c>
      <c r="C32" s="10">
        <f>C23-C25-C27-C29</f>
        <v>14764.825882352943</v>
      </c>
      <c r="H32" s="18"/>
    </row>
    <row r="33" spans="8:8" x14ac:dyDescent="0.25">
      <c r="H33" s="3"/>
    </row>
    <row r="34" spans="8:8" x14ac:dyDescent="0.25">
      <c r="H34" s="18"/>
    </row>
  </sheetData>
  <pageMargins left="0.7" right="0.7" top="0.75" bottom="0.75" header="0.3" footer="0.3"/>
</worksheet>
</file>

<file path=xl/worksheets/sheet4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481E6-9860-43CE-A573-D60E9239A113}">
  <dimension ref="A1:H34"/>
  <sheetViews>
    <sheetView workbookViewId="0">
      <selection sqref="A1:XFD1048576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749</v>
      </c>
    </row>
    <row r="3" spans="1:8" ht="21" x14ac:dyDescent="0.35">
      <c r="A3" s="2" t="s">
        <v>1</v>
      </c>
      <c r="D3" s="11">
        <v>714476</v>
      </c>
      <c r="F3" s="12" t="s">
        <v>3</v>
      </c>
      <c r="H3" s="4">
        <f>(D3/1.19)*0.19</f>
        <v>114076</v>
      </c>
    </row>
    <row r="4" spans="1:8" x14ac:dyDescent="0.25">
      <c r="A4" s="13" t="s">
        <v>32</v>
      </c>
      <c r="C4" s="26">
        <v>1078</v>
      </c>
    </row>
    <row r="5" spans="1:8" ht="21" x14ac:dyDescent="0.35">
      <c r="A5" s="2" t="s">
        <v>2</v>
      </c>
    </row>
    <row r="7" spans="1:8" ht="18.75" x14ac:dyDescent="0.3">
      <c r="A7" s="5" t="s">
        <v>221</v>
      </c>
      <c r="D7" s="4">
        <v>393093</v>
      </c>
      <c r="E7" s="25"/>
      <c r="H7" s="4">
        <f t="shared" ref="H7:H12" si="0">(D7/1.19)*0.19</f>
        <v>62762.747899159665</v>
      </c>
    </row>
    <row r="8" spans="1:8" ht="18.75" x14ac:dyDescent="0.3">
      <c r="A8" s="5" t="s">
        <v>750</v>
      </c>
      <c r="C8" s="3"/>
      <c r="D8" s="32">
        <v>50000</v>
      </c>
      <c r="E8" s="25"/>
      <c r="H8" s="4"/>
    </row>
    <row r="9" spans="1:8" ht="18.75" x14ac:dyDescent="0.3">
      <c r="A9" s="5"/>
      <c r="C9" s="3"/>
      <c r="D9" s="28"/>
      <c r="E9" s="25"/>
      <c r="H9" s="4">
        <f t="shared" si="0"/>
        <v>0</v>
      </c>
    </row>
    <row r="10" spans="1:8" ht="18.75" x14ac:dyDescent="0.3">
      <c r="A10" s="5"/>
      <c r="C10" s="3"/>
      <c r="D10" s="28"/>
      <c r="E10" s="25"/>
      <c r="H10" s="4">
        <f t="shared" si="0"/>
        <v>0</v>
      </c>
    </row>
    <row r="11" spans="1:8" ht="18.75" x14ac:dyDescent="0.3">
      <c r="A11" s="5"/>
      <c r="C11" s="3"/>
      <c r="D11" s="28"/>
      <c r="E11" s="25"/>
      <c r="H11" s="4">
        <f t="shared" si="0"/>
        <v>0</v>
      </c>
    </row>
    <row r="12" spans="1:8" ht="18.75" x14ac:dyDescent="0.3">
      <c r="A12" s="5"/>
      <c r="C12" s="3"/>
      <c r="D12" s="28"/>
      <c r="E12" s="25"/>
      <c r="H12" s="4">
        <f t="shared" si="0"/>
        <v>0</v>
      </c>
    </row>
    <row r="13" spans="1:8" ht="19.5" thickBot="1" x14ac:dyDescent="0.35">
      <c r="A13" s="5"/>
      <c r="C13" s="3"/>
      <c r="D13" s="22"/>
      <c r="E13" s="25"/>
      <c r="H13" s="22">
        <v>0</v>
      </c>
    </row>
    <row r="14" spans="1:8" ht="18.75" customHeight="1" x14ac:dyDescent="0.3">
      <c r="D14" s="4">
        <f>SUM(D7:D13)</f>
        <v>443093</v>
      </c>
      <c r="H14" s="4">
        <f>SUM(H7:H13)</f>
        <v>62762.747899159665</v>
      </c>
    </row>
    <row r="15" spans="1:8" ht="18.75" x14ac:dyDescent="0.3">
      <c r="A15" s="5"/>
      <c r="C15" s="3"/>
      <c r="D15" s="4"/>
      <c r="H15" s="4"/>
    </row>
    <row r="17" spans="1:8" ht="18.75" x14ac:dyDescent="0.3">
      <c r="A17" s="5"/>
      <c r="C17" s="3"/>
      <c r="D17" s="4"/>
      <c r="H17" s="4"/>
    </row>
    <row r="18" spans="1:8" ht="15.75" thickBot="1" x14ac:dyDescent="0.3">
      <c r="D18" s="7"/>
      <c r="H18" s="7"/>
    </row>
    <row r="20" spans="1:8" ht="18.75" x14ac:dyDescent="0.3">
      <c r="C20" t="s">
        <v>4</v>
      </c>
      <c r="D20" s="4">
        <f>D3-D14</f>
        <v>271383</v>
      </c>
      <c r="G20" t="s">
        <v>5</v>
      </c>
      <c r="H20" s="4">
        <f>H3-H14</f>
        <v>51313.252100840335</v>
      </c>
    </row>
    <row r="23" spans="1:8" ht="15.75" x14ac:dyDescent="0.25">
      <c r="A23" t="s">
        <v>6</v>
      </c>
      <c r="C23" s="8">
        <f>D20</f>
        <v>271383</v>
      </c>
      <c r="E23" t="s">
        <v>10</v>
      </c>
      <c r="H23" s="6">
        <f>C32</f>
        <v>217211.84389915966</v>
      </c>
    </row>
    <row r="25" spans="1:8" ht="15.75" x14ac:dyDescent="0.25">
      <c r="A25" t="s">
        <v>5</v>
      </c>
      <c r="B25" s="9" t="s">
        <v>7</v>
      </c>
      <c r="C25" s="8">
        <f>H20</f>
        <v>51313.252100840335</v>
      </c>
      <c r="E25" s="13" t="s">
        <v>11</v>
      </c>
      <c r="F25" s="9" t="s">
        <v>181</v>
      </c>
      <c r="G25" s="15" t="s">
        <v>17</v>
      </c>
      <c r="H25" s="3">
        <f>-(F26*0.0077)</f>
        <v>-4623.08</v>
      </c>
    </row>
    <row r="26" spans="1:8" x14ac:dyDescent="0.25">
      <c r="F26" s="21">
        <f>D3-H3</f>
        <v>600400</v>
      </c>
    </row>
    <row r="27" spans="1:8" ht="15.75" x14ac:dyDescent="0.25">
      <c r="A27" t="s">
        <v>8</v>
      </c>
      <c r="B27" s="9" t="s">
        <v>7</v>
      </c>
      <c r="C27" s="8">
        <f>D3*0.004</f>
        <v>2857.904</v>
      </c>
      <c r="F27" s="9" t="s">
        <v>13</v>
      </c>
      <c r="G27" s="16">
        <v>0.35</v>
      </c>
      <c r="H27" s="29">
        <f>-(F28*0.35)</f>
        <v>-76024.145364705881</v>
      </c>
    </row>
    <row r="28" spans="1:8" ht="15.75" thickBot="1" x14ac:dyDescent="0.3">
      <c r="F28" s="21">
        <f>H23</f>
        <v>217211.84389915966</v>
      </c>
      <c r="H28" s="7"/>
    </row>
    <row r="29" spans="1:8" x14ac:dyDescent="0.25">
      <c r="A29" t="s">
        <v>9</v>
      </c>
      <c r="B29" s="9" t="s">
        <v>7</v>
      </c>
      <c r="C29" s="6"/>
      <c r="G29" s="13" t="s">
        <v>14</v>
      </c>
      <c r="H29" s="6">
        <f>H23+H25+H27</f>
        <v>136564.6185344538</v>
      </c>
    </row>
    <row r="30" spans="1:8" ht="15.75" thickBot="1" x14ac:dyDescent="0.3">
      <c r="A30" s="16"/>
      <c r="B30" s="16"/>
      <c r="C30" s="7"/>
    </row>
    <row r="31" spans="1:8" x14ac:dyDescent="0.25">
      <c r="E31" t="s">
        <v>151</v>
      </c>
      <c r="H31" s="20">
        <f>H29*0.5</f>
        <v>68282.309267226898</v>
      </c>
    </row>
    <row r="32" spans="1:8" ht="15.75" x14ac:dyDescent="0.25">
      <c r="A32" t="s">
        <v>10</v>
      </c>
      <c r="C32" s="10">
        <f>C23-C25-C27-C29</f>
        <v>217211.84389915966</v>
      </c>
      <c r="H32" s="18"/>
    </row>
    <row r="33" spans="8:8" x14ac:dyDescent="0.25">
      <c r="H33" s="3"/>
    </row>
    <row r="34" spans="8:8" x14ac:dyDescent="0.25">
      <c r="H34" s="18"/>
    </row>
  </sheetData>
  <pageMargins left="0.7" right="0.7" top="0.75" bottom="0.75" header="0.3" footer="0.3"/>
</worksheet>
</file>

<file path=xl/worksheets/sheet4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CEF5D-8283-4FB6-90C2-85CFCF3EBB00}">
  <dimension ref="A1:H34"/>
  <sheetViews>
    <sheetView workbookViewId="0">
      <selection sqref="A1:XFD1048576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752</v>
      </c>
    </row>
    <row r="3" spans="1:8" ht="21" x14ac:dyDescent="0.35">
      <c r="A3" s="2" t="s">
        <v>1</v>
      </c>
      <c r="D3" s="11">
        <v>5950</v>
      </c>
      <c r="F3" s="12" t="s">
        <v>3</v>
      </c>
      <c r="H3" s="4">
        <f>(D3/1.19)*0.19</f>
        <v>950</v>
      </c>
    </row>
    <row r="4" spans="1:8" x14ac:dyDescent="0.25">
      <c r="A4" s="13" t="s">
        <v>32</v>
      </c>
      <c r="C4" s="26">
        <v>1079</v>
      </c>
    </row>
    <row r="5" spans="1:8" ht="21" x14ac:dyDescent="0.35">
      <c r="A5" s="2" t="s">
        <v>2</v>
      </c>
    </row>
    <row r="7" spans="1:8" ht="18.75" x14ac:dyDescent="0.3">
      <c r="A7" s="5" t="s">
        <v>221</v>
      </c>
      <c r="D7" s="4">
        <v>3000</v>
      </c>
      <c r="E7" s="25"/>
      <c r="H7" s="4">
        <f t="shared" ref="H7:H12" si="0">(D7/1.19)*0.19</f>
        <v>478.99159663865549</v>
      </c>
    </row>
    <row r="8" spans="1:8" ht="18.75" x14ac:dyDescent="0.3">
      <c r="A8" s="5"/>
      <c r="C8" s="3"/>
      <c r="D8" s="32"/>
      <c r="E8" s="25"/>
      <c r="H8" s="4"/>
    </row>
    <row r="9" spans="1:8" ht="18.75" x14ac:dyDescent="0.3">
      <c r="A9" s="5"/>
      <c r="C9" s="3"/>
      <c r="D9" s="28"/>
      <c r="E9" s="25"/>
      <c r="H9" s="4">
        <f t="shared" si="0"/>
        <v>0</v>
      </c>
    </row>
    <row r="10" spans="1:8" ht="18.75" x14ac:dyDescent="0.3">
      <c r="A10" s="5"/>
      <c r="C10" s="3"/>
      <c r="D10" s="28"/>
      <c r="E10" s="25"/>
      <c r="H10" s="4">
        <f t="shared" si="0"/>
        <v>0</v>
      </c>
    </row>
    <row r="11" spans="1:8" ht="18.75" x14ac:dyDescent="0.3">
      <c r="A11" s="5"/>
      <c r="C11" s="3"/>
      <c r="D11" s="28"/>
      <c r="E11" s="25"/>
      <c r="H11" s="4">
        <f t="shared" si="0"/>
        <v>0</v>
      </c>
    </row>
    <row r="12" spans="1:8" ht="18.75" x14ac:dyDescent="0.3">
      <c r="A12" s="5"/>
      <c r="C12" s="3"/>
      <c r="D12" s="28"/>
      <c r="E12" s="25"/>
      <c r="H12" s="4">
        <f t="shared" si="0"/>
        <v>0</v>
      </c>
    </row>
    <row r="13" spans="1:8" ht="19.5" thickBot="1" x14ac:dyDescent="0.35">
      <c r="A13" s="5"/>
      <c r="C13" s="3"/>
      <c r="D13" s="22"/>
      <c r="E13" s="25"/>
      <c r="H13" s="22">
        <v>0</v>
      </c>
    </row>
    <row r="14" spans="1:8" ht="18.75" customHeight="1" x14ac:dyDescent="0.3">
      <c r="D14" s="4">
        <f>SUM(D7:D13)</f>
        <v>3000</v>
      </c>
      <c r="H14" s="4">
        <f>SUM(H7:H13)</f>
        <v>478.99159663865549</v>
      </c>
    </row>
    <row r="15" spans="1:8" ht="18.75" x14ac:dyDescent="0.3">
      <c r="A15" s="5"/>
      <c r="C15" s="3"/>
      <c r="D15" s="4"/>
      <c r="H15" s="4"/>
    </row>
    <row r="17" spans="1:8" ht="18.75" x14ac:dyDescent="0.3">
      <c r="A17" s="5"/>
      <c r="C17" s="3"/>
      <c r="D17" s="4"/>
      <c r="H17" s="4"/>
    </row>
    <row r="18" spans="1:8" ht="15.75" thickBot="1" x14ac:dyDescent="0.3">
      <c r="D18" s="7"/>
      <c r="H18" s="7"/>
    </row>
    <row r="20" spans="1:8" ht="18.75" x14ac:dyDescent="0.3">
      <c r="C20" t="s">
        <v>4</v>
      </c>
      <c r="D20" s="4">
        <f>D3-D14</f>
        <v>2950</v>
      </c>
      <c r="G20" t="s">
        <v>5</v>
      </c>
      <c r="H20" s="4">
        <f>H3-H14</f>
        <v>471.00840336134451</v>
      </c>
    </row>
    <row r="23" spans="1:8" ht="15.75" x14ac:dyDescent="0.25">
      <c r="A23" t="s">
        <v>6</v>
      </c>
      <c r="C23" s="8">
        <f>D20</f>
        <v>2950</v>
      </c>
      <c r="E23" t="s">
        <v>10</v>
      </c>
      <c r="H23" s="6">
        <f>C32</f>
        <v>2455.1915966386555</v>
      </c>
    </row>
    <row r="25" spans="1:8" ht="15.75" x14ac:dyDescent="0.25">
      <c r="A25" t="s">
        <v>5</v>
      </c>
      <c r="B25" s="9" t="s">
        <v>7</v>
      </c>
      <c r="C25" s="8">
        <f>H20</f>
        <v>471.00840336134451</v>
      </c>
      <c r="E25" s="13" t="s">
        <v>11</v>
      </c>
      <c r="F25" s="9" t="s">
        <v>181</v>
      </c>
      <c r="G25" s="15" t="s">
        <v>17</v>
      </c>
      <c r="H25" s="3">
        <f>-(F26*0.0077)</f>
        <v>-38.5</v>
      </c>
    </row>
    <row r="26" spans="1:8" x14ac:dyDescent="0.25">
      <c r="F26" s="21">
        <f>D3-H3</f>
        <v>5000</v>
      </c>
    </row>
    <row r="27" spans="1:8" ht="15.75" x14ac:dyDescent="0.25">
      <c r="A27" t="s">
        <v>8</v>
      </c>
      <c r="B27" s="9" t="s">
        <v>7</v>
      </c>
      <c r="C27" s="8">
        <f>D3*0.004</f>
        <v>23.8</v>
      </c>
      <c r="F27" s="9" t="s">
        <v>13</v>
      </c>
      <c r="G27" s="16">
        <v>0.35</v>
      </c>
      <c r="H27" s="29">
        <f>-(F28*0.35)</f>
        <v>-859.31705882352935</v>
      </c>
    </row>
    <row r="28" spans="1:8" ht="15.75" thickBot="1" x14ac:dyDescent="0.3">
      <c r="F28" s="21">
        <f>H23</f>
        <v>2455.1915966386555</v>
      </c>
      <c r="H28" s="7"/>
    </row>
    <row r="29" spans="1:8" x14ac:dyDescent="0.25">
      <c r="A29" t="s">
        <v>9</v>
      </c>
      <c r="B29" s="9" t="s">
        <v>7</v>
      </c>
      <c r="C29" s="6"/>
      <c r="G29" s="13" t="s">
        <v>14</v>
      </c>
      <c r="H29" s="6">
        <f>H23+H25+H27</f>
        <v>1557.3745378151261</v>
      </c>
    </row>
    <row r="30" spans="1:8" ht="15.75" thickBot="1" x14ac:dyDescent="0.3">
      <c r="A30" s="16"/>
      <c r="B30" s="16"/>
      <c r="C30" s="7"/>
    </row>
    <row r="31" spans="1:8" x14ac:dyDescent="0.25">
      <c r="E31" t="s">
        <v>151</v>
      </c>
      <c r="H31" s="20">
        <f>H29*0.5</f>
        <v>778.68726890756307</v>
      </c>
    </row>
    <row r="32" spans="1:8" ht="15.75" x14ac:dyDescent="0.25">
      <c r="A32" t="s">
        <v>10</v>
      </c>
      <c r="C32" s="10">
        <f>C23-C25-C27-C29</f>
        <v>2455.1915966386555</v>
      </c>
      <c r="H32" s="18"/>
    </row>
    <row r="33" spans="8:8" x14ac:dyDescent="0.25">
      <c r="H33" s="3"/>
    </row>
    <row r="34" spans="8:8" x14ac:dyDescent="0.25">
      <c r="H34" s="18"/>
    </row>
  </sheetData>
  <pageMargins left="0.7" right="0.7" top="0.75" bottom="0.75" header="0.3" footer="0.3"/>
</worksheet>
</file>

<file path=xl/worksheets/sheet4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EED04-AFCD-4FD8-A75B-F769D36D7D45}">
  <dimension ref="A1:H34"/>
  <sheetViews>
    <sheetView workbookViewId="0">
      <selection sqref="A1:XFD1048576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568</v>
      </c>
    </row>
    <row r="3" spans="1:8" ht="21" x14ac:dyDescent="0.35">
      <c r="A3" s="2" t="s">
        <v>1</v>
      </c>
      <c r="D3" s="11">
        <v>6492640</v>
      </c>
      <c r="F3" s="12" t="s">
        <v>3</v>
      </c>
      <c r="H3" s="4">
        <f>(D3/1.19)*0.19</f>
        <v>1036640</v>
      </c>
    </row>
    <row r="4" spans="1:8" x14ac:dyDescent="0.25">
      <c r="A4" s="13" t="s">
        <v>32</v>
      </c>
      <c r="C4" s="26">
        <v>1080</v>
      </c>
    </row>
    <row r="5" spans="1:8" ht="21" x14ac:dyDescent="0.35">
      <c r="A5" s="2" t="s">
        <v>2</v>
      </c>
    </row>
    <row r="7" spans="1:8" ht="18.75" x14ac:dyDescent="0.3">
      <c r="A7" s="5" t="s">
        <v>751</v>
      </c>
      <c r="D7" s="4">
        <v>5222020</v>
      </c>
      <c r="E7" s="25"/>
      <c r="H7" s="4">
        <f t="shared" ref="H7:H12" si="0">(D7/1.19)*0.19</f>
        <v>833767.89915966394</v>
      </c>
    </row>
    <row r="8" spans="1:8" ht="18.75" x14ac:dyDescent="0.3">
      <c r="A8" s="5" t="s">
        <v>750</v>
      </c>
      <c r="C8" s="3"/>
      <c r="D8" s="32">
        <v>100000</v>
      </c>
      <c r="E8" s="25"/>
      <c r="H8" s="4"/>
    </row>
    <row r="9" spans="1:8" ht="18.75" x14ac:dyDescent="0.3">
      <c r="A9" s="5"/>
      <c r="C9" s="3"/>
      <c r="D9" s="28"/>
      <c r="E9" s="25"/>
      <c r="H9" s="4">
        <f t="shared" si="0"/>
        <v>0</v>
      </c>
    </row>
    <row r="10" spans="1:8" ht="18.75" x14ac:dyDescent="0.3">
      <c r="A10" s="5"/>
      <c r="C10" s="3"/>
      <c r="D10" s="28"/>
      <c r="E10" s="25"/>
      <c r="H10" s="4">
        <f t="shared" si="0"/>
        <v>0</v>
      </c>
    </row>
    <row r="11" spans="1:8" ht="18.75" x14ac:dyDescent="0.3">
      <c r="A11" s="5"/>
      <c r="C11" s="3"/>
      <c r="D11" s="28"/>
      <c r="E11" s="25"/>
      <c r="H11" s="4">
        <f t="shared" si="0"/>
        <v>0</v>
      </c>
    </row>
    <row r="12" spans="1:8" ht="18.75" x14ac:dyDescent="0.3">
      <c r="A12" s="5"/>
      <c r="C12" s="3"/>
      <c r="D12" s="28"/>
      <c r="E12" s="25"/>
      <c r="H12" s="4">
        <f t="shared" si="0"/>
        <v>0</v>
      </c>
    </row>
    <row r="13" spans="1:8" ht="19.5" thickBot="1" x14ac:dyDescent="0.35">
      <c r="A13" s="5"/>
      <c r="C13" s="3"/>
      <c r="D13" s="22"/>
      <c r="E13" s="25"/>
      <c r="H13" s="22">
        <v>0</v>
      </c>
    </row>
    <row r="14" spans="1:8" ht="18.75" customHeight="1" x14ac:dyDescent="0.3">
      <c r="D14" s="4">
        <f>SUM(D7:D13)</f>
        <v>5322020</v>
      </c>
      <c r="H14" s="4">
        <f>SUM(H7:H13)</f>
        <v>833767.89915966394</v>
      </c>
    </row>
    <row r="15" spans="1:8" ht="18.75" x14ac:dyDescent="0.3">
      <c r="A15" s="5"/>
      <c r="C15" s="3"/>
      <c r="D15" s="4"/>
      <c r="H15" s="4"/>
    </row>
    <row r="17" spans="1:8" ht="18.75" x14ac:dyDescent="0.3">
      <c r="A17" s="5"/>
      <c r="C17" s="3"/>
      <c r="D17" s="4"/>
      <c r="H17" s="4"/>
    </row>
    <row r="18" spans="1:8" ht="15.75" thickBot="1" x14ac:dyDescent="0.3">
      <c r="D18" s="7"/>
      <c r="H18" s="7"/>
    </row>
    <row r="20" spans="1:8" ht="18.75" x14ac:dyDescent="0.3">
      <c r="C20" t="s">
        <v>4</v>
      </c>
      <c r="D20" s="4">
        <f>D3-D14</f>
        <v>1170620</v>
      </c>
      <c r="G20" t="s">
        <v>5</v>
      </c>
      <c r="H20" s="4">
        <f>H3-H14</f>
        <v>202872.10084033606</v>
      </c>
    </row>
    <row r="23" spans="1:8" ht="15.75" x14ac:dyDescent="0.25">
      <c r="A23" t="s">
        <v>6</v>
      </c>
      <c r="C23" s="8">
        <f>D20</f>
        <v>1170620</v>
      </c>
      <c r="E23" t="s">
        <v>10</v>
      </c>
      <c r="H23" s="6">
        <f>C32</f>
        <v>941777.33915966388</v>
      </c>
    </row>
    <row r="25" spans="1:8" ht="15.75" x14ac:dyDescent="0.25">
      <c r="A25" t="s">
        <v>5</v>
      </c>
      <c r="B25" s="9" t="s">
        <v>7</v>
      </c>
      <c r="C25" s="8">
        <f>H20</f>
        <v>202872.10084033606</v>
      </c>
      <c r="E25" s="13" t="s">
        <v>11</v>
      </c>
      <c r="F25" s="9" t="s">
        <v>181</v>
      </c>
      <c r="G25" s="15" t="s">
        <v>17</v>
      </c>
      <c r="H25" s="3">
        <f>-(F26*0.0077)</f>
        <v>-42011.200000000004</v>
      </c>
    </row>
    <row r="26" spans="1:8" x14ac:dyDescent="0.25">
      <c r="F26" s="21">
        <f>D3-H3</f>
        <v>5456000</v>
      </c>
    </row>
    <row r="27" spans="1:8" ht="15.75" x14ac:dyDescent="0.25">
      <c r="A27" t="s">
        <v>8</v>
      </c>
      <c r="B27" s="9" t="s">
        <v>7</v>
      </c>
      <c r="C27" s="8">
        <f>D3*0.004</f>
        <v>25970.560000000001</v>
      </c>
      <c r="F27" s="9" t="s">
        <v>13</v>
      </c>
      <c r="G27" s="16">
        <v>0.35</v>
      </c>
      <c r="H27" s="29">
        <f>-(F28*0.35)</f>
        <v>-329622.06870588235</v>
      </c>
    </row>
    <row r="28" spans="1:8" ht="15.75" thickBot="1" x14ac:dyDescent="0.3">
      <c r="F28" s="21">
        <f>H23</f>
        <v>941777.33915966388</v>
      </c>
      <c r="H28" s="7"/>
    </row>
    <row r="29" spans="1:8" x14ac:dyDescent="0.25">
      <c r="A29" t="s">
        <v>9</v>
      </c>
      <c r="B29" s="9" t="s">
        <v>7</v>
      </c>
      <c r="C29" s="6"/>
      <c r="G29" s="13" t="s">
        <v>14</v>
      </c>
      <c r="H29" s="6">
        <f>H23+H25+H27</f>
        <v>570144.07045378163</v>
      </c>
    </row>
    <row r="30" spans="1:8" ht="15.75" thickBot="1" x14ac:dyDescent="0.3">
      <c r="A30" s="16"/>
      <c r="B30" s="16"/>
      <c r="C30" s="7"/>
    </row>
    <row r="31" spans="1:8" x14ac:dyDescent="0.25">
      <c r="E31" t="s">
        <v>151</v>
      </c>
      <c r="H31" s="20">
        <f>H29*0.5</f>
        <v>285072.03522689082</v>
      </c>
    </row>
    <row r="32" spans="1:8" ht="15.75" x14ac:dyDescent="0.25">
      <c r="A32" t="s">
        <v>10</v>
      </c>
      <c r="C32" s="10">
        <f>C23-C25-C27-C29</f>
        <v>941777.33915966388</v>
      </c>
      <c r="H32" s="18"/>
    </row>
    <row r="33" spans="8:8" x14ac:dyDescent="0.25">
      <c r="H33" s="3"/>
    </row>
    <row r="34" spans="8:8" x14ac:dyDescent="0.25">
      <c r="H34" s="18"/>
    </row>
  </sheetData>
  <pageMargins left="0.7" right="0.7" top="0.75" bottom="0.75" header="0.3" footer="0.3"/>
</worksheet>
</file>

<file path=xl/worksheets/sheet4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D24B6-D7DB-4783-B158-BC3F17F55269}">
  <dimension ref="A1:H34"/>
  <sheetViews>
    <sheetView workbookViewId="0">
      <selection sqref="A1:XFD1048576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753</v>
      </c>
    </row>
    <row r="3" spans="1:8" ht="21" x14ac:dyDescent="0.35">
      <c r="A3" s="2" t="s">
        <v>1</v>
      </c>
      <c r="D3" s="11">
        <v>95200</v>
      </c>
      <c r="F3" s="12" t="s">
        <v>3</v>
      </c>
      <c r="H3" s="4">
        <f>(D3/1.19)*0.19</f>
        <v>15200</v>
      </c>
    </row>
    <row r="4" spans="1:8" x14ac:dyDescent="0.25">
      <c r="A4" s="13" t="s">
        <v>32</v>
      </c>
      <c r="C4" s="26">
        <v>1082</v>
      </c>
    </row>
    <row r="5" spans="1:8" ht="21" x14ac:dyDescent="0.35">
      <c r="A5" s="2" t="s">
        <v>2</v>
      </c>
    </row>
    <row r="7" spans="1:8" ht="18.75" x14ac:dyDescent="0.3">
      <c r="A7" s="5" t="s">
        <v>221</v>
      </c>
      <c r="D7" s="4">
        <v>55600</v>
      </c>
      <c r="E7" s="25"/>
      <c r="H7" s="4">
        <f t="shared" ref="H7:H12" si="0">(D7/1.19)*0.19</f>
        <v>8877.3109243697472</v>
      </c>
    </row>
    <row r="8" spans="1:8" ht="18.75" x14ac:dyDescent="0.3">
      <c r="A8" s="5"/>
      <c r="C8" s="3"/>
      <c r="D8" s="32"/>
      <c r="E8" s="25"/>
      <c r="H8" s="4"/>
    </row>
    <row r="9" spans="1:8" ht="18.75" x14ac:dyDescent="0.3">
      <c r="A9" s="5"/>
      <c r="C9" s="3"/>
      <c r="D9" s="28"/>
      <c r="E9" s="25"/>
      <c r="H9" s="4">
        <f t="shared" si="0"/>
        <v>0</v>
      </c>
    </row>
    <row r="10" spans="1:8" ht="18.75" x14ac:dyDescent="0.3">
      <c r="A10" s="5"/>
      <c r="C10" s="3"/>
      <c r="D10" s="28"/>
      <c r="E10" s="25"/>
      <c r="H10" s="4">
        <f t="shared" si="0"/>
        <v>0</v>
      </c>
    </row>
    <row r="11" spans="1:8" ht="18.75" x14ac:dyDescent="0.3">
      <c r="A11" s="5"/>
      <c r="C11" s="3"/>
      <c r="D11" s="28"/>
      <c r="E11" s="25"/>
      <c r="H11" s="4">
        <f t="shared" si="0"/>
        <v>0</v>
      </c>
    </row>
    <row r="12" spans="1:8" ht="18.75" x14ac:dyDescent="0.3">
      <c r="A12" s="5"/>
      <c r="C12" s="3"/>
      <c r="D12" s="28"/>
      <c r="E12" s="25"/>
      <c r="H12" s="4">
        <f t="shared" si="0"/>
        <v>0</v>
      </c>
    </row>
    <row r="13" spans="1:8" ht="19.5" thickBot="1" x14ac:dyDescent="0.35">
      <c r="A13" s="5"/>
      <c r="C13" s="3"/>
      <c r="D13" s="22"/>
      <c r="E13" s="25"/>
      <c r="H13" s="22">
        <v>0</v>
      </c>
    </row>
    <row r="14" spans="1:8" ht="18.75" customHeight="1" x14ac:dyDescent="0.3">
      <c r="D14" s="4">
        <f>SUM(D7:D13)</f>
        <v>55600</v>
      </c>
      <c r="H14" s="4">
        <f>SUM(H7:H13)</f>
        <v>8877.3109243697472</v>
      </c>
    </row>
    <row r="15" spans="1:8" ht="18.75" x14ac:dyDescent="0.3">
      <c r="A15" s="5"/>
      <c r="C15" s="3"/>
      <c r="D15" s="4"/>
      <c r="H15" s="4"/>
    </row>
    <row r="17" spans="1:8" ht="18.75" x14ac:dyDescent="0.3">
      <c r="A17" s="5"/>
      <c r="C17" s="3"/>
      <c r="D17" s="4"/>
      <c r="H17" s="4"/>
    </row>
    <row r="18" spans="1:8" ht="15.75" thickBot="1" x14ac:dyDescent="0.3">
      <c r="D18" s="7"/>
      <c r="H18" s="7"/>
    </row>
    <row r="20" spans="1:8" ht="18.75" x14ac:dyDescent="0.3">
      <c r="C20" t="s">
        <v>4</v>
      </c>
      <c r="D20" s="4">
        <f>D3-D14</f>
        <v>39600</v>
      </c>
      <c r="G20" t="s">
        <v>5</v>
      </c>
      <c r="H20" s="4">
        <f>H3-H14</f>
        <v>6322.6890756302528</v>
      </c>
    </row>
    <row r="23" spans="1:8" ht="15.75" x14ac:dyDescent="0.25">
      <c r="A23" t="s">
        <v>6</v>
      </c>
      <c r="C23" s="8">
        <f>D20</f>
        <v>39600</v>
      </c>
      <c r="E23" t="s">
        <v>10</v>
      </c>
      <c r="H23" s="6">
        <f>C32</f>
        <v>32896.510924369744</v>
      </c>
    </row>
    <row r="25" spans="1:8" ht="15.75" x14ac:dyDescent="0.25">
      <c r="A25" t="s">
        <v>5</v>
      </c>
      <c r="B25" s="9" t="s">
        <v>7</v>
      </c>
      <c r="C25" s="8">
        <f>H20</f>
        <v>6322.6890756302528</v>
      </c>
      <c r="E25" s="13" t="s">
        <v>11</v>
      </c>
      <c r="F25" s="9" t="s">
        <v>181</v>
      </c>
      <c r="G25" s="15" t="s">
        <v>17</v>
      </c>
      <c r="H25" s="3">
        <f>-(F26*0.0077)</f>
        <v>-616</v>
      </c>
    </row>
    <row r="26" spans="1:8" x14ac:dyDescent="0.25">
      <c r="F26" s="21">
        <f>D3-H3</f>
        <v>80000</v>
      </c>
    </row>
    <row r="27" spans="1:8" ht="15.75" x14ac:dyDescent="0.25">
      <c r="A27" t="s">
        <v>8</v>
      </c>
      <c r="B27" s="9" t="s">
        <v>7</v>
      </c>
      <c r="C27" s="8">
        <f>D3*0.004</f>
        <v>380.8</v>
      </c>
      <c r="F27" s="9" t="s">
        <v>13</v>
      </c>
      <c r="G27" s="16">
        <v>0.35</v>
      </c>
      <c r="H27" s="29">
        <f>-(F28*0.35)</f>
        <v>-11513.77882352941</v>
      </c>
    </row>
    <row r="28" spans="1:8" ht="15.75" thickBot="1" x14ac:dyDescent="0.3">
      <c r="F28" s="21">
        <f>H23</f>
        <v>32896.510924369744</v>
      </c>
      <c r="H28" s="7"/>
    </row>
    <row r="29" spans="1:8" x14ac:dyDescent="0.25">
      <c r="A29" t="s">
        <v>9</v>
      </c>
      <c r="B29" s="9" t="s">
        <v>7</v>
      </c>
      <c r="C29" s="6"/>
      <c r="G29" s="13" t="s">
        <v>14</v>
      </c>
      <c r="H29" s="6">
        <f>H23+H25+H27</f>
        <v>20766.732100840334</v>
      </c>
    </row>
    <row r="30" spans="1:8" ht="15.75" thickBot="1" x14ac:dyDescent="0.3">
      <c r="A30" s="16"/>
      <c r="B30" s="16"/>
      <c r="C30" s="7"/>
    </row>
    <row r="31" spans="1:8" x14ac:dyDescent="0.25">
      <c r="E31" t="s">
        <v>151</v>
      </c>
      <c r="H31" s="20">
        <f>H29*0.5</f>
        <v>10383.366050420167</v>
      </c>
    </row>
    <row r="32" spans="1:8" ht="15.75" x14ac:dyDescent="0.25">
      <c r="A32" t="s">
        <v>10</v>
      </c>
      <c r="C32" s="10">
        <f>C23-C25-C27-C29</f>
        <v>32896.510924369744</v>
      </c>
      <c r="H32" s="18"/>
    </row>
    <row r="33" spans="8:8" x14ac:dyDescent="0.25">
      <c r="H33" s="3"/>
    </row>
    <row r="34" spans="8:8" x14ac:dyDescent="0.25">
      <c r="H34" s="18"/>
    </row>
  </sheetData>
  <pageMargins left="0.7" right="0.7" top="0.75" bottom="0.75" header="0.3" footer="0.3"/>
</worksheet>
</file>

<file path=xl/worksheets/sheet4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3B473-ED86-42B0-A9BB-17F4691D2C05}">
  <dimension ref="A1:H34"/>
  <sheetViews>
    <sheetView workbookViewId="0">
      <selection sqref="A1:XFD1048576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568</v>
      </c>
    </row>
    <row r="3" spans="1:8" ht="21" x14ac:dyDescent="0.35">
      <c r="A3" s="2" t="s">
        <v>1</v>
      </c>
      <c r="D3" s="11">
        <v>171360</v>
      </c>
      <c r="F3" s="12" t="s">
        <v>3</v>
      </c>
      <c r="H3" s="4">
        <f>(D3/1.19)*0.19</f>
        <v>27360</v>
      </c>
    </row>
    <row r="4" spans="1:8" x14ac:dyDescent="0.25">
      <c r="A4" s="13" t="s">
        <v>32</v>
      </c>
      <c r="C4" s="26">
        <v>1087</v>
      </c>
    </row>
    <row r="5" spans="1:8" ht="21" x14ac:dyDescent="0.35">
      <c r="A5" s="2" t="s">
        <v>2</v>
      </c>
    </row>
    <row r="7" spans="1:8" ht="18.75" x14ac:dyDescent="0.3">
      <c r="A7" s="5" t="s">
        <v>221</v>
      </c>
      <c r="D7" s="4">
        <v>124200</v>
      </c>
      <c r="E7" s="25"/>
      <c r="H7" s="4">
        <f t="shared" ref="H7:H12" si="0">(D7/1.19)*0.19</f>
        <v>19830.252100840338</v>
      </c>
    </row>
    <row r="8" spans="1:8" ht="18.75" x14ac:dyDescent="0.3">
      <c r="A8" s="5"/>
      <c r="C8" s="3"/>
      <c r="D8" s="32"/>
      <c r="E8" s="25"/>
      <c r="H8" s="4"/>
    </row>
    <row r="9" spans="1:8" ht="18.75" x14ac:dyDescent="0.3">
      <c r="A9" s="5"/>
      <c r="C9" s="3"/>
      <c r="D9" s="28"/>
      <c r="E9" s="25"/>
      <c r="H9" s="4">
        <f t="shared" si="0"/>
        <v>0</v>
      </c>
    </row>
    <row r="10" spans="1:8" ht="18.75" x14ac:dyDescent="0.3">
      <c r="A10" s="5"/>
      <c r="C10" s="3"/>
      <c r="D10" s="28"/>
      <c r="E10" s="25"/>
      <c r="H10" s="4">
        <f t="shared" si="0"/>
        <v>0</v>
      </c>
    </row>
    <row r="11" spans="1:8" ht="18.75" x14ac:dyDescent="0.3">
      <c r="A11" s="5"/>
      <c r="C11" s="3"/>
      <c r="D11" s="28"/>
      <c r="E11" s="25"/>
      <c r="H11" s="4">
        <f t="shared" si="0"/>
        <v>0</v>
      </c>
    </row>
    <row r="12" spans="1:8" ht="18.75" x14ac:dyDescent="0.3">
      <c r="A12" s="5"/>
      <c r="C12" s="3"/>
      <c r="D12" s="28"/>
      <c r="E12" s="25"/>
      <c r="H12" s="4">
        <f t="shared" si="0"/>
        <v>0</v>
      </c>
    </row>
    <row r="13" spans="1:8" ht="19.5" thickBot="1" x14ac:dyDescent="0.35">
      <c r="A13" s="5"/>
      <c r="C13" s="3"/>
      <c r="D13" s="22"/>
      <c r="E13" s="25"/>
      <c r="H13" s="22">
        <v>0</v>
      </c>
    </row>
    <row r="14" spans="1:8" ht="18.75" customHeight="1" x14ac:dyDescent="0.3">
      <c r="D14" s="4">
        <f>SUM(D7:D13)</f>
        <v>124200</v>
      </c>
      <c r="H14" s="4">
        <f>SUM(H7:H13)</f>
        <v>19830.252100840338</v>
      </c>
    </row>
    <row r="15" spans="1:8" ht="18.75" x14ac:dyDescent="0.3">
      <c r="A15" s="5"/>
      <c r="C15" s="3"/>
      <c r="D15" s="4"/>
      <c r="H15" s="4"/>
    </row>
    <row r="17" spans="1:8" ht="18.75" x14ac:dyDescent="0.3">
      <c r="A17" s="5"/>
      <c r="C17" s="3"/>
      <c r="D17" s="4"/>
      <c r="H17" s="4"/>
    </row>
    <row r="18" spans="1:8" ht="15.75" thickBot="1" x14ac:dyDescent="0.3">
      <c r="D18" s="7"/>
      <c r="H18" s="7"/>
    </row>
    <row r="20" spans="1:8" ht="18.75" x14ac:dyDescent="0.3">
      <c r="C20" t="s">
        <v>4</v>
      </c>
      <c r="D20" s="4">
        <f>D3-D14</f>
        <v>47160</v>
      </c>
      <c r="G20" t="s">
        <v>5</v>
      </c>
      <c r="H20" s="4">
        <f>H3-H14</f>
        <v>7529.7478991596618</v>
      </c>
    </row>
    <row r="23" spans="1:8" ht="15.75" x14ac:dyDescent="0.25">
      <c r="A23" t="s">
        <v>6</v>
      </c>
      <c r="C23" s="8">
        <f>D20</f>
        <v>47160</v>
      </c>
      <c r="E23" t="s">
        <v>10</v>
      </c>
      <c r="H23" s="6">
        <f>C32</f>
        <v>38944.81210084034</v>
      </c>
    </row>
    <row r="25" spans="1:8" ht="15.75" x14ac:dyDescent="0.25">
      <c r="A25" t="s">
        <v>5</v>
      </c>
      <c r="B25" s="9" t="s">
        <v>7</v>
      </c>
      <c r="C25" s="8">
        <f>H20</f>
        <v>7529.7478991596618</v>
      </c>
      <c r="E25" s="13" t="s">
        <v>11</v>
      </c>
      <c r="F25" s="9" t="s">
        <v>181</v>
      </c>
      <c r="G25" s="15" t="s">
        <v>17</v>
      </c>
      <c r="H25" s="3">
        <f>-(F26*0.0077)</f>
        <v>-1108.8</v>
      </c>
    </row>
    <row r="26" spans="1:8" x14ac:dyDescent="0.25">
      <c r="F26" s="21">
        <f>D3-H3</f>
        <v>144000</v>
      </c>
    </row>
    <row r="27" spans="1:8" ht="15.75" x14ac:dyDescent="0.25">
      <c r="A27" t="s">
        <v>8</v>
      </c>
      <c r="B27" s="9" t="s">
        <v>7</v>
      </c>
      <c r="C27" s="8">
        <f>D3*0.004</f>
        <v>685.44</v>
      </c>
      <c r="F27" s="9" t="s">
        <v>13</v>
      </c>
      <c r="G27" s="16">
        <v>0.35</v>
      </c>
      <c r="H27" s="29">
        <f>-(F28*0.35)</f>
        <v>-13630.684235294118</v>
      </c>
    </row>
    <row r="28" spans="1:8" ht="15.75" thickBot="1" x14ac:dyDescent="0.3">
      <c r="F28" s="21">
        <f>H23</f>
        <v>38944.81210084034</v>
      </c>
      <c r="H28" s="7"/>
    </row>
    <row r="29" spans="1:8" x14ac:dyDescent="0.25">
      <c r="A29" t="s">
        <v>9</v>
      </c>
      <c r="B29" s="9" t="s">
        <v>7</v>
      </c>
      <c r="C29" s="6"/>
      <c r="G29" s="13" t="s">
        <v>14</v>
      </c>
      <c r="H29" s="6">
        <f>H23+H25+H27</f>
        <v>24205.32786554622</v>
      </c>
    </row>
    <row r="30" spans="1:8" ht="15.75" thickBot="1" x14ac:dyDescent="0.3">
      <c r="A30" s="16"/>
      <c r="B30" s="16"/>
      <c r="C30" s="7"/>
    </row>
    <row r="31" spans="1:8" x14ac:dyDescent="0.25">
      <c r="E31" t="s">
        <v>151</v>
      </c>
      <c r="H31" s="20">
        <f>H29*0.5</f>
        <v>12102.66393277311</v>
      </c>
    </row>
    <row r="32" spans="1:8" ht="15.75" x14ac:dyDescent="0.25">
      <c r="A32" t="s">
        <v>10</v>
      </c>
      <c r="C32" s="10">
        <f>C23-C25-C27-C29</f>
        <v>38944.81210084034</v>
      </c>
      <c r="H32" s="18"/>
    </row>
    <row r="33" spans="8:8" x14ac:dyDescent="0.25">
      <c r="H33" s="3"/>
    </row>
    <row r="34" spans="8:8" x14ac:dyDescent="0.25">
      <c r="H34" s="18"/>
    </row>
  </sheetData>
  <pageMargins left="0.7" right="0.7" top="0.75" bottom="0.75" header="0.3" footer="0.3"/>
</worksheet>
</file>

<file path=xl/worksheets/sheet4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2277B-0398-4D01-9E2E-D78173DD4F72}">
  <dimension ref="A1:H34"/>
  <sheetViews>
    <sheetView workbookViewId="0">
      <selection sqref="A1:XFD1048576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490</v>
      </c>
    </row>
    <row r="3" spans="1:8" ht="21" x14ac:dyDescent="0.35">
      <c r="A3" s="2" t="s">
        <v>1</v>
      </c>
      <c r="D3" s="11">
        <v>2846480</v>
      </c>
      <c r="F3" s="12" t="s">
        <v>3</v>
      </c>
      <c r="H3" s="4">
        <f>(D3/1.19)*0.19</f>
        <v>454480</v>
      </c>
    </row>
    <row r="4" spans="1:8" x14ac:dyDescent="0.25">
      <c r="A4" s="13" t="s">
        <v>32</v>
      </c>
      <c r="C4" s="26">
        <v>1090</v>
      </c>
    </row>
    <row r="5" spans="1:8" ht="21" x14ac:dyDescent="0.35">
      <c r="A5" s="2" t="s">
        <v>2</v>
      </c>
    </row>
    <row r="7" spans="1:8" ht="18.75" x14ac:dyDescent="0.3">
      <c r="A7" s="5" t="s">
        <v>221</v>
      </c>
      <c r="D7" s="4">
        <v>1792720</v>
      </c>
      <c r="E7" s="25"/>
      <c r="H7" s="4">
        <f t="shared" ref="H7:H12" si="0">(D7/1.19)*0.19</f>
        <v>286232.60504201683</v>
      </c>
    </row>
    <row r="8" spans="1:8" ht="18.75" x14ac:dyDescent="0.3">
      <c r="A8" s="5"/>
      <c r="C8" s="3"/>
      <c r="D8" s="32"/>
      <c r="E8" s="25"/>
      <c r="H8" s="4"/>
    </row>
    <row r="9" spans="1:8" ht="18.75" x14ac:dyDescent="0.3">
      <c r="A9" s="5"/>
      <c r="C9" s="3"/>
      <c r="D9" s="28"/>
      <c r="E9" s="25"/>
      <c r="H9" s="4">
        <f t="shared" si="0"/>
        <v>0</v>
      </c>
    </row>
    <row r="10" spans="1:8" ht="18.75" x14ac:dyDescent="0.3">
      <c r="A10" s="5"/>
      <c r="C10" s="3"/>
      <c r="D10" s="28"/>
      <c r="E10" s="25"/>
      <c r="H10" s="4">
        <f t="shared" si="0"/>
        <v>0</v>
      </c>
    </row>
    <row r="11" spans="1:8" ht="18.75" x14ac:dyDescent="0.3">
      <c r="A11" s="5"/>
      <c r="C11" s="3"/>
      <c r="D11" s="28"/>
      <c r="E11" s="25"/>
      <c r="H11" s="4">
        <f t="shared" si="0"/>
        <v>0</v>
      </c>
    </row>
    <row r="12" spans="1:8" ht="18.75" x14ac:dyDescent="0.3">
      <c r="A12" s="5"/>
      <c r="C12" s="3"/>
      <c r="D12" s="28"/>
      <c r="E12" s="25"/>
      <c r="H12" s="4">
        <f t="shared" si="0"/>
        <v>0</v>
      </c>
    </row>
    <row r="13" spans="1:8" ht="19.5" thickBot="1" x14ac:dyDescent="0.35">
      <c r="A13" s="5"/>
      <c r="C13" s="3"/>
      <c r="D13" s="22"/>
      <c r="E13" s="25"/>
      <c r="H13" s="22">
        <v>0</v>
      </c>
    </row>
    <row r="14" spans="1:8" ht="18.75" customHeight="1" x14ac:dyDescent="0.3">
      <c r="D14" s="4">
        <f>SUM(D7:D13)</f>
        <v>1792720</v>
      </c>
      <c r="H14" s="4">
        <f>SUM(H7:H13)</f>
        <v>286232.60504201683</v>
      </c>
    </row>
    <row r="15" spans="1:8" ht="18.75" x14ac:dyDescent="0.3">
      <c r="A15" s="5"/>
      <c r="C15" s="3"/>
      <c r="D15" s="4"/>
      <c r="H15" s="4"/>
    </row>
    <row r="17" spans="1:8" ht="18.75" x14ac:dyDescent="0.3">
      <c r="A17" s="5"/>
      <c r="C17" s="3"/>
      <c r="D17" s="4"/>
      <c r="H17" s="4"/>
    </row>
    <row r="18" spans="1:8" ht="15.75" thickBot="1" x14ac:dyDescent="0.3">
      <c r="D18" s="7"/>
      <c r="H18" s="7"/>
    </row>
    <row r="20" spans="1:8" ht="18.75" x14ac:dyDescent="0.3">
      <c r="C20" t="s">
        <v>4</v>
      </c>
      <c r="D20" s="4">
        <f>D3-D14</f>
        <v>1053760</v>
      </c>
      <c r="G20" t="s">
        <v>5</v>
      </c>
      <c r="H20" s="4">
        <f>H3-H14</f>
        <v>168247.39495798317</v>
      </c>
    </row>
    <row r="23" spans="1:8" ht="15.75" x14ac:dyDescent="0.25">
      <c r="A23" t="s">
        <v>6</v>
      </c>
      <c r="C23" s="8">
        <f>D20</f>
        <v>1053760</v>
      </c>
      <c r="E23" t="s">
        <v>10</v>
      </c>
      <c r="H23" s="6">
        <f>C32</f>
        <v>874126.68504201679</v>
      </c>
    </row>
    <row r="25" spans="1:8" ht="15.75" x14ac:dyDescent="0.25">
      <c r="A25" t="s">
        <v>5</v>
      </c>
      <c r="B25" s="9" t="s">
        <v>7</v>
      </c>
      <c r="C25" s="8">
        <f>H20</f>
        <v>168247.39495798317</v>
      </c>
      <c r="E25" s="13" t="s">
        <v>11</v>
      </c>
      <c r="F25" s="9" t="s">
        <v>181</v>
      </c>
      <c r="G25" s="15" t="s">
        <v>17</v>
      </c>
      <c r="H25" s="3">
        <f>-(F26*0.0077)</f>
        <v>-18418.400000000001</v>
      </c>
    </row>
    <row r="26" spans="1:8" x14ac:dyDescent="0.25">
      <c r="F26" s="21">
        <f>D3-H3</f>
        <v>2392000</v>
      </c>
    </row>
    <row r="27" spans="1:8" ht="15.75" x14ac:dyDescent="0.25">
      <c r="A27" t="s">
        <v>8</v>
      </c>
      <c r="B27" s="9" t="s">
        <v>7</v>
      </c>
      <c r="C27" s="8">
        <f>D3*0.004</f>
        <v>11385.92</v>
      </c>
      <c r="F27" s="9" t="s">
        <v>13</v>
      </c>
      <c r="G27" s="16">
        <v>0.35</v>
      </c>
      <c r="H27" s="29">
        <f>-(F28*0.35)</f>
        <v>-305944.33976470586</v>
      </c>
    </row>
    <row r="28" spans="1:8" ht="15.75" thickBot="1" x14ac:dyDescent="0.3">
      <c r="F28" s="21">
        <f>H23</f>
        <v>874126.68504201679</v>
      </c>
      <c r="H28" s="7"/>
    </row>
    <row r="29" spans="1:8" x14ac:dyDescent="0.25">
      <c r="A29" t="s">
        <v>9</v>
      </c>
      <c r="B29" s="9" t="s">
        <v>7</v>
      </c>
      <c r="C29" s="6"/>
      <c r="G29" s="13" t="s">
        <v>14</v>
      </c>
      <c r="H29" s="6">
        <f>H23+H25+H27</f>
        <v>549763.94527731091</v>
      </c>
    </row>
    <row r="30" spans="1:8" ht="15.75" thickBot="1" x14ac:dyDescent="0.3">
      <c r="A30" s="16"/>
      <c r="B30" s="16"/>
      <c r="C30" s="7"/>
    </row>
    <row r="31" spans="1:8" x14ac:dyDescent="0.25">
      <c r="E31" t="s">
        <v>151</v>
      </c>
      <c r="H31" s="20">
        <f>H29*0.5</f>
        <v>274881.97263865545</v>
      </c>
    </row>
    <row r="32" spans="1:8" ht="15.75" x14ac:dyDescent="0.25">
      <c r="A32" t="s">
        <v>10</v>
      </c>
      <c r="C32" s="10">
        <f>C23-C25-C27-C29</f>
        <v>874126.68504201679</v>
      </c>
      <c r="H32" s="18"/>
    </row>
    <row r="33" spans="8:8" x14ac:dyDescent="0.25">
      <c r="H33" s="3"/>
    </row>
    <row r="34" spans="8:8" x14ac:dyDescent="0.25">
      <c r="H34" s="18"/>
    </row>
  </sheetData>
  <pageMargins left="0.7" right="0.7" top="0.75" bottom="0.75" header="0.3" footer="0.3"/>
</worksheet>
</file>

<file path=xl/worksheets/sheet4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E761F-4010-438C-A74B-708A3759F12B}">
  <dimension ref="A1:H34"/>
  <sheetViews>
    <sheetView workbookViewId="0">
      <selection sqref="A1:XFD1048576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754</v>
      </c>
    </row>
    <row r="3" spans="1:8" ht="21" x14ac:dyDescent="0.35">
      <c r="A3" s="2" t="s">
        <v>1</v>
      </c>
      <c r="D3" s="11">
        <v>761328</v>
      </c>
      <c r="F3" s="12" t="s">
        <v>3</v>
      </c>
      <c r="H3" s="4">
        <f>(D3/1.19)*0.19</f>
        <v>121556.57142857145</v>
      </c>
    </row>
    <row r="4" spans="1:8" x14ac:dyDescent="0.25">
      <c r="A4" s="13" t="s">
        <v>32</v>
      </c>
      <c r="C4" s="26">
        <v>1092</v>
      </c>
    </row>
    <row r="5" spans="1:8" ht="21" x14ac:dyDescent="0.35">
      <c r="A5" s="2" t="s">
        <v>2</v>
      </c>
    </row>
    <row r="7" spans="1:8" ht="18.75" x14ac:dyDescent="0.3">
      <c r="A7" s="5" t="s">
        <v>221</v>
      </c>
      <c r="D7" s="4">
        <v>435334</v>
      </c>
      <c r="E7" s="25"/>
      <c r="H7" s="4">
        <f t="shared" ref="H7:H12" si="0">(D7/1.19)*0.19</f>
        <v>69507.109243697472</v>
      </c>
    </row>
    <row r="8" spans="1:8" ht="18.75" x14ac:dyDescent="0.3">
      <c r="A8" s="5"/>
      <c r="C8" s="3"/>
      <c r="D8" s="32"/>
      <c r="E8" s="25"/>
      <c r="H8" s="4"/>
    </row>
    <row r="9" spans="1:8" ht="18.75" x14ac:dyDescent="0.3">
      <c r="A9" s="5"/>
      <c r="C9" s="3"/>
      <c r="D9" s="28"/>
      <c r="E9" s="25"/>
      <c r="H9" s="4">
        <f t="shared" si="0"/>
        <v>0</v>
      </c>
    </row>
    <row r="10" spans="1:8" ht="18.75" x14ac:dyDescent="0.3">
      <c r="A10" s="5"/>
      <c r="C10" s="3"/>
      <c r="D10" s="28"/>
      <c r="E10" s="25"/>
      <c r="H10" s="4">
        <f t="shared" si="0"/>
        <v>0</v>
      </c>
    </row>
    <row r="11" spans="1:8" ht="18.75" x14ac:dyDescent="0.3">
      <c r="A11" s="5"/>
      <c r="C11" s="3"/>
      <c r="D11" s="28"/>
      <c r="E11" s="25"/>
      <c r="H11" s="4">
        <f t="shared" si="0"/>
        <v>0</v>
      </c>
    </row>
    <row r="12" spans="1:8" ht="18.75" x14ac:dyDescent="0.3">
      <c r="A12" s="5"/>
      <c r="C12" s="3"/>
      <c r="D12" s="28"/>
      <c r="E12" s="25"/>
      <c r="H12" s="4">
        <f t="shared" si="0"/>
        <v>0</v>
      </c>
    </row>
    <row r="13" spans="1:8" ht="19.5" thickBot="1" x14ac:dyDescent="0.35">
      <c r="A13" s="5"/>
      <c r="C13" s="3"/>
      <c r="D13" s="22"/>
      <c r="E13" s="25"/>
      <c r="H13" s="22">
        <v>0</v>
      </c>
    </row>
    <row r="14" spans="1:8" ht="18.75" customHeight="1" x14ac:dyDescent="0.3">
      <c r="D14" s="4">
        <f>SUM(D7:D13)</f>
        <v>435334</v>
      </c>
      <c r="H14" s="4">
        <f>SUM(H7:H13)</f>
        <v>69507.109243697472</v>
      </c>
    </row>
    <row r="15" spans="1:8" ht="18.75" x14ac:dyDescent="0.3">
      <c r="A15" s="5"/>
      <c r="C15" s="3"/>
      <c r="D15" s="4"/>
      <c r="H15" s="4"/>
    </row>
    <row r="17" spans="1:8" ht="18.75" x14ac:dyDescent="0.3">
      <c r="A17" s="5"/>
      <c r="C17" s="3"/>
      <c r="D17" s="4"/>
      <c r="H17" s="4"/>
    </row>
    <row r="18" spans="1:8" ht="15.75" thickBot="1" x14ac:dyDescent="0.3">
      <c r="D18" s="7"/>
      <c r="H18" s="7"/>
    </row>
    <row r="20" spans="1:8" ht="18.75" x14ac:dyDescent="0.3">
      <c r="C20" t="s">
        <v>4</v>
      </c>
      <c r="D20" s="4">
        <f>D3-D14</f>
        <v>325994</v>
      </c>
      <c r="G20" t="s">
        <v>5</v>
      </c>
      <c r="H20" s="4">
        <f>H3-H14</f>
        <v>52049.462184873977</v>
      </c>
    </row>
    <row r="23" spans="1:8" ht="15.75" x14ac:dyDescent="0.25">
      <c r="A23" t="s">
        <v>6</v>
      </c>
      <c r="C23" s="8">
        <f>D20</f>
        <v>325994</v>
      </c>
      <c r="E23" t="s">
        <v>10</v>
      </c>
      <c r="H23" s="6">
        <f>C32</f>
        <v>270899.22581512603</v>
      </c>
    </row>
    <row r="25" spans="1:8" ht="15.75" x14ac:dyDescent="0.25">
      <c r="A25" t="s">
        <v>5</v>
      </c>
      <c r="B25" s="9" t="s">
        <v>7</v>
      </c>
      <c r="C25" s="8">
        <f>H20</f>
        <v>52049.462184873977</v>
      </c>
      <c r="E25" s="13" t="s">
        <v>11</v>
      </c>
      <c r="F25" s="9" t="s">
        <v>181</v>
      </c>
      <c r="G25" s="15" t="s">
        <v>17</v>
      </c>
      <c r="H25" s="3">
        <f>-(F26*0.0077)</f>
        <v>-4926.24</v>
      </c>
    </row>
    <row r="26" spans="1:8" x14ac:dyDescent="0.25">
      <c r="F26" s="21">
        <f>D3-H3</f>
        <v>639771.42857142852</v>
      </c>
    </row>
    <row r="27" spans="1:8" ht="15.75" x14ac:dyDescent="0.25">
      <c r="A27" t="s">
        <v>8</v>
      </c>
      <c r="B27" s="9" t="s">
        <v>7</v>
      </c>
      <c r="C27" s="8">
        <f>D3*0.004</f>
        <v>3045.3119999999999</v>
      </c>
      <c r="F27" s="9" t="s">
        <v>13</v>
      </c>
      <c r="G27" s="16">
        <v>0.35</v>
      </c>
      <c r="H27" s="29">
        <f>-(F28*0.35)</f>
        <v>-94814.729035294105</v>
      </c>
    </row>
    <row r="28" spans="1:8" ht="15.75" thickBot="1" x14ac:dyDescent="0.3">
      <c r="F28" s="21">
        <f>H23</f>
        <v>270899.22581512603</v>
      </c>
      <c r="H28" s="7"/>
    </row>
    <row r="29" spans="1:8" x14ac:dyDescent="0.25">
      <c r="A29" t="s">
        <v>9</v>
      </c>
      <c r="B29" s="9" t="s">
        <v>7</v>
      </c>
      <c r="C29" s="6"/>
      <c r="G29" s="13" t="s">
        <v>14</v>
      </c>
      <c r="H29" s="6">
        <f>H23+H25+H27</f>
        <v>171158.25677983195</v>
      </c>
    </row>
    <row r="30" spans="1:8" ht="15.75" thickBot="1" x14ac:dyDescent="0.3">
      <c r="A30" s="16"/>
      <c r="B30" s="16"/>
      <c r="C30" s="7"/>
    </row>
    <row r="31" spans="1:8" x14ac:dyDescent="0.25">
      <c r="E31" t="s">
        <v>151</v>
      </c>
      <c r="H31" s="20">
        <f>H29*0.5</f>
        <v>85579.128389915975</v>
      </c>
    </row>
    <row r="32" spans="1:8" ht="15.75" x14ac:dyDescent="0.25">
      <c r="A32" t="s">
        <v>10</v>
      </c>
      <c r="C32" s="10">
        <f>C23-C25-C27-C29</f>
        <v>270899.22581512603</v>
      </c>
      <c r="H32" s="18"/>
    </row>
    <row r="33" spans="8:8" x14ac:dyDescent="0.25">
      <c r="H33" s="3"/>
    </row>
    <row r="34" spans="8:8" x14ac:dyDescent="0.25">
      <c r="H34" s="18"/>
    </row>
  </sheetData>
  <pageMargins left="0.7" right="0.7" top="0.75" bottom="0.75" header="0.3" footer="0.3"/>
</worksheet>
</file>

<file path=xl/worksheets/sheet4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04582-1F88-4DFC-8EA0-3942A9A5D3D7}">
  <dimension ref="A1:H34"/>
  <sheetViews>
    <sheetView workbookViewId="0">
      <selection sqref="A1:XFD1048576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518</v>
      </c>
    </row>
    <row r="3" spans="1:8" ht="21" x14ac:dyDescent="0.35">
      <c r="A3" s="2" t="s">
        <v>1</v>
      </c>
      <c r="D3" s="11">
        <v>54740</v>
      </c>
      <c r="F3" s="12" t="s">
        <v>3</v>
      </c>
      <c r="H3" s="4">
        <f>(D3/1.19)*0.19</f>
        <v>8740</v>
      </c>
    </row>
    <row r="4" spans="1:8" x14ac:dyDescent="0.25">
      <c r="A4" s="13" t="s">
        <v>32</v>
      </c>
      <c r="C4" s="26">
        <v>1094</v>
      </c>
    </row>
    <row r="5" spans="1:8" ht="21" x14ac:dyDescent="0.35">
      <c r="A5" s="2" t="s">
        <v>2</v>
      </c>
    </row>
    <row r="7" spans="1:8" ht="18.75" x14ac:dyDescent="0.3">
      <c r="A7" s="5" t="s">
        <v>221</v>
      </c>
      <c r="D7" s="4">
        <v>40460</v>
      </c>
      <c r="E7" s="25"/>
      <c r="H7" s="4">
        <f t="shared" ref="H7:H12" si="0">(D7/1.19)*0.19</f>
        <v>6460</v>
      </c>
    </row>
    <row r="8" spans="1:8" ht="18.75" x14ac:dyDescent="0.3">
      <c r="A8" s="5"/>
      <c r="C8" s="3"/>
      <c r="D8" s="32"/>
      <c r="E8" s="25"/>
      <c r="H8" s="4"/>
    </row>
    <row r="9" spans="1:8" ht="18.75" x14ac:dyDescent="0.3">
      <c r="A9" s="5"/>
      <c r="C9" s="3"/>
      <c r="D9" s="28"/>
      <c r="E9" s="25"/>
      <c r="H9" s="4">
        <f t="shared" si="0"/>
        <v>0</v>
      </c>
    </row>
    <row r="10" spans="1:8" ht="18.75" x14ac:dyDescent="0.3">
      <c r="A10" s="5"/>
      <c r="C10" s="3"/>
      <c r="D10" s="28"/>
      <c r="E10" s="25"/>
      <c r="H10" s="4">
        <f t="shared" si="0"/>
        <v>0</v>
      </c>
    </row>
    <row r="11" spans="1:8" ht="18.75" x14ac:dyDescent="0.3">
      <c r="A11" s="5"/>
      <c r="C11" s="3"/>
      <c r="D11" s="28"/>
      <c r="E11" s="25"/>
      <c r="H11" s="4">
        <f t="shared" si="0"/>
        <v>0</v>
      </c>
    </row>
    <row r="12" spans="1:8" ht="18.75" x14ac:dyDescent="0.3">
      <c r="A12" s="5"/>
      <c r="C12" s="3"/>
      <c r="D12" s="28"/>
      <c r="E12" s="25"/>
      <c r="H12" s="4">
        <f t="shared" si="0"/>
        <v>0</v>
      </c>
    </row>
    <row r="13" spans="1:8" ht="19.5" thickBot="1" x14ac:dyDescent="0.35">
      <c r="A13" s="5"/>
      <c r="C13" s="3"/>
      <c r="D13" s="22"/>
      <c r="E13" s="25"/>
      <c r="H13" s="22">
        <v>0</v>
      </c>
    </row>
    <row r="14" spans="1:8" ht="18.75" customHeight="1" x14ac:dyDescent="0.3">
      <c r="D14" s="4">
        <f>SUM(D7:D13)</f>
        <v>40460</v>
      </c>
      <c r="H14" s="4">
        <f>SUM(H7:H13)</f>
        <v>6460</v>
      </c>
    </row>
    <row r="15" spans="1:8" ht="18.75" x14ac:dyDescent="0.3">
      <c r="A15" s="5"/>
      <c r="C15" s="3"/>
      <c r="D15" s="4"/>
      <c r="H15" s="4"/>
    </row>
    <row r="17" spans="1:8" ht="18.75" x14ac:dyDescent="0.3">
      <c r="A17" s="5"/>
      <c r="C17" s="3"/>
      <c r="D17" s="4"/>
      <c r="H17" s="4"/>
    </row>
    <row r="18" spans="1:8" ht="15.75" thickBot="1" x14ac:dyDescent="0.3">
      <c r="D18" s="7"/>
      <c r="H18" s="7"/>
    </row>
    <row r="20" spans="1:8" ht="18.75" x14ac:dyDescent="0.3">
      <c r="C20" t="s">
        <v>4</v>
      </c>
      <c r="D20" s="4">
        <f>D3-D14</f>
        <v>14280</v>
      </c>
      <c r="G20" t="s">
        <v>5</v>
      </c>
      <c r="H20" s="4">
        <f>H3-H14</f>
        <v>2280</v>
      </c>
    </row>
    <row r="23" spans="1:8" ht="15.75" x14ac:dyDescent="0.25">
      <c r="A23" t="s">
        <v>6</v>
      </c>
      <c r="C23" s="8">
        <f>D20</f>
        <v>14280</v>
      </c>
      <c r="E23" t="s">
        <v>10</v>
      </c>
      <c r="H23" s="6">
        <f>C32</f>
        <v>11781.04</v>
      </c>
    </row>
    <row r="25" spans="1:8" ht="15.75" x14ac:dyDescent="0.25">
      <c r="A25" t="s">
        <v>5</v>
      </c>
      <c r="B25" s="9" t="s">
        <v>7</v>
      </c>
      <c r="C25" s="8">
        <f>H20</f>
        <v>2280</v>
      </c>
      <c r="E25" s="13" t="s">
        <v>11</v>
      </c>
      <c r="F25" s="9" t="s">
        <v>181</v>
      </c>
      <c r="G25" s="15" t="s">
        <v>17</v>
      </c>
      <c r="H25" s="3">
        <f>-(F26*0.0077)</f>
        <v>-354.2</v>
      </c>
    </row>
    <row r="26" spans="1:8" x14ac:dyDescent="0.25">
      <c r="F26" s="21">
        <f>D3-H3</f>
        <v>46000</v>
      </c>
    </row>
    <row r="27" spans="1:8" ht="15.75" x14ac:dyDescent="0.25">
      <c r="A27" t="s">
        <v>8</v>
      </c>
      <c r="B27" s="9" t="s">
        <v>7</v>
      </c>
      <c r="C27" s="8">
        <f>D3*0.004</f>
        <v>218.96</v>
      </c>
      <c r="F27" s="9" t="s">
        <v>13</v>
      </c>
      <c r="G27" s="16">
        <v>0.35</v>
      </c>
      <c r="H27" s="29">
        <f>-(F28*0.35)</f>
        <v>-4123.3640000000005</v>
      </c>
    </row>
    <row r="28" spans="1:8" ht="15.75" thickBot="1" x14ac:dyDescent="0.3">
      <c r="F28" s="21">
        <f>H23</f>
        <v>11781.04</v>
      </c>
      <c r="H28" s="7"/>
    </row>
    <row r="29" spans="1:8" x14ac:dyDescent="0.25">
      <c r="A29" t="s">
        <v>9</v>
      </c>
      <c r="B29" s="9" t="s">
        <v>7</v>
      </c>
      <c r="C29" s="6"/>
      <c r="G29" s="13" t="s">
        <v>14</v>
      </c>
      <c r="H29" s="6">
        <f>H23+H25+H27</f>
        <v>7303.4759999999997</v>
      </c>
    </row>
    <row r="30" spans="1:8" ht="15.75" thickBot="1" x14ac:dyDescent="0.3">
      <c r="A30" s="16"/>
      <c r="B30" s="16"/>
      <c r="C30" s="7"/>
    </row>
    <row r="31" spans="1:8" x14ac:dyDescent="0.25">
      <c r="E31" t="s">
        <v>151</v>
      </c>
      <c r="H31" s="20">
        <f>H29*0.5</f>
        <v>3651.7379999999998</v>
      </c>
    </row>
    <row r="32" spans="1:8" ht="15.75" x14ac:dyDescent="0.25">
      <c r="A32" t="s">
        <v>10</v>
      </c>
      <c r="C32" s="10">
        <f>C23-C25-C27-C29</f>
        <v>11781.04</v>
      </c>
      <c r="H32" s="18"/>
    </row>
    <row r="33" spans="8:8" x14ac:dyDescent="0.25">
      <c r="H33" s="3"/>
    </row>
    <row r="34" spans="8:8" x14ac:dyDescent="0.25">
      <c r="H34" s="18"/>
    </row>
  </sheetData>
  <pageMargins left="0.7" right="0.7" top="0.75" bottom="0.75" header="0.3" footer="0.3"/>
</worksheet>
</file>

<file path=xl/worksheets/sheet4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77E7-D94A-41D5-967D-06617750D4F0}">
  <dimension ref="A1:J34"/>
  <sheetViews>
    <sheetView workbookViewId="0">
      <selection sqref="A1:XFD1048576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755</v>
      </c>
    </row>
    <row r="3" spans="1:8" ht="21" x14ac:dyDescent="0.35">
      <c r="A3" s="2" t="s">
        <v>1</v>
      </c>
      <c r="D3" s="11">
        <v>468860</v>
      </c>
      <c r="F3" s="12" t="s">
        <v>3</v>
      </c>
      <c r="H3" s="4">
        <f>(D3/1.19)*0.19</f>
        <v>74860</v>
      </c>
    </row>
    <row r="4" spans="1:8" x14ac:dyDescent="0.25">
      <c r="A4" s="13" t="s">
        <v>32</v>
      </c>
      <c r="C4" s="26">
        <v>1095</v>
      </c>
    </row>
    <row r="5" spans="1:8" ht="21" x14ac:dyDescent="0.35">
      <c r="A5" s="2" t="s">
        <v>2</v>
      </c>
    </row>
    <row r="7" spans="1:8" ht="18.75" x14ac:dyDescent="0.3">
      <c r="A7" s="5" t="s">
        <v>221</v>
      </c>
      <c r="D7" s="4">
        <v>317200</v>
      </c>
      <c r="E7" s="25"/>
      <c r="H7" s="4">
        <f t="shared" ref="H7:H12" si="0">(D7/1.19)*0.19</f>
        <v>50645.378151260506</v>
      </c>
    </row>
    <row r="8" spans="1:8" ht="18.75" x14ac:dyDescent="0.3">
      <c r="A8" s="5"/>
      <c r="C8" s="3"/>
      <c r="D8" s="32"/>
      <c r="E8" s="25"/>
      <c r="H8" s="4"/>
    </row>
    <row r="9" spans="1:8" ht="18.75" x14ac:dyDescent="0.3">
      <c r="A9" s="5"/>
      <c r="C9" s="3"/>
      <c r="D9" s="28"/>
      <c r="E9" s="25"/>
      <c r="H9" s="4">
        <f t="shared" si="0"/>
        <v>0</v>
      </c>
    </row>
    <row r="10" spans="1:8" ht="18.75" x14ac:dyDescent="0.3">
      <c r="A10" s="5"/>
      <c r="C10" s="3"/>
      <c r="D10" s="28"/>
      <c r="E10" s="25"/>
      <c r="H10" s="4">
        <f t="shared" si="0"/>
        <v>0</v>
      </c>
    </row>
    <row r="11" spans="1:8" ht="18.75" x14ac:dyDescent="0.3">
      <c r="A11" s="5"/>
      <c r="C11" s="3"/>
      <c r="D11" s="28"/>
      <c r="E11" s="25"/>
      <c r="H11" s="4">
        <f t="shared" si="0"/>
        <v>0</v>
      </c>
    </row>
    <row r="12" spans="1:8" ht="18.75" x14ac:dyDescent="0.3">
      <c r="A12" s="5"/>
      <c r="C12" s="3"/>
      <c r="D12" s="28"/>
      <c r="E12" s="25"/>
      <c r="H12" s="4">
        <f t="shared" si="0"/>
        <v>0</v>
      </c>
    </row>
    <row r="13" spans="1:8" ht="19.5" thickBot="1" x14ac:dyDescent="0.35">
      <c r="A13" s="5"/>
      <c r="C13" s="3"/>
      <c r="D13" s="22"/>
      <c r="E13" s="25"/>
      <c r="H13" s="22">
        <v>0</v>
      </c>
    </row>
    <row r="14" spans="1:8" ht="18.75" customHeight="1" x14ac:dyDescent="0.3">
      <c r="D14" s="4">
        <f>SUM(D7:D13)</f>
        <v>317200</v>
      </c>
      <c r="H14" s="4">
        <f>SUM(H7:H13)</f>
        <v>50645.378151260506</v>
      </c>
    </row>
    <row r="15" spans="1:8" ht="18.75" x14ac:dyDescent="0.3">
      <c r="A15" s="5"/>
      <c r="C15" s="3"/>
      <c r="D15" s="4"/>
      <c r="H15" s="4"/>
    </row>
    <row r="17" spans="1:8" ht="18.75" x14ac:dyDescent="0.3">
      <c r="A17" s="5"/>
      <c r="C17" s="3"/>
      <c r="D17" s="4"/>
      <c r="H17" s="4"/>
    </row>
    <row r="18" spans="1:8" ht="15.75" thickBot="1" x14ac:dyDescent="0.3">
      <c r="D18" s="7"/>
      <c r="H18" s="7"/>
    </row>
    <row r="20" spans="1:8" ht="18.75" x14ac:dyDescent="0.3">
      <c r="C20" t="s">
        <v>4</v>
      </c>
      <c r="D20" s="4">
        <f>D3-D14</f>
        <v>151660</v>
      </c>
      <c r="G20" t="s">
        <v>5</v>
      </c>
      <c r="H20" s="4">
        <f>H3-H14</f>
        <v>24214.621848739494</v>
      </c>
    </row>
    <row r="23" spans="1:8" ht="15.75" x14ac:dyDescent="0.25">
      <c r="A23" t="s">
        <v>6</v>
      </c>
      <c r="C23" s="8">
        <f>D20</f>
        <v>151660</v>
      </c>
      <c r="E23" t="s">
        <v>10</v>
      </c>
      <c r="H23" s="6">
        <f>C32</f>
        <v>125569.9381512605</v>
      </c>
    </row>
    <row r="25" spans="1:8" ht="15.75" x14ac:dyDescent="0.25">
      <c r="A25" t="s">
        <v>5</v>
      </c>
      <c r="B25" s="9" t="s">
        <v>7</v>
      </c>
      <c r="C25" s="8">
        <f>H20</f>
        <v>24214.621848739494</v>
      </c>
      <c r="E25" s="13" t="s">
        <v>11</v>
      </c>
      <c r="F25" s="9" t="s">
        <v>181</v>
      </c>
      <c r="G25" s="15" t="s">
        <v>17</v>
      </c>
      <c r="H25" s="3">
        <f>-(F26*0.0077)</f>
        <v>-3033.8</v>
      </c>
    </row>
    <row r="26" spans="1:8" x14ac:dyDescent="0.25">
      <c r="F26" s="21">
        <f>D3-H3</f>
        <v>394000</v>
      </c>
    </row>
    <row r="27" spans="1:8" ht="15.75" x14ac:dyDescent="0.25">
      <c r="A27" t="s">
        <v>8</v>
      </c>
      <c r="B27" s="9" t="s">
        <v>7</v>
      </c>
      <c r="C27" s="8">
        <f>D3*0.004</f>
        <v>1875.44</v>
      </c>
      <c r="F27" s="9" t="s">
        <v>13</v>
      </c>
      <c r="G27" s="16">
        <v>0.35</v>
      </c>
      <c r="H27" s="29">
        <f>-(F28*0.35)</f>
        <v>-43949.478352941172</v>
      </c>
    </row>
    <row r="28" spans="1:8" ht="15.75" thickBot="1" x14ac:dyDescent="0.3">
      <c r="F28" s="21">
        <f>H23</f>
        <v>125569.9381512605</v>
      </c>
      <c r="H28" s="7"/>
    </row>
    <row r="29" spans="1:8" x14ac:dyDescent="0.25">
      <c r="A29" t="s">
        <v>9</v>
      </c>
      <c r="B29" s="9" t="s">
        <v>7</v>
      </c>
      <c r="C29" s="6"/>
      <c r="G29" s="13" t="s">
        <v>14</v>
      </c>
      <c r="H29" s="6">
        <f>H23+H25+H27</f>
        <v>78586.659798319335</v>
      </c>
    </row>
    <row r="30" spans="1:8" ht="15.75" thickBot="1" x14ac:dyDescent="0.3">
      <c r="A30" s="16"/>
      <c r="B30" s="16"/>
      <c r="C30" s="7"/>
    </row>
    <row r="31" spans="1:8" x14ac:dyDescent="0.25">
      <c r="E31" t="s">
        <v>151</v>
      </c>
      <c r="H31" s="20">
        <f>H29*0.5</f>
        <v>39293.329899159668</v>
      </c>
    </row>
    <row r="32" spans="1:8" ht="15.75" x14ac:dyDescent="0.25">
      <c r="A32" t="s">
        <v>10</v>
      </c>
      <c r="C32" s="10">
        <f>C23-C25-C27-C29</f>
        <v>125569.9381512605</v>
      </c>
      <c r="H32" s="18"/>
    </row>
    <row r="33" spans="8:10" x14ac:dyDescent="0.25">
      <c r="H33" s="3"/>
      <c r="J33" t="s">
        <v>35</v>
      </c>
    </row>
    <row r="34" spans="8:10" x14ac:dyDescent="0.25">
      <c r="H34" s="18"/>
    </row>
  </sheetData>
  <pageMargins left="0.7" right="0.7" top="0.75" bottom="0.75" header="0.3" footer="0.3"/>
</worksheet>
</file>

<file path=xl/worksheets/sheet4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BC10D-14D0-443C-8F53-5AC133320B1A}">
  <dimension ref="A1:H34"/>
  <sheetViews>
    <sheetView workbookViewId="0">
      <selection sqref="A1:XFD1048576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756</v>
      </c>
    </row>
    <row r="3" spans="1:8" ht="21" x14ac:dyDescent="0.35">
      <c r="A3" s="2" t="s">
        <v>1</v>
      </c>
      <c r="D3" s="11">
        <v>878390</v>
      </c>
      <c r="F3" s="12" t="s">
        <v>3</v>
      </c>
      <c r="H3" s="4">
        <f>(D3/1.19)*0.19</f>
        <v>140247.14285714287</v>
      </c>
    </row>
    <row r="4" spans="1:8" x14ac:dyDescent="0.25">
      <c r="A4" s="13" t="s">
        <v>32</v>
      </c>
      <c r="C4" s="26">
        <v>1097</v>
      </c>
    </row>
    <row r="5" spans="1:8" ht="21" x14ac:dyDescent="0.35">
      <c r="A5" s="2" t="s">
        <v>2</v>
      </c>
    </row>
    <row r="7" spans="1:8" ht="18.75" x14ac:dyDescent="0.3">
      <c r="A7" s="5" t="s">
        <v>221</v>
      </c>
      <c r="D7" s="4">
        <v>375530</v>
      </c>
      <c r="E7" s="25"/>
      <c r="H7" s="4">
        <f t="shared" ref="H7:H12" si="0">(D7/1.19)*0.19</f>
        <v>59958.571428571428</v>
      </c>
    </row>
    <row r="8" spans="1:8" ht="18.75" x14ac:dyDescent="0.3">
      <c r="A8" s="5" t="s">
        <v>472</v>
      </c>
      <c r="C8" s="3"/>
      <c r="D8" s="32">
        <v>250706</v>
      </c>
      <c r="E8" s="25"/>
      <c r="H8" s="4">
        <f t="shared" si="0"/>
        <v>40028.689075630253</v>
      </c>
    </row>
    <row r="9" spans="1:8" ht="18.75" x14ac:dyDescent="0.3">
      <c r="A9" s="5"/>
      <c r="C9" s="3"/>
      <c r="D9" s="28"/>
      <c r="E9" s="25"/>
      <c r="H9" s="4">
        <f t="shared" si="0"/>
        <v>0</v>
      </c>
    </row>
    <row r="10" spans="1:8" ht="18.75" x14ac:dyDescent="0.3">
      <c r="A10" s="5"/>
      <c r="C10" s="3"/>
      <c r="D10" s="28"/>
      <c r="E10" s="25"/>
      <c r="H10" s="4">
        <f t="shared" si="0"/>
        <v>0</v>
      </c>
    </row>
    <row r="11" spans="1:8" ht="18.75" x14ac:dyDescent="0.3">
      <c r="A11" s="5"/>
      <c r="C11" s="3"/>
      <c r="D11" s="28"/>
      <c r="E11" s="25"/>
      <c r="H11" s="4">
        <f t="shared" si="0"/>
        <v>0</v>
      </c>
    </row>
    <row r="12" spans="1:8" ht="18.75" x14ac:dyDescent="0.3">
      <c r="A12" s="5"/>
      <c r="C12" s="3"/>
      <c r="D12" s="28"/>
      <c r="E12" s="25"/>
      <c r="H12" s="4">
        <f t="shared" si="0"/>
        <v>0</v>
      </c>
    </row>
    <row r="13" spans="1:8" ht="19.5" thickBot="1" x14ac:dyDescent="0.35">
      <c r="A13" s="5"/>
      <c r="C13" s="3"/>
      <c r="D13" s="22"/>
      <c r="E13" s="25"/>
      <c r="H13" s="22">
        <v>0</v>
      </c>
    </row>
    <row r="14" spans="1:8" ht="18.75" customHeight="1" x14ac:dyDescent="0.3">
      <c r="D14" s="4">
        <f>SUM(D7:D13)</f>
        <v>626236</v>
      </c>
      <c r="H14" s="4">
        <f>SUM(H7:H13)</f>
        <v>99987.26050420168</v>
      </c>
    </row>
    <row r="15" spans="1:8" ht="18.75" x14ac:dyDescent="0.3">
      <c r="A15" s="5"/>
      <c r="C15" s="3"/>
      <c r="D15" s="4"/>
      <c r="H15" s="4"/>
    </row>
    <row r="17" spans="1:8" ht="18.75" x14ac:dyDescent="0.3">
      <c r="A17" s="5"/>
      <c r="C17" s="3"/>
      <c r="D17" s="4"/>
      <c r="H17" s="4"/>
    </row>
    <row r="18" spans="1:8" ht="15.75" thickBot="1" x14ac:dyDescent="0.3">
      <c r="D18" s="7"/>
      <c r="H18" s="7"/>
    </row>
    <row r="20" spans="1:8" ht="18.75" x14ac:dyDescent="0.3">
      <c r="C20" t="s">
        <v>4</v>
      </c>
      <c r="D20" s="4">
        <f>D3-D14</f>
        <v>252154</v>
      </c>
      <c r="G20" t="s">
        <v>5</v>
      </c>
      <c r="H20" s="4">
        <f>H3-H14</f>
        <v>40259.882352941189</v>
      </c>
    </row>
    <row r="23" spans="1:8" ht="15.75" x14ac:dyDescent="0.25">
      <c r="A23" t="s">
        <v>6</v>
      </c>
      <c r="C23" s="8">
        <f>D20</f>
        <v>252154</v>
      </c>
      <c r="E23" t="s">
        <v>10</v>
      </c>
      <c r="H23" s="6">
        <f>C32</f>
        <v>208380.5576470588</v>
      </c>
    </row>
    <row r="25" spans="1:8" ht="15.75" x14ac:dyDescent="0.25">
      <c r="A25" t="s">
        <v>5</v>
      </c>
      <c r="B25" s="9" t="s">
        <v>7</v>
      </c>
      <c r="C25" s="8">
        <f>H20</f>
        <v>40259.882352941189</v>
      </c>
      <c r="E25" s="13" t="s">
        <v>11</v>
      </c>
      <c r="F25" s="9" t="s">
        <v>181</v>
      </c>
      <c r="G25" s="15" t="s">
        <v>17</v>
      </c>
      <c r="H25" s="3">
        <f>-(F26*0.0077)</f>
        <v>-5683.7000000000007</v>
      </c>
    </row>
    <row r="26" spans="1:8" x14ac:dyDescent="0.25">
      <c r="F26" s="21">
        <f>D3-H3</f>
        <v>738142.85714285716</v>
      </c>
    </row>
    <row r="27" spans="1:8" ht="15.75" x14ac:dyDescent="0.25">
      <c r="A27" t="s">
        <v>8</v>
      </c>
      <c r="B27" s="9" t="s">
        <v>7</v>
      </c>
      <c r="C27" s="8">
        <f>D3*0.004</f>
        <v>3513.56</v>
      </c>
      <c r="F27" s="9" t="s">
        <v>13</v>
      </c>
      <c r="G27" s="16">
        <v>0.35</v>
      </c>
      <c r="H27" s="29">
        <f>-(F28*0.35)</f>
        <v>-72933.195176470574</v>
      </c>
    </row>
    <row r="28" spans="1:8" ht="15.75" thickBot="1" x14ac:dyDescent="0.3">
      <c r="F28" s="21">
        <f>H23</f>
        <v>208380.5576470588</v>
      </c>
      <c r="H28" s="7"/>
    </row>
    <row r="29" spans="1:8" x14ac:dyDescent="0.25">
      <c r="A29" t="s">
        <v>9</v>
      </c>
      <c r="B29" s="9" t="s">
        <v>7</v>
      </c>
      <c r="C29" s="6"/>
      <c r="G29" s="13" t="s">
        <v>14</v>
      </c>
      <c r="H29" s="6">
        <f>H23+H25+H27</f>
        <v>129763.66247058821</v>
      </c>
    </row>
    <row r="30" spans="1:8" ht="15.75" thickBot="1" x14ac:dyDescent="0.3">
      <c r="A30" s="16"/>
      <c r="B30" s="16"/>
      <c r="C30" s="7"/>
    </row>
    <row r="31" spans="1:8" x14ac:dyDescent="0.25">
      <c r="E31" t="s">
        <v>151</v>
      </c>
      <c r="H31" s="20">
        <f>H29*0.5</f>
        <v>64881.831235294107</v>
      </c>
    </row>
    <row r="32" spans="1:8" ht="15.75" x14ac:dyDescent="0.25">
      <c r="A32" t="s">
        <v>10</v>
      </c>
      <c r="C32" s="10">
        <f>C23-C25-C27-C29</f>
        <v>208380.5576470588</v>
      </c>
      <c r="H32" s="18"/>
    </row>
    <row r="33" spans="8:8" x14ac:dyDescent="0.25">
      <c r="H33" s="3"/>
    </row>
    <row r="34" spans="8:8" x14ac:dyDescent="0.25">
      <c r="H34" s="18"/>
    </row>
  </sheetData>
  <pageMargins left="0.7" right="0.7" top="0.75" bottom="0.75" header="0.3" footer="0.3"/>
</worksheet>
</file>

<file path=xl/worksheets/sheet4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8AE99-D81D-42B6-985A-97EBB77B47E7}">
  <dimension ref="A1:H34"/>
  <sheetViews>
    <sheetView workbookViewId="0">
      <selection sqref="A1:XFD1048576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757</v>
      </c>
    </row>
    <row r="3" spans="1:8" ht="21" x14ac:dyDescent="0.35">
      <c r="A3" s="2" t="s">
        <v>1</v>
      </c>
      <c r="D3" s="11">
        <v>195160</v>
      </c>
      <c r="F3" s="12" t="s">
        <v>3</v>
      </c>
      <c r="H3" s="4">
        <f>(D3/1.19)*0.19</f>
        <v>31160</v>
      </c>
    </row>
    <row r="4" spans="1:8" x14ac:dyDescent="0.25">
      <c r="A4" s="13" t="s">
        <v>32</v>
      </c>
      <c r="C4" s="26">
        <v>1098</v>
      </c>
    </row>
    <row r="5" spans="1:8" ht="21" x14ac:dyDescent="0.35">
      <c r="A5" s="2" t="s">
        <v>2</v>
      </c>
    </row>
    <row r="7" spans="1:8" ht="18.75" x14ac:dyDescent="0.3">
      <c r="A7" s="5" t="s">
        <v>221</v>
      </c>
      <c r="D7" s="4">
        <v>133310</v>
      </c>
      <c r="E7" s="25"/>
      <c r="H7" s="4">
        <f t="shared" ref="H7:H12" si="0">(D7/1.19)*0.19</f>
        <v>21284.789915966387</v>
      </c>
    </row>
    <row r="8" spans="1:8" ht="18.75" x14ac:dyDescent="0.3">
      <c r="A8" s="5"/>
      <c r="C8" s="3"/>
      <c r="D8" s="32"/>
      <c r="E8" s="25"/>
      <c r="H8" s="4">
        <f t="shared" si="0"/>
        <v>0</v>
      </c>
    </row>
    <row r="9" spans="1:8" ht="18.75" x14ac:dyDescent="0.3">
      <c r="A9" s="5"/>
      <c r="C9" s="3"/>
      <c r="D9" s="28"/>
      <c r="E9" s="25"/>
      <c r="H9" s="4">
        <f t="shared" si="0"/>
        <v>0</v>
      </c>
    </row>
    <row r="10" spans="1:8" ht="18.75" x14ac:dyDescent="0.3">
      <c r="A10" s="5"/>
      <c r="C10" s="3"/>
      <c r="D10" s="28"/>
      <c r="E10" s="25"/>
      <c r="H10" s="4">
        <f t="shared" si="0"/>
        <v>0</v>
      </c>
    </row>
    <row r="11" spans="1:8" ht="18.75" x14ac:dyDescent="0.3">
      <c r="A11" s="5"/>
      <c r="C11" s="3"/>
      <c r="D11" s="28"/>
      <c r="E11" s="25"/>
      <c r="H11" s="4">
        <f t="shared" si="0"/>
        <v>0</v>
      </c>
    </row>
    <row r="12" spans="1:8" ht="18.75" x14ac:dyDescent="0.3">
      <c r="A12" s="5"/>
      <c r="C12" s="3"/>
      <c r="D12" s="28"/>
      <c r="E12" s="25"/>
      <c r="H12" s="4">
        <f t="shared" si="0"/>
        <v>0</v>
      </c>
    </row>
    <row r="13" spans="1:8" ht="19.5" thickBot="1" x14ac:dyDescent="0.35">
      <c r="A13" s="5"/>
      <c r="C13" s="3"/>
      <c r="D13" s="22"/>
      <c r="E13" s="25"/>
      <c r="H13" s="22">
        <v>0</v>
      </c>
    </row>
    <row r="14" spans="1:8" ht="18.75" customHeight="1" x14ac:dyDescent="0.3">
      <c r="D14" s="4">
        <f>SUM(D7:D13)</f>
        <v>133310</v>
      </c>
      <c r="H14" s="4">
        <f>SUM(H7:H13)</f>
        <v>21284.789915966387</v>
      </c>
    </row>
    <row r="15" spans="1:8" ht="18.75" x14ac:dyDescent="0.3">
      <c r="A15" s="5"/>
      <c r="C15" s="3"/>
      <c r="D15" s="4"/>
      <c r="H15" s="4"/>
    </row>
    <row r="17" spans="1:8" ht="18.75" x14ac:dyDescent="0.3">
      <c r="A17" s="5"/>
      <c r="C17" s="3"/>
      <c r="D17" s="4"/>
      <c r="H17" s="4"/>
    </row>
    <row r="18" spans="1:8" ht="15.75" thickBot="1" x14ac:dyDescent="0.3">
      <c r="D18" s="7"/>
      <c r="H18" s="7"/>
    </row>
    <row r="20" spans="1:8" ht="18.75" x14ac:dyDescent="0.3">
      <c r="C20" t="s">
        <v>4</v>
      </c>
      <c r="D20" s="4">
        <f>D3-D14</f>
        <v>61850</v>
      </c>
      <c r="G20" t="s">
        <v>5</v>
      </c>
      <c r="H20" s="4">
        <f>H3-H14</f>
        <v>9875.2100840336134</v>
      </c>
    </row>
    <row r="23" spans="1:8" ht="15.75" x14ac:dyDescent="0.25">
      <c r="A23" t="s">
        <v>6</v>
      </c>
      <c r="C23" s="8">
        <f>D20</f>
        <v>61850</v>
      </c>
      <c r="E23" t="s">
        <v>10</v>
      </c>
      <c r="H23" s="6">
        <f>C32</f>
        <v>51194.149915966387</v>
      </c>
    </row>
    <row r="25" spans="1:8" ht="15.75" x14ac:dyDescent="0.25">
      <c r="A25" t="s">
        <v>5</v>
      </c>
      <c r="B25" s="9" t="s">
        <v>7</v>
      </c>
      <c r="C25" s="8">
        <f>H20</f>
        <v>9875.2100840336134</v>
      </c>
      <c r="E25" s="13" t="s">
        <v>11</v>
      </c>
      <c r="F25" s="9" t="s">
        <v>181</v>
      </c>
      <c r="G25" s="15" t="s">
        <v>17</v>
      </c>
      <c r="H25" s="3">
        <f>-(F26*0.0077)</f>
        <v>-1262.8</v>
      </c>
    </row>
    <row r="26" spans="1:8" x14ac:dyDescent="0.25">
      <c r="F26" s="21">
        <f>D3-H3</f>
        <v>164000</v>
      </c>
    </row>
    <row r="27" spans="1:8" ht="15.75" x14ac:dyDescent="0.25">
      <c r="A27" t="s">
        <v>8</v>
      </c>
      <c r="B27" s="9" t="s">
        <v>7</v>
      </c>
      <c r="C27" s="8">
        <f>D3*0.004</f>
        <v>780.64</v>
      </c>
      <c r="F27" s="9" t="s">
        <v>13</v>
      </c>
      <c r="G27" s="16">
        <v>0.35</v>
      </c>
      <c r="H27" s="29">
        <f>-(F28*0.35)</f>
        <v>-17917.952470588236</v>
      </c>
    </row>
    <row r="28" spans="1:8" ht="15.75" thickBot="1" x14ac:dyDescent="0.3">
      <c r="F28" s="21">
        <f>H23</f>
        <v>51194.149915966387</v>
      </c>
      <c r="H28" s="7"/>
    </row>
    <row r="29" spans="1:8" x14ac:dyDescent="0.25">
      <c r="A29" t="s">
        <v>9</v>
      </c>
      <c r="B29" s="9" t="s">
        <v>7</v>
      </c>
      <c r="C29" s="6"/>
      <c r="G29" s="13" t="s">
        <v>14</v>
      </c>
      <c r="H29" s="6">
        <f>H23+H25+H27</f>
        <v>32013.397445378148</v>
      </c>
    </row>
    <row r="30" spans="1:8" ht="15.75" thickBot="1" x14ac:dyDescent="0.3">
      <c r="A30" s="16"/>
      <c r="B30" s="16"/>
      <c r="C30" s="7"/>
    </row>
    <row r="31" spans="1:8" x14ac:dyDescent="0.25">
      <c r="E31" t="s">
        <v>151</v>
      </c>
      <c r="H31" s="20">
        <f>H29*0.5</f>
        <v>16006.698722689074</v>
      </c>
    </row>
    <row r="32" spans="1:8" ht="15.75" x14ac:dyDescent="0.25">
      <c r="A32" t="s">
        <v>10</v>
      </c>
      <c r="C32" s="10">
        <f>C23-C25-C27-C29</f>
        <v>51194.149915966387</v>
      </c>
      <c r="H32" s="18"/>
    </row>
    <row r="33" spans="8:8" x14ac:dyDescent="0.25">
      <c r="H33" s="3"/>
    </row>
    <row r="34" spans="8:8" x14ac:dyDescent="0.25">
      <c r="H34" s="18"/>
    </row>
  </sheetData>
  <pageMargins left="0.7" right="0.7" top="0.75" bottom="0.75" header="0.3" footer="0.3"/>
</worksheet>
</file>

<file path=xl/worksheets/sheet4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4E16D-93D0-4D8C-90F9-10BCB1C0712C}">
  <dimension ref="A1:H34"/>
  <sheetViews>
    <sheetView workbookViewId="0">
      <selection sqref="A1:XFD1048576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758</v>
      </c>
    </row>
    <row r="3" spans="1:8" ht="21" x14ac:dyDescent="0.35">
      <c r="A3" s="2" t="s">
        <v>1</v>
      </c>
      <c r="D3" s="11">
        <v>160531</v>
      </c>
      <c r="F3" s="12" t="s">
        <v>3</v>
      </c>
      <c r="H3" s="4">
        <f>(D3/1.19)*0.19</f>
        <v>25631</v>
      </c>
    </row>
    <row r="4" spans="1:8" x14ac:dyDescent="0.25">
      <c r="A4" s="13" t="s">
        <v>32</v>
      </c>
      <c r="C4" s="26">
        <v>1099</v>
      </c>
    </row>
    <row r="5" spans="1:8" ht="21" x14ac:dyDescent="0.35">
      <c r="A5" s="2" t="s">
        <v>2</v>
      </c>
    </row>
    <row r="7" spans="1:8" ht="18.75" x14ac:dyDescent="0.3">
      <c r="A7" s="5" t="s">
        <v>221</v>
      </c>
      <c r="D7" s="4">
        <v>102500</v>
      </c>
      <c r="E7" s="25"/>
      <c r="H7" s="4">
        <f t="shared" ref="H7:H12" si="0">(D7/1.19)*0.19</f>
        <v>16365.546218487396</v>
      </c>
    </row>
    <row r="8" spans="1:8" ht="18.75" x14ac:dyDescent="0.3">
      <c r="A8" s="5"/>
      <c r="C8" s="3"/>
      <c r="D8" s="32"/>
      <c r="E8" s="25"/>
      <c r="H8" s="4">
        <f t="shared" si="0"/>
        <v>0</v>
      </c>
    </row>
    <row r="9" spans="1:8" ht="18.75" x14ac:dyDescent="0.3">
      <c r="A9" s="5"/>
      <c r="C9" s="3"/>
      <c r="D9" s="28"/>
      <c r="E9" s="25"/>
      <c r="H9" s="4">
        <f t="shared" si="0"/>
        <v>0</v>
      </c>
    </row>
    <row r="10" spans="1:8" ht="18.75" x14ac:dyDescent="0.3">
      <c r="A10" s="5"/>
      <c r="C10" s="3"/>
      <c r="D10" s="28"/>
      <c r="E10" s="25"/>
      <c r="H10" s="4">
        <f t="shared" si="0"/>
        <v>0</v>
      </c>
    </row>
    <row r="11" spans="1:8" ht="18.75" x14ac:dyDescent="0.3">
      <c r="A11" s="5"/>
      <c r="C11" s="3"/>
      <c r="D11" s="28"/>
      <c r="E11" s="25"/>
      <c r="H11" s="4">
        <f t="shared" si="0"/>
        <v>0</v>
      </c>
    </row>
    <row r="12" spans="1:8" ht="18.75" x14ac:dyDescent="0.3">
      <c r="A12" s="5"/>
      <c r="C12" s="3"/>
      <c r="D12" s="28"/>
      <c r="E12" s="25"/>
      <c r="H12" s="4">
        <f t="shared" si="0"/>
        <v>0</v>
      </c>
    </row>
    <row r="13" spans="1:8" ht="19.5" thickBot="1" x14ac:dyDescent="0.35">
      <c r="A13" s="5"/>
      <c r="C13" s="3"/>
      <c r="D13" s="22"/>
      <c r="E13" s="25"/>
      <c r="H13" s="22">
        <v>0</v>
      </c>
    </row>
    <row r="14" spans="1:8" ht="18.75" customHeight="1" x14ac:dyDescent="0.3">
      <c r="D14" s="4">
        <f>SUM(D7:D13)</f>
        <v>102500</v>
      </c>
      <c r="H14" s="4">
        <f>SUM(H7:H13)</f>
        <v>16365.546218487396</v>
      </c>
    </row>
    <row r="15" spans="1:8" ht="18.75" x14ac:dyDescent="0.3">
      <c r="A15" s="5"/>
      <c r="C15" s="3"/>
      <c r="D15" s="4"/>
      <c r="H15" s="4"/>
    </row>
    <row r="17" spans="1:8" ht="18.75" x14ac:dyDescent="0.3">
      <c r="A17" s="5"/>
      <c r="C17" s="3"/>
      <c r="D17" s="4"/>
      <c r="H17" s="4"/>
    </row>
    <row r="18" spans="1:8" ht="15.75" thickBot="1" x14ac:dyDescent="0.3">
      <c r="D18" s="7"/>
      <c r="H18" s="7"/>
    </row>
    <row r="20" spans="1:8" ht="18.75" x14ac:dyDescent="0.3">
      <c r="C20" t="s">
        <v>4</v>
      </c>
      <c r="D20" s="4">
        <f>D3-D14</f>
        <v>58031</v>
      </c>
      <c r="G20" t="s">
        <v>5</v>
      </c>
      <c r="H20" s="4">
        <f>H3-H14</f>
        <v>9265.4537815126041</v>
      </c>
    </row>
    <row r="23" spans="1:8" ht="15.75" x14ac:dyDescent="0.25">
      <c r="A23" t="s">
        <v>6</v>
      </c>
      <c r="C23" s="8">
        <f>D20</f>
        <v>58031</v>
      </c>
      <c r="E23" t="s">
        <v>10</v>
      </c>
      <c r="H23" s="6">
        <f>C32</f>
        <v>48123.422218487394</v>
      </c>
    </row>
    <row r="25" spans="1:8" ht="15.75" x14ac:dyDescent="0.25">
      <c r="A25" t="s">
        <v>5</v>
      </c>
      <c r="B25" s="9" t="s">
        <v>7</v>
      </c>
      <c r="C25" s="8">
        <f>H20</f>
        <v>9265.4537815126041</v>
      </c>
      <c r="E25" s="13" t="s">
        <v>11</v>
      </c>
      <c r="F25" s="9" t="s">
        <v>181</v>
      </c>
      <c r="G25" s="15" t="s">
        <v>17</v>
      </c>
      <c r="H25" s="3">
        <f>-(F26*0.0077)</f>
        <v>-1038.73</v>
      </c>
    </row>
    <row r="26" spans="1:8" x14ac:dyDescent="0.25">
      <c r="F26" s="21">
        <f>D3-H3</f>
        <v>134900</v>
      </c>
    </row>
    <row r="27" spans="1:8" ht="15.75" x14ac:dyDescent="0.25">
      <c r="A27" t="s">
        <v>8</v>
      </c>
      <c r="B27" s="9" t="s">
        <v>7</v>
      </c>
      <c r="C27" s="8">
        <f>D3*0.004</f>
        <v>642.12400000000002</v>
      </c>
      <c r="F27" s="9" t="s">
        <v>13</v>
      </c>
      <c r="G27" s="16">
        <v>0.35</v>
      </c>
      <c r="H27" s="29">
        <f>-(F28*0.35)</f>
        <v>-16843.197776470588</v>
      </c>
    </row>
    <row r="28" spans="1:8" ht="15.75" thickBot="1" x14ac:dyDescent="0.3">
      <c r="F28" s="21">
        <f>H23</f>
        <v>48123.422218487394</v>
      </c>
      <c r="H28" s="7"/>
    </row>
    <row r="29" spans="1:8" x14ac:dyDescent="0.25">
      <c r="A29" t="s">
        <v>9</v>
      </c>
      <c r="B29" s="9" t="s">
        <v>7</v>
      </c>
      <c r="C29" s="6"/>
      <c r="G29" s="13" t="s">
        <v>14</v>
      </c>
      <c r="H29" s="6">
        <f>H23+H25+H27</f>
        <v>30241.494442016803</v>
      </c>
    </row>
    <row r="30" spans="1:8" ht="15.75" thickBot="1" x14ac:dyDescent="0.3">
      <c r="A30" s="16"/>
      <c r="B30" s="16"/>
      <c r="C30" s="7"/>
    </row>
    <row r="31" spans="1:8" x14ac:dyDescent="0.25">
      <c r="E31" t="s">
        <v>151</v>
      </c>
      <c r="H31" s="20">
        <f>H29*0.5</f>
        <v>15120.747221008402</v>
      </c>
    </row>
    <row r="32" spans="1:8" ht="15.75" x14ac:dyDescent="0.25">
      <c r="A32" t="s">
        <v>10</v>
      </c>
      <c r="C32" s="10">
        <f>C23-C25-C27-C29</f>
        <v>48123.422218487394</v>
      </c>
      <c r="H32" s="18"/>
    </row>
    <row r="33" spans="8:8" x14ac:dyDescent="0.25">
      <c r="H33" s="3"/>
    </row>
    <row r="34" spans="8:8" x14ac:dyDescent="0.25">
      <c r="H34" s="18"/>
    </row>
  </sheetData>
  <pageMargins left="0.7" right="0.7" top="0.75" bottom="0.75" header="0.3" footer="0.3"/>
</worksheet>
</file>

<file path=xl/worksheets/sheet4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A33DD-F1E6-4613-8B29-D80348128725}">
  <dimension ref="A1:H34"/>
  <sheetViews>
    <sheetView workbookViewId="0">
      <selection sqref="A1:XFD1048576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759</v>
      </c>
    </row>
    <row r="3" spans="1:8" ht="21" x14ac:dyDescent="0.35">
      <c r="A3" s="2" t="s">
        <v>1</v>
      </c>
      <c r="D3" s="11">
        <v>16660</v>
      </c>
      <c r="F3" s="12" t="s">
        <v>3</v>
      </c>
      <c r="H3" s="4">
        <f>(D3/1.19)*0.19</f>
        <v>2660</v>
      </c>
    </row>
    <row r="4" spans="1:8" x14ac:dyDescent="0.25">
      <c r="A4" s="13" t="s">
        <v>32</v>
      </c>
      <c r="C4" s="26">
        <v>1101</v>
      </c>
    </row>
    <row r="5" spans="1:8" ht="21" x14ac:dyDescent="0.35">
      <c r="A5" s="2" t="s">
        <v>2</v>
      </c>
    </row>
    <row r="7" spans="1:8" ht="18.75" x14ac:dyDescent="0.3">
      <c r="A7" s="5" t="s">
        <v>221</v>
      </c>
      <c r="D7" s="4">
        <v>11415</v>
      </c>
      <c r="E7" s="25"/>
      <c r="H7" s="4">
        <f t="shared" ref="H7:H12" si="0">(D7/1.19)*0.19</f>
        <v>1822.5630252100841</v>
      </c>
    </row>
    <row r="8" spans="1:8" ht="18.75" x14ac:dyDescent="0.3">
      <c r="A8" s="5"/>
      <c r="C8" s="3"/>
      <c r="D8" s="32"/>
      <c r="E8" s="25"/>
      <c r="H8" s="4">
        <f t="shared" si="0"/>
        <v>0</v>
      </c>
    </row>
    <row r="9" spans="1:8" ht="18.75" x14ac:dyDescent="0.3">
      <c r="A9" s="5"/>
      <c r="C9" s="3"/>
      <c r="D9" s="28"/>
      <c r="E9" s="25"/>
      <c r="H9" s="4">
        <f t="shared" si="0"/>
        <v>0</v>
      </c>
    </row>
    <row r="10" spans="1:8" ht="18.75" x14ac:dyDescent="0.3">
      <c r="A10" s="5"/>
      <c r="C10" s="3"/>
      <c r="D10" s="28"/>
      <c r="E10" s="25"/>
      <c r="H10" s="4">
        <f t="shared" si="0"/>
        <v>0</v>
      </c>
    </row>
    <row r="11" spans="1:8" ht="18.75" x14ac:dyDescent="0.3">
      <c r="A11" s="5"/>
      <c r="C11" s="3"/>
      <c r="D11" s="28"/>
      <c r="E11" s="25"/>
      <c r="H11" s="4">
        <f t="shared" si="0"/>
        <v>0</v>
      </c>
    </row>
    <row r="12" spans="1:8" ht="18.75" x14ac:dyDescent="0.3">
      <c r="A12" s="5"/>
      <c r="C12" s="3"/>
      <c r="D12" s="28"/>
      <c r="E12" s="25"/>
      <c r="H12" s="4">
        <f t="shared" si="0"/>
        <v>0</v>
      </c>
    </row>
    <row r="13" spans="1:8" ht="19.5" thickBot="1" x14ac:dyDescent="0.35">
      <c r="A13" s="5"/>
      <c r="C13" s="3"/>
      <c r="D13" s="22"/>
      <c r="E13" s="25"/>
      <c r="H13" s="22">
        <v>0</v>
      </c>
    </row>
    <row r="14" spans="1:8" ht="18.75" customHeight="1" x14ac:dyDescent="0.3">
      <c r="D14" s="4">
        <f>SUM(D7:D13)</f>
        <v>11415</v>
      </c>
      <c r="H14" s="4">
        <f>SUM(H7:H13)</f>
        <v>1822.5630252100841</v>
      </c>
    </row>
    <row r="15" spans="1:8" ht="18.75" x14ac:dyDescent="0.3">
      <c r="A15" s="5"/>
      <c r="C15" s="3"/>
      <c r="D15" s="4"/>
      <c r="H15" s="4"/>
    </row>
    <row r="17" spans="1:8" ht="18.75" x14ac:dyDescent="0.3">
      <c r="A17" s="5"/>
      <c r="C17" s="3"/>
      <c r="D17" s="4"/>
      <c r="H17" s="4"/>
    </row>
    <row r="18" spans="1:8" ht="15.75" thickBot="1" x14ac:dyDescent="0.3">
      <c r="D18" s="7"/>
      <c r="H18" s="7"/>
    </row>
    <row r="20" spans="1:8" ht="18.75" x14ac:dyDescent="0.3">
      <c r="C20" t="s">
        <v>4</v>
      </c>
      <c r="D20" s="4">
        <f>D3-D14</f>
        <v>5245</v>
      </c>
      <c r="G20" t="s">
        <v>5</v>
      </c>
      <c r="H20" s="4">
        <f>H3-H14</f>
        <v>837.43697478991589</v>
      </c>
    </row>
    <row r="23" spans="1:8" ht="15.75" x14ac:dyDescent="0.25">
      <c r="A23" t="s">
        <v>6</v>
      </c>
      <c r="C23" s="8">
        <f>D20</f>
        <v>5245</v>
      </c>
      <c r="E23" t="s">
        <v>10</v>
      </c>
      <c r="H23" s="6">
        <f>C32</f>
        <v>4340.9230252100833</v>
      </c>
    </row>
    <row r="25" spans="1:8" ht="15.75" x14ac:dyDescent="0.25">
      <c r="A25" t="s">
        <v>5</v>
      </c>
      <c r="B25" s="9" t="s">
        <v>7</v>
      </c>
      <c r="C25" s="8">
        <f>H20</f>
        <v>837.43697478991589</v>
      </c>
      <c r="E25" s="13" t="s">
        <v>11</v>
      </c>
      <c r="F25" s="9" t="s">
        <v>181</v>
      </c>
      <c r="G25" s="15" t="s">
        <v>17</v>
      </c>
      <c r="H25" s="3">
        <f>-(F26*0.0077)</f>
        <v>-107.8</v>
      </c>
    </row>
    <row r="26" spans="1:8" x14ac:dyDescent="0.25">
      <c r="F26" s="21">
        <f>D3-H3</f>
        <v>14000</v>
      </c>
    </row>
    <row r="27" spans="1:8" ht="15.75" x14ac:dyDescent="0.25">
      <c r="A27" t="s">
        <v>8</v>
      </c>
      <c r="B27" s="9" t="s">
        <v>7</v>
      </c>
      <c r="C27" s="8">
        <f>D3*0.004</f>
        <v>66.64</v>
      </c>
      <c r="F27" s="9" t="s">
        <v>13</v>
      </c>
      <c r="G27" s="16">
        <v>0.35</v>
      </c>
      <c r="H27" s="29">
        <f>-(F28*0.35)</f>
        <v>-1519.323058823529</v>
      </c>
    </row>
    <row r="28" spans="1:8" ht="15.75" thickBot="1" x14ac:dyDescent="0.3">
      <c r="F28" s="21">
        <f>H23</f>
        <v>4340.9230252100833</v>
      </c>
      <c r="H28" s="7"/>
    </row>
    <row r="29" spans="1:8" x14ac:dyDescent="0.25">
      <c r="A29" t="s">
        <v>9</v>
      </c>
      <c r="B29" s="9" t="s">
        <v>7</v>
      </c>
      <c r="C29" s="6"/>
      <c r="G29" s="13" t="s">
        <v>14</v>
      </c>
      <c r="H29" s="6">
        <f>H23+H25+H27</f>
        <v>2713.7999663865539</v>
      </c>
    </row>
    <row r="30" spans="1:8" ht="15.75" thickBot="1" x14ac:dyDescent="0.3">
      <c r="A30" s="16"/>
      <c r="B30" s="16"/>
      <c r="C30" s="7"/>
    </row>
    <row r="31" spans="1:8" x14ac:dyDescent="0.25">
      <c r="E31" t="s">
        <v>151</v>
      </c>
      <c r="H31" s="20">
        <f>H29*0.5</f>
        <v>1356.899983193277</v>
      </c>
    </row>
    <row r="32" spans="1:8" ht="15.75" x14ac:dyDescent="0.25">
      <c r="A32" t="s">
        <v>10</v>
      </c>
      <c r="C32" s="10">
        <f>C23-C25-C27-C29</f>
        <v>4340.9230252100833</v>
      </c>
      <c r="H32" s="18"/>
    </row>
    <row r="33" spans="8:8" x14ac:dyDescent="0.25">
      <c r="H33" s="3"/>
    </row>
    <row r="34" spans="8:8" x14ac:dyDescent="0.25">
      <c r="H34" s="18"/>
    </row>
  </sheetData>
  <pageMargins left="0.7" right="0.7" top="0.75" bottom="0.75" header="0.3" footer="0.3"/>
</worksheet>
</file>

<file path=xl/worksheets/sheet4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D85D6-6D3D-4827-9C2A-6278C322662B}">
  <dimension ref="A1:H34"/>
  <sheetViews>
    <sheetView workbookViewId="0">
      <selection sqref="A1:XFD1048576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760</v>
      </c>
    </row>
    <row r="3" spans="1:8" ht="21" x14ac:dyDescent="0.35">
      <c r="A3" s="2" t="s">
        <v>1</v>
      </c>
      <c r="D3" s="11">
        <v>1845360</v>
      </c>
      <c r="F3" s="12" t="s">
        <v>3</v>
      </c>
      <c r="H3" s="4">
        <f>(D3/1.19)*0.19</f>
        <v>294637.31092436978</v>
      </c>
    </row>
    <row r="4" spans="1:8" x14ac:dyDescent="0.25">
      <c r="A4" s="13" t="s">
        <v>32</v>
      </c>
      <c r="C4" s="26">
        <v>1102</v>
      </c>
    </row>
    <row r="5" spans="1:8" ht="21" x14ac:dyDescent="0.35">
      <c r="A5" s="2" t="s">
        <v>2</v>
      </c>
    </row>
    <row r="7" spans="1:8" ht="18.75" x14ac:dyDescent="0.3">
      <c r="A7" s="5" t="s">
        <v>259</v>
      </c>
      <c r="D7" s="4">
        <v>928200</v>
      </c>
      <c r="E7" s="25"/>
      <c r="H7" s="4">
        <f t="shared" ref="H7:H12" si="0">(D7/1.19)*0.19</f>
        <v>148200</v>
      </c>
    </row>
    <row r="8" spans="1:8" ht="18.75" x14ac:dyDescent="0.3">
      <c r="A8" s="5" t="s">
        <v>141</v>
      </c>
      <c r="C8" s="3"/>
      <c r="D8" s="32">
        <v>50000</v>
      </c>
      <c r="E8" s="25"/>
      <c r="H8" s="4"/>
    </row>
    <row r="9" spans="1:8" ht="18.75" x14ac:dyDescent="0.3">
      <c r="A9" s="5"/>
      <c r="C9" s="3"/>
      <c r="D9" s="28"/>
      <c r="E9" s="25"/>
      <c r="H9" s="4">
        <f t="shared" si="0"/>
        <v>0</v>
      </c>
    </row>
    <row r="10" spans="1:8" ht="18.75" x14ac:dyDescent="0.3">
      <c r="A10" s="5"/>
      <c r="C10" s="3"/>
      <c r="D10" s="28"/>
      <c r="E10" s="25"/>
      <c r="H10" s="4">
        <f t="shared" si="0"/>
        <v>0</v>
      </c>
    </row>
    <row r="11" spans="1:8" ht="18.75" x14ac:dyDescent="0.3">
      <c r="A11" s="5"/>
      <c r="C11" s="3"/>
      <c r="D11" s="28"/>
      <c r="E11" s="25"/>
      <c r="H11" s="4">
        <f t="shared" si="0"/>
        <v>0</v>
      </c>
    </row>
    <row r="12" spans="1:8" ht="18.75" x14ac:dyDescent="0.3">
      <c r="A12" s="5"/>
      <c r="C12" s="3"/>
      <c r="D12" s="28"/>
      <c r="E12" s="25"/>
      <c r="H12" s="4">
        <f t="shared" si="0"/>
        <v>0</v>
      </c>
    </row>
    <row r="13" spans="1:8" ht="19.5" thickBot="1" x14ac:dyDescent="0.35">
      <c r="A13" s="5"/>
      <c r="C13" s="3"/>
      <c r="D13" s="22"/>
      <c r="E13" s="25"/>
      <c r="H13" s="22">
        <v>0</v>
      </c>
    </row>
    <row r="14" spans="1:8" ht="18.75" customHeight="1" x14ac:dyDescent="0.3">
      <c r="D14" s="4">
        <f>SUM(D7:D13)</f>
        <v>978200</v>
      </c>
      <c r="H14" s="4">
        <f>SUM(H7:H13)</f>
        <v>148200</v>
      </c>
    </row>
    <row r="15" spans="1:8" ht="18.75" x14ac:dyDescent="0.3">
      <c r="A15" s="5"/>
      <c r="C15" s="3"/>
      <c r="D15" s="4"/>
      <c r="H15" s="4"/>
    </row>
    <row r="17" spans="1:8" ht="18.75" x14ac:dyDescent="0.3">
      <c r="A17" s="5"/>
      <c r="C17" s="3"/>
      <c r="D17" s="4"/>
      <c r="H17" s="4"/>
    </row>
    <row r="18" spans="1:8" ht="15.75" thickBot="1" x14ac:dyDescent="0.3">
      <c r="D18" s="7"/>
      <c r="H18" s="7"/>
    </row>
    <row r="20" spans="1:8" ht="18.75" x14ac:dyDescent="0.3">
      <c r="C20" t="s">
        <v>4</v>
      </c>
      <c r="D20" s="4">
        <f>D3-D14</f>
        <v>867160</v>
      </c>
      <c r="G20" t="s">
        <v>5</v>
      </c>
      <c r="H20" s="4">
        <f>H3-H14</f>
        <v>146437.31092436978</v>
      </c>
    </row>
    <row r="23" spans="1:8" ht="15.75" x14ac:dyDescent="0.25">
      <c r="A23" t="s">
        <v>6</v>
      </c>
      <c r="C23" s="8">
        <f>D20</f>
        <v>867160</v>
      </c>
      <c r="E23" t="s">
        <v>10</v>
      </c>
      <c r="H23" s="6">
        <f>C32</f>
        <v>713341.24907563021</v>
      </c>
    </row>
    <row r="25" spans="1:8" ht="15.75" x14ac:dyDescent="0.25">
      <c r="A25" t="s">
        <v>5</v>
      </c>
      <c r="B25" s="9" t="s">
        <v>7</v>
      </c>
      <c r="C25" s="8">
        <f>H20</f>
        <v>146437.31092436978</v>
      </c>
      <c r="E25" s="13" t="s">
        <v>11</v>
      </c>
      <c r="F25" s="9" t="s">
        <v>181</v>
      </c>
      <c r="G25" s="15" t="s">
        <v>17</v>
      </c>
      <c r="H25" s="3">
        <f>-(F26*0.0077)</f>
        <v>-11940.564705882352</v>
      </c>
    </row>
    <row r="26" spans="1:8" x14ac:dyDescent="0.25">
      <c r="F26" s="21">
        <f>D3-H3</f>
        <v>1550722.6890756302</v>
      </c>
    </row>
    <row r="27" spans="1:8" ht="15.75" x14ac:dyDescent="0.25">
      <c r="A27" t="s">
        <v>8</v>
      </c>
      <c r="B27" s="9" t="s">
        <v>7</v>
      </c>
      <c r="C27" s="8">
        <f>D3*0.004</f>
        <v>7381.4400000000005</v>
      </c>
      <c r="F27" s="9" t="s">
        <v>13</v>
      </c>
      <c r="G27" s="16">
        <v>0.35</v>
      </c>
      <c r="H27" s="29">
        <f>-(F28*0.35)</f>
        <v>-249669.43717647056</v>
      </c>
    </row>
    <row r="28" spans="1:8" ht="15.75" thickBot="1" x14ac:dyDescent="0.3">
      <c r="F28" s="21">
        <f>H23</f>
        <v>713341.24907563021</v>
      </c>
      <c r="H28" s="7"/>
    </row>
    <row r="29" spans="1:8" x14ac:dyDescent="0.25">
      <c r="A29" t="s">
        <v>9</v>
      </c>
      <c r="B29" s="9" t="s">
        <v>7</v>
      </c>
      <c r="C29" s="6"/>
      <c r="G29" s="13" t="s">
        <v>14</v>
      </c>
      <c r="H29" s="6">
        <f>H23+H25+H27</f>
        <v>451731.24719327735</v>
      </c>
    </row>
    <row r="30" spans="1:8" ht="15.75" thickBot="1" x14ac:dyDescent="0.3">
      <c r="A30" s="16"/>
      <c r="B30" s="16"/>
      <c r="C30" s="7"/>
    </row>
    <row r="31" spans="1:8" x14ac:dyDescent="0.25">
      <c r="E31" t="s">
        <v>151</v>
      </c>
      <c r="H31" s="20">
        <f>H29*0.5</f>
        <v>225865.62359663867</v>
      </c>
    </row>
    <row r="32" spans="1:8" ht="15.75" x14ac:dyDescent="0.25">
      <c r="A32" t="s">
        <v>10</v>
      </c>
      <c r="C32" s="10">
        <f>C23-C25-C27-C29</f>
        <v>713341.24907563021</v>
      </c>
      <c r="H32" s="18"/>
    </row>
    <row r="33" spans="8:8" x14ac:dyDescent="0.25">
      <c r="H33" s="3"/>
    </row>
    <row r="34" spans="8:8" x14ac:dyDescent="0.25">
      <c r="H34" s="18"/>
    </row>
  </sheetData>
  <pageMargins left="0.7" right="0.7" top="0.75" bottom="0.75" header="0.3" footer="0.3"/>
</worksheet>
</file>

<file path=xl/worksheets/sheet4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3C9B6-925D-4B01-AA9F-D850C6291473}">
  <dimension ref="A1:H34"/>
  <sheetViews>
    <sheetView workbookViewId="0">
      <selection sqref="A1:XFD1048576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761</v>
      </c>
    </row>
    <row r="3" spans="1:8" ht="21" x14ac:dyDescent="0.35">
      <c r="A3" s="2" t="s">
        <v>1</v>
      </c>
      <c r="D3" s="11">
        <v>338079</v>
      </c>
      <c r="F3" s="12" t="s">
        <v>3</v>
      </c>
      <c r="H3" s="4">
        <f>(D3/1.19)*0.19</f>
        <v>53979</v>
      </c>
    </row>
    <row r="4" spans="1:8" x14ac:dyDescent="0.25">
      <c r="A4" s="13" t="s">
        <v>32</v>
      </c>
      <c r="C4" s="26">
        <v>1103</v>
      </c>
    </row>
    <row r="5" spans="1:8" ht="21" x14ac:dyDescent="0.35">
      <c r="A5" s="2" t="s">
        <v>2</v>
      </c>
    </row>
    <row r="7" spans="1:8" ht="18.75" x14ac:dyDescent="0.3">
      <c r="A7" s="5" t="s">
        <v>221</v>
      </c>
      <c r="D7" s="4">
        <v>260420</v>
      </c>
      <c r="E7" s="25"/>
      <c r="H7" s="4">
        <f t="shared" ref="H7:H12" si="0">(D7/1.19)*0.19</f>
        <v>41579.663865546223</v>
      </c>
    </row>
    <row r="8" spans="1:8" ht="18.75" x14ac:dyDescent="0.3">
      <c r="A8" s="5" t="s">
        <v>762</v>
      </c>
      <c r="C8" s="3"/>
      <c r="D8" s="32">
        <v>10000</v>
      </c>
      <c r="E8" s="25"/>
      <c r="H8" s="4"/>
    </row>
    <row r="9" spans="1:8" ht="18.75" x14ac:dyDescent="0.3">
      <c r="A9" s="5"/>
      <c r="C9" s="3"/>
      <c r="D9" s="28"/>
      <c r="E9" s="25"/>
      <c r="H9" s="4">
        <f t="shared" si="0"/>
        <v>0</v>
      </c>
    </row>
    <row r="10" spans="1:8" ht="18.75" x14ac:dyDescent="0.3">
      <c r="A10" s="5"/>
      <c r="C10" s="3"/>
      <c r="D10" s="28"/>
      <c r="E10" s="25"/>
      <c r="H10" s="4">
        <f t="shared" si="0"/>
        <v>0</v>
      </c>
    </row>
    <row r="11" spans="1:8" ht="18.75" x14ac:dyDescent="0.3">
      <c r="A11" s="5"/>
      <c r="C11" s="3"/>
      <c r="D11" s="28"/>
      <c r="E11" s="25"/>
      <c r="H11" s="4">
        <f t="shared" si="0"/>
        <v>0</v>
      </c>
    </row>
    <row r="12" spans="1:8" ht="18.75" x14ac:dyDescent="0.3">
      <c r="A12" s="5"/>
      <c r="C12" s="3"/>
      <c r="D12" s="28"/>
      <c r="E12" s="25"/>
      <c r="H12" s="4">
        <f t="shared" si="0"/>
        <v>0</v>
      </c>
    </row>
    <row r="13" spans="1:8" ht="19.5" thickBot="1" x14ac:dyDescent="0.35">
      <c r="A13" s="5"/>
      <c r="C13" s="3"/>
      <c r="D13" s="22"/>
      <c r="E13" s="25"/>
      <c r="H13" s="22">
        <v>0</v>
      </c>
    </row>
    <row r="14" spans="1:8" ht="18.75" customHeight="1" x14ac:dyDescent="0.3">
      <c r="D14" s="4">
        <f>SUM(D7:D13)</f>
        <v>270420</v>
      </c>
      <c r="H14" s="4">
        <f>SUM(H7:H13)</f>
        <v>41579.663865546223</v>
      </c>
    </row>
    <row r="15" spans="1:8" ht="18.75" x14ac:dyDescent="0.3">
      <c r="A15" s="5"/>
      <c r="C15" s="3"/>
      <c r="D15" s="4"/>
      <c r="H15" s="4"/>
    </row>
    <row r="17" spans="1:8" ht="18.75" x14ac:dyDescent="0.3">
      <c r="A17" s="5"/>
      <c r="C17" s="3"/>
      <c r="D17" s="4"/>
      <c r="H17" s="4"/>
    </row>
    <row r="18" spans="1:8" ht="15.75" thickBot="1" x14ac:dyDescent="0.3">
      <c r="D18" s="7"/>
      <c r="H18" s="7"/>
    </row>
    <row r="20" spans="1:8" ht="18.75" x14ac:dyDescent="0.3">
      <c r="C20" t="s">
        <v>4</v>
      </c>
      <c r="D20" s="4">
        <f>D3-D14</f>
        <v>67659</v>
      </c>
      <c r="G20" t="s">
        <v>5</v>
      </c>
      <c r="H20" s="4">
        <f>H3-H14</f>
        <v>12399.336134453777</v>
      </c>
    </row>
    <row r="23" spans="1:8" ht="15.75" x14ac:dyDescent="0.25">
      <c r="A23" t="s">
        <v>6</v>
      </c>
      <c r="C23" s="8">
        <f>D20</f>
        <v>67659</v>
      </c>
      <c r="E23" t="s">
        <v>10</v>
      </c>
      <c r="H23" s="6">
        <f>C32</f>
        <v>53907.347865546224</v>
      </c>
    </row>
    <row r="25" spans="1:8" ht="15.75" x14ac:dyDescent="0.25">
      <c r="A25" t="s">
        <v>5</v>
      </c>
      <c r="B25" s="9" t="s">
        <v>7</v>
      </c>
      <c r="C25" s="8">
        <f>H20</f>
        <v>12399.336134453777</v>
      </c>
      <c r="E25" s="13" t="s">
        <v>11</v>
      </c>
      <c r="F25" s="9" t="s">
        <v>181</v>
      </c>
      <c r="G25" s="15" t="s">
        <v>17</v>
      </c>
      <c r="H25" s="3">
        <f>-(F26*0.0077)</f>
        <v>-2187.5700000000002</v>
      </c>
    </row>
    <row r="26" spans="1:8" x14ac:dyDescent="0.25">
      <c r="F26" s="21">
        <f>D3-H3</f>
        <v>284100</v>
      </c>
    </row>
    <row r="27" spans="1:8" ht="15.75" x14ac:dyDescent="0.25">
      <c r="A27" t="s">
        <v>8</v>
      </c>
      <c r="B27" s="9" t="s">
        <v>7</v>
      </c>
      <c r="C27" s="8">
        <f>D3*0.004</f>
        <v>1352.316</v>
      </c>
      <c r="F27" s="9" t="s">
        <v>13</v>
      </c>
      <c r="G27" s="16">
        <v>0.35</v>
      </c>
      <c r="H27" s="29">
        <f>-(F28*0.35)</f>
        <v>-18867.571752941178</v>
      </c>
    </row>
    <row r="28" spans="1:8" ht="15.75" thickBot="1" x14ac:dyDescent="0.3">
      <c r="F28" s="21">
        <f>H23</f>
        <v>53907.347865546224</v>
      </c>
      <c r="H28" s="7"/>
    </row>
    <row r="29" spans="1:8" x14ac:dyDescent="0.25">
      <c r="A29" t="s">
        <v>9</v>
      </c>
      <c r="B29" s="9" t="s">
        <v>7</v>
      </c>
      <c r="C29" s="6"/>
      <c r="G29" s="13" t="s">
        <v>14</v>
      </c>
      <c r="H29" s="6">
        <f>H23+H25+H27</f>
        <v>32852.206112605047</v>
      </c>
    </row>
    <row r="30" spans="1:8" ht="15.75" thickBot="1" x14ac:dyDescent="0.3">
      <c r="A30" s="16"/>
      <c r="B30" s="16"/>
      <c r="C30" s="7"/>
    </row>
    <row r="31" spans="1:8" x14ac:dyDescent="0.25">
      <c r="E31" t="s">
        <v>151</v>
      </c>
      <c r="H31" s="20">
        <f>H29*0.5</f>
        <v>16426.103056302523</v>
      </c>
    </row>
    <row r="32" spans="1:8" ht="15.75" x14ac:dyDescent="0.25">
      <c r="A32" t="s">
        <v>10</v>
      </c>
      <c r="C32" s="10">
        <f>C23-C25-C27-C29</f>
        <v>53907.347865546224</v>
      </c>
      <c r="H32" s="18"/>
    </row>
    <row r="33" spans="8:8" x14ac:dyDescent="0.25">
      <c r="H33" s="3"/>
    </row>
    <row r="34" spans="8:8" x14ac:dyDescent="0.25">
      <c r="H34" s="18"/>
    </row>
  </sheetData>
  <pageMargins left="0.7" right="0.7" top="0.75" bottom="0.75" header="0.3" footer="0.3"/>
</worksheet>
</file>

<file path=xl/worksheets/sheet4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C9759-B23C-45B5-8E1F-D47A8A49AEF7}">
  <dimension ref="A1:H34"/>
  <sheetViews>
    <sheetView workbookViewId="0">
      <selection sqref="A1:XFD1048576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493</v>
      </c>
    </row>
    <row r="3" spans="1:8" ht="21" x14ac:dyDescent="0.35">
      <c r="A3" s="2" t="s">
        <v>1</v>
      </c>
      <c r="D3" s="11">
        <v>192185</v>
      </c>
      <c r="F3" s="12" t="s">
        <v>3</v>
      </c>
      <c r="H3" s="4">
        <f>(D3/1.19)*0.19</f>
        <v>30685</v>
      </c>
    </row>
    <row r="4" spans="1:8" x14ac:dyDescent="0.25">
      <c r="A4" s="13" t="s">
        <v>32</v>
      </c>
      <c r="C4" s="26">
        <v>1104</v>
      </c>
    </row>
    <row r="5" spans="1:8" ht="21" x14ac:dyDescent="0.35">
      <c r="A5" s="2" t="s">
        <v>2</v>
      </c>
    </row>
    <row r="7" spans="1:8" ht="18.75" x14ac:dyDescent="0.3">
      <c r="A7" s="5" t="s">
        <v>221</v>
      </c>
      <c r="D7" s="4">
        <v>131900</v>
      </c>
      <c r="E7" s="25"/>
      <c r="H7" s="4">
        <f t="shared" ref="H7:H12" si="0">(D7/1.19)*0.19</f>
        <v>21059.663865546219</v>
      </c>
    </row>
    <row r="8" spans="1:8" ht="18.75" x14ac:dyDescent="0.3">
      <c r="A8" s="5"/>
      <c r="C8" s="3"/>
      <c r="D8" s="32"/>
      <c r="E8" s="25"/>
      <c r="H8" s="4"/>
    </row>
    <row r="9" spans="1:8" ht="18.75" x14ac:dyDescent="0.3">
      <c r="A9" s="5"/>
      <c r="C9" s="3"/>
      <c r="D9" s="28"/>
      <c r="E9" s="25"/>
      <c r="H9" s="4">
        <f t="shared" si="0"/>
        <v>0</v>
      </c>
    </row>
    <row r="10" spans="1:8" ht="18.75" x14ac:dyDescent="0.3">
      <c r="A10" s="5"/>
      <c r="C10" s="3"/>
      <c r="D10" s="28"/>
      <c r="E10" s="25"/>
      <c r="H10" s="4">
        <f t="shared" si="0"/>
        <v>0</v>
      </c>
    </row>
    <row r="11" spans="1:8" ht="18.75" x14ac:dyDescent="0.3">
      <c r="A11" s="5"/>
      <c r="C11" s="3"/>
      <c r="D11" s="28"/>
      <c r="E11" s="25"/>
      <c r="H11" s="4">
        <f t="shared" si="0"/>
        <v>0</v>
      </c>
    </row>
    <row r="12" spans="1:8" ht="18.75" x14ac:dyDescent="0.3">
      <c r="A12" s="5"/>
      <c r="C12" s="3"/>
      <c r="D12" s="28"/>
      <c r="E12" s="25"/>
      <c r="H12" s="4">
        <f t="shared" si="0"/>
        <v>0</v>
      </c>
    </row>
    <row r="13" spans="1:8" ht="19.5" thickBot="1" x14ac:dyDescent="0.35">
      <c r="A13" s="5"/>
      <c r="C13" s="3"/>
      <c r="D13" s="22"/>
      <c r="E13" s="25"/>
      <c r="H13" s="22">
        <v>0</v>
      </c>
    </row>
    <row r="14" spans="1:8" ht="18.75" customHeight="1" x14ac:dyDescent="0.3">
      <c r="D14" s="4">
        <f>SUM(D7:D13)</f>
        <v>131900</v>
      </c>
      <c r="H14" s="4">
        <f>SUM(H7:H13)</f>
        <v>21059.663865546219</v>
      </c>
    </row>
    <row r="15" spans="1:8" ht="18.75" x14ac:dyDescent="0.3">
      <c r="A15" s="5"/>
      <c r="C15" s="3"/>
      <c r="D15" s="4"/>
      <c r="H15" s="4"/>
    </row>
    <row r="17" spans="1:8" ht="18.75" x14ac:dyDescent="0.3">
      <c r="A17" s="5"/>
      <c r="C17" s="3"/>
      <c r="D17" s="4"/>
      <c r="H17" s="4"/>
    </row>
    <row r="18" spans="1:8" ht="15.75" thickBot="1" x14ac:dyDescent="0.3">
      <c r="D18" s="7"/>
      <c r="H18" s="7"/>
    </row>
    <row r="20" spans="1:8" ht="18.75" x14ac:dyDescent="0.3">
      <c r="C20" t="s">
        <v>4</v>
      </c>
      <c r="D20" s="4">
        <f>D3-D14</f>
        <v>60285</v>
      </c>
      <c r="G20" t="s">
        <v>5</v>
      </c>
      <c r="H20" s="4">
        <f>H3-H14</f>
        <v>9625.3361344537807</v>
      </c>
    </row>
    <row r="23" spans="1:8" ht="15.75" x14ac:dyDescent="0.25">
      <c r="A23" t="s">
        <v>6</v>
      </c>
      <c r="C23" s="8">
        <f>D20</f>
        <v>60285</v>
      </c>
      <c r="E23" t="s">
        <v>10</v>
      </c>
      <c r="H23" s="6">
        <f>C32</f>
        <v>49890.923865546218</v>
      </c>
    </row>
    <row r="25" spans="1:8" ht="15.75" x14ac:dyDescent="0.25">
      <c r="A25" t="s">
        <v>5</v>
      </c>
      <c r="B25" s="9" t="s">
        <v>7</v>
      </c>
      <c r="C25" s="8">
        <f>H20</f>
        <v>9625.3361344537807</v>
      </c>
      <c r="E25" s="13" t="s">
        <v>11</v>
      </c>
      <c r="F25" s="9" t="s">
        <v>181</v>
      </c>
      <c r="G25" s="15" t="s">
        <v>17</v>
      </c>
      <c r="H25" s="3">
        <f>-(F26*0.0077)</f>
        <v>-1243.55</v>
      </c>
    </row>
    <row r="26" spans="1:8" x14ac:dyDescent="0.25">
      <c r="F26" s="21">
        <f>D3-H3</f>
        <v>161500</v>
      </c>
    </row>
    <row r="27" spans="1:8" ht="15.75" x14ac:dyDescent="0.25">
      <c r="A27" t="s">
        <v>8</v>
      </c>
      <c r="B27" s="9" t="s">
        <v>7</v>
      </c>
      <c r="C27" s="8">
        <f>D3*0.004</f>
        <v>768.74</v>
      </c>
      <c r="F27" s="9" t="s">
        <v>13</v>
      </c>
      <c r="G27" s="16">
        <v>0.35</v>
      </c>
      <c r="H27" s="29">
        <f>-(F28*0.35)</f>
        <v>-17461.823352941174</v>
      </c>
    </row>
    <row r="28" spans="1:8" ht="15.75" thickBot="1" x14ac:dyDescent="0.3">
      <c r="F28" s="21">
        <f>H23</f>
        <v>49890.923865546218</v>
      </c>
      <c r="H28" s="7"/>
    </row>
    <row r="29" spans="1:8" x14ac:dyDescent="0.25">
      <c r="A29" t="s">
        <v>9</v>
      </c>
      <c r="B29" s="9" t="s">
        <v>7</v>
      </c>
      <c r="C29" s="6"/>
      <c r="G29" s="13" t="s">
        <v>14</v>
      </c>
      <c r="H29" s="6">
        <f>H23+H25+H27</f>
        <v>31185.550512605041</v>
      </c>
    </row>
    <row r="30" spans="1:8" ht="15.75" thickBot="1" x14ac:dyDescent="0.3">
      <c r="A30" s="16"/>
      <c r="B30" s="16"/>
      <c r="C30" s="7"/>
    </row>
    <row r="31" spans="1:8" x14ac:dyDescent="0.25">
      <c r="E31" t="s">
        <v>151</v>
      </c>
      <c r="H31" s="20">
        <f>H29*0.5</f>
        <v>15592.775256302521</v>
      </c>
    </row>
    <row r="32" spans="1:8" ht="15.75" x14ac:dyDescent="0.25">
      <c r="A32" t="s">
        <v>10</v>
      </c>
      <c r="C32" s="10">
        <f>C23-C25-C27-C29</f>
        <v>49890.923865546218</v>
      </c>
      <c r="H32" s="18"/>
    </row>
    <row r="33" spans="8:8" x14ac:dyDescent="0.25">
      <c r="H33" s="3"/>
    </row>
    <row r="34" spans="8:8" x14ac:dyDescent="0.25">
      <c r="H34" s="18"/>
    </row>
  </sheetData>
  <pageMargins left="0.7" right="0.7" top="0.75" bottom="0.75" header="0.3" footer="0.3"/>
</worksheet>
</file>

<file path=xl/worksheets/sheet4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623E8-43E2-459B-80B7-7EE75E87E8EA}">
  <dimension ref="A1:H34"/>
  <sheetViews>
    <sheetView workbookViewId="0">
      <selection sqref="A1:XFD1048576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763</v>
      </c>
    </row>
    <row r="3" spans="1:8" ht="21" x14ac:dyDescent="0.35">
      <c r="A3" s="2" t="s">
        <v>1</v>
      </c>
      <c r="D3" s="11">
        <v>487281</v>
      </c>
      <c r="F3" s="12" t="s">
        <v>3</v>
      </c>
      <c r="H3" s="4">
        <f>(D3/1.19)*0.19</f>
        <v>77801.168067226899</v>
      </c>
    </row>
    <row r="4" spans="1:8" x14ac:dyDescent="0.25">
      <c r="A4" s="13" t="s">
        <v>32</v>
      </c>
      <c r="C4" s="26">
        <v>1105</v>
      </c>
    </row>
    <row r="5" spans="1:8" ht="21" x14ac:dyDescent="0.35">
      <c r="A5" s="2" t="s">
        <v>2</v>
      </c>
    </row>
    <row r="7" spans="1:8" ht="18.75" x14ac:dyDescent="0.3">
      <c r="A7" s="5" t="s">
        <v>221</v>
      </c>
      <c r="D7" s="4">
        <v>393600</v>
      </c>
      <c r="E7" s="25"/>
      <c r="H7" s="4">
        <f t="shared" ref="H7:H12" si="0">(D7/1.19)*0.19</f>
        <v>62843.697478991598</v>
      </c>
    </row>
    <row r="8" spans="1:8" ht="18.75" x14ac:dyDescent="0.3">
      <c r="A8" s="5"/>
      <c r="C8" s="3"/>
      <c r="D8" s="32"/>
      <c r="E8" s="25"/>
      <c r="H8" s="4"/>
    </row>
    <row r="9" spans="1:8" ht="18.75" x14ac:dyDescent="0.3">
      <c r="A9" s="5"/>
      <c r="C9" s="3"/>
      <c r="D9" s="28"/>
      <c r="E9" s="25"/>
      <c r="H9" s="4">
        <f t="shared" si="0"/>
        <v>0</v>
      </c>
    </row>
    <row r="10" spans="1:8" ht="18.75" x14ac:dyDescent="0.3">
      <c r="A10" s="5"/>
      <c r="C10" s="3"/>
      <c r="D10" s="28"/>
      <c r="E10" s="25"/>
      <c r="H10" s="4">
        <f t="shared" si="0"/>
        <v>0</v>
      </c>
    </row>
    <row r="11" spans="1:8" ht="18.75" x14ac:dyDescent="0.3">
      <c r="A11" s="5"/>
      <c r="C11" s="3"/>
      <c r="D11" s="28"/>
      <c r="E11" s="25"/>
      <c r="H11" s="4">
        <f t="shared" si="0"/>
        <v>0</v>
      </c>
    </row>
    <row r="12" spans="1:8" ht="18.75" x14ac:dyDescent="0.3">
      <c r="A12" s="5"/>
      <c r="C12" s="3"/>
      <c r="D12" s="28"/>
      <c r="E12" s="25"/>
      <c r="H12" s="4">
        <f t="shared" si="0"/>
        <v>0</v>
      </c>
    </row>
    <row r="13" spans="1:8" ht="19.5" thickBot="1" x14ac:dyDescent="0.35">
      <c r="A13" s="5"/>
      <c r="C13" s="3"/>
      <c r="D13" s="22"/>
      <c r="E13" s="25"/>
      <c r="H13" s="22">
        <v>0</v>
      </c>
    </row>
    <row r="14" spans="1:8" ht="18.75" customHeight="1" x14ac:dyDescent="0.3">
      <c r="D14" s="4">
        <f>SUM(D7:D13)</f>
        <v>393600</v>
      </c>
      <c r="H14" s="4">
        <f>SUM(H7:H13)</f>
        <v>62843.697478991598</v>
      </c>
    </row>
    <row r="15" spans="1:8" ht="18.75" x14ac:dyDescent="0.3">
      <c r="A15" s="5"/>
      <c r="C15" s="3"/>
      <c r="D15" s="4"/>
      <c r="H15" s="4"/>
    </row>
    <row r="17" spans="1:8" ht="18.75" x14ac:dyDescent="0.3">
      <c r="A17" s="5"/>
      <c r="C17" s="3"/>
      <c r="D17" s="4"/>
      <c r="H17" s="4"/>
    </row>
    <row r="18" spans="1:8" ht="15.75" thickBot="1" x14ac:dyDescent="0.3">
      <c r="D18" s="7"/>
      <c r="H18" s="7"/>
    </row>
    <row r="20" spans="1:8" ht="18.75" x14ac:dyDescent="0.3">
      <c r="C20" t="s">
        <v>4</v>
      </c>
      <c r="D20" s="4">
        <f>D3-D14</f>
        <v>93681</v>
      </c>
      <c r="G20" t="s">
        <v>5</v>
      </c>
      <c r="H20" s="4">
        <f>H3-H14</f>
        <v>14957.470588235301</v>
      </c>
    </row>
    <row r="23" spans="1:8" ht="15.75" x14ac:dyDescent="0.25">
      <c r="A23" t="s">
        <v>6</v>
      </c>
      <c r="C23" s="8">
        <f>D20</f>
        <v>93681</v>
      </c>
      <c r="E23" t="s">
        <v>10</v>
      </c>
      <c r="H23" s="6">
        <f>C32</f>
        <v>76774.405411764703</v>
      </c>
    </row>
    <row r="25" spans="1:8" ht="15.75" x14ac:dyDescent="0.25">
      <c r="A25" t="s">
        <v>5</v>
      </c>
      <c r="B25" s="9" t="s">
        <v>7</v>
      </c>
      <c r="C25" s="8">
        <f>H20</f>
        <v>14957.470588235301</v>
      </c>
      <c r="E25" s="13" t="s">
        <v>11</v>
      </c>
      <c r="F25" s="9" t="s">
        <v>181</v>
      </c>
      <c r="G25" s="15" t="s">
        <v>17</v>
      </c>
      <c r="H25" s="3">
        <f>-(F26*0.0077)</f>
        <v>-3152.9947058823532</v>
      </c>
    </row>
    <row r="26" spans="1:8" x14ac:dyDescent="0.25">
      <c r="F26" s="21">
        <f>D3-H3</f>
        <v>409479.83193277312</v>
      </c>
    </row>
    <row r="27" spans="1:8" ht="15.75" x14ac:dyDescent="0.25">
      <c r="A27" t="s">
        <v>8</v>
      </c>
      <c r="B27" s="9" t="s">
        <v>7</v>
      </c>
      <c r="C27" s="8">
        <f>D3*0.004</f>
        <v>1949.124</v>
      </c>
      <c r="F27" s="9" t="s">
        <v>13</v>
      </c>
      <c r="G27" s="16">
        <v>0.35</v>
      </c>
      <c r="H27" s="29">
        <f>-(F28*0.35)</f>
        <v>-26871.041894117643</v>
      </c>
    </row>
    <row r="28" spans="1:8" ht="15.75" thickBot="1" x14ac:dyDescent="0.3">
      <c r="F28" s="21">
        <f>H23</f>
        <v>76774.405411764703</v>
      </c>
      <c r="H28" s="7"/>
    </row>
    <row r="29" spans="1:8" x14ac:dyDescent="0.25">
      <c r="A29" t="s">
        <v>9</v>
      </c>
      <c r="B29" s="9" t="s">
        <v>7</v>
      </c>
      <c r="C29" s="6"/>
      <c r="G29" s="13" t="s">
        <v>14</v>
      </c>
      <c r="H29" s="6">
        <f>H23+H25+H27</f>
        <v>46750.368811764696</v>
      </c>
    </row>
    <row r="30" spans="1:8" ht="15.75" thickBot="1" x14ac:dyDescent="0.3">
      <c r="A30" s="16"/>
      <c r="B30" s="16"/>
      <c r="C30" s="7"/>
    </row>
    <row r="31" spans="1:8" x14ac:dyDescent="0.25">
      <c r="E31" t="s">
        <v>151</v>
      </c>
      <c r="H31" s="20">
        <f>H29*0.5</f>
        <v>23375.184405882348</v>
      </c>
    </row>
    <row r="32" spans="1:8" ht="15.75" x14ac:dyDescent="0.25">
      <c r="A32" t="s">
        <v>10</v>
      </c>
      <c r="C32" s="10">
        <f>C23-C25-C27-C29</f>
        <v>76774.405411764703</v>
      </c>
      <c r="H32" s="18"/>
    </row>
    <row r="33" spans="8:8" x14ac:dyDescent="0.25">
      <c r="H33" s="3"/>
    </row>
    <row r="34" spans="8:8" x14ac:dyDescent="0.25">
      <c r="H34" s="18"/>
    </row>
  </sheetData>
  <pageMargins left="0.7" right="0.7" top="0.75" bottom="0.75" header="0.3" footer="0.3"/>
</worksheet>
</file>

<file path=xl/worksheets/sheet4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2E985-9BA0-4086-833B-530B30953592}">
  <dimension ref="A1:H34"/>
  <sheetViews>
    <sheetView workbookViewId="0">
      <selection sqref="A1:XFD1048576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764</v>
      </c>
    </row>
    <row r="3" spans="1:8" ht="21" x14ac:dyDescent="0.35">
      <c r="A3" s="2" t="s">
        <v>1</v>
      </c>
      <c r="D3" s="11">
        <v>27370</v>
      </c>
      <c r="F3" s="12" t="s">
        <v>3</v>
      </c>
      <c r="H3" s="4">
        <f>(D3/1.19)*0.19</f>
        <v>4370</v>
      </c>
    </row>
    <row r="4" spans="1:8" x14ac:dyDescent="0.25">
      <c r="A4" s="13" t="s">
        <v>32</v>
      </c>
      <c r="C4" s="26">
        <v>1107</v>
      </c>
    </row>
    <row r="5" spans="1:8" ht="21" x14ac:dyDescent="0.35">
      <c r="A5" s="2" t="s">
        <v>2</v>
      </c>
    </row>
    <row r="7" spans="1:8" ht="18.75" x14ac:dyDescent="0.3">
      <c r="A7" s="5" t="s">
        <v>221</v>
      </c>
      <c r="D7" s="4">
        <v>14800</v>
      </c>
      <c r="E7" s="25"/>
      <c r="H7" s="4">
        <f t="shared" ref="H7:H12" si="0">(D7/1.19)*0.19</f>
        <v>2363.0252100840335</v>
      </c>
    </row>
    <row r="8" spans="1:8" ht="18.75" x14ac:dyDescent="0.3">
      <c r="A8" s="5"/>
      <c r="C8" s="3"/>
      <c r="D8" s="32"/>
      <c r="E8" s="25"/>
      <c r="H8" s="4"/>
    </row>
    <row r="9" spans="1:8" ht="18.75" x14ac:dyDescent="0.3">
      <c r="A9" s="5"/>
      <c r="C9" s="3"/>
      <c r="D9" s="28"/>
      <c r="E9" s="25"/>
      <c r="H9" s="4">
        <f t="shared" si="0"/>
        <v>0</v>
      </c>
    </row>
    <row r="10" spans="1:8" ht="18.75" x14ac:dyDescent="0.3">
      <c r="A10" s="5"/>
      <c r="C10" s="3"/>
      <c r="D10" s="28"/>
      <c r="E10" s="25"/>
      <c r="H10" s="4">
        <f t="shared" si="0"/>
        <v>0</v>
      </c>
    </row>
    <row r="11" spans="1:8" ht="18.75" x14ac:dyDescent="0.3">
      <c r="A11" s="5"/>
      <c r="C11" s="3"/>
      <c r="D11" s="28"/>
      <c r="E11" s="25"/>
      <c r="H11" s="4">
        <f t="shared" si="0"/>
        <v>0</v>
      </c>
    </row>
    <row r="12" spans="1:8" ht="18.75" x14ac:dyDescent="0.3">
      <c r="A12" s="5"/>
      <c r="C12" s="3"/>
      <c r="D12" s="28"/>
      <c r="E12" s="25"/>
      <c r="H12" s="4">
        <f t="shared" si="0"/>
        <v>0</v>
      </c>
    </row>
    <row r="13" spans="1:8" ht="19.5" thickBot="1" x14ac:dyDescent="0.35">
      <c r="A13" s="5"/>
      <c r="C13" s="3"/>
      <c r="D13" s="22"/>
      <c r="E13" s="25"/>
      <c r="H13" s="22">
        <v>0</v>
      </c>
    </row>
    <row r="14" spans="1:8" ht="18.75" customHeight="1" x14ac:dyDescent="0.3">
      <c r="D14" s="4">
        <f>SUM(D7:D13)</f>
        <v>14800</v>
      </c>
      <c r="H14" s="4">
        <f>SUM(H7:H13)</f>
        <v>2363.0252100840335</v>
      </c>
    </row>
    <row r="15" spans="1:8" ht="18.75" x14ac:dyDescent="0.3">
      <c r="A15" s="5"/>
      <c r="C15" s="3"/>
      <c r="D15" s="4"/>
      <c r="H15" s="4"/>
    </row>
    <row r="17" spans="1:8" ht="18.75" x14ac:dyDescent="0.3">
      <c r="A17" s="5"/>
      <c r="C17" s="3"/>
      <c r="D17" s="4"/>
      <c r="H17" s="4"/>
    </row>
    <row r="18" spans="1:8" ht="15.75" thickBot="1" x14ac:dyDescent="0.3">
      <c r="D18" s="7"/>
      <c r="H18" s="7"/>
    </row>
    <row r="20" spans="1:8" ht="18.75" x14ac:dyDescent="0.3">
      <c r="C20" t="s">
        <v>4</v>
      </c>
      <c r="D20" s="4">
        <f>D3-D14</f>
        <v>12570</v>
      </c>
      <c r="G20" t="s">
        <v>5</v>
      </c>
      <c r="H20" s="4">
        <f>H3-H14</f>
        <v>2006.9747899159665</v>
      </c>
    </row>
    <row r="23" spans="1:8" ht="15.75" x14ac:dyDescent="0.25">
      <c r="A23" t="s">
        <v>6</v>
      </c>
      <c r="C23" s="8">
        <f>D20</f>
        <v>12570</v>
      </c>
      <c r="E23" t="s">
        <v>10</v>
      </c>
      <c r="H23" s="6">
        <f>C32</f>
        <v>10453.545210084034</v>
      </c>
    </row>
    <row r="25" spans="1:8" ht="15.75" x14ac:dyDescent="0.25">
      <c r="A25" t="s">
        <v>5</v>
      </c>
      <c r="B25" s="9" t="s">
        <v>7</v>
      </c>
      <c r="C25" s="8">
        <f>H20</f>
        <v>2006.9747899159665</v>
      </c>
      <c r="E25" s="13" t="s">
        <v>11</v>
      </c>
      <c r="F25" s="9" t="s">
        <v>181</v>
      </c>
      <c r="G25" s="15" t="s">
        <v>17</v>
      </c>
      <c r="H25" s="3">
        <f>-(F26*0.0077)</f>
        <v>-177.1</v>
      </c>
    </row>
    <row r="26" spans="1:8" x14ac:dyDescent="0.25">
      <c r="F26" s="21">
        <f>D3-H3</f>
        <v>23000</v>
      </c>
    </row>
    <row r="27" spans="1:8" ht="15.75" x14ac:dyDescent="0.25">
      <c r="A27" t="s">
        <v>8</v>
      </c>
      <c r="B27" s="9" t="s">
        <v>7</v>
      </c>
      <c r="C27" s="8">
        <f>D3*0.004</f>
        <v>109.48</v>
      </c>
      <c r="F27" s="9" t="s">
        <v>13</v>
      </c>
      <c r="G27" s="16">
        <v>0.35</v>
      </c>
      <c r="H27" s="29">
        <f>-(F28*0.35)</f>
        <v>-3658.7408235294115</v>
      </c>
    </row>
    <row r="28" spans="1:8" ht="15.75" thickBot="1" x14ac:dyDescent="0.3">
      <c r="F28" s="21">
        <f>H23</f>
        <v>10453.545210084034</v>
      </c>
      <c r="H28" s="7"/>
    </row>
    <row r="29" spans="1:8" x14ac:dyDescent="0.25">
      <c r="A29" t="s">
        <v>9</v>
      </c>
      <c r="B29" s="9" t="s">
        <v>7</v>
      </c>
      <c r="C29" s="6"/>
      <c r="G29" s="13" t="s">
        <v>14</v>
      </c>
      <c r="H29" s="6">
        <f>H23+H25+H27</f>
        <v>6617.704386554622</v>
      </c>
    </row>
    <row r="30" spans="1:8" ht="15.75" thickBot="1" x14ac:dyDescent="0.3">
      <c r="A30" s="16"/>
      <c r="B30" s="16"/>
      <c r="C30" s="7"/>
    </row>
    <row r="31" spans="1:8" x14ac:dyDescent="0.25">
      <c r="E31" t="s">
        <v>151</v>
      </c>
      <c r="H31" s="20">
        <f>H29*0.5</f>
        <v>3308.852193277311</v>
      </c>
    </row>
    <row r="32" spans="1:8" ht="15.75" x14ac:dyDescent="0.25">
      <c r="A32" t="s">
        <v>10</v>
      </c>
      <c r="C32" s="10">
        <f>C23-C25-C27-C29</f>
        <v>10453.545210084034</v>
      </c>
      <c r="H32" s="18"/>
    </row>
    <row r="33" spans="8:8" x14ac:dyDescent="0.25">
      <c r="H33" s="3"/>
    </row>
    <row r="34" spans="8:8" x14ac:dyDescent="0.25">
      <c r="H34" s="18"/>
    </row>
  </sheetData>
  <pageMargins left="0.7" right="0.7" top="0.75" bottom="0.75" header="0.3" footer="0.3"/>
</worksheet>
</file>

<file path=xl/worksheets/sheet4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12931-D0D4-4006-8D54-2603013E551A}">
  <dimension ref="A1:H34"/>
  <sheetViews>
    <sheetView workbookViewId="0">
      <selection sqref="A1:XFD1048576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568</v>
      </c>
    </row>
    <row r="3" spans="1:8" ht="21" x14ac:dyDescent="0.35">
      <c r="A3" s="2" t="s">
        <v>1</v>
      </c>
      <c r="D3" s="11">
        <v>232050</v>
      </c>
      <c r="F3" s="12" t="s">
        <v>3</v>
      </c>
      <c r="H3" s="4">
        <f>(D3/1.19)*0.19</f>
        <v>37050</v>
      </c>
    </row>
    <row r="4" spans="1:8" x14ac:dyDescent="0.25">
      <c r="A4" s="13" t="s">
        <v>32</v>
      </c>
      <c r="C4" s="26">
        <v>1108</v>
      </c>
    </row>
    <row r="5" spans="1:8" ht="21" x14ac:dyDescent="0.35">
      <c r="A5" s="2" t="s">
        <v>2</v>
      </c>
    </row>
    <row r="7" spans="1:8" ht="18.75" x14ac:dyDescent="0.3">
      <c r="A7" s="5" t="s">
        <v>221</v>
      </c>
      <c r="D7" s="4">
        <v>128100</v>
      </c>
      <c r="E7" s="25"/>
      <c r="H7" s="4">
        <f t="shared" ref="H7:H12" si="0">(D7/1.19)*0.19</f>
        <v>20452.941176470587</v>
      </c>
    </row>
    <row r="8" spans="1:8" ht="18.75" x14ac:dyDescent="0.3">
      <c r="A8" s="5"/>
      <c r="C8" s="3"/>
      <c r="D8" s="32"/>
      <c r="E8" s="25"/>
      <c r="H8" s="4"/>
    </row>
    <row r="9" spans="1:8" ht="18.75" x14ac:dyDescent="0.3">
      <c r="A9" s="5"/>
      <c r="C9" s="3"/>
      <c r="D9" s="28"/>
      <c r="E9" s="25"/>
      <c r="H9" s="4">
        <f t="shared" si="0"/>
        <v>0</v>
      </c>
    </row>
    <row r="10" spans="1:8" ht="18.75" x14ac:dyDescent="0.3">
      <c r="A10" s="5"/>
      <c r="C10" s="3"/>
      <c r="D10" s="28"/>
      <c r="E10" s="25"/>
      <c r="H10" s="4">
        <f t="shared" si="0"/>
        <v>0</v>
      </c>
    </row>
    <row r="11" spans="1:8" ht="18.75" x14ac:dyDescent="0.3">
      <c r="A11" s="5"/>
      <c r="C11" s="3"/>
      <c r="D11" s="28"/>
      <c r="E11" s="25"/>
      <c r="H11" s="4">
        <f t="shared" si="0"/>
        <v>0</v>
      </c>
    </row>
    <row r="12" spans="1:8" ht="18.75" x14ac:dyDescent="0.3">
      <c r="A12" s="5"/>
      <c r="C12" s="3"/>
      <c r="D12" s="28"/>
      <c r="E12" s="25"/>
      <c r="H12" s="4">
        <f t="shared" si="0"/>
        <v>0</v>
      </c>
    </row>
    <row r="13" spans="1:8" ht="19.5" thickBot="1" x14ac:dyDescent="0.35">
      <c r="A13" s="5"/>
      <c r="C13" s="3"/>
      <c r="D13" s="22"/>
      <c r="E13" s="25"/>
      <c r="H13" s="22">
        <v>0</v>
      </c>
    </row>
    <row r="14" spans="1:8" ht="18.75" customHeight="1" x14ac:dyDescent="0.3">
      <c r="D14" s="4">
        <f>SUM(D7:D13)</f>
        <v>128100</v>
      </c>
      <c r="H14" s="4">
        <f>SUM(H7:H13)</f>
        <v>20452.941176470587</v>
      </c>
    </row>
    <row r="15" spans="1:8" ht="18.75" x14ac:dyDescent="0.3">
      <c r="A15" s="5"/>
      <c r="C15" s="3"/>
      <c r="D15" s="4"/>
      <c r="H15" s="4"/>
    </row>
    <row r="17" spans="1:8" ht="18.75" x14ac:dyDescent="0.3">
      <c r="A17" s="5"/>
      <c r="C17" s="3"/>
      <c r="D17" s="4"/>
      <c r="H17" s="4"/>
    </row>
    <row r="18" spans="1:8" ht="15.75" thickBot="1" x14ac:dyDescent="0.3">
      <c r="D18" s="7"/>
      <c r="H18" s="7"/>
    </row>
    <row r="20" spans="1:8" ht="18.75" x14ac:dyDescent="0.3">
      <c r="C20" t="s">
        <v>4</v>
      </c>
      <c r="D20" s="4">
        <f>D3-D14</f>
        <v>103950</v>
      </c>
      <c r="G20" t="s">
        <v>5</v>
      </c>
      <c r="H20" s="4">
        <f>H3-H14</f>
        <v>16597.058823529413</v>
      </c>
    </row>
    <row r="23" spans="1:8" ht="15.75" x14ac:dyDescent="0.25">
      <c r="A23" t="s">
        <v>6</v>
      </c>
      <c r="C23" s="8">
        <f>D20</f>
        <v>103950</v>
      </c>
      <c r="E23" t="s">
        <v>10</v>
      </c>
      <c r="H23" s="6">
        <f>C32</f>
        <v>86424.74117647059</v>
      </c>
    </row>
    <row r="25" spans="1:8" ht="15.75" x14ac:dyDescent="0.25">
      <c r="A25" t="s">
        <v>5</v>
      </c>
      <c r="B25" s="9" t="s">
        <v>7</v>
      </c>
      <c r="C25" s="8">
        <f>H20</f>
        <v>16597.058823529413</v>
      </c>
      <c r="E25" s="13" t="s">
        <v>11</v>
      </c>
      <c r="F25" s="9" t="s">
        <v>181</v>
      </c>
      <c r="G25" s="15" t="s">
        <v>17</v>
      </c>
      <c r="H25" s="3">
        <f>-(F26*0.0077)</f>
        <v>-1501.5</v>
      </c>
    </row>
    <row r="26" spans="1:8" x14ac:dyDescent="0.25">
      <c r="F26" s="21">
        <f>D3-H3</f>
        <v>195000</v>
      </c>
    </row>
    <row r="27" spans="1:8" ht="15.75" x14ac:dyDescent="0.25">
      <c r="A27" t="s">
        <v>8</v>
      </c>
      <c r="B27" s="9" t="s">
        <v>7</v>
      </c>
      <c r="C27" s="8">
        <f>D3*0.004</f>
        <v>928.2</v>
      </c>
      <c r="F27" s="9" t="s">
        <v>13</v>
      </c>
      <c r="G27" s="16">
        <v>0.35</v>
      </c>
      <c r="H27" s="29">
        <f>-(F28*0.35)</f>
        <v>-30248.659411764704</v>
      </c>
    </row>
    <row r="28" spans="1:8" ht="15.75" thickBot="1" x14ac:dyDescent="0.3">
      <c r="F28" s="21">
        <f>H23</f>
        <v>86424.74117647059</v>
      </c>
      <c r="H28" s="7"/>
    </row>
    <row r="29" spans="1:8" x14ac:dyDescent="0.25">
      <c r="A29" t="s">
        <v>9</v>
      </c>
      <c r="B29" s="9" t="s">
        <v>7</v>
      </c>
      <c r="C29" s="6"/>
      <c r="G29" s="13" t="s">
        <v>14</v>
      </c>
      <c r="H29" s="6">
        <f>H23+H25+H27</f>
        <v>54674.581764705887</v>
      </c>
    </row>
    <row r="30" spans="1:8" ht="15.75" thickBot="1" x14ac:dyDescent="0.3">
      <c r="A30" s="16"/>
      <c r="B30" s="16"/>
      <c r="C30" s="7"/>
    </row>
    <row r="31" spans="1:8" x14ac:dyDescent="0.25">
      <c r="E31" t="s">
        <v>151</v>
      </c>
      <c r="H31" s="20">
        <f>H29*0.5</f>
        <v>27337.290882352943</v>
      </c>
    </row>
    <row r="32" spans="1:8" ht="15.75" x14ac:dyDescent="0.25">
      <c r="A32" t="s">
        <v>10</v>
      </c>
      <c r="C32" s="10">
        <f>C23-C25-C27-C29</f>
        <v>86424.74117647059</v>
      </c>
      <c r="H32" s="18"/>
    </row>
    <row r="33" spans="8:8" x14ac:dyDescent="0.25">
      <c r="H33" s="3"/>
    </row>
    <row r="34" spans="8:8" x14ac:dyDescent="0.25">
      <c r="H34" s="18"/>
    </row>
  </sheetData>
  <pageMargins left="0.7" right="0.7" top="0.75" bottom="0.75" header="0.3" footer="0.3"/>
</worksheet>
</file>

<file path=xl/worksheets/sheet4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8DD10-1A70-4DDF-8C4A-239B3AACEC5C}">
  <dimension ref="A1:H34"/>
  <sheetViews>
    <sheetView workbookViewId="0">
      <selection sqref="A1:XFD1048576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765</v>
      </c>
    </row>
    <row r="3" spans="1:8" ht="21" x14ac:dyDescent="0.35">
      <c r="A3" s="2" t="s">
        <v>1</v>
      </c>
      <c r="D3" s="11">
        <v>50313</v>
      </c>
      <c r="F3" s="12" t="s">
        <v>3</v>
      </c>
      <c r="H3" s="4">
        <f>(D3/1.19)*0.19</f>
        <v>8033.1680672268903</v>
      </c>
    </row>
    <row r="4" spans="1:8" x14ac:dyDescent="0.25">
      <c r="A4" s="13" t="s">
        <v>32</v>
      </c>
      <c r="C4" s="26">
        <v>1109</v>
      </c>
    </row>
    <row r="5" spans="1:8" ht="21" x14ac:dyDescent="0.35">
      <c r="A5" s="2" t="s">
        <v>2</v>
      </c>
    </row>
    <row r="7" spans="1:8" ht="18.75" x14ac:dyDescent="0.3">
      <c r="A7" s="5" t="s">
        <v>221</v>
      </c>
      <c r="D7" s="4">
        <v>28800</v>
      </c>
      <c r="E7" s="25"/>
      <c r="H7" s="4">
        <f t="shared" ref="H7:H12" si="0">(D7/1.19)*0.19</f>
        <v>4598.319327731092</v>
      </c>
    </row>
    <row r="8" spans="1:8" ht="18.75" x14ac:dyDescent="0.3">
      <c r="A8" s="5"/>
      <c r="C8" s="3"/>
      <c r="D8" s="32"/>
      <c r="E8" s="25"/>
      <c r="H8" s="4"/>
    </row>
    <row r="9" spans="1:8" ht="18.75" x14ac:dyDescent="0.3">
      <c r="A9" s="5"/>
      <c r="C9" s="3"/>
      <c r="D9" s="28"/>
      <c r="E9" s="25"/>
      <c r="H9" s="4">
        <f t="shared" si="0"/>
        <v>0</v>
      </c>
    </row>
    <row r="10" spans="1:8" ht="18.75" x14ac:dyDescent="0.3">
      <c r="A10" s="5"/>
      <c r="C10" s="3"/>
      <c r="D10" s="28"/>
      <c r="E10" s="25"/>
      <c r="H10" s="4">
        <f t="shared" si="0"/>
        <v>0</v>
      </c>
    </row>
    <row r="11" spans="1:8" ht="18.75" x14ac:dyDescent="0.3">
      <c r="A11" s="5"/>
      <c r="C11" s="3"/>
      <c r="D11" s="28"/>
      <c r="E11" s="25"/>
      <c r="H11" s="4">
        <f t="shared" si="0"/>
        <v>0</v>
      </c>
    </row>
    <row r="12" spans="1:8" ht="18.75" x14ac:dyDescent="0.3">
      <c r="A12" s="5"/>
      <c r="C12" s="3"/>
      <c r="D12" s="28"/>
      <c r="E12" s="25"/>
      <c r="H12" s="4">
        <f t="shared" si="0"/>
        <v>0</v>
      </c>
    </row>
    <row r="13" spans="1:8" ht="19.5" thickBot="1" x14ac:dyDescent="0.35">
      <c r="A13" s="5"/>
      <c r="C13" s="3"/>
      <c r="D13" s="22"/>
      <c r="E13" s="25"/>
      <c r="H13" s="22">
        <v>0</v>
      </c>
    </row>
    <row r="14" spans="1:8" ht="18.75" customHeight="1" x14ac:dyDescent="0.3">
      <c r="D14" s="4">
        <f>SUM(D7:D13)</f>
        <v>28800</v>
      </c>
      <c r="H14" s="4">
        <f>SUM(H7:H13)</f>
        <v>4598.319327731092</v>
      </c>
    </row>
    <row r="15" spans="1:8" ht="18.75" x14ac:dyDescent="0.3">
      <c r="A15" s="5"/>
      <c r="C15" s="3"/>
      <c r="D15" s="4"/>
      <c r="H15" s="4"/>
    </row>
    <row r="17" spans="1:8" ht="18.75" x14ac:dyDescent="0.3">
      <c r="A17" s="5"/>
      <c r="C17" s="3"/>
      <c r="D17" s="4"/>
      <c r="H17" s="4"/>
    </row>
    <row r="18" spans="1:8" ht="15.75" thickBot="1" x14ac:dyDescent="0.3">
      <c r="D18" s="7"/>
      <c r="H18" s="7"/>
    </row>
    <row r="20" spans="1:8" ht="18.75" x14ac:dyDescent="0.3">
      <c r="C20" t="s">
        <v>4</v>
      </c>
      <c r="D20" s="4">
        <f>D3-D14</f>
        <v>21513</v>
      </c>
      <c r="G20" t="s">
        <v>5</v>
      </c>
      <c r="H20" s="4">
        <f>H3-H14</f>
        <v>3434.8487394957983</v>
      </c>
    </row>
    <row r="23" spans="1:8" ht="15.75" x14ac:dyDescent="0.25">
      <c r="A23" t="s">
        <v>6</v>
      </c>
      <c r="C23" s="8">
        <f>D20</f>
        <v>21513</v>
      </c>
      <c r="E23" t="s">
        <v>10</v>
      </c>
      <c r="H23" s="6">
        <f>C32</f>
        <v>17876.8992605042</v>
      </c>
    </row>
    <row r="25" spans="1:8" ht="15.75" x14ac:dyDescent="0.25">
      <c r="A25" t="s">
        <v>5</v>
      </c>
      <c r="B25" s="9" t="s">
        <v>7</v>
      </c>
      <c r="C25" s="8">
        <f>H20</f>
        <v>3434.8487394957983</v>
      </c>
      <c r="E25" s="13" t="s">
        <v>11</v>
      </c>
      <c r="F25" s="9" t="s">
        <v>181</v>
      </c>
      <c r="G25" s="15" t="s">
        <v>17</v>
      </c>
      <c r="H25" s="3">
        <f>-(F26*0.0077)</f>
        <v>-325.55470588235295</v>
      </c>
    </row>
    <row r="26" spans="1:8" x14ac:dyDescent="0.25">
      <c r="F26" s="21">
        <f>D3-H3</f>
        <v>42279.831932773108</v>
      </c>
    </row>
    <row r="27" spans="1:8" ht="15.75" x14ac:dyDescent="0.25">
      <c r="A27" t="s">
        <v>8</v>
      </c>
      <c r="B27" s="9" t="s">
        <v>7</v>
      </c>
      <c r="C27" s="8">
        <f>D3*0.004</f>
        <v>201.25200000000001</v>
      </c>
      <c r="F27" s="9" t="s">
        <v>13</v>
      </c>
      <c r="G27" s="16">
        <v>0.35</v>
      </c>
      <c r="H27" s="29">
        <f>-(F28*0.35)</f>
        <v>-6256.9147411764698</v>
      </c>
    </row>
    <row r="28" spans="1:8" ht="15.75" thickBot="1" x14ac:dyDescent="0.3">
      <c r="F28" s="21">
        <f>H23</f>
        <v>17876.8992605042</v>
      </c>
      <c r="H28" s="7"/>
    </row>
    <row r="29" spans="1:8" x14ac:dyDescent="0.25">
      <c r="A29" t="s">
        <v>9</v>
      </c>
      <c r="B29" s="9" t="s">
        <v>7</v>
      </c>
      <c r="C29" s="6"/>
      <c r="G29" s="13" t="s">
        <v>14</v>
      </c>
      <c r="H29" s="6">
        <f>H23+H25+H27</f>
        <v>11294.429813445377</v>
      </c>
    </row>
    <row r="30" spans="1:8" ht="15.75" thickBot="1" x14ac:dyDescent="0.3">
      <c r="A30" s="16"/>
      <c r="B30" s="16"/>
      <c r="C30" s="7"/>
    </row>
    <row r="31" spans="1:8" x14ac:dyDescent="0.25">
      <c r="E31" t="s">
        <v>151</v>
      </c>
      <c r="H31" s="20">
        <f>H29*0.5</f>
        <v>5647.2149067226883</v>
      </c>
    </row>
    <row r="32" spans="1:8" ht="15.75" x14ac:dyDescent="0.25">
      <c r="A32" t="s">
        <v>10</v>
      </c>
      <c r="C32" s="10">
        <f>C23-C25-C27-C29</f>
        <v>17876.8992605042</v>
      </c>
      <c r="H32" s="18"/>
    </row>
    <row r="33" spans="8:8" x14ac:dyDescent="0.25">
      <c r="H33" s="3"/>
    </row>
    <row r="34" spans="8:8" x14ac:dyDescent="0.25">
      <c r="H34" s="18"/>
    </row>
  </sheetData>
  <pageMargins left="0.7" right="0.7" top="0.75" bottom="0.75" header="0.3" footer="0.3"/>
</worksheet>
</file>

<file path=xl/worksheets/sheet4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D8E7F-C573-4275-9656-AE06A69A34C3}">
  <dimension ref="A1:H34"/>
  <sheetViews>
    <sheetView workbookViewId="0">
      <selection sqref="A1:XFD1048576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765</v>
      </c>
    </row>
    <row r="3" spans="1:8" ht="21" x14ac:dyDescent="0.35">
      <c r="A3" s="2" t="s">
        <v>1</v>
      </c>
      <c r="D3" s="11">
        <v>96390</v>
      </c>
      <c r="F3" s="12" t="s">
        <v>3</v>
      </c>
      <c r="H3" s="4">
        <f>(D3/1.19)*0.19</f>
        <v>15390</v>
      </c>
    </row>
    <row r="4" spans="1:8" x14ac:dyDescent="0.25">
      <c r="A4" s="13" t="s">
        <v>32</v>
      </c>
      <c r="C4" s="26">
        <v>1110</v>
      </c>
    </row>
    <row r="5" spans="1:8" ht="21" x14ac:dyDescent="0.35">
      <c r="A5" s="2" t="s">
        <v>2</v>
      </c>
    </row>
    <row r="7" spans="1:8" ht="18.75" x14ac:dyDescent="0.3">
      <c r="A7" s="5" t="s">
        <v>221</v>
      </c>
      <c r="D7" s="4">
        <v>76500</v>
      </c>
      <c r="E7" s="25"/>
      <c r="H7" s="4">
        <f t="shared" ref="H7:H12" si="0">(D7/1.19)*0.19</f>
        <v>12214.285714285716</v>
      </c>
    </row>
    <row r="8" spans="1:8" ht="18.75" x14ac:dyDescent="0.3">
      <c r="A8" s="5"/>
      <c r="C8" s="3"/>
      <c r="D8" s="32"/>
      <c r="E8" s="25"/>
      <c r="H8" s="4"/>
    </row>
    <row r="9" spans="1:8" ht="18.75" x14ac:dyDescent="0.3">
      <c r="A9" s="5"/>
      <c r="C9" s="3"/>
      <c r="D9" s="28"/>
      <c r="E9" s="25"/>
      <c r="H9" s="4">
        <f t="shared" si="0"/>
        <v>0</v>
      </c>
    </row>
    <row r="10" spans="1:8" ht="18.75" x14ac:dyDescent="0.3">
      <c r="A10" s="5"/>
      <c r="C10" s="3"/>
      <c r="D10" s="28"/>
      <c r="E10" s="25"/>
      <c r="H10" s="4">
        <f t="shared" si="0"/>
        <v>0</v>
      </c>
    </row>
    <row r="11" spans="1:8" ht="18.75" x14ac:dyDescent="0.3">
      <c r="A11" s="5"/>
      <c r="C11" s="3"/>
      <c r="D11" s="28"/>
      <c r="E11" s="25"/>
      <c r="H11" s="4">
        <f t="shared" si="0"/>
        <v>0</v>
      </c>
    </row>
    <row r="12" spans="1:8" ht="18.75" x14ac:dyDescent="0.3">
      <c r="A12" s="5"/>
      <c r="C12" s="3"/>
      <c r="D12" s="28"/>
      <c r="E12" s="25"/>
      <c r="H12" s="4">
        <f t="shared" si="0"/>
        <v>0</v>
      </c>
    </row>
    <row r="13" spans="1:8" ht="19.5" thickBot="1" x14ac:dyDescent="0.35">
      <c r="A13" s="5"/>
      <c r="C13" s="3"/>
      <c r="D13" s="22"/>
      <c r="E13" s="25"/>
      <c r="H13" s="22">
        <v>0</v>
      </c>
    </row>
    <row r="14" spans="1:8" ht="18.75" customHeight="1" x14ac:dyDescent="0.3">
      <c r="D14" s="4">
        <f>SUM(D7:D13)</f>
        <v>76500</v>
      </c>
      <c r="H14" s="4">
        <f>SUM(H7:H13)</f>
        <v>12214.285714285716</v>
      </c>
    </row>
    <row r="15" spans="1:8" ht="18.75" x14ac:dyDescent="0.3">
      <c r="A15" s="5"/>
      <c r="C15" s="3"/>
      <c r="D15" s="4"/>
      <c r="H15" s="4"/>
    </row>
    <row r="17" spans="1:8" ht="18.75" x14ac:dyDescent="0.3">
      <c r="A17" s="5"/>
      <c r="C17" s="3"/>
      <c r="D17" s="4"/>
      <c r="H17" s="4"/>
    </row>
    <row r="18" spans="1:8" ht="15.75" thickBot="1" x14ac:dyDescent="0.3">
      <c r="D18" s="7"/>
      <c r="H18" s="7"/>
    </row>
    <row r="20" spans="1:8" ht="18.75" x14ac:dyDescent="0.3">
      <c r="C20" t="s">
        <v>4</v>
      </c>
      <c r="D20" s="4">
        <f>D3-D14</f>
        <v>19890</v>
      </c>
      <c r="G20" t="s">
        <v>5</v>
      </c>
      <c r="H20" s="4">
        <f>H3-H14</f>
        <v>3175.7142857142844</v>
      </c>
    </row>
    <row r="23" spans="1:8" ht="15.75" x14ac:dyDescent="0.25">
      <c r="A23" t="s">
        <v>6</v>
      </c>
      <c r="C23" s="8">
        <f>D20</f>
        <v>19890</v>
      </c>
      <c r="E23" t="s">
        <v>10</v>
      </c>
      <c r="H23" s="6">
        <f>C32</f>
        <v>16328.725714285718</v>
      </c>
    </row>
    <row r="25" spans="1:8" ht="15.75" x14ac:dyDescent="0.25">
      <c r="A25" t="s">
        <v>5</v>
      </c>
      <c r="B25" s="9" t="s">
        <v>7</v>
      </c>
      <c r="C25" s="8">
        <f>H20</f>
        <v>3175.7142857142844</v>
      </c>
      <c r="E25" s="13" t="s">
        <v>11</v>
      </c>
      <c r="F25" s="9" t="s">
        <v>181</v>
      </c>
      <c r="G25" s="15" t="s">
        <v>17</v>
      </c>
      <c r="H25" s="3">
        <f>-(F26*0.0077)</f>
        <v>-623.70000000000005</v>
      </c>
    </row>
    <row r="26" spans="1:8" x14ac:dyDescent="0.25">
      <c r="F26" s="21">
        <f>D3-H3</f>
        <v>81000</v>
      </c>
    </row>
    <row r="27" spans="1:8" ht="15.75" x14ac:dyDescent="0.25">
      <c r="A27" t="s">
        <v>8</v>
      </c>
      <c r="B27" s="9" t="s">
        <v>7</v>
      </c>
      <c r="C27" s="8">
        <f>D3*0.004</f>
        <v>385.56</v>
      </c>
      <c r="F27" s="9" t="s">
        <v>13</v>
      </c>
      <c r="G27" s="16">
        <v>0.35</v>
      </c>
      <c r="H27" s="29">
        <f>-(F28*0.35)</f>
        <v>-5715.054000000001</v>
      </c>
    </row>
    <row r="28" spans="1:8" ht="15.75" thickBot="1" x14ac:dyDescent="0.3">
      <c r="F28" s="21">
        <f>H23</f>
        <v>16328.725714285718</v>
      </c>
      <c r="H28" s="7"/>
    </row>
    <row r="29" spans="1:8" x14ac:dyDescent="0.25">
      <c r="A29" t="s">
        <v>9</v>
      </c>
      <c r="B29" s="9" t="s">
        <v>7</v>
      </c>
      <c r="C29" s="6"/>
      <c r="G29" s="13" t="s">
        <v>14</v>
      </c>
      <c r="H29" s="6">
        <f>H23+H25+H27</f>
        <v>9989.9717142857153</v>
      </c>
    </row>
    <row r="30" spans="1:8" ht="15.75" thickBot="1" x14ac:dyDescent="0.3">
      <c r="A30" s="16"/>
      <c r="B30" s="16"/>
      <c r="C30" s="7"/>
    </row>
    <row r="31" spans="1:8" x14ac:dyDescent="0.25">
      <c r="E31" t="s">
        <v>151</v>
      </c>
      <c r="H31" s="20">
        <f>H29*0.5</f>
        <v>4994.9858571428576</v>
      </c>
    </row>
    <row r="32" spans="1:8" ht="15.75" x14ac:dyDescent="0.25">
      <c r="A32" t="s">
        <v>10</v>
      </c>
      <c r="C32" s="10">
        <f>C23-C25-C27-C29</f>
        <v>16328.725714285718</v>
      </c>
      <c r="H32" s="18"/>
    </row>
    <row r="33" spans="8:8" x14ac:dyDescent="0.25">
      <c r="H33" s="3"/>
    </row>
    <row r="34" spans="8:8" x14ac:dyDescent="0.25">
      <c r="H34" s="18"/>
    </row>
  </sheetData>
  <pageMargins left="0.7" right="0.7" top="0.75" bottom="0.75" header="0.3" footer="0.3"/>
</worksheet>
</file>

<file path=xl/worksheets/sheet4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32808-3DBC-4B50-85BA-5A546CDD23CD}">
  <dimension ref="A1:H34"/>
  <sheetViews>
    <sheetView workbookViewId="0">
      <selection sqref="A1:XFD1048576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766</v>
      </c>
    </row>
    <row r="3" spans="1:8" ht="21" x14ac:dyDescent="0.35">
      <c r="A3" s="2" t="s">
        <v>1</v>
      </c>
      <c r="D3" s="11">
        <v>1231650</v>
      </c>
      <c r="F3" s="12" t="s">
        <v>3</v>
      </c>
      <c r="H3" s="4">
        <f>(D3/1.19)*0.19</f>
        <v>196650</v>
      </c>
    </row>
    <row r="4" spans="1:8" x14ac:dyDescent="0.25">
      <c r="A4" s="13" t="s">
        <v>32</v>
      </c>
      <c r="C4" s="26">
        <v>1111</v>
      </c>
    </row>
    <row r="5" spans="1:8" ht="21" x14ac:dyDescent="0.35">
      <c r="A5" s="2" t="s">
        <v>2</v>
      </c>
    </row>
    <row r="7" spans="1:8" ht="18.75" x14ac:dyDescent="0.3">
      <c r="A7" s="5" t="s">
        <v>472</v>
      </c>
      <c r="D7" s="4">
        <v>907280</v>
      </c>
      <c r="E7" s="25"/>
      <c r="H7" s="4">
        <f t="shared" ref="H7:H12" si="0">(D7/1.19)*0.19</f>
        <v>144859.83193277312</v>
      </c>
    </row>
    <row r="8" spans="1:8" ht="18.75" x14ac:dyDescent="0.3">
      <c r="A8" s="5"/>
      <c r="C8" s="3"/>
      <c r="D8" s="32"/>
      <c r="E8" s="25"/>
      <c r="H8" s="4"/>
    </row>
    <row r="9" spans="1:8" ht="18.75" x14ac:dyDescent="0.3">
      <c r="A9" s="5"/>
      <c r="C9" s="3"/>
      <c r="D9" s="28"/>
      <c r="E9" s="25"/>
      <c r="H9" s="4">
        <f t="shared" si="0"/>
        <v>0</v>
      </c>
    </row>
    <row r="10" spans="1:8" ht="18.75" x14ac:dyDescent="0.3">
      <c r="A10" s="5"/>
      <c r="C10" s="3"/>
      <c r="D10" s="28"/>
      <c r="E10" s="25"/>
      <c r="H10" s="4">
        <f t="shared" si="0"/>
        <v>0</v>
      </c>
    </row>
    <row r="11" spans="1:8" ht="18.75" x14ac:dyDescent="0.3">
      <c r="A11" s="5"/>
      <c r="C11" s="3"/>
      <c r="D11" s="28"/>
      <c r="E11" s="25"/>
      <c r="H11" s="4">
        <f t="shared" si="0"/>
        <v>0</v>
      </c>
    </row>
    <row r="12" spans="1:8" ht="18.75" x14ac:dyDescent="0.3">
      <c r="A12" s="5"/>
      <c r="C12" s="3"/>
      <c r="D12" s="28"/>
      <c r="E12" s="25"/>
      <c r="H12" s="4">
        <f t="shared" si="0"/>
        <v>0</v>
      </c>
    </row>
    <row r="13" spans="1:8" ht="19.5" thickBot="1" x14ac:dyDescent="0.35">
      <c r="A13" s="5"/>
      <c r="C13" s="3"/>
      <c r="D13" s="22"/>
      <c r="E13" s="25"/>
      <c r="H13" s="22">
        <v>0</v>
      </c>
    </row>
    <row r="14" spans="1:8" ht="18.75" customHeight="1" x14ac:dyDescent="0.3">
      <c r="D14" s="4">
        <f>SUM(D7:D13)</f>
        <v>907280</v>
      </c>
      <c r="H14" s="4">
        <f>SUM(H7:H13)</f>
        <v>144859.83193277312</v>
      </c>
    </row>
    <row r="15" spans="1:8" ht="18.75" x14ac:dyDescent="0.3">
      <c r="A15" s="5"/>
      <c r="C15" s="3"/>
      <c r="D15" s="4"/>
      <c r="H15" s="4"/>
    </row>
    <row r="17" spans="1:8" ht="18.75" x14ac:dyDescent="0.3">
      <c r="A17" s="5"/>
      <c r="C17" s="3"/>
      <c r="D17" s="4"/>
      <c r="H17" s="4"/>
    </row>
    <row r="18" spans="1:8" ht="15.75" thickBot="1" x14ac:dyDescent="0.3">
      <c r="D18" s="7"/>
      <c r="H18" s="7"/>
    </row>
    <row r="20" spans="1:8" ht="18.75" x14ac:dyDescent="0.3">
      <c r="C20" t="s">
        <v>4</v>
      </c>
      <c r="D20" s="4">
        <f>D3-D14</f>
        <v>324370</v>
      </c>
      <c r="G20" t="s">
        <v>5</v>
      </c>
      <c r="H20" s="4">
        <f>H3-H14</f>
        <v>51790.168067226885</v>
      </c>
    </row>
    <row r="23" spans="1:8" ht="15.75" x14ac:dyDescent="0.25">
      <c r="A23" t="s">
        <v>6</v>
      </c>
      <c r="C23" s="8">
        <f>D20</f>
        <v>324370</v>
      </c>
      <c r="E23" t="s">
        <v>10</v>
      </c>
      <c r="H23" s="6">
        <f>C32</f>
        <v>267653.23193277314</v>
      </c>
    </row>
    <row r="25" spans="1:8" ht="15.75" x14ac:dyDescent="0.25">
      <c r="A25" t="s">
        <v>5</v>
      </c>
      <c r="B25" s="9" t="s">
        <v>7</v>
      </c>
      <c r="C25" s="8">
        <f>H20</f>
        <v>51790.168067226885</v>
      </c>
      <c r="E25" s="13" t="s">
        <v>11</v>
      </c>
      <c r="F25" s="9" t="s">
        <v>181</v>
      </c>
      <c r="G25" s="15" t="s">
        <v>17</v>
      </c>
      <c r="H25" s="3">
        <f>-(F26*0.0077)</f>
        <v>-7969.5</v>
      </c>
    </row>
    <row r="26" spans="1:8" x14ac:dyDescent="0.25">
      <c r="F26" s="21">
        <f>D3-H3</f>
        <v>1035000</v>
      </c>
    </row>
    <row r="27" spans="1:8" ht="15.75" x14ac:dyDescent="0.25">
      <c r="A27" t="s">
        <v>8</v>
      </c>
      <c r="B27" s="9" t="s">
        <v>7</v>
      </c>
      <c r="C27" s="8">
        <f>D3*0.004</f>
        <v>4926.6000000000004</v>
      </c>
      <c r="F27" s="9" t="s">
        <v>13</v>
      </c>
      <c r="G27" s="16">
        <v>0.35</v>
      </c>
      <c r="H27" s="29">
        <f>-(F28*0.35)</f>
        <v>-93678.63117647059</v>
      </c>
    </row>
    <row r="28" spans="1:8" ht="15.75" thickBot="1" x14ac:dyDescent="0.3">
      <c r="F28" s="21">
        <f>H23</f>
        <v>267653.23193277314</v>
      </c>
      <c r="H28" s="7"/>
    </row>
    <row r="29" spans="1:8" x14ac:dyDescent="0.25">
      <c r="A29" t="s">
        <v>9</v>
      </c>
      <c r="B29" s="9" t="s">
        <v>7</v>
      </c>
      <c r="C29" s="6"/>
      <c r="G29" s="13" t="s">
        <v>14</v>
      </c>
      <c r="H29" s="6">
        <f>H23+H25+H27</f>
        <v>166005.10075630253</v>
      </c>
    </row>
    <row r="30" spans="1:8" ht="15.75" thickBot="1" x14ac:dyDescent="0.3">
      <c r="A30" s="16"/>
      <c r="B30" s="16"/>
      <c r="C30" s="7"/>
    </row>
    <row r="31" spans="1:8" x14ac:dyDescent="0.25">
      <c r="E31" t="s">
        <v>151</v>
      </c>
      <c r="H31" s="20">
        <f>H29*0.5</f>
        <v>83002.550378151267</v>
      </c>
    </row>
    <row r="32" spans="1:8" ht="15.75" x14ac:dyDescent="0.25">
      <c r="A32" t="s">
        <v>10</v>
      </c>
      <c r="C32" s="10">
        <f>C23-C25-C27-C29</f>
        <v>267653.23193277314</v>
      </c>
      <c r="H32" s="18"/>
    </row>
    <row r="33" spans="8:8" x14ac:dyDescent="0.25">
      <c r="H33" s="3"/>
    </row>
    <row r="34" spans="8:8" x14ac:dyDescent="0.25">
      <c r="H34" s="18"/>
    </row>
  </sheetData>
  <pageMargins left="0.7" right="0.7" top="0.75" bottom="0.75" header="0.3" footer="0.3"/>
</worksheet>
</file>

<file path=xl/worksheets/sheet4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F63EC-47A7-42A9-9A08-39461F765CC7}">
  <dimension ref="A1:H34"/>
  <sheetViews>
    <sheetView workbookViewId="0">
      <selection sqref="A1:XFD1048576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562</v>
      </c>
    </row>
    <row r="3" spans="1:8" ht="21" x14ac:dyDescent="0.35">
      <c r="A3" s="2" t="s">
        <v>1</v>
      </c>
      <c r="D3" s="11">
        <v>687350</v>
      </c>
      <c r="F3" s="12" t="s">
        <v>3</v>
      </c>
      <c r="H3" s="4">
        <f>(D3/1.19)*0.19</f>
        <v>109744.95798319329</v>
      </c>
    </row>
    <row r="4" spans="1:8" x14ac:dyDescent="0.25">
      <c r="A4" s="13" t="s">
        <v>32</v>
      </c>
      <c r="C4" s="26">
        <v>1112</v>
      </c>
    </row>
    <row r="5" spans="1:8" ht="21" x14ac:dyDescent="0.35">
      <c r="A5" s="2" t="s">
        <v>2</v>
      </c>
    </row>
    <row r="7" spans="1:8" ht="18.75" x14ac:dyDescent="0.3">
      <c r="A7" s="5" t="s">
        <v>408</v>
      </c>
      <c r="D7" s="4">
        <v>204500</v>
      </c>
      <c r="E7" s="25"/>
      <c r="H7" s="4">
        <f t="shared" ref="H7:H12" si="0">(D7/1.19)*0.19</f>
        <v>32651.260504201684</v>
      </c>
    </row>
    <row r="8" spans="1:8" ht="18.75" x14ac:dyDescent="0.3">
      <c r="A8" s="5" t="s">
        <v>221</v>
      </c>
      <c r="C8" s="3"/>
      <c r="D8" s="32">
        <v>287500</v>
      </c>
      <c r="E8" s="25"/>
      <c r="H8" s="4">
        <f t="shared" si="0"/>
        <v>45903.361344537814</v>
      </c>
    </row>
    <row r="9" spans="1:8" ht="18.75" x14ac:dyDescent="0.3">
      <c r="A9" s="5"/>
      <c r="C9" s="3"/>
      <c r="D9" s="28"/>
      <c r="E9" s="25"/>
      <c r="H9" s="4">
        <f t="shared" si="0"/>
        <v>0</v>
      </c>
    </row>
    <row r="10" spans="1:8" ht="18.75" x14ac:dyDescent="0.3">
      <c r="A10" s="5"/>
      <c r="C10" s="3"/>
      <c r="D10" s="28"/>
      <c r="E10" s="25"/>
      <c r="H10" s="4">
        <f t="shared" si="0"/>
        <v>0</v>
      </c>
    </row>
    <row r="11" spans="1:8" ht="18.75" x14ac:dyDescent="0.3">
      <c r="A11" s="5"/>
      <c r="C11" s="3"/>
      <c r="D11" s="28"/>
      <c r="E11" s="25"/>
      <c r="H11" s="4">
        <f t="shared" si="0"/>
        <v>0</v>
      </c>
    </row>
    <row r="12" spans="1:8" ht="18.75" x14ac:dyDescent="0.3">
      <c r="A12" s="5"/>
      <c r="C12" s="3"/>
      <c r="D12" s="28"/>
      <c r="E12" s="25"/>
      <c r="H12" s="4">
        <f t="shared" si="0"/>
        <v>0</v>
      </c>
    </row>
    <row r="13" spans="1:8" ht="19.5" thickBot="1" x14ac:dyDescent="0.35">
      <c r="A13" s="5"/>
      <c r="C13" s="3"/>
      <c r="D13" s="22"/>
      <c r="E13" s="25"/>
      <c r="H13" s="22">
        <v>0</v>
      </c>
    </row>
    <row r="14" spans="1:8" ht="18.75" customHeight="1" x14ac:dyDescent="0.3">
      <c r="D14" s="4">
        <f>SUM(D7:D13)</f>
        <v>492000</v>
      </c>
      <c r="H14" s="4">
        <f>SUM(H7:H13)</f>
        <v>78554.621848739494</v>
      </c>
    </row>
    <row r="15" spans="1:8" ht="18.75" x14ac:dyDescent="0.3">
      <c r="A15" s="5"/>
      <c r="C15" s="3"/>
      <c r="D15" s="4"/>
      <c r="H15" s="4"/>
    </row>
    <row r="17" spans="1:8" ht="18.75" x14ac:dyDescent="0.3">
      <c r="A17" s="5"/>
      <c r="C17" s="3"/>
      <c r="D17" s="4"/>
      <c r="H17" s="4"/>
    </row>
    <row r="18" spans="1:8" ht="15.75" thickBot="1" x14ac:dyDescent="0.3">
      <c r="D18" s="7"/>
      <c r="H18" s="7"/>
    </row>
    <row r="20" spans="1:8" ht="18.75" x14ac:dyDescent="0.3">
      <c r="C20" t="s">
        <v>4</v>
      </c>
      <c r="D20" s="4">
        <f>D3-D14</f>
        <v>195350</v>
      </c>
      <c r="G20" t="s">
        <v>5</v>
      </c>
      <c r="H20" s="4">
        <f>H3-H14</f>
        <v>31190.336134453799</v>
      </c>
    </row>
    <row r="23" spans="1:8" ht="15.75" x14ac:dyDescent="0.25">
      <c r="A23" t="s">
        <v>6</v>
      </c>
      <c r="C23" s="8">
        <f>D20</f>
        <v>195350</v>
      </c>
      <c r="E23" t="s">
        <v>10</v>
      </c>
      <c r="H23" s="6">
        <f>C32</f>
        <v>161410.26386554621</v>
      </c>
    </row>
    <row r="25" spans="1:8" ht="15.75" x14ac:dyDescent="0.25">
      <c r="A25" t="s">
        <v>5</v>
      </c>
      <c r="B25" s="9" t="s">
        <v>7</v>
      </c>
      <c r="C25" s="8">
        <f>H20</f>
        <v>31190.336134453799</v>
      </c>
      <c r="E25" s="13" t="s">
        <v>11</v>
      </c>
      <c r="F25" s="9" t="s">
        <v>181</v>
      </c>
      <c r="G25" s="15" t="s">
        <v>17</v>
      </c>
      <c r="H25" s="3">
        <f>-(F26*0.0077)</f>
        <v>-4447.5588235294117</v>
      </c>
    </row>
    <row r="26" spans="1:8" x14ac:dyDescent="0.25">
      <c r="F26" s="21">
        <f>D3-H3</f>
        <v>577605.04201680666</v>
      </c>
    </row>
    <row r="27" spans="1:8" ht="15.75" x14ac:dyDescent="0.25">
      <c r="A27" t="s">
        <v>8</v>
      </c>
      <c r="B27" s="9" t="s">
        <v>7</v>
      </c>
      <c r="C27" s="8">
        <f>D3*0.004</f>
        <v>2749.4</v>
      </c>
      <c r="F27" s="9" t="s">
        <v>13</v>
      </c>
      <c r="G27" s="16">
        <v>0.35</v>
      </c>
      <c r="H27" s="29">
        <f>-(F28*0.35)</f>
        <v>-56493.592352941167</v>
      </c>
    </row>
    <row r="28" spans="1:8" ht="15.75" thickBot="1" x14ac:dyDescent="0.3">
      <c r="F28" s="21">
        <f>H23</f>
        <v>161410.26386554621</v>
      </c>
      <c r="H28" s="7"/>
    </row>
    <row r="29" spans="1:8" x14ac:dyDescent="0.25">
      <c r="A29" t="s">
        <v>9</v>
      </c>
      <c r="B29" s="9" t="s">
        <v>7</v>
      </c>
      <c r="C29" s="6"/>
      <c r="G29" s="13" t="s">
        <v>14</v>
      </c>
      <c r="H29" s="6">
        <f>H23+H25+H27</f>
        <v>100469.11268907564</v>
      </c>
    </row>
    <row r="30" spans="1:8" ht="15.75" thickBot="1" x14ac:dyDescent="0.3">
      <c r="A30" s="16"/>
      <c r="B30" s="16"/>
      <c r="C30" s="7"/>
    </row>
    <row r="31" spans="1:8" x14ac:dyDescent="0.25">
      <c r="E31" t="s">
        <v>151</v>
      </c>
      <c r="H31" s="20">
        <f>H29*0.5</f>
        <v>50234.556344537821</v>
      </c>
    </row>
    <row r="32" spans="1:8" ht="15.75" x14ac:dyDescent="0.25">
      <c r="A32" t="s">
        <v>10</v>
      </c>
      <c r="C32" s="10">
        <f>C23-C25-C27-C29</f>
        <v>161410.26386554621</v>
      </c>
      <c r="H32" s="18"/>
    </row>
    <row r="33" spans="8:8" x14ac:dyDescent="0.25">
      <c r="H33" s="3"/>
    </row>
    <row r="34" spans="8:8" x14ac:dyDescent="0.25">
      <c r="H34" s="18"/>
    </row>
  </sheetData>
  <pageMargins left="0.7" right="0.7" top="0.75" bottom="0.75" header="0.3" footer="0.3"/>
</worksheet>
</file>

<file path=xl/worksheets/sheet4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DC244-54DC-440B-B09B-313DEFA97DE8}">
  <dimension ref="A1:H33"/>
  <sheetViews>
    <sheetView workbookViewId="0">
      <selection sqref="A1:XFD1048576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562</v>
      </c>
    </row>
    <row r="3" spans="1:8" ht="21" x14ac:dyDescent="0.35">
      <c r="A3" s="2" t="s">
        <v>1</v>
      </c>
      <c r="D3" s="11">
        <v>219912</v>
      </c>
      <c r="F3" s="12" t="s">
        <v>3</v>
      </c>
      <c r="H3" s="4">
        <f>(D3/1.19)*0.19</f>
        <v>35112</v>
      </c>
    </row>
    <row r="4" spans="1:8" x14ac:dyDescent="0.25">
      <c r="A4" s="13" t="s">
        <v>32</v>
      </c>
      <c r="C4" s="26">
        <v>1113</v>
      </c>
    </row>
    <row r="5" spans="1:8" ht="21" x14ac:dyDescent="0.35">
      <c r="A5" s="2" t="s">
        <v>2</v>
      </c>
    </row>
    <row r="7" spans="1:8" ht="18.75" x14ac:dyDescent="0.3">
      <c r="A7" s="5" t="s">
        <v>221</v>
      </c>
      <c r="D7" s="4">
        <v>165850</v>
      </c>
      <c r="E7" s="25"/>
      <c r="H7" s="4">
        <f>(D7/1.19)*0.19</f>
        <v>26480.252100840338</v>
      </c>
    </row>
    <row r="8" spans="1:8" ht="18.75" x14ac:dyDescent="0.3">
      <c r="A8" s="5"/>
      <c r="C8" s="3"/>
      <c r="D8" s="28"/>
      <c r="E8" s="25"/>
      <c r="H8" s="4">
        <f t="shared" ref="H8:H11" si="0">(D8/1.19)*0.19</f>
        <v>0</v>
      </c>
    </row>
    <row r="9" spans="1:8" ht="18.75" x14ac:dyDescent="0.3">
      <c r="A9" s="5"/>
      <c r="C9" s="3"/>
      <c r="D9" s="28"/>
      <c r="E9" s="25"/>
      <c r="H9" s="4">
        <f t="shared" si="0"/>
        <v>0</v>
      </c>
    </row>
    <row r="10" spans="1:8" ht="18.75" x14ac:dyDescent="0.3">
      <c r="A10" s="5"/>
      <c r="C10" s="3"/>
      <c r="D10" s="28"/>
      <c r="E10" s="25"/>
      <c r="H10" s="4">
        <f t="shared" si="0"/>
        <v>0</v>
      </c>
    </row>
    <row r="11" spans="1:8" ht="18.75" x14ac:dyDescent="0.3">
      <c r="A11" s="5"/>
      <c r="C11" s="3"/>
      <c r="D11" s="28"/>
      <c r="E11" s="25"/>
      <c r="H11" s="4">
        <f t="shared" si="0"/>
        <v>0</v>
      </c>
    </row>
    <row r="12" spans="1:8" ht="19.5" thickBot="1" x14ac:dyDescent="0.35">
      <c r="A12" s="5"/>
      <c r="C12" s="3"/>
      <c r="D12" s="22"/>
      <c r="E12" s="25"/>
      <c r="H12" s="22">
        <v>0</v>
      </c>
    </row>
    <row r="13" spans="1:8" ht="18.75" customHeight="1" x14ac:dyDescent="0.3">
      <c r="D13" s="4">
        <f>SUM(D7:D12)</f>
        <v>165850</v>
      </c>
      <c r="H13" s="4">
        <f>SUM(H7:H12)</f>
        <v>26480.252100840338</v>
      </c>
    </row>
    <row r="14" spans="1:8" ht="18.75" x14ac:dyDescent="0.3">
      <c r="A14" s="5"/>
      <c r="C14" s="3"/>
      <c r="D14" s="4"/>
      <c r="H14" s="4"/>
    </row>
    <row r="16" spans="1:8" ht="18.75" x14ac:dyDescent="0.3">
      <c r="A16" s="5"/>
      <c r="C16" s="3"/>
      <c r="D16" s="4"/>
      <c r="H16" s="4"/>
    </row>
    <row r="17" spans="1:8" ht="15.75" thickBot="1" x14ac:dyDescent="0.3">
      <c r="D17" s="7"/>
      <c r="H17" s="7"/>
    </row>
    <row r="19" spans="1:8" ht="18.75" x14ac:dyDescent="0.3">
      <c r="C19" t="s">
        <v>4</v>
      </c>
      <c r="D19" s="4">
        <f>D3-D13</f>
        <v>54062</v>
      </c>
      <c r="G19" t="s">
        <v>5</v>
      </c>
      <c r="H19" s="4">
        <f>H3-H13</f>
        <v>8631.7478991596618</v>
      </c>
    </row>
    <row r="22" spans="1:8" ht="15.75" x14ac:dyDescent="0.25">
      <c r="A22" t="s">
        <v>6</v>
      </c>
      <c r="C22" s="8">
        <f>D19</f>
        <v>54062</v>
      </c>
      <c r="E22" t="s">
        <v>10</v>
      </c>
      <c r="H22" s="6">
        <f>C31</f>
        <v>44550.604100840341</v>
      </c>
    </row>
    <row r="24" spans="1:8" ht="15.75" x14ac:dyDescent="0.25">
      <c r="A24" t="s">
        <v>5</v>
      </c>
      <c r="B24" s="9" t="s">
        <v>7</v>
      </c>
      <c r="C24" s="8">
        <f>H19</f>
        <v>8631.7478991596618</v>
      </c>
      <c r="E24" s="13" t="s">
        <v>11</v>
      </c>
      <c r="F24" s="9" t="s">
        <v>181</v>
      </c>
      <c r="G24" s="15" t="s">
        <v>17</v>
      </c>
      <c r="H24" s="3">
        <f>-(F25*0.0077)</f>
        <v>-1422.96</v>
      </c>
    </row>
    <row r="25" spans="1:8" x14ac:dyDescent="0.25">
      <c r="F25" s="21">
        <f>D3-H3</f>
        <v>184800</v>
      </c>
    </row>
    <row r="26" spans="1:8" ht="15.75" x14ac:dyDescent="0.25">
      <c r="A26" t="s">
        <v>8</v>
      </c>
      <c r="B26" s="9" t="s">
        <v>7</v>
      </c>
      <c r="C26" s="8">
        <f>D3*0.004</f>
        <v>879.64800000000002</v>
      </c>
      <c r="F26" s="9" t="s">
        <v>13</v>
      </c>
      <c r="G26" s="16">
        <v>0.35</v>
      </c>
      <c r="H26" s="29">
        <f>-(F27*0.35)</f>
        <v>-15592.711435294119</v>
      </c>
    </row>
    <row r="27" spans="1:8" ht="15.75" thickBot="1" x14ac:dyDescent="0.3">
      <c r="F27" s="21">
        <f>H22</f>
        <v>44550.604100840341</v>
      </c>
      <c r="H27" s="7"/>
    </row>
    <row r="28" spans="1:8" x14ac:dyDescent="0.25">
      <c r="A28" t="s">
        <v>9</v>
      </c>
      <c r="B28" s="9" t="s">
        <v>7</v>
      </c>
      <c r="C28" s="6"/>
      <c r="G28" s="13" t="s">
        <v>14</v>
      </c>
      <c r="H28" s="6">
        <f>H22+H24+H26</f>
        <v>27534.932665546221</v>
      </c>
    </row>
    <row r="29" spans="1:8" ht="15.75" thickBot="1" x14ac:dyDescent="0.3">
      <c r="A29" s="16"/>
      <c r="B29" s="16"/>
      <c r="C29" s="7"/>
    </row>
    <row r="30" spans="1:8" x14ac:dyDescent="0.25">
      <c r="E30" t="s">
        <v>151</v>
      </c>
      <c r="H30" s="20">
        <f>H28*0.5</f>
        <v>13767.46633277311</v>
      </c>
    </row>
    <row r="31" spans="1:8" ht="15.75" x14ac:dyDescent="0.25">
      <c r="A31" t="s">
        <v>10</v>
      </c>
      <c r="C31" s="10">
        <f>C22-C24-C26-C28</f>
        <v>44550.604100840341</v>
      </c>
      <c r="H31" s="18"/>
    </row>
    <row r="32" spans="1:8" x14ac:dyDescent="0.25">
      <c r="H32" s="3"/>
    </row>
    <row r="33" spans="8:8" x14ac:dyDescent="0.25">
      <c r="H33" s="18"/>
    </row>
  </sheetData>
  <pageMargins left="0.7" right="0.7" top="0.75" bottom="0.75" header="0.3" footer="0.3"/>
</worksheet>
</file>

<file path=xl/worksheets/sheet4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2FF33-D003-4AB8-BD6F-753B1DB0F861}">
  <dimension ref="A1:H33"/>
  <sheetViews>
    <sheetView workbookViewId="0">
      <selection sqref="A1:XFD1048576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562</v>
      </c>
    </row>
    <row r="3" spans="1:8" ht="21" x14ac:dyDescent="0.35">
      <c r="A3" s="2" t="s">
        <v>1</v>
      </c>
      <c r="D3" s="11">
        <v>123760</v>
      </c>
      <c r="F3" s="12" t="s">
        <v>3</v>
      </c>
      <c r="H3" s="4">
        <f>(D3/1.19)*0.19</f>
        <v>19760</v>
      </c>
    </row>
    <row r="4" spans="1:8" x14ac:dyDescent="0.25">
      <c r="A4" s="13" t="s">
        <v>32</v>
      </c>
      <c r="C4" s="26">
        <v>1114</v>
      </c>
    </row>
    <row r="5" spans="1:8" ht="21" x14ac:dyDescent="0.35">
      <c r="A5" s="2" t="s">
        <v>2</v>
      </c>
    </row>
    <row r="7" spans="1:8" ht="18.75" x14ac:dyDescent="0.3">
      <c r="A7" s="5" t="s">
        <v>221</v>
      </c>
      <c r="D7" s="4">
        <v>80920</v>
      </c>
      <c r="E7" s="25"/>
      <c r="H7" s="4">
        <f>(D7/1.19)*0.19</f>
        <v>12920</v>
      </c>
    </row>
    <row r="8" spans="1:8" ht="18.75" x14ac:dyDescent="0.3">
      <c r="A8" s="5"/>
      <c r="C8" s="3"/>
      <c r="D8" s="28"/>
      <c r="E8" s="25"/>
      <c r="H8" s="4">
        <f t="shared" ref="H8:H11" si="0">(D8/1.19)*0.19</f>
        <v>0</v>
      </c>
    </row>
    <row r="9" spans="1:8" ht="18.75" x14ac:dyDescent="0.3">
      <c r="A9" s="5"/>
      <c r="C9" s="3"/>
      <c r="D9" s="28"/>
      <c r="E9" s="25"/>
      <c r="H9" s="4">
        <f t="shared" si="0"/>
        <v>0</v>
      </c>
    </row>
    <row r="10" spans="1:8" ht="18.75" x14ac:dyDescent="0.3">
      <c r="A10" s="5"/>
      <c r="C10" s="3"/>
      <c r="D10" s="28"/>
      <c r="E10" s="25"/>
      <c r="H10" s="4">
        <f t="shared" si="0"/>
        <v>0</v>
      </c>
    </row>
    <row r="11" spans="1:8" ht="18.75" x14ac:dyDescent="0.3">
      <c r="A11" s="5"/>
      <c r="C11" s="3"/>
      <c r="D11" s="28"/>
      <c r="E11" s="25"/>
      <c r="H11" s="4">
        <f t="shared" si="0"/>
        <v>0</v>
      </c>
    </row>
    <row r="12" spans="1:8" ht="19.5" thickBot="1" x14ac:dyDescent="0.35">
      <c r="A12" s="5"/>
      <c r="C12" s="3"/>
      <c r="D12" s="22"/>
      <c r="E12" s="25"/>
      <c r="H12" s="22">
        <v>0</v>
      </c>
    </row>
    <row r="13" spans="1:8" ht="18.75" customHeight="1" x14ac:dyDescent="0.3">
      <c r="D13" s="4">
        <f>SUM(D7:D12)</f>
        <v>80920</v>
      </c>
      <c r="H13" s="4">
        <f>SUM(H7:H12)</f>
        <v>12920</v>
      </c>
    </row>
    <row r="14" spans="1:8" ht="18.75" x14ac:dyDescent="0.3">
      <c r="A14" s="5"/>
      <c r="C14" s="3"/>
      <c r="D14" s="4"/>
      <c r="H14" s="4"/>
    </row>
    <row r="16" spans="1:8" ht="18.75" x14ac:dyDescent="0.3">
      <c r="A16" s="5"/>
      <c r="C16" s="3"/>
      <c r="D16" s="4"/>
      <c r="H16" s="4"/>
    </row>
    <row r="17" spans="1:8" ht="15.75" thickBot="1" x14ac:dyDescent="0.3">
      <c r="D17" s="7"/>
      <c r="H17" s="7"/>
    </row>
    <row r="19" spans="1:8" ht="18.75" x14ac:dyDescent="0.3">
      <c r="C19" t="s">
        <v>4</v>
      </c>
      <c r="D19" s="4">
        <f>D3-D13</f>
        <v>42840</v>
      </c>
      <c r="G19" t="s">
        <v>5</v>
      </c>
      <c r="H19" s="4">
        <f>H3-H13</f>
        <v>6840</v>
      </c>
    </row>
    <row r="22" spans="1:8" ht="15.75" x14ac:dyDescent="0.25">
      <c r="A22" t="s">
        <v>6</v>
      </c>
      <c r="C22" s="8">
        <f>D19</f>
        <v>42840</v>
      </c>
      <c r="E22" t="s">
        <v>10</v>
      </c>
      <c r="H22" s="6">
        <f>C31</f>
        <v>35504.959999999999</v>
      </c>
    </row>
    <row r="24" spans="1:8" ht="15.75" x14ac:dyDescent="0.25">
      <c r="A24" t="s">
        <v>5</v>
      </c>
      <c r="B24" s="9" t="s">
        <v>7</v>
      </c>
      <c r="C24" s="8">
        <f>H19</f>
        <v>6840</v>
      </c>
      <c r="E24" s="13" t="s">
        <v>11</v>
      </c>
      <c r="F24" s="9" t="s">
        <v>181</v>
      </c>
      <c r="G24" s="15" t="s">
        <v>17</v>
      </c>
      <c r="H24" s="3">
        <f>-(F25*0.0077)</f>
        <v>-800.80000000000007</v>
      </c>
    </row>
    <row r="25" spans="1:8" x14ac:dyDescent="0.25">
      <c r="F25" s="21">
        <f>D3-H3</f>
        <v>104000</v>
      </c>
    </row>
    <row r="26" spans="1:8" ht="15.75" x14ac:dyDescent="0.25">
      <c r="A26" t="s">
        <v>8</v>
      </c>
      <c r="B26" s="9" t="s">
        <v>7</v>
      </c>
      <c r="C26" s="8">
        <f>D3*0.004</f>
        <v>495.04</v>
      </c>
      <c r="F26" s="9" t="s">
        <v>13</v>
      </c>
      <c r="G26" s="16">
        <v>0.35</v>
      </c>
      <c r="H26" s="29">
        <f>-(F27*0.35)</f>
        <v>-12426.735999999999</v>
      </c>
    </row>
    <row r="27" spans="1:8" ht="15.75" thickBot="1" x14ac:dyDescent="0.3">
      <c r="F27" s="21">
        <f>H22</f>
        <v>35504.959999999999</v>
      </c>
      <c r="H27" s="7"/>
    </row>
    <row r="28" spans="1:8" x14ac:dyDescent="0.25">
      <c r="A28" t="s">
        <v>9</v>
      </c>
      <c r="B28" s="9" t="s">
        <v>7</v>
      </c>
      <c r="C28" s="6"/>
      <c r="G28" s="13" t="s">
        <v>14</v>
      </c>
      <c r="H28" s="6">
        <f>H22+H24+H26</f>
        <v>22277.423999999999</v>
      </c>
    </row>
    <row r="29" spans="1:8" ht="15.75" thickBot="1" x14ac:dyDescent="0.3">
      <c r="A29" s="16"/>
      <c r="B29" s="16"/>
      <c r="C29" s="7"/>
    </row>
    <row r="30" spans="1:8" x14ac:dyDescent="0.25">
      <c r="E30" t="s">
        <v>151</v>
      </c>
      <c r="H30" s="20">
        <f>H28*0.5</f>
        <v>11138.712</v>
      </c>
    </row>
    <row r="31" spans="1:8" ht="15.75" x14ac:dyDescent="0.25">
      <c r="A31" t="s">
        <v>10</v>
      </c>
      <c r="C31" s="10">
        <f>C22-C24-C26-C28</f>
        <v>35504.959999999999</v>
      </c>
      <c r="H31" s="18"/>
    </row>
    <row r="32" spans="1:8" x14ac:dyDescent="0.25">
      <c r="H32" s="3"/>
    </row>
    <row r="33" spans="8:8" x14ac:dyDescent="0.25">
      <c r="H33" s="18"/>
    </row>
  </sheetData>
  <pageMargins left="0.7" right="0.7" top="0.75" bottom="0.75" header="0.3" footer="0.3"/>
</worksheet>
</file>

<file path=xl/worksheets/sheet4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D0432-88E8-42C3-AF4F-B42E8A9FEBEC}">
  <dimension ref="A1:H33"/>
  <sheetViews>
    <sheetView workbookViewId="0">
      <selection sqref="A1:XFD1048576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771</v>
      </c>
    </row>
    <row r="3" spans="1:8" ht="21" x14ac:dyDescent="0.35">
      <c r="A3" s="2" t="s">
        <v>1</v>
      </c>
      <c r="D3" s="11">
        <v>20825</v>
      </c>
      <c r="F3" s="12" t="s">
        <v>3</v>
      </c>
      <c r="H3" s="4">
        <f>(D3/1.19)*0.19</f>
        <v>3325</v>
      </c>
    </row>
    <row r="4" spans="1:8" x14ac:dyDescent="0.25">
      <c r="A4" s="13" t="s">
        <v>32</v>
      </c>
      <c r="C4" s="26">
        <v>1116</v>
      </c>
    </row>
    <row r="5" spans="1:8" ht="21" x14ac:dyDescent="0.35">
      <c r="A5" s="2" t="s">
        <v>2</v>
      </c>
    </row>
    <row r="7" spans="1:8" ht="18.75" x14ac:dyDescent="0.3">
      <c r="A7" s="5" t="s">
        <v>221</v>
      </c>
      <c r="D7" s="4">
        <v>10148</v>
      </c>
      <c r="E7" s="25"/>
      <c r="H7" s="4">
        <f>(D7/1.19)*0.19</f>
        <v>1620.2689075630253</v>
      </c>
    </row>
    <row r="8" spans="1:8" ht="18.75" x14ac:dyDescent="0.3">
      <c r="A8" s="5"/>
      <c r="C8" s="3"/>
      <c r="D8" s="28"/>
      <c r="E8" s="25"/>
      <c r="H8" s="4">
        <f t="shared" ref="H8:H11" si="0">(D8/1.19)*0.19</f>
        <v>0</v>
      </c>
    </row>
    <row r="9" spans="1:8" ht="18.75" x14ac:dyDescent="0.3">
      <c r="A9" s="5"/>
      <c r="C9" s="3"/>
      <c r="D9" s="28"/>
      <c r="E9" s="25"/>
      <c r="H9" s="4">
        <f t="shared" si="0"/>
        <v>0</v>
      </c>
    </row>
    <row r="10" spans="1:8" ht="18.75" x14ac:dyDescent="0.3">
      <c r="A10" s="5"/>
      <c r="C10" s="3"/>
      <c r="D10" s="28"/>
      <c r="E10" s="25"/>
      <c r="H10" s="4">
        <f t="shared" si="0"/>
        <v>0</v>
      </c>
    </row>
    <row r="11" spans="1:8" ht="18.75" x14ac:dyDescent="0.3">
      <c r="A11" s="5"/>
      <c r="C11" s="3"/>
      <c r="D11" s="28"/>
      <c r="E11" s="25"/>
      <c r="H11" s="4">
        <f t="shared" si="0"/>
        <v>0</v>
      </c>
    </row>
    <row r="12" spans="1:8" ht="19.5" thickBot="1" x14ac:dyDescent="0.35">
      <c r="A12" s="5"/>
      <c r="C12" s="3"/>
      <c r="D12" s="22"/>
      <c r="E12" s="25"/>
      <c r="H12" s="22">
        <v>0</v>
      </c>
    </row>
    <row r="13" spans="1:8" ht="18.75" customHeight="1" x14ac:dyDescent="0.3">
      <c r="D13" s="4">
        <f>SUM(D7:D12)</f>
        <v>10148</v>
      </c>
      <c r="H13" s="4">
        <f>SUM(H7:H12)</f>
        <v>1620.2689075630253</v>
      </c>
    </row>
    <row r="14" spans="1:8" ht="18.75" x14ac:dyDescent="0.3">
      <c r="A14" s="5"/>
      <c r="C14" s="3"/>
      <c r="D14" s="4"/>
      <c r="H14" s="4"/>
    </row>
    <row r="16" spans="1:8" ht="18.75" x14ac:dyDescent="0.3">
      <c r="A16" s="5"/>
      <c r="C16" s="3"/>
      <c r="D16" s="4"/>
      <c r="H16" s="4"/>
    </row>
    <row r="17" spans="1:8" ht="15.75" thickBot="1" x14ac:dyDescent="0.3">
      <c r="D17" s="7"/>
      <c r="H17" s="7"/>
    </row>
    <row r="19" spans="1:8" ht="18.75" x14ac:dyDescent="0.3">
      <c r="C19" t="s">
        <v>4</v>
      </c>
      <c r="D19" s="4">
        <f>D3-D13</f>
        <v>10677</v>
      </c>
      <c r="G19" t="s">
        <v>5</v>
      </c>
      <c r="H19" s="4">
        <f>H3-H13</f>
        <v>1704.7310924369747</v>
      </c>
    </row>
    <row r="22" spans="1:8" ht="15.75" x14ac:dyDescent="0.25">
      <c r="A22" t="s">
        <v>6</v>
      </c>
      <c r="C22" s="8">
        <f>D19</f>
        <v>10677</v>
      </c>
      <c r="E22" t="s">
        <v>10</v>
      </c>
      <c r="H22" s="6">
        <f>C31</f>
        <v>8888.9689075630267</v>
      </c>
    </row>
    <row r="24" spans="1:8" ht="15.75" x14ac:dyDescent="0.25">
      <c r="A24" t="s">
        <v>5</v>
      </c>
      <c r="B24" s="9" t="s">
        <v>7</v>
      </c>
      <c r="C24" s="8">
        <f>H19</f>
        <v>1704.7310924369747</v>
      </c>
      <c r="E24" s="13" t="s">
        <v>11</v>
      </c>
      <c r="F24" s="9" t="s">
        <v>181</v>
      </c>
      <c r="G24" s="15" t="s">
        <v>17</v>
      </c>
      <c r="H24" s="3">
        <f>-(F25*0.0077)</f>
        <v>-134.75</v>
      </c>
    </row>
    <row r="25" spans="1:8" x14ac:dyDescent="0.25">
      <c r="F25" s="21">
        <f>D3-H3</f>
        <v>17500</v>
      </c>
    </row>
    <row r="26" spans="1:8" ht="15.75" x14ac:dyDescent="0.25">
      <c r="A26" t="s">
        <v>8</v>
      </c>
      <c r="B26" s="9" t="s">
        <v>7</v>
      </c>
      <c r="C26" s="8">
        <f>D3*0.004</f>
        <v>83.3</v>
      </c>
      <c r="F26" s="9" t="s">
        <v>13</v>
      </c>
      <c r="G26" s="16">
        <v>0.35</v>
      </c>
      <c r="H26" s="29">
        <f>-(F27*0.35)</f>
        <v>-3111.1391176470593</v>
      </c>
    </row>
    <row r="27" spans="1:8" ht="15.75" thickBot="1" x14ac:dyDescent="0.3">
      <c r="F27" s="21">
        <f>H22</f>
        <v>8888.9689075630267</v>
      </c>
      <c r="H27" s="7"/>
    </row>
    <row r="28" spans="1:8" x14ac:dyDescent="0.25">
      <c r="A28" t="s">
        <v>9</v>
      </c>
      <c r="B28" s="9" t="s">
        <v>7</v>
      </c>
      <c r="C28" s="6"/>
      <c r="G28" s="13" t="s">
        <v>14</v>
      </c>
      <c r="H28" s="6">
        <f>H22+H24+H26</f>
        <v>5643.0797899159679</v>
      </c>
    </row>
    <row r="29" spans="1:8" ht="15.75" thickBot="1" x14ac:dyDescent="0.3">
      <c r="A29" s="16"/>
      <c r="B29" s="16"/>
      <c r="C29" s="7"/>
    </row>
    <row r="30" spans="1:8" x14ac:dyDescent="0.25">
      <c r="E30" t="s">
        <v>151</v>
      </c>
      <c r="H30" s="20">
        <f>H28*0.5</f>
        <v>2821.539894957984</v>
      </c>
    </row>
    <row r="31" spans="1:8" ht="15.75" x14ac:dyDescent="0.25">
      <c r="A31" t="s">
        <v>10</v>
      </c>
      <c r="C31" s="10">
        <f>C22-C24-C26-C28</f>
        <v>8888.9689075630267</v>
      </c>
      <c r="H31" s="18"/>
    </row>
    <row r="32" spans="1:8" x14ac:dyDescent="0.25">
      <c r="H32" s="3"/>
    </row>
    <row r="33" spans="8:8" x14ac:dyDescent="0.25">
      <c r="H33" s="18"/>
    </row>
  </sheetData>
  <pageMargins left="0.7" right="0.7" top="0.75" bottom="0.75" header="0.3" footer="0.3"/>
</worksheet>
</file>

<file path=xl/worksheets/sheet4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12A4E-821E-4773-9095-78954B2FAB00}">
  <dimension ref="A1:H33"/>
  <sheetViews>
    <sheetView workbookViewId="0">
      <selection sqref="A1:XFD1048576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767</v>
      </c>
    </row>
    <row r="3" spans="1:8" ht="21" x14ac:dyDescent="0.35">
      <c r="A3" s="2" t="s">
        <v>1</v>
      </c>
      <c r="D3" s="11">
        <v>23324000</v>
      </c>
      <c r="F3" s="12" t="s">
        <v>3</v>
      </c>
      <c r="H3" s="4">
        <f>(D3/1.19)*0.19</f>
        <v>3724000</v>
      </c>
    </row>
    <row r="4" spans="1:8" x14ac:dyDescent="0.25">
      <c r="A4" s="13" t="s">
        <v>32</v>
      </c>
      <c r="C4" s="26"/>
    </row>
    <row r="5" spans="1:8" ht="21" x14ac:dyDescent="0.35">
      <c r="A5" s="2" t="s">
        <v>2</v>
      </c>
    </row>
    <row r="7" spans="1:8" ht="18.75" x14ac:dyDescent="0.3">
      <c r="A7" s="5" t="s">
        <v>221</v>
      </c>
      <c r="D7" s="4"/>
      <c r="E7" s="25"/>
      <c r="H7" s="4">
        <f>(D7/1.19)*0.19</f>
        <v>0</v>
      </c>
    </row>
    <row r="8" spans="1:8" ht="18.75" x14ac:dyDescent="0.3">
      <c r="A8" s="5" t="s">
        <v>768</v>
      </c>
      <c r="C8" s="3"/>
      <c r="D8" s="28">
        <v>14908108.18</v>
      </c>
      <c r="E8" s="25"/>
      <c r="H8" s="4">
        <f t="shared" ref="H8:H11" si="0">(D8/1.19)*0.19</f>
        <v>2380286.1800000002</v>
      </c>
    </row>
    <row r="9" spans="1:8" ht="18.75" x14ac:dyDescent="0.3">
      <c r="A9" s="5"/>
      <c r="C9" s="3"/>
      <c r="D9" s="28"/>
      <c r="E9" s="25"/>
      <c r="H9" s="4">
        <f t="shared" si="0"/>
        <v>0</v>
      </c>
    </row>
    <row r="10" spans="1:8" ht="18.75" x14ac:dyDescent="0.3">
      <c r="A10" s="5"/>
      <c r="C10" s="3"/>
      <c r="D10" s="28"/>
      <c r="E10" s="25"/>
      <c r="H10" s="4">
        <f t="shared" si="0"/>
        <v>0</v>
      </c>
    </row>
    <row r="11" spans="1:8" ht="18.75" x14ac:dyDescent="0.3">
      <c r="A11" s="5"/>
      <c r="C11" s="3"/>
      <c r="D11" s="28"/>
      <c r="E11" s="25"/>
      <c r="H11" s="4">
        <f t="shared" si="0"/>
        <v>0</v>
      </c>
    </row>
    <row r="12" spans="1:8" ht="19.5" thickBot="1" x14ac:dyDescent="0.35">
      <c r="A12" s="5"/>
      <c r="C12" s="3"/>
      <c r="D12" s="22"/>
      <c r="E12" s="25"/>
      <c r="H12" s="22">
        <v>0</v>
      </c>
    </row>
    <row r="13" spans="1:8" ht="18.75" customHeight="1" x14ac:dyDescent="0.3">
      <c r="D13" s="4">
        <f>SUM(D7:D12)</f>
        <v>14908108.18</v>
      </c>
      <c r="H13" s="4">
        <f>SUM(H7:H12)</f>
        <v>2380286.1800000002</v>
      </c>
    </row>
    <row r="14" spans="1:8" ht="18.75" x14ac:dyDescent="0.3">
      <c r="A14" s="5"/>
      <c r="C14" s="3"/>
      <c r="D14" s="4"/>
      <c r="H14" s="4"/>
    </row>
    <row r="16" spans="1:8" ht="18.75" x14ac:dyDescent="0.3">
      <c r="A16" s="5"/>
      <c r="C16" s="3"/>
      <c r="D16" s="4"/>
      <c r="H16" s="4"/>
    </row>
    <row r="17" spans="1:8" ht="15.75" thickBot="1" x14ac:dyDescent="0.3">
      <c r="D17" s="7"/>
      <c r="H17" s="7"/>
    </row>
    <row r="19" spans="1:8" ht="18.75" x14ac:dyDescent="0.3">
      <c r="C19" t="s">
        <v>4</v>
      </c>
      <c r="D19" s="4">
        <f>D3-D13</f>
        <v>8415891.8200000003</v>
      </c>
      <c r="G19" t="s">
        <v>5</v>
      </c>
      <c r="H19" s="4">
        <f>H3-H13</f>
        <v>1343713.8199999998</v>
      </c>
    </row>
    <row r="22" spans="1:8" ht="15.75" x14ac:dyDescent="0.25">
      <c r="A22" t="s">
        <v>6</v>
      </c>
      <c r="C22" s="8">
        <f>D19</f>
        <v>8415891.8200000003</v>
      </c>
      <c r="E22" t="s">
        <v>10</v>
      </c>
      <c r="H22" s="6">
        <f>C31</f>
        <v>6078882</v>
      </c>
    </row>
    <row r="24" spans="1:8" ht="15.75" x14ac:dyDescent="0.25">
      <c r="A24" t="s">
        <v>5</v>
      </c>
      <c r="B24" s="9" t="s">
        <v>7</v>
      </c>
      <c r="C24" s="8">
        <f>H19</f>
        <v>1343713.8199999998</v>
      </c>
      <c r="E24" s="13" t="s">
        <v>11</v>
      </c>
      <c r="F24" s="9" t="s">
        <v>181</v>
      </c>
      <c r="G24" s="15" t="s">
        <v>17</v>
      </c>
      <c r="H24" s="3">
        <f>-(F25*0.0077)</f>
        <v>-150920</v>
      </c>
    </row>
    <row r="25" spans="1:8" x14ac:dyDescent="0.25">
      <c r="F25" s="21">
        <f>D3-H3</f>
        <v>19600000</v>
      </c>
    </row>
    <row r="26" spans="1:8" ht="15.75" x14ac:dyDescent="0.25">
      <c r="A26" t="s">
        <v>8</v>
      </c>
      <c r="B26" s="9" t="s">
        <v>7</v>
      </c>
      <c r="C26" s="8">
        <f>D3*0.004</f>
        <v>93296</v>
      </c>
      <c r="F26" s="9" t="s">
        <v>13</v>
      </c>
      <c r="G26" s="16">
        <v>0.35</v>
      </c>
      <c r="H26" s="29">
        <f>-(F27*0.35)</f>
        <v>-2127608.6999999997</v>
      </c>
    </row>
    <row r="27" spans="1:8" ht="15.75" thickBot="1" x14ac:dyDescent="0.3">
      <c r="F27" s="21">
        <f>H22</f>
        <v>6078882</v>
      </c>
      <c r="H27" s="7"/>
    </row>
    <row r="28" spans="1:8" x14ac:dyDescent="0.25">
      <c r="A28" t="s">
        <v>769</v>
      </c>
      <c r="B28" s="9" t="s">
        <v>7</v>
      </c>
      <c r="C28" s="6">
        <v>900000</v>
      </c>
      <c r="G28" s="13" t="s">
        <v>14</v>
      </c>
      <c r="H28" s="6">
        <f>H22+H24+H26</f>
        <v>3800353.3000000003</v>
      </c>
    </row>
    <row r="29" spans="1:8" ht="15.75" thickBot="1" x14ac:dyDescent="0.3">
      <c r="A29" s="16">
        <v>2.5000000000000001E-2</v>
      </c>
      <c r="B29" s="34" t="s">
        <v>770</v>
      </c>
      <c r="C29" s="7"/>
    </row>
    <row r="30" spans="1:8" x14ac:dyDescent="0.25">
      <c r="E30" t="s">
        <v>151</v>
      </c>
      <c r="H30" s="20">
        <f>H28*0.5</f>
        <v>1900176.6500000001</v>
      </c>
    </row>
    <row r="31" spans="1:8" ht="15.75" x14ac:dyDescent="0.25">
      <c r="A31" t="s">
        <v>10</v>
      </c>
      <c r="C31" s="10">
        <f>C22-C24-C26-C28</f>
        <v>6078882</v>
      </c>
      <c r="H31" s="18"/>
    </row>
    <row r="32" spans="1:8" x14ac:dyDescent="0.25">
      <c r="H32" s="3"/>
    </row>
    <row r="33" spans="8:8" x14ac:dyDescent="0.25">
      <c r="H33" s="18"/>
    </row>
  </sheetData>
  <pageMargins left="0.7" right="0.7" top="0.75" bottom="0.75" header="0.3" footer="0.3"/>
</worksheet>
</file>

<file path=xl/worksheets/sheet4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EE5B0-3658-43F9-A3D0-063F84C17EE7}">
  <dimension ref="A1:H33"/>
  <sheetViews>
    <sheetView workbookViewId="0">
      <selection activeCell="D19" sqref="D19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772</v>
      </c>
    </row>
    <row r="3" spans="1:8" ht="21" x14ac:dyDescent="0.35">
      <c r="A3" s="2" t="s">
        <v>1</v>
      </c>
      <c r="C3" s="11">
        <v>30000</v>
      </c>
      <c r="D3" s="11">
        <v>25210</v>
      </c>
      <c r="F3" s="12" t="s">
        <v>3</v>
      </c>
      <c r="H3" s="11">
        <f>D3*0.19</f>
        <v>4789.8999999999996</v>
      </c>
    </row>
    <row r="4" spans="1:8" x14ac:dyDescent="0.25">
      <c r="A4" s="13" t="s">
        <v>32</v>
      </c>
      <c r="C4" s="26">
        <v>1120</v>
      </c>
    </row>
    <row r="5" spans="1:8" ht="21" x14ac:dyDescent="0.35">
      <c r="A5" s="2" t="s">
        <v>2</v>
      </c>
    </row>
    <row r="7" spans="1:8" ht="18.75" x14ac:dyDescent="0.3">
      <c r="D7" s="4"/>
      <c r="E7" s="25"/>
      <c r="H7" s="4">
        <f>(D7/1.19)*0.19</f>
        <v>0</v>
      </c>
    </row>
    <row r="8" spans="1:8" ht="18.75" x14ac:dyDescent="0.3">
      <c r="A8" s="5" t="s">
        <v>221</v>
      </c>
      <c r="C8" s="3"/>
      <c r="D8" s="28">
        <v>11700</v>
      </c>
      <c r="E8" s="25"/>
      <c r="H8" s="4">
        <f>D8*0.19</f>
        <v>2223</v>
      </c>
    </row>
    <row r="9" spans="1:8" ht="18.75" x14ac:dyDescent="0.3">
      <c r="A9" s="5"/>
      <c r="C9" s="3"/>
      <c r="D9" s="28"/>
      <c r="E9" s="25"/>
      <c r="H9" s="4">
        <f t="shared" ref="H9:H11" si="0">(D9/1.19)*0.19</f>
        <v>0</v>
      </c>
    </row>
    <row r="10" spans="1:8" ht="18.75" x14ac:dyDescent="0.3">
      <c r="A10" s="5"/>
      <c r="C10" s="3"/>
      <c r="D10" s="28"/>
      <c r="E10" s="25"/>
      <c r="H10" s="4">
        <f t="shared" si="0"/>
        <v>0</v>
      </c>
    </row>
    <row r="11" spans="1:8" ht="18.75" x14ac:dyDescent="0.3">
      <c r="A11" s="5"/>
      <c r="C11" s="3"/>
      <c r="D11" s="28"/>
      <c r="E11" s="25"/>
      <c r="H11" s="4">
        <f t="shared" si="0"/>
        <v>0</v>
      </c>
    </row>
    <row r="12" spans="1:8" ht="19.5" thickBot="1" x14ac:dyDescent="0.35">
      <c r="A12" s="5"/>
      <c r="C12" s="3"/>
      <c r="D12" s="22"/>
      <c r="E12" s="25"/>
      <c r="H12" s="22">
        <v>0</v>
      </c>
    </row>
    <row r="13" spans="1:8" ht="18.75" customHeight="1" x14ac:dyDescent="0.3">
      <c r="D13" s="4">
        <f>SUM(D7:D12)</f>
        <v>11700</v>
      </c>
      <c r="H13" s="4">
        <f>SUM(H7:H12)</f>
        <v>2223</v>
      </c>
    </row>
    <row r="14" spans="1:8" ht="18.75" x14ac:dyDescent="0.3">
      <c r="A14" s="5"/>
      <c r="C14" s="3"/>
      <c r="D14" s="4"/>
      <c r="H14" s="4"/>
    </row>
    <row r="16" spans="1:8" ht="18.75" x14ac:dyDescent="0.3">
      <c r="A16" s="5"/>
      <c r="C16" s="3"/>
      <c r="D16" s="4"/>
      <c r="H16" s="4"/>
    </row>
    <row r="17" spans="1:8" ht="15.75" thickBot="1" x14ac:dyDescent="0.3">
      <c r="D17" s="7"/>
      <c r="H17" s="7"/>
    </row>
    <row r="19" spans="1:8" ht="18.75" x14ac:dyDescent="0.3">
      <c r="C19" t="s">
        <v>4</v>
      </c>
      <c r="D19" s="4">
        <f>D3-D13</f>
        <v>13510</v>
      </c>
      <c r="G19" t="s">
        <v>5</v>
      </c>
      <c r="H19" s="4">
        <f>H3-H13</f>
        <v>2566.8999999999996</v>
      </c>
    </row>
    <row r="22" spans="1:8" ht="15.75" x14ac:dyDescent="0.25">
      <c r="A22" t="s">
        <v>6</v>
      </c>
      <c r="C22" s="8">
        <f>D19</f>
        <v>13510</v>
      </c>
      <c r="E22" t="s">
        <v>10</v>
      </c>
      <c r="H22" s="6">
        <f>C31</f>
        <v>10842.26</v>
      </c>
    </row>
    <row r="24" spans="1:8" ht="15.75" x14ac:dyDescent="0.25">
      <c r="A24" t="s">
        <v>5</v>
      </c>
      <c r="B24" s="9" t="s">
        <v>7</v>
      </c>
      <c r="C24" s="8">
        <f>H19</f>
        <v>2566.8999999999996</v>
      </c>
      <c r="E24" s="13" t="s">
        <v>11</v>
      </c>
      <c r="F24" s="9" t="s">
        <v>181</v>
      </c>
      <c r="G24" s="15" t="s">
        <v>17</v>
      </c>
      <c r="H24" s="3">
        <f>-(F25*0.0077)</f>
        <v>-157.23477</v>
      </c>
    </row>
    <row r="25" spans="1:8" x14ac:dyDescent="0.25">
      <c r="F25" s="21">
        <f>D3-H3</f>
        <v>20420.099999999999</v>
      </c>
    </row>
    <row r="26" spans="1:8" ht="15.75" x14ac:dyDescent="0.25">
      <c r="A26" t="s">
        <v>8</v>
      </c>
      <c r="B26" s="9" t="s">
        <v>7</v>
      </c>
      <c r="C26" s="8">
        <f>D3*0.004</f>
        <v>100.84</v>
      </c>
      <c r="F26" s="9" t="s">
        <v>13</v>
      </c>
      <c r="G26" s="16">
        <v>0.35</v>
      </c>
      <c r="H26" s="29">
        <f>-(F27*0.35)</f>
        <v>-3794.7909999999997</v>
      </c>
    </row>
    <row r="27" spans="1:8" ht="15.75" thickBot="1" x14ac:dyDescent="0.3">
      <c r="F27" s="21">
        <f>H22</f>
        <v>10842.26</v>
      </c>
      <c r="H27" s="7"/>
    </row>
    <row r="28" spans="1:8" x14ac:dyDescent="0.25">
      <c r="A28" t="s">
        <v>769</v>
      </c>
      <c r="B28" s="9" t="s">
        <v>7</v>
      </c>
      <c r="C28" s="6"/>
      <c r="G28" s="13" t="s">
        <v>14</v>
      </c>
      <c r="H28" s="6">
        <f>H22+H24+H26</f>
        <v>6890.2342300000018</v>
      </c>
    </row>
    <row r="29" spans="1:8" ht="15.75" thickBot="1" x14ac:dyDescent="0.3">
      <c r="A29" s="16">
        <v>2.5000000000000001E-2</v>
      </c>
      <c r="B29" s="34" t="s">
        <v>770</v>
      </c>
      <c r="C29" s="7"/>
    </row>
    <row r="30" spans="1:8" x14ac:dyDescent="0.25">
      <c r="E30" t="s">
        <v>151</v>
      </c>
      <c r="H30" s="20">
        <f>H28*0.5</f>
        <v>3445.1171150000009</v>
      </c>
    </row>
    <row r="31" spans="1:8" ht="15.75" x14ac:dyDescent="0.25">
      <c r="A31" t="s">
        <v>10</v>
      </c>
      <c r="C31" s="10">
        <f>C22-C24-C26-C28</f>
        <v>10842.26</v>
      </c>
      <c r="H31" s="18"/>
    </row>
    <row r="32" spans="1:8" x14ac:dyDescent="0.25">
      <c r="H32" s="3"/>
    </row>
    <row r="33" spans="8:8" x14ac:dyDescent="0.25">
      <c r="H33" s="18"/>
    </row>
  </sheetData>
  <pageMargins left="0.7" right="0.7" top="0.75" bottom="0.75" header="0.3" footer="0.3"/>
</worksheet>
</file>

<file path=xl/worksheets/sheet4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56F12-24E5-482F-83E4-3FFF0C51659D}">
  <dimension ref="A1:H33"/>
  <sheetViews>
    <sheetView workbookViewId="0">
      <selection sqref="A1:XFD1048576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773</v>
      </c>
    </row>
    <row r="3" spans="1:8" ht="21" x14ac:dyDescent="0.35">
      <c r="A3" s="2" t="s">
        <v>1</v>
      </c>
      <c r="C3" s="11">
        <v>658807.5</v>
      </c>
      <c r="D3" s="11">
        <v>565500</v>
      </c>
      <c r="F3" s="12" t="s">
        <v>3</v>
      </c>
      <c r="H3" s="11">
        <f>D3*0.19</f>
        <v>107445</v>
      </c>
    </row>
    <row r="4" spans="1:8" x14ac:dyDescent="0.25">
      <c r="A4" s="13" t="s">
        <v>32</v>
      </c>
      <c r="C4" s="26">
        <v>1121</v>
      </c>
    </row>
    <row r="5" spans="1:8" ht="21" x14ac:dyDescent="0.35">
      <c r="A5" s="2" t="s">
        <v>2</v>
      </c>
    </row>
    <row r="7" spans="1:8" ht="18.75" x14ac:dyDescent="0.3">
      <c r="D7" s="4"/>
      <c r="E7" s="25"/>
      <c r="H7" s="4">
        <f>(D7/1.19)*0.19</f>
        <v>0</v>
      </c>
    </row>
    <row r="8" spans="1:8" ht="18.75" x14ac:dyDescent="0.3">
      <c r="A8" s="5" t="s">
        <v>221</v>
      </c>
      <c r="C8" s="3"/>
      <c r="D8" s="28">
        <v>426557</v>
      </c>
      <c r="E8" s="25"/>
      <c r="H8" s="4">
        <f>D8*0.19</f>
        <v>81045.83</v>
      </c>
    </row>
    <row r="9" spans="1:8" ht="18.75" x14ac:dyDescent="0.3">
      <c r="A9" s="5"/>
      <c r="C9" s="3"/>
      <c r="D9" s="28"/>
      <c r="E9" s="25"/>
      <c r="H9" s="4">
        <f t="shared" ref="H9:H11" si="0">(D9/1.19)*0.19</f>
        <v>0</v>
      </c>
    </row>
    <row r="10" spans="1:8" ht="18.75" x14ac:dyDescent="0.3">
      <c r="A10" s="5"/>
      <c r="C10" s="3"/>
      <c r="D10" s="28"/>
      <c r="E10" s="25"/>
      <c r="H10" s="4">
        <f t="shared" si="0"/>
        <v>0</v>
      </c>
    </row>
    <row r="11" spans="1:8" ht="18.75" x14ac:dyDescent="0.3">
      <c r="A11" s="5"/>
      <c r="C11" s="3"/>
      <c r="D11" s="28"/>
      <c r="E11" s="25"/>
      <c r="H11" s="4">
        <f t="shared" si="0"/>
        <v>0</v>
      </c>
    </row>
    <row r="12" spans="1:8" ht="19.5" thickBot="1" x14ac:dyDescent="0.35">
      <c r="A12" s="5"/>
      <c r="C12" s="3"/>
      <c r="D12" s="22"/>
      <c r="E12" s="25"/>
      <c r="H12" s="22">
        <v>0</v>
      </c>
    </row>
    <row r="13" spans="1:8" ht="18.75" customHeight="1" x14ac:dyDescent="0.3">
      <c r="D13" s="4">
        <f>SUM(D7:D12)</f>
        <v>426557</v>
      </c>
      <c r="H13" s="4">
        <f>SUM(H7:H12)</f>
        <v>81045.83</v>
      </c>
    </row>
    <row r="14" spans="1:8" ht="18.75" x14ac:dyDescent="0.3">
      <c r="A14" s="5"/>
      <c r="C14" s="3"/>
      <c r="D14" s="4"/>
      <c r="H14" s="4"/>
    </row>
    <row r="16" spans="1:8" ht="18.75" x14ac:dyDescent="0.3">
      <c r="A16" s="5"/>
      <c r="C16" s="3"/>
      <c r="D16" s="4"/>
      <c r="H16" s="4"/>
    </row>
    <row r="17" spans="1:8" ht="15.75" thickBot="1" x14ac:dyDescent="0.3">
      <c r="D17" s="7"/>
      <c r="H17" s="7"/>
    </row>
    <row r="19" spans="1:8" ht="18.75" x14ac:dyDescent="0.3">
      <c r="C19" t="s">
        <v>4</v>
      </c>
      <c r="D19" s="4">
        <f>D3-D13</f>
        <v>138943</v>
      </c>
      <c r="G19" t="s">
        <v>5</v>
      </c>
      <c r="H19" s="4">
        <f>H3-H13</f>
        <v>26399.17</v>
      </c>
    </row>
    <row r="22" spans="1:8" ht="15.75" x14ac:dyDescent="0.25">
      <c r="A22" t="s">
        <v>6</v>
      </c>
      <c r="C22" s="8">
        <f>D19</f>
        <v>138943</v>
      </c>
      <c r="E22" t="s">
        <v>10</v>
      </c>
      <c r="H22" s="6">
        <f>C31</f>
        <v>110281.83</v>
      </c>
    </row>
    <row r="24" spans="1:8" ht="15.75" x14ac:dyDescent="0.25">
      <c r="A24" t="s">
        <v>5</v>
      </c>
      <c r="B24" s="9" t="s">
        <v>7</v>
      </c>
      <c r="C24" s="8">
        <f>H19</f>
        <v>26399.17</v>
      </c>
      <c r="E24" s="13" t="s">
        <v>11</v>
      </c>
      <c r="F24" s="9" t="s">
        <v>181</v>
      </c>
      <c r="G24" s="15" t="s">
        <v>17</v>
      </c>
      <c r="H24" s="3">
        <f>-(F25*0.0077)</f>
        <v>-3527.0235000000002</v>
      </c>
    </row>
    <row r="25" spans="1:8" x14ac:dyDescent="0.25">
      <c r="F25" s="21">
        <f>D3-H3</f>
        <v>458055</v>
      </c>
    </row>
    <row r="26" spans="1:8" ht="15.75" x14ac:dyDescent="0.25">
      <c r="A26" t="s">
        <v>8</v>
      </c>
      <c r="B26" s="9" t="s">
        <v>7</v>
      </c>
      <c r="C26" s="8">
        <f>D3*0.004</f>
        <v>2262</v>
      </c>
      <c r="F26" s="9" t="s">
        <v>13</v>
      </c>
      <c r="G26" s="16">
        <v>0.35</v>
      </c>
      <c r="H26" s="29">
        <f>-(F27*0.35)</f>
        <v>-38598.640500000001</v>
      </c>
    </row>
    <row r="27" spans="1:8" ht="15.75" thickBot="1" x14ac:dyDescent="0.3">
      <c r="F27" s="21">
        <f>H22</f>
        <v>110281.83</v>
      </c>
      <c r="H27" s="7"/>
    </row>
    <row r="28" spans="1:8" x14ac:dyDescent="0.25">
      <c r="A28" t="s">
        <v>769</v>
      </c>
      <c r="B28" s="9" t="s">
        <v>7</v>
      </c>
      <c r="C28" s="6"/>
      <c r="G28" s="13" t="s">
        <v>14</v>
      </c>
      <c r="H28" s="6">
        <f>H22+H24+H26</f>
        <v>68156.165999999997</v>
      </c>
    </row>
    <row r="29" spans="1:8" ht="15.75" thickBot="1" x14ac:dyDescent="0.3">
      <c r="A29" s="16">
        <v>2.5000000000000001E-2</v>
      </c>
      <c r="B29" s="34" t="s">
        <v>770</v>
      </c>
      <c r="C29" s="7"/>
    </row>
    <row r="30" spans="1:8" x14ac:dyDescent="0.25">
      <c r="E30" t="s">
        <v>151</v>
      </c>
      <c r="H30" s="20">
        <f>H28*0.5</f>
        <v>34078.082999999999</v>
      </c>
    </row>
    <row r="31" spans="1:8" ht="15.75" x14ac:dyDescent="0.25">
      <c r="A31" t="s">
        <v>10</v>
      </c>
      <c r="C31" s="10">
        <f>C22-C24-C26-C28</f>
        <v>110281.83</v>
      </c>
      <c r="H31" s="18"/>
    </row>
    <row r="32" spans="1:8" x14ac:dyDescent="0.25">
      <c r="H32" s="3"/>
    </row>
    <row r="33" spans="8:8" x14ac:dyDescent="0.25">
      <c r="H33" s="18"/>
    </row>
  </sheetData>
  <pageMargins left="0.7" right="0.7" top="0.75" bottom="0.75" header="0.3" footer="0.3"/>
</worksheet>
</file>

<file path=xl/worksheets/sheet4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2849B-7D5B-4C99-9827-26AFF53D0F04}">
  <dimension ref="A1:H33"/>
  <sheetViews>
    <sheetView workbookViewId="0">
      <selection sqref="A1:XFD1048576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774</v>
      </c>
    </row>
    <row r="3" spans="1:8" ht="21" x14ac:dyDescent="0.35">
      <c r="A3" s="2" t="s">
        <v>1</v>
      </c>
      <c r="C3" s="11">
        <v>21420</v>
      </c>
      <c r="D3" s="11">
        <f>(C3/1.19)</f>
        <v>18000</v>
      </c>
      <c r="F3" s="12" t="s">
        <v>3</v>
      </c>
      <c r="H3" s="11">
        <f>D3*0.19</f>
        <v>3420</v>
      </c>
    </row>
    <row r="4" spans="1:8" x14ac:dyDescent="0.25">
      <c r="A4" s="13" t="s">
        <v>32</v>
      </c>
      <c r="C4" s="26">
        <v>1122</v>
      </c>
    </row>
    <row r="5" spans="1:8" ht="21" x14ac:dyDescent="0.35">
      <c r="A5" s="2" t="s">
        <v>2</v>
      </c>
    </row>
    <row r="7" spans="1:8" ht="18.75" x14ac:dyDescent="0.3">
      <c r="D7" s="4"/>
      <c r="E7" s="25"/>
      <c r="H7" s="4">
        <f>(D7/1.19)*0.19</f>
        <v>0</v>
      </c>
    </row>
    <row r="8" spans="1:8" ht="18.75" x14ac:dyDescent="0.3">
      <c r="A8" s="5" t="s">
        <v>221</v>
      </c>
      <c r="C8" s="3"/>
      <c r="D8" s="28">
        <v>9900</v>
      </c>
      <c r="E8" s="25"/>
      <c r="H8" s="4">
        <f>D8*0.19</f>
        <v>1881</v>
      </c>
    </row>
    <row r="9" spans="1:8" ht="18.75" x14ac:dyDescent="0.3">
      <c r="A9" s="5"/>
      <c r="C9" s="3"/>
      <c r="D9" s="28"/>
      <c r="E9" s="25"/>
      <c r="H9" s="4">
        <f t="shared" ref="H9:H11" si="0">(D9/1.19)*0.19</f>
        <v>0</v>
      </c>
    </row>
    <row r="10" spans="1:8" ht="18.75" x14ac:dyDescent="0.3">
      <c r="A10" s="5"/>
      <c r="C10" s="3"/>
      <c r="D10" s="28"/>
      <c r="E10" s="25"/>
      <c r="H10" s="4">
        <f t="shared" si="0"/>
        <v>0</v>
      </c>
    </row>
    <row r="11" spans="1:8" ht="18.75" x14ac:dyDescent="0.3">
      <c r="A11" s="5"/>
      <c r="C11" s="3"/>
      <c r="D11" s="28"/>
      <c r="E11" s="25"/>
      <c r="H11" s="4">
        <f t="shared" si="0"/>
        <v>0</v>
      </c>
    </row>
    <row r="12" spans="1:8" ht="19.5" thickBot="1" x14ac:dyDescent="0.35">
      <c r="A12" s="5"/>
      <c r="C12" s="3"/>
      <c r="D12" s="22"/>
      <c r="E12" s="25"/>
      <c r="H12" s="22">
        <v>0</v>
      </c>
    </row>
    <row r="13" spans="1:8" ht="18.75" customHeight="1" x14ac:dyDescent="0.3">
      <c r="D13" s="4">
        <f>SUM(D7:D12)</f>
        <v>9900</v>
      </c>
      <c r="H13" s="4">
        <f>SUM(H7:H12)</f>
        <v>1881</v>
      </c>
    </row>
    <row r="14" spans="1:8" ht="18.75" x14ac:dyDescent="0.3">
      <c r="A14" s="5"/>
      <c r="C14" s="3"/>
      <c r="D14" s="4"/>
      <c r="H14" s="4"/>
    </row>
    <row r="16" spans="1:8" ht="18.75" x14ac:dyDescent="0.3">
      <c r="A16" s="5"/>
      <c r="C16" s="3"/>
      <c r="D16" s="4"/>
      <c r="H16" s="4"/>
    </row>
    <row r="17" spans="1:8" ht="15.75" thickBot="1" x14ac:dyDescent="0.3">
      <c r="D17" s="7"/>
      <c r="H17" s="7"/>
    </row>
    <row r="19" spans="1:8" ht="18.75" x14ac:dyDescent="0.3">
      <c r="C19" t="s">
        <v>4</v>
      </c>
      <c r="D19" s="4">
        <f>D3-D13</f>
        <v>8100</v>
      </c>
      <c r="G19" t="s">
        <v>5</v>
      </c>
      <c r="H19" s="4">
        <f>H3-H13</f>
        <v>1539</v>
      </c>
    </row>
    <row r="22" spans="1:8" ht="15.75" x14ac:dyDescent="0.25">
      <c r="A22" t="s">
        <v>6</v>
      </c>
      <c r="C22" s="8">
        <f>D19</f>
        <v>8100</v>
      </c>
      <c r="E22" t="s">
        <v>10</v>
      </c>
      <c r="H22" s="6">
        <f>C31</f>
        <v>6489</v>
      </c>
    </row>
    <row r="24" spans="1:8" ht="15.75" x14ac:dyDescent="0.25">
      <c r="A24" t="s">
        <v>5</v>
      </c>
      <c r="B24" s="9" t="s">
        <v>7</v>
      </c>
      <c r="C24" s="8">
        <f>H19</f>
        <v>1539</v>
      </c>
      <c r="E24" s="13" t="s">
        <v>11</v>
      </c>
      <c r="F24" s="9" t="s">
        <v>181</v>
      </c>
      <c r="G24" s="15" t="s">
        <v>17</v>
      </c>
      <c r="H24" s="3">
        <f>-(F25*0.0077)</f>
        <v>-112.26600000000001</v>
      </c>
    </row>
    <row r="25" spans="1:8" x14ac:dyDescent="0.25">
      <c r="F25" s="21">
        <f>D3-H3</f>
        <v>14580</v>
      </c>
    </row>
    <row r="26" spans="1:8" ht="15.75" x14ac:dyDescent="0.25">
      <c r="A26" t="s">
        <v>8</v>
      </c>
      <c r="B26" s="9" t="s">
        <v>7</v>
      </c>
      <c r="C26" s="8">
        <f>D3*0.004</f>
        <v>72</v>
      </c>
      <c r="F26" s="9" t="s">
        <v>13</v>
      </c>
      <c r="G26" s="16">
        <v>0.35</v>
      </c>
      <c r="H26" s="29">
        <f>-(F27*0.35)</f>
        <v>-2271.1499999999996</v>
      </c>
    </row>
    <row r="27" spans="1:8" ht="15.75" thickBot="1" x14ac:dyDescent="0.3">
      <c r="F27" s="21">
        <f>H22</f>
        <v>6489</v>
      </c>
      <c r="H27" s="7"/>
    </row>
    <row r="28" spans="1:8" x14ac:dyDescent="0.25">
      <c r="A28" t="s">
        <v>769</v>
      </c>
      <c r="B28" s="9" t="s">
        <v>7</v>
      </c>
      <c r="C28" s="6"/>
      <c r="G28" s="13" t="s">
        <v>14</v>
      </c>
      <c r="H28" s="6">
        <f>H22+H24+H26</f>
        <v>4105.5840000000007</v>
      </c>
    </row>
    <row r="29" spans="1:8" ht="15.75" thickBot="1" x14ac:dyDescent="0.3">
      <c r="A29" s="16">
        <v>2.5000000000000001E-2</v>
      </c>
      <c r="B29" s="34" t="s">
        <v>770</v>
      </c>
      <c r="C29" s="7"/>
    </row>
    <row r="30" spans="1:8" x14ac:dyDescent="0.25">
      <c r="E30" t="s">
        <v>151</v>
      </c>
      <c r="H30" s="20">
        <f>H28*0.5</f>
        <v>2052.7920000000004</v>
      </c>
    </row>
    <row r="31" spans="1:8" ht="15.75" x14ac:dyDescent="0.25">
      <c r="A31" t="s">
        <v>10</v>
      </c>
      <c r="C31" s="10">
        <f>C22-C24-C26-C28</f>
        <v>6489</v>
      </c>
      <c r="H31" s="18"/>
    </row>
    <row r="32" spans="1:8" x14ac:dyDescent="0.25">
      <c r="H32" s="3"/>
    </row>
    <row r="33" spans="8:8" x14ac:dyDescent="0.25">
      <c r="H33" s="18"/>
    </row>
  </sheetData>
  <pageMargins left="0.7" right="0.7" top="0.75" bottom="0.75" header="0.3" footer="0.3"/>
</worksheet>
</file>

<file path=xl/worksheets/sheet4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168E3-2B23-4527-AA46-82EAFADBDDF4}">
  <dimension ref="A1:H33"/>
  <sheetViews>
    <sheetView workbookViewId="0">
      <selection sqref="A1:XFD1048576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775</v>
      </c>
    </row>
    <row r="3" spans="1:8" ht="21" x14ac:dyDescent="0.35">
      <c r="A3" s="2" t="s">
        <v>1</v>
      </c>
      <c r="C3" s="11">
        <v>239428</v>
      </c>
      <c r="D3" s="11">
        <f>(C3/1.19)</f>
        <v>201200</v>
      </c>
      <c r="F3" s="12" t="s">
        <v>3</v>
      </c>
      <c r="H3" s="11">
        <f>D3*0.19</f>
        <v>38228</v>
      </c>
    </row>
    <row r="4" spans="1:8" x14ac:dyDescent="0.25">
      <c r="A4" s="13" t="s">
        <v>32</v>
      </c>
      <c r="C4" s="26">
        <v>1123</v>
      </c>
    </row>
    <row r="5" spans="1:8" ht="21" x14ac:dyDescent="0.35">
      <c r="A5" s="2" t="s">
        <v>2</v>
      </c>
    </row>
    <row r="7" spans="1:8" ht="18.75" x14ac:dyDescent="0.3">
      <c r="D7" s="4"/>
      <c r="E7" s="25"/>
      <c r="H7" s="4">
        <f>(D7/1.19)*0.19</f>
        <v>0</v>
      </c>
    </row>
    <row r="8" spans="1:8" ht="18.75" x14ac:dyDescent="0.3">
      <c r="A8" s="5" t="s">
        <v>221</v>
      </c>
      <c r="C8" s="3"/>
      <c r="D8" s="28">
        <v>122200</v>
      </c>
      <c r="E8" s="25"/>
      <c r="H8" s="4">
        <f>D8*0.19</f>
        <v>23218</v>
      </c>
    </row>
    <row r="9" spans="1:8" ht="18.75" x14ac:dyDescent="0.3">
      <c r="A9" s="5"/>
      <c r="C9" s="3"/>
      <c r="D9" s="28"/>
      <c r="E9" s="25"/>
      <c r="H9" s="4">
        <f t="shared" ref="H9:H11" si="0">(D9/1.19)*0.19</f>
        <v>0</v>
      </c>
    </row>
    <row r="10" spans="1:8" ht="18.75" x14ac:dyDescent="0.3">
      <c r="A10" s="5"/>
      <c r="C10" s="3"/>
      <c r="D10" s="28"/>
      <c r="E10" s="25"/>
      <c r="H10" s="4">
        <f t="shared" si="0"/>
        <v>0</v>
      </c>
    </row>
    <row r="11" spans="1:8" ht="18.75" x14ac:dyDescent="0.3">
      <c r="A11" s="5"/>
      <c r="C11" s="3"/>
      <c r="D11" s="28"/>
      <c r="E11" s="25"/>
      <c r="H11" s="4">
        <f t="shared" si="0"/>
        <v>0</v>
      </c>
    </row>
    <row r="12" spans="1:8" ht="19.5" thickBot="1" x14ac:dyDescent="0.35">
      <c r="A12" s="5"/>
      <c r="C12" s="3"/>
      <c r="D12" s="22"/>
      <c r="E12" s="25"/>
      <c r="H12" s="22">
        <v>0</v>
      </c>
    </row>
    <row r="13" spans="1:8" ht="18.75" customHeight="1" x14ac:dyDescent="0.3">
      <c r="D13" s="4">
        <f>SUM(D7:D12)</f>
        <v>122200</v>
      </c>
      <c r="H13" s="4">
        <f>SUM(H7:H12)</f>
        <v>23218</v>
      </c>
    </row>
    <row r="14" spans="1:8" ht="18.75" x14ac:dyDescent="0.3">
      <c r="A14" s="5"/>
      <c r="C14" s="3"/>
      <c r="D14" s="4"/>
      <c r="H14" s="4"/>
    </row>
    <row r="16" spans="1:8" ht="18.75" x14ac:dyDescent="0.3">
      <c r="A16" s="5"/>
      <c r="C16" s="3"/>
      <c r="D16" s="4"/>
      <c r="H16" s="4"/>
    </row>
    <row r="17" spans="1:8" ht="15.75" thickBot="1" x14ac:dyDescent="0.3">
      <c r="D17" s="7"/>
      <c r="H17" s="7"/>
    </row>
    <row r="19" spans="1:8" ht="18.75" x14ac:dyDescent="0.3">
      <c r="C19" t="s">
        <v>4</v>
      </c>
      <c r="D19" s="4">
        <f>D3-D13</f>
        <v>79000</v>
      </c>
      <c r="G19" t="s">
        <v>5</v>
      </c>
      <c r="H19" s="4">
        <f>H3-H13</f>
        <v>15010</v>
      </c>
    </row>
    <row r="22" spans="1:8" ht="15.75" x14ac:dyDescent="0.25">
      <c r="A22" t="s">
        <v>6</v>
      </c>
      <c r="C22" s="8">
        <f>D19</f>
        <v>79000</v>
      </c>
      <c r="E22" t="s">
        <v>10</v>
      </c>
      <c r="H22" s="6">
        <f>C31</f>
        <v>63185.2</v>
      </c>
    </row>
    <row r="24" spans="1:8" ht="15.75" x14ac:dyDescent="0.25">
      <c r="A24" t="s">
        <v>5</v>
      </c>
      <c r="B24" s="9" t="s">
        <v>7</v>
      </c>
      <c r="C24" s="8">
        <f>H19</f>
        <v>15010</v>
      </c>
      <c r="E24" s="13" t="s">
        <v>11</v>
      </c>
      <c r="F24" s="9" t="s">
        <v>181</v>
      </c>
      <c r="G24" s="15" t="s">
        <v>17</v>
      </c>
      <c r="H24" s="3">
        <f>-(F25*0.0077)</f>
        <v>-1254.8844000000001</v>
      </c>
    </row>
    <row r="25" spans="1:8" x14ac:dyDescent="0.25">
      <c r="F25" s="21">
        <f>D3-H3</f>
        <v>162972</v>
      </c>
    </row>
    <row r="26" spans="1:8" ht="15.75" x14ac:dyDescent="0.25">
      <c r="A26" t="s">
        <v>8</v>
      </c>
      <c r="B26" s="9" t="s">
        <v>7</v>
      </c>
      <c r="C26" s="8">
        <f>D3*0.004</f>
        <v>804.80000000000007</v>
      </c>
      <c r="F26" s="9" t="s">
        <v>13</v>
      </c>
      <c r="G26" s="16">
        <v>0.35</v>
      </c>
      <c r="H26" s="29">
        <f>-(F27*0.35)</f>
        <v>-22114.819999999996</v>
      </c>
    </row>
    <row r="27" spans="1:8" ht="15.75" thickBot="1" x14ac:dyDescent="0.3">
      <c r="F27" s="21">
        <f>H22</f>
        <v>63185.2</v>
      </c>
      <c r="H27" s="7"/>
    </row>
    <row r="28" spans="1:8" x14ac:dyDescent="0.25">
      <c r="A28" t="s">
        <v>769</v>
      </c>
      <c r="B28" s="9" t="s">
        <v>7</v>
      </c>
      <c r="C28" s="6"/>
      <c r="G28" s="13" t="s">
        <v>14</v>
      </c>
      <c r="H28" s="6">
        <f>H22+H24+H26</f>
        <v>39815.495599999995</v>
      </c>
    </row>
    <row r="29" spans="1:8" ht="15.75" thickBot="1" x14ac:dyDescent="0.3">
      <c r="A29" s="16">
        <v>2.5000000000000001E-2</v>
      </c>
      <c r="B29" s="34" t="s">
        <v>770</v>
      </c>
      <c r="C29" s="7"/>
    </row>
    <row r="30" spans="1:8" x14ac:dyDescent="0.25">
      <c r="E30" t="s">
        <v>151</v>
      </c>
      <c r="H30" s="20">
        <f>H28*0.5</f>
        <v>19907.747799999997</v>
      </c>
    </row>
    <row r="31" spans="1:8" ht="15.75" x14ac:dyDescent="0.25">
      <c r="A31" t="s">
        <v>10</v>
      </c>
      <c r="C31" s="10">
        <f>C22-C24-C26-C28</f>
        <v>63185.2</v>
      </c>
      <c r="H31" s="18"/>
    </row>
    <row r="32" spans="1:8" x14ac:dyDescent="0.25">
      <c r="H32" s="3"/>
    </row>
    <row r="33" spans="8:8" x14ac:dyDescent="0.25">
      <c r="H33" s="18"/>
    </row>
  </sheetData>
  <pageMargins left="0.7" right="0.7" top="0.75" bottom="0.75" header="0.3" footer="0.3"/>
</worksheet>
</file>

<file path=xl/worksheets/sheet4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ADE3B-0478-466B-9096-B90634402FFD}">
  <dimension ref="A1:H33"/>
  <sheetViews>
    <sheetView workbookViewId="0">
      <selection sqref="A1:XFD1048576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776</v>
      </c>
    </row>
    <row r="3" spans="1:8" ht="21" x14ac:dyDescent="0.35">
      <c r="A3" s="2" t="s">
        <v>1</v>
      </c>
      <c r="C3" s="11">
        <v>175930</v>
      </c>
      <c r="D3" s="11">
        <f>(C3/1.19)</f>
        <v>147840.3361344538</v>
      </c>
      <c r="F3" s="12" t="s">
        <v>3</v>
      </c>
      <c r="H3" s="11">
        <f>D3*0.19</f>
        <v>28089.663865546223</v>
      </c>
    </row>
    <row r="4" spans="1:8" x14ac:dyDescent="0.25">
      <c r="A4" s="13" t="s">
        <v>32</v>
      </c>
      <c r="C4" s="26" t="s">
        <v>777</v>
      </c>
    </row>
    <row r="5" spans="1:8" ht="21" x14ac:dyDescent="0.35">
      <c r="A5" s="2" t="s">
        <v>2</v>
      </c>
    </row>
    <row r="7" spans="1:8" ht="18.75" x14ac:dyDescent="0.3">
      <c r="D7" s="4"/>
      <c r="E7" s="25"/>
      <c r="H7" s="4">
        <f>(D7/1.19)*0.19</f>
        <v>0</v>
      </c>
    </row>
    <row r="8" spans="1:8" ht="18.75" x14ac:dyDescent="0.3">
      <c r="A8" s="5" t="s">
        <v>221</v>
      </c>
      <c r="C8" s="3"/>
      <c r="D8" s="28">
        <v>92240</v>
      </c>
      <c r="E8" s="25"/>
      <c r="H8" s="4">
        <f>D8*0.19</f>
        <v>17525.599999999999</v>
      </c>
    </row>
    <row r="9" spans="1:8" ht="18.75" x14ac:dyDescent="0.3">
      <c r="A9" s="5"/>
      <c r="C9" s="3"/>
      <c r="D9" s="28"/>
      <c r="E9" s="25"/>
      <c r="H9" s="4">
        <f t="shared" ref="H9:H11" si="0">(D9/1.19)*0.19</f>
        <v>0</v>
      </c>
    </row>
    <row r="10" spans="1:8" ht="18.75" x14ac:dyDescent="0.3">
      <c r="A10" s="5"/>
      <c r="C10" s="3"/>
      <c r="D10" s="28"/>
      <c r="E10" s="25"/>
      <c r="H10" s="4">
        <f t="shared" si="0"/>
        <v>0</v>
      </c>
    </row>
    <row r="11" spans="1:8" ht="18.75" x14ac:dyDescent="0.3">
      <c r="A11" s="5"/>
      <c r="C11" s="3"/>
      <c r="D11" s="28"/>
      <c r="E11" s="25"/>
      <c r="H11" s="4">
        <f t="shared" si="0"/>
        <v>0</v>
      </c>
    </row>
    <row r="12" spans="1:8" ht="19.5" thickBot="1" x14ac:dyDescent="0.35">
      <c r="A12" s="5"/>
      <c r="C12" s="3"/>
      <c r="D12" s="22"/>
      <c r="E12" s="25"/>
      <c r="H12" s="22">
        <v>0</v>
      </c>
    </row>
    <row r="13" spans="1:8" ht="18.75" customHeight="1" x14ac:dyDescent="0.3">
      <c r="D13" s="4">
        <f>SUM(D7:D12)</f>
        <v>92240</v>
      </c>
      <c r="H13" s="4">
        <f>SUM(H7:H12)</f>
        <v>17525.599999999999</v>
      </c>
    </row>
    <row r="14" spans="1:8" ht="18.75" x14ac:dyDescent="0.3">
      <c r="A14" s="5"/>
      <c r="C14" s="3"/>
      <c r="D14" s="4"/>
      <c r="H14" s="4"/>
    </row>
    <row r="16" spans="1:8" ht="18.75" x14ac:dyDescent="0.3">
      <c r="A16" s="5"/>
      <c r="C16" s="3"/>
      <c r="D16" s="4"/>
      <c r="H16" s="4"/>
    </row>
    <row r="17" spans="1:8" ht="15.75" thickBot="1" x14ac:dyDescent="0.3">
      <c r="D17" s="7"/>
      <c r="H17" s="7"/>
    </row>
    <row r="19" spans="1:8" ht="18.75" x14ac:dyDescent="0.3">
      <c r="C19" t="s">
        <v>4</v>
      </c>
      <c r="D19" s="4">
        <f>D3-D13</f>
        <v>55600.336134453799</v>
      </c>
      <c r="G19" t="s">
        <v>5</v>
      </c>
      <c r="H19" s="4">
        <f>H3-H13</f>
        <v>10564.063865546224</v>
      </c>
    </row>
    <row r="22" spans="1:8" ht="15.75" x14ac:dyDescent="0.25">
      <c r="A22" t="s">
        <v>6</v>
      </c>
      <c r="C22" s="8">
        <f>D19</f>
        <v>55600.336134453799</v>
      </c>
      <c r="E22" t="s">
        <v>10</v>
      </c>
      <c r="H22" s="6">
        <f>C31</f>
        <v>44444.91092436976</v>
      </c>
    </row>
    <row r="24" spans="1:8" ht="15.75" x14ac:dyDescent="0.25">
      <c r="A24" t="s">
        <v>5</v>
      </c>
      <c r="B24" s="9" t="s">
        <v>7</v>
      </c>
      <c r="C24" s="8">
        <f>H19</f>
        <v>10564.063865546224</v>
      </c>
      <c r="E24" s="13" t="s">
        <v>11</v>
      </c>
      <c r="F24" s="9" t="s">
        <v>181</v>
      </c>
      <c r="G24" s="15" t="s">
        <v>17</v>
      </c>
      <c r="H24" s="3">
        <f>-(F25*0.0077)</f>
        <v>-922.0801764705883</v>
      </c>
    </row>
    <row r="25" spans="1:8" x14ac:dyDescent="0.25">
      <c r="F25" s="21">
        <f>D3-H3</f>
        <v>119750.67226890757</v>
      </c>
    </row>
    <row r="26" spans="1:8" ht="15.75" x14ac:dyDescent="0.25">
      <c r="A26" t="s">
        <v>8</v>
      </c>
      <c r="B26" s="9" t="s">
        <v>7</v>
      </c>
      <c r="C26" s="8">
        <f>D3*0.004</f>
        <v>591.36134453781517</v>
      </c>
      <c r="F26" s="9" t="s">
        <v>13</v>
      </c>
      <c r="G26" s="16">
        <v>0.35</v>
      </c>
      <c r="H26" s="29">
        <f>-(F27*0.35)</f>
        <v>-15555.718823529414</v>
      </c>
    </row>
    <row r="27" spans="1:8" ht="15.75" thickBot="1" x14ac:dyDescent="0.3">
      <c r="F27" s="21">
        <f>H22</f>
        <v>44444.91092436976</v>
      </c>
      <c r="H27" s="7"/>
    </row>
    <row r="28" spans="1:8" x14ac:dyDescent="0.25">
      <c r="A28" t="s">
        <v>769</v>
      </c>
      <c r="B28" s="9" t="s">
        <v>7</v>
      </c>
      <c r="C28" s="6"/>
      <c r="G28" s="13" t="s">
        <v>14</v>
      </c>
      <c r="H28" s="6">
        <f>H22+H24+H26</f>
        <v>27967.111924369754</v>
      </c>
    </row>
    <row r="29" spans="1:8" ht="15.75" thickBot="1" x14ac:dyDescent="0.3">
      <c r="A29" s="16">
        <v>2.5000000000000001E-2</v>
      </c>
      <c r="B29" s="34" t="s">
        <v>770</v>
      </c>
      <c r="C29" s="7"/>
    </row>
    <row r="30" spans="1:8" x14ac:dyDescent="0.25">
      <c r="E30" t="s">
        <v>151</v>
      </c>
      <c r="H30" s="20">
        <f>H28*0.5</f>
        <v>13983.555962184877</v>
      </c>
    </row>
    <row r="31" spans="1:8" ht="15.75" x14ac:dyDescent="0.25">
      <c r="A31" t="s">
        <v>10</v>
      </c>
      <c r="C31" s="10">
        <f>C22-C24-C26-C28</f>
        <v>44444.91092436976</v>
      </c>
      <c r="H31" s="18"/>
    </row>
    <row r="32" spans="1:8" x14ac:dyDescent="0.25">
      <c r="H32" s="3"/>
    </row>
    <row r="33" spans="8:8" x14ac:dyDescent="0.25">
      <c r="H33" s="18"/>
    </row>
  </sheetData>
  <pageMargins left="0.7" right="0.7" top="0.75" bottom="0.75" header="0.3" footer="0.3"/>
</worksheet>
</file>

<file path=xl/worksheets/sheet4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AC2E2-C352-41A9-918B-F6F06B72458C}">
  <dimension ref="A1:H33"/>
  <sheetViews>
    <sheetView workbookViewId="0">
      <selection sqref="A1:XFD1048576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778</v>
      </c>
    </row>
    <row r="3" spans="1:8" ht="21" x14ac:dyDescent="0.35">
      <c r="A3" s="2" t="s">
        <v>1</v>
      </c>
      <c r="C3" s="11">
        <v>433755</v>
      </c>
      <c r="D3" s="11">
        <f>(C3/1.19)</f>
        <v>364500</v>
      </c>
      <c r="F3" s="12" t="s">
        <v>3</v>
      </c>
      <c r="H3" s="11">
        <f>D3*0.19</f>
        <v>69255</v>
      </c>
    </row>
    <row r="4" spans="1:8" x14ac:dyDescent="0.25">
      <c r="A4" s="13" t="s">
        <v>32</v>
      </c>
      <c r="C4" s="26" t="s">
        <v>779</v>
      </c>
    </row>
    <row r="5" spans="1:8" ht="21" x14ac:dyDescent="0.35">
      <c r="A5" s="2" t="s">
        <v>2</v>
      </c>
    </row>
    <row r="7" spans="1:8" ht="18.75" x14ac:dyDescent="0.3">
      <c r="D7" s="4"/>
      <c r="E7" s="25"/>
      <c r="H7" s="4">
        <f>(D7/1.19)*0.19</f>
        <v>0</v>
      </c>
    </row>
    <row r="8" spans="1:8" ht="18.75" x14ac:dyDescent="0.3">
      <c r="A8" s="5" t="s">
        <v>221</v>
      </c>
      <c r="C8" s="3"/>
      <c r="D8" s="28">
        <v>270000</v>
      </c>
      <c r="E8" s="25"/>
      <c r="H8" s="4">
        <f>D8*0.19</f>
        <v>51300</v>
      </c>
    </row>
    <row r="9" spans="1:8" ht="18.75" x14ac:dyDescent="0.3">
      <c r="A9" s="5"/>
      <c r="C9" s="3"/>
      <c r="D9" s="28"/>
      <c r="E9" s="25"/>
      <c r="H9" s="4">
        <f t="shared" ref="H9:H11" si="0">(D9/1.19)*0.19</f>
        <v>0</v>
      </c>
    </row>
    <row r="10" spans="1:8" ht="18.75" x14ac:dyDescent="0.3">
      <c r="A10" s="5"/>
      <c r="C10" s="3"/>
      <c r="D10" s="28"/>
      <c r="E10" s="25"/>
      <c r="H10" s="4">
        <f t="shared" si="0"/>
        <v>0</v>
      </c>
    </row>
    <row r="11" spans="1:8" ht="18.75" x14ac:dyDescent="0.3">
      <c r="A11" s="5"/>
      <c r="C11" s="3"/>
      <c r="D11" s="28"/>
      <c r="E11" s="25"/>
      <c r="H11" s="4">
        <f t="shared" si="0"/>
        <v>0</v>
      </c>
    </row>
    <row r="12" spans="1:8" ht="19.5" thickBot="1" x14ac:dyDescent="0.35">
      <c r="A12" s="5"/>
      <c r="C12" s="3"/>
      <c r="D12" s="22"/>
      <c r="E12" s="25"/>
      <c r="H12" s="22">
        <v>0</v>
      </c>
    </row>
    <row r="13" spans="1:8" ht="18.75" customHeight="1" x14ac:dyDescent="0.3">
      <c r="D13" s="4">
        <f>SUM(D7:D12)</f>
        <v>270000</v>
      </c>
      <c r="H13" s="4">
        <f>SUM(H7:H12)</f>
        <v>51300</v>
      </c>
    </row>
    <row r="14" spans="1:8" ht="18.75" x14ac:dyDescent="0.3">
      <c r="A14" s="5"/>
      <c r="C14" s="3"/>
      <c r="D14" s="4"/>
      <c r="H14" s="4"/>
    </row>
    <row r="16" spans="1:8" ht="18.75" x14ac:dyDescent="0.3">
      <c r="A16" s="5"/>
      <c r="C16" s="3"/>
      <c r="D16" s="4"/>
      <c r="H16" s="4"/>
    </row>
    <row r="17" spans="1:8" ht="15.75" thickBot="1" x14ac:dyDescent="0.3">
      <c r="D17" s="7"/>
      <c r="H17" s="7"/>
    </row>
    <row r="19" spans="1:8" ht="18.75" x14ac:dyDescent="0.3">
      <c r="C19" t="s">
        <v>4</v>
      </c>
      <c r="D19" s="4">
        <f>D3-D13</f>
        <v>94500</v>
      </c>
      <c r="G19" t="s">
        <v>5</v>
      </c>
      <c r="H19" s="4">
        <f>H3-H13</f>
        <v>17955</v>
      </c>
    </row>
    <row r="22" spans="1:8" ht="15.75" x14ac:dyDescent="0.25">
      <c r="A22" t="s">
        <v>6</v>
      </c>
      <c r="C22" s="8">
        <f>D19</f>
        <v>94500</v>
      </c>
      <c r="E22" t="s">
        <v>10</v>
      </c>
      <c r="H22" s="6">
        <f>C31</f>
        <v>75087</v>
      </c>
    </row>
    <row r="24" spans="1:8" ht="15.75" x14ac:dyDescent="0.25">
      <c r="A24" t="s">
        <v>5</v>
      </c>
      <c r="B24" s="9" t="s">
        <v>7</v>
      </c>
      <c r="C24" s="8">
        <f>H19</f>
        <v>17955</v>
      </c>
      <c r="E24" s="13" t="s">
        <v>11</v>
      </c>
      <c r="F24" s="9" t="s">
        <v>181</v>
      </c>
      <c r="G24" s="15" t="s">
        <v>17</v>
      </c>
      <c r="H24" s="3">
        <f>-(F25*0.0077)</f>
        <v>-2273.3865000000001</v>
      </c>
    </row>
    <row r="25" spans="1:8" x14ac:dyDescent="0.25">
      <c r="F25" s="21">
        <f>D3-H3</f>
        <v>295245</v>
      </c>
    </row>
    <row r="26" spans="1:8" ht="15.75" x14ac:dyDescent="0.25">
      <c r="A26" t="s">
        <v>8</v>
      </c>
      <c r="B26" s="9" t="s">
        <v>7</v>
      </c>
      <c r="C26" s="8">
        <f>D3*0.004</f>
        <v>1458</v>
      </c>
      <c r="F26" s="9" t="s">
        <v>13</v>
      </c>
      <c r="G26" s="16">
        <v>0.35</v>
      </c>
      <c r="H26" s="29">
        <f>-(F27*0.35)</f>
        <v>-26280.449999999997</v>
      </c>
    </row>
    <row r="27" spans="1:8" ht="15.75" thickBot="1" x14ac:dyDescent="0.3">
      <c r="F27" s="21">
        <f>H22</f>
        <v>75087</v>
      </c>
      <c r="H27" s="7"/>
    </row>
    <row r="28" spans="1:8" x14ac:dyDescent="0.25">
      <c r="A28" t="s">
        <v>769</v>
      </c>
      <c r="B28" s="9" t="s">
        <v>7</v>
      </c>
      <c r="C28" s="6"/>
      <c r="G28" s="13" t="s">
        <v>14</v>
      </c>
      <c r="H28" s="6">
        <f>H22+H24+H26</f>
        <v>46533.16350000001</v>
      </c>
    </row>
    <row r="29" spans="1:8" ht="15.75" thickBot="1" x14ac:dyDescent="0.3">
      <c r="A29" s="16">
        <v>2.5000000000000001E-2</v>
      </c>
      <c r="B29" s="34" t="s">
        <v>770</v>
      </c>
      <c r="C29" s="7"/>
    </row>
    <row r="30" spans="1:8" x14ac:dyDescent="0.25">
      <c r="E30" t="s">
        <v>151</v>
      </c>
      <c r="H30" s="20">
        <f>H28*0.5</f>
        <v>23266.581750000005</v>
      </c>
    </row>
    <row r="31" spans="1:8" ht="15.75" x14ac:dyDescent="0.25">
      <c r="A31" t="s">
        <v>10</v>
      </c>
      <c r="C31" s="10">
        <f>C22-C24-C26-C28</f>
        <v>75087</v>
      </c>
      <c r="H31" s="18"/>
    </row>
    <row r="32" spans="1:8" x14ac:dyDescent="0.25">
      <c r="H32" s="3"/>
    </row>
    <row r="33" spans="8:8" x14ac:dyDescent="0.25">
      <c r="H33" s="18"/>
    </row>
  </sheetData>
  <pageMargins left="0.7" right="0.7" top="0.75" bottom="0.75" header="0.3" footer="0.3"/>
</worksheet>
</file>

<file path=xl/worksheets/sheet4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9B121-A8FE-47BE-83DE-57947B916FBA}">
  <dimension ref="A1:H33"/>
  <sheetViews>
    <sheetView workbookViewId="0">
      <selection sqref="A1:XFD1048576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780</v>
      </c>
    </row>
    <row r="3" spans="1:8" ht="21" x14ac:dyDescent="0.35">
      <c r="A3" s="2" t="s">
        <v>1</v>
      </c>
      <c r="C3" s="11">
        <v>1097896</v>
      </c>
      <c r="D3" s="11">
        <f>(C3/1.19)</f>
        <v>922601.68067226897</v>
      </c>
      <c r="F3" s="12" t="s">
        <v>3</v>
      </c>
      <c r="H3" s="11">
        <f>D3*0.19</f>
        <v>175294.31932773109</v>
      </c>
    </row>
    <row r="4" spans="1:8" x14ac:dyDescent="0.25">
      <c r="A4" s="13" t="s">
        <v>32</v>
      </c>
      <c r="C4" s="26" t="s">
        <v>781</v>
      </c>
    </row>
    <row r="5" spans="1:8" ht="21" x14ac:dyDescent="0.35">
      <c r="A5" s="2" t="s">
        <v>2</v>
      </c>
    </row>
    <row r="7" spans="1:8" ht="18.75" x14ac:dyDescent="0.3">
      <c r="D7" s="4"/>
      <c r="E7" s="25"/>
      <c r="H7" s="4">
        <f>(D7/1.19)*0.19</f>
        <v>0</v>
      </c>
    </row>
    <row r="8" spans="1:8" ht="18.75" x14ac:dyDescent="0.3">
      <c r="A8" s="5" t="s">
        <v>221</v>
      </c>
      <c r="C8" s="3"/>
      <c r="D8" s="28">
        <v>660000</v>
      </c>
      <c r="E8" s="25"/>
      <c r="H8" s="4">
        <f>D8*0.19</f>
        <v>125400</v>
      </c>
    </row>
    <row r="9" spans="1:8" ht="18.75" x14ac:dyDescent="0.3">
      <c r="A9" s="5"/>
      <c r="C9" s="3"/>
      <c r="D9" s="28"/>
      <c r="E9" s="25"/>
      <c r="H9" s="4">
        <f t="shared" ref="H9:H11" si="0">(D9/1.19)*0.19</f>
        <v>0</v>
      </c>
    </row>
    <row r="10" spans="1:8" ht="18.75" x14ac:dyDescent="0.3">
      <c r="A10" s="5"/>
      <c r="C10" s="3"/>
      <c r="D10" s="28"/>
      <c r="E10" s="25"/>
      <c r="H10" s="4">
        <f t="shared" si="0"/>
        <v>0</v>
      </c>
    </row>
    <row r="11" spans="1:8" ht="18.75" x14ac:dyDescent="0.3">
      <c r="A11" s="5"/>
      <c r="C11" s="3"/>
      <c r="D11" s="28"/>
      <c r="E11" s="25"/>
      <c r="H11" s="4">
        <f t="shared" si="0"/>
        <v>0</v>
      </c>
    </row>
    <row r="12" spans="1:8" ht="19.5" thickBot="1" x14ac:dyDescent="0.35">
      <c r="A12" s="5"/>
      <c r="C12" s="3"/>
      <c r="D12" s="22"/>
      <c r="E12" s="25"/>
      <c r="H12" s="22">
        <v>0</v>
      </c>
    </row>
    <row r="13" spans="1:8" ht="18.75" customHeight="1" x14ac:dyDescent="0.3">
      <c r="D13" s="4">
        <f>SUM(D7:D12)</f>
        <v>660000</v>
      </c>
      <c r="H13" s="4">
        <f>SUM(H7:H12)</f>
        <v>125400</v>
      </c>
    </row>
    <row r="14" spans="1:8" ht="18.75" x14ac:dyDescent="0.3">
      <c r="A14" s="5"/>
      <c r="C14" s="3"/>
      <c r="D14" s="4"/>
      <c r="H14" s="4"/>
    </row>
    <row r="16" spans="1:8" ht="18.75" x14ac:dyDescent="0.3">
      <c r="A16" s="5"/>
      <c r="C16" s="3"/>
      <c r="D16" s="4"/>
      <c r="H16" s="4"/>
    </row>
    <row r="17" spans="1:8" ht="15.75" thickBot="1" x14ac:dyDescent="0.3">
      <c r="D17" s="7"/>
      <c r="H17" s="7"/>
    </row>
    <row r="19" spans="1:8" ht="18.75" x14ac:dyDescent="0.3">
      <c r="C19" t="s">
        <v>4</v>
      </c>
      <c r="D19" s="4">
        <f>D3-D13</f>
        <v>262601.68067226897</v>
      </c>
      <c r="G19" t="s">
        <v>5</v>
      </c>
      <c r="H19" s="4">
        <f>H3-H13</f>
        <v>49894.319327731093</v>
      </c>
    </row>
    <row r="22" spans="1:8" ht="15.75" x14ac:dyDescent="0.25">
      <c r="A22" t="s">
        <v>6</v>
      </c>
      <c r="C22" s="8">
        <f>D19</f>
        <v>262601.68067226897</v>
      </c>
      <c r="E22" t="s">
        <v>10</v>
      </c>
      <c r="H22" s="6">
        <f>C31</f>
        <v>209016.9546218488</v>
      </c>
    </row>
    <row r="24" spans="1:8" ht="15.75" x14ac:dyDescent="0.25">
      <c r="A24" t="s">
        <v>5</v>
      </c>
      <c r="B24" s="9" t="s">
        <v>7</v>
      </c>
      <c r="C24" s="8">
        <f>H19</f>
        <v>49894.319327731093</v>
      </c>
      <c r="E24" s="13" t="s">
        <v>11</v>
      </c>
      <c r="F24" s="9" t="s">
        <v>181</v>
      </c>
      <c r="G24" s="15" t="s">
        <v>17</v>
      </c>
      <c r="H24" s="3">
        <f>-(F25*0.0077)</f>
        <v>-5754.2666823529426</v>
      </c>
    </row>
    <row r="25" spans="1:8" x14ac:dyDescent="0.25">
      <c r="F25" s="21">
        <f>D3-H3</f>
        <v>747307.36134453793</v>
      </c>
    </row>
    <row r="26" spans="1:8" ht="15.75" x14ac:dyDescent="0.25">
      <c r="A26" t="s">
        <v>8</v>
      </c>
      <c r="B26" s="9" t="s">
        <v>7</v>
      </c>
      <c r="C26" s="8">
        <f>D3*0.004</f>
        <v>3690.4067226890761</v>
      </c>
      <c r="F26" s="9" t="s">
        <v>13</v>
      </c>
      <c r="G26" s="16">
        <v>0.35</v>
      </c>
      <c r="H26" s="29">
        <f>-(F27*0.35)</f>
        <v>-73155.934117647077</v>
      </c>
    </row>
    <row r="27" spans="1:8" ht="15.75" thickBot="1" x14ac:dyDescent="0.3">
      <c r="F27" s="21">
        <f>H22</f>
        <v>209016.9546218488</v>
      </c>
      <c r="H27" s="7"/>
    </row>
    <row r="28" spans="1:8" x14ac:dyDescent="0.25">
      <c r="A28" t="s">
        <v>769</v>
      </c>
      <c r="B28" s="9" t="s">
        <v>7</v>
      </c>
      <c r="C28" s="6"/>
      <c r="G28" s="13" t="s">
        <v>14</v>
      </c>
      <c r="H28" s="6">
        <f>H22+H24+H26</f>
        <v>130106.75382184879</v>
      </c>
    </row>
    <row r="29" spans="1:8" ht="15.75" thickBot="1" x14ac:dyDescent="0.3">
      <c r="A29" s="16">
        <v>2.5000000000000001E-2</v>
      </c>
      <c r="B29" s="34" t="s">
        <v>770</v>
      </c>
      <c r="C29" s="7"/>
    </row>
    <row r="30" spans="1:8" x14ac:dyDescent="0.25">
      <c r="E30" t="s">
        <v>151</v>
      </c>
      <c r="H30" s="20">
        <f>H28*0.5</f>
        <v>65053.376910924395</v>
      </c>
    </row>
    <row r="31" spans="1:8" ht="15.75" x14ac:dyDescent="0.25">
      <c r="A31" t="s">
        <v>10</v>
      </c>
      <c r="C31" s="10">
        <f>C22-C24-C26-C28</f>
        <v>209016.9546218488</v>
      </c>
      <c r="H31" s="18"/>
    </row>
    <row r="32" spans="1:8" x14ac:dyDescent="0.25">
      <c r="H32" s="3"/>
    </row>
    <row r="33" spans="8:8" x14ac:dyDescent="0.25">
      <c r="H33" s="18"/>
    </row>
  </sheetData>
  <pageMargins left="0.7" right="0.7" top="0.75" bottom="0.75" header="0.3" footer="0.3"/>
</worksheet>
</file>

<file path=xl/worksheets/sheet4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8E6D6-11A8-4A4A-BC77-6F8D08D11B91}">
  <dimension ref="A1:H33"/>
  <sheetViews>
    <sheetView workbookViewId="0">
      <selection activeCell="C4" sqref="C4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782</v>
      </c>
    </row>
    <row r="3" spans="1:8" ht="21" x14ac:dyDescent="0.35">
      <c r="A3" s="2" t="s">
        <v>1</v>
      </c>
      <c r="C3" s="11">
        <v>130900</v>
      </c>
      <c r="D3" s="11">
        <f>(C3/1.19)</f>
        <v>110000</v>
      </c>
      <c r="F3" s="12" t="s">
        <v>3</v>
      </c>
      <c r="H3" s="11">
        <f>D3*0.19</f>
        <v>20900</v>
      </c>
    </row>
    <row r="4" spans="1:8" x14ac:dyDescent="0.25">
      <c r="A4" s="13" t="s">
        <v>32</v>
      </c>
      <c r="C4" s="26" t="s">
        <v>783</v>
      </c>
    </row>
    <row r="5" spans="1:8" ht="21" x14ac:dyDescent="0.35">
      <c r="A5" s="2" t="s">
        <v>2</v>
      </c>
    </row>
    <row r="7" spans="1:8" ht="18.75" x14ac:dyDescent="0.3">
      <c r="D7" s="4"/>
      <c r="E7" s="25"/>
      <c r="H7" s="4">
        <f>(D7/1.19)*0.19</f>
        <v>0</v>
      </c>
    </row>
    <row r="8" spans="1:8" ht="18.75" x14ac:dyDescent="0.3">
      <c r="A8" s="5" t="s">
        <v>221</v>
      </c>
      <c r="C8" s="3"/>
      <c r="D8" s="28">
        <v>76000</v>
      </c>
      <c r="E8" s="25"/>
      <c r="H8" s="4">
        <f>D8*0.19</f>
        <v>14440</v>
      </c>
    </row>
    <row r="9" spans="1:8" ht="18.75" x14ac:dyDescent="0.3">
      <c r="A9" s="5"/>
      <c r="C9" s="3"/>
      <c r="D9" s="28"/>
      <c r="E9" s="25"/>
      <c r="H9" s="4">
        <f t="shared" ref="H9:H11" si="0">(D9/1.19)*0.19</f>
        <v>0</v>
      </c>
    </row>
    <row r="10" spans="1:8" ht="18.75" x14ac:dyDescent="0.3">
      <c r="A10" s="5"/>
      <c r="C10" s="3"/>
      <c r="D10" s="28"/>
      <c r="E10" s="25"/>
      <c r="H10" s="4">
        <f t="shared" si="0"/>
        <v>0</v>
      </c>
    </row>
    <row r="11" spans="1:8" ht="18.75" x14ac:dyDescent="0.3">
      <c r="A11" s="5"/>
      <c r="C11" s="3"/>
      <c r="D11" s="28"/>
      <c r="E11" s="25"/>
      <c r="H11" s="4">
        <f t="shared" si="0"/>
        <v>0</v>
      </c>
    </row>
    <row r="12" spans="1:8" ht="19.5" thickBot="1" x14ac:dyDescent="0.35">
      <c r="A12" s="5"/>
      <c r="C12" s="3"/>
      <c r="D12" s="22"/>
      <c r="E12" s="25"/>
      <c r="H12" s="22">
        <v>0</v>
      </c>
    </row>
    <row r="13" spans="1:8" ht="18.75" customHeight="1" x14ac:dyDescent="0.3">
      <c r="D13" s="4">
        <f>SUM(D7:D12)</f>
        <v>76000</v>
      </c>
      <c r="H13" s="4">
        <f>SUM(H7:H12)</f>
        <v>14440</v>
      </c>
    </row>
    <row r="14" spans="1:8" ht="18.75" x14ac:dyDescent="0.3">
      <c r="A14" s="5"/>
      <c r="C14" s="3"/>
      <c r="D14" s="4"/>
      <c r="H14" s="4"/>
    </row>
    <row r="16" spans="1:8" ht="18.75" x14ac:dyDescent="0.3">
      <c r="A16" s="5"/>
      <c r="C16" s="3"/>
      <c r="D16" s="4"/>
      <c r="H16" s="4"/>
    </row>
    <row r="17" spans="1:8" ht="15.75" thickBot="1" x14ac:dyDescent="0.3">
      <c r="D17" s="7"/>
      <c r="H17" s="7"/>
    </row>
    <row r="19" spans="1:8" ht="18.75" x14ac:dyDescent="0.3">
      <c r="C19" t="s">
        <v>4</v>
      </c>
      <c r="D19" s="4">
        <f>D3-D13</f>
        <v>34000</v>
      </c>
      <c r="G19" t="s">
        <v>5</v>
      </c>
      <c r="H19" s="4">
        <f>H3-H13</f>
        <v>6460</v>
      </c>
    </row>
    <row r="22" spans="1:8" ht="15.75" x14ac:dyDescent="0.25">
      <c r="A22" t="s">
        <v>6</v>
      </c>
      <c r="C22" s="8">
        <f>D19</f>
        <v>34000</v>
      </c>
      <c r="E22" t="s">
        <v>10</v>
      </c>
      <c r="H22" s="6">
        <f>C31</f>
        <v>27100</v>
      </c>
    </row>
    <row r="24" spans="1:8" ht="15.75" x14ac:dyDescent="0.25">
      <c r="A24" t="s">
        <v>5</v>
      </c>
      <c r="B24" s="9" t="s">
        <v>7</v>
      </c>
      <c r="C24" s="8">
        <f>H19</f>
        <v>6460</v>
      </c>
      <c r="E24" s="13" t="s">
        <v>11</v>
      </c>
      <c r="F24" s="9" t="s">
        <v>181</v>
      </c>
      <c r="G24" s="15" t="s">
        <v>17</v>
      </c>
      <c r="H24" s="3">
        <f>-(F25*0.0077)</f>
        <v>-686.07</v>
      </c>
    </row>
    <row r="25" spans="1:8" x14ac:dyDescent="0.25">
      <c r="F25" s="21">
        <f>D3-H3</f>
        <v>89100</v>
      </c>
    </row>
    <row r="26" spans="1:8" ht="15.75" x14ac:dyDescent="0.25">
      <c r="A26" t="s">
        <v>8</v>
      </c>
      <c r="B26" s="9" t="s">
        <v>7</v>
      </c>
      <c r="C26" s="8">
        <f>D3*0.004</f>
        <v>440</v>
      </c>
      <c r="F26" s="9" t="s">
        <v>13</v>
      </c>
      <c r="G26" s="16">
        <v>0.35</v>
      </c>
      <c r="H26" s="29">
        <f>-(F27*0.35)</f>
        <v>-9485</v>
      </c>
    </row>
    <row r="27" spans="1:8" ht="15.75" thickBot="1" x14ac:dyDescent="0.3">
      <c r="F27" s="21">
        <f>H22</f>
        <v>27100</v>
      </c>
      <c r="H27" s="7"/>
    </row>
    <row r="28" spans="1:8" x14ac:dyDescent="0.25">
      <c r="A28" t="s">
        <v>769</v>
      </c>
      <c r="B28" s="9" t="s">
        <v>7</v>
      </c>
      <c r="C28" s="6"/>
      <c r="G28" s="13" t="s">
        <v>14</v>
      </c>
      <c r="H28" s="6">
        <f>H22+H24+H26</f>
        <v>16928.93</v>
      </c>
    </row>
    <row r="29" spans="1:8" ht="15.75" thickBot="1" x14ac:dyDescent="0.3">
      <c r="A29" s="16">
        <v>2.5000000000000001E-2</v>
      </c>
      <c r="B29" s="34" t="s">
        <v>770</v>
      </c>
      <c r="C29" s="7"/>
    </row>
    <row r="30" spans="1:8" x14ac:dyDescent="0.25">
      <c r="E30" t="s">
        <v>151</v>
      </c>
      <c r="H30" s="20">
        <f>H28*0.5</f>
        <v>8464.4650000000001</v>
      </c>
    </row>
    <row r="31" spans="1:8" ht="15.75" x14ac:dyDescent="0.25">
      <c r="A31" t="s">
        <v>10</v>
      </c>
      <c r="C31" s="10">
        <f>C22-C24-C26-C28</f>
        <v>27100</v>
      </c>
      <c r="H31" s="18"/>
    </row>
    <row r="32" spans="1:8" x14ac:dyDescent="0.25">
      <c r="H32" s="3"/>
    </row>
    <row r="33" spans="8:8" x14ac:dyDescent="0.25">
      <c r="H33" s="18"/>
    </row>
  </sheetData>
  <pageMargins left="0.7" right="0.7" top="0.75" bottom="0.75" header="0.3" footer="0.3"/>
</worksheet>
</file>

<file path=xl/worksheets/sheet4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62A60-C4C7-4702-B3AE-388E2E63C5F8}">
  <dimension ref="A1:H33"/>
  <sheetViews>
    <sheetView workbookViewId="0">
      <selection sqref="A1:XFD1048576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771</v>
      </c>
    </row>
    <row r="3" spans="1:8" ht="21" x14ac:dyDescent="0.35">
      <c r="A3" s="2" t="s">
        <v>1</v>
      </c>
      <c r="C3" s="11">
        <v>239428</v>
      </c>
      <c r="D3" s="11">
        <f>(C3/1.19)</f>
        <v>201200</v>
      </c>
      <c r="F3" s="12" t="s">
        <v>3</v>
      </c>
      <c r="H3" s="11">
        <f>D3*0.19</f>
        <v>38228</v>
      </c>
    </row>
    <row r="4" spans="1:8" x14ac:dyDescent="0.25">
      <c r="A4" s="13" t="s">
        <v>32</v>
      </c>
      <c r="C4" s="26" t="s">
        <v>784</v>
      </c>
    </row>
    <row r="5" spans="1:8" ht="21" x14ac:dyDescent="0.35">
      <c r="A5" s="2" t="s">
        <v>2</v>
      </c>
    </row>
    <row r="7" spans="1:8" ht="18.75" x14ac:dyDescent="0.3">
      <c r="D7" s="4"/>
      <c r="E7" s="25"/>
      <c r="H7" s="4">
        <f>(D7/1.19)*0.19</f>
        <v>0</v>
      </c>
    </row>
    <row r="8" spans="1:8" ht="18.75" x14ac:dyDescent="0.3">
      <c r="A8" s="5" t="s">
        <v>221</v>
      </c>
      <c r="C8" s="3"/>
      <c r="D8" s="28">
        <v>122200</v>
      </c>
      <c r="E8" s="25"/>
      <c r="H8" s="4">
        <f>D8*0.19</f>
        <v>23218</v>
      </c>
    </row>
    <row r="9" spans="1:8" ht="18.75" x14ac:dyDescent="0.3">
      <c r="A9" s="5"/>
      <c r="C9" s="3"/>
      <c r="D9" s="28"/>
      <c r="E9" s="25"/>
      <c r="H9" s="4">
        <f t="shared" ref="H9:H11" si="0">(D9/1.19)*0.19</f>
        <v>0</v>
      </c>
    </row>
    <row r="10" spans="1:8" ht="18.75" x14ac:dyDescent="0.3">
      <c r="A10" s="5"/>
      <c r="C10" s="3"/>
      <c r="D10" s="28"/>
      <c r="E10" s="25"/>
      <c r="H10" s="4">
        <f t="shared" si="0"/>
        <v>0</v>
      </c>
    </row>
    <row r="11" spans="1:8" ht="18.75" x14ac:dyDescent="0.3">
      <c r="A11" s="5"/>
      <c r="C11" s="3"/>
      <c r="D11" s="28"/>
      <c r="E11" s="25"/>
      <c r="H11" s="4">
        <f t="shared" si="0"/>
        <v>0</v>
      </c>
    </row>
    <row r="12" spans="1:8" ht="19.5" thickBot="1" x14ac:dyDescent="0.35">
      <c r="A12" s="5"/>
      <c r="C12" s="3"/>
      <c r="D12" s="22"/>
      <c r="E12" s="25"/>
      <c r="H12" s="22">
        <v>0</v>
      </c>
    </row>
    <row r="13" spans="1:8" ht="18.75" customHeight="1" x14ac:dyDescent="0.3">
      <c r="D13" s="4">
        <f>SUM(D7:D12)</f>
        <v>122200</v>
      </c>
      <c r="H13" s="4">
        <f>SUM(H7:H12)</f>
        <v>23218</v>
      </c>
    </row>
    <row r="14" spans="1:8" ht="18.75" x14ac:dyDescent="0.3">
      <c r="A14" s="5"/>
      <c r="C14" s="3"/>
      <c r="D14" s="4"/>
      <c r="H14" s="4"/>
    </row>
    <row r="16" spans="1:8" ht="18.75" x14ac:dyDescent="0.3">
      <c r="A16" s="5"/>
      <c r="C16" s="3"/>
      <c r="D16" s="4"/>
      <c r="H16" s="4"/>
    </row>
    <row r="17" spans="1:8" ht="15.75" thickBot="1" x14ac:dyDescent="0.3">
      <c r="D17" s="7"/>
      <c r="H17" s="7"/>
    </row>
    <row r="19" spans="1:8" ht="18.75" x14ac:dyDescent="0.3">
      <c r="C19" t="s">
        <v>4</v>
      </c>
      <c r="D19" s="4">
        <f>D3-D13</f>
        <v>79000</v>
      </c>
      <c r="G19" t="s">
        <v>5</v>
      </c>
      <c r="H19" s="4">
        <f>H3-H13</f>
        <v>15010</v>
      </c>
    </row>
    <row r="22" spans="1:8" ht="15.75" x14ac:dyDescent="0.25">
      <c r="A22" t="s">
        <v>6</v>
      </c>
      <c r="C22" s="8">
        <f>D19</f>
        <v>79000</v>
      </c>
      <c r="E22" t="s">
        <v>10</v>
      </c>
      <c r="H22" s="6">
        <f>C31</f>
        <v>63185.2</v>
      </c>
    </row>
    <row r="24" spans="1:8" ht="15.75" x14ac:dyDescent="0.25">
      <c r="A24" t="s">
        <v>5</v>
      </c>
      <c r="B24" s="9" t="s">
        <v>7</v>
      </c>
      <c r="C24" s="8">
        <f>H19</f>
        <v>15010</v>
      </c>
      <c r="E24" s="13" t="s">
        <v>11</v>
      </c>
      <c r="F24" s="9" t="s">
        <v>181</v>
      </c>
      <c r="G24" s="15" t="s">
        <v>17</v>
      </c>
      <c r="H24" s="3">
        <f>-(F25*0.0077)</f>
        <v>-1254.8844000000001</v>
      </c>
    </row>
    <row r="25" spans="1:8" x14ac:dyDescent="0.25">
      <c r="F25" s="21">
        <f>D3-H3</f>
        <v>162972</v>
      </c>
    </row>
    <row r="26" spans="1:8" ht="15.75" x14ac:dyDescent="0.25">
      <c r="A26" t="s">
        <v>8</v>
      </c>
      <c r="B26" s="9" t="s">
        <v>7</v>
      </c>
      <c r="C26" s="8">
        <f>D3*0.004</f>
        <v>804.80000000000007</v>
      </c>
      <c r="F26" s="9" t="s">
        <v>13</v>
      </c>
      <c r="G26" s="16">
        <v>0.35</v>
      </c>
      <c r="H26" s="29">
        <f>-(F27*0.35)</f>
        <v>-22114.819999999996</v>
      </c>
    </row>
    <row r="27" spans="1:8" ht="15.75" thickBot="1" x14ac:dyDescent="0.3">
      <c r="F27" s="21">
        <f>H22</f>
        <v>63185.2</v>
      </c>
      <c r="H27" s="7"/>
    </row>
    <row r="28" spans="1:8" x14ac:dyDescent="0.25">
      <c r="A28" t="s">
        <v>769</v>
      </c>
      <c r="B28" s="9" t="s">
        <v>7</v>
      </c>
      <c r="C28" s="6"/>
      <c r="G28" s="13" t="s">
        <v>14</v>
      </c>
      <c r="H28" s="6">
        <f>H22+H24+H26</f>
        <v>39815.495599999995</v>
      </c>
    </row>
    <row r="29" spans="1:8" ht="15.75" thickBot="1" x14ac:dyDescent="0.3">
      <c r="A29" s="16">
        <v>2.5000000000000001E-2</v>
      </c>
      <c r="B29" s="34" t="s">
        <v>770</v>
      </c>
      <c r="C29" s="7"/>
    </row>
    <row r="30" spans="1:8" x14ac:dyDescent="0.25">
      <c r="E30" t="s">
        <v>151</v>
      </c>
      <c r="H30" s="20">
        <f>H28*0.5</f>
        <v>19907.747799999997</v>
      </c>
    </row>
    <row r="31" spans="1:8" ht="15.75" x14ac:dyDescent="0.25">
      <c r="A31" t="s">
        <v>10</v>
      </c>
      <c r="C31" s="10">
        <f>C22-C24-C26-C28</f>
        <v>63185.2</v>
      </c>
      <c r="H31" s="18"/>
    </row>
    <row r="32" spans="1:8" x14ac:dyDescent="0.25">
      <c r="H32" s="3"/>
    </row>
    <row r="33" spans="8:8" x14ac:dyDescent="0.25">
      <c r="H33" s="18"/>
    </row>
  </sheetData>
  <pageMargins left="0.7" right="0.7" top="0.75" bottom="0.75" header="0.3" footer="0.3"/>
</worksheet>
</file>

<file path=xl/worksheets/sheet4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492A8-DA36-475C-BDEA-6FEB8E7DAE54}">
  <dimension ref="A1:H33"/>
  <sheetViews>
    <sheetView workbookViewId="0">
      <selection sqref="A1:XFD1048576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771</v>
      </c>
    </row>
    <row r="3" spans="1:8" ht="21" x14ac:dyDescent="0.35">
      <c r="A3" s="2" t="s">
        <v>1</v>
      </c>
      <c r="C3" s="11">
        <v>73304</v>
      </c>
      <c r="D3" s="11">
        <f>(C3/1.19)</f>
        <v>61600</v>
      </c>
      <c r="F3" s="12" t="s">
        <v>3</v>
      </c>
      <c r="H3" s="11">
        <f>D3*0.19</f>
        <v>11704</v>
      </c>
    </row>
    <row r="4" spans="1:8" x14ac:dyDescent="0.25">
      <c r="A4" s="13" t="s">
        <v>32</v>
      </c>
      <c r="C4" s="26" t="s">
        <v>785</v>
      </c>
    </row>
    <row r="5" spans="1:8" ht="21" x14ac:dyDescent="0.35">
      <c r="A5" s="2" t="s">
        <v>2</v>
      </c>
    </row>
    <row r="7" spans="1:8" ht="18.75" x14ac:dyDescent="0.3">
      <c r="D7" s="4"/>
      <c r="E7" s="25"/>
      <c r="H7" s="4">
        <f>(D7/1.19)*0.19</f>
        <v>0</v>
      </c>
    </row>
    <row r="8" spans="1:8" ht="18.75" x14ac:dyDescent="0.3">
      <c r="A8" s="5" t="s">
        <v>221</v>
      </c>
      <c r="C8" s="3"/>
      <c r="D8" s="28">
        <v>41700</v>
      </c>
      <c r="E8" s="25"/>
      <c r="H8" s="4">
        <f>D8*0.19</f>
        <v>7923</v>
      </c>
    </row>
    <row r="9" spans="1:8" ht="18.75" x14ac:dyDescent="0.3">
      <c r="A9" s="5"/>
      <c r="C9" s="3"/>
      <c r="D9" s="28"/>
      <c r="E9" s="25"/>
      <c r="H9" s="4">
        <f t="shared" ref="H9:H11" si="0">(D9/1.19)*0.19</f>
        <v>0</v>
      </c>
    </row>
    <row r="10" spans="1:8" ht="18.75" x14ac:dyDescent="0.3">
      <c r="A10" s="5"/>
      <c r="C10" s="3"/>
      <c r="D10" s="28"/>
      <c r="E10" s="25"/>
      <c r="H10" s="4">
        <f t="shared" si="0"/>
        <v>0</v>
      </c>
    </row>
    <row r="11" spans="1:8" ht="18.75" x14ac:dyDescent="0.3">
      <c r="A11" s="5"/>
      <c r="C11" s="3"/>
      <c r="D11" s="28"/>
      <c r="E11" s="25"/>
      <c r="H11" s="4">
        <f t="shared" si="0"/>
        <v>0</v>
      </c>
    </row>
    <row r="12" spans="1:8" ht="19.5" thickBot="1" x14ac:dyDescent="0.35">
      <c r="A12" s="5"/>
      <c r="C12" s="3"/>
      <c r="D12" s="22"/>
      <c r="E12" s="25"/>
      <c r="H12" s="22">
        <v>0</v>
      </c>
    </row>
    <row r="13" spans="1:8" ht="18.75" customHeight="1" x14ac:dyDescent="0.3">
      <c r="D13" s="4">
        <f>SUM(D7:D12)</f>
        <v>41700</v>
      </c>
      <c r="H13" s="4">
        <f>SUM(H7:H12)</f>
        <v>7923</v>
      </c>
    </row>
    <row r="14" spans="1:8" ht="18.75" x14ac:dyDescent="0.3">
      <c r="A14" s="5"/>
      <c r="C14" s="3"/>
      <c r="D14" s="4"/>
      <c r="H14" s="4"/>
    </row>
    <row r="16" spans="1:8" ht="18.75" x14ac:dyDescent="0.3">
      <c r="A16" s="5"/>
      <c r="C16" s="3"/>
      <c r="D16" s="4"/>
      <c r="H16" s="4"/>
    </row>
    <row r="17" spans="1:8" ht="15.75" thickBot="1" x14ac:dyDescent="0.3">
      <c r="D17" s="7"/>
      <c r="H17" s="7"/>
    </row>
    <row r="19" spans="1:8" ht="18.75" x14ac:dyDescent="0.3">
      <c r="C19" t="s">
        <v>4</v>
      </c>
      <c r="D19" s="4">
        <f>D3-D13</f>
        <v>19900</v>
      </c>
      <c r="G19" t="s">
        <v>5</v>
      </c>
      <c r="H19" s="4">
        <f>H3-H13</f>
        <v>3781</v>
      </c>
    </row>
    <row r="22" spans="1:8" ht="15.75" x14ac:dyDescent="0.25">
      <c r="A22" t="s">
        <v>6</v>
      </c>
      <c r="C22" s="8">
        <f>D19</f>
        <v>19900</v>
      </c>
      <c r="E22" t="s">
        <v>10</v>
      </c>
      <c r="H22" s="6">
        <f>C31</f>
        <v>15872.6</v>
      </c>
    </row>
    <row r="24" spans="1:8" ht="15.75" x14ac:dyDescent="0.25">
      <c r="A24" t="s">
        <v>5</v>
      </c>
      <c r="B24" s="9" t="s">
        <v>7</v>
      </c>
      <c r="C24" s="8">
        <f>H19</f>
        <v>3781</v>
      </c>
      <c r="E24" s="13" t="s">
        <v>11</v>
      </c>
      <c r="F24" s="9" t="s">
        <v>181</v>
      </c>
      <c r="G24" s="15" t="s">
        <v>17</v>
      </c>
      <c r="H24" s="3">
        <f>-(F25*0.0077)</f>
        <v>-384.19920000000002</v>
      </c>
    </row>
    <row r="25" spans="1:8" x14ac:dyDescent="0.25">
      <c r="F25" s="21">
        <f>D3-H3</f>
        <v>49896</v>
      </c>
    </row>
    <row r="26" spans="1:8" ht="15.75" x14ac:dyDescent="0.25">
      <c r="A26" t="s">
        <v>8</v>
      </c>
      <c r="B26" s="9" t="s">
        <v>7</v>
      </c>
      <c r="C26" s="8">
        <f>D3*0.004</f>
        <v>246.4</v>
      </c>
      <c r="F26" s="9" t="s">
        <v>13</v>
      </c>
      <c r="G26" s="16">
        <v>0.35</v>
      </c>
      <c r="H26" s="29">
        <f>-(F27*0.35)</f>
        <v>-5555.41</v>
      </c>
    </row>
    <row r="27" spans="1:8" ht="15.75" thickBot="1" x14ac:dyDescent="0.3">
      <c r="F27" s="21">
        <f>H22</f>
        <v>15872.6</v>
      </c>
      <c r="H27" s="7"/>
    </row>
    <row r="28" spans="1:8" x14ac:dyDescent="0.25">
      <c r="A28" t="s">
        <v>769</v>
      </c>
      <c r="B28" s="9" t="s">
        <v>7</v>
      </c>
      <c r="C28" s="6"/>
      <c r="G28" s="13" t="s">
        <v>14</v>
      </c>
      <c r="H28" s="6">
        <f>H22+H24+H26</f>
        <v>9932.9907999999996</v>
      </c>
    </row>
    <row r="29" spans="1:8" ht="15.75" thickBot="1" x14ac:dyDescent="0.3">
      <c r="A29" s="16">
        <v>2.5000000000000001E-2</v>
      </c>
      <c r="B29" s="34" t="s">
        <v>770</v>
      </c>
      <c r="C29" s="7"/>
    </row>
    <row r="30" spans="1:8" x14ac:dyDescent="0.25">
      <c r="E30" t="s">
        <v>151</v>
      </c>
      <c r="H30" s="20">
        <f>H28*0.5</f>
        <v>4966.4953999999998</v>
      </c>
    </row>
    <row r="31" spans="1:8" ht="15.75" x14ac:dyDescent="0.25">
      <c r="A31" t="s">
        <v>10</v>
      </c>
      <c r="C31" s="10">
        <f>C22-C24-C26-C28</f>
        <v>15872.6</v>
      </c>
      <c r="H31" s="18"/>
    </row>
    <row r="32" spans="1:8" x14ac:dyDescent="0.25">
      <c r="H32" s="3"/>
    </row>
    <row r="33" spans="8:8" x14ac:dyDescent="0.25">
      <c r="H33" s="18"/>
    </row>
  </sheetData>
  <pageMargins left="0.7" right="0.7" top="0.75" bottom="0.75" header="0.3" footer="0.3"/>
</worksheet>
</file>

<file path=xl/worksheets/sheet4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B274C-0353-4A4D-9348-F8C3B48F7DE8}">
  <dimension ref="A1:H33"/>
  <sheetViews>
    <sheetView workbookViewId="0">
      <selection sqref="A1:XFD1048576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787</v>
      </c>
    </row>
    <row r="3" spans="1:8" ht="21" x14ac:dyDescent="0.35">
      <c r="A3" s="2" t="s">
        <v>1</v>
      </c>
      <c r="C3" s="11">
        <v>283220</v>
      </c>
      <c r="D3" s="11">
        <f>(C3/1.19)</f>
        <v>238000</v>
      </c>
      <c r="F3" s="12" t="s">
        <v>3</v>
      </c>
      <c r="H3" s="11">
        <f>D3*0.19</f>
        <v>45220</v>
      </c>
    </row>
    <row r="4" spans="1:8" x14ac:dyDescent="0.25">
      <c r="A4" s="13" t="s">
        <v>32</v>
      </c>
      <c r="C4" s="26" t="s">
        <v>788</v>
      </c>
    </row>
    <row r="5" spans="1:8" ht="21" x14ac:dyDescent="0.35">
      <c r="A5" s="2" t="s">
        <v>2</v>
      </c>
    </row>
    <row r="7" spans="1:8" ht="18.75" x14ac:dyDescent="0.3">
      <c r="D7" s="4"/>
      <c r="E7" s="25"/>
      <c r="H7" s="4">
        <f>(D7/1.19)*0.19</f>
        <v>0</v>
      </c>
    </row>
    <row r="8" spans="1:8" ht="18.75" x14ac:dyDescent="0.3">
      <c r="A8" s="5" t="s">
        <v>221</v>
      </c>
      <c r="C8" s="3"/>
      <c r="D8" s="28">
        <v>144000</v>
      </c>
      <c r="E8" s="25"/>
      <c r="H8" s="4">
        <f>D8*0.19</f>
        <v>27360</v>
      </c>
    </row>
    <row r="9" spans="1:8" ht="18.75" x14ac:dyDescent="0.3">
      <c r="A9" s="5"/>
      <c r="C9" s="3"/>
      <c r="D9" s="28"/>
      <c r="E9" s="25"/>
      <c r="H9" s="4">
        <f t="shared" ref="H9:H11" si="0">(D9/1.19)*0.19</f>
        <v>0</v>
      </c>
    </row>
    <row r="10" spans="1:8" ht="18.75" x14ac:dyDescent="0.3">
      <c r="A10" s="5"/>
      <c r="C10" s="3"/>
      <c r="D10" s="28"/>
      <c r="E10" s="25"/>
      <c r="H10" s="4">
        <f t="shared" si="0"/>
        <v>0</v>
      </c>
    </row>
    <row r="11" spans="1:8" ht="18.75" x14ac:dyDescent="0.3">
      <c r="A11" s="5"/>
      <c r="C11" s="3"/>
      <c r="D11" s="28"/>
      <c r="E11" s="25"/>
      <c r="H11" s="4">
        <f t="shared" si="0"/>
        <v>0</v>
      </c>
    </row>
    <row r="12" spans="1:8" ht="19.5" thickBot="1" x14ac:dyDescent="0.35">
      <c r="A12" s="5"/>
      <c r="C12" s="3"/>
      <c r="D12" s="22"/>
      <c r="E12" s="25"/>
      <c r="H12" s="22">
        <v>0</v>
      </c>
    </row>
    <row r="13" spans="1:8" ht="18.75" customHeight="1" x14ac:dyDescent="0.3">
      <c r="D13" s="4">
        <f>SUM(D7:D12)</f>
        <v>144000</v>
      </c>
      <c r="H13" s="4">
        <f>SUM(H7:H12)</f>
        <v>27360</v>
      </c>
    </row>
    <row r="14" spans="1:8" ht="18.75" x14ac:dyDescent="0.3">
      <c r="A14" s="5"/>
      <c r="C14" s="3"/>
      <c r="D14" s="4"/>
      <c r="H14" s="4"/>
    </row>
    <row r="16" spans="1:8" ht="18.75" x14ac:dyDescent="0.3">
      <c r="A16" s="5"/>
      <c r="C16" s="3"/>
      <c r="D16" s="4"/>
      <c r="H16" s="4"/>
    </row>
    <row r="17" spans="1:8" ht="15.75" thickBot="1" x14ac:dyDescent="0.3">
      <c r="D17" s="7"/>
      <c r="H17" s="7"/>
    </row>
    <row r="19" spans="1:8" ht="18.75" x14ac:dyDescent="0.3">
      <c r="C19" t="s">
        <v>4</v>
      </c>
      <c r="D19" s="4">
        <f>D3-D13</f>
        <v>94000</v>
      </c>
      <c r="G19" t="s">
        <v>5</v>
      </c>
      <c r="H19" s="4">
        <f>H3-H13</f>
        <v>17860</v>
      </c>
    </row>
    <row r="22" spans="1:8" ht="15.75" x14ac:dyDescent="0.25">
      <c r="A22" t="s">
        <v>6</v>
      </c>
      <c r="C22" s="8">
        <f>D19</f>
        <v>94000</v>
      </c>
      <c r="E22" t="s">
        <v>10</v>
      </c>
      <c r="H22" s="6">
        <f>C31</f>
        <v>75188</v>
      </c>
    </row>
    <row r="24" spans="1:8" ht="15.75" x14ac:dyDescent="0.25">
      <c r="A24" t="s">
        <v>5</v>
      </c>
      <c r="B24" s="9" t="s">
        <v>7</v>
      </c>
      <c r="C24" s="8">
        <f>H19</f>
        <v>17860</v>
      </c>
      <c r="E24" s="13" t="s">
        <v>11</v>
      </c>
      <c r="F24" s="9" t="s">
        <v>181</v>
      </c>
      <c r="G24" s="15" t="s">
        <v>17</v>
      </c>
      <c r="H24" s="3">
        <f>-(F25*0.0077)</f>
        <v>-1484.4059999999999</v>
      </c>
    </row>
    <row r="25" spans="1:8" x14ac:dyDescent="0.25">
      <c r="F25" s="21">
        <f>D3-H3</f>
        <v>192780</v>
      </c>
    </row>
    <row r="26" spans="1:8" ht="15.75" x14ac:dyDescent="0.25">
      <c r="A26" t="s">
        <v>8</v>
      </c>
      <c r="B26" s="9" t="s">
        <v>7</v>
      </c>
      <c r="C26" s="8">
        <f>D3*0.004</f>
        <v>952</v>
      </c>
      <c r="F26" s="9" t="s">
        <v>13</v>
      </c>
      <c r="G26" s="16">
        <v>0.35</v>
      </c>
      <c r="H26" s="29">
        <f>-(F27*0.35)</f>
        <v>-26315.8</v>
      </c>
    </row>
    <row r="27" spans="1:8" ht="15.75" thickBot="1" x14ac:dyDescent="0.3">
      <c r="F27" s="21">
        <f>H22</f>
        <v>75188</v>
      </c>
      <c r="H27" s="7"/>
    </row>
    <row r="28" spans="1:8" x14ac:dyDescent="0.25">
      <c r="A28" t="s">
        <v>769</v>
      </c>
      <c r="B28" s="9" t="s">
        <v>7</v>
      </c>
      <c r="C28" s="6"/>
      <c r="G28" s="13" t="s">
        <v>14</v>
      </c>
      <c r="H28" s="6">
        <f>H22+H24+H26</f>
        <v>47387.793999999994</v>
      </c>
    </row>
    <row r="29" spans="1:8" ht="15.75" thickBot="1" x14ac:dyDescent="0.3">
      <c r="A29" s="16">
        <v>2.5000000000000001E-2</v>
      </c>
      <c r="B29" s="34" t="s">
        <v>770</v>
      </c>
      <c r="C29" s="7"/>
    </row>
    <row r="30" spans="1:8" x14ac:dyDescent="0.25">
      <c r="E30" t="s">
        <v>151</v>
      </c>
      <c r="H30" s="20">
        <f>H28*0.5</f>
        <v>23693.896999999997</v>
      </c>
    </row>
    <row r="31" spans="1:8" ht="15.75" x14ac:dyDescent="0.25">
      <c r="A31" t="s">
        <v>10</v>
      </c>
      <c r="C31" s="10">
        <f>C22-C24-C26-C28</f>
        <v>75188</v>
      </c>
      <c r="H31" s="18"/>
    </row>
    <row r="32" spans="1:8" x14ac:dyDescent="0.25">
      <c r="H32" s="3"/>
    </row>
    <row r="33" spans="8:8" x14ac:dyDescent="0.25">
      <c r="H33" s="18"/>
    </row>
  </sheetData>
  <pageMargins left="0.7" right="0.7" top="0.75" bottom="0.75" header="0.3" footer="0.3"/>
</worksheet>
</file>

<file path=xl/worksheets/sheet4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8E33D-DE6A-4A51-BC5B-CED16BFE108C}">
  <dimension ref="A1:H33"/>
  <sheetViews>
    <sheetView workbookViewId="0">
      <selection sqref="A1:XFD1048576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786</v>
      </c>
    </row>
    <row r="3" spans="1:8" ht="21" x14ac:dyDescent="0.35">
      <c r="A3" s="2" t="s">
        <v>1</v>
      </c>
      <c r="C3" s="11">
        <v>174454</v>
      </c>
      <c r="D3" s="11">
        <f>(C3/1.19)</f>
        <v>146600</v>
      </c>
      <c r="F3" s="12" t="s">
        <v>3</v>
      </c>
      <c r="H3" s="11">
        <f>D3*0.19</f>
        <v>27854</v>
      </c>
    </row>
    <row r="4" spans="1:8" x14ac:dyDescent="0.25">
      <c r="A4" s="13" t="s">
        <v>32</v>
      </c>
      <c r="C4" s="26" t="s">
        <v>789</v>
      </c>
    </row>
    <row r="5" spans="1:8" ht="21" x14ac:dyDescent="0.35">
      <c r="A5" s="2" t="s">
        <v>2</v>
      </c>
    </row>
    <row r="7" spans="1:8" ht="18.75" x14ac:dyDescent="0.3">
      <c r="D7" s="4"/>
      <c r="E7" s="25"/>
      <c r="H7" s="4">
        <f>(D7/1.19)*0.19</f>
        <v>0</v>
      </c>
    </row>
    <row r="8" spans="1:8" ht="18.75" x14ac:dyDescent="0.3">
      <c r="A8" s="5" t="s">
        <v>221</v>
      </c>
      <c r="C8" s="3"/>
      <c r="D8" s="28">
        <v>102850</v>
      </c>
      <c r="E8" s="25"/>
      <c r="H8" s="4">
        <f>D8*0.19</f>
        <v>19541.5</v>
      </c>
    </row>
    <row r="9" spans="1:8" ht="18.75" x14ac:dyDescent="0.3">
      <c r="A9" s="5"/>
      <c r="C9" s="3"/>
      <c r="D9" s="28"/>
      <c r="E9" s="25"/>
      <c r="H9" s="4">
        <f t="shared" ref="H9:H11" si="0">(D9/1.19)*0.19</f>
        <v>0</v>
      </c>
    </row>
    <row r="10" spans="1:8" ht="18.75" x14ac:dyDescent="0.3">
      <c r="A10" s="5"/>
      <c r="C10" s="3"/>
      <c r="D10" s="28"/>
      <c r="E10" s="25"/>
      <c r="H10" s="4">
        <f t="shared" si="0"/>
        <v>0</v>
      </c>
    </row>
    <row r="11" spans="1:8" ht="18.75" x14ac:dyDescent="0.3">
      <c r="A11" s="5"/>
      <c r="C11" s="3"/>
      <c r="D11" s="28"/>
      <c r="E11" s="25"/>
      <c r="H11" s="4">
        <f t="shared" si="0"/>
        <v>0</v>
      </c>
    </row>
    <row r="12" spans="1:8" ht="19.5" thickBot="1" x14ac:dyDescent="0.35">
      <c r="A12" s="5"/>
      <c r="C12" s="3"/>
      <c r="D12" s="22"/>
      <c r="E12" s="25"/>
      <c r="H12" s="22">
        <v>0</v>
      </c>
    </row>
    <row r="13" spans="1:8" ht="18.75" customHeight="1" x14ac:dyDescent="0.3">
      <c r="D13" s="4">
        <f>SUM(D7:D12)</f>
        <v>102850</v>
      </c>
      <c r="H13" s="4">
        <f>SUM(H7:H12)</f>
        <v>19541.5</v>
      </c>
    </row>
    <row r="14" spans="1:8" ht="18.75" x14ac:dyDescent="0.3">
      <c r="A14" s="5"/>
      <c r="C14" s="3"/>
      <c r="D14" s="4"/>
      <c r="H14" s="4"/>
    </row>
    <row r="16" spans="1:8" ht="18.75" x14ac:dyDescent="0.3">
      <c r="A16" s="5"/>
      <c r="C16" s="3"/>
      <c r="D16" s="4"/>
      <c r="H16" s="4"/>
    </row>
    <row r="17" spans="1:8" ht="15.75" thickBot="1" x14ac:dyDescent="0.3">
      <c r="D17" s="7"/>
      <c r="H17" s="7"/>
    </row>
    <row r="19" spans="1:8" ht="18.75" x14ac:dyDescent="0.3">
      <c r="C19" t="s">
        <v>4</v>
      </c>
      <c r="D19" s="4">
        <f>D3-D13</f>
        <v>43750</v>
      </c>
      <c r="G19" t="s">
        <v>5</v>
      </c>
      <c r="H19" s="4">
        <f>H3-H13</f>
        <v>8312.5</v>
      </c>
    </row>
    <row r="22" spans="1:8" ht="15.75" x14ac:dyDescent="0.25">
      <c r="A22" t="s">
        <v>6</v>
      </c>
      <c r="C22" s="8">
        <f>D19</f>
        <v>43750</v>
      </c>
      <c r="E22" t="s">
        <v>10</v>
      </c>
      <c r="H22" s="6">
        <f>C31</f>
        <v>34851.1</v>
      </c>
    </row>
    <row r="24" spans="1:8" ht="15.75" x14ac:dyDescent="0.25">
      <c r="A24" t="s">
        <v>5</v>
      </c>
      <c r="B24" s="9" t="s">
        <v>7</v>
      </c>
      <c r="C24" s="8">
        <f>H19</f>
        <v>8312.5</v>
      </c>
      <c r="E24" s="13" t="s">
        <v>11</v>
      </c>
      <c r="F24" s="9" t="s">
        <v>181</v>
      </c>
      <c r="G24" s="15" t="s">
        <v>17</v>
      </c>
      <c r="H24" s="3">
        <f>-(F25*0.0077)</f>
        <v>-914.3442</v>
      </c>
    </row>
    <row r="25" spans="1:8" x14ac:dyDescent="0.25">
      <c r="F25" s="21">
        <f>D3-H3</f>
        <v>118746</v>
      </c>
    </row>
    <row r="26" spans="1:8" ht="15.75" x14ac:dyDescent="0.25">
      <c r="A26" t="s">
        <v>8</v>
      </c>
      <c r="B26" s="9" t="s">
        <v>7</v>
      </c>
      <c r="C26" s="8">
        <f>D3*0.004</f>
        <v>586.4</v>
      </c>
      <c r="F26" s="9" t="s">
        <v>13</v>
      </c>
      <c r="G26" s="16">
        <v>0.35</v>
      </c>
      <c r="H26" s="29">
        <f>-(F27*0.35)</f>
        <v>-12197.884999999998</v>
      </c>
    </row>
    <row r="27" spans="1:8" ht="15.75" thickBot="1" x14ac:dyDescent="0.3">
      <c r="F27" s="21">
        <f>H22</f>
        <v>34851.1</v>
      </c>
      <c r="H27" s="7"/>
    </row>
    <row r="28" spans="1:8" x14ac:dyDescent="0.25">
      <c r="A28" t="s">
        <v>769</v>
      </c>
      <c r="B28" s="9" t="s">
        <v>7</v>
      </c>
      <c r="C28" s="6"/>
      <c r="G28" s="13" t="s">
        <v>14</v>
      </c>
      <c r="H28" s="6">
        <f>H22+H24+H26</f>
        <v>21738.870800000001</v>
      </c>
    </row>
    <row r="29" spans="1:8" ht="15.75" thickBot="1" x14ac:dyDescent="0.3">
      <c r="A29" s="16">
        <v>2.5000000000000001E-2</v>
      </c>
      <c r="B29" s="34" t="s">
        <v>770</v>
      </c>
      <c r="C29" s="7"/>
    </row>
    <row r="30" spans="1:8" x14ac:dyDescent="0.25">
      <c r="E30" t="s">
        <v>151</v>
      </c>
      <c r="H30" s="20">
        <f>H28*0.5</f>
        <v>10869.4354</v>
      </c>
    </row>
    <row r="31" spans="1:8" ht="15.75" x14ac:dyDescent="0.25">
      <c r="A31" t="s">
        <v>10</v>
      </c>
      <c r="C31" s="10">
        <f>C22-C24-C26-C28</f>
        <v>34851.1</v>
      </c>
      <c r="H31" s="18"/>
    </row>
    <row r="32" spans="1:8" x14ac:dyDescent="0.25">
      <c r="H32" s="3"/>
    </row>
    <row r="33" spans="8:8" x14ac:dyDescent="0.25">
      <c r="H33" s="18"/>
    </row>
  </sheetData>
  <pageMargins left="0.7" right="0.7" top="0.75" bottom="0.75" header="0.3" footer="0.3"/>
</worksheet>
</file>

<file path=xl/worksheets/sheet4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073DC-6DC6-4F7F-A0FB-1884FDD6889D}">
  <dimension ref="A1:H33"/>
  <sheetViews>
    <sheetView workbookViewId="0">
      <selection sqref="A1:XFD1048576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790</v>
      </c>
    </row>
    <row r="3" spans="1:8" ht="21" x14ac:dyDescent="0.35">
      <c r="A3" s="2" t="s">
        <v>1</v>
      </c>
      <c r="C3" s="11">
        <v>4858050</v>
      </c>
      <c r="D3" s="11">
        <f>(C3/1.19)</f>
        <v>4082394.9579831935</v>
      </c>
      <c r="F3" s="12" t="s">
        <v>3</v>
      </c>
      <c r="H3" s="11">
        <f>D3*0.19</f>
        <v>775655.04201680678</v>
      </c>
    </row>
    <row r="4" spans="1:8" x14ac:dyDescent="0.25">
      <c r="A4" s="13" t="s">
        <v>32</v>
      </c>
      <c r="C4" s="26" t="s">
        <v>791</v>
      </c>
    </row>
    <row r="5" spans="1:8" ht="21" x14ac:dyDescent="0.35">
      <c r="A5" s="2" t="s">
        <v>2</v>
      </c>
    </row>
    <row r="7" spans="1:8" ht="18.75" x14ac:dyDescent="0.3">
      <c r="D7" s="4"/>
      <c r="E7" s="25"/>
      <c r="H7" s="4">
        <f>(D7/1.19)*0.19</f>
        <v>0</v>
      </c>
    </row>
    <row r="8" spans="1:8" ht="18.75" x14ac:dyDescent="0.3">
      <c r="A8" s="5" t="s">
        <v>221</v>
      </c>
      <c r="C8" s="3"/>
      <c r="D8" s="28">
        <v>3383692</v>
      </c>
      <c r="E8" s="25"/>
      <c r="H8" s="4">
        <f>D8*0.19</f>
        <v>642901.48</v>
      </c>
    </row>
    <row r="9" spans="1:8" ht="18.75" x14ac:dyDescent="0.3">
      <c r="A9" s="5"/>
      <c r="C9" s="3"/>
      <c r="D9" s="28"/>
      <c r="E9" s="25"/>
      <c r="H9" s="4">
        <f t="shared" ref="H9:H11" si="0">(D9/1.19)*0.19</f>
        <v>0</v>
      </c>
    </row>
    <row r="10" spans="1:8" ht="18.75" x14ac:dyDescent="0.3">
      <c r="A10" s="5"/>
      <c r="C10" s="3"/>
      <c r="D10" s="28"/>
      <c r="E10" s="25"/>
      <c r="H10" s="4">
        <f t="shared" si="0"/>
        <v>0</v>
      </c>
    </row>
    <row r="11" spans="1:8" ht="18.75" x14ac:dyDescent="0.3">
      <c r="A11" s="5"/>
      <c r="C11" s="3"/>
      <c r="D11" s="28"/>
      <c r="E11" s="25"/>
      <c r="H11" s="4">
        <f t="shared" si="0"/>
        <v>0</v>
      </c>
    </row>
    <row r="12" spans="1:8" ht="19.5" thickBot="1" x14ac:dyDescent="0.35">
      <c r="A12" s="5"/>
      <c r="C12" s="3"/>
      <c r="D12" s="22"/>
      <c r="E12" s="25"/>
      <c r="H12" s="22">
        <v>0</v>
      </c>
    </row>
    <row r="13" spans="1:8" ht="18.75" customHeight="1" x14ac:dyDescent="0.3">
      <c r="D13" s="4">
        <f>SUM(D7:D12)</f>
        <v>3383692</v>
      </c>
      <c r="H13" s="4">
        <f>SUM(H7:H12)</f>
        <v>642901.48</v>
      </c>
    </row>
    <row r="14" spans="1:8" ht="18.75" x14ac:dyDescent="0.3">
      <c r="A14" s="5"/>
      <c r="C14" s="3"/>
      <c r="D14" s="4"/>
      <c r="H14" s="4"/>
    </row>
    <row r="16" spans="1:8" ht="18.75" x14ac:dyDescent="0.3">
      <c r="A16" s="5"/>
      <c r="C16" s="3"/>
      <c r="D16" s="4"/>
      <c r="H16" s="4"/>
    </row>
    <row r="17" spans="1:8" ht="15.75" thickBot="1" x14ac:dyDescent="0.3">
      <c r="D17" s="7"/>
      <c r="H17" s="7"/>
    </row>
    <row r="19" spans="1:8" ht="18.75" x14ac:dyDescent="0.3">
      <c r="C19" t="s">
        <v>4</v>
      </c>
      <c r="D19" s="4">
        <f>D3-D13</f>
        <v>698702.95798319345</v>
      </c>
      <c r="G19" t="s">
        <v>5</v>
      </c>
      <c r="H19" s="4">
        <f>H3-H13</f>
        <v>132753.5620168068</v>
      </c>
    </row>
    <row r="22" spans="1:8" ht="15.75" x14ac:dyDescent="0.25">
      <c r="A22" t="s">
        <v>6</v>
      </c>
      <c r="C22" s="8">
        <f>D19</f>
        <v>698702.95798319345</v>
      </c>
      <c r="E22" t="s">
        <v>10</v>
      </c>
      <c r="H22" s="6">
        <f>C31</f>
        <v>549619.81613445387</v>
      </c>
    </row>
    <row r="24" spans="1:8" ht="15.75" x14ac:dyDescent="0.25">
      <c r="A24" t="s">
        <v>5</v>
      </c>
      <c r="B24" s="9" t="s">
        <v>7</v>
      </c>
      <c r="C24" s="8">
        <f>H19</f>
        <v>132753.5620168068</v>
      </c>
      <c r="E24" s="13" t="s">
        <v>11</v>
      </c>
      <c r="F24" s="9" t="s">
        <v>181</v>
      </c>
      <c r="G24" s="15" t="s">
        <v>17</v>
      </c>
      <c r="H24" s="3">
        <f>-(F25*0.0077)</f>
        <v>-25461.897352941181</v>
      </c>
    </row>
    <row r="25" spans="1:8" x14ac:dyDescent="0.25">
      <c r="F25" s="21">
        <f>D3-H3</f>
        <v>3306739.9159663869</v>
      </c>
    </row>
    <row r="26" spans="1:8" ht="15.75" x14ac:dyDescent="0.25">
      <c r="A26" t="s">
        <v>8</v>
      </c>
      <c r="B26" s="9" t="s">
        <v>7</v>
      </c>
      <c r="C26" s="8">
        <f>D3*0.004</f>
        <v>16329.579831932775</v>
      </c>
      <c r="F26" s="9" t="s">
        <v>13</v>
      </c>
      <c r="G26" s="16">
        <v>0.35</v>
      </c>
      <c r="H26" s="29">
        <f>-(F27*0.35)</f>
        <v>-192366.93564705885</v>
      </c>
    </row>
    <row r="27" spans="1:8" ht="15.75" thickBot="1" x14ac:dyDescent="0.3">
      <c r="F27" s="21">
        <f>H22</f>
        <v>549619.81613445387</v>
      </c>
      <c r="H27" s="7"/>
    </row>
    <row r="28" spans="1:8" x14ac:dyDescent="0.25">
      <c r="A28" t="s">
        <v>769</v>
      </c>
      <c r="B28" s="9" t="s">
        <v>7</v>
      </c>
      <c r="C28" s="6"/>
      <c r="G28" s="13" t="s">
        <v>14</v>
      </c>
      <c r="H28" s="6">
        <f>H22+H24+H26</f>
        <v>331790.98313445388</v>
      </c>
    </row>
    <row r="29" spans="1:8" ht="15.75" thickBot="1" x14ac:dyDescent="0.3">
      <c r="A29" s="16">
        <v>2.5000000000000001E-2</v>
      </c>
      <c r="B29" s="34" t="s">
        <v>770</v>
      </c>
      <c r="C29" s="7"/>
    </row>
    <row r="30" spans="1:8" x14ac:dyDescent="0.25">
      <c r="E30" t="s">
        <v>151</v>
      </c>
      <c r="H30" s="20">
        <f>H28*0.5</f>
        <v>165895.49156722694</v>
      </c>
    </row>
    <row r="31" spans="1:8" ht="15.75" x14ac:dyDescent="0.25">
      <c r="A31" t="s">
        <v>10</v>
      </c>
      <c r="C31" s="10">
        <f>C22-C24-C26-C28</f>
        <v>549619.81613445387</v>
      </c>
      <c r="H31" s="18"/>
    </row>
    <row r="32" spans="1:8" x14ac:dyDescent="0.25">
      <c r="H32" s="3"/>
    </row>
    <row r="33" spans="8:8" x14ac:dyDescent="0.25">
      <c r="H33" s="18"/>
    </row>
  </sheetData>
  <pageMargins left="0.7" right="0.7" top="0.75" bottom="0.75" header="0.3" footer="0.3"/>
</worksheet>
</file>

<file path=xl/worksheets/sheet4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04444-7348-4FCA-8920-C1D4DAEFC771}">
  <dimension ref="A1:H33"/>
  <sheetViews>
    <sheetView workbookViewId="0">
      <selection sqref="A1:XFD1048576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589</v>
      </c>
    </row>
    <row r="3" spans="1:8" ht="21" x14ac:dyDescent="0.35">
      <c r="A3" s="2" t="s">
        <v>1</v>
      </c>
      <c r="C3" s="11">
        <v>42840</v>
      </c>
      <c r="D3" s="11">
        <f>(C3/1.19)</f>
        <v>36000</v>
      </c>
      <c r="F3" s="12" t="s">
        <v>3</v>
      </c>
      <c r="H3" s="11">
        <f>D3*0.19</f>
        <v>6840</v>
      </c>
    </row>
    <row r="4" spans="1:8" x14ac:dyDescent="0.25">
      <c r="A4" s="13" t="s">
        <v>32</v>
      </c>
      <c r="C4" s="26" t="s">
        <v>792</v>
      </c>
    </row>
    <row r="5" spans="1:8" ht="21" x14ac:dyDescent="0.35">
      <c r="A5" s="2" t="s">
        <v>2</v>
      </c>
    </row>
    <row r="7" spans="1:8" ht="18.75" x14ac:dyDescent="0.3">
      <c r="D7" s="4"/>
      <c r="E7" s="25"/>
      <c r="H7" s="4">
        <f>(D7/1.19)*0.19</f>
        <v>0</v>
      </c>
    </row>
    <row r="8" spans="1:8" ht="18.75" x14ac:dyDescent="0.3">
      <c r="A8" s="5" t="s">
        <v>221</v>
      </c>
      <c r="C8" s="3"/>
      <c r="D8" s="28">
        <v>27000</v>
      </c>
      <c r="E8" s="25"/>
      <c r="H8" s="4">
        <f>D8*0.19</f>
        <v>5130</v>
      </c>
    </row>
    <row r="9" spans="1:8" ht="18.75" x14ac:dyDescent="0.3">
      <c r="A9" s="5"/>
      <c r="C9" s="3"/>
      <c r="D9" s="28"/>
      <c r="E9" s="25"/>
      <c r="H9" s="4">
        <f t="shared" ref="H9:H11" si="0">(D9/1.19)*0.19</f>
        <v>0</v>
      </c>
    </row>
    <row r="10" spans="1:8" ht="18.75" x14ac:dyDescent="0.3">
      <c r="A10" s="5"/>
      <c r="C10" s="3"/>
      <c r="D10" s="28"/>
      <c r="E10" s="25"/>
      <c r="H10" s="4">
        <f t="shared" si="0"/>
        <v>0</v>
      </c>
    </row>
    <row r="11" spans="1:8" ht="18.75" x14ac:dyDescent="0.3">
      <c r="A11" s="5"/>
      <c r="C11" s="3"/>
      <c r="D11" s="28"/>
      <c r="E11" s="25"/>
      <c r="H11" s="4">
        <f t="shared" si="0"/>
        <v>0</v>
      </c>
    </row>
    <row r="12" spans="1:8" ht="19.5" thickBot="1" x14ac:dyDescent="0.35">
      <c r="A12" s="5"/>
      <c r="C12" s="3"/>
      <c r="D12" s="22"/>
      <c r="E12" s="25"/>
      <c r="H12" s="22">
        <v>0</v>
      </c>
    </row>
    <row r="13" spans="1:8" ht="18.75" customHeight="1" x14ac:dyDescent="0.3">
      <c r="D13" s="4">
        <f>SUM(D7:D12)</f>
        <v>27000</v>
      </c>
      <c r="H13" s="4">
        <f>SUM(H7:H12)</f>
        <v>5130</v>
      </c>
    </row>
    <row r="14" spans="1:8" ht="18.75" x14ac:dyDescent="0.3">
      <c r="A14" s="5"/>
      <c r="C14" s="3"/>
      <c r="D14" s="4"/>
      <c r="H14" s="4"/>
    </row>
    <row r="16" spans="1:8" ht="18.75" x14ac:dyDescent="0.3">
      <c r="A16" s="5"/>
      <c r="C16" s="3"/>
      <c r="D16" s="4"/>
      <c r="H16" s="4"/>
    </row>
    <row r="17" spans="1:8" ht="15.75" thickBot="1" x14ac:dyDescent="0.3">
      <c r="D17" s="7"/>
      <c r="H17" s="7"/>
    </row>
    <row r="19" spans="1:8" ht="18.75" x14ac:dyDescent="0.3">
      <c r="C19" t="s">
        <v>4</v>
      </c>
      <c r="D19" s="4">
        <f>D3-D13</f>
        <v>9000</v>
      </c>
      <c r="G19" t="s">
        <v>5</v>
      </c>
      <c r="H19" s="4">
        <f>H3-H13</f>
        <v>1710</v>
      </c>
    </row>
    <row r="22" spans="1:8" ht="15.75" x14ac:dyDescent="0.25">
      <c r="A22" t="s">
        <v>6</v>
      </c>
      <c r="C22" s="8">
        <f>D19</f>
        <v>9000</v>
      </c>
      <c r="E22" t="s">
        <v>10</v>
      </c>
      <c r="H22" s="6">
        <f>C31</f>
        <v>7146</v>
      </c>
    </row>
    <row r="24" spans="1:8" ht="15.75" x14ac:dyDescent="0.25">
      <c r="A24" t="s">
        <v>5</v>
      </c>
      <c r="B24" s="9" t="s">
        <v>7</v>
      </c>
      <c r="C24" s="8">
        <f>H19</f>
        <v>1710</v>
      </c>
      <c r="E24" s="13" t="s">
        <v>11</v>
      </c>
      <c r="F24" s="9" t="s">
        <v>181</v>
      </c>
      <c r="G24" s="15" t="s">
        <v>17</v>
      </c>
      <c r="H24" s="3">
        <f>-(F25*0.0077)</f>
        <v>-224.53200000000001</v>
      </c>
    </row>
    <row r="25" spans="1:8" x14ac:dyDescent="0.25">
      <c r="F25" s="21">
        <f>D3-H3</f>
        <v>29160</v>
      </c>
    </row>
    <row r="26" spans="1:8" ht="15.75" x14ac:dyDescent="0.25">
      <c r="A26" t="s">
        <v>8</v>
      </c>
      <c r="B26" s="9" t="s">
        <v>7</v>
      </c>
      <c r="C26" s="8">
        <f>D3*0.004</f>
        <v>144</v>
      </c>
      <c r="F26" s="9" t="s">
        <v>13</v>
      </c>
      <c r="G26" s="16">
        <v>0.35</v>
      </c>
      <c r="H26" s="29">
        <f>-(F27*0.35)</f>
        <v>-2501.1</v>
      </c>
    </row>
    <row r="27" spans="1:8" ht="15.75" thickBot="1" x14ac:dyDescent="0.3">
      <c r="F27" s="21">
        <f>H22</f>
        <v>7146</v>
      </c>
      <c r="H27" s="7"/>
    </row>
    <row r="28" spans="1:8" x14ac:dyDescent="0.25">
      <c r="A28" t="s">
        <v>769</v>
      </c>
      <c r="B28" s="9" t="s">
        <v>7</v>
      </c>
      <c r="C28" s="6"/>
      <c r="G28" s="13" t="s">
        <v>14</v>
      </c>
      <c r="H28" s="6">
        <f>H22+H24+H26</f>
        <v>4420.3680000000004</v>
      </c>
    </row>
    <row r="29" spans="1:8" ht="15.75" thickBot="1" x14ac:dyDescent="0.3">
      <c r="A29" s="16">
        <v>2.5000000000000001E-2</v>
      </c>
      <c r="B29" s="34" t="s">
        <v>770</v>
      </c>
      <c r="C29" s="7"/>
    </row>
    <row r="30" spans="1:8" x14ac:dyDescent="0.25">
      <c r="E30" t="s">
        <v>151</v>
      </c>
      <c r="H30" s="20">
        <f>H28*0.5</f>
        <v>2210.1840000000002</v>
      </c>
    </row>
    <row r="31" spans="1:8" ht="15.75" x14ac:dyDescent="0.25">
      <c r="A31" t="s">
        <v>10</v>
      </c>
      <c r="C31" s="10">
        <f>C22-C24-C26-C28</f>
        <v>7146</v>
      </c>
      <c r="H31" s="18"/>
    </row>
    <row r="32" spans="1:8" x14ac:dyDescent="0.25">
      <c r="H32" s="3"/>
    </row>
    <row r="33" spans="8:8" x14ac:dyDescent="0.25">
      <c r="H33" s="18"/>
    </row>
  </sheetData>
  <pageMargins left="0.7" right="0.7" top="0.75" bottom="0.75" header="0.3" footer="0.3"/>
</worksheet>
</file>

<file path=xl/worksheets/sheet4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F35CB-BCA4-4A37-9E07-738CDC1EAB08}">
  <dimension ref="A1:H33"/>
  <sheetViews>
    <sheetView workbookViewId="0">
      <selection activeCell="K18" sqref="K18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793</v>
      </c>
    </row>
    <row r="3" spans="1:8" ht="21" x14ac:dyDescent="0.35">
      <c r="A3" s="2" t="s">
        <v>1</v>
      </c>
      <c r="C3" s="11">
        <v>1118400</v>
      </c>
      <c r="D3" s="11">
        <f>(C3/1.19)</f>
        <v>939831.93277310929</v>
      </c>
      <c r="F3" s="12" t="s">
        <v>3</v>
      </c>
      <c r="H3" s="11">
        <f>D3*0.19</f>
        <v>178568.06722689077</v>
      </c>
    </row>
    <row r="4" spans="1:8" x14ac:dyDescent="0.25">
      <c r="A4" s="13" t="s">
        <v>32</v>
      </c>
      <c r="C4" s="26" t="s">
        <v>795</v>
      </c>
    </row>
    <row r="5" spans="1:8" ht="21" x14ac:dyDescent="0.35">
      <c r="A5" s="2" t="s">
        <v>2</v>
      </c>
    </row>
    <row r="7" spans="1:8" ht="18.75" x14ac:dyDescent="0.3">
      <c r="D7" s="4"/>
      <c r="E7" s="25"/>
      <c r="H7" s="4">
        <f>(D7/1.19)*0.19</f>
        <v>0</v>
      </c>
    </row>
    <row r="8" spans="1:8" ht="18.75" x14ac:dyDescent="0.3">
      <c r="A8" s="5" t="s">
        <v>221</v>
      </c>
      <c r="C8" s="3"/>
      <c r="D8" s="28">
        <v>687825</v>
      </c>
      <c r="E8" s="25"/>
      <c r="H8" s="4">
        <f>D8*0.19</f>
        <v>130686.75</v>
      </c>
    </row>
    <row r="9" spans="1:8" ht="18.75" x14ac:dyDescent="0.3">
      <c r="A9" s="5"/>
      <c r="C9" s="3"/>
      <c r="D9" s="28"/>
      <c r="E9" s="25"/>
      <c r="H9" s="4">
        <f t="shared" ref="H9:H11" si="0">(D9/1.19)*0.19</f>
        <v>0</v>
      </c>
    </row>
    <row r="10" spans="1:8" ht="18.75" x14ac:dyDescent="0.3">
      <c r="A10" s="5"/>
      <c r="C10" s="3"/>
      <c r="D10" s="28"/>
      <c r="E10" s="25"/>
      <c r="H10" s="4">
        <f t="shared" si="0"/>
        <v>0</v>
      </c>
    </row>
    <row r="11" spans="1:8" ht="18.75" x14ac:dyDescent="0.3">
      <c r="A11" s="5"/>
      <c r="C11" s="3"/>
      <c r="D11" s="28"/>
      <c r="E11" s="25"/>
      <c r="H11" s="4">
        <f t="shared" si="0"/>
        <v>0</v>
      </c>
    </row>
    <row r="12" spans="1:8" ht="19.5" thickBot="1" x14ac:dyDescent="0.35">
      <c r="A12" s="5"/>
      <c r="C12" s="3"/>
      <c r="D12" s="22"/>
      <c r="E12" s="25"/>
      <c r="H12" s="22">
        <v>0</v>
      </c>
    </row>
    <row r="13" spans="1:8" ht="18.75" customHeight="1" x14ac:dyDescent="0.3">
      <c r="D13" s="4">
        <f>SUM(D7:D12)</f>
        <v>687825</v>
      </c>
      <c r="H13" s="4">
        <f>SUM(H7:H12)</f>
        <v>130686.75</v>
      </c>
    </row>
    <row r="14" spans="1:8" ht="18.75" x14ac:dyDescent="0.3">
      <c r="A14" s="5"/>
      <c r="C14" s="3"/>
      <c r="D14" s="4"/>
      <c r="H14" s="4"/>
    </row>
    <row r="16" spans="1:8" ht="18.75" x14ac:dyDescent="0.3">
      <c r="A16" s="5"/>
      <c r="C16" s="3"/>
      <c r="D16" s="4"/>
      <c r="H16" s="4"/>
    </row>
    <row r="17" spans="1:8" ht="15.75" thickBot="1" x14ac:dyDescent="0.3">
      <c r="D17" s="7"/>
      <c r="H17" s="7"/>
    </row>
    <row r="19" spans="1:8" ht="18.75" x14ac:dyDescent="0.3">
      <c r="C19" t="s">
        <v>4</v>
      </c>
      <c r="D19" s="4">
        <f>D3-D13</f>
        <v>252006.93277310929</v>
      </c>
      <c r="G19" t="s">
        <v>5</v>
      </c>
      <c r="H19" s="4">
        <f>H3-H13</f>
        <v>47881.317226890766</v>
      </c>
    </row>
    <row r="22" spans="1:8" ht="15.75" x14ac:dyDescent="0.25">
      <c r="A22" t="s">
        <v>6</v>
      </c>
      <c r="C22" s="8">
        <f>D19</f>
        <v>252006.93277310929</v>
      </c>
      <c r="E22" t="s">
        <v>10</v>
      </c>
      <c r="H22" s="6">
        <f>C31</f>
        <v>200366.2878151261</v>
      </c>
    </row>
    <row r="24" spans="1:8" ht="15.75" x14ac:dyDescent="0.25">
      <c r="A24" t="s">
        <v>5</v>
      </c>
      <c r="B24" s="9" t="s">
        <v>7</v>
      </c>
      <c r="C24" s="8">
        <f>H19</f>
        <v>47881.317226890766</v>
      </c>
      <c r="E24" s="13" t="s">
        <v>11</v>
      </c>
      <c r="F24" s="9" t="s">
        <v>181</v>
      </c>
      <c r="G24" s="15" t="s">
        <v>17</v>
      </c>
      <c r="H24" s="3">
        <f>-(F25*0.0077)</f>
        <v>-5861.7317647058835</v>
      </c>
    </row>
    <row r="25" spans="1:8" x14ac:dyDescent="0.25">
      <c r="F25" s="21">
        <f>D3-H3</f>
        <v>761263.86554621859</v>
      </c>
    </row>
    <row r="26" spans="1:8" ht="15.75" x14ac:dyDescent="0.25">
      <c r="A26" t="s">
        <v>8</v>
      </c>
      <c r="B26" s="9" t="s">
        <v>7</v>
      </c>
      <c r="C26" s="8">
        <f>D3*0.004</f>
        <v>3759.3277310924373</v>
      </c>
      <c r="F26" s="9" t="s">
        <v>13</v>
      </c>
      <c r="G26" s="16">
        <v>0.35</v>
      </c>
      <c r="H26" s="29">
        <f>-(F27*0.35)</f>
        <v>-70128.200735294129</v>
      </c>
    </row>
    <row r="27" spans="1:8" ht="15.75" thickBot="1" x14ac:dyDescent="0.3">
      <c r="F27" s="21">
        <f>H22</f>
        <v>200366.2878151261</v>
      </c>
      <c r="H27" s="7"/>
    </row>
    <row r="28" spans="1:8" x14ac:dyDescent="0.25">
      <c r="A28" t="s">
        <v>769</v>
      </c>
      <c r="B28" s="9" t="s">
        <v>7</v>
      </c>
      <c r="C28" s="6"/>
      <c r="G28" s="13" t="s">
        <v>14</v>
      </c>
      <c r="H28" s="6">
        <f>H22+H24+H26</f>
        <v>124376.35531512609</v>
      </c>
    </row>
    <row r="29" spans="1:8" ht="15.75" thickBot="1" x14ac:dyDescent="0.3">
      <c r="A29" s="16">
        <v>2.5000000000000001E-2</v>
      </c>
      <c r="B29" s="34" t="s">
        <v>770</v>
      </c>
      <c r="C29" s="7"/>
    </row>
    <row r="30" spans="1:8" x14ac:dyDescent="0.25">
      <c r="E30" t="s">
        <v>151</v>
      </c>
      <c r="H30" s="20">
        <f>H28*0.5</f>
        <v>62188.177657563043</v>
      </c>
    </row>
    <row r="31" spans="1:8" ht="15.75" x14ac:dyDescent="0.25">
      <c r="A31" t="s">
        <v>10</v>
      </c>
      <c r="C31" s="10">
        <f>C22-C24-C26-C28</f>
        <v>200366.2878151261</v>
      </c>
      <c r="H31" s="18"/>
    </row>
    <row r="32" spans="1:8" x14ac:dyDescent="0.25">
      <c r="H32" s="3"/>
    </row>
    <row r="33" spans="8:8" x14ac:dyDescent="0.25">
      <c r="H33" s="18"/>
    </row>
  </sheetData>
  <pageMargins left="0.7" right="0.7" top="0.75" bottom="0.75" header="0.3" footer="0.3"/>
</worksheet>
</file>

<file path=xl/worksheets/sheet4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CAECD-C783-4FE5-AE6A-D58D63D5C4F5}">
  <dimension ref="A1:H33"/>
  <sheetViews>
    <sheetView workbookViewId="0">
      <selection sqref="A1:XFD1048576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794</v>
      </c>
    </row>
    <row r="3" spans="1:8" ht="21" x14ac:dyDescent="0.35">
      <c r="A3" s="2" t="s">
        <v>1</v>
      </c>
      <c r="C3" s="11">
        <v>28560</v>
      </c>
      <c r="D3" s="11">
        <f>(C3/1.19)</f>
        <v>24000</v>
      </c>
      <c r="F3" s="12" t="s">
        <v>3</v>
      </c>
      <c r="H3" s="11">
        <f>D3*0.19</f>
        <v>4560</v>
      </c>
    </row>
    <row r="4" spans="1:8" x14ac:dyDescent="0.25">
      <c r="A4" s="13" t="s">
        <v>32</v>
      </c>
      <c r="C4" s="26" t="s">
        <v>796</v>
      </c>
    </row>
    <row r="5" spans="1:8" ht="21" x14ac:dyDescent="0.35">
      <c r="A5" s="2" t="s">
        <v>2</v>
      </c>
    </row>
    <row r="7" spans="1:8" ht="18.75" x14ac:dyDescent="0.3">
      <c r="D7" s="4"/>
      <c r="E7" s="25"/>
      <c r="H7" s="4">
        <f>(D7/1.19)*0.19</f>
        <v>0</v>
      </c>
    </row>
    <row r="8" spans="1:8" ht="18.75" x14ac:dyDescent="0.3">
      <c r="A8" s="5" t="s">
        <v>221</v>
      </c>
      <c r="C8" s="3"/>
      <c r="D8" s="28">
        <v>16800</v>
      </c>
      <c r="E8" s="25"/>
      <c r="H8" s="4">
        <f>D8*0.19</f>
        <v>3192</v>
      </c>
    </row>
    <row r="9" spans="1:8" ht="18.75" x14ac:dyDescent="0.3">
      <c r="A9" s="5"/>
      <c r="C9" s="3"/>
      <c r="D9" s="28"/>
      <c r="E9" s="25"/>
      <c r="H9" s="4">
        <f t="shared" ref="H9:H11" si="0">(D9/1.19)*0.19</f>
        <v>0</v>
      </c>
    </row>
    <row r="10" spans="1:8" ht="18.75" x14ac:dyDescent="0.3">
      <c r="A10" s="5"/>
      <c r="C10" s="3"/>
      <c r="D10" s="28"/>
      <c r="E10" s="25"/>
      <c r="H10" s="4">
        <f t="shared" si="0"/>
        <v>0</v>
      </c>
    </row>
    <row r="11" spans="1:8" ht="18.75" x14ac:dyDescent="0.3">
      <c r="A11" s="5"/>
      <c r="C11" s="3"/>
      <c r="D11" s="28"/>
      <c r="E11" s="25"/>
      <c r="H11" s="4">
        <f t="shared" si="0"/>
        <v>0</v>
      </c>
    </row>
    <row r="12" spans="1:8" ht="19.5" thickBot="1" x14ac:dyDescent="0.35">
      <c r="A12" s="5"/>
      <c r="C12" s="3"/>
      <c r="D12" s="22"/>
      <c r="E12" s="25"/>
      <c r="H12" s="22">
        <v>0</v>
      </c>
    </row>
    <row r="13" spans="1:8" ht="18.75" customHeight="1" x14ac:dyDescent="0.3">
      <c r="D13" s="4">
        <f>SUM(D7:D12)</f>
        <v>16800</v>
      </c>
      <c r="H13" s="4">
        <f>SUM(H7:H12)</f>
        <v>3192</v>
      </c>
    </row>
    <row r="14" spans="1:8" ht="18.75" x14ac:dyDescent="0.3">
      <c r="A14" s="5"/>
      <c r="C14" s="3"/>
      <c r="D14" s="4"/>
      <c r="H14" s="4"/>
    </row>
    <row r="16" spans="1:8" ht="18.75" x14ac:dyDescent="0.3">
      <c r="A16" s="5"/>
      <c r="C16" s="3"/>
      <c r="D16" s="4"/>
      <c r="H16" s="4"/>
    </row>
    <row r="17" spans="1:8" ht="15.75" thickBot="1" x14ac:dyDescent="0.3">
      <c r="D17" s="7"/>
      <c r="H17" s="7"/>
    </row>
    <row r="19" spans="1:8" ht="18.75" x14ac:dyDescent="0.3">
      <c r="C19" t="s">
        <v>4</v>
      </c>
      <c r="D19" s="4">
        <f>D3-D13</f>
        <v>7200</v>
      </c>
      <c r="G19" t="s">
        <v>5</v>
      </c>
      <c r="H19" s="4">
        <f>H3-H13</f>
        <v>1368</v>
      </c>
    </row>
    <row r="22" spans="1:8" ht="15.75" x14ac:dyDescent="0.25">
      <c r="A22" t="s">
        <v>6</v>
      </c>
      <c r="C22" s="8">
        <f>D19</f>
        <v>7200</v>
      </c>
      <c r="E22" t="s">
        <v>10</v>
      </c>
      <c r="H22" s="6">
        <f>C31</f>
        <v>5736</v>
      </c>
    </row>
    <row r="24" spans="1:8" ht="15.75" x14ac:dyDescent="0.25">
      <c r="A24" t="s">
        <v>5</v>
      </c>
      <c r="B24" s="9" t="s">
        <v>7</v>
      </c>
      <c r="C24" s="8">
        <f>H19</f>
        <v>1368</v>
      </c>
      <c r="E24" s="13" t="s">
        <v>11</v>
      </c>
      <c r="F24" s="9" t="s">
        <v>181</v>
      </c>
      <c r="G24" s="15" t="s">
        <v>17</v>
      </c>
      <c r="H24" s="3">
        <f>-(F25*0.0077)</f>
        <v>-149.68800000000002</v>
      </c>
    </row>
    <row r="25" spans="1:8" x14ac:dyDescent="0.25">
      <c r="F25" s="21">
        <f>D3-H3</f>
        <v>19440</v>
      </c>
    </row>
    <row r="26" spans="1:8" ht="15.75" x14ac:dyDescent="0.25">
      <c r="A26" t="s">
        <v>8</v>
      </c>
      <c r="B26" s="9" t="s">
        <v>7</v>
      </c>
      <c r="C26" s="8">
        <f>D3*0.004</f>
        <v>96</v>
      </c>
      <c r="F26" s="9" t="s">
        <v>13</v>
      </c>
      <c r="G26" s="16">
        <v>0.35</v>
      </c>
      <c r="H26" s="29">
        <f>-(F27*0.35)</f>
        <v>-2007.6</v>
      </c>
    </row>
    <row r="27" spans="1:8" ht="15.75" thickBot="1" x14ac:dyDescent="0.3">
      <c r="F27" s="21">
        <f>H22</f>
        <v>5736</v>
      </c>
      <c r="H27" s="7"/>
    </row>
    <row r="28" spans="1:8" x14ac:dyDescent="0.25">
      <c r="A28" t="s">
        <v>769</v>
      </c>
      <c r="B28" s="9" t="s">
        <v>7</v>
      </c>
      <c r="C28" s="6"/>
      <c r="G28" s="13" t="s">
        <v>14</v>
      </c>
      <c r="H28" s="6">
        <f>H22+H24+H26</f>
        <v>3578.712</v>
      </c>
    </row>
    <row r="29" spans="1:8" ht="15.75" thickBot="1" x14ac:dyDescent="0.3">
      <c r="A29" s="16">
        <v>2.5000000000000001E-2</v>
      </c>
      <c r="B29" s="34" t="s">
        <v>770</v>
      </c>
      <c r="C29" s="7"/>
    </row>
    <row r="30" spans="1:8" x14ac:dyDescent="0.25">
      <c r="E30" t="s">
        <v>151</v>
      </c>
      <c r="H30" s="20">
        <f>H28*0.5</f>
        <v>1789.356</v>
      </c>
    </row>
    <row r="31" spans="1:8" ht="15.75" x14ac:dyDescent="0.25">
      <c r="A31" t="s">
        <v>10</v>
      </c>
      <c r="C31" s="10">
        <f>C22-C24-C26-C28</f>
        <v>5736</v>
      </c>
      <c r="H31" s="18"/>
    </row>
    <row r="32" spans="1:8" x14ac:dyDescent="0.25">
      <c r="H32" s="3"/>
    </row>
    <row r="33" spans="8:8" x14ac:dyDescent="0.25">
      <c r="H33" s="18"/>
    </row>
  </sheetData>
  <pageMargins left="0.7" right="0.7" top="0.75" bottom="0.75" header="0.3" footer="0.3"/>
</worksheet>
</file>

<file path=xl/worksheets/sheet4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EBA3A-D942-46F8-802D-334A27C48007}">
  <dimension ref="A1:H33"/>
  <sheetViews>
    <sheetView workbookViewId="0">
      <selection activeCell="K21" sqref="K21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771</v>
      </c>
    </row>
    <row r="3" spans="1:8" ht="21" x14ac:dyDescent="0.35">
      <c r="A3" s="2" t="s">
        <v>1</v>
      </c>
      <c r="C3" s="11">
        <v>654963</v>
      </c>
      <c r="D3" s="11">
        <f>(C3/1.19)</f>
        <v>550389.07563025213</v>
      </c>
      <c r="F3" s="12" t="s">
        <v>3</v>
      </c>
      <c r="H3" s="11">
        <f>D3*0.19</f>
        <v>104573.92436974791</v>
      </c>
    </row>
    <row r="4" spans="1:8" x14ac:dyDescent="0.25">
      <c r="A4" s="13" t="s">
        <v>32</v>
      </c>
      <c r="C4" s="26" t="s">
        <v>797</v>
      </c>
    </row>
    <row r="5" spans="1:8" ht="21" x14ac:dyDescent="0.35">
      <c r="A5" s="2" t="s">
        <v>2</v>
      </c>
    </row>
    <row r="7" spans="1:8" ht="18.75" x14ac:dyDescent="0.3">
      <c r="D7" s="4"/>
      <c r="E7" s="25"/>
      <c r="H7" s="4">
        <f>(D7/1.19)*0.19</f>
        <v>0</v>
      </c>
    </row>
    <row r="8" spans="1:8" ht="18.75" x14ac:dyDescent="0.3">
      <c r="A8" s="5" t="s">
        <v>221</v>
      </c>
      <c r="C8" s="3"/>
      <c r="D8" s="28">
        <v>367700</v>
      </c>
      <c r="E8" s="25"/>
      <c r="H8" s="4">
        <f>D8*0.19</f>
        <v>69863</v>
      </c>
    </row>
    <row r="9" spans="1:8" ht="18.75" x14ac:dyDescent="0.3">
      <c r="A9" s="5"/>
      <c r="C9" s="3"/>
      <c r="D9" s="28"/>
      <c r="E9" s="25"/>
      <c r="H9" s="4">
        <f t="shared" ref="H9:H11" si="0">(D9/1.19)*0.19</f>
        <v>0</v>
      </c>
    </row>
    <row r="10" spans="1:8" ht="18.75" x14ac:dyDescent="0.3">
      <c r="A10" s="5"/>
      <c r="C10" s="3"/>
      <c r="D10" s="28"/>
      <c r="E10" s="25"/>
      <c r="H10" s="4">
        <f t="shared" si="0"/>
        <v>0</v>
      </c>
    </row>
    <row r="11" spans="1:8" ht="18.75" x14ac:dyDescent="0.3">
      <c r="A11" s="5"/>
      <c r="C11" s="3"/>
      <c r="D11" s="28"/>
      <c r="E11" s="25"/>
      <c r="H11" s="4">
        <f t="shared" si="0"/>
        <v>0</v>
      </c>
    </row>
    <row r="12" spans="1:8" ht="19.5" thickBot="1" x14ac:dyDescent="0.35">
      <c r="A12" s="5"/>
      <c r="C12" s="3"/>
      <c r="D12" s="22"/>
      <c r="E12" s="25"/>
      <c r="H12" s="22">
        <v>0</v>
      </c>
    </row>
    <row r="13" spans="1:8" ht="18.75" customHeight="1" x14ac:dyDescent="0.3">
      <c r="D13" s="4">
        <f>SUM(D7:D12)</f>
        <v>367700</v>
      </c>
      <c r="H13" s="4">
        <f>SUM(H7:H12)</f>
        <v>69863</v>
      </c>
    </row>
    <row r="14" spans="1:8" ht="18.75" x14ac:dyDescent="0.3">
      <c r="A14" s="5"/>
      <c r="C14" s="3"/>
      <c r="D14" s="4"/>
      <c r="H14" s="4"/>
    </row>
    <row r="16" spans="1:8" ht="18.75" x14ac:dyDescent="0.3">
      <c r="A16" s="5"/>
      <c r="C16" s="3"/>
      <c r="D16" s="4"/>
      <c r="H16" s="4"/>
    </row>
    <row r="17" spans="1:8" ht="15.75" thickBot="1" x14ac:dyDescent="0.3">
      <c r="D17" s="7"/>
      <c r="H17" s="7"/>
    </row>
    <row r="19" spans="1:8" ht="18.75" x14ac:dyDescent="0.3">
      <c r="C19" t="s">
        <v>4</v>
      </c>
      <c r="D19" s="4">
        <f>D3-D13</f>
        <v>182689.07563025213</v>
      </c>
      <c r="G19" t="s">
        <v>5</v>
      </c>
      <c r="H19" s="4">
        <f>H3-H13</f>
        <v>34710.924369747911</v>
      </c>
    </row>
    <row r="22" spans="1:8" ht="15.75" x14ac:dyDescent="0.25">
      <c r="A22" t="s">
        <v>6</v>
      </c>
      <c r="C22" s="8">
        <f>D19</f>
        <v>182689.07563025213</v>
      </c>
      <c r="E22" t="s">
        <v>10</v>
      </c>
      <c r="H22" s="6">
        <f>C31</f>
        <v>145776.59495798321</v>
      </c>
    </row>
    <row r="24" spans="1:8" ht="15.75" x14ac:dyDescent="0.25">
      <c r="A24" t="s">
        <v>5</v>
      </c>
      <c r="B24" s="9" t="s">
        <v>7</v>
      </c>
      <c r="C24" s="8">
        <f>H19</f>
        <v>34710.924369747911</v>
      </c>
      <c r="E24" s="13" t="s">
        <v>11</v>
      </c>
      <c r="F24" s="9" t="s">
        <v>181</v>
      </c>
      <c r="G24" s="15" t="s">
        <v>17</v>
      </c>
      <c r="H24" s="3">
        <f>-(F25*0.0077)</f>
        <v>-3432.7766647058825</v>
      </c>
    </row>
    <row r="25" spans="1:8" x14ac:dyDescent="0.25">
      <c r="F25" s="21">
        <f>D3-H3</f>
        <v>445815.15126050421</v>
      </c>
    </row>
    <row r="26" spans="1:8" ht="15.75" x14ac:dyDescent="0.25">
      <c r="A26" t="s">
        <v>8</v>
      </c>
      <c r="B26" s="9" t="s">
        <v>7</v>
      </c>
      <c r="C26" s="8">
        <f>D3*0.004</f>
        <v>2201.5563025210085</v>
      </c>
      <c r="F26" s="9" t="s">
        <v>13</v>
      </c>
      <c r="G26" s="16">
        <v>0.35</v>
      </c>
      <c r="H26" s="29">
        <f>-(F27*0.35)</f>
        <v>-51021.80823529412</v>
      </c>
    </row>
    <row r="27" spans="1:8" ht="15.75" thickBot="1" x14ac:dyDescent="0.3">
      <c r="F27" s="21">
        <f>H22</f>
        <v>145776.59495798321</v>
      </c>
      <c r="H27" s="7"/>
    </row>
    <row r="28" spans="1:8" x14ac:dyDescent="0.25">
      <c r="A28" t="s">
        <v>769</v>
      </c>
      <c r="B28" s="9" t="s">
        <v>7</v>
      </c>
      <c r="C28" s="6"/>
      <c r="G28" s="13" t="s">
        <v>14</v>
      </c>
      <c r="H28" s="6">
        <f>H22+H24+H26</f>
        <v>91322.010057983192</v>
      </c>
    </row>
    <row r="29" spans="1:8" ht="15.75" thickBot="1" x14ac:dyDescent="0.3">
      <c r="A29" s="16">
        <v>2.5000000000000001E-2</v>
      </c>
      <c r="B29" s="34" t="s">
        <v>770</v>
      </c>
      <c r="C29" s="7"/>
    </row>
    <row r="30" spans="1:8" x14ac:dyDescent="0.25">
      <c r="E30" t="s">
        <v>151</v>
      </c>
      <c r="H30" s="20">
        <f>H28*0.5</f>
        <v>45661.005028991596</v>
      </c>
    </row>
    <row r="31" spans="1:8" ht="15.75" x14ac:dyDescent="0.25">
      <c r="A31" t="s">
        <v>10</v>
      </c>
      <c r="C31" s="10">
        <f>C22-C24-C26-C28</f>
        <v>145776.59495798321</v>
      </c>
      <c r="H31" s="18"/>
    </row>
    <row r="32" spans="1:8" x14ac:dyDescent="0.25">
      <c r="H32" s="3"/>
    </row>
    <row r="33" spans="8:8" x14ac:dyDescent="0.25">
      <c r="H33" s="18"/>
    </row>
  </sheetData>
  <pageMargins left="0.7" right="0.7" top="0.75" bottom="0.75" header="0.3" footer="0.3"/>
</worksheet>
</file>

<file path=xl/worksheets/sheet4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164D0-5437-4C7A-AAA3-FB56C69DB921}">
  <dimension ref="A1:H33"/>
  <sheetViews>
    <sheetView workbookViewId="0">
      <selection activeCell="C4" sqref="C4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798</v>
      </c>
    </row>
    <row r="3" spans="1:8" ht="21" x14ac:dyDescent="0.35">
      <c r="A3" s="2" t="s">
        <v>1</v>
      </c>
      <c r="C3" s="11">
        <v>908700</v>
      </c>
      <c r="D3" s="11">
        <f>(C3/1.19)</f>
        <v>763613.44537815126</v>
      </c>
      <c r="F3" s="12" t="s">
        <v>3</v>
      </c>
      <c r="H3" s="11">
        <f>D3*0.19</f>
        <v>145086.55462184874</v>
      </c>
    </row>
    <row r="4" spans="1:8" x14ac:dyDescent="0.25">
      <c r="A4" s="13" t="s">
        <v>32</v>
      </c>
      <c r="C4" s="26" t="s">
        <v>801</v>
      </c>
    </row>
    <row r="5" spans="1:8" ht="21" x14ac:dyDescent="0.35">
      <c r="A5" s="2" t="s">
        <v>2</v>
      </c>
    </row>
    <row r="7" spans="1:8" ht="18.75" x14ac:dyDescent="0.3">
      <c r="D7" s="4"/>
      <c r="E7" s="25"/>
      <c r="H7" s="4">
        <f>(D7/1.19)*0.19</f>
        <v>0</v>
      </c>
    </row>
    <row r="8" spans="1:8" ht="18.75" x14ac:dyDescent="0.3">
      <c r="A8" s="5" t="s">
        <v>221</v>
      </c>
      <c r="C8" s="3"/>
      <c r="D8" s="28">
        <v>606700</v>
      </c>
      <c r="E8" s="25"/>
      <c r="H8" s="4">
        <f>D8*0.19</f>
        <v>115273</v>
      </c>
    </row>
    <row r="9" spans="1:8" ht="18.75" x14ac:dyDescent="0.3">
      <c r="A9" s="5"/>
      <c r="C9" s="3"/>
      <c r="D9" s="28"/>
      <c r="E9" s="25"/>
      <c r="H9" s="4">
        <f t="shared" ref="H9:H11" si="0">(D9/1.19)*0.19</f>
        <v>0</v>
      </c>
    </row>
    <row r="10" spans="1:8" ht="18.75" x14ac:dyDescent="0.3">
      <c r="A10" s="5"/>
      <c r="C10" s="3"/>
      <c r="D10" s="28"/>
      <c r="E10" s="25"/>
      <c r="H10" s="4">
        <f t="shared" si="0"/>
        <v>0</v>
      </c>
    </row>
    <row r="11" spans="1:8" ht="18.75" x14ac:dyDescent="0.3">
      <c r="A11" s="5"/>
      <c r="C11" s="3"/>
      <c r="D11" s="28"/>
      <c r="E11" s="25"/>
      <c r="H11" s="4">
        <f t="shared" si="0"/>
        <v>0</v>
      </c>
    </row>
    <row r="12" spans="1:8" ht="19.5" thickBot="1" x14ac:dyDescent="0.35">
      <c r="A12" s="5"/>
      <c r="C12" s="3"/>
      <c r="D12" s="22"/>
      <c r="E12" s="25"/>
      <c r="H12" s="22">
        <v>0</v>
      </c>
    </row>
    <row r="13" spans="1:8" ht="18.75" customHeight="1" x14ac:dyDescent="0.3">
      <c r="D13" s="4">
        <f>SUM(D7:D12)</f>
        <v>606700</v>
      </c>
      <c r="H13" s="4">
        <f>SUM(H7:H12)</f>
        <v>115273</v>
      </c>
    </row>
    <row r="14" spans="1:8" ht="18.75" x14ac:dyDescent="0.3">
      <c r="A14" s="5"/>
      <c r="C14" s="3"/>
      <c r="D14" s="4"/>
      <c r="H14" s="4"/>
    </row>
    <row r="16" spans="1:8" ht="18.75" x14ac:dyDescent="0.3">
      <c r="A16" s="5"/>
      <c r="C16" s="3"/>
      <c r="D16" s="4"/>
      <c r="H16" s="4"/>
    </row>
    <row r="17" spans="1:8" ht="15.75" thickBot="1" x14ac:dyDescent="0.3">
      <c r="D17" s="7"/>
      <c r="H17" s="7"/>
    </row>
    <row r="19" spans="1:8" ht="18.75" x14ac:dyDescent="0.3">
      <c r="C19" t="s">
        <v>4</v>
      </c>
      <c r="D19" s="4">
        <f>D3-D13</f>
        <v>156913.44537815126</v>
      </c>
      <c r="G19" t="s">
        <v>5</v>
      </c>
      <c r="H19" s="4">
        <f>H3-H13</f>
        <v>29813.554621848743</v>
      </c>
    </row>
    <row r="22" spans="1:8" ht="15.75" x14ac:dyDescent="0.25">
      <c r="A22" t="s">
        <v>6</v>
      </c>
      <c r="C22" s="8">
        <f>D19</f>
        <v>156913.44537815126</v>
      </c>
      <c r="E22" t="s">
        <v>10</v>
      </c>
      <c r="H22" s="6">
        <f>C31</f>
        <v>124045.4369747899</v>
      </c>
    </row>
    <row r="24" spans="1:8" ht="15.75" x14ac:dyDescent="0.25">
      <c r="A24" t="s">
        <v>5</v>
      </c>
      <c r="B24" s="9" t="s">
        <v>7</v>
      </c>
      <c r="C24" s="8">
        <f>H19</f>
        <v>29813.554621848743</v>
      </c>
      <c r="E24" s="13" t="s">
        <v>11</v>
      </c>
      <c r="F24" s="9" t="s">
        <v>181</v>
      </c>
      <c r="G24" s="15" t="s">
        <v>17</v>
      </c>
      <c r="H24" s="3">
        <f>-(F25*0.0077)</f>
        <v>-4762.65705882353</v>
      </c>
    </row>
    <row r="25" spans="1:8" x14ac:dyDescent="0.25">
      <c r="F25" s="21">
        <f>D3-H3</f>
        <v>618526.89075630251</v>
      </c>
    </row>
    <row r="26" spans="1:8" ht="15.75" x14ac:dyDescent="0.25">
      <c r="A26" t="s">
        <v>8</v>
      </c>
      <c r="B26" s="9" t="s">
        <v>7</v>
      </c>
      <c r="C26" s="8">
        <f>D3*0.004</f>
        <v>3054.453781512605</v>
      </c>
      <c r="F26" s="9" t="s">
        <v>13</v>
      </c>
      <c r="G26" s="16">
        <v>0.35</v>
      </c>
      <c r="H26" s="29">
        <f>-(F27*0.35)</f>
        <v>-43415.902941176464</v>
      </c>
    </row>
    <row r="27" spans="1:8" ht="15.75" thickBot="1" x14ac:dyDescent="0.3">
      <c r="F27" s="21">
        <f>H22</f>
        <v>124045.4369747899</v>
      </c>
      <c r="H27" s="7"/>
    </row>
    <row r="28" spans="1:8" x14ac:dyDescent="0.25">
      <c r="A28" t="s">
        <v>769</v>
      </c>
      <c r="B28" s="9" t="s">
        <v>7</v>
      </c>
      <c r="C28" s="6"/>
      <c r="G28" s="13" t="s">
        <v>14</v>
      </c>
      <c r="H28" s="6">
        <f>H22+H24+H26</f>
        <v>75866.876974789906</v>
      </c>
    </row>
    <row r="29" spans="1:8" ht="15.75" thickBot="1" x14ac:dyDescent="0.3">
      <c r="A29" s="16">
        <v>2.5000000000000001E-2</v>
      </c>
      <c r="B29" s="34" t="s">
        <v>770</v>
      </c>
      <c r="C29" s="7"/>
    </row>
    <row r="30" spans="1:8" x14ac:dyDescent="0.25">
      <c r="E30" t="s">
        <v>151</v>
      </c>
      <c r="H30" s="20">
        <f>H28*0.5</f>
        <v>37933.438487394953</v>
      </c>
    </row>
    <row r="31" spans="1:8" ht="15.75" x14ac:dyDescent="0.25">
      <c r="A31" t="s">
        <v>10</v>
      </c>
      <c r="C31" s="10">
        <f>C22-C24-C26-C28</f>
        <v>124045.4369747899</v>
      </c>
      <c r="H31" s="18"/>
    </row>
    <row r="32" spans="1:8" x14ac:dyDescent="0.25">
      <c r="H32" s="3"/>
    </row>
    <row r="33" spans="8:8" x14ac:dyDescent="0.25">
      <c r="H33" s="18"/>
    </row>
  </sheetData>
  <pageMargins left="0.7" right="0.7" top="0.75" bottom="0.75" header="0.3" footer="0.3"/>
</worksheet>
</file>

<file path=xl/worksheets/sheet4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518F6-3EB4-49CB-8A6D-40BE0BBAA560}">
  <dimension ref="A1:H33"/>
  <sheetViews>
    <sheetView workbookViewId="0">
      <selection activeCell="C4" sqref="C4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799</v>
      </c>
    </row>
    <row r="3" spans="1:8" ht="21" x14ac:dyDescent="0.35">
      <c r="A3" s="2" t="s">
        <v>1</v>
      </c>
      <c r="C3" s="11">
        <v>39984</v>
      </c>
      <c r="D3" s="11">
        <f>(C3/1.19)</f>
        <v>33600</v>
      </c>
      <c r="F3" s="12" t="s">
        <v>3</v>
      </c>
      <c r="H3" s="11">
        <f>D3*0.19</f>
        <v>6384</v>
      </c>
    </row>
    <row r="4" spans="1:8" x14ac:dyDescent="0.25">
      <c r="A4" s="13" t="s">
        <v>32</v>
      </c>
      <c r="C4" s="26" t="s">
        <v>802</v>
      </c>
    </row>
    <row r="5" spans="1:8" ht="21" x14ac:dyDescent="0.35">
      <c r="A5" s="2" t="s">
        <v>2</v>
      </c>
    </row>
    <row r="7" spans="1:8" ht="18.75" x14ac:dyDescent="0.3">
      <c r="D7" s="4"/>
      <c r="E7" s="25"/>
      <c r="H7" s="4">
        <f>(D7/1.19)*0.19</f>
        <v>0</v>
      </c>
    </row>
    <row r="8" spans="1:8" ht="18.75" x14ac:dyDescent="0.3">
      <c r="A8" s="5" t="s">
        <v>221</v>
      </c>
      <c r="C8" s="3"/>
      <c r="D8" s="28">
        <v>26700</v>
      </c>
      <c r="E8" s="25"/>
      <c r="H8" s="4">
        <f>D8*0.19</f>
        <v>5073</v>
      </c>
    </row>
    <row r="9" spans="1:8" ht="18.75" x14ac:dyDescent="0.3">
      <c r="A9" s="5"/>
      <c r="C9" s="3"/>
      <c r="D9" s="28"/>
      <c r="E9" s="25"/>
      <c r="H9" s="4">
        <f t="shared" ref="H9:H11" si="0">(D9/1.19)*0.19</f>
        <v>0</v>
      </c>
    </row>
    <row r="10" spans="1:8" ht="18.75" x14ac:dyDescent="0.3">
      <c r="A10" s="5"/>
      <c r="C10" s="3"/>
      <c r="D10" s="28"/>
      <c r="E10" s="25"/>
      <c r="H10" s="4">
        <f t="shared" si="0"/>
        <v>0</v>
      </c>
    </row>
    <row r="11" spans="1:8" ht="18.75" x14ac:dyDescent="0.3">
      <c r="A11" s="5"/>
      <c r="C11" s="3"/>
      <c r="D11" s="28"/>
      <c r="E11" s="25"/>
      <c r="H11" s="4">
        <f t="shared" si="0"/>
        <v>0</v>
      </c>
    </row>
    <row r="12" spans="1:8" ht="19.5" thickBot="1" x14ac:dyDescent="0.35">
      <c r="A12" s="5"/>
      <c r="C12" s="3"/>
      <c r="D12" s="22"/>
      <c r="E12" s="25"/>
      <c r="H12" s="22">
        <v>0</v>
      </c>
    </row>
    <row r="13" spans="1:8" ht="18.75" customHeight="1" x14ac:dyDescent="0.3">
      <c r="D13" s="4">
        <f>SUM(D7:D12)</f>
        <v>26700</v>
      </c>
      <c r="H13" s="4">
        <f>SUM(H7:H12)</f>
        <v>5073</v>
      </c>
    </row>
    <row r="14" spans="1:8" ht="18.75" x14ac:dyDescent="0.3">
      <c r="A14" s="5"/>
      <c r="C14" s="3"/>
      <c r="D14" s="4"/>
      <c r="H14" s="4"/>
    </row>
    <row r="16" spans="1:8" ht="18.75" x14ac:dyDescent="0.3">
      <c r="A16" s="5"/>
      <c r="C16" s="3"/>
      <c r="D16" s="4"/>
      <c r="H16" s="4"/>
    </row>
    <row r="17" spans="1:8" ht="15.75" thickBot="1" x14ac:dyDescent="0.3">
      <c r="D17" s="7"/>
      <c r="H17" s="7"/>
    </row>
    <row r="19" spans="1:8" ht="18.75" x14ac:dyDescent="0.3">
      <c r="C19" t="s">
        <v>4</v>
      </c>
      <c r="D19" s="4">
        <f>D3-D13</f>
        <v>6900</v>
      </c>
      <c r="G19" t="s">
        <v>5</v>
      </c>
      <c r="H19" s="4">
        <f>H3-H13</f>
        <v>1311</v>
      </c>
    </row>
    <row r="22" spans="1:8" ht="15.75" x14ac:dyDescent="0.25">
      <c r="A22" t="s">
        <v>6</v>
      </c>
      <c r="C22" s="8">
        <f>D19</f>
        <v>6900</v>
      </c>
      <c r="E22" t="s">
        <v>10</v>
      </c>
      <c r="H22" s="6">
        <f>C31</f>
        <v>5454.6</v>
      </c>
    </row>
    <row r="24" spans="1:8" ht="15.75" x14ac:dyDescent="0.25">
      <c r="A24" t="s">
        <v>5</v>
      </c>
      <c r="B24" s="9" t="s">
        <v>7</v>
      </c>
      <c r="C24" s="8">
        <f>H19</f>
        <v>1311</v>
      </c>
      <c r="E24" s="13" t="s">
        <v>11</v>
      </c>
      <c r="F24" s="9" t="s">
        <v>181</v>
      </c>
      <c r="G24" s="15" t="s">
        <v>17</v>
      </c>
      <c r="H24" s="3">
        <f>-(F25*0.0077)</f>
        <v>-209.56319999999999</v>
      </c>
    </row>
    <row r="25" spans="1:8" x14ac:dyDescent="0.25">
      <c r="F25" s="21">
        <f>D3-H3</f>
        <v>27216</v>
      </c>
    </row>
    <row r="26" spans="1:8" ht="15.75" x14ac:dyDescent="0.25">
      <c r="A26" t="s">
        <v>8</v>
      </c>
      <c r="B26" s="9" t="s">
        <v>7</v>
      </c>
      <c r="C26" s="8">
        <f>D3*0.004</f>
        <v>134.4</v>
      </c>
      <c r="F26" s="9" t="s">
        <v>13</v>
      </c>
      <c r="G26" s="16">
        <v>0.35</v>
      </c>
      <c r="H26" s="29">
        <f>-(F27*0.35)</f>
        <v>-1909.11</v>
      </c>
    </row>
    <row r="27" spans="1:8" ht="15.75" thickBot="1" x14ac:dyDescent="0.3">
      <c r="F27" s="21">
        <f>H22</f>
        <v>5454.6</v>
      </c>
      <c r="H27" s="7"/>
    </row>
    <row r="28" spans="1:8" x14ac:dyDescent="0.25">
      <c r="A28" t="s">
        <v>769</v>
      </c>
      <c r="B28" s="9" t="s">
        <v>7</v>
      </c>
      <c r="C28" s="6"/>
      <c r="G28" s="13" t="s">
        <v>14</v>
      </c>
      <c r="H28" s="6">
        <f>H22+H24+H26</f>
        <v>3335.9268000000011</v>
      </c>
    </row>
    <row r="29" spans="1:8" ht="15.75" thickBot="1" x14ac:dyDescent="0.3">
      <c r="A29" s="16">
        <v>2.5000000000000001E-2</v>
      </c>
      <c r="B29" s="34" t="s">
        <v>770</v>
      </c>
      <c r="C29" s="7"/>
    </row>
    <row r="30" spans="1:8" x14ac:dyDescent="0.25">
      <c r="E30" t="s">
        <v>151</v>
      </c>
      <c r="H30" s="20">
        <f>H28*0.5</f>
        <v>1667.9634000000005</v>
      </c>
    </row>
    <row r="31" spans="1:8" ht="15.75" x14ac:dyDescent="0.25">
      <c r="A31" t="s">
        <v>10</v>
      </c>
      <c r="C31" s="10">
        <f>C22-C24-C26-C28</f>
        <v>5454.6</v>
      </c>
      <c r="H31" s="18"/>
    </row>
    <row r="32" spans="1:8" x14ac:dyDescent="0.25">
      <c r="H32" s="3"/>
    </row>
    <row r="33" spans="8:8" x14ac:dyDescent="0.25">
      <c r="H33" s="18"/>
    </row>
  </sheetData>
  <pageMargins left="0.7" right="0.7" top="0.75" bottom="0.75" header="0.3" footer="0.3"/>
</worksheet>
</file>

<file path=xl/worksheets/sheet4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372F9-B27E-42DF-B82D-B76DA7CCAD8F}">
  <dimension ref="A1:H33"/>
  <sheetViews>
    <sheetView workbookViewId="0">
      <selection sqref="A1:XFD1048576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800</v>
      </c>
    </row>
    <row r="3" spans="1:8" ht="21" x14ac:dyDescent="0.35">
      <c r="A3" s="2" t="s">
        <v>1</v>
      </c>
      <c r="C3" s="11">
        <v>1025200</v>
      </c>
      <c r="D3" s="11">
        <f>(C3/1.19)</f>
        <v>861512.60504201683</v>
      </c>
      <c r="F3" s="12" t="s">
        <v>3</v>
      </c>
      <c r="H3" s="11">
        <f>D3*0.19</f>
        <v>163687.3949579832</v>
      </c>
    </row>
    <row r="4" spans="1:8" x14ac:dyDescent="0.25">
      <c r="A4" s="13" t="s">
        <v>32</v>
      </c>
      <c r="C4" s="26" t="s">
        <v>803</v>
      </c>
    </row>
    <row r="5" spans="1:8" ht="21" x14ac:dyDescent="0.35">
      <c r="A5" s="2" t="s">
        <v>2</v>
      </c>
    </row>
    <row r="7" spans="1:8" ht="18.75" x14ac:dyDescent="0.3">
      <c r="D7" s="4"/>
      <c r="E7" s="25"/>
      <c r="H7" s="4">
        <f>(D7/1.19)*0.19</f>
        <v>0</v>
      </c>
    </row>
    <row r="8" spans="1:8" ht="18.75" x14ac:dyDescent="0.3">
      <c r="A8" s="5" t="s">
        <v>221</v>
      </c>
      <c r="C8" s="3"/>
      <c r="D8" s="28">
        <v>660000</v>
      </c>
      <c r="E8" s="25"/>
      <c r="H8" s="4">
        <f>D8*0.19</f>
        <v>125400</v>
      </c>
    </row>
    <row r="9" spans="1:8" ht="18.75" x14ac:dyDescent="0.3">
      <c r="A9" s="5"/>
      <c r="C9" s="3"/>
      <c r="D9" s="28"/>
      <c r="E9" s="25"/>
      <c r="H9" s="4">
        <f t="shared" ref="H9:H11" si="0">(D9/1.19)*0.19</f>
        <v>0</v>
      </c>
    </row>
    <row r="10" spans="1:8" ht="18.75" x14ac:dyDescent="0.3">
      <c r="A10" s="5"/>
      <c r="C10" s="3"/>
      <c r="D10" s="28"/>
      <c r="E10" s="25"/>
      <c r="H10" s="4">
        <f t="shared" si="0"/>
        <v>0</v>
      </c>
    </row>
    <row r="11" spans="1:8" ht="18.75" x14ac:dyDescent="0.3">
      <c r="A11" s="5"/>
      <c r="C11" s="3"/>
      <c r="D11" s="28"/>
      <c r="E11" s="25"/>
      <c r="H11" s="4">
        <f t="shared" si="0"/>
        <v>0</v>
      </c>
    </row>
    <row r="12" spans="1:8" ht="19.5" thickBot="1" x14ac:dyDescent="0.35">
      <c r="A12" s="5"/>
      <c r="C12" s="3"/>
      <c r="D12" s="22"/>
      <c r="E12" s="25"/>
      <c r="H12" s="22">
        <v>0</v>
      </c>
    </row>
    <row r="13" spans="1:8" ht="18.75" customHeight="1" x14ac:dyDescent="0.3">
      <c r="D13" s="4">
        <f>SUM(D7:D12)</f>
        <v>660000</v>
      </c>
      <c r="H13" s="4">
        <f>SUM(H7:H12)</f>
        <v>125400</v>
      </c>
    </row>
    <row r="14" spans="1:8" ht="18.75" x14ac:dyDescent="0.3">
      <c r="A14" s="5"/>
      <c r="C14" s="3"/>
      <c r="D14" s="4"/>
      <c r="H14" s="4"/>
    </row>
    <row r="16" spans="1:8" ht="18.75" x14ac:dyDescent="0.3">
      <c r="A16" s="5"/>
      <c r="C16" s="3"/>
      <c r="D16" s="4"/>
      <c r="H16" s="4"/>
    </row>
    <row r="17" spans="1:8" ht="15.75" thickBot="1" x14ac:dyDescent="0.3">
      <c r="D17" s="7"/>
      <c r="H17" s="7"/>
    </row>
    <row r="19" spans="1:8" ht="18.75" x14ac:dyDescent="0.3">
      <c r="C19" t="s">
        <v>4</v>
      </c>
      <c r="D19" s="4">
        <f>D3-D13</f>
        <v>201512.60504201683</v>
      </c>
      <c r="G19" t="s">
        <v>5</v>
      </c>
      <c r="H19" s="4">
        <f>H3-H13</f>
        <v>38287.394957983197</v>
      </c>
    </row>
    <row r="22" spans="1:8" ht="15.75" x14ac:dyDescent="0.25">
      <c r="A22" t="s">
        <v>6</v>
      </c>
      <c r="C22" s="8">
        <f>D19</f>
        <v>201512.60504201683</v>
      </c>
      <c r="E22" t="s">
        <v>10</v>
      </c>
      <c r="H22" s="6">
        <f>C31</f>
        <v>159779.15966386558</v>
      </c>
    </row>
    <row r="24" spans="1:8" ht="15.75" x14ac:dyDescent="0.25">
      <c r="A24" t="s">
        <v>5</v>
      </c>
      <c r="B24" s="9" t="s">
        <v>7</v>
      </c>
      <c r="C24" s="8">
        <f>H19</f>
        <v>38287.394957983197</v>
      </c>
      <c r="E24" s="13" t="s">
        <v>11</v>
      </c>
      <c r="F24" s="9" t="s">
        <v>181</v>
      </c>
      <c r="G24" s="15" t="s">
        <v>17</v>
      </c>
      <c r="H24" s="3">
        <f>-(F25*0.0077)</f>
        <v>-5373.2541176470595</v>
      </c>
    </row>
    <row r="25" spans="1:8" x14ac:dyDescent="0.25">
      <c r="F25" s="21">
        <f>D3-H3</f>
        <v>697825.21008403366</v>
      </c>
    </row>
    <row r="26" spans="1:8" ht="15.75" x14ac:dyDescent="0.25">
      <c r="A26" t="s">
        <v>8</v>
      </c>
      <c r="B26" s="9" t="s">
        <v>7</v>
      </c>
      <c r="C26" s="8">
        <f>D3*0.004</f>
        <v>3446.0504201680674</v>
      </c>
      <c r="F26" s="9" t="s">
        <v>13</v>
      </c>
      <c r="G26" s="16">
        <v>0.35</v>
      </c>
      <c r="H26" s="29">
        <f>-(F27*0.35)</f>
        <v>-55922.705882352951</v>
      </c>
    </row>
    <row r="27" spans="1:8" ht="15.75" thickBot="1" x14ac:dyDescent="0.3">
      <c r="F27" s="21">
        <f>H22</f>
        <v>159779.15966386558</v>
      </c>
      <c r="H27" s="7"/>
    </row>
    <row r="28" spans="1:8" x14ac:dyDescent="0.25">
      <c r="A28" t="s">
        <v>769</v>
      </c>
      <c r="B28" s="9" t="s">
        <v>7</v>
      </c>
      <c r="C28" s="6"/>
      <c r="G28" s="13" t="s">
        <v>14</v>
      </c>
      <c r="H28" s="6">
        <f>H22+H24+H26</f>
        <v>98483.199663865555</v>
      </c>
    </row>
    <row r="29" spans="1:8" ht="15.75" thickBot="1" x14ac:dyDescent="0.3">
      <c r="A29" s="16">
        <v>2.5000000000000001E-2</v>
      </c>
      <c r="B29" s="34" t="s">
        <v>770</v>
      </c>
      <c r="C29" s="7"/>
    </row>
    <row r="30" spans="1:8" x14ac:dyDescent="0.25">
      <c r="E30" t="s">
        <v>151</v>
      </c>
      <c r="H30" s="20">
        <f>H28*0.5</f>
        <v>49241.599831932777</v>
      </c>
    </row>
    <row r="31" spans="1:8" ht="15.75" x14ac:dyDescent="0.25">
      <c r="A31" t="s">
        <v>10</v>
      </c>
      <c r="C31" s="10">
        <f>C22-C24-C26-C28</f>
        <v>159779.15966386558</v>
      </c>
      <c r="H31" s="18"/>
    </row>
    <row r="32" spans="1:8" x14ac:dyDescent="0.25">
      <c r="H32" s="3"/>
    </row>
    <row r="33" spans="8:8" x14ac:dyDescent="0.25">
      <c r="H33" s="18"/>
    </row>
  </sheetData>
  <pageMargins left="0.7" right="0.7" top="0.75" bottom="0.75" header="0.3" footer="0.3"/>
</worksheet>
</file>

<file path=xl/worksheets/sheet4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90A22-A92F-4DB1-B1C6-F27647E117BE}">
  <dimension ref="A1:H33"/>
  <sheetViews>
    <sheetView workbookViewId="0">
      <selection sqref="A1:XFD1048576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804</v>
      </c>
    </row>
    <row r="3" spans="1:8" ht="21" x14ac:dyDescent="0.35">
      <c r="A3" s="2" t="s">
        <v>1</v>
      </c>
      <c r="C3" s="11">
        <v>111860</v>
      </c>
      <c r="D3" s="11">
        <f>(C3/1.19)</f>
        <v>94000</v>
      </c>
      <c r="F3" s="12" t="s">
        <v>3</v>
      </c>
      <c r="H3" s="11">
        <f>D3*0.19</f>
        <v>17860</v>
      </c>
    </row>
    <row r="4" spans="1:8" x14ac:dyDescent="0.25">
      <c r="A4" s="13" t="s">
        <v>32</v>
      </c>
      <c r="C4" s="26" t="s">
        <v>805</v>
      </c>
    </row>
    <row r="5" spans="1:8" ht="21" x14ac:dyDescent="0.35">
      <c r="A5" s="2" t="s">
        <v>2</v>
      </c>
    </row>
    <row r="7" spans="1:8" ht="18.75" x14ac:dyDescent="0.3">
      <c r="D7" s="4"/>
      <c r="E7" s="25"/>
      <c r="H7" s="4">
        <f>(D7/1.19)*0.19</f>
        <v>0</v>
      </c>
    </row>
    <row r="8" spans="1:8" ht="18.75" x14ac:dyDescent="0.3">
      <c r="A8" s="5" t="s">
        <v>221</v>
      </c>
      <c r="C8" s="3"/>
      <c r="D8" s="28">
        <v>62500</v>
      </c>
      <c r="E8" s="25"/>
      <c r="H8" s="4">
        <f>D8*0.19</f>
        <v>11875</v>
      </c>
    </row>
    <row r="9" spans="1:8" ht="18.75" x14ac:dyDescent="0.3">
      <c r="A9" s="5"/>
      <c r="C9" s="3"/>
      <c r="D9" s="28"/>
      <c r="E9" s="25"/>
      <c r="H9" s="4">
        <f t="shared" ref="H9:H11" si="0">(D9/1.19)*0.19</f>
        <v>0</v>
      </c>
    </row>
    <row r="10" spans="1:8" ht="18.75" x14ac:dyDescent="0.3">
      <c r="A10" s="5"/>
      <c r="C10" s="3"/>
      <c r="D10" s="28"/>
      <c r="E10" s="25"/>
      <c r="H10" s="4">
        <f t="shared" si="0"/>
        <v>0</v>
      </c>
    </row>
    <row r="11" spans="1:8" ht="18.75" x14ac:dyDescent="0.3">
      <c r="A11" s="5"/>
      <c r="C11" s="3"/>
      <c r="D11" s="28"/>
      <c r="E11" s="25"/>
      <c r="H11" s="4">
        <f t="shared" si="0"/>
        <v>0</v>
      </c>
    </row>
    <row r="12" spans="1:8" ht="19.5" thickBot="1" x14ac:dyDescent="0.35">
      <c r="A12" s="5"/>
      <c r="C12" s="3"/>
      <c r="D12" s="22"/>
      <c r="E12" s="25"/>
      <c r="H12" s="22">
        <v>0</v>
      </c>
    </row>
    <row r="13" spans="1:8" ht="18.75" customHeight="1" x14ac:dyDescent="0.3">
      <c r="D13" s="4">
        <f>SUM(D7:D12)</f>
        <v>62500</v>
      </c>
      <c r="H13" s="4">
        <f>SUM(H7:H12)</f>
        <v>11875</v>
      </c>
    </row>
    <row r="14" spans="1:8" ht="18.75" x14ac:dyDescent="0.3">
      <c r="A14" s="5"/>
      <c r="C14" s="3"/>
      <c r="D14" s="4"/>
      <c r="H14" s="4"/>
    </row>
    <row r="16" spans="1:8" ht="18.75" x14ac:dyDescent="0.3">
      <c r="A16" s="5"/>
      <c r="C16" s="3"/>
      <c r="D16" s="4"/>
      <c r="H16" s="4"/>
    </row>
    <row r="17" spans="1:8" ht="15.75" thickBot="1" x14ac:dyDescent="0.3">
      <c r="D17" s="7"/>
      <c r="H17" s="7"/>
    </row>
    <row r="19" spans="1:8" ht="18.75" x14ac:dyDescent="0.3">
      <c r="C19" t="s">
        <v>4</v>
      </c>
      <c r="D19" s="4">
        <f>D3-D13</f>
        <v>31500</v>
      </c>
      <c r="G19" t="s">
        <v>5</v>
      </c>
      <c r="H19" s="4">
        <f>H3-H13</f>
        <v>5985</v>
      </c>
    </row>
    <row r="22" spans="1:8" ht="15.75" x14ac:dyDescent="0.25">
      <c r="A22" t="s">
        <v>6</v>
      </c>
      <c r="C22" s="8">
        <f>D19</f>
        <v>31500</v>
      </c>
      <c r="E22" t="s">
        <v>10</v>
      </c>
      <c r="H22" s="6">
        <f>C31</f>
        <v>25139</v>
      </c>
    </row>
    <row r="24" spans="1:8" ht="15.75" x14ac:dyDescent="0.25">
      <c r="A24" t="s">
        <v>5</v>
      </c>
      <c r="B24" s="9" t="s">
        <v>7</v>
      </c>
      <c r="C24" s="8">
        <f>H19</f>
        <v>5985</v>
      </c>
      <c r="E24" s="13" t="s">
        <v>11</v>
      </c>
      <c r="F24" s="9" t="s">
        <v>181</v>
      </c>
      <c r="G24" s="15" t="s">
        <v>17</v>
      </c>
      <c r="H24" s="3">
        <f>-(F25*0.0077)</f>
        <v>-586.27800000000002</v>
      </c>
    </row>
    <row r="25" spans="1:8" x14ac:dyDescent="0.25">
      <c r="F25" s="21">
        <f>D3-H3</f>
        <v>76140</v>
      </c>
    </row>
    <row r="26" spans="1:8" ht="15.75" x14ac:dyDescent="0.25">
      <c r="A26" t="s">
        <v>8</v>
      </c>
      <c r="B26" s="9" t="s">
        <v>7</v>
      </c>
      <c r="C26" s="8">
        <f>D3*0.004</f>
        <v>376</v>
      </c>
      <c r="F26" s="9" t="s">
        <v>13</v>
      </c>
      <c r="G26" s="16">
        <v>0.35</v>
      </c>
      <c r="H26" s="29">
        <f>-(F27*0.35)</f>
        <v>-8798.65</v>
      </c>
    </row>
    <row r="27" spans="1:8" ht="15.75" thickBot="1" x14ac:dyDescent="0.3">
      <c r="F27" s="21">
        <f>H22</f>
        <v>25139</v>
      </c>
      <c r="H27" s="7"/>
    </row>
    <row r="28" spans="1:8" x14ac:dyDescent="0.25">
      <c r="A28" t="s">
        <v>769</v>
      </c>
      <c r="B28" s="9" t="s">
        <v>7</v>
      </c>
      <c r="C28" s="6"/>
      <c r="G28" s="13" t="s">
        <v>14</v>
      </c>
      <c r="H28" s="6">
        <f>H22+H24+H26</f>
        <v>15754.072000000002</v>
      </c>
    </row>
    <row r="29" spans="1:8" ht="15.75" thickBot="1" x14ac:dyDescent="0.3">
      <c r="A29" s="16">
        <v>2.5000000000000001E-2</v>
      </c>
      <c r="B29" s="34" t="s">
        <v>770</v>
      </c>
      <c r="C29" s="7"/>
    </row>
    <row r="30" spans="1:8" x14ac:dyDescent="0.25">
      <c r="E30" t="s">
        <v>151</v>
      </c>
      <c r="H30" s="20">
        <f>H28*0.5</f>
        <v>7877.036000000001</v>
      </c>
    </row>
    <row r="31" spans="1:8" ht="15.75" x14ac:dyDescent="0.25">
      <c r="A31" t="s">
        <v>10</v>
      </c>
      <c r="C31" s="10">
        <f>C22-C24-C26-C28</f>
        <v>25139</v>
      </c>
      <c r="H31" s="18"/>
    </row>
    <row r="32" spans="1:8" x14ac:dyDescent="0.25">
      <c r="H32" s="3"/>
    </row>
    <row r="33" spans="8:8" x14ac:dyDescent="0.25">
      <c r="H33" s="18"/>
    </row>
  </sheetData>
  <pageMargins left="0.7" right="0.7" top="0.75" bottom="0.75" header="0.3" footer="0.3"/>
</worksheet>
</file>

<file path=xl/worksheets/sheet4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ACA28-65E1-40B0-AE11-727650A813E4}">
  <dimension ref="A1:H33"/>
  <sheetViews>
    <sheetView workbookViewId="0">
      <selection activeCell="K15" sqref="K15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806</v>
      </c>
    </row>
    <row r="3" spans="1:8" ht="21" x14ac:dyDescent="0.35">
      <c r="A3" s="2" t="s">
        <v>1</v>
      </c>
      <c r="C3" s="11">
        <v>307020</v>
      </c>
      <c r="D3" s="11">
        <f>(C3/1.19)</f>
        <v>258000</v>
      </c>
      <c r="F3" s="12" t="s">
        <v>3</v>
      </c>
      <c r="H3" s="11">
        <f>D3*0.19</f>
        <v>49020</v>
      </c>
    </row>
    <row r="4" spans="1:8" x14ac:dyDescent="0.25">
      <c r="A4" s="13" t="s">
        <v>32</v>
      </c>
      <c r="C4" s="26" t="s">
        <v>808</v>
      </c>
    </row>
    <row r="5" spans="1:8" ht="21" x14ac:dyDescent="0.35">
      <c r="A5" s="2" t="s">
        <v>2</v>
      </c>
    </row>
    <row r="7" spans="1:8" ht="18.75" x14ac:dyDescent="0.3">
      <c r="D7" s="4"/>
      <c r="E7" s="25"/>
      <c r="H7" s="4">
        <f>(D7/1.19)*0.19</f>
        <v>0</v>
      </c>
    </row>
    <row r="8" spans="1:8" ht="18.75" x14ac:dyDescent="0.3">
      <c r="A8" s="5" t="s">
        <v>221</v>
      </c>
      <c r="C8" s="3"/>
      <c r="D8" s="28">
        <v>190800</v>
      </c>
      <c r="E8" s="25"/>
      <c r="H8" s="4">
        <f>D8*0.19</f>
        <v>36252</v>
      </c>
    </row>
    <row r="9" spans="1:8" ht="18.75" x14ac:dyDescent="0.3">
      <c r="A9" s="5"/>
      <c r="C9" s="3"/>
      <c r="D9" s="28"/>
      <c r="E9" s="25"/>
      <c r="H9" s="4">
        <f t="shared" ref="H9:H11" si="0">(D9/1.19)*0.19</f>
        <v>0</v>
      </c>
    </row>
    <row r="10" spans="1:8" ht="18.75" x14ac:dyDescent="0.3">
      <c r="A10" s="5"/>
      <c r="C10" s="3"/>
      <c r="D10" s="28"/>
      <c r="E10" s="25"/>
      <c r="H10" s="4">
        <f t="shared" si="0"/>
        <v>0</v>
      </c>
    </row>
    <row r="11" spans="1:8" ht="18.75" x14ac:dyDescent="0.3">
      <c r="A11" s="5"/>
      <c r="C11" s="3"/>
      <c r="D11" s="28"/>
      <c r="E11" s="25"/>
      <c r="H11" s="4">
        <f t="shared" si="0"/>
        <v>0</v>
      </c>
    </row>
    <row r="12" spans="1:8" ht="19.5" thickBot="1" x14ac:dyDescent="0.35">
      <c r="A12" s="5"/>
      <c r="C12" s="3"/>
      <c r="D12" s="22"/>
      <c r="E12" s="25"/>
      <c r="H12" s="22">
        <v>0</v>
      </c>
    </row>
    <row r="13" spans="1:8" ht="18.75" customHeight="1" x14ac:dyDescent="0.3">
      <c r="D13" s="4">
        <f>SUM(D7:D12)</f>
        <v>190800</v>
      </c>
      <c r="H13" s="4">
        <f>SUM(H7:H12)</f>
        <v>36252</v>
      </c>
    </row>
    <row r="14" spans="1:8" ht="18.75" x14ac:dyDescent="0.3">
      <c r="A14" s="5"/>
      <c r="C14" s="3"/>
      <c r="D14" s="4"/>
      <c r="H14" s="4"/>
    </row>
    <row r="16" spans="1:8" ht="18.75" x14ac:dyDescent="0.3">
      <c r="A16" s="5"/>
      <c r="C16" s="3"/>
      <c r="D16" s="4"/>
      <c r="H16" s="4"/>
    </row>
    <row r="17" spans="1:8" ht="15.75" thickBot="1" x14ac:dyDescent="0.3">
      <c r="D17" s="7"/>
      <c r="H17" s="7"/>
    </row>
    <row r="19" spans="1:8" ht="18.75" x14ac:dyDescent="0.3">
      <c r="C19" t="s">
        <v>4</v>
      </c>
      <c r="D19" s="4">
        <f>D3-D13</f>
        <v>67200</v>
      </c>
      <c r="G19" t="s">
        <v>5</v>
      </c>
      <c r="H19" s="4">
        <f>H3-H13</f>
        <v>12768</v>
      </c>
    </row>
    <row r="22" spans="1:8" ht="15.75" x14ac:dyDescent="0.25">
      <c r="A22" t="s">
        <v>6</v>
      </c>
      <c r="C22" s="8">
        <f>D19</f>
        <v>67200</v>
      </c>
      <c r="E22" t="s">
        <v>10</v>
      </c>
      <c r="H22" s="6">
        <f>C31</f>
        <v>53400</v>
      </c>
    </row>
    <row r="24" spans="1:8" ht="15.75" x14ac:dyDescent="0.25">
      <c r="A24" t="s">
        <v>5</v>
      </c>
      <c r="B24" s="9" t="s">
        <v>7</v>
      </c>
      <c r="C24" s="8">
        <f>H19</f>
        <v>12768</v>
      </c>
      <c r="E24" s="13" t="s">
        <v>11</v>
      </c>
      <c r="F24" s="9" t="s">
        <v>181</v>
      </c>
      <c r="G24" s="15" t="s">
        <v>17</v>
      </c>
      <c r="H24" s="3">
        <f>-(F25*0.0077)</f>
        <v>-1609.146</v>
      </c>
    </row>
    <row r="25" spans="1:8" x14ac:dyDescent="0.25">
      <c r="F25" s="21">
        <f>D3-H3</f>
        <v>208980</v>
      </c>
    </row>
    <row r="26" spans="1:8" ht="15.75" x14ac:dyDescent="0.25">
      <c r="A26" t="s">
        <v>8</v>
      </c>
      <c r="B26" s="9" t="s">
        <v>7</v>
      </c>
      <c r="C26" s="8">
        <f>D3*0.004</f>
        <v>1032</v>
      </c>
      <c r="F26" s="9" t="s">
        <v>13</v>
      </c>
      <c r="G26" s="16">
        <v>0.35</v>
      </c>
      <c r="H26" s="29">
        <f>-(F27*0.35)</f>
        <v>-18690</v>
      </c>
    </row>
    <row r="27" spans="1:8" ht="15.75" thickBot="1" x14ac:dyDescent="0.3">
      <c r="F27" s="21">
        <f>H22</f>
        <v>53400</v>
      </c>
      <c r="H27" s="7"/>
    </row>
    <row r="28" spans="1:8" x14ac:dyDescent="0.25">
      <c r="A28" t="s">
        <v>769</v>
      </c>
      <c r="B28" s="9" t="s">
        <v>7</v>
      </c>
      <c r="C28" s="6"/>
      <c r="G28" s="13" t="s">
        <v>14</v>
      </c>
      <c r="H28" s="6">
        <f>H22+H24+H26</f>
        <v>33100.853999999999</v>
      </c>
    </row>
    <row r="29" spans="1:8" ht="15.75" thickBot="1" x14ac:dyDescent="0.3">
      <c r="A29" s="16">
        <v>2.5000000000000001E-2</v>
      </c>
      <c r="B29" s="34" t="s">
        <v>770</v>
      </c>
      <c r="C29" s="7"/>
    </row>
    <row r="30" spans="1:8" x14ac:dyDescent="0.25">
      <c r="E30" t="s">
        <v>151</v>
      </c>
      <c r="H30" s="20">
        <f>H28*0.5</f>
        <v>16550.427</v>
      </c>
    </row>
    <row r="31" spans="1:8" ht="15.75" x14ac:dyDescent="0.25">
      <c r="A31" t="s">
        <v>10</v>
      </c>
      <c r="C31" s="10">
        <f>C22-C24-C26-C28</f>
        <v>53400</v>
      </c>
      <c r="H31" s="18"/>
    </row>
    <row r="32" spans="1:8" x14ac:dyDescent="0.25">
      <c r="H32" s="3"/>
    </row>
    <row r="33" spans="8:8" x14ac:dyDescent="0.25">
      <c r="H33" s="18"/>
    </row>
  </sheetData>
  <pageMargins left="0.7" right="0.7" top="0.75" bottom="0.75" header="0.3" footer="0.3"/>
</worksheet>
</file>

<file path=xl/worksheets/sheet5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D8BA1-B683-488D-AC47-976758270936}">
  <dimension ref="A1:H33"/>
  <sheetViews>
    <sheetView workbookViewId="0">
      <selection sqref="A1:XFD1048576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807</v>
      </c>
    </row>
    <row r="3" spans="1:8" ht="21" x14ac:dyDescent="0.35">
      <c r="A3" s="2" t="s">
        <v>1</v>
      </c>
      <c r="C3" s="11">
        <v>65450</v>
      </c>
      <c r="D3" s="11">
        <f>(C3/1.19)</f>
        <v>55000</v>
      </c>
      <c r="F3" s="12" t="s">
        <v>3</v>
      </c>
      <c r="H3" s="11">
        <f>D3*0.19</f>
        <v>10450</v>
      </c>
    </row>
    <row r="4" spans="1:8" x14ac:dyDescent="0.25">
      <c r="A4" s="13" t="s">
        <v>32</v>
      </c>
      <c r="C4" s="26" t="s">
        <v>809</v>
      </c>
    </row>
    <row r="5" spans="1:8" ht="21" x14ac:dyDescent="0.35">
      <c r="A5" s="2" t="s">
        <v>2</v>
      </c>
    </row>
    <row r="7" spans="1:8" ht="18.75" x14ac:dyDescent="0.3">
      <c r="D7" s="4"/>
      <c r="E7" s="25"/>
      <c r="H7" s="4">
        <f>(D7/1.19)*0.19</f>
        <v>0</v>
      </c>
    </row>
    <row r="8" spans="1:8" ht="18.75" x14ac:dyDescent="0.3">
      <c r="A8" s="5" t="s">
        <v>221</v>
      </c>
      <c r="C8" s="3"/>
      <c r="D8" s="28">
        <v>37740</v>
      </c>
      <c r="E8" s="25"/>
      <c r="H8" s="4">
        <f>D8*0.19</f>
        <v>7170.6</v>
      </c>
    </row>
    <row r="9" spans="1:8" ht="18.75" x14ac:dyDescent="0.3">
      <c r="A9" s="5"/>
      <c r="C9" s="3"/>
      <c r="D9" s="28"/>
      <c r="E9" s="25"/>
      <c r="H9" s="4">
        <f t="shared" ref="H9:H11" si="0">(D9/1.19)*0.19</f>
        <v>0</v>
      </c>
    </row>
    <row r="10" spans="1:8" ht="18.75" x14ac:dyDescent="0.3">
      <c r="A10" s="5"/>
      <c r="C10" s="3"/>
      <c r="D10" s="28"/>
      <c r="E10" s="25"/>
      <c r="H10" s="4">
        <f t="shared" si="0"/>
        <v>0</v>
      </c>
    </row>
    <row r="11" spans="1:8" ht="18.75" x14ac:dyDescent="0.3">
      <c r="A11" s="5"/>
      <c r="C11" s="3"/>
      <c r="D11" s="28"/>
      <c r="E11" s="25"/>
      <c r="H11" s="4">
        <f t="shared" si="0"/>
        <v>0</v>
      </c>
    </row>
    <row r="12" spans="1:8" ht="19.5" thickBot="1" x14ac:dyDescent="0.35">
      <c r="A12" s="5"/>
      <c r="C12" s="3"/>
      <c r="D12" s="22"/>
      <c r="E12" s="25"/>
      <c r="H12" s="22">
        <v>0</v>
      </c>
    </row>
    <row r="13" spans="1:8" ht="18.75" customHeight="1" x14ac:dyDescent="0.3">
      <c r="D13" s="4">
        <f>SUM(D7:D12)</f>
        <v>37740</v>
      </c>
      <c r="H13" s="4">
        <f>SUM(H7:H12)</f>
        <v>7170.6</v>
      </c>
    </row>
    <row r="14" spans="1:8" ht="18.75" x14ac:dyDescent="0.3">
      <c r="A14" s="5"/>
      <c r="C14" s="3"/>
      <c r="D14" s="4"/>
      <c r="H14" s="4"/>
    </row>
    <row r="16" spans="1:8" ht="18.75" x14ac:dyDescent="0.3">
      <c r="A16" s="5"/>
      <c r="C16" s="3"/>
      <c r="D16" s="4"/>
      <c r="H16" s="4"/>
    </row>
    <row r="17" spans="1:8" ht="15.75" thickBot="1" x14ac:dyDescent="0.3">
      <c r="D17" s="7"/>
      <c r="H17" s="7"/>
    </row>
    <row r="19" spans="1:8" ht="18.75" x14ac:dyDescent="0.3">
      <c r="C19" t="s">
        <v>4</v>
      </c>
      <c r="D19" s="4">
        <f>D3-D13</f>
        <v>17260</v>
      </c>
      <c r="G19" t="s">
        <v>5</v>
      </c>
      <c r="H19" s="4">
        <f>H3-H13</f>
        <v>3279.3999999999996</v>
      </c>
    </row>
    <row r="22" spans="1:8" ht="15.75" x14ac:dyDescent="0.25">
      <c r="A22" t="s">
        <v>6</v>
      </c>
      <c r="C22" s="8">
        <f>D19</f>
        <v>17260</v>
      </c>
      <c r="E22" t="s">
        <v>10</v>
      </c>
      <c r="H22" s="6">
        <f>C31</f>
        <v>13760.6</v>
      </c>
    </row>
    <row r="24" spans="1:8" ht="15.75" x14ac:dyDescent="0.25">
      <c r="A24" t="s">
        <v>5</v>
      </c>
      <c r="B24" s="9" t="s">
        <v>7</v>
      </c>
      <c r="C24" s="8">
        <f>H19</f>
        <v>3279.3999999999996</v>
      </c>
      <c r="E24" s="13" t="s">
        <v>11</v>
      </c>
      <c r="F24" s="9" t="s">
        <v>181</v>
      </c>
      <c r="G24" s="15" t="s">
        <v>17</v>
      </c>
      <c r="H24" s="3">
        <f>-(F25*0.0077)</f>
        <v>-343.03500000000003</v>
      </c>
    </row>
    <row r="25" spans="1:8" x14ac:dyDescent="0.25">
      <c r="F25" s="21">
        <f>D3-H3</f>
        <v>44550</v>
      </c>
    </row>
    <row r="26" spans="1:8" ht="15.75" x14ac:dyDescent="0.25">
      <c r="A26" t="s">
        <v>8</v>
      </c>
      <c r="B26" s="9" t="s">
        <v>7</v>
      </c>
      <c r="C26" s="8">
        <f>D3*0.004</f>
        <v>220</v>
      </c>
      <c r="F26" s="9" t="s">
        <v>13</v>
      </c>
      <c r="G26" s="16">
        <v>0.35</v>
      </c>
      <c r="H26" s="29">
        <f>-(F27*0.35)</f>
        <v>-4816.21</v>
      </c>
    </row>
    <row r="27" spans="1:8" ht="15.75" thickBot="1" x14ac:dyDescent="0.3">
      <c r="F27" s="21">
        <f>H22</f>
        <v>13760.6</v>
      </c>
      <c r="H27" s="7"/>
    </row>
    <row r="28" spans="1:8" x14ac:dyDescent="0.25">
      <c r="A28" t="s">
        <v>769</v>
      </c>
      <c r="B28" s="9" t="s">
        <v>7</v>
      </c>
      <c r="C28" s="6"/>
      <c r="G28" s="13" t="s">
        <v>14</v>
      </c>
      <c r="H28" s="6">
        <f>H22+H24+H26</f>
        <v>8601.3549999999996</v>
      </c>
    </row>
    <row r="29" spans="1:8" ht="15.75" thickBot="1" x14ac:dyDescent="0.3">
      <c r="A29" s="16">
        <v>2.5000000000000001E-2</v>
      </c>
      <c r="B29" s="34" t="s">
        <v>770</v>
      </c>
      <c r="C29" s="7"/>
    </row>
    <row r="30" spans="1:8" x14ac:dyDescent="0.25">
      <c r="E30" t="s">
        <v>151</v>
      </c>
      <c r="H30" s="20">
        <f>H28*0.5</f>
        <v>4300.6774999999998</v>
      </c>
    </row>
    <row r="31" spans="1:8" ht="15.75" x14ac:dyDescent="0.25">
      <c r="A31" t="s">
        <v>10</v>
      </c>
      <c r="C31" s="10">
        <f>C22-C24-C26-C28</f>
        <v>13760.6</v>
      </c>
      <c r="H31" s="18"/>
    </row>
    <row r="32" spans="1:8" x14ac:dyDescent="0.25">
      <c r="H32" s="3"/>
    </row>
    <row r="33" spans="8:8" x14ac:dyDescent="0.25">
      <c r="H33" s="18"/>
    </row>
  </sheetData>
  <pageMargins left="0.7" right="0.7" top="0.75" bottom="0.75" header="0.3" footer="0.3"/>
</worksheet>
</file>

<file path=xl/worksheets/sheet5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3EEB6-A2DB-4D8E-A79E-55B4AAD7FE49}">
  <dimension ref="A1:H33"/>
  <sheetViews>
    <sheetView workbookViewId="0">
      <selection sqref="A1:XFD1048576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810</v>
      </c>
    </row>
    <row r="3" spans="1:8" ht="21" x14ac:dyDescent="0.35">
      <c r="A3" s="2" t="s">
        <v>1</v>
      </c>
      <c r="C3" s="11">
        <v>135184</v>
      </c>
      <c r="D3" s="11">
        <f>(C3/1.19)</f>
        <v>113600</v>
      </c>
      <c r="F3" s="12" t="s">
        <v>3</v>
      </c>
      <c r="H3" s="11">
        <f>D3*0.19</f>
        <v>21584</v>
      </c>
    </row>
    <row r="4" spans="1:8" x14ac:dyDescent="0.25">
      <c r="A4" s="13" t="s">
        <v>32</v>
      </c>
      <c r="C4" s="26" t="s">
        <v>811</v>
      </c>
    </row>
    <row r="5" spans="1:8" ht="21" x14ac:dyDescent="0.35">
      <c r="A5" s="2" t="s">
        <v>2</v>
      </c>
    </row>
    <row r="7" spans="1:8" ht="18.75" x14ac:dyDescent="0.3">
      <c r="D7" s="4"/>
      <c r="E7" s="25"/>
      <c r="H7" s="4">
        <f>(D7/1.19)*0.19</f>
        <v>0</v>
      </c>
    </row>
    <row r="8" spans="1:8" ht="18.75" x14ac:dyDescent="0.3">
      <c r="A8" s="5" t="s">
        <v>221</v>
      </c>
      <c r="C8" s="3"/>
      <c r="D8" s="28">
        <v>68800</v>
      </c>
      <c r="E8" s="25"/>
      <c r="H8" s="4">
        <f>D8*0.19</f>
        <v>13072</v>
      </c>
    </row>
    <row r="9" spans="1:8" ht="18.75" x14ac:dyDescent="0.3">
      <c r="A9" s="5"/>
      <c r="C9" s="3"/>
      <c r="D9" s="28"/>
      <c r="E9" s="25"/>
      <c r="H9" s="4">
        <f t="shared" ref="H9:H11" si="0">(D9/1.19)*0.19</f>
        <v>0</v>
      </c>
    </row>
    <row r="10" spans="1:8" ht="18.75" x14ac:dyDescent="0.3">
      <c r="A10" s="5"/>
      <c r="C10" s="3"/>
      <c r="D10" s="28"/>
      <c r="E10" s="25"/>
      <c r="H10" s="4">
        <f t="shared" si="0"/>
        <v>0</v>
      </c>
    </row>
    <row r="11" spans="1:8" ht="18.75" x14ac:dyDescent="0.3">
      <c r="A11" s="5"/>
      <c r="C11" s="3"/>
      <c r="D11" s="28"/>
      <c r="E11" s="25"/>
      <c r="H11" s="4">
        <f t="shared" si="0"/>
        <v>0</v>
      </c>
    </row>
    <row r="12" spans="1:8" ht="19.5" thickBot="1" x14ac:dyDescent="0.35">
      <c r="A12" s="5"/>
      <c r="C12" s="3"/>
      <c r="D12" s="22"/>
      <c r="E12" s="25"/>
      <c r="H12" s="22">
        <v>0</v>
      </c>
    </row>
    <row r="13" spans="1:8" ht="18.75" customHeight="1" x14ac:dyDescent="0.3">
      <c r="D13" s="4">
        <f>SUM(D7:D12)</f>
        <v>68800</v>
      </c>
      <c r="H13" s="4">
        <f>SUM(H7:H12)</f>
        <v>13072</v>
      </c>
    </row>
    <row r="14" spans="1:8" ht="18.75" x14ac:dyDescent="0.3">
      <c r="A14" s="5"/>
      <c r="C14" s="3"/>
      <c r="D14" s="4"/>
      <c r="H14" s="4"/>
    </row>
    <row r="16" spans="1:8" ht="18.75" x14ac:dyDescent="0.3">
      <c r="A16" s="5"/>
      <c r="C16" s="3"/>
      <c r="D16" s="4"/>
      <c r="H16" s="4"/>
    </row>
    <row r="17" spans="1:8" ht="15.75" thickBot="1" x14ac:dyDescent="0.3">
      <c r="D17" s="7"/>
      <c r="H17" s="7"/>
    </row>
    <row r="19" spans="1:8" ht="18.75" x14ac:dyDescent="0.3">
      <c r="C19" t="s">
        <v>4</v>
      </c>
      <c r="D19" s="4">
        <f>D3-D13</f>
        <v>44800</v>
      </c>
      <c r="G19" t="s">
        <v>5</v>
      </c>
      <c r="H19" s="4">
        <f>H3-H13</f>
        <v>8512</v>
      </c>
    </row>
    <row r="22" spans="1:8" ht="15.75" x14ac:dyDescent="0.25">
      <c r="A22" t="s">
        <v>6</v>
      </c>
      <c r="C22" s="8">
        <f>D19</f>
        <v>44800</v>
      </c>
      <c r="E22" t="s">
        <v>10</v>
      </c>
      <c r="H22" s="6">
        <f>C31</f>
        <v>35833.599999999999</v>
      </c>
    </row>
    <row r="24" spans="1:8" ht="15.75" x14ac:dyDescent="0.25">
      <c r="A24" t="s">
        <v>5</v>
      </c>
      <c r="B24" s="9" t="s">
        <v>7</v>
      </c>
      <c r="C24" s="8">
        <f>H19</f>
        <v>8512</v>
      </c>
      <c r="E24" s="13" t="s">
        <v>11</v>
      </c>
      <c r="F24" s="9" t="s">
        <v>181</v>
      </c>
      <c r="G24" s="15" t="s">
        <v>17</v>
      </c>
      <c r="H24" s="3">
        <f>-(F25*0.0077)</f>
        <v>-708.52319999999997</v>
      </c>
    </row>
    <row r="25" spans="1:8" x14ac:dyDescent="0.25">
      <c r="F25" s="21">
        <f>D3-H3</f>
        <v>92016</v>
      </c>
    </row>
    <row r="26" spans="1:8" ht="15.75" x14ac:dyDescent="0.25">
      <c r="A26" t="s">
        <v>8</v>
      </c>
      <c r="B26" s="9" t="s">
        <v>7</v>
      </c>
      <c r="C26" s="8">
        <f>D3*0.004</f>
        <v>454.40000000000003</v>
      </c>
      <c r="F26" s="9" t="s">
        <v>13</v>
      </c>
      <c r="G26" s="16">
        <v>0.35</v>
      </c>
      <c r="H26" s="29">
        <f>-(F27*0.35)</f>
        <v>-12541.759999999998</v>
      </c>
    </row>
    <row r="27" spans="1:8" ht="15.75" thickBot="1" x14ac:dyDescent="0.3">
      <c r="F27" s="21">
        <f>H22</f>
        <v>35833.599999999999</v>
      </c>
      <c r="H27" s="7"/>
    </row>
    <row r="28" spans="1:8" x14ac:dyDescent="0.25">
      <c r="A28" t="s">
        <v>769</v>
      </c>
      <c r="B28" s="9" t="s">
        <v>7</v>
      </c>
      <c r="C28" s="6"/>
      <c r="G28" s="13" t="s">
        <v>14</v>
      </c>
      <c r="H28" s="6">
        <f>H22+H24+H26</f>
        <v>22583.316799999997</v>
      </c>
    </row>
    <row r="29" spans="1:8" ht="15.75" thickBot="1" x14ac:dyDescent="0.3">
      <c r="A29" s="16">
        <v>2.5000000000000001E-2</v>
      </c>
      <c r="B29" s="34" t="s">
        <v>770</v>
      </c>
      <c r="C29" s="7"/>
    </row>
    <row r="30" spans="1:8" x14ac:dyDescent="0.25">
      <c r="E30" t="s">
        <v>151</v>
      </c>
      <c r="H30" s="20">
        <f>H28*0.5</f>
        <v>11291.658399999998</v>
      </c>
    </row>
    <row r="31" spans="1:8" ht="15.75" x14ac:dyDescent="0.25">
      <c r="A31" t="s">
        <v>10</v>
      </c>
      <c r="C31" s="10">
        <f>C22-C24-C26-C28</f>
        <v>35833.599999999999</v>
      </c>
      <c r="H31" s="18"/>
    </row>
    <row r="32" spans="1:8" x14ac:dyDescent="0.25">
      <c r="H32" s="3"/>
    </row>
    <row r="33" spans="8:8" x14ac:dyDescent="0.25">
      <c r="H33" s="18"/>
    </row>
  </sheetData>
  <pageMargins left="0.7" right="0.7" top="0.75" bottom="0.75" header="0.3" footer="0.3"/>
</worksheet>
</file>

<file path=xl/worksheets/sheet5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EA924-AD2E-4159-B8FF-1C78A2331F9F}">
  <dimension ref="A1:H33"/>
  <sheetViews>
    <sheetView workbookViewId="0">
      <selection sqref="A1:XFD1048576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746</v>
      </c>
    </row>
    <row r="3" spans="1:8" ht="21" x14ac:dyDescent="0.35">
      <c r="A3" s="2" t="s">
        <v>1</v>
      </c>
      <c r="C3" s="11">
        <v>154700</v>
      </c>
      <c r="D3" s="11">
        <f>(C3/1.19)</f>
        <v>130000</v>
      </c>
      <c r="F3" s="12" t="s">
        <v>3</v>
      </c>
      <c r="H3" s="11">
        <f>D3*0.19</f>
        <v>24700</v>
      </c>
    </row>
    <row r="4" spans="1:8" x14ac:dyDescent="0.25">
      <c r="A4" s="13" t="s">
        <v>32</v>
      </c>
      <c r="C4" s="26" t="s">
        <v>812</v>
      </c>
    </row>
    <row r="5" spans="1:8" ht="21" x14ac:dyDescent="0.35">
      <c r="A5" s="2" t="s">
        <v>2</v>
      </c>
    </row>
    <row r="7" spans="1:8" ht="18.75" x14ac:dyDescent="0.3">
      <c r="D7" s="4"/>
      <c r="E7" s="25"/>
      <c r="H7" s="4">
        <f>(D7/1.19)*0.19</f>
        <v>0</v>
      </c>
    </row>
    <row r="8" spans="1:8" ht="18.75" x14ac:dyDescent="0.3">
      <c r="A8" s="5" t="s">
        <v>221</v>
      </c>
      <c r="C8" s="3"/>
      <c r="D8" s="28">
        <v>114732</v>
      </c>
      <c r="E8" s="25"/>
      <c r="H8" s="4">
        <f>D8*0.19</f>
        <v>21799.08</v>
      </c>
    </row>
    <row r="9" spans="1:8" ht="18.75" x14ac:dyDescent="0.3">
      <c r="A9" s="5"/>
      <c r="C9" s="3"/>
      <c r="D9" s="28"/>
      <c r="E9" s="25"/>
      <c r="H9" s="4">
        <f t="shared" ref="H9:H11" si="0">(D9/1.19)*0.19</f>
        <v>0</v>
      </c>
    </row>
    <row r="10" spans="1:8" ht="18.75" x14ac:dyDescent="0.3">
      <c r="A10" s="5"/>
      <c r="C10" s="3"/>
      <c r="D10" s="28"/>
      <c r="E10" s="25"/>
      <c r="H10" s="4">
        <f t="shared" si="0"/>
        <v>0</v>
      </c>
    </row>
    <row r="11" spans="1:8" ht="18.75" x14ac:dyDescent="0.3">
      <c r="A11" s="5"/>
      <c r="C11" s="3"/>
      <c r="D11" s="28"/>
      <c r="E11" s="25"/>
      <c r="H11" s="4">
        <f t="shared" si="0"/>
        <v>0</v>
      </c>
    </row>
    <row r="12" spans="1:8" ht="19.5" thickBot="1" x14ac:dyDescent="0.35">
      <c r="A12" s="5"/>
      <c r="C12" s="3"/>
      <c r="D12" s="22"/>
      <c r="E12" s="25"/>
      <c r="H12" s="22">
        <v>0</v>
      </c>
    </row>
    <row r="13" spans="1:8" ht="18.75" customHeight="1" x14ac:dyDescent="0.3">
      <c r="D13" s="4">
        <f>SUM(D7:D12)</f>
        <v>114732</v>
      </c>
      <c r="H13" s="4">
        <f>SUM(H7:H12)</f>
        <v>21799.08</v>
      </c>
    </row>
    <row r="14" spans="1:8" ht="18.75" x14ac:dyDescent="0.3">
      <c r="A14" s="5"/>
      <c r="C14" s="3"/>
      <c r="D14" s="4"/>
      <c r="H14" s="4"/>
    </row>
    <row r="16" spans="1:8" ht="18.75" x14ac:dyDescent="0.3">
      <c r="A16" s="5"/>
      <c r="C16" s="3"/>
      <c r="D16" s="4"/>
      <c r="H16" s="4"/>
    </row>
    <row r="17" spans="1:8" ht="15.75" thickBot="1" x14ac:dyDescent="0.3">
      <c r="D17" s="7"/>
      <c r="H17" s="7"/>
    </row>
    <row r="19" spans="1:8" ht="18.75" x14ac:dyDescent="0.3">
      <c r="C19" t="s">
        <v>4</v>
      </c>
      <c r="D19" s="4">
        <f>D3-D13</f>
        <v>15268</v>
      </c>
      <c r="G19" t="s">
        <v>5</v>
      </c>
      <c r="H19" s="4">
        <f>H3-H13</f>
        <v>2900.9199999999983</v>
      </c>
    </row>
    <row r="22" spans="1:8" ht="15.75" x14ac:dyDescent="0.25">
      <c r="A22" t="s">
        <v>6</v>
      </c>
      <c r="C22" s="8">
        <f>D19</f>
        <v>15268</v>
      </c>
      <c r="E22" t="s">
        <v>10</v>
      </c>
      <c r="H22" s="6">
        <f>C31</f>
        <v>11847.080000000002</v>
      </c>
    </row>
    <row r="24" spans="1:8" ht="15.75" x14ac:dyDescent="0.25">
      <c r="A24" t="s">
        <v>5</v>
      </c>
      <c r="B24" s="9" t="s">
        <v>7</v>
      </c>
      <c r="C24" s="8">
        <f>H19</f>
        <v>2900.9199999999983</v>
      </c>
      <c r="E24" s="13" t="s">
        <v>11</v>
      </c>
      <c r="F24" s="9" t="s">
        <v>181</v>
      </c>
      <c r="G24" s="15" t="s">
        <v>17</v>
      </c>
      <c r="H24" s="3">
        <f>-(F25*0.0077)</f>
        <v>-810.81000000000006</v>
      </c>
    </row>
    <row r="25" spans="1:8" x14ac:dyDescent="0.25">
      <c r="F25" s="21">
        <f>D3-H3</f>
        <v>105300</v>
      </c>
    </row>
    <row r="26" spans="1:8" ht="15.75" x14ac:dyDescent="0.25">
      <c r="A26" t="s">
        <v>8</v>
      </c>
      <c r="B26" s="9" t="s">
        <v>7</v>
      </c>
      <c r="C26" s="8">
        <f>D3*0.004</f>
        <v>520</v>
      </c>
      <c r="F26" s="9" t="s">
        <v>13</v>
      </c>
      <c r="G26" s="16">
        <v>0.35</v>
      </c>
      <c r="H26" s="29">
        <f>-(F27*0.35)</f>
        <v>-4146.4780000000001</v>
      </c>
    </row>
    <row r="27" spans="1:8" ht="15.75" thickBot="1" x14ac:dyDescent="0.3">
      <c r="F27" s="21">
        <f>H22</f>
        <v>11847.080000000002</v>
      </c>
      <c r="H27" s="7"/>
    </row>
    <row r="28" spans="1:8" x14ac:dyDescent="0.25">
      <c r="A28" t="s">
        <v>769</v>
      </c>
      <c r="B28" s="9" t="s">
        <v>7</v>
      </c>
      <c r="C28" s="6"/>
      <c r="G28" s="13" t="s">
        <v>14</v>
      </c>
      <c r="H28" s="6">
        <f>H22+H24+H26</f>
        <v>6889.7920000000022</v>
      </c>
    </row>
    <row r="29" spans="1:8" ht="15.75" thickBot="1" x14ac:dyDescent="0.3">
      <c r="A29" s="16">
        <v>2.5000000000000001E-2</v>
      </c>
      <c r="B29" s="34" t="s">
        <v>770</v>
      </c>
      <c r="C29" s="7"/>
    </row>
    <row r="30" spans="1:8" x14ac:dyDescent="0.25">
      <c r="E30" t="s">
        <v>151</v>
      </c>
      <c r="H30" s="20">
        <f>H28*0.5</f>
        <v>3444.8960000000011</v>
      </c>
    </row>
    <row r="31" spans="1:8" ht="15.75" x14ac:dyDescent="0.25">
      <c r="A31" t="s">
        <v>10</v>
      </c>
      <c r="C31" s="10">
        <f>C22-C24-C26-C28</f>
        <v>11847.080000000002</v>
      </c>
      <c r="H31" s="18"/>
    </row>
    <row r="32" spans="1:8" x14ac:dyDescent="0.25">
      <c r="H32" s="3"/>
    </row>
    <row r="33" spans="8:8" x14ac:dyDescent="0.25">
      <c r="H33" s="18"/>
    </row>
  </sheetData>
  <pageMargins left="0.7" right="0.7" top="0.75" bottom="0.75" header="0.3" footer="0.3"/>
</worksheet>
</file>

<file path=xl/worksheets/sheet5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699BB-834C-4738-A437-0E28EC43D879}">
  <dimension ref="A1:H33"/>
  <sheetViews>
    <sheetView workbookViewId="0">
      <selection sqref="A1:XFD1048576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813</v>
      </c>
    </row>
    <row r="3" spans="1:8" ht="21" x14ac:dyDescent="0.35">
      <c r="A3" s="2" t="s">
        <v>1</v>
      </c>
      <c r="C3" s="11">
        <v>47980</v>
      </c>
      <c r="D3" s="11">
        <f>(C3/1.19)</f>
        <v>40319.327731092439</v>
      </c>
      <c r="F3" s="12" t="s">
        <v>3</v>
      </c>
      <c r="H3" s="11">
        <f>D3*0.19</f>
        <v>7660.6722689075632</v>
      </c>
    </row>
    <row r="4" spans="1:8" x14ac:dyDescent="0.25">
      <c r="A4" s="13" t="s">
        <v>32</v>
      </c>
      <c r="C4" s="26" t="s">
        <v>814</v>
      </c>
    </row>
    <row r="5" spans="1:8" ht="21" x14ac:dyDescent="0.35">
      <c r="A5" s="2" t="s">
        <v>2</v>
      </c>
    </row>
    <row r="7" spans="1:8" ht="18.75" x14ac:dyDescent="0.3">
      <c r="D7" s="4"/>
      <c r="E7" s="25"/>
      <c r="H7" s="4">
        <f>(D7/1.19)*0.19</f>
        <v>0</v>
      </c>
    </row>
    <row r="8" spans="1:8" ht="18.75" x14ac:dyDescent="0.3">
      <c r="A8" s="5" t="s">
        <v>221</v>
      </c>
      <c r="C8" s="3"/>
      <c r="D8" s="28">
        <v>23000</v>
      </c>
      <c r="E8" s="25"/>
      <c r="H8" s="4">
        <f>D8*0.19</f>
        <v>4370</v>
      </c>
    </row>
    <row r="9" spans="1:8" ht="18.75" x14ac:dyDescent="0.3">
      <c r="A9" s="5"/>
      <c r="C9" s="3"/>
      <c r="D9" s="28"/>
      <c r="E9" s="25"/>
      <c r="H9" s="4">
        <f t="shared" ref="H9:H11" si="0">(D9/1.19)*0.19</f>
        <v>0</v>
      </c>
    </row>
    <row r="10" spans="1:8" ht="18.75" x14ac:dyDescent="0.3">
      <c r="A10" s="5"/>
      <c r="C10" s="3"/>
      <c r="D10" s="28"/>
      <c r="E10" s="25"/>
      <c r="H10" s="4">
        <f t="shared" si="0"/>
        <v>0</v>
      </c>
    </row>
    <row r="11" spans="1:8" ht="18.75" x14ac:dyDescent="0.3">
      <c r="A11" s="5"/>
      <c r="C11" s="3"/>
      <c r="D11" s="28"/>
      <c r="E11" s="25"/>
      <c r="H11" s="4">
        <f t="shared" si="0"/>
        <v>0</v>
      </c>
    </row>
    <row r="12" spans="1:8" ht="19.5" thickBot="1" x14ac:dyDescent="0.35">
      <c r="A12" s="5"/>
      <c r="C12" s="3"/>
      <c r="D12" s="22"/>
      <c r="E12" s="25"/>
      <c r="H12" s="22">
        <v>0</v>
      </c>
    </row>
    <row r="13" spans="1:8" ht="18.75" customHeight="1" x14ac:dyDescent="0.3">
      <c r="D13" s="4">
        <f>SUM(D7:D12)</f>
        <v>23000</v>
      </c>
      <c r="H13" s="4">
        <f>SUM(H7:H12)</f>
        <v>4370</v>
      </c>
    </row>
    <row r="14" spans="1:8" ht="18.75" x14ac:dyDescent="0.3">
      <c r="A14" s="5"/>
      <c r="C14" s="3"/>
      <c r="D14" s="4"/>
      <c r="H14" s="4"/>
    </row>
    <row r="16" spans="1:8" ht="18.75" x14ac:dyDescent="0.3">
      <c r="A16" s="5"/>
      <c r="C16" s="3"/>
      <c r="D16" s="4"/>
      <c r="H16" s="4"/>
    </row>
    <row r="17" spans="1:8" ht="15.75" thickBot="1" x14ac:dyDescent="0.3">
      <c r="D17" s="7"/>
      <c r="H17" s="7"/>
    </row>
    <row r="19" spans="1:8" ht="18.75" x14ac:dyDescent="0.3">
      <c r="C19" t="s">
        <v>4</v>
      </c>
      <c r="D19" s="4">
        <f>D3-D13</f>
        <v>17319.327731092439</v>
      </c>
      <c r="G19" t="s">
        <v>5</v>
      </c>
      <c r="H19" s="4">
        <f>H3-H13</f>
        <v>3290.6722689075632</v>
      </c>
    </row>
    <row r="22" spans="1:8" ht="15.75" x14ac:dyDescent="0.25">
      <c r="A22" t="s">
        <v>6</v>
      </c>
      <c r="C22" s="8">
        <f>D19</f>
        <v>17319.327731092439</v>
      </c>
      <c r="E22" t="s">
        <v>10</v>
      </c>
      <c r="H22" s="6">
        <f>C31</f>
        <v>13867.378151260506</v>
      </c>
    </row>
    <row r="24" spans="1:8" ht="15.75" x14ac:dyDescent="0.25">
      <c r="A24" t="s">
        <v>5</v>
      </c>
      <c r="B24" s="9" t="s">
        <v>7</v>
      </c>
      <c r="C24" s="8">
        <f>H19</f>
        <v>3290.6722689075632</v>
      </c>
      <c r="E24" s="13" t="s">
        <v>11</v>
      </c>
      <c r="F24" s="9" t="s">
        <v>181</v>
      </c>
      <c r="G24" s="15" t="s">
        <v>17</v>
      </c>
      <c r="H24" s="3">
        <f>-(F25*0.0077)</f>
        <v>-251.47164705882355</v>
      </c>
    </row>
    <row r="25" spans="1:8" x14ac:dyDescent="0.25">
      <c r="F25" s="21">
        <f>D3-H3</f>
        <v>32658.655462184877</v>
      </c>
    </row>
    <row r="26" spans="1:8" ht="15.75" x14ac:dyDescent="0.25">
      <c r="A26" t="s">
        <v>8</v>
      </c>
      <c r="B26" s="9" t="s">
        <v>7</v>
      </c>
      <c r="C26" s="8">
        <f>D3*0.004</f>
        <v>161.27731092436977</v>
      </c>
      <c r="F26" s="9" t="s">
        <v>13</v>
      </c>
      <c r="G26" s="16">
        <v>0.35</v>
      </c>
      <c r="H26" s="29">
        <f>-(F27*0.35)</f>
        <v>-4853.5823529411764</v>
      </c>
    </row>
    <row r="27" spans="1:8" ht="15.75" thickBot="1" x14ac:dyDescent="0.3">
      <c r="F27" s="21">
        <f>H22</f>
        <v>13867.378151260506</v>
      </c>
      <c r="H27" s="7"/>
    </row>
    <row r="28" spans="1:8" x14ac:dyDescent="0.25">
      <c r="A28" t="s">
        <v>769</v>
      </c>
      <c r="B28" s="9" t="s">
        <v>7</v>
      </c>
      <c r="C28" s="6"/>
      <c r="G28" s="13" t="s">
        <v>14</v>
      </c>
      <c r="H28" s="6">
        <f>H22+H24+H26</f>
        <v>8762.3241512605055</v>
      </c>
    </row>
    <row r="29" spans="1:8" ht="15.75" thickBot="1" x14ac:dyDescent="0.3">
      <c r="A29" s="16">
        <v>2.5000000000000001E-2</v>
      </c>
      <c r="B29" s="34" t="s">
        <v>770</v>
      </c>
      <c r="C29" s="7"/>
    </row>
    <row r="30" spans="1:8" x14ac:dyDescent="0.25">
      <c r="E30" t="s">
        <v>151</v>
      </c>
      <c r="H30" s="20">
        <f>H28*0.5</f>
        <v>4381.1620756302527</v>
      </c>
    </row>
    <row r="31" spans="1:8" ht="15.75" x14ac:dyDescent="0.25">
      <c r="A31" t="s">
        <v>10</v>
      </c>
      <c r="C31" s="10">
        <f>C22-C24-C26-C28</f>
        <v>13867.378151260506</v>
      </c>
      <c r="H31" s="18"/>
    </row>
    <row r="32" spans="1:8" x14ac:dyDescent="0.25">
      <c r="H32" s="3"/>
    </row>
    <row r="33" spans="8:8" x14ac:dyDescent="0.25">
      <c r="H33" s="18"/>
    </row>
  </sheetData>
  <pageMargins left="0.7" right="0.7" top="0.75" bottom="0.75" header="0.3" footer="0.3"/>
</worksheet>
</file>

<file path=xl/worksheets/sheet5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92707-F5D9-4C9B-ADA5-8B7E6C20735F}">
  <dimension ref="A1:H33"/>
  <sheetViews>
    <sheetView workbookViewId="0">
      <selection sqref="A1:XFD1048576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815</v>
      </c>
    </row>
    <row r="3" spans="1:8" ht="21" x14ac:dyDescent="0.35">
      <c r="A3" s="2" t="s">
        <v>1</v>
      </c>
      <c r="C3" s="11">
        <v>485520</v>
      </c>
      <c r="D3" s="11">
        <f>(C3/1.19)</f>
        <v>408000</v>
      </c>
      <c r="F3" s="12" t="s">
        <v>3</v>
      </c>
      <c r="H3" s="11">
        <f>D3*0.19</f>
        <v>77520</v>
      </c>
    </row>
    <row r="4" spans="1:8" x14ac:dyDescent="0.25">
      <c r="A4" s="13" t="s">
        <v>32</v>
      </c>
      <c r="C4" s="26" t="s">
        <v>816</v>
      </c>
    </row>
    <row r="5" spans="1:8" ht="21" x14ac:dyDescent="0.35">
      <c r="A5" s="2" t="s">
        <v>2</v>
      </c>
    </row>
    <row r="7" spans="1:8" ht="18.75" x14ac:dyDescent="0.3">
      <c r="D7" s="4"/>
      <c r="E7" s="25"/>
      <c r="H7" s="4">
        <f>(D7/1.19)*0.19</f>
        <v>0</v>
      </c>
    </row>
    <row r="8" spans="1:8" ht="18.75" x14ac:dyDescent="0.3">
      <c r="A8" s="5" t="s">
        <v>221</v>
      </c>
      <c r="C8" s="3"/>
      <c r="D8" s="28">
        <v>293250</v>
      </c>
      <c r="E8" s="25"/>
      <c r="H8" s="4">
        <f>D8*0.19</f>
        <v>55717.5</v>
      </c>
    </row>
    <row r="9" spans="1:8" ht="18.75" x14ac:dyDescent="0.3">
      <c r="A9" s="5"/>
      <c r="C9" s="3"/>
      <c r="D9" s="28"/>
      <c r="E9" s="25"/>
      <c r="H9" s="4">
        <f t="shared" ref="H9:H11" si="0">(D9/1.19)*0.19</f>
        <v>0</v>
      </c>
    </row>
    <row r="10" spans="1:8" ht="18.75" x14ac:dyDescent="0.3">
      <c r="A10" s="5"/>
      <c r="C10" s="3"/>
      <c r="D10" s="28"/>
      <c r="E10" s="25"/>
      <c r="H10" s="4">
        <f t="shared" si="0"/>
        <v>0</v>
      </c>
    </row>
    <row r="11" spans="1:8" ht="18.75" x14ac:dyDescent="0.3">
      <c r="A11" s="5"/>
      <c r="C11" s="3"/>
      <c r="D11" s="28"/>
      <c r="E11" s="25"/>
      <c r="H11" s="4">
        <f t="shared" si="0"/>
        <v>0</v>
      </c>
    </row>
    <row r="12" spans="1:8" ht="19.5" thickBot="1" x14ac:dyDescent="0.35">
      <c r="A12" s="5"/>
      <c r="C12" s="3"/>
      <c r="D12" s="22"/>
      <c r="E12" s="25"/>
      <c r="H12" s="22">
        <v>0</v>
      </c>
    </row>
    <row r="13" spans="1:8" ht="18.75" customHeight="1" x14ac:dyDescent="0.3">
      <c r="D13" s="4">
        <f>SUM(D7:D12)</f>
        <v>293250</v>
      </c>
      <c r="H13" s="4">
        <f>SUM(H7:H12)</f>
        <v>55717.5</v>
      </c>
    </row>
    <row r="14" spans="1:8" ht="18.75" x14ac:dyDescent="0.3">
      <c r="A14" s="5"/>
      <c r="C14" s="3"/>
      <c r="D14" s="4"/>
      <c r="H14" s="4"/>
    </row>
    <row r="16" spans="1:8" ht="18.75" x14ac:dyDescent="0.3">
      <c r="A16" s="5"/>
      <c r="C16" s="3"/>
      <c r="D16" s="4"/>
      <c r="H16" s="4"/>
    </row>
    <row r="17" spans="1:8" ht="15.75" thickBot="1" x14ac:dyDescent="0.3">
      <c r="D17" s="7"/>
      <c r="H17" s="7"/>
    </row>
    <row r="19" spans="1:8" ht="18.75" x14ac:dyDescent="0.3">
      <c r="C19" t="s">
        <v>4</v>
      </c>
      <c r="D19" s="4">
        <f>D3-D13</f>
        <v>114750</v>
      </c>
      <c r="G19" t="s">
        <v>5</v>
      </c>
      <c r="H19" s="4">
        <f>H3-H13</f>
        <v>21802.5</v>
      </c>
    </row>
    <row r="22" spans="1:8" ht="15.75" x14ac:dyDescent="0.25">
      <c r="A22" t="s">
        <v>6</v>
      </c>
      <c r="C22" s="8">
        <f>D19</f>
        <v>114750</v>
      </c>
      <c r="E22" t="s">
        <v>10</v>
      </c>
      <c r="H22" s="6">
        <f>C31</f>
        <v>91315.5</v>
      </c>
    </row>
    <row r="24" spans="1:8" ht="15.75" x14ac:dyDescent="0.25">
      <c r="A24" t="s">
        <v>5</v>
      </c>
      <c r="B24" s="9" t="s">
        <v>7</v>
      </c>
      <c r="C24" s="8">
        <f>H19</f>
        <v>21802.5</v>
      </c>
      <c r="E24" s="13" t="s">
        <v>11</v>
      </c>
      <c r="F24" s="9" t="s">
        <v>181</v>
      </c>
      <c r="G24" s="15" t="s">
        <v>17</v>
      </c>
      <c r="H24" s="3">
        <f>-(F25*0.0077)</f>
        <v>-2544.6959999999999</v>
      </c>
    </row>
    <row r="25" spans="1:8" x14ac:dyDescent="0.25">
      <c r="F25" s="21">
        <f>D3-H3</f>
        <v>330480</v>
      </c>
    </row>
    <row r="26" spans="1:8" ht="15.75" x14ac:dyDescent="0.25">
      <c r="A26" t="s">
        <v>8</v>
      </c>
      <c r="B26" s="9" t="s">
        <v>7</v>
      </c>
      <c r="C26" s="8">
        <f>D3*0.004</f>
        <v>1632</v>
      </c>
      <c r="F26" s="9" t="s">
        <v>13</v>
      </c>
      <c r="G26" s="16">
        <v>0.35</v>
      </c>
      <c r="H26" s="29">
        <f>-(F27*0.35)</f>
        <v>-31960.424999999999</v>
      </c>
    </row>
    <row r="27" spans="1:8" ht="15.75" thickBot="1" x14ac:dyDescent="0.3">
      <c r="F27" s="21">
        <f>H22</f>
        <v>91315.5</v>
      </c>
      <c r="H27" s="7"/>
    </row>
    <row r="28" spans="1:8" x14ac:dyDescent="0.25">
      <c r="A28" t="s">
        <v>769</v>
      </c>
      <c r="B28" s="9" t="s">
        <v>7</v>
      </c>
      <c r="C28" s="6"/>
      <c r="G28" s="13" t="s">
        <v>14</v>
      </c>
      <c r="H28" s="6">
        <f>H22+H24+H26</f>
        <v>56810.379000000001</v>
      </c>
    </row>
    <row r="29" spans="1:8" ht="15.75" thickBot="1" x14ac:dyDescent="0.3">
      <c r="A29" s="16">
        <v>2.5000000000000001E-2</v>
      </c>
      <c r="B29" s="34" t="s">
        <v>770</v>
      </c>
      <c r="C29" s="7"/>
    </row>
    <row r="30" spans="1:8" x14ac:dyDescent="0.25">
      <c r="E30" t="s">
        <v>151</v>
      </c>
      <c r="H30" s="20">
        <f>H28*0.5</f>
        <v>28405.1895</v>
      </c>
    </row>
    <row r="31" spans="1:8" ht="15.75" x14ac:dyDescent="0.25">
      <c r="A31" t="s">
        <v>10</v>
      </c>
      <c r="C31" s="10">
        <f>C22-C24-C26-C28</f>
        <v>91315.5</v>
      </c>
      <c r="H31" s="18"/>
    </row>
    <row r="32" spans="1:8" x14ac:dyDescent="0.25">
      <c r="H32" s="3"/>
    </row>
    <row r="33" spans="8:8" x14ac:dyDescent="0.25">
      <c r="H33" s="18"/>
    </row>
  </sheetData>
  <pageMargins left="0.7" right="0.7" top="0.75" bottom="0.75" header="0.3" footer="0.3"/>
</worksheet>
</file>

<file path=xl/worksheets/sheet5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695CC-B473-442F-B138-00EBE6DEF55F}">
  <dimension ref="A1:H33"/>
  <sheetViews>
    <sheetView workbookViewId="0">
      <selection sqref="A1:XFD1048576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817</v>
      </c>
    </row>
    <row r="3" spans="1:8" ht="21" x14ac:dyDescent="0.35">
      <c r="A3" s="2" t="s">
        <v>1</v>
      </c>
      <c r="C3" s="11">
        <v>963900</v>
      </c>
      <c r="D3" s="11">
        <f>(C3/1.19)</f>
        <v>810000</v>
      </c>
      <c r="F3" s="12" t="s">
        <v>3</v>
      </c>
      <c r="H3" s="11">
        <f>D3*0.19</f>
        <v>153900</v>
      </c>
    </row>
    <row r="4" spans="1:8" x14ac:dyDescent="0.25">
      <c r="A4" s="13" t="s">
        <v>32</v>
      </c>
      <c r="C4" s="26" t="s">
        <v>818</v>
      </c>
    </row>
    <row r="5" spans="1:8" ht="21" x14ac:dyDescent="0.35">
      <c r="A5" s="2" t="s">
        <v>2</v>
      </c>
    </row>
    <row r="7" spans="1:8" ht="18.75" x14ac:dyDescent="0.3">
      <c r="D7" s="4"/>
      <c r="E7" s="25"/>
      <c r="H7" s="4">
        <f>(D7/1.19)*0.19</f>
        <v>0</v>
      </c>
    </row>
    <row r="8" spans="1:8" ht="18.75" x14ac:dyDescent="0.3">
      <c r="A8" s="5" t="s">
        <v>221</v>
      </c>
      <c r="C8" s="3"/>
      <c r="D8" s="28">
        <v>581805</v>
      </c>
      <c r="E8" s="25"/>
      <c r="H8" s="4">
        <f>D8*0.19</f>
        <v>110542.95</v>
      </c>
    </row>
    <row r="9" spans="1:8" ht="18.75" x14ac:dyDescent="0.3">
      <c r="A9" s="5"/>
      <c r="C9" s="3"/>
      <c r="D9" s="28"/>
      <c r="E9" s="25"/>
      <c r="H9" s="4">
        <f t="shared" ref="H9:H11" si="0">(D9/1.19)*0.19</f>
        <v>0</v>
      </c>
    </row>
    <row r="10" spans="1:8" ht="18.75" x14ac:dyDescent="0.3">
      <c r="A10" s="5"/>
      <c r="C10" s="3"/>
      <c r="D10" s="28"/>
      <c r="E10" s="25"/>
      <c r="H10" s="4">
        <f t="shared" si="0"/>
        <v>0</v>
      </c>
    </row>
    <row r="11" spans="1:8" ht="18.75" x14ac:dyDescent="0.3">
      <c r="A11" s="5"/>
      <c r="C11" s="3"/>
      <c r="D11" s="28"/>
      <c r="E11" s="25"/>
      <c r="H11" s="4">
        <f t="shared" si="0"/>
        <v>0</v>
      </c>
    </row>
    <row r="12" spans="1:8" ht="19.5" thickBot="1" x14ac:dyDescent="0.35">
      <c r="A12" s="5"/>
      <c r="C12" s="3"/>
      <c r="D12" s="22"/>
      <c r="E12" s="25"/>
      <c r="H12" s="22">
        <v>0</v>
      </c>
    </row>
    <row r="13" spans="1:8" ht="18.75" customHeight="1" x14ac:dyDescent="0.3">
      <c r="D13" s="4">
        <f>SUM(D7:D12)</f>
        <v>581805</v>
      </c>
      <c r="H13" s="4">
        <f>SUM(H7:H12)</f>
        <v>110542.95</v>
      </c>
    </row>
    <row r="14" spans="1:8" ht="18.75" x14ac:dyDescent="0.3">
      <c r="A14" s="5"/>
      <c r="C14" s="3"/>
      <c r="D14" s="4"/>
      <c r="H14" s="4"/>
    </row>
    <row r="16" spans="1:8" ht="18.75" x14ac:dyDescent="0.3">
      <c r="A16" s="5"/>
      <c r="C16" s="3"/>
      <c r="D16" s="4"/>
      <c r="H16" s="4"/>
    </row>
    <row r="17" spans="1:8" ht="15.75" thickBot="1" x14ac:dyDescent="0.3">
      <c r="D17" s="7"/>
      <c r="H17" s="7"/>
    </row>
    <row r="19" spans="1:8" ht="18.75" x14ac:dyDescent="0.3">
      <c r="C19" t="s">
        <v>4</v>
      </c>
      <c r="D19" s="4">
        <f>D3-D13</f>
        <v>228195</v>
      </c>
      <c r="G19" t="s">
        <v>5</v>
      </c>
      <c r="H19" s="4">
        <f>H3-H13</f>
        <v>43357.05</v>
      </c>
    </row>
    <row r="22" spans="1:8" ht="15.75" x14ac:dyDescent="0.25">
      <c r="A22" t="s">
        <v>6</v>
      </c>
      <c r="C22" s="8">
        <f>D19</f>
        <v>228195</v>
      </c>
      <c r="E22" t="s">
        <v>10</v>
      </c>
      <c r="H22" s="6">
        <f>C31</f>
        <v>181597.95</v>
      </c>
    </row>
    <row r="24" spans="1:8" ht="15.75" x14ac:dyDescent="0.25">
      <c r="A24" t="s">
        <v>5</v>
      </c>
      <c r="B24" s="9" t="s">
        <v>7</v>
      </c>
      <c r="C24" s="8">
        <f>H19</f>
        <v>43357.05</v>
      </c>
      <c r="E24" s="13" t="s">
        <v>11</v>
      </c>
      <c r="F24" s="9" t="s">
        <v>181</v>
      </c>
      <c r="G24" s="15" t="s">
        <v>17</v>
      </c>
      <c r="H24" s="3">
        <f>-(F25*0.0077)</f>
        <v>-5051.97</v>
      </c>
    </row>
    <row r="25" spans="1:8" x14ac:dyDescent="0.25">
      <c r="F25" s="21">
        <f>D3-H3</f>
        <v>656100</v>
      </c>
    </row>
    <row r="26" spans="1:8" ht="15.75" x14ac:dyDescent="0.25">
      <c r="A26" t="s">
        <v>8</v>
      </c>
      <c r="B26" s="9" t="s">
        <v>7</v>
      </c>
      <c r="C26" s="8">
        <f>D3*0.004</f>
        <v>3240</v>
      </c>
      <c r="F26" s="9" t="s">
        <v>13</v>
      </c>
      <c r="G26" s="16">
        <v>0.35</v>
      </c>
      <c r="H26" s="29">
        <f>-(F27*0.35)</f>
        <v>-63559.282500000001</v>
      </c>
    </row>
    <row r="27" spans="1:8" ht="15.75" thickBot="1" x14ac:dyDescent="0.3">
      <c r="F27" s="21">
        <f>H22</f>
        <v>181597.95</v>
      </c>
      <c r="H27" s="7"/>
    </row>
    <row r="28" spans="1:8" x14ac:dyDescent="0.25">
      <c r="A28" t="s">
        <v>769</v>
      </c>
      <c r="B28" s="9" t="s">
        <v>7</v>
      </c>
      <c r="C28" s="6"/>
      <c r="G28" s="13" t="s">
        <v>14</v>
      </c>
      <c r="H28" s="6">
        <f>H22+H24+H26</f>
        <v>112986.69750000001</v>
      </c>
    </row>
    <row r="29" spans="1:8" ht="15.75" thickBot="1" x14ac:dyDescent="0.3">
      <c r="A29" s="16">
        <v>2.5000000000000001E-2</v>
      </c>
      <c r="B29" s="34" t="s">
        <v>770</v>
      </c>
      <c r="C29" s="7"/>
    </row>
    <row r="30" spans="1:8" x14ac:dyDescent="0.25">
      <c r="E30" t="s">
        <v>151</v>
      </c>
      <c r="H30" s="20">
        <f>H28*0.5</f>
        <v>56493.348750000005</v>
      </c>
    </row>
    <row r="31" spans="1:8" ht="15.75" x14ac:dyDescent="0.25">
      <c r="A31" t="s">
        <v>10</v>
      </c>
      <c r="C31" s="10">
        <f>C22-C24-C26-C28</f>
        <v>181597.95</v>
      </c>
      <c r="H31" s="18"/>
    </row>
    <row r="32" spans="1:8" x14ac:dyDescent="0.25">
      <c r="H32" s="3"/>
    </row>
    <row r="33" spans="8:8" x14ac:dyDescent="0.25">
      <c r="H33" s="18"/>
    </row>
  </sheetData>
  <pageMargins left="0.7" right="0.7" top="0.75" bottom="0.75" header="0.3" footer="0.3"/>
</worksheet>
</file>

<file path=xl/worksheets/sheet5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CCB42-056A-4ADF-AB8B-1D1F136EFE8B}">
  <dimension ref="A1:H33"/>
  <sheetViews>
    <sheetView workbookViewId="0">
      <selection sqref="A1:XFD1048576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733</v>
      </c>
    </row>
    <row r="3" spans="1:8" ht="21" x14ac:dyDescent="0.35">
      <c r="A3" s="2" t="s">
        <v>1</v>
      </c>
      <c r="C3" s="11">
        <v>316540</v>
      </c>
      <c r="D3" s="11">
        <f>(C3/1.19)</f>
        <v>266000</v>
      </c>
      <c r="F3" s="12" t="s">
        <v>3</v>
      </c>
      <c r="H3" s="11">
        <f>D3*0.19</f>
        <v>50540</v>
      </c>
    </row>
    <row r="4" spans="1:8" x14ac:dyDescent="0.25">
      <c r="A4" s="13" t="s">
        <v>32</v>
      </c>
      <c r="C4" s="26" t="s">
        <v>819</v>
      </c>
    </row>
    <row r="5" spans="1:8" ht="21" x14ac:dyDescent="0.35">
      <c r="A5" s="2" t="s">
        <v>2</v>
      </c>
    </row>
    <row r="7" spans="1:8" ht="18.75" x14ac:dyDescent="0.3">
      <c r="D7" s="4"/>
      <c r="E7" s="25"/>
      <c r="H7" s="4">
        <f>(D7/1.19)*0.19</f>
        <v>0</v>
      </c>
    </row>
    <row r="8" spans="1:8" ht="18.75" x14ac:dyDescent="0.3">
      <c r="A8" s="5" t="s">
        <v>221</v>
      </c>
      <c r="C8" s="3"/>
      <c r="D8" s="28">
        <v>238238</v>
      </c>
      <c r="E8" s="25"/>
      <c r="H8" s="4">
        <f>D8*0.19</f>
        <v>45265.22</v>
      </c>
    </row>
    <row r="9" spans="1:8" ht="18.75" x14ac:dyDescent="0.3">
      <c r="A9" s="5"/>
      <c r="C9" s="3"/>
      <c r="D9" s="28"/>
      <c r="E9" s="25"/>
      <c r="H9" s="4">
        <f t="shared" ref="H9:H11" si="0">(D9/1.19)*0.19</f>
        <v>0</v>
      </c>
    </row>
    <row r="10" spans="1:8" ht="18.75" x14ac:dyDescent="0.3">
      <c r="A10" s="5"/>
      <c r="C10" s="3"/>
      <c r="D10" s="28"/>
      <c r="E10" s="25"/>
      <c r="H10" s="4">
        <f t="shared" si="0"/>
        <v>0</v>
      </c>
    </row>
    <row r="11" spans="1:8" ht="18.75" x14ac:dyDescent="0.3">
      <c r="A11" s="5"/>
      <c r="C11" s="3"/>
      <c r="D11" s="28"/>
      <c r="E11" s="25"/>
      <c r="H11" s="4">
        <f t="shared" si="0"/>
        <v>0</v>
      </c>
    </row>
    <row r="12" spans="1:8" ht="19.5" thickBot="1" x14ac:dyDescent="0.35">
      <c r="A12" s="5"/>
      <c r="C12" s="3"/>
      <c r="D12" s="22"/>
      <c r="E12" s="25"/>
      <c r="H12" s="22">
        <v>0</v>
      </c>
    </row>
    <row r="13" spans="1:8" ht="18.75" customHeight="1" x14ac:dyDescent="0.3">
      <c r="D13" s="4">
        <f>SUM(D7:D12)</f>
        <v>238238</v>
      </c>
      <c r="H13" s="4">
        <f>SUM(H7:H12)</f>
        <v>45265.22</v>
      </c>
    </row>
    <row r="14" spans="1:8" ht="18.75" x14ac:dyDescent="0.3">
      <c r="A14" s="5"/>
      <c r="C14" s="3"/>
      <c r="D14" s="4"/>
      <c r="H14" s="4"/>
    </row>
    <row r="16" spans="1:8" ht="18.75" x14ac:dyDescent="0.3">
      <c r="A16" s="5"/>
      <c r="C16" s="3"/>
      <c r="D16" s="4"/>
      <c r="H16" s="4"/>
    </row>
    <row r="17" spans="1:8" ht="15.75" thickBot="1" x14ac:dyDescent="0.3">
      <c r="D17" s="7"/>
      <c r="H17" s="7"/>
    </row>
    <row r="19" spans="1:8" ht="18.75" x14ac:dyDescent="0.3">
      <c r="C19" t="s">
        <v>4</v>
      </c>
      <c r="D19" s="4">
        <f>D3-D13</f>
        <v>27762</v>
      </c>
      <c r="G19" t="s">
        <v>5</v>
      </c>
      <c r="H19" s="4">
        <f>H3-H13</f>
        <v>5274.7799999999988</v>
      </c>
    </row>
    <row r="22" spans="1:8" ht="15.75" x14ac:dyDescent="0.25">
      <c r="A22" t="s">
        <v>6</v>
      </c>
      <c r="C22" s="8">
        <f>D19</f>
        <v>27762</v>
      </c>
      <c r="E22" t="s">
        <v>10</v>
      </c>
      <c r="H22" s="6">
        <f>C31</f>
        <v>21423.22</v>
      </c>
    </row>
    <row r="24" spans="1:8" ht="15.75" x14ac:dyDescent="0.25">
      <c r="A24" t="s">
        <v>5</v>
      </c>
      <c r="B24" s="9" t="s">
        <v>7</v>
      </c>
      <c r="C24" s="8">
        <f>H19</f>
        <v>5274.7799999999988</v>
      </c>
      <c r="E24" s="13" t="s">
        <v>11</v>
      </c>
      <c r="F24" s="9" t="s">
        <v>181</v>
      </c>
      <c r="G24" s="15" t="s">
        <v>17</v>
      </c>
      <c r="H24" s="3">
        <f>-(F25*0.0077)</f>
        <v>-1659.0420000000001</v>
      </c>
    </row>
    <row r="25" spans="1:8" x14ac:dyDescent="0.25">
      <c r="F25" s="21">
        <f>D3-H3</f>
        <v>215460</v>
      </c>
    </row>
    <row r="26" spans="1:8" ht="15.75" x14ac:dyDescent="0.25">
      <c r="A26" t="s">
        <v>8</v>
      </c>
      <c r="B26" s="9" t="s">
        <v>7</v>
      </c>
      <c r="C26" s="8">
        <f>D3*0.004</f>
        <v>1064</v>
      </c>
      <c r="F26" s="9" t="s">
        <v>13</v>
      </c>
      <c r="G26" s="16">
        <v>0.35</v>
      </c>
      <c r="H26" s="29">
        <f>-(F27*0.35)</f>
        <v>-7498.1269999999995</v>
      </c>
    </row>
    <row r="27" spans="1:8" ht="15.75" thickBot="1" x14ac:dyDescent="0.3">
      <c r="F27" s="21">
        <f>H22</f>
        <v>21423.22</v>
      </c>
      <c r="H27" s="7"/>
    </row>
    <row r="28" spans="1:8" x14ac:dyDescent="0.25">
      <c r="A28" t="s">
        <v>769</v>
      </c>
      <c r="B28" s="9" t="s">
        <v>7</v>
      </c>
      <c r="C28" s="6"/>
      <c r="G28" s="13" t="s">
        <v>14</v>
      </c>
      <c r="H28" s="6">
        <f>H22+H24+H26</f>
        <v>12266.050999999999</v>
      </c>
    </row>
    <row r="29" spans="1:8" ht="15.75" thickBot="1" x14ac:dyDescent="0.3">
      <c r="A29" s="16">
        <v>2.5000000000000001E-2</v>
      </c>
      <c r="B29" s="34" t="s">
        <v>770</v>
      </c>
      <c r="C29" s="7"/>
    </row>
    <row r="30" spans="1:8" x14ac:dyDescent="0.25">
      <c r="E30" t="s">
        <v>151</v>
      </c>
      <c r="H30" s="20">
        <f>H28*0.5</f>
        <v>6133.0254999999997</v>
      </c>
    </row>
    <row r="31" spans="1:8" ht="15.75" x14ac:dyDescent="0.25">
      <c r="A31" t="s">
        <v>10</v>
      </c>
      <c r="C31" s="10">
        <f>C22-C24-C26-C28</f>
        <v>21423.22</v>
      </c>
      <c r="H31" s="18"/>
    </row>
    <row r="32" spans="1:8" x14ac:dyDescent="0.25">
      <c r="H32" s="3"/>
    </row>
    <row r="33" spans="8:8" x14ac:dyDescent="0.25">
      <c r="H33" s="18"/>
    </row>
  </sheetData>
  <pageMargins left="0.7" right="0.7" top="0.75" bottom="0.75" header="0.3" footer="0.3"/>
</worksheet>
</file>

<file path=xl/worksheets/sheet5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E48F6-F719-4F48-ABB8-C9A7BE9D9073}">
  <dimension ref="A1:H33"/>
  <sheetViews>
    <sheetView workbookViewId="0">
      <selection sqref="A1:XFD1048576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820</v>
      </c>
    </row>
    <row r="3" spans="1:8" ht="21" x14ac:dyDescent="0.35">
      <c r="A3" s="2" t="s">
        <v>1</v>
      </c>
      <c r="C3" s="11">
        <v>3195216</v>
      </c>
      <c r="D3" s="11">
        <f>(C3/1.19)</f>
        <v>2685055.4621848739</v>
      </c>
      <c r="F3" s="12" t="s">
        <v>3</v>
      </c>
      <c r="H3" s="11">
        <f>D3*0.19</f>
        <v>510160.53781512607</v>
      </c>
    </row>
    <row r="4" spans="1:8" x14ac:dyDescent="0.25">
      <c r="A4" s="13" t="s">
        <v>32</v>
      </c>
      <c r="C4" s="26" t="s">
        <v>821</v>
      </c>
    </row>
    <row r="5" spans="1:8" ht="21" x14ac:dyDescent="0.35">
      <c r="A5" s="2" t="s">
        <v>2</v>
      </c>
    </row>
    <row r="7" spans="1:8" ht="18.75" x14ac:dyDescent="0.3">
      <c r="D7" s="4"/>
      <c r="E7" s="25"/>
      <c r="H7" s="4">
        <f>(D7/1.19)*0.19</f>
        <v>0</v>
      </c>
    </row>
    <row r="8" spans="1:8" ht="18.75" x14ac:dyDescent="0.3">
      <c r="A8" s="5" t="s">
        <v>221</v>
      </c>
      <c r="C8" s="3"/>
      <c r="D8" s="28">
        <v>2213595</v>
      </c>
      <c r="E8" s="25"/>
      <c r="H8" s="4">
        <f>D8*0.19</f>
        <v>420583.05</v>
      </c>
    </row>
    <row r="9" spans="1:8" ht="18.75" x14ac:dyDescent="0.3">
      <c r="A9" s="5"/>
      <c r="C9" s="3"/>
      <c r="D9" s="28"/>
      <c r="E9" s="25"/>
      <c r="H9" s="4">
        <f t="shared" ref="H9:H11" si="0">(D9/1.19)*0.19</f>
        <v>0</v>
      </c>
    </row>
    <row r="10" spans="1:8" ht="18.75" x14ac:dyDescent="0.3">
      <c r="A10" s="5"/>
      <c r="C10" s="3"/>
      <c r="D10" s="28"/>
      <c r="E10" s="25"/>
      <c r="H10" s="4">
        <f t="shared" si="0"/>
        <v>0</v>
      </c>
    </row>
    <row r="11" spans="1:8" ht="18.75" x14ac:dyDescent="0.3">
      <c r="A11" s="5"/>
      <c r="C11" s="3"/>
      <c r="D11" s="28"/>
      <c r="E11" s="25"/>
      <c r="H11" s="4">
        <f t="shared" si="0"/>
        <v>0</v>
      </c>
    </row>
    <row r="12" spans="1:8" ht="19.5" thickBot="1" x14ac:dyDescent="0.35">
      <c r="A12" s="5"/>
      <c r="C12" s="3"/>
      <c r="D12" s="22"/>
      <c r="E12" s="25"/>
      <c r="H12" s="22">
        <v>0</v>
      </c>
    </row>
    <row r="13" spans="1:8" ht="18.75" customHeight="1" x14ac:dyDescent="0.3">
      <c r="D13" s="4">
        <f>SUM(D7:D12)</f>
        <v>2213595</v>
      </c>
      <c r="H13" s="4">
        <f>SUM(H7:H12)</f>
        <v>420583.05</v>
      </c>
    </row>
    <row r="14" spans="1:8" ht="18.75" x14ac:dyDescent="0.3">
      <c r="A14" s="5"/>
      <c r="C14" s="3"/>
      <c r="D14" s="4"/>
      <c r="H14" s="4"/>
    </row>
    <row r="16" spans="1:8" ht="18.75" x14ac:dyDescent="0.3">
      <c r="A16" s="5"/>
      <c r="C16" s="3"/>
      <c r="D16" s="4"/>
      <c r="H16" s="4"/>
    </row>
    <row r="17" spans="1:8" ht="15.75" thickBot="1" x14ac:dyDescent="0.3">
      <c r="D17" s="7"/>
      <c r="H17" s="7"/>
    </row>
    <row r="19" spans="1:8" ht="18.75" x14ac:dyDescent="0.3">
      <c r="C19" t="s">
        <v>4</v>
      </c>
      <c r="D19" s="4">
        <f>D3-D13</f>
        <v>471460.46218487388</v>
      </c>
      <c r="G19" t="s">
        <v>5</v>
      </c>
      <c r="H19" s="4">
        <f>H3-H13</f>
        <v>89577.487815126078</v>
      </c>
    </row>
    <row r="22" spans="1:8" ht="15.75" x14ac:dyDescent="0.25">
      <c r="A22" t="s">
        <v>6</v>
      </c>
      <c r="C22" s="8">
        <f>D19</f>
        <v>471460.46218487388</v>
      </c>
      <c r="E22" t="s">
        <v>10</v>
      </c>
      <c r="H22" s="6">
        <f>C31</f>
        <v>371142.75252100831</v>
      </c>
    </row>
    <row r="24" spans="1:8" ht="15.75" x14ac:dyDescent="0.25">
      <c r="A24" t="s">
        <v>5</v>
      </c>
      <c r="B24" s="9" t="s">
        <v>7</v>
      </c>
      <c r="C24" s="8">
        <f>H19</f>
        <v>89577.487815126078</v>
      </c>
      <c r="E24" s="13" t="s">
        <v>11</v>
      </c>
      <c r="F24" s="9" t="s">
        <v>181</v>
      </c>
      <c r="G24" s="15" t="s">
        <v>17</v>
      </c>
      <c r="H24" s="3">
        <f>-(F25*0.0077)</f>
        <v>-16746.690917647058</v>
      </c>
    </row>
    <row r="25" spans="1:8" x14ac:dyDescent="0.25">
      <c r="F25" s="21">
        <f>D3-H3</f>
        <v>2174894.9243697478</v>
      </c>
    </row>
    <row r="26" spans="1:8" ht="15.75" x14ac:dyDescent="0.25">
      <c r="A26" t="s">
        <v>8</v>
      </c>
      <c r="B26" s="9" t="s">
        <v>7</v>
      </c>
      <c r="C26" s="8">
        <f>D3*0.004</f>
        <v>10740.221848739495</v>
      </c>
      <c r="F26" s="9" t="s">
        <v>13</v>
      </c>
      <c r="G26" s="16">
        <v>0.35</v>
      </c>
      <c r="H26" s="29">
        <f>-(F27*0.35)</f>
        <v>-129899.9633823529</v>
      </c>
    </row>
    <row r="27" spans="1:8" ht="15.75" thickBot="1" x14ac:dyDescent="0.3">
      <c r="F27" s="21">
        <f>H22</f>
        <v>371142.75252100831</v>
      </c>
      <c r="H27" s="7"/>
    </row>
    <row r="28" spans="1:8" x14ac:dyDescent="0.25">
      <c r="A28" t="s">
        <v>769</v>
      </c>
      <c r="B28" s="9" t="s">
        <v>7</v>
      </c>
      <c r="C28" s="6"/>
      <c r="G28" s="13" t="s">
        <v>14</v>
      </c>
      <c r="H28" s="6">
        <f>H22+H24+H26</f>
        <v>224496.09822100837</v>
      </c>
    </row>
    <row r="29" spans="1:8" ht="15.75" thickBot="1" x14ac:dyDescent="0.3">
      <c r="A29" s="16">
        <v>2.5000000000000001E-2</v>
      </c>
      <c r="B29" s="34" t="s">
        <v>770</v>
      </c>
      <c r="C29" s="7"/>
    </row>
    <row r="30" spans="1:8" x14ac:dyDescent="0.25">
      <c r="E30" t="s">
        <v>151</v>
      </c>
      <c r="H30" s="20">
        <f>H28*0.5</f>
        <v>112248.04911050419</v>
      </c>
    </row>
    <row r="31" spans="1:8" ht="15.75" x14ac:dyDescent="0.25">
      <c r="A31" t="s">
        <v>10</v>
      </c>
      <c r="C31" s="10">
        <f>C22-C24-C26-C28</f>
        <v>371142.75252100831</v>
      </c>
      <c r="H31" s="18"/>
    </row>
    <row r="32" spans="1:8" x14ac:dyDescent="0.25">
      <c r="H32" s="3"/>
    </row>
    <row r="33" spans="8:8" x14ac:dyDescent="0.25">
      <c r="H33" s="18"/>
    </row>
  </sheetData>
  <pageMargins left="0.7" right="0.7" top="0.75" bottom="0.75" header="0.3" footer="0.3"/>
</worksheet>
</file>

<file path=xl/worksheets/sheet5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FD1BB-895A-439B-B4B5-FB67A2136682}">
  <dimension ref="A1:H33"/>
  <sheetViews>
    <sheetView workbookViewId="0">
      <selection sqref="A1:XFD1048576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822</v>
      </c>
    </row>
    <row r="3" spans="1:8" ht="21" x14ac:dyDescent="0.35">
      <c r="A3" s="2" t="s">
        <v>1</v>
      </c>
      <c r="C3" s="11">
        <v>202300</v>
      </c>
      <c r="D3" s="11">
        <f>(C3/1.19)</f>
        <v>170000</v>
      </c>
      <c r="F3" s="12" t="s">
        <v>3</v>
      </c>
      <c r="H3" s="11">
        <f>D3*0.19</f>
        <v>32300</v>
      </c>
    </row>
    <row r="4" spans="1:8" x14ac:dyDescent="0.25">
      <c r="A4" s="13" t="s">
        <v>32</v>
      </c>
      <c r="C4" s="26" t="s">
        <v>823</v>
      </c>
    </row>
    <row r="5" spans="1:8" ht="21" x14ac:dyDescent="0.35">
      <c r="A5" s="2" t="s">
        <v>2</v>
      </c>
    </row>
    <row r="7" spans="1:8" ht="18.75" x14ac:dyDescent="0.3">
      <c r="D7" s="4"/>
      <c r="E7" s="25"/>
      <c r="H7" s="4">
        <f>(D7/1.19)*0.19</f>
        <v>0</v>
      </c>
    </row>
    <row r="8" spans="1:8" ht="18.75" x14ac:dyDescent="0.3">
      <c r="A8" s="5" t="s">
        <v>221</v>
      </c>
      <c r="C8" s="3"/>
      <c r="D8" s="28">
        <v>139000</v>
      </c>
      <c r="E8" s="25"/>
      <c r="H8" s="4">
        <f>D8*0.19</f>
        <v>26410</v>
      </c>
    </row>
    <row r="9" spans="1:8" ht="18.75" x14ac:dyDescent="0.3">
      <c r="A9" s="5"/>
      <c r="C9" s="3"/>
      <c r="D9" s="28"/>
      <c r="E9" s="25"/>
      <c r="H9" s="4">
        <f t="shared" ref="H9:H11" si="0">(D9/1.19)*0.19</f>
        <v>0</v>
      </c>
    </row>
    <row r="10" spans="1:8" ht="18.75" x14ac:dyDescent="0.3">
      <c r="A10" s="5"/>
      <c r="C10" s="3"/>
      <c r="D10" s="28"/>
      <c r="E10" s="25"/>
      <c r="H10" s="4">
        <f t="shared" si="0"/>
        <v>0</v>
      </c>
    </row>
    <row r="11" spans="1:8" ht="18.75" x14ac:dyDescent="0.3">
      <c r="A11" s="5"/>
      <c r="C11" s="3"/>
      <c r="D11" s="28"/>
      <c r="E11" s="25"/>
      <c r="H11" s="4">
        <f t="shared" si="0"/>
        <v>0</v>
      </c>
    </row>
    <row r="12" spans="1:8" ht="19.5" thickBot="1" x14ac:dyDescent="0.35">
      <c r="A12" s="5"/>
      <c r="C12" s="3"/>
      <c r="D12" s="22"/>
      <c r="E12" s="25"/>
      <c r="H12" s="22">
        <v>0</v>
      </c>
    </row>
    <row r="13" spans="1:8" ht="18.75" customHeight="1" x14ac:dyDescent="0.3">
      <c r="D13" s="4">
        <f>SUM(D7:D12)</f>
        <v>139000</v>
      </c>
      <c r="H13" s="4">
        <f>SUM(H7:H12)</f>
        <v>26410</v>
      </c>
    </row>
    <row r="14" spans="1:8" ht="18.75" x14ac:dyDescent="0.3">
      <c r="A14" s="5"/>
      <c r="C14" s="3"/>
      <c r="D14" s="4"/>
      <c r="H14" s="4"/>
    </row>
    <row r="16" spans="1:8" ht="18.75" x14ac:dyDescent="0.3">
      <c r="A16" s="5"/>
      <c r="C16" s="3"/>
      <c r="D16" s="4"/>
      <c r="H16" s="4"/>
    </row>
    <row r="17" spans="1:8" ht="15.75" thickBot="1" x14ac:dyDescent="0.3">
      <c r="D17" s="7"/>
      <c r="H17" s="7"/>
    </row>
    <row r="19" spans="1:8" ht="18.75" x14ac:dyDescent="0.3">
      <c r="C19" t="s">
        <v>4</v>
      </c>
      <c r="D19" s="4">
        <f>D3-D13</f>
        <v>31000</v>
      </c>
      <c r="G19" t="s">
        <v>5</v>
      </c>
      <c r="H19" s="4">
        <f>H3-H13</f>
        <v>5890</v>
      </c>
    </row>
    <row r="22" spans="1:8" ht="15.75" x14ac:dyDescent="0.25">
      <c r="A22" t="s">
        <v>6</v>
      </c>
      <c r="C22" s="8">
        <f>D19</f>
        <v>31000</v>
      </c>
      <c r="E22" t="s">
        <v>10</v>
      </c>
      <c r="H22" s="6">
        <f>C31</f>
        <v>24430</v>
      </c>
    </row>
    <row r="24" spans="1:8" ht="15.75" x14ac:dyDescent="0.25">
      <c r="A24" t="s">
        <v>5</v>
      </c>
      <c r="B24" s="9" t="s">
        <v>7</v>
      </c>
      <c r="C24" s="8">
        <f>H19</f>
        <v>5890</v>
      </c>
      <c r="E24" s="13" t="s">
        <v>11</v>
      </c>
      <c r="F24" s="9" t="s">
        <v>181</v>
      </c>
      <c r="G24" s="15" t="s">
        <v>17</v>
      </c>
      <c r="H24" s="3">
        <f>-(F25*0.0077)</f>
        <v>-1060.29</v>
      </c>
    </row>
    <row r="25" spans="1:8" x14ac:dyDescent="0.25">
      <c r="F25" s="21">
        <f>D3-H3</f>
        <v>137700</v>
      </c>
    </row>
    <row r="26" spans="1:8" ht="15.75" x14ac:dyDescent="0.25">
      <c r="A26" t="s">
        <v>8</v>
      </c>
      <c r="B26" s="9" t="s">
        <v>7</v>
      </c>
      <c r="C26" s="8">
        <f>D3*0.004</f>
        <v>680</v>
      </c>
      <c r="F26" s="9" t="s">
        <v>13</v>
      </c>
      <c r="G26" s="16">
        <v>0.35</v>
      </c>
      <c r="H26" s="29">
        <f>-(F27*0.35)</f>
        <v>-8550.5</v>
      </c>
    </row>
    <row r="27" spans="1:8" ht="15.75" thickBot="1" x14ac:dyDescent="0.3">
      <c r="F27" s="21">
        <f>H22</f>
        <v>24430</v>
      </c>
      <c r="H27" s="7"/>
    </row>
    <row r="28" spans="1:8" x14ac:dyDescent="0.25">
      <c r="A28" t="s">
        <v>769</v>
      </c>
      <c r="B28" s="9" t="s">
        <v>7</v>
      </c>
      <c r="C28" s="6"/>
      <c r="G28" s="13" t="s">
        <v>14</v>
      </c>
      <c r="H28" s="6">
        <f>H22+H24+H26</f>
        <v>14819.21</v>
      </c>
    </row>
    <row r="29" spans="1:8" ht="15.75" thickBot="1" x14ac:dyDescent="0.3">
      <c r="A29" s="16">
        <v>2.5000000000000001E-2</v>
      </c>
      <c r="B29" s="34" t="s">
        <v>770</v>
      </c>
      <c r="C29" s="7"/>
    </row>
    <row r="30" spans="1:8" x14ac:dyDescent="0.25">
      <c r="E30" t="s">
        <v>151</v>
      </c>
      <c r="H30" s="20">
        <f>H28*0.5</f>
        <v>7409.6049999999996</v>
      </c>
    </row>
    <row r="31" spans="1:8" ht="15.75" x14ac:dyDescent="0.25">
      <c r="A31" t="s">
        <v>10</v>
      </c>
      <c r="C31" s="10">
        <f>C22-C24-C26-C28</f>
        <v>24430</v>
      </c>
      <c r="H31" s="18"/>
    </row>
    <row r="32" spans="1:8" x14ac:dyDescent="0.25">
      <c r="H32" s="3"/>
    </row>
    <row r="33" spans="8:8" x14ac:dyDescent="0.25">
      <c r="H33" s="18"/>
    </row>
  </sheetData>
  <pageMargins left="0.7" right="0.7" top="0.75" bottom="0.75" header="0.3" footer="0.3"/>
</worksheet>
</file>

<file path=xl/worksheets/sheet5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F7E3F-B8E2-4EE7-A82A-3036DEB675A2}">
  <dimension ref="A1:H33"/>
  <sheetViews>
    <sheetView workbookViewId="0">
      <selection activeCell="C4" sqref="C4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824</v>
      </c>
    </row>
    <row r="3" spans="1:8" ht="21" x14ac:dyDescent="0.35">
      <c r="A3" s="2" t="s">
        <v>1</v>
      </c>
      <c r="C3" s="11">
        <v>35700</v>
      </c>
      <c r="D3" s="11">
        <f>(C3/1.19)</f>
        <v>30000</v>
      </c>
      <c r="F3" s="12" t="s">
        <v>3</v>
      </c>
      <c r="H3" s="11">
        <f>D3*0.19</f>
        <v>5700</v>
      </c>
    </row>
    <row r="4" spans="1:8" x14ac:dyDescent="0.25">
      <c r="A4" s="13" t="s">
        <v>32</v>
      </c>
      <c r="C4" s="26" t="s">
        <v>826</v>
      </c>
    </row>
    <row r="5" spans="1:8" ht="21" x14ac:dyDescent="0.35">
      <c r="A5" s="2" t="s">
        <v>2</v>
      </c>
    </row>
    <row r="7" spans="1:8" ht="18.75" x14ac:dyDescent="0.3">
      <c r="D7" s="4"/>
      <c r="E7" s="25"/>
      <c r="H7" s="4">
        <f>(D7/1.19)*0.19</f>
        <v>0</v>
      </c>
    </row>
    <row r="8" spans="1:8" ht="18.75" x14ac:dyDescent="0.3">
      <c r="A8" s="5" t="s">
        <v>221</v>
      </c>
      <c r="C8" s="3"/>
      <c r="D8" s="28">
        <v>22300</v>
      </c>
      <c r="E8" s="25"/>
      <c r="H8" s="4">
        <f>D8*0.19</f>
        <v>4237</v>
      </c>
    </row>
    <row r="9" spans="1:8" ht="18.75" x14ac:dyDescent="0.3">
      <c r="A9" s="5"/>
      <c r="C9" s="3"/>
      <c r="D9" s="28"/>
      <c r="E9" s="25"/>
      <c r="H9" s="4">
        <f t="shared" ref="H9:H11" si="0">(D9/1.19)*0.19</f>
        <v>0</v>
      </c>
    </row>
    <row r="10" spans="1:8" ht="18.75" x14ac:dyDescent="0.3">
      <c r="A10" s="5"/>
      <c r="C10" s="3"/>
      <c r="D10" s="28"/>
      <c r="E10" s="25"/>
      <c r="H10" s="4">
        <f t="shared" si="0"/>
        <v>0</v>
      </c>
    </row>
    <row r="11" spans="1:8" ht="18.75" x14ac:dyDescent="0.3">
      <c r="A11" s="5"/>
      <c r="C11" s="3"/>
      <c r="D11" s="28"/>
      <c r="E11" s="25"/>
      <c r="H11" s="4">
        <f t="shared" si="0"/>
        <v>0</v>
      </c>
    </row>
    <row r="12" spans="1:8" ht="19.5" thickBot="1" x14ac:dyDescent="0.35">
      <c r="A12" s="5"/>
      <c r="C12" s="3"/>
      <c r="D12" s="22"/>
      <c r="E12" s="25"/>
      <c r="H12" s="22">
        <v>0</v>
      </c>
    </row>
    <row r="13" spans="1:8" ht="18.75" customHeight="1" x14ac:dyDescent="0.3">
      <c r="D13" s="4">
        <f>SUM(D7:D12)</f>
        <v>22300</v>
      </c>
      <c r="H13" s="4">
        <f>SUM(H7:H12)</f>
        <v>4237</v>
      </c>
    </row>
    <row r="14" spans="1:8" ht="18.75" x14ac:dyDescent="0.3">
      <c r="A14" s="5"/>
      <c r="C14" s="3"/>
      <c r="D14" s="4"/>
      <c r="H14" s="4"/>
    </row>
    <row r="16" spans="1:8" ht="18.75" x14ac:dyDescent="0.3">
      <c r="A16" s="5"/>
      <c r="C16" s="3"/>
      <c r="D16" s="4"/>
      <c r="H16" s="4"/>
    </row>
    <row r="17" spans="1:8" ht="15.75" thickBot="1" x14ac:dyDescent="0.3">
      <c r="D17" s="7"/>
      <c r="H17" s="7"/>
    </row>
    <row r="19" spans="1:8" ht="18.75" x14ac:dyDescent="0.3">
      <c r="C19" t="s">
        <v>4</v>
      </c>
      <c r="D19" s="4">
        <f>D3-D13</f>
        <v>7700</v>
      </c>
      <c r="G19" t="s">
        <v>5</v>
      </c>
      <c r="H19" s="4">
        <f>H3-H13</f>
        <v>1463</v>
      </c>
    </row>
    <row r="22" spans="1:8" ht="15.75" x14ac:dyDescent="0.25">
      <c r="A22" t="s">
        <v>6</v>
      </c>
      <c r="C22" s="8">
        <f>D19</f>
        <v>7700</v>
      </c>
      <c r="E22" t="s">
        <v>10</v>
      </c>
      <c r="H22" s="6">
        <f>C31</f>
        <v>6117</v>
      </c>
    </row>
    <row r="24" spans="1:8" ht="15.75" x14ac:dyDescent="0.25">
      <c r="A24" t="s">
        <v>5</v>
      </c>
      <c r="B24" s="9" t="s">
        <v>7</v>
      </c>
      <c r="C24" s="8">
        <f>H19</f>
        <v>1463</v>
      </c>
      <c r="E24" s="13" t="s">
        <v>11</v>
      </c>
      <c r="F24" s="9" t="s">
        <v>181</v>
      </c>
      <c r="G24" s="15" t="s">
        <v>17</v>
      </c>
      <c r="H24" s="3">
        <f>-(F25*0.0077)</f>
        <v>-187.11</v>
      </c>
    </row>
    <row r="25" spans="1:8" x14ac:dyDescent="0.25">
      <c r="F25" s="21">
        <f>D3-H3</f>
        <v>24300</v>
      </c>
    </row>
    <row r="26" spans="1:8" ht="15.75" x14ac:dyDescent="0.25">
      <c r="A26" t="s">
        <v>8</v>
      </c>
      <c r="B26" s="9" t="s">
        <v>7</v>
      </c>
      <c r="C26" s="8">
        <f>D3*0.004</f>
        <v>120</v>
      </c>
      <c r="F26" s="9" t="s">
        <v>13</v>
      </c>
      <c r="G26" s="16">
        <v>0.35</v>
      </c>
      <c r="H26" s="29">
        <f>-(F27*0.35)</f>
        <v>-2140.9499999999998</v>
      </c>
    </row>
    <row r="27" spans="1:8" ht="15.75" thickBot="1" x14ac:dyDescent="0.3">
      <c r="F27" s="21">
        <f>H22</f>
        <v>6117</v>
      </c>
      <c r="H27" s="7"/>
    </row>
    <row r="28" spans="1:8" x14ac:dyDescent="0.25">
      <c r="A28" t="s">
        <v>769</v>
      </c>
      <c r="B28" s="9" t="s">
        <v>7</v>
      </c>
      <c r="C28" s="6"/>
      <c r="G28" s="13" t="s">
        <v>14</v>
      </c>
      <c r="H28" s="6">
        <f>H22+H24+H26</f>
        <v>3788.9400000000005</v>
      </c>
    </row>
    <row r="29" spans="1:8" ht="15.75" thickBot="1" x14ac:dyDescent="0.3">
      <c r="A29" s="16">
        <v>2.5000000000000001E-2</v>
      </c>
      <c r="B29" s="34" t="s">
        <v>770</v>
      </c>
      <c r="C29" s="7"/>
    </row>
    <row r="30" spans="1:8" x14ac:dyDescent="0.25">
      <c r="E30" t="s">
        <v>151</v>
      </c>
      <c r="H30" s="20">
        <f>H28*0.5</f>
        <v>1894.4700000000003</v>
      </c>
    </row>
    <row r="31" spans="1:8" ht="15.75" x14ac:dyDescent="0.25">
      <c r="A31" t="s">
        <v>10</v>
      </c>
      <c r="C31" s="10">
        <f>C22-C24-C26-C28</f>
        <v>6117</v>
      </c>
      <c r="H31" s="18"/>
    </row>
    <row r="32" spans="1:8" x14ac:dyDescent="0.25">
      <c r="H32" s="3"/>
    </row>
    <row r="33" spans="8:8" x14ac:dyDescent="0.25">
      <c r="H33" s="18"/>
    </row>
  </sheetData>
  <pageMargins left="0.7" right="0.7" top="0.75" bottom="0.75" header="0.3" footer="0.3"/>
</worksheet>
</file>

<file path=xl/worksheets/sheet5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D2F3F-6ABA-4D75-AA71-25C7C27E3DEE}">
  <dimension ref="A1:H33"/>
  <sheetViews>
    <sheetView workbookViewId="0">
      <selection sqref="A1:XFD1048576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825</v>
      </c>
    </row>
    <row r="3" spans="1:8" ht="21" x14ac:dyDescent="0.35">
      <c r="A3" s="2" t="s">
        <v>1</v>
      </c>
      <c r="C3" s="11">
        <v>750260</v>
      </c>
      <c r="D3" s="11">
        <f>(C3/1.19)</f>
        <v>630470.5882352941</v>
      </c>
      <c r="F3" s="12" t="s">
        <v>3</v>
      </c>
      <c r="H3" s="11">
        <f>D3*0.19</f>
        <v>119789.41176470587</v>
      </c>
    </row>
    <row r="4" spans="1:8" x14ac:dyDescent="0.25">
      <c r="A4" s="13" t="s">
        <v>32</v>
      </c>
      <c r="C4" s="26" t="s">
        <v>827</v>
      </c>
    </row>
    <row r="5" spans="1:8" ht="21" x14ac:dyDescent="0.35">
      <c r="A5" s="2" t="s">
        <v>2</v>
      </c>
    </row>
    <row r="7" spans="1:8" ht="18.75" x14ac:dyDescent="0.3">
      <c r="D7" s="4"/>
      <c r="E7" s="25"/>
      <c r="H7" s="4">
        <f>(D7/1.19)*0.19</f>
        <v>0</v>
      </c>
    </row>
    <row r="8" spans="1:8" ht="18.75" x14ac:dyDescent="0.3">
      <c r="A8" s="5" t="s">
        <v>221</v>
      </c>
      <c r="C8" s="3"/>
      <c r="D8" s="28">
        <v>396500</v>
      </c>
      <c r="E8" s="25"/>
      <c r="H8" s="4">
        <f>D8*0.19</f>
        <v>75335</v>
      </c>
    </row>
    <row r="9" spans="1:8" ht="18.75" x14ac:dyDescent="0.3">
      <c r="A9" s="5"/>
      <c r="C9" s="3"/>
      <c r="D9" s="28"/>
      <c r="E9" s="25"/>
      <c r="H9" s="4">
        <f t="shared" ref="H9:H11" si="0">(D9/1.19)*0.19</f>
        <v>0</v>
      </c>
    </row>
    <row r="10" spans="1:8" ht="18.75" x14ac:dyDescent="0.3">
      <c r="A10" s="5"/>
      <c r="C10" s="3"/>
      <c r="D10" s="28"/>
      <c r="E10" s="25"/>
      <c r="H10" s="4">
        <f t="shared" si="0"/>
        <v>0</v>
      </c>
    </row>
    <row r="11" spans="1:8" ht="18.75" x14ac:dyDescent="0.3">
      <c r="A11" s="5"/>
      <c r="C11" s="3"/>
      <c r="D11" s="28"/>
      <c r="E11" s="25"/>
      <c r="H11" s="4">
        <f t="shared" si="0"/>
        <v>0</v>
      </c>
    </row>
    <row r="12" spans="1:8" ht="19.5" thickBot="1" x14ac:dyDescent="0.35">
      <c r="A12" s="5"/>
      <c r="C12" s="3"/>
      <c r="D12" s="22"/>
      <c r="E12" s="25"/>
      <c r="H12" s="22">
        <v>0</v>
      </c>
    </row>
    <row r="13" spans="1:8" ht="18.75" customHeight="1" x14ac:dyDescent="0.3">
      <c r="D13" s="4">
        <f>SUM(D7:D12)</f>
        <v>396500</v>
      </c>
      <c r="H13" s="4">
        <f>SUM(H7:H12)</f>
        <v>75335</v>
      </c>
    </row>
    <row r="14" spans="1:8" ht="18.75" x14ac:dyDescent="0.3">
      <c r="A14" s="5"/>
      <c r="C14" s="3"/>
      <c r="D14" s="4"/>
      <c r="H14" s="4"/>
    </row>
    <row r="16" spans="1:8" ht="18.75" x14ac:dyDescent="0.3">
      <c r="A16" s="5"/>
      <c r="C16" s="3"/>
      <c r="D16" s="4"/>
      <c r="H16" s="4"/>
    </row>
    <row r="17" spans="1:8" ht="15.75" thickBot="1" x14ac:dyDescent="0.3">
      <c r="D17" s="7"/>
      <c r="H17" s="7"/>
    </row>
    <row r="19" spans="1:8" ht="18.75" x14ac:dyDescent="0.3">
      <c r="C19" t="s">
        <v>4</v>
      </c>
      <c r="D19" s="4">
        <f>D3-D13</f>
        <v>233970.5882352941</v>
      </c>
      <c r="G19" t="s">
        <v>5</v>
      </c>
      <c r="H19" s="4">
        <f>H3-H13</f>
        <v>44454.411764705874</v>
      </c>
    </row>
    <row r="22" spans="1:8" ht="15.75" x14ac:dyDescent="0.25">
      <c r="A22" t="s">
        <v>6</v>
      </c>
      <c r="C22" s="8">
        <f>D19</f>
        <v>233970.5882352941</v>
      </c>
      <c r="E22" t="s">
        <v>10</v>
      </c>
      <c r="H22" s="6">
        <f>C31</f>
        <v>186994.29411764705</v>
      </c>
    </row>
    <row r="24" spans="1:8" ht="15.75" x14ac:dyDescent="0.25">
      <c r="A24" t="s">
        <v>5</v>
      </c>
      <c r="B24" s="9" t="s">
        <v>7</v>
      </c>
      <c r="C24" s="8">
        <f>H19</f>
        <v>44454.411764705874</v>
      </c>
      <c r="E24" s="13" t="s">
        <v>11</v>
      </c>
      <c r="F24" s="9" t="s">
        <v>181</v>
      </c>
      <c r="G24" s="15" t="s">
        <v>17</v>
      </c>
      <c r="H24" s="3">
        <f>-(F25*0.0077)</f>
        <v>-3932.2450588235292</v>
      </c>
    </row>
    <row r="25" spans="1:8" x14ac:dyDescent="0.25">
      <c r="F25" s="21">
        <f>D3-H3</f>
        <v>510681.17647058819</v>
      </c>
    </row>
    <row r="26" spans="1:8" ht="15.75" x14ac:dyDescent="0.25">
      <c r="A26" t="s">
        <v>8</v>
      </c>
      <c r="B26" s="9" t="s">
        <v>7</v>
      </c>
      <c r="C26" s="8">
        <f>D3*0.004</f>
        <v>2521.8823529411766</v>
      </c>
      <c r="F26" s="9" t="s">
        <v>13</v>
      </c>
      <c r="G26" s="16">
        <v>0.35</v>
      </c>
      <c r="H26" s="29">
        <f>-(F27*0.35)</f>
        <v>-65448.002941176463</v>
      </c>
    </row>
    <row r="27" spans="1:8" ht="15.75" thickBot="1" x14ac:dyDescent="0.3">
      <c r="F27" s="21">
        <f>H22</f>
        <v>186994.29411764705</v>
      </c>
      <c r="H27" s="7"/>
    </row>
    <row r="28" spans="1:8" x14ac:dyDescent="0.25">
      <c r="A28" t="s">
        <v>769</v>
      </c>
      <c r="B28" s="9" t="s">
        <v>7</v>
      </c>
      <c r="C28" s="6"/>
      <c r="G28" s="13" t="s">
        <v>14</v>
      </c>
      <c r="H28" s="6">
        <f>H22+H24+H26</f>
        <v>117614.04611764706</v>
      </c>
    </row>
    <row r="29" spans="1:8" ht="15.75" thickBot="1" x14ac:dyDescent="0.3">
      <c r="A29" s="16">
        <v>2.5000000000000001E-2</v>
      </c>
      <c r="B29" s="34" t="s">
        <v>770</v>
      </c>
      <c r="C29" s="7"/>
    </row>
    <row r="30" spans="1:8" x14ac:dyDescent="0.25">
      <c r="E30" t="s">
        <v>151</v>
      </c>
      <c r="H30" s="20">
        <f>H28*0.5</f>
        <v>58807.023058823528</v>
      </c>
    </row>
    <row r="31" spans="1:8" ht="15.75" x14ac:dyDescent="0.25">
      <c r="A31" t="s">
        <v>10</v>
      </c>
      <c r="C31" s="10">
        <f>C22-C24-C26-C28</f>
        <v>186994.29411764705</v>
      </c>
      <c r="H31" s="18"/>
    </row>
    <row r="32" spans="1:8" x14ac:dyDescent="0.25">
      <c r="H32" s="3"/>
    </row>
    <row r="33" spans="8:8" x14ac:dyDescent="0.25">
      <c r="H33" s="18"/>
    </row>
  </sheetData>
  <pageMargins left="0.7" right="0.7" top="0.75" bottom="0.75" header="0.3" footer="0.3"/>
</worksheet>
</file>

<file path=xl/worksheets/sheet5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B579F-774B-4596-8B26-3285F8D8D15A}">
  <dimension ref="A1:H33"/>
  <sheetViews>
    <sheetView workbookViewId="0">
      <selection sqref="A1:XFD1048576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828</v>
      </c>
    </row>
    <row r="3" spans="1:8" ht="21" x14ac:dyDescent="0.35">
      <c r="A3" s="2" t="s">
        <v>1</v>
      </c>
      <c r="C3" s="11">
        <v>785400</v>
      </c>
      <c r="D3" s="11">
        <f>(C3/1.19)</f>
        <v>660000</v>
      </c>
      <c r="F3" s="12" t="s">
        <v>3</v>
      </c>
      <c r="H3" s="11">
        <f>D3*0.19</f>
        <v>125400</v>
      </c>
    </row>
    <row r="4" spans="1:8" x14ac:dyDescent="0.25">
      <c r="A4" s="13" t="s">
        <v>32</v>
      </c>
      <c r="C4" s="26" t="s">
        <v>829</v>
      </c>
    </row>
    <row r="5" spans="1:8" ht="21" x14ac:dyDescent="0.35">
      <c r="A5" s="2" t="s">
        <v>2</v>
      </c>
    </row>
    <row r="7" spans="1:8" ht="18.75" x14ac:dyDescent="0.3">
      <c r="D7" s="4"/>
      <c r="E7" s="25"/>
      <c r="H7" s="4"/>
    </row>
    <row r="8" spans="1:8" ht="18.75" x14ac:dyDescent="0.3">
      <c r="A8" s="5" t="s">
        <v>221</v>
      </c>
      <c r="C8" s="3"/>
      <c r="D8" s="28">
        <v>530895</v>
      </c>
      <c r="E8" s="25"/>
      <c r="H8" s="4">
        <f>D8*0.19</f>
        <v>100870.05</v>
      </c>
    </row>
    <row r="9" spans="1:8" ht="18.75" x14ac:dyDescent="0.3">
      <c r="A9" s="5" t="s">
        <v>39</v>
      </c>
      <c r="C9" s="3"/>
      <c r="D9" s="28">
        <v>36000</v>
      </c>
      <c r="E9" s="25"/>
      <c r="H9" s="4">
        <v>0</v>
      </c>
    </row>
    <row r="10" spans="1:8" ht="18.75" x14ac:dyDescent="0.3">
      <c r="A10" s="5"/>
      <c r="C10" s="3"/>
      <c r="D10" s="28"/>
      <c r="E10" s="25"/>
      <c r="H10" s="4">
        <f t="shared" ref="H9:H11" si="0">(D10/1.19)*0.19</f>
        <v>0</v>
      </c>
    </row>
    <row r="11" spans="1:8" ht="18.75" x14ac:dyDescent="0.3">
      <c r="A11" s="5"/>
      <c r="C11" s="3"/>
      <c r="D11" s="28"/>
      <c r="E11" s="25"/>
      <c r="H11" s="4">
        <f t="shared" si="0"/>
        <v>0</v>
      </c>
    </row>
    <row r="12" spans="1:8" ht="19.5" thickBot="1" x14ac:dyDescent="0.35">
      <c r="A12" s="5"/>
      <c r="C12" s="3"/>
      <c r="D12" s="22"/>
      <c r="E12" s="25"/>
      <c r="H12" s="22">
        <v>0</v>
      </c>
    </row>
    <row r="13" spans="1:8" ht="18.75" customHeight="1" x14ac:dyDescent="0.3">
      <c r="D13" s="4">
        <f>SUM(D7:D12)</f>
        <v>566895</v>
      </c>
      <c r="H13" s="4">
        <f>SUM(H7:H12)</f>
        <v>100870.05</v>
      </c>
    </row>
    <row r="14" spans="1:8" ht="18.75" x14ac:dyDescent="0.3">
      <c r="A14" s="5"/>
      <c r="C14" s="3"/>
      <c r="D14" s="4"/>
      <c r="H14" s="4"/>
    </row>
    <row r="16" spans="1:8" ht="18.75" x14ac:dyDescent="0.3">
      <c r="A16" s="5"/>
      <c r="C16" s="3"/>
      <c r="D16" s="4"/>
      <c r="H16" s="4"/>
    </row>
    <row r="17" spans="1:8" ht="15.75" thickBot="1" x14ac:dyDescent="0.3">
      <c r="D17" s="7"/>
      <c r="H17" s="7"/>
    </row>
    <row r="19" spans="1:8" ht="18.75" x14ac:dyDescent="0.3">
      <c r="C19" t="s">
        <v>4</v>
      </c>
      <c r="D19" s="4">
        <f>D3-D13</f>
        <v>93105</v>
      </c>
      <c r="G19" t="s">
        <v>5</v>
      </c>
      <c r="H19" s="4">
        <f>H3-H13</f>
        <v>24529.949999999997</v>
      </c>
    </row>
    <row r="22" spans="1:8" ht="15.75" x14ac:dyDescent="0.25">
      <c r="A22" t="s">
        <v>6</v>
      </c>
      <c r="C22" s="8">
        <f>D19</f>
        <v>93105</v>
      </c>
      <c r="E22" t="s">
        <v>10</v>
      </c>
      <c r="H22" s="6">
        <f>C31</f>
        <v>65935.05</v>
      </c>
    </row>
    <row r="24" spans="1:8" ht="15.75" x14ac:dyDescent="0.25">
      <c r="A24" t="s">
        <v>5</v>
      </c>
      <c r="B24" s="9" t="s">
        <v>7</v>
      </c>
      <c r="C24" s="8">
        <f>H19</f>
        <v>24529.949999999997</v>
      </c>
      <c r="E24" s="13" t="s">
        <v>11</v>
      </c>
      <c r="F24" s="9" t="s">
        <v>181</v>
      </c>
      <c r="G24" s="15" t="s">
        <v>17</v>
      </c>
      <c r="H24" s="3">
        <f>-(F25*0.0077)</f>
        <v>-4116.42</v>
      </c>
    </row>
    <row r="25" spans="1:8" x14ac:dyDescent="0.25">
      <c r="F25" s="21">
        <f>D3-H3</f>
        <v>534600</v>
      </c>
    </row>
    <row r="26" spans="1:8" ht="15.75" x14ac:dyDescent="0.25">
      <c r="A26" t="s">
        <v>8</v>
      </c>
      <c r="B26" s="9" t="s">
        <v>7</v>
      </c>
      <c r="C26" s="8">
        <f>D3*0.004</f>
        <v>2640</v>
      </c>
      <c r="F26" s="9" t="s">
        <v>13</v>
      </c>
      <c r="G26" s="16">
        <v>0.35</v>
      </c>
      <c r="H26" s="29">
        <f>-(F27*0.35)</f>
        <v>-23077.267499999998</v>
      </c>
    </row>
    <row r="27" spans="1:8" ht="15.75" thickBot="1" x14ac:dyDescent="0.3">
      <c r="F27" s="21">
        <f>H22</f>
        <v>65935.05</v>
      </c>
      <c r="H27" s="7"/>
    </row>
    <row r="28" spans="1:8" x14ac:dyDescent="0.25">
      <c r="A28" t="s">
        <v>769</v>
      </c>
      <c r="B28" s="9" t="s">
        <v>7</v>
      </c>
      <c r="C28" s="6"/>
      <c r="G28" s="13" t="s">
        <v>14</v>
      </c>
      <c r="H28" s="6">
        <f>H22+H24+H26</f>
        <v>38741.362500000003</v>
      </c>
    </row>
    <row r="29" spans="1:8" ht="15.75" thickBot="1" x14ac:dyDescent="0.3">
      <c r="A29" s="16">
        <v>2.5000000000000001E-2</v>
      </c>
      <c r="B29" s="34" t="s">
        <v>770</v>
      </c>
      <c r="C29" s="7"/>
    </row>
    <row r="30" spans="1:8" x14ac:dyDescent="0.25">
      <c r="E30" t="s">
        <v>151</v>
      </c>
      <c r="H30" s="20">
        <f>H28*0.5</f>
        <v>19370.681250000001</v>
      </c>
    </row>
    <row r="31" spans="1:8" ht="15.75" x14ac:dyDescent="0.25">
      <c r="A31" t="s">
        <v>10</v>
      </c>
      <c r="C31" s="10">
        <f>C22-C24-C26-C28</f>
        <v>65935.05</v>
      </c>
      <c r="H31" s="18"/>
    </row>
    <row r="32" spans="1:8" x14ac:dyDescent="0.25">
      <c r="H32" s="3"/>
    </row>
    <row r="33" spans="8:8" x14ac:dyDescent="0.25">
      <c r="H33" s="18"/>
    </row>
  </sheetData>
  <pageMargins left="0.7" right="0.7" top="0.75" bottom="0.75" header="0.3" footer="0.3"/>
</worksheet>
</file>

<file path=xl/worksheets/sheet5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B2203-0F0D-4477-9CE9-2FDBD8D751AA}">
  <dimension ref="A1:H33"/>
  <sheetViews>
    <sheetView workbookViewId="0">
      <selection sqref="A1:XFD1048576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830</v>
      </c>
    </row>
    <row r="3" spans="1:8" ht="21" x14ac:dyDescent="0.35">
      <c r="A3" s="2" t="s">
        <v>1</v>
      </c>
      <c r="C3" s="11">
        <v>803850</v>
      </c>
      <c r="D3" s="11">
        <f>(C3/1.19)</f>
        <v>675504.20168067235</v>
      </c>
      <c r="F3" s="12" t="s">
        <v>3</v>
      </c>
      <c r="H3" s="11">
        <f>D3*0.19</f>
        <v>128345.79831932775</v>
      </c>
    </row>
    <row r="4" spans="1:8" x14ac:dyDescent="0.25">
      <c r="A4" s="13" t="s">
        <v>32</v>
      </c>
      <c r="C4" s="26" t="s">
        <v>831</v>
      </c>
    </row>
    <row r="5" spans="1:8" ht="21" x14ac:dyDescent="0.35">
      <c r="A5" s="2" t="s">
        <v>2</v>
      </c>
    </row>
    <row r="7" spans="1:8" ht="18.75" x14ac:dyDescent="0.3">
      <c r="D7" s="4"/>
      <c r="E7" s="25"/>
      <c r="H7" s="4"/>
    </row>
    <row r="8" spans="1:8" ht="18.75" x14ac:dyDescent="0.3">
      <c r="A8" s="5" t="s">
        <v>221</v>
      </c>
      <c r="C8" s="3"/>
      <c r="D8" s="28">
        <v>540000</v>
      </c>
      <c r="E8" s="25"/>
      <c r="H8" s="4">
        <f>D8*0.19</f>
        <v>102600</v>
      </c>
    </row>
    <row r="9" spans="1:8" ht="18.75" x14ac:dyDescent="0.3">
      <c r="A9" s="5"/>
      <c r="C9" s="3"/>
      <c r="D9" s="28"/>
      <c r="E9" s="25"/>
      <c r="H9" s="4">
        <v>0</v>
      </c>
    </row>
    <row r="10" spans="1:8" ht="18.75" x14ac:dyDescent="0.3">
      <c r="A10" s="5"/>
      <c r="C10" s="3"/>
      <c r="D10" s="28"/>
      <c r="E10" s="25"/>
      <c r="H10" s="4">
        <f t="shared" ref="H10:H12" si="0">(D10/1.19)*0.19</f>
        <v>0</v>
      </c>
    </row>
    <row r="11" spans="1:8" ht="18.75" x14ac:dyDescent="0.3">
      <c r="A11" s="5"/>
      <c r="C11" s="3"/>
      <c r="D11" s="28"/>
      <c r="E11" s="25"/>
      <c r="H11" s="4">
        <f t="shared" si="0"/>
        <v>0</v>
      </c>
    </row>
    <row r="12" spans="1:8" ht="19.5" thickBot="1" x14ac:dyDescent="0.35">
      <c r="A12" s="5"/>
      <c r="C12" s="3"/>
      <c r="D12" s="22"/>
      <c r="E12" s="25"/>
      <c r="H12" s="22">
        <v>0</v>
      </c>
    </row>
    <row r="13" spans="1:8" ht="18.75" customHeight="1" x14ac:dyDescent="0.3">
      <c r="D13" s="4">
        <f>SUM(D7:D12)</f>
        <v>540000</v>
      </c>
      <c r="H13" s="4">
        <f>SUM(H7:H12)</f>
        <v>102600</v>
      </c>
    </row>
    <row r="14" spans="1:8" ht="18.75" x14ac:dyDescent="0.3">
      <c r="A14" s="5"/>
      <c r="C14" s="3"/>
      <c r="D14" s="4"/>
      <c r="H14" s="4"/>
    </row>
    <row r="16" spans="1:8" ht="18.75" x14ac:dyDescent="0.3">
      <c r="A16" s="5"/>
      <c r="C16" s="3"/>
      <c r="D16" s="4"/>
      <c r="H16" s="4"/>
    </row>
    <row r="17" spans="1:8" ht="15.75" thickBot="1" x14ac:dyDescent="0.3">
      <c r="D17" s="7"/>
      <c r="H17" s="7"/>
    </row>
    <row r="19" spans="1:8" ht="18.75" x14ac:dyDescent="0.3">
      <c r="C19" t="s">
        <v>4</v>
      </c>
      <c r="D19" s="4">
        <f>D3-D13</f>
        <v>135504.20168067235</v>
      </c>
      <c r="G19" t="s">
        <v>5</v>
      </c>
      <c r="H19" s="4">
        <f>H3-H13</f>
        <v>25745.798319327747</v>
      </c>
    </row>
    <row r="22" spans="1:8" ht="15.75" x14ac:dyDescent="0.25">
      <c r="A22" t="s">
        <v>6</v>
      </c>
      <c r="C22" s="8">
        <f>D19</f>
        <v>135504.20168067235</v>
      </c>
      <c r="E22" t="s">
        <v>10</v>
      </c>
      <c r="H22" s="6">
        <f>C31</f>
        <v>107056.38655462192</v>
      </c>
    </row>
    <row r="24" spans="1:8" ht="15.75" x14ac:dyDescent="0.25">
      <c r="A24" t="s">
        <v>5</v>
      </c>
      <c r="B24" s="9" t="s">
        <v>7</v>
      </c>
      <c r="C24" s="8">
        <f>H19</f>
        <v>25745.798319327747</v>
      </c>
      <c r="E24" s="13" t="s">
        <v>11</v>
      </c>
      <c r="F24" s="9" t="s">
        <v>181</v>
      </c>
      <c r="G24" s="15" t="s">
        <v>17</v>
      </c>
      <c r="H24" s="3">
        <f>-(F25*0.0077)</f>
        <v>-4213.1197058823536</v>
      </c>
    </row>
    <row r="25" spans="1:8" x14ac:dyDescent="0.25">
      <c r="F25" s="21">
        <f>D3-H3</f>
        <v>547158.40336134459</v>
      </c>
    </row>
    <row r="26" spans="1:8" ht="15.75" x14ac:dyDescent="0.25">
      <c r="A26" t="s">
        <v>8</v>
      </c>
      <c r="B26" s="9" t="s">
        <v>7</v>
      </c>
      <c r="C26" s="8">
        <f>D3*0.004</f>
        <v>2702.0168067226896</v>
      </c>
      <c r="F26" s="9" t="s">
        <v>13</v>
      </c>
      <c r="G26" s="16">
        <v>0.35</v>
      </c>
      <c r="H26" s="29">
        <f>-(F27*0.35)</f>
        <v>-37469.735294117665</v>
      </c>
    </row>
    <row r="27" spans="1:8" ht="15.75" thickBot="1" x14ac:dyDescent="0.3">
      <c r="F27" s="21">
        <f>H22</f>
        <v>107056.38655462192</v>
      </c>
      <c r="H27" s="7"/>
    </row>
    <row r="28" spans="1:8" x14ac:dyDescent="0.25">
      <c r="A28" t="s">
        <v>769</v>
      </c>
      <c r="B28" s="9" t="s">
        <v>7</v>
      </c>
      <c r="C28" s="6"/>
      <c r="G28" s="13" t="s">
        <v>14</v>
      </c>
      <c r="H28" s="6">
        <f>H22+H24+H26</f>
        <v>65373.531554621892</v>
      </c>
    </row>
    <row r="29" spans="1:8" ht="15.75" thickBot="1" x14ac:dyDescent="0.3">
      <c r="A29" s="16">
        <v>2.5000000000000001E-2</v>
      </c>
      <c r="B29" s="34" t="s">
        <v>770</v>
      </c>
      <c r="C29" s="7"/>
    </row>
    <row r="30" spans="1:8" x14ac:dyDescent="0.25">
      <c r="E30" t="s">
        <v>151</v>
      </c>
      <c r="H30" s="20">
        <f>H28*0.5</f>
        <v>32686.765777310946</v>
      </c>
    </row>
    <row r="31" spans="1:8" ht="15.75" x14ac:dyDescent="0.25">
      <c r="A31" t="s">
        <v>10</v>
      </c>
      <c r="C31" s="10">
        <f>C22-C24-C26-C28</f>
        <v>107056.38655462192</v>
      </c>
      <c r="H31" s="18"/>
    </row>
    <row r="32" spans="1:8" x14ac:dyDescent="0.25">
      <c r="H32" s="3"/>
    </row>
    <row r="33" spans="8:8" x14ac:dyDescent="0.25">
      <c r="H33" s="18"/>
    </row>
  </sheetData>
  <pageMargins left="0.7" right="0.7" top="0.75" bottom="0.75" header="0.3" footer="0.3"/>
</worksheet>
</file>

<file path=xl/worksheets/sheet5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D8AE0-AF88-40CE-817C-35BD5985F22C}">
  <dimension ref="A1:H33"/>
  <sheetViews>
    <sheetView workbookViewId="0">
      <selection sqref="A1:XFD1048576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793</v>
      </c>
    </row>
    <row r="3" spans="1:8" ht="21" x14ac:dyDescent="0.35">
      <c r="A3" s="2" t="s">
        <v>1</v>
      </c>
      <c r="C3" s="11">
        <v>1631000</v>
      </c>
      <c r="D3" s="11">
        <f>(C3/1.19)</f>
        <v>1370588.2352941176</v>
      </c>
      <c r="F3" s="12" t="s">
        <v>3</v>
      </c>
      <c r="H3" s="11">
        <f>D3*0.19</f>
        <v>260411.76470588235</v>
      </c>
    </row>
    <row r="4" spans="1:8" x14ac:dyDescent="0.25">
      <c r="A4" s="13" t="s">
        <v>32</v>
      </c>
      <c r="C4" s="26" t="s">
        <v>832</v>
      </c>
    </row>
    <row r="5" spans="1:8" ht="21" x14ac:dyDescent="0.35">
      <c r="A5" s="2" t="s">
        <v>2</v>
      </c>
    </row>
    <row r="7" spans="1:8" ht="18.75" x14ac:dyDescent="0.3">
      <c r="D7" s="4"/>
      <c r="E7" s="25"/>
      <c r="H7" s="4"/>
    </row>
    <row r="8" spans="1:8" ht="18.75" x14ac:dyDescent="0.3">
      <c r="A8" s="5" t="s">
        <v>221</v>
      </c>
      <c r="C8" s="3"/>
      <c r="D8" s="28">
        <v>1225881</v>
      </c>
      <c r="E8" s="25"/>
      <c r="H8" s="4">
        <f>D8*0.19</f>
        <v>232917.39</v>
      </c>
    </row>
    <row r="9" spans="1:8" ht="18.75" x14ac:dyDescent="0.3">
      <c r="A9" s="5"/>
      <c r="C9" s="3"/>
      <c r="D9" s="28"/>
      <c r="E9" s="25"/>
      <c r="H9" s="4">
        <v>0</v>
      </c>
    </row>
    <row r="10" spans="1:8" ht="18.75" x14ac:dyDescent="0.3">
      <c r="A10" s="5"/>
      <c r="C10" s="3"/>
      <c r="D10" s="28"/>
      <c r="E10" s="25"/>
      <c r="H10" s="4">
        <f t="shared" ref="H10:H12" si="0">(D10/1.19)*0.19</f>
        <v>0</v>
      </c>
    </row>
    <row r="11" spans="1:8" ht="18.75" x14ac:dyDescent="0.3">
      <c r="A11" s="5"/>
      <c r="C11" s="3"/>
      <c r="D11" s="28"/>
      <c r="E11" s="25"/>
      <c r="H11" s="4">
        <f t="shared" si="0"/>
        <v>0</v>
      </c>
    </row>
    <row r="12" spans="1:8" ht="19.5" thickBot="1" x14ac:dyDescent="0.35">
      <c r="A12" s="5"/>
      <c r="C12" s="3"/>
      <c r="D12" s="22"/>
      <c r="E12" s="25"/>
      <c r="H12" s="22">
        <v>0</v>
      </c>
    </row>
    <row r="13" spans="1:8" ht="18.75" customHeight="1" x14ac:dyDescent="0.3">
      <c r="D13" s="4">
        <f>SUM(D7:D12)</f>
        <v>1225881</v>
      </c>
      <c r="H13" s="4">
        <f>SUM(H7:H12)</f>
        <v>232917.39</v>
      </c>
    </row>
    <row r="14" spans="1:8" ht="18.75" x14ac:dyDescent="0.3">
      <c r="A14" s="5"/>
      <c r="C14" s="3"/>
      <c r="D14" s="4"/>
      <c r="H14" s="4"/>
    </row>
    <row r="16" spans="1:8" ht="18.75" x14ac:dyDescent="0.3">
      <c r="A16" s="5"/>
      <c r="C16" s="3"/>
      <c r="D16" s="4"/>
      <c r="H16" s="4"/>
    </row>
    <row r="17" spans="1:8" ht="15.75" thickBot="1" x14ac:dyDescent="0.3">
      <c r="D17" s="7"/>
      <c r="H17" s="7"/>
    </row>
    <row r="19" spans="1:8" ht="18.75" x14ac:dyDescent="0.3">
      <c r="C19" t="s">
        <v>4</v>
      </c>
      <c r="D19" s="4">
        <f>D3-D13</f>
        <v>144707.23529411759</v>
      </c>
      <c r="G19" t="s">
        <v>5</v>
      </c>
      <c r="H19" s="4">
        <f>H3-H13</f>
        <v>27494.374705882336</v>
      </c>
    </row>
    <row r="22" spans="1:8" ht="15.75" x14ac:dyDescent="0.25">
      <c r="A22" t="s">
        <v>6</v>
      </c>
      <c r="C22" s="8">
        <f>D19</f>
        <v>144707.23529411759</v>
      </c>
      <c r="E22" t="s">
        <v>10</v>
      </c>
      <c r="H22" s="6">
        <f>C31</f>
        <v>111730.50764705878</v>
      </c>
    </row>
    <row r="24" spans="1:8" ht="15.75" x14ac:dyDescent="0.25">
      <c r="A24" t="s">
        <v>5</v>
      </c>
      <c r="B24" s="9" t="s">
        <v>7</v>
      </c>
      <c r="C24" s="8">
        <f>H19</f>
        <v>27494.374705882336</v>
      </c>
      <c r="E24" s="13" t="s">
        <v>11</v>
      </c>
      <c r="F24" s="9" t="s">
        <v>181</v>
      </c>
      <c r="G24" s="15" t="s">
        <v>17</v>
      </c>
      <c r="H24" s="3">
        <f>-(F25*0.0077)</f>
        <v>-8548.3588235294119</v>
      </c>
    </row>
    <row r="25" spans="1:8" x14ac:dyDescent="0.25">
      <c r="F25" s="21">
        <f>D3-H3</f>
        <v>1110176.4705882352</v>
      </c>
    </row>
    <row r="26" spans="1:8" ht="15.75" x14ac:dyDescent="0.25">
      <c r="A26" t="s">
        <v>8</v>
      </c>
      <c r="B26" s="9" t="s">
        <v>7</v>
      </c>
      <c r="C26" s="8">
        <f>D3*0.004</f>
        <v>5482.3529411764703</v>
      </c>
      <c r="F26" s="9" t="s">
        <v>13</v>
      </c>
      <c r="G26" s="16">
        <v>0.35</v>
      </c>
      <c r="H26" s="29">
        <f>-(F27*0.35)</f>
        <v>-39105.677676470572</v>
      </c>
    </row>
    <row r="27" spans="1:8" ht="15.75" thickBot="1" x14ac:dyDescent="0.3">
      <c r="F27" s="21">
        <f>H22</f>
        <v>111730.50764705878</v>
      </c>
      <c r="H27" s="7"/>
    </row>
    <row r="28" spans="1:8" x14ac:dyDescent="0.25">
      <c r="A28" t="s">
        <v>769</v>
      </c>
      <c r="B28" s="9" t="s">
        <v>7</v>
      </c>
      <c r="C28" s="6"/>
      <c r="G28" s="13" t="s">
        <v>14</v>
      </c>
      <c r="H28" s="6">
        <f>H22+H24+H26</f>
        <v>64076.471147058794</v>
      </c>
    </row>
    <row r="29" spans="1:8" ht="15.75" thickBot="1" x14ac:dyDescent="0.3">
      <c r="A29" s="16">
        <v>2.5000000000000001E-2</v>
      </c>
      <c r="B29" s="34" t="s">
        <v>770</v>
      </c>
      <c r="C29" s="7"/>
    </row>
    <row r="30" spans="1:8" x14ac:dyDescent="0.25">
      <c r="E30" t="s">
        <v>151</v>
      </c>
      <c r="H30" s="20">
        <f>H28*0.5</f>
        <v>32038.235573529397</v>
      </c>
    </row>
    <row r="31" spans="1:8" ht="15.75" x14ac:dyDescent="0.25">
      <c r="A31" t="s">
        <v>10</v>
      </c>
      <c r="C31" s="10">
        <f>C22-C24-C26-C28</f>
        <v>111730.50764705878</v>
      </c>
      <c r="H31" s="18"/>
    </row>
    <row r="32" spans="1:8" x14ac:dyDescent="0.25">
      <c r="H32" s="3"/>
    </row>
    <row r="33" spans="8:8" x14ac:dyDescent="0.25">
      <c r="H33" s="18"/>
    </row>
  </sheetData>
  <pageMargins left="0.7" right="0.7" top="0.75" bottom="0.75" header="0.3" footer="0.3"/>
</worksheet>
</file>

<file path=xl/worksheets/sheet5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22655-D954-4D88-BBDC-EC9F6B8F5736}">
  <dimension ref="A1:H33"/>
  <sheetViews>
    <sheetView workbookViewId="0">
      <selection sqref="A1:XFD1048576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833</v>
      </c>
    </row>
    <row r="3" spans="1:8" ht="21" x14ac:dyDescent="0.35">
      <c r="A3" s="2" t="s">
        <v>1</v>
      </c>
      <c r="C3" s="11">
        <v>242185</v>
      </c>
      <c r="D3" s="11">
        <f>(C3/1.19)</f>
        <v>203516.80672268907</v>
      </c>
      <c r="F3" s="12" t="s">
        <v>3</v>
      </c>
      <c r="H3" s="11">
        <f>D3*0.19</f>
        <v>38668.193277310922</v>
      </c>
    </row>
    <row r="4" spans="1:8" x14ac:dyDescent="0.25">
      <c r="A4" s="13" t="s">
        <v>32</v>
      </c>
      <c r="C4" s="26" t="s">
        <v>834</v>
      </c>
    </row>
    <row r="5" spans="1:8" ht="21" x14ac:dyDescent="0.35">
      <c r="A5" s="2" t="s">
        <v>2</v>
      </c>
    </row>
    <row r="7" spans="1:8" ht="18.75" x14ac:dyDescent="0.3">
      <c r="D7" s="4"/>
      <c r="E7" s="25"/>
      <c r="H7" s="4"/>
    </row>
    <row r="8" spans="1:8" ht="18.75" x14ac:dyDescent="0.3">
      <c r="A8" s="5" t="s">
        <v>221</v>
      </c>
      <c r="C8" s="3"/>
      <c r="D8" s="28">
        <v>133919</v>
      </c>
      <c r="E8" s="25"/>
      <c r="H8" s="4">
        <f>D8*0.19</f>
        <v>25444.61</v>
      </c>
    </row>
    <row r="9" spans="1:8" ht="18.75" x14ac:dyDescent="0.3">
      <c r="A9" s="5"/>
      <c r="C9" s="3"/>
      <c r="D9" s="28"/>
      <c r="E9" s="25"/>
      <c r="H9" s="4">
        <v>0</v>
      </c>
    </row>
    <row r="10" spans="1:8" ht="18.75" x14ac:dyDescent="0.3">
      <c r="A10" s="5"/>
      <c r="C10" s="3"/>
      <c r="D10" s="28"/>
      <c r="E10" s="25"/>
      <c r="H10" s="4">
        <f t="shared" ref="H10:H12" si="0">(D10/1.19)*0.19</f>
        <v>0</v>
      </c>
    </row>
    <row r="11" spans="1:8" ht="18.75" x14ac:dyDescent="0.3">
      <c r="A11" s="5"/>
      <c r="C11" s="3"/>
      <c r="D11" s="28"/>
      <c r="E11" s="25"/>
      <c r="H11" s="4">
        <f t="shared" si="0"/>
        <v>0</v>
      </c>
    </row>
    <row r="12" spans="1:8" ht="19.5" thickBot="1" x14ac:dyDescent="0.35">
      <c r="A12" s="5"/>
      <c r="C12" s="3"/>
      <c r="D12" s="22"/>
      <c r="E12" s="25"/>
      <c r="H12" s="22">
        <v>0</v>
      </c>
    </row>
    <row r="13" spans="1:8" ht="18.75" customHeight="1" x14ac:dyDescent="0.3">
      <c r="D13" s="4">
        <f>SUM(D7:D12)</f>
        <v>133919</v>
      </c>
      <c r="H13" s="4">
        <f>SUM(H7:H12)</f>
        <v>25444.61</v>
      </c>
    </row>
    <row r="14" spans="1:8" ht="18.75" x14ac:dyDescent="0.3">
      <c r="A14" s="5"/>
      <c r="C14" s="3"/>
      <c r="D14" s="4"/>
      <c r="H14" s="4"/>
    </row>
    <row r="16" spans="1:8" ht="18.75" x14ac:dyDescent="0.3">
      <c r="A16" s="5"/>
      <c r="C16" s="3"/>
      <c r="D16" s="4"/>
      <c r="H16" s="4"/>
    </row>
    <row r="17" spans="1:8" ht="15.75" thickBot="1" x14ac:dyDescent="0.3">
      <c r="D17" s="7"/>
      <c r="H17" s="7"/>
    </row>
    <row r="19" spans="1:8" ht="18.75" x14ac:dyDescent="0.3">
      <c r="C19" t="s">
        <v>4</v>
      </c>
      <c r="D19" s="4">
        <f>D3-D13</f>
        <v>69597.806722689071</v>
      </c>
      <c r="G19" t="s">
        <v>5</v>
      </c>
      <c r="H19" s="4">
        <f>H3-H13</f>
        <v>13223.583277310921</v>
      </c>
    </row>
    <row r="22" spans="1:8" ht="15.75" x14ac:dyDescent="0.25">
      <c r="A22" t="s">
        <v>6</v>
      </c>
      <c r="C22" s="8">
        <f>D19</f>
        <v>69597.806722689071</v>
      </c>
      <c r="E22" t="s">
        <v>10</v>
      </c>
      <c r="H22" s="6">
        <f>C31</f>
        <v>55560.156218487391</v>
      </c>
    </row>
    <row r="24" spans="1:8" ht="15.75" x14ac:dyDescent="0.25">
      <c r="A24" t="s">
        <v>5</v>
      </c>
      <c r="B24" s="9" t="s">
        <v>7</v>
      </c>
      <c r="C24" s="8">
        <f>H19</f>
        <v>13223.583277310921</v>
      </c>
      <c r="E24" s="13" t="s">
        <v>11</v>
      </c>
      <c r="F24" s="9" t="s">
        <v>181</v>
      </c>
      <c r="G24" s="15" t="s">
        <v>17</v>
      </c>
      <c r="H24" s="3">
        <f>-(F25*0.0077)</f>
        <v>-1269.3343235294117</v>
      </c>
    </row>
    <row r="25" spans="1:8" x14ac:dyDescent="0.25">
      <c r="F25" s="21">
        <f>D3-H3</f>
        <v>164848.61344537814</v>
      </c>
    </row>
    <row r="26" spans="1:8" ht="15.75" x14ac:dyDescent="0.25">
      <c r="A26" t="s">
        <v>8</v>
      </c>
      <c r="B26" s="9" t="s">
        <v>7</v>
      </c>
      <c r="C26" s="8">
        <f>D3*0.004</f>
        <v>814.06722689075627</v>
      </c>
      <c r="F26" s="9" t="s">
        <v>13</v>
      </c>
      <c r="G26" s="16">
        <v>0.35</v>
      </c>
      <c r="H26" s="29">
        <f>-(F27*0.35)</f>
        <v>-19446.054676470587</v>
      </c>
    </row>
    <row r="27" spans="1:8" ht="15.75" thickBot="1" x14ac:dyDescent="0.3">
      <c r="F27" s="21">
        <f>H22</f>
        <v>55560.156218487391</v>
      </c>
      <c r="H27" s="7"/>
    </row>
    <row r="28" spans="1:8" x14ac:dyDescent="0.25">
      <c r="A28" t="s">
        <v>769</v>
      </c>
      <c r="B28" s="9" t="s">
        <v>7</v>
      </c>
      <c r="C28" s="6"/>
      <c r="G28" s="13" t="s">
        <v>14</v>
      </c>
      <c r="H28" s="6">
        <f>H22+H24+H26</f>
        <v>34844.767218487395</v>
      </c>
    </row>
    <row r="29" spans="1:8" ht="15.75" thickBot="1" x14ac:dyDescent="0.3">
      <c r="A29" s="16">
        <v>2.5000000000000001E-2</v>
      </c>
      <c r="B29" s="34" t="s">
        <v>770</v>
      </c>
      <c r="C29" s="7"/>
    </row>
    <row r="30" spans="1:8" x14ac:dyDescent="0.25">
      <c r="E30" t="s">
        <v>151</v>
      </c>
      <c r="H30" s="20">
        <f>H28*0.5</f>
        <v>17422.383609243698</v>
      </c>
    </row>
    <row r="31" spans="1:8" ht="15.75" x14ac:dyDescent="0.25">
      <c r="A31" t="s">
        <v>10</v>
      </c>
      <c r="C31" s="10">
        <f>C22-C24-C26-C28</f>
        <v>55560.156218487391</v>
      </c>
      <c r="H31" s="18"/>
    </row>
    <row r="32" spans="1:8" x14ac:dyDescent="0.25">
      <c r="H32" s="3"/>
    </row>
    <row r="33" spans="8:8" x14ac:dyDescent="0.25">
      <c r="H33" s="18"/>
    </row>
  </sheetData>
  <pageMargins left="0.7" right="0.7" top="0.75" bottom="0.75" header="0.3" footer="0.3"/>
</worksheet>
</file>

<file path=xl/worksheets/sheet5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C7D0E-250B-4F44-B9E6-30B377A1DBFB}">
  <dimension ref="A1:H33"/>
  <sheetViews>
    <sheetView workbookViewId="0">
      <selection activeCell="C5" sqref="C5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833</v>
      </c>
    </row>
    <row r="3" spans="1:8" ht="21" x14ac:dyDescent="0.35">
      <c r="A3" s="2" t="s">
        <v>1</v>
      </c>
      <c r="C3" s="11">
        <v>920627</v>
      </c>
      <c r="D3" s="11">
        <f>(C3/1.19)</f>
        <v>773636.13445378153</v>
      </c>
      <c r="F3" s="12" t="s">
        <v>3</v>
      </c>
      <c r="H3" s="11">
        <f>D3*0.19</f>
        <v>146990.8655462185</v>
      </c>
    </row>
    <row r="4" spans="1:8" x14ac:dyDescent="0.25">
      <c r="A4" s="13" t="s">
        <v>32</v>
      </c>
      <c r="C4" s="26" t="s">
        <v>838</v>
      </c>
    </row>
    <row r="5" spans="1:8" ht="21" x14ac:dyDescent="0.35">
      <c r="A5" s="2" t="s">
        <v>2</v>
      </c>
    </row>
    <row r="7" spans="1:8" ht="18.75" x14ac:dyDescent="0.3">
      <c r="D7" s="4"/>
      <c r="E7" s="25"/>
      <c r="H7" s="4"/>
    </row>
    <row r="8" spans="1:8" ht="18.75" x14ac:dyDescent="0.3">
      <c r="A8" s="5" t="s">
        <v>221</v>
      </c>
      <c r="C8" s="3"/>
      <c r="D8" s="28">
        <v>647393</v>
      </c>
      <c r="E8" s="25"/>
      <c r="H8" s="4">
        <f>D8*0.19</f>
        <v>123004.67</v>
      </c>
    </row>
    <row r="9" spans="1:8" ht="18.75" x14ac:dyDescent="0.3">
      <c r="A9" s="5"/>
      <c r="C9" s="3"/>
      <c r="D9" s="28"/>
      <c r="E9" s="25"/>
      <c r="H9" s="4">
        <v>0</v>
      </c>
    </row>
    <row r="10" spans="1:8" ht="18.75" x14ac:dyDescent="0.3">
      <c r="A10" s="5"/>
      <c r="C10" s="3"/>
      <c r="D10" s="28"/>
      <c r="E10" s="25"/>
      <c r="H10" s="4">
        <f t="shared" ref="H10:H12" si="0">(D10/1.19)*0.19</f>
        <v>0</v>
      </c>
    </row>
    <row r="11" spans="1:8" ht="18.75" x14ac:dyDescent="0.3">
      <c r="A11" s="5"/>
      <c r="C11" s="3"/>
      <c r="D11" s="28"/>
      <c r="E11" s="25"/>
      <c r="H11" s="4">
        <f t="shared" si="0"/>
        <v>0</v>
      </c>
    </row>
    <row r="12" spans="1:8" ht="19.5" thickBot="1" x14ac:dyDescent="0.35">
      <c r="A12" s="5"/>
      <c r="C12" s="3"/>
      <c r="D12" s="22"/>
      <c r="E12" s="25"/>
      <c r="H12" s="22">
        <v>0</v>
      </c>
    </row>
    <row r="13" spans="1:8" ht="18.75" customHeight="1" x14ac:dyDescent="0.3">
      <c r="D13" s="4">
        <f>SUM(D7:D12)</f>
        <v>647393</v>
      </c>
      <c r="H13" s="4">
        <f>SUM(H7:H12)</f>
        <v>123004.67</v>
      </c>
    </row>
    <row r="14" spans="1:8" ht="18.75" x14ac:dyDescent="0.3">
      <c r="A14" s="5"/>
      <c r="C14" s="3"/>
      <c r="D14" s="4"/>
      <c r="H14" s="4"/>
    </row>
    <row r="16" spans="1:8" ht="18.75" x14ac:dyDescent="0.3">
      <c r="A16" s="5"/>
      <c r="C16" s="3"/>
      <c r="D16" s="4"/>
      <c r="H16" s="4"/>
    </row>
    <row r="17" spans="1:8" ht="15.75" thickBot="1" x14ac:dyDescent="0.3">
      <c r="D17" s="7"/>
      <c r="H17" s="7"/>
    </row>
    <row r="19" spans="1:8" ht="18.75" x14ac:dyDescent="0.3">
      <c r="C19" t="s">
        <v>4</v>
      </c>
      <c r="D19" s="4">
        <f>D3-D13</f>
        <v>126243.13445378153</v>
      </c>
      <c r="G19" t="s">
        <v>5</v>
      </c>
      <c r="H19" s="4">
        <f>H3-H13</f>
        <v>23986.1955462185</v>
      </c>
    </row>
    <row r="22" spans="1:8" ht="15.75" x14ac:dyDescent="0.25">
      <c r="A22" t="s">
        <v>6</v>
      </c>
      <c r="C22" s="8">
        <f>D19</f>
        <v>126243.13445378153</v>
      </c>
      <c r="E22" t="s">
        <v>10</v>
      </c>
      <c r="H22" s="6">
        <f>C31</f>
        <v>99162.394369747912</v>
      </c>
    </row>
    <row r="24" spans="1:8" ht="15.75" x14ac:dyDescent="0.25">
      <c r="A24" t="s">
        <v>5</v>
      </c>
      <c r="B24" s="9" t="s">
        <v>7</v>
      </c>
      <c r="C24" s="8">
        <f>H19</f>
        <v>23986.1955462185</v>
      </c>
      <c r="E24" s="13" t="s">
        <v>11</v>
      </c>
      <c r="F24" s="9" t="s">
        <v>181</v>
      </c>
      <c r="G24" s="15" t="s">
        <v>17</v>
      </c>
      <c r="H24" s="3">
        <f>-(F25*0.0077)</f>
        <v>-4825.1685705882355</v>
      </c>
    </row>
    <row r="25" spans="1:8" x14ac:dyDescent="0.25">
      <c r="F25" s="21">
        <f>D3-H3</f>
        <v>626645.26890756306</v>
      </c>
    </row>
    <row r="26" spans="1:8" ht="15.75" x14ac:dyDescent="0.25">
      <c r="A26" t="s">
        <v>8</v>
      </c>
      <c r="B26" s="9" t="s">
        <v>7</v>
      </c>
      <c r="C26" s="8">
        <f>D3*0.004</f>
        <v>3094.5445378151262</v>
      </c>
      <c r="F26" s="9" t="s">
        <v>13</v>
      </c>
      <c r="G26" s="16">
        <v>0.35</v>
      </c>
      <c r="H26" s="29">
        <f>-(F27*0.35)</f>
        <v>-34706.838029411767</v>
      </c>
    </row>
    <row r="27" spans="1:8" ht="15.75" thickBot="1" x14ac:dyDescent="0.3">
      <c r="F27" s="21">
        <f>H22</f>
        <v>99162.394369747912</v>
      </c>
      <c r="H27" s="7"/>
    </row>
    <row r="28" spans="1:8" x14ac:dyDescent="0.25">
      <c r="A28" t="s">
        <v>769</v>
      </c>
      <c r="B28" s="9" t="s">
        <v>7</v>
      </c>
      <c r="C28" s="6"/>
      <c r="G28" s="13" t="s">
        <v>14</v>
      </c>
      <c r="H28" s="6">
        <f>H22+H24+H26</f>
        <v>59630.387769747904</v>
      </c>
    </row>
    <row r="29" spans="1:8" ht="15.75" thickBot="1" x14ac:dyDescent="0.3">
      <c r="A29" s="16">
        <v>2.5000000000000001E-2</v>
      </c>
      <c r="B29" s="34" t="s">
        <v>770</v>
      </c>
      <c r="C29" s="7"/>
    </row>
    <row r="30" spans="1:8" x14ac:dyDescent="0.25">
      <c r="E30" t="s">
        <v>151</v>
      </c>
      <c r="H30" s="20">
        <f>H28*0.5</f>
        <v>29815.193884873952</v>
      </c>
    </row>
    <row r="31" spans="1:8" ht="15.75" x14ac:dyDescent="0.25">
      <c r="A31" t="s">
        <v>10</v>
      </c>
      <c r="C31" s="10">
        <f>C22-C24-C26-C28</f>
        <v>99162.394369747912</v>
      </c>
      <c r="H31" s="18"/>
    </row>
    <row r="32" spans="1:8" x14ac:dyDescent="0.25">
      <c r="H32" s="3"/>
    </row>
    <row r="33" spans="8:8" x14ac:dyDescent="0.25">
      <c r="H33" s="18"/>
    </row>
  </sheetData>
  <pageMargins left="0.7" right="0.7" top="0.75" bottom="0.75" header="0.3" footer="0.3"/>
</worksheet>
</file>

<file path=xl/worksheets/sheet5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4FD5D-1BA0-4A0A-8BF1-EDB5F49C01F0}">
  <dimension ref="A1:H33"/>
  <sheetViews>
    <sheetView workbookViewId="0">
      <selection activeCell="C4" sqref="C4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833</v>
      </c>
    </row>
    <row r="3" spans="1:8" ht="21" x14ac:dyDescent="0.35">
      <c r="A3" s="2" t="s">
        <v>1</v>
      </c>
      <c r="C3" s="11">
        <v>920627</v>
      </c>
      <c r="D3" s="11">
        <f>(C3/1.19)</f>
        <v>773636.13445378153</v>
      </c>
      <c r="F3" s="12" t="s">
        <v>3</v>
      </c>
      <c r="H3" s="11">
        <f>D3*0.19</f>
        <v>146990.8655462185</v>
      </c>
    </row>
    <row r="4" spans="1:8" x14ac:dyDescent="0.25">
      <c r="A4" s="13" t="s">
        <v>32</v>
      </c>
      <c r="C4" s="26" t="s">
        <v>837</v>
      </c>
    </row>
    <row r="5" spans="1:8" ht="21" x14ac:dyDescent="0.35">
      <c r="A5" s="2" t="s">
        <v>2</v>
      </c>
    </row>
    <row r="7" spans="1:8" ht="18.75" x14ac:dyDescent="0.3">
      <c r="D7" s="4"/>
      <c r="E7" s="25"/>
      <c r="H7" s="4"/>
    </row>
    <row r="8" spans="1:8" ht="18.75" x14ac:dyDescent="0.3">
      <c r="A8" s="5" t="s">
        <v>221</v>
      </c>
      <c r="C8" s="3"/>
      <c r="D8" s="28">
        <v>647393</v>
      </c>
      <c r="E8" s="25"/>
      <c r="H8" s="4">
        <f>D8*0.19</f>
        <v>123004.67</v>
      </c>
    </row>
    <row r="9" spans="1:8" ht="18.75" x14ac:dyDescent="0.3">
      <c r="A9" s="5"/>
      <c r="C9" s="3"/>
      <c r="D9" s="28"/>
      <c r="E9" s="25"/>
      <c r="H9" s="4">
        <v>0</v>
      </c>
    </row>
    <row r="10" spans="1:8" ht="18.75" x14ac:dyDescent="0.3">
      <c r="A10" s="5"/>
      <c r="C10" s="3"/>
      <c r="D10" s="28"/>
      <c r="E10" s="25"/>
      <c r="H10" s="4">
        <f t="shared" ref="H10:H12" si="0">(D10/1.19)*0.19</f>
        <v>0</v>
      </c>
    </row>
    <row r="11" spans="1:8" ht="18.75" x14ac:dyDescent="0.3">
      <c r="A11" s="5"/>
      <c r="C11" s="3"/>
      <c r="D11" s="28"/>
      <c r="E11" s="25"/>
      <c r="H11" s="4">
        <f t="shared" si="0"/>
        <v>0</v>
      </c>
    </row>
    <row r="12" spans="1:8" ht="19.5" thickBot="1" x14ac:dyDescent="0.35">
      <c r="A12" s="5"/>
      <c r="C12" s="3"/>
      <c r="D12" s="22"/>
      <c r="E12" s="25"/>
      <c r="H12" s="22">
        <v>0</v>
      </c>
    </row>
    <row r="13" spans="1:8" ht="18.75" customHeight="1" x14ac:dyDescent="0.3">
      <c r="D13" s="4">
        <f>SUM(D7:D12)</f>
        <v>647393</v>
      </c>
      <c r="H13" s="4">
        <f>SUM(H7:H12)</f>
        <v>123004.67</v>
      </c>
    </row>
    <row r="14" spans="1:8" ht="18.75" x14ac:dyDescent="0.3">
      <c r="A14" s="5"/>
      <c r="C14" s="3"/>
      <c r="D14" s="4"/>
      <c r="H14" s="4"/>
    </row>
    <row r="16" spans="1:8" ht="18.75" x14ac:dyDescent="0.3">
      <c r="A16" s="5"/>
      <c r="C16" s="3"/>
      <c r="D16" s="4"/>
      <c r="H16" s="4"/>
    </row>
    <row r="17" spans="1:8" ht="15.75" thickBot="1" x14ac:dyDescent="0.3">
      <c r="D17" s="7"/>
      <c r="H17" s="7"/>
    </row>
    <row r="19" spans="1:8" ht="18.75" x14ac:dyDescent="0.3">
      <c r="C19" t="s">
        <v>4</v>
      </c>
      <c r="D19" s="4">
        <f>D3-D13</f>
        <v>126243.13445378153</v>
      </c>
      <c r="G19" t="s">
        <v>5</v>
      </c>
      <c r="H19" s="4">
        <f>H3-H13</f>
        <v>23986.1955462185</v>
      </c>
    </row>
    <row r="22" spans="1:8" ht="15.75" x14ac:dyDescent="0.25">
      <c r="A22" t="s">
        <v>6</v>
      </c>
      <c r="C22" s="8">
        <f>D19</f>
        <v>126243.13445378153</v>
      </c>
      <c r="E22" t="s">
        <v>10</v>
      </c>
      <c r="H22" s="6">
        <f>C31</f>
        <v>99162.394369747912</v>
      </c>
    </row>
    <row r="24" spans="1:8" ht="15.75" x14ac:dyDescent="0.25">
      <c r="A24" t="s">
        <v>5</v>
      </c>
      <c r="B24" s="9" t="s">
        <v>7</v>
      </c>
      <c r="C24" s="8">
        <f>H19</f>
        <v>23986.1955462185</v>
      </c>
      <c r="E24" s="13" t="s">
        <v>11</v>
      </c>
      <c r="F24" s="9" t="s">
        <v>181</v>
      </c>
      <c r="G24" s="15" t="s">
        <v>17</v>
      </c>
      <c r="H24" s="3">
        <f>-(F25*0.0077)</f>
        <v>-4825.1685705882355</v>
      </c>
    </row>
    <row r="25" spans="1:8" x14ac:dyDescent="0.25">
      <c r="F25" s="21">
        <f>D3-H3</f>
        <v>626645.26890756306</v>
      </c>
    </row>
    <row r="26" spans="1:8" ht="15.75" x14ac:dyDescent="0.25">
      <c r="A26" t="s">
        <v>8</v>
      </c>
      <c r="B26" s="9" t="s">
        <v>7</v>
      </c>
      <c r="C26" s="8">
        <f>D3*0.004</f>
        <v>3094.5445378151262</v>
      </c>
      <c r="F26" s="9" t="s">
        <v>13</v>
      </c>
      <c r="G26" s="16">
        <v>0.35</v>
      </c>
      <c r="H26" s="29">
        <f>-(F27*0.35)</f>
        <v>-34706.838029411767</v>
      </c>
    </row>
    <row r="27" spans="1:8" ht="15.75" thickBot="1" x14ac:dyDescent="0.3">
      <c r="F27" s="21">
        <f>H22</f>
        <v>99162.394369747912</v>
      </c>
      <c r="H27" s="7"/>
    </row>
    <row r="28" spans="1:8" x14ac:dyDescent="0.25">
      <c r="A28" t="s">
        <v>769</v>
      </c>
      <c r="B28" s="9" t="s">
        <v>7</v>
      </c>
      <c r="C28" s="6"/>
      <c r="G28" s="13" t="s">
        <v>14</v>
      </c>
      <c r="H28" s="6">
        <f>H22+H24+H26</f>
        <v>59630.387769747904</v>
      </c>
    </row>
    <row r="29" spans="1:8" ht="15.75" thickBot="1" x14ac:dyDescent="0.3">
      <c r="A29" s="16">
        <v>2.5000000000000001E-2</v>
      </c>
      <c r="B29" s="34" t="s">
        <v>770</v>
      </c>
      <c r="C29" s="7"/>
    </row>
    <row r="30" spans="1:8" x14ac:dyDescent="0.25">
      <c r="E30" t="s">
        <v>151</v>
      </c>
      <c r="H30" s="20">
        <f>H28*0.5</f>
        <v>29815.193884873952</v>
      </c>
    </row>
    <row r="31" spans="1:8" ht="15.75" x14ac:dyDescent="0.25">
      <c r="A31" t="s">
        <v>10</v>
      </c>
      <c r="C31" s="10">
        <f>C22-C24-C26-C28</f>
        <v>99162.394369747912</v>
      </c>
      <c r="H31" s="18"/>
    </row>
    <row r="32" spans="1:8" x14ac:dyDescent="0.25">
      <c r="H32" s="3"/>
    </row>
    <row r="33" spans="8:8" x14ac:dyDescent="0.25">
      <c r="H33" s="18"/>
    </row>
  </sheetData>
  <pageMargins left="0.7" right="0.7" top="0.75" bottom="0.75" header="0.3" footer="0.3"/>
</worksheet>
</file>

<file path=xl/worksheets/sheet5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F5E7C-DF6F-4AA4-8BDF-5FCF78B74FE3}">
  <dimension ref="A1:H33"/>
  <sheetViews>
    <sheetView workbookViewId="0">
      <selection sqref="A1:XFD1048576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835</v>
      </c>
    </row>
    <row r="3" spans="1:8" ht="21" x14ac:dyDescent="0.35">
      <c r="A3" s="2" t="s">
        <v>1</v>
      </c>
      <c r="C3" s="11">
        <v>426020</v>
      </c>
      <c r="D3" s="11">
        <f>(C3/1.19)</f>
        <v>358000</v>
      </c>
      <c r="F3" s="12" t="s">
        <v>3</v>
      </c>
      <c r="H3" s="11">
        <f>D3*0.19</f>
        <v>68020</v>
      </c>
    </row>
    <row r="4" spans="1:8" x14ac:dyDescent="0.25">
      <c r="A4" s="13" t="s">
        <v>32</v>
      </c>
      <c r="C4" s="26" t="s">
        <v>836</v>
      </c>
    </row>
    <row r="5" spans="1:8" ht="21" x14ac:dyDescent="0.35">
      <c r="A5" s="2" t="s">
        <v>2</v>
      </c>
    </row>
    <row r="7" spans="1:8" ht="18.75" x14ac:dyDescent="0.3">
      <c r="D7" s="4"/>
      <c r="E7" s="25"/>
      <c r="H7" s="4"/>
    </row>
    <row r="8" spans="1:8" ht="18.75" x14ac:dyDescent="0.3">
      <c r="A8" s="5" t="s">
        <v>221</v>
      </c>
      <c r="C8" s="3"/>
      <c r="D8" s="28">
        <v>252100</v>
      </c>
      <c r="E8" s="25"/>
      <c r="H8" s="4">
        <f>D8*0.19</f>
        <v>47899</v>
      </c>
    </row>
    <row r="9" spans="1:8" ht="18.75" x14ac:dyDescent="0.3">
      <c r="A9" s="5"/>
      <c r="C9" s="3"/>
      <c r="D9" s="28"/>
      <c r="E9" s="25"/>
      <c r="H9" s="4">
        <v>0</v>
      </c>
    </row>
    <row r="10" spans="1:8" ht="18.75" x14ac:dyDescent="0.3">
      <c r="A10" s="5"/>
      <c r="C10" s="3"/>
      <c r="D10" s="28"/>
      <c r="E10" s="25"/>
      <c r="H10" s="4">
        <f t="shared" ref="H10:H12" si="0">(D10/1.19)*0.19</f>
        <v>0</v>
      </c>
    </row>
    <row r="11" spans="1:8" ht="18.75" x14ac:dyDescent="0.3">
      <c r="A11" s="5"/>
      <c r="C11" s="3"/>
      <c r="D11" s="28"/>
      <c r="E11" s="25"/>
      <c r="H11" s="4">
        <f t="shared" si="0"/>
        <v>0</v>
      </c>
    </row>
    <row r="12" spans="1:8" ht="19.5" thickBot="1" x14ac:dyDescent="0.35">
      <c r="A12" s="5"/>
      <c r="C12" s="3"/>
      <c r="D12" s="22"/>
      <c r="E12" s="25"/>
      <c r="H12" s="22">
        <v>0</v>
      </c>
    </row>
    <row r="13" spans="1:8" ht="18.75" customHeight="1" x14ac:dyDescent="0.3">
      <c r="D13" s="4">
        <f>SUM(D7:D12)</f>
        <v>252100</v>
      </c>
      <c r="H13" s="4">
        <f>SUM(H7:H12)</f>
        <v>47899</v>
      </c>
    </row>
    <row r="14" spans="1:8" ht="18.75" x14ac:dyDescent="0.3">
      <c r="A14" s="5"/>
      <c r="C14" s="3"/>
      <c r="D14" s="4"/>
      <c r="H14" s="4"/>
    </row>
    <row r="16" spans="1:8" ht="18.75" x14ac:dyDescent="0.3">
      <c r="A16" s="5"/>
      <c r="C16" s="3"/>
      <c r="D16" s="4"/>
      <c r="H16" s="4"/>
    </row>
    <row r="17" spans="1:8" ht="15.75" thickBot="1" x14ac:dyDescent="0.3">
      <c r="D17" s="7"/>
      <c r="H17" s="7"/>
    </row>
    <row r="19" spans="1:8" ht="18.75" x14ac:dyDescent="0.3">
      <c r="C19" t="s">
        <v>4</v>
      </c>
      <c r="D19" s="4">
        <f>D3-D13</f>
        <v>105900</v>
      </c>
      <c r="G19" t="s">
        <v>5</v>
      </c>
      <c r="H19" s="4">
        <f>H3-H13</f>
        <v>20121</v>
      </c>
    </row>
    <row r="22" spans="1:8" ht="15.75" x14ac:dyDescent="0.25">
      <c r="A22" t="s">
        <v>6</v>
      </c>
      <c r="C22" s="8">
        <f>D19</f>
        <v>105900</v>
      </c>
      <c r="E22" t="s">
        <v>10</v>
      </c>
      <c r="H22" s="6">
        <f>C31</f>
        <v>84347</v>
      </c>
    </row>
    <row r="24" spans="1:8" ht="15.75" x14ac:dyDescent="0.25">
      <c r="A24" t="s">
        <v>5</v>
      </c>
      <c r="B24" s="9" t="s">
        <v>7</v>
      </c>
      <c r="C24" s="8">
        <f>H19</f>
        <v>20121</v>
      </c>
      <c r="E24" s="13" t="s">
        <v>11</v>
      </c>
      <c r="F24" s="9" t="s">
        <v>181</v>
      </c>
      <c r="G24" s="15" t="s">
        <v>17</v>
      </c>
      <c r="H24" s="3">
        <f>-(F25*0.0077)</f>
        <v>-2232.846</v>
      </c>
    </row>
    <row r="25" spans="1:8" x14ac:dyDescent="0.25">
      <c r="F25" s="21">
        <f>D3-H3</f>
        <v>289980</v>
      </c>
    </row>
    <row r="26" spans="1:8" ht="15.75" x14ac:dyDescent="0.25">
      <c r="A26" t="s">
        <v>8</v>
      </c>
      <c r="B26" s="9" t="s">
        <v>7</v>
      </c>
      <c r="C26" s="8">
        <f>D3*0.004</f>
        <v>1432</v>
      </c>
      <c r="F26" s="9" t="s">
        <v>13</v>
      </c>
      <c r="G26" s="16">
        <v>0.35</v>
      </c>
      <c r="H26" s="29">
        <f>-(F27*0.35)</f>
        <v>-29521.449999999997</v>
      </c>
    </row>
    <row r="27" spans="1:8" ht="15.75" thickBot="1" x14ac:dyDescent="0.3">
      <c r="F27" s="21">
        <f>H22</f>
        <v>84347</v>
      </c>
      <c r="H27" s="7"/>
    </row>
    <row r="28" spans="1:8" x14ac:dyDescent="0.25">
      <c r="A28" t="s">
        <v>769</v>
      </c>
      <c r="B28" s="9" t="s">
        <v>7</v>
      </c>
      <c r="C28" s="6"/>
      <c r="G28" s="13" t="s">
        <v>14</v>
      </c>
      <c r="H28" s="6">
        <f>H22+H24+H26</f>
        <v>52592.703999999998</v>
      </c>
    </row>
    <row r="29" spans="1:8" ht="15.75" thickBot="1" x14ac:dyDescent="0.3">
      <c r="A29" s="16">
        <v>2.5000000000000001E-2</v>
      </c>
      <c r="B29" s="34" t="s">
        <v>770</v>
      </c>
      <c r="C29" s="7"/>
    </row>
    <row r="30" spans="1:8" x14ac:dyDescent="0.25">
      <c r="E30" t="s">
        <v>151</v>
      </c>
      <c r="H30" s="20">
        <f>H28*0.5</f>
        <v>26296.351999999999</v>
      </c>
    </row>
    <row r="31" spans="1:8" ht="15.75" x14ac:dyDescent="0.25">
      <c r="A31" t="s">
        <v>10</v>
      </c>
      <c r="C31" s="10">
        <f>C22-C24-C26-C28</f>
        <v>84347</v>
      </c>
      <c r="H31" s="18"/>
    </row>
    <row r="32" spans="1:8" x14ac:dyDescent="0.25">
      <c r="H32" s="3"/>
    </row>
    <row r="33" spans="8:8" x14ac:dyDescent="0.25">
      <c r="H33" s="18"/>
    </row>
  </sheetData>
  <pageMargins left="0.7" right="0.7" top="0.75" bottom="0.75" header="0.3" footer="0.3"/>
</worksheet>
</file>

<file path=xl/worksheets/sheet5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FE0C1-6F43-472F-983C-26C76C0FF849}">
  <dimension ref="A1:H33"/>
  <sheetViews>
    <sheetView workbookViewId="0">
      <selection sqref="A1:XFD1048576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835</v>
      </c>
    </row>
    <row r="3" spans="1:8" ht="21" x14ac:dyDescent="0.35">
      <c r="A3" s="2" t="s">
        <v>1</v>
      </c>
      <c r="C3" s="11">
        <v>64498</v>
      </c>
      <c r="D3" s="11">
        <f>(C3/1.19)</f>
        <v>54200</v>
      </c>
      <c r="F3" s="12" t="s">
        <v>3</v>
      </c>
      <c r="H3" s="11">
        <f>D3*0.19</f>
        <v>10298</v>
      </c>
    </row>
    <row r="4" spans="1:8" x14ac:dyDescent="0.25">
      <c r="A4" s="13" t="s">
        <v>32</v>
      </c>
      <c r="C4" s="26" t="s">
        <v>839</v>
      </c>
    </row>
    <row r="5" spans="1:8" ht="21" x14ac:dyDescent="0.35">
      <c r="A5" s="2" t="s">
        <v>2</v>
      </c>
    </row>
    <row r="7" spans="1:8" ht="18.75" x14ac:dyDescent="0.3">
      <c r="D7" s="4"/>
      <c r="E7" s="25"/>
      <c r="H7" s="4"/>
    </row>
    <row r="8" spans="1:8" ht="18.75" x14ac:dyDescent="0.3">
      <c r="A8" s="5" t="s">
        <v>221</v>
      </c>
      <c r="C8" s="3"/>
      <c r="D8" s="28">
        <v>37000</v>
      </c>
      <c r="E8" s="25"/>
      <c r="H8" s="4">
        <f>D8*0.19</f>
        <v>7030</v>
      </c>
    </row>
    <row r="9" spans="1:8" ht="18.75" x14ac:dyDescent="0.3">
      <c r="A9" s="5"/>
      <c r="C9" s="3"/>
      <c r="D9" s="28"/>
      <c r="E9" s="25"/>
      <c r="H9" s="4">
        <v>0</v>
      </c>
    </row>
    <row r="10" spans="1:8" ht="18.75" x14ac:dyDescent="0.3">
      <c r="A10" s="5"/>
      <c r="C10" s="3"/>
      <c r="D10" s="28"/>
      <c r="E10" s="25"/>
      <c r="H10" s="4">
        <f t="shared" ref="H10:H12" si="0">(D10/1.19)*0.19</f>
        <v>0</v>
      </c>
    </row>
    <row r="11" spans="1:8" ht="18.75" x14ac:dyDescent="0.3">
      <c r="A11" s="5"/>
      <c r="C11" s="3"/>
      <c r="D11" s="28"/>
      <c r="E11" s="25"/>
      <c r="H11" s="4">
        <f t="shared" si="0"/>
        <v>0</v>
      </c>
    </row>
    <row r="12" spans="1:8" ht="19.5" thickBot="1" x14ac:dyDescent="0.35">
      <c r="A12" s="5"/>
      <c r="C12" s="3"/>
      <c r="D12" s="22"/>
      <c r="E12" s="25"/>
      <c r="H12" s="22">
        <v>0</v>
      </c>
    </row>
    <row r="13" spans="1:8" ht="18.75" customHeight="1" x14ac:dyDescent="0.3">
      <c r="D13" s="4">
        <f>SUM(D7:D12)</f>
        <v>37000</v>
      </c>
      <c r="H13" s="4">
        <f>SUM(H7:H12)</f>
        <v>7030</v>
      </c>
    </row>
    <row r="14" spans="1:8" ht="18.75" x14ac:dyDescent="0.3">
      <c r="A14" s="5"/>
      <c r="C14" s="3"/>
      <c r="D14" s="4"/>
      <c r="H14" s="4"/>
    </row>
    <row r="16" spans="1:8" ht="18.75" x14ac:dyDescent="0.3">
      <c r="A16" s="5"/>
      <c r="C16" s="3"/>
      <c r="D16" s="4"/>
      <c r="H16" s="4"/>
    </row>
    <row r="17" spans="1:8" ht="15.75" thickBot="1" x14ac:dyDescent="0.3">
      <c r="D17" s="7"/>
      <c r="H17" s="7"/>
    </row>
    <row r="19" spans="1:8" ht="18.75" x14ac:dyDescent="0.3">
      <c r="C19" t="s">
        <v>4</v>
      </c>
      <c r="D19" s="4">
        <f>D3-D13</f>
        <v>17200</v>
      </c>
      <c r="G19" t="s">
        <v>5</v>
      </c>
      <c r="H19" s="4">
        <f>H3-H13</f>
        <v>3268</v>
      </c>
    </row>
    <row r="22" spans="1:8" ht="15.75" x14ac:dyDescent="0.25">
      <c r="A22" t="s">
        <v>6</v>
      </c>
      <c r="C22" s="8">
        <f>D19</f>
        <v>17200</v>
      </c>
      <c r="E22" t="s">
        <v>10</v>
      </c>
      <c r="H22" s="6">
        <f>C31</f>
        <v>13715.2</v>
      </c>
    </row>
    <row r="24" spans="1:8" ht="15.75" x14ac:dyDescent="0.25">
      <c r="A24" t="s">
        <v>5</v>
      </c>
      <c r="B24" s="9" t="s">
        <v>7</v>
      </c>
      <c r="C24" s="8">
        <f>H19</f>
        <v>3268</v>
      </c>
      <c r="E24" s="13" t="s">
        <v>11</v>
      </c>
      <c r="F24" s="9" t="s">
        <v>181</v>
      </c>
      <c r="G24" s="15" t="s">
        <v>17</v>
      </c>
      <c r="H24" s="3">
        <f>-(F25*0.0077)</f>
        <v>-338.04540000000003</v>
      </c>
    </row>
    <row r="25" spans="1:8" x14ac:dyDescent="0.25">
      <c r="F25" s="21">
        <f>D3-H3</f>
        <v>43902</v>
      </c>
    </row>
    <row r="26" spans="1:8" ht="15.75" x14ac:dyDescent="0.25">
      <c r="A26" t="s">
        <v>8</v>
      </c>
      <c r="B26" s="9" t="s">
        <v>7</v>
      </c>
      <c r="C26" s="8">
        <f>D3*0.004</f>
        <v>216.8</v>
      </c>
      <c r="F26" s="9" t="s">
        <v>13</v>
      </c>
      <c r="G26" s="16">
        <v>0.35</v>
      </c>
      <c r="H26" s="29">
        <f>-(F27*0.35)</f>
        <v>-4800.32</v>
      </c>
    </row>
    <row r="27" spans="1:8" ht="15.75" thickBot="1" x14ac:dyDescent="0.3">
      <c r="F27" s="21">
        <f>H22</f>
        <v>13715.2</v>
      </c>
      <c r="H27" s="7"/>
    </row>
    <row r="28" spans="1:8" x14ac:dyDescent="0.25">
      <c r="A28" t="s">
        <v>769</v>
      </c>
      <c r="B28" s="9" t="s">
        <v>7</v>
      </c>
      <c r="C28" s="6"/>
      <c r="G28" s="13" t="s">
        <v>14</v>
      </c>
      <c r="H28" s="6">
        <f>H22+H24+H26</f>
        <v>8576.8346000000001</v>
      </c>
    </row>
    <row r="29" spans="1:8" ht="15.75" thickBot="1" x14ac:dyDescent="0.3">
      <c r="A29" s="16">
        <v>2.5000000000000001E-2</v>
      </c>
      <c r="B29" s="34" t="s">
        <v>770</v>
      </c>
      <c r="C29" s="7"/>
    </row>
    <row r="30" spans="1:8" x14ac:dyDescent="0.25">
      <c r="E30" t="s">
        <v>151</v>
      </c>
      <c r="H30" s="20">
        <f>H28*0.5</f>
        <v>4288.4173000000001</v>
      </c>
    </row>
    <row r="31" spans="1:8" ht="15.75" x14ac:dyDescent="0.25">
      <c r="A31" t="s">
        <v>10</v>
      </c>
      <c r="C31" s="10">
        <f>C22-C24-C26-C28</f>
        <v>13715.2</v>
      </c>
      <c r="H31" s="18"/>
    </row>
    <row r="32" spans="1:8" x14ac:dyDescent="0.25">
      <c r="H32" s="3"/>
    </row>
    <row r="33" spans="8:8" x14ac:dyDescent="0.25">
      <c r="H33" s="18"/>
    </row>
  </sheetData>
  <pageMargins left="0.7" right="0.7" top="0.75" bottom="0.75" header="0.3" footer="0.3"/>
</worksheet>
</file>

<file path=xl/worksheets/sheet5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ED1E6-6AC4-44EB-887B-465945229613}">
  <dimension ref="A1:H33"/>
  <sheetViews>
    <sheetView workbookViewId="0">
      <selection activeCell="E11" sqref="E11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833</v>
      </c>
    </row>
    <row r="3" spans="1:8" ht="21" x14ac:dyDescent="0.35">
      <c r="A3" s="2" t="s">
        <v>1</v>
      </c>
      <c r="C3" s="11">
        <v>71400</v>
      </c>
      <c r="D3" s="11">
        <f>(C3/1.19)</f>
        <v>60000</v>
      </c>
      <c r="F3" s="12" t="s">
        <v>3</v>
      </c>
      <c r="H3" s="11">
        <f>D3*0.19</f>
        <v>11400</v>
      </c>
    </row>
    <row r="4" spans="1:8" x14ac:dyDescent="0.25">
      <c r="A4" s="13" t="s">
        <v>32</v>
      </c>
      <c r="C4" s="26" t="s">
        <v>841</v>
      </c>
    </row>
    <row r="5" spans="1:8" ht="21" x14ac:dyDescent="0.35">
      <c r="A5" s="2" t="s">
        <v>2</v>
      </c>
    </row>
    <row r="7" spans="1:8" ht="18.75" x14ac:dyDescent="0.3">
      <c r="D7" s="4"/>
      <c r="E7" s="25"/>
      <c r="H7" s="4"/>
    </row>
    <row r="8" spans="1:8" ht="18.75" x14ac:dyDescent="0.3">
      <c r="A8" s="5" t="s">
        <v>221</v>
      </c>
      <c r="C8" s="3"/>
      <c r="D8" s="28">
        <v>41368</v>
      </c>
      <c r="E8" s="25"/>
      <c r="H8" s="4">
        <f>D8*0.19</f>
        <v>7859.92</v>
      </c>
    </row>
    <row r="9" spans="1:8" ht="18.75" x14ac:dyDescent="0.3">
      <c r="A9" s="5"/>
      <c r="C9" s="3"/>
      <c r="D9" s="28"/>
      <c r="E9" s="25"/>
      <c r="H9" s="4">
        <v>0</v>
      </c>
    </row>
    <row r="10" spans="1:8" ht="18.75" x14ac:dyDescent="0.3">
      <c r="A10" s="5"/>
      <c r="C10" s="3"/>
      <c r="D10" s="28"/>
      <c r="E10" s="25"/>
      <c r="H10" s="4">
        <f t="shared" ref="H10:H12" si="0">(D10/1.19)*0.19</f>
        <v>0</v>
      </c>
    </row>
    <row r="11" spans="1:8" ht="18.75" x14ac:dyDescent="0.3">
      <c r="A11" s="5"/>
      <c r="C11" s="3"/>
      <c r="D11" s="28"/>
      <c r="E11" s="25"/>
      <c r="H11" s="4">
        <f t="shared" si="0"/>
        <v>0</v>
      </c>
    </row>
    <row r="12" spans="1:8" ht="19.5" thickBot="1" x14ac:dyDescent="0.35">
      <c r="A12" s="5"/>
      <c r="C12" s="3"/>
      <c r="D12" s="22"/>
      <c r="E12" s="25"/>
      <c r="H12" s="22">
        <v>0</v>
      </c>
    </row>
    <row r="13" spans="1:8" ht="18.75" customHeight="1" x14ac:dyDescent="0.3">
      <c r="D13" s="4">
        <f>SUM(D7:D12)</f>
        <v>41368</v>
      </c>
      <c r="H13" s="4">
        <f>SUM(H7:H12)</f>
        <v>7859.92</v>
      </c>
    </row>
    <row r="14" spans="1:8" ht="18.75" x14ac:dyDescent="0.3">
      <c r="A14" s="5"/>
      <c r="C14" s="3"/>
      <c r="D14" s="4"/>
      <c r="H14" s="4"/>
    </row>
    <row r="16" spans="1:8" ht="18.75" x14ac:dyDescent="0.3">
      <c r="A16" s="5"/>
      <c r="C16" s="3"/>
      <c r="D16" s="4"/>
      <c r="H16" s="4"/>
    </row>
    <row r="17" spans="1:8" ht="15.75" thickBot="1" x14ac:dyDescent="0.3">
      <c r="D17" s="7"/>
      <c r="H17" s="7"/>
    </row>
    <row r="19" spans="1:8" ht="18.75" x14ac:dyDescent="0.3">
      <c r="C19" t="s">
        <v>4</v>
      </c>
      <c r="D19" s="4">
        <f>D3-D13</f>
        <v>18632</v>
      </c>
      <c r="G19" t="s">
        <v>5</v>
      </c>
      <c r="H19" s="4">
        <f>H3-H13</f>
        <v>3540.08</v>
      </c>
    </row>
    <row r="22" spans="1:8" ht="15.75" x14ac:dyDescent="0.25">
      <c r="A22" t="s">
        <v>6</v>
      </c>
      <c r="C22" s="8">
        <f>D19</f>
        <v>18632</v>
      </c>
      <c r="E22" t="s">
        <v>10</v>
      </c>
      <c r="H22" s="6">
        <f>C31</f>
        <v>14851.92</v>
      </c>
    </row>
    <row r="24" spans="1:8" ht="15.75" x14ac:dyDescent="0.25">
      <c r="A24" t="s">
        <v>5</v>
      </c>
      <c r="B24" s="9" t="s">
        <v>7</v>
      </c>
      <c r="C24" s="8">
        <f>H19</f>
        <v>3540.08</v>
      </c>
      <c r="E24" s="13" t="s">
        <v>11</v>
      </c>
      <c r="F24" s="9" t="s">
        <v>181</v>
      </c>
      <c r="G24" s="15" t="s">
        <v>17</v>
      </c>
      <c r="H24" s="3">
        <f>-(F25*0.0077)</f>
        <v>-374.22</v>
      </c>
    </row>
    <row r="25" spans="1:8" x14ac:dyDescent="0.25">
      <c r="F25" s="21">
        <f>D3-H3</f>
        <v>48600</v>
      </c>
    </row>
    <row r="26" spans="1:8" ht="15.75" x14ac:dyDescent="0.25">
      <c r="A26" t="s">
        <v>8</v>
      </c>
      <c r="B26" s="9" t="s">
        <v>7</v>
      </c>
      <c r="C26" s="8">
        <f>D3*0.004</f>
        <v>240</v>
      </c>
      <c r="F26" s="9" t="s">
        <v>13</v>
      </c>
      <c r="G26" s="16">
        <v>0.35</v>
      </c>
      <c r="H26" s="29">
        <f>-(F27*0.35)</f>
        <v>-5198.1719999999996</v>
      </c>
    </row>
    <row r="27" spans="1:8" ht="15.75" thickBot="1" x14ac:dyDescent="0.3">
      <c r="F27" s="21">
        <f>H22</f>
        <v>14851.92</v>
      </c>
      <c r="H27" s="7"/>
    </row>
    <row r="28" spans="1:8" x14ac:dyDescent="0.25">
      <c r="A28" t="s">
        <v>769</v>
      </c>
      <c r="B28" s="9" t="s">
        <v>7</v>
      </c>
      <c r="C28" s="6"/>
      <c r="G28" s="13" t="s">
        <v>14</v>
      </c>
      <c r="H28" s="6">
        <f>H22+H24+H26</f>
        <v>9279.5280000000021</v>
      </c>
    </row>
    <row r="29" spans="1:8" ht="15.75" thickBot="1" x14ac:dyDescent="0.3">
      <c r="A29" s="16">
        <v>2.5000000000000001E-2</v>
      </c>
      <c r="B29" s="34" t="s">
        <v>770</v>
      </c>
      <c r="C29" s="7"/>
    </row>
    <row r="30" spans="1:8" x14ac:dyDescent="0.25">
      <c r="E30" t="s">
        <v>151</v>
      </c>
      <c r="H30" s="20">
        <f>H28*0.5</f>
        <v>4639.764000000001</v>
      </c>
    </row>
    <row r="31" spans="1:8" ht="15.75" x14ac:dyDescent="0.25">
      <c r="A31" t="s">
        <v>10</v>
      </c>
      <c r="C31" s="10">
        <f>C22-C24-C26-C28</f>
        <v>14851.92</v>
      </c>
      <c r="H31" s="18"/>
    </row>
    <row r="32" spans="1:8" x14ac:dyDescent="0.25">
      <c r="H32" s="3"/>
    </row>
    <row r="33" spans="8:8" x14ac:dyDescent="0.25">
      <c r="H33" s="18"/>
    </row>
  </sheetData>
  <pageMargins left="0.7" right="0.7" top="0.75" bottom="0.75" header="0.3" footer="0.3"/>
</worksheet>
</file>

<file path=xl/worksheets/sheet5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4077D-5E74-488D-AB7F-2FEA6D2A1769}">
  <dimension ref="A1:H33"/>
  <sheetViews>
    <sheetView workbookViewId="0">
      <selection sqref="A1:XFD1048576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840</v>
      </c>
    </row>
    <row r="3" spans="1:8" ht="21" x14ac:dyDescent="0.35">
      <c r="A3" s="2" t="s">
        <v>1</v>
      </c>
      <c r="C3" s="11">
        <v>1857360</v>
      </c>
      <c r="D3" s="11">
        <f>(C3/1.19)</f>
        <v>1560806.7226890756</v>
      </c>
      <c r="F3" s="12" t="s">
        <v>3</v>
      </c>
      <c r="H3" s="11">
        <f>D3*0.19</f>
        <v>296553.27731092437</v>
      </c>
    </row>
    <row r="4" spans="1:8" x14ac:dyDescent="0.25">
      <c r="A4" s="13" t="s">
        <v>32</v>
      </c>
      <c r="C4" s="26" t="s">
        <v>842</v>
      </c>
    </row>
    <row r="5" spans="1:8" ht="21" x14ac:dyDescent="0.35">
      <c r="A5" s="2" t="s">
        <v>2</v>
      </c>
    </row>
    <row r="7" spans="1:8" ht="18.75" x14ac:dyDescent="0.3">
      <c r="D7" s="4"/>
      <c r="E7" s="25"/>
      <c r="H7" s="4"/>
    </row>
    <row r="8" spans="1:8" ht="18.75" x14ac:dyDescent="0.3">
      <c r="A8" s="5" t="s">
        <v>221</v>
      </c>
      <c r="C8" s="3"/>
      <c r="D8" s="28">
        <v>1292300</v>
      </c>
      <c r="E8" s="25"/>
      <c r="H8" s="4">
        <f>D8*0.19</f>
        <v>245537</v>
      </c>
    </row>
    <row r="9" spans="1:8" ht="18.75" x14ac:dyDescent="0.3">
      <c r="A9" s="5"/>
      <c r="C9" s="3"/>
      <c r="D9" s="28"/>
      <c r="E9" s="25"/>
      <c r="H9" s="4">
        <v>0</v>
      </c>
    </row>
    <row r="10" spans="1:8" ht="18.75" x14ac:dyDescent="0.3">
      <c r="A10" s="5"/>
      <c r="C10" s="3"/>
      <c r="D10" s="28"/>
      <c r="E10" s="25"/>
      <c r="H10" s="4">
        <f t="shared" ref="H10:H12" si="0">(D10/1.19)*0.19</f>
        <v>0</v>
      </c>
    </row>
    <row r="11" spans="1:8" ht="18.75" x14ac:dyDescent="0.3">
      <c r="A11" s="5"/>
      <c r="C11" s="3"/>
      <c r="D11" s="28"/>
      <c r="E11" s="25"/>
      <c r="H11" s="4">
        <f t="shared" si="0"/>
        <v>0</v>
      </c>
    </row>
    <row r="12" spans="1:8" ht="19.5" thickBot="1" x14ac:dyDescent="0.35">
      <c r="A12" s="5"/>
      <c r="C12" s="3"/>
      <c r="D12" s="22"/>
      <c r="E12" s="25"/>
      <c r="H12" s="22">
        <v>0</v>
      </c>
    </row>
    <row r="13" spans="1:8" ht="18.75" customHeight="1" x14ac:dyDescent="0.3">
      <c r="D13" s="4">
        <f>SUM(D7:D12)</f>
        <v>1292300</v>
      </c>
      <c r="H13" s="4">
        <f>SUM(H7:H12)</f>
        <v>245537</v>
      </c>
    </row>
    <row r="14" spans="1:8" ht="18.75" x14ac:dyDescent="0.3">
      <c r="A14" s="5"/>
      <c r="C14" s="3"/>
      <c r="D14" s="4"/>
      <c r="H14" s="4"/>
    </row>
    <row r="16" spans="1:8" ht="18.75" x14ac:dyDescent="0.3">
      <c r="A16" s="5"/>
      <c r="C16" s="3"/>
      <c r="D16" s="4"/>
      <c r="H16" s="4"/>
    </row>
    <row r="17" spans="1:8" ht="15.75" thickBot="1" x14ac:dyDescent="0.3">
      <c r="D17" s="7"/>
      <c r="H17" s="7"/>
    </row>
    <row r="19" spans="1:8" ht="18.75" x14ac:dyDescent="0.3">
      <c r="C19" t="s">
        <v>4</v>
      </c>
      <c r="D19" s="4">
        <f>D3-D13</f>
        <v>268506.72268907563</v>
      </c>
      <c r="G19" t="s">
        <v>5</v>
      </c>
      <c r="H19" s="4">
        <f>H3-H13</f>
        <v>51016.277310924372</v>
      </c>
    </row>
    <row r="22" spans="1:8" ht="15.75" x14ac:dyDescent="0.25">
      <c r="A22" t="s">
        <v>6</v>
      </c>
      <c r="C22" s="8">
        <f>D19</f>
        <v>268506.72268907563</v>
      </c>
      <c r="E22" t="s">
        <v>10</v>
      </c>
      <c r="H22" s="6">
        <f>C31</f>
        <v>211247.21848739494</v>
      </c>
    </row>
    <row r="24" spans="1:8" ht="15.75" x14ac:dyDescent="0.25">
      <c r="A24" t="s">
        <v>5</v>
      </c>
      <c r="B24" s="9" t="s">
        <v>7</v>
      </c>
      <c r="C24" s="8">
        <f>H19</f>
        <v>51016.277310924372</v>
      </c>
      <c r="E24" s="13" t="s">
        <v>11</v>
      </c>
      <c r="F24" s="9" t="s">
        <v>181</v>
      </c>
      <c r="G24" s="15" t="s">
        <v>17</v>
      </c>
      <c r="H24" s="3">
        <f>-(F25*0.0077)</f>
        <v>-9734.7515294117657</v>
      </c>
    </row>
    <row r="25" spans="1:8" x14ac:dyDescent="0.25">
      <c r="F25" s="21">
        <f>D3-H3</f>
        <v>1264253.4453781513</v>
      </c>
    </row>
    <row r="26" spans="1:8" ht="15.75" x14ac:dyDescent="0.25">
      <c r="A26" t="s">
        <v>8</v>
      </c>
      <c r="B26" s="9" t="s">
        <v>7</v>
      </c>
      <c r="C26" s="8">
        <f>D3*0.004</f>
        <v>6243.226890756303</v>
      </c>
      <c r="F26" s="9" t="s">
        <v>13</v>
      </c>
      <c r="G26" s="16">
        <v>0.35</v>
      </c>
      <c r="H26" s="29">
        <f>-(F27*0.35)</f>
        <v>-73936.526470588229</v>
      </c>
    </row>
    <row r="27" spans="1:8" ht="15.75" thickBot="1" x14ac:dyDescent="0.3">
      <c r="F27" s="21">
        <f>H22</f>
        <v>211247.21848739494</v>
      </c>
      <c r="H27" s="7"/>
    </row>
    <row r="28" spans="1:8" x14ac:dyDescent="0.25">
      <c r="A28" t="s">
        <v>769</v>
      </c>
      <c r="B28" s="9" t="s">
        <v>7</v>
      </c>
      <c r="C28" s="6"/>
      <c r="G28" s="13" t="s">
        <v>14</v>
      </c>
      <c r="H28" s="6">
        <f>H22+H24+H26</f>
        <v>127575.94048739495</v>
      </c>
    </row>
    <row r="29" spans="1:8" ht="15.75" thickBot="1" x14ac:dyDescent="0.3">
      <c r="A29" s="16">
        <v>2.5000000000000001E-2</v>
      </c>
      <c r="B29" s="34" t="s">
        <v>770</v>
      </c>
      <c r="C29" s="7"/>
    </row>
    <row r="30" spans="1:8" x14ac:dyDescent="0.25">
      <c r="E30" t="s">
        <v>151</v>
      </c>
      <c r="H30" s="20">
        <f>H28*0.5</f>
        <v>63787.970243697477</v>
      </c>
    </row>
    <row r="31" spans="1:8" ht="15.75" x14ac:dyDescent="0.25">
      <c r="A31" t="s">
        <v>10</v>
      </c>
      <c r="C31" s="10">
        <f>C22-C24-C26-C28</f>
        <v>211247.21848739494</v>
      </c>
      <c r="H31" s="18"/>
    </row>
    <row r="32" spans="1:8" x14ac:dyDescent="0.25">
      <c r="H32" s="3"/>
    </row>
    <row r="33" spans="8:8" x14ac:dyDescent="0.25">
      <c r="H33" s="18"/>
    </row>
  </sheetData>
  <pageMargins left="0.7" right="0.7" top="0.75" bottom="0.75" header="0.3" footer="0.3"/>
</worksheet>
</file>

<file path=xl/worksheets/sheet5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E4507-1A86-4788-AF47-45C0D1218733}">
  <dimension ref="A1:H33"/>
  <sheetViews>
    <sheetView workbookViewId="0">
      <selection sqref="A1:XFD1048576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843</v>
      </c>
    </row>
    <row r="3" spans="1:8" ht="21" x14ac:dyDescent="0.35">
      <c r="A3" s="2" t="s">
        <v>1</v>
      </c>
      <c r="C3" s="11">
        <v>2796000</v>
      </c>
      <c r="D3" s="11">
        <f>(C3/1.19)</f>
        <v>2349579.8319327733</v>
      </c>
      <c r="F3" s="12" t="s">
        <v>3</v>
      </c>
      <c r="H3" s="11">
        <f>D3*0.19</f>
        <v>446420.16806722694</v>
      </c>
    </row>
    <row r="4" spans="1:8" x14ac:dyDescent="0.25">
      <c r="A4" s="13" t="s">
        <v>32</v>
      </c>
      <c r="C4" s="26" t="s">
        <v>844</v>
      </c>
    </row>
    <row r="5" spans="1:8" ht="21" x14ac:dyDescent="0.35">
      <c r="A5" s="2" t="s">
        <v>2</v>
      </c>
    </row>
    <row r="7" spans="1:8" ht="18.75" x14ac:dyDescent="0.3">
      <c r="D7" s="4"/>
      <c r="E7" s="25"/>
      <c r="H7" s="4"/>
    </row>
    <row r="8" spans="1:8" ht="18.75" x14ac:dyDescent="0.3">
      <c r="A8" s="5" t="s">
        <v>221</v>
      </c>
      <c r="C8" s="3"/>
      <c r="D8" s="28">
        <v>1677435</v>
      </c>
      <c r="E8" s="25"/>
      <c r="H8" s="4">
        <f>D8*0.19</f>
        <v>318712.65000000002</v>
      </c>
    </row>
    <row r="9" spans="1:8" ht="18.75" x14ac:dyDescent="0.3">
      <c r="A9" s="5"/>
      <c r="C9" s="3"/>
      <c r="D9" s="28"/>
      <c r="E9" s="25"/>
      <c r="H9" s="4">
        <v>0</v>
      </c>
    </row>
    <row r="10" spans="1:8" ht="18.75" x14ac:dyDescent="0.3">
      <c r="A10" s="5"/>
      <c r="C10" s="3"/>
      <c r="D10" s="28"/>
      <c r="E10" s="25"/>
      <c r="H10" s="4">
        <f t="shared" ref="H10:H12" si="0">(D10/1.19)*0.19</f>
        <v>0</v>
      </c>
    </row>
    <row r="11" spans="1:8" ht="18.75" x14ac:dyDescent="0.3">
      <c r="A11" s="5"/>
      <c r="C11" s="3"/>
      <c r="D11" s="28"/>
      <c r="E11" s="25"/>
      <c r="H11" s="4">
        <f t="shared" si="0"/>
        <v>0</v>
      </c>
    </row>
    <row r="12" spans="1:8" ht="19.5" thickBot="1" x14ac:dyDescent="0.35">
      <c r="A12" s="5"/>
      <c r="C12" s="3"/>
      <c r="D12" s="22"/>
      <c r="E12" s="25"/>
      <c r="H12" s="22">
        <v>0</v>
      </c>
    </row>
    <row r="13" spans="1:8" ht="18.75" customHeight="1" x14ac:dyDescent="0.3">
      <c r="D13" s="4">
        <f>SUM(D7:D12)</f>
        <v>1677435</v>
      </c>
      <c r="H13" s="4">
        <f>SUM(H7:H12)</f>
        <v>318712.65000000002</v>
      </c>
    </row>
    <row r="14" spans="1:8" ht="18.75" x14ac:dyDescent="0.3">
      <c r="A14" s="5"/>
      <c r="C14" s="3"/>
      <c r="D14" s="4"/>
      <c r="H14" s="4"/>
    </row>
    <row r="16" spans="1:8" ht="18.75" x14ac:dyDescent="0.3">
      <c r="A16" s="5"/>
      <c r="C16" s="3"/>
      <c r="D16" s="4"/>
      <c r="H16" s="4"/>
    </row>
    <row r="17" spans="1:8" ht="15.75" thickBot="1" x14ac:dyDescent="0.3">
      <c r="D17" s="7"/>
      <c r="H17" s="7"/>
    </row>
    <row r="19" spans="1:8" ht="18.75" x14ac:dyDescent="0.3">
      <c r="C19" t="s">
        <v>4</v>
      </c>
      <c r="D19" s="4">
        <f>D3-D13</f>
        <v>672144.83193277335</v>
      </c>
      <c r="G19" t="s">
        <v>5</v>
      </c>
      <c r="H19" s="4">
        <f>H3-H13</f>
        <v>127707.51806722692</v>
      </c>
    </row>
    <row r="22" spans="1:8" ht="15.75" x14ac:dyDescent="0.25">
      <c r="A22" t="s">
        <v>6</v>
      </c>
      <c r="C22" s="8">
        <f>D19</f>
        <v>672144.83193277335</v>
      </c>
      <c r="E22" t="s">
        <v>10</v>
      </c>
      <c r="H22" s="6">
        <f>C31</f>
        <v>535038.99453781522</v>
      </c>
    </row>
    <row r="24" spans="1:8" ht="15.75" x14ac:dyDescent="0.25">
      <c r="A24" t="s">
        <v>5</v>
      </c>
      <c r="B24" s="9" t="s">
        <v>7</v>
      </c>
      <c r="C24" s="8">
        <f>H19</f>
        <v>127707.51806722692</v>
      </c>
      <c r="E24" s="13" t="s">
        <v>11</v>
      </c>
      <c r="F24" s="9" t="s">
        <v>181</v>
      </c>
      <c r="G24" s="15" t="s">
        <v>17</v>
      </c>
      <c r="H24" s="3">
        <f>-(F25*0.0077)</f>
        <v>-14654.329411764707</v>
      </c>
    </row>
    <row r="25" spans="1:8" x14ac:dyDescent="0.25">
      <c r="F25" s="21">
        <f>D3-H3</f>
        <v>1903159.6638655465</v>
      </c>
    </row>
    <row r="26" spans="1:8" ht="15.75" x14ac:dyDescent="0.25">
      <c r="A26" t="s">
        <v>8</v>
      </c>
      <c r="B26" s="9" t="s">
        <v>7</v>
      </c>
      <c r="C26" s="8">
        <f>D3*0.004</f>
        <v>9398.3193277310929</v>
      </c>
      <c r="F26" s="9" t="s">
        <v>13</v>
      </c>
      <c r="G26" s="16">
        <v>0.35</v>
      </c>
      <c r="H26" s="29">
        <f>-(F27*0.35)</f>
        <v>-187263.64808823532</v>
      </c>
    </row>
    <row r="27" spans="1:8" ht="15.75" thickBot="1" x14ac:dyDescent="0.3">
      <c r="F27" s="21">
        <f>H22</f>
        <v>535038.99453781522</v>
      </c>
      <c r="H27" s="7"/>
    </row>
    <row r="28" spans="1:8" x14ac:dyDescent="0.25">
      <c r="A28" t="s">
        <v>769</v>
      </c>
      <c r="B28" s="9" t="s">
        <v>7</v>
      </c>
      <c r="C28" s="6"/>
      <c r="G28" s="13" t="s">
        <v>14</v>
      </c>
      <c r="H28" s="6">
        <f>H22+H24+H26</f>
        <v>333121.01703781518</v>
      </c>
    </row>
    <row r="29" spans="1:8" ht="15.75" thickBot="1" x14ac:dyDescent="0.3">
      <c r="A29" s="16">
        <v>2.5000000000000001E-2</v>
      </c>
      <c r="B29" s="34" t="s">
        <v>770</v>
      </c>
      <c r="C29" s="7"/>
    </row>
    <row r="30" spans="1:8" x14ac:dyDescent="0.25">
      <c r="E30" t="s">
        <v>151</v>
      </c>
      <c r="H30" s="20">
        <f>H28*0.5</f>
        <v>166560.50851890759</v>
      </c>
    </row>
    <row r="31" spans="1:8" ht="15.75" x14ac:dyDescent="0.25">
      <c r="A31" t="s">
        <v>10</v>
      </c>
      <c r="C31" s="10">
        <f>C22-C24-C26-C28</f>
        <v>535038.99453781522</v>
      </c>
      <c r="H31" s="18"/>
    </row>
    <row r="32" spans="1:8" x14ac:dyDescent="0.25">
      <c r="H32" s="3"/>
    </row>
    <row r="33" spans="8:8" x14ac:dyDescent="0.25">
      <c r="H33" s="18"/>
    </row>
  </sheetData>
  <pageMargins left="0.7" right="0.7" top="0.75" bottom="0.75" header="0.3" footer="0.3"/>
</worksheet>
</file>

<file path=xl/worksheets/sheet5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96191-BA2B-4889-B5CB-C1E571367890}">
  <dimension ref="A1:H33"/>
  <sheetViews>
    <sheetView workbookViewId="0">
      <selection sqref="A1:XFD1048576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825</v>
      </c>
    </row>
    <row r="3" spans="1:8" ht="21" x14ac:dyDescent="0.35">
      <c r="A3" s="2" t="s">
        <v>1</v>
      </c>
      <c r="C3" s="11">
        <v>178500</v>
      </c>
      <c r="D3" s="11">
        <f>(C3/1.19)</f>
        <v>150000</v>
      </c>
      <c r="F3" s="12" t="s">
        <v>3</v>
      </c>
      <c r="H3" s="11">
        <f>D3*0.19</f>
        <v>28500</v>
      </c>
    </row>
    <row r="4" spans="1:8" x14ac:dyDescent="0.25">
      <c r="A4" s="13" t="s">
        <v>32</v>
      </c>
      <c r="C4" s="26" t="s">
        <v>845</v>
      </c>
    </row>
    <row r="5" spans="1:8" ht="21" x14ac:dyDescent="0.35">
      <c r="A5" s="2" t="s">
        <v>2</v>
      </c>
    </row>
    <row r="7" spans="1:8" ht="18.75" x14ac:dyDescent="0.3">
      <c r="D7" s="4"/>
      <c r="E7" s="25"/>
      <c r="H7" s="4"/>
    </row>
    <row r="8" spans="1:8" ht="18.75" x14ac:dyDescent="0.3">
      <c r="A8" s="5" t="s">
        <v>221</v>
      </c>
      <c r="C8" s="3"/>
      <c r="D8" s="28">
        <v>87590</v>
      </c>
      <c r="E8" s="25"/>
      <c r="H8" s="4">
        <f>D8*0.19</f>
        <v>16642.099999999999</v>
      </c>
    </row>
    <row r="9" spans="1:8" ht="18.75" x14ac:dyDescent="0.3">
      <c r="A9" s="5"/>
      <c r="C9" s="3"/>
      <c r="D9" s="28"/>
      <c r="E9" s="25"/>
      <c r="H9" s="4">
        <v>0</v>
      </c>
    </row>
    <row r="10" spans="1:8" ht="18.75" x14ac:dyDescent="0.3">
      <c r="A10" s="5"/>
      <c r="C10" s="3"/>
      <c r="D10" s="28"/>
      <c r="E10" s="25"/>
      <c r="H10" s="4">
        <f t="shared" ref="H10:H12" si="0">(D10/1.19)*0.19</f>
        <v>0</v>
      </c>
    </row>
    <row r="11" spans="1:8" ht="18.75" x14ac:dyDescent="0.3">
      <c r="A11" s="5"/>
      <c r="C11" s="3"/>
      <c r="D11" s="28"/>
      <c r="E11" s="25"/>
      <c r="H11" s="4">
        <f t="shared" si="0"/>
        <v>0</v>
      </c>
    </row>
    <row r="12" spans="1:8" ht="19.5" thickBot="1" x14ac:dyDescent="0.35">
      <c r="A12" s="5"/>
      <c r="C12" s="3"/>
      <c r="D12" s="22"/>
      <c r="E12" s="25"/>
      <c r="H12" s="22">
        <v>0</v>
      </c>
    </row>
    <row r="13" spans="1:8" ht="18.75" customHeight="1" x14ac:dyDescent="0.3">
      <c r="D13" s="4">
        <f>SUM(D7:D12)</f>
        <v>87590</v>
      </c>
      <c r="H13" s="4">
        <f>SUM(H7:H12)</f>
        <v>16642.099999999999</v>
      </c>
    </row>
    <row r="14" spans="1:8" ht="18.75" x14ac:dyDescent="0.3">
      <c r="A14" s="5"/>
      <c r="C14" s="3"/>
      <c r="D14" s="4"/>
      <c r="H14" s="4"/>
    </row>
    <row r="16" spans="1:8" ht="18.75" x14ac:dyDescent="0.3">
      <c r="A16" s="5"/>
      <c r="C16" s="3"/>
      <c r="D16" s="4"/>
      <c r="H16" s="4"/>
    </row>
    <row r="17" spans="1:8" ht="15.75" thickBot="1" x14ac:dyDescent="0.3">
      <c r="D17" s="7"/>
      <c r="H17" s="7"/>
    </row>
    <row r="19" spans="1:8" ht="18.75" x14ac:dyDescent="0.3">
      <c r="C19" t="s">
        <v>4</v>
      </c>
      <c r="D19" s="4">
        <f>D3-D13</f>
        <v>62410</v>
      </c>
      <c r="G19" t="s">
        <v>5</v>
      </c>
      <c r="H19" s="4">
        <f>H3-H13</f>
        <v>11857.900000000001</v>
      </c>
    </row>
    <row r="22" spans="1:8" ht="15.75" x14ac:dyDescent="0.25">
      <c r="A22" t="s">
        <v>6</v>
      </c>
      <c r="C22" s="8">
        <f>D19</f>
        <v>62410</v>
      </c>
      <c r="E22" t="s">
        <v>10</v>
      </c>
      <c r="H22" s="6">
        <f>C31</f>
        <v>49952.1</v>
      </c>
    </row>
    <row r="24" spans="1:8" ht="15.75" x14ac:dyDescent="0.25">
      <c r="A24" t="s">
        <v>5</v>
      </c>
      <c r="B24" s="9" t="s">
        <v>7</v>
      </c>
      <c r="C24" s="8">
        <f>H19</f>
        <v>11857.900000000001</v>
      </c>
      <c r="E24" s="13" t="s">
        <v>11</v>
      </c>
      <c r="F24" s="9" t="s">
        <v>181</v>
      </c>
      <c r="G24" s="15" t="s">
        <v>17</v>
      </c>
      <c r="H24" s="3">
        <f>-(F25*0.0077)</f>
        <v>-935.55000000000007</v>
      </c>
    </row>
    <row r="25" spans="1:8" x14ac:dyDescent="0.25">
      <c r="F25" s="21">
        <f>D3-H3</f>
        <v>121500</v>
      </c>
    </row>
    <row r="26" spans="1:8" ht="15.75" x14ac:dyDescent="0.25">
      <c r="A26" t="s">
        <v>8</v>
      </c>
      <c r="B26" s="9" t="s">
        <v>7</v>
      </c>
      <c r="C26" s="8">
        <f>D3*0.004</f>
        <v>600</v>
      </c>
      <c r="F26" s="9" t="s">
        <v>13</v>
      </c>
      <c r="G26" s="16">
        <v>0.35</v>
      </c>
      <c r="H26" s="29">
        <f>-(F27*0.35)</f>
        <v>-17483.234999999997</v>
      </c>
    </row>
    <row r="27" spans="1:8" ht="15.75" thickBot="1" x14ac:dyDescent="0.3">
      <c r="F27" s="21">
        <f>H22</f>
        <v>49952.1</v>
      </c>
      <c r="H27" s="7"/>
    </row>
    <row r="28" spans="1:8" x14ac:dyDescent="0.25">
      <c r="A28" t="s">
        <v>769</v>
      </c>
      <c r="B28" s="9" t="s">
        <v>7</v>
      </c>
      <c r="C28" s="6"/>
      <c r="G28" s="13" t="s">
        <v>14</v>
      </c>
      <c r="H28" s="6">
        <f>H22+H24+H26</f>
        <v>31533.314999999999</v>
      </c>
    </row>
    <row r="29" spans="1:8" ht="15.75" thickBot="1" x14ac:dyDescent="0.3">
      <c r="A29" s="16">
        <v>2.5000000000000001E-2</v>
      </c>
      <c r="B29" s="34" t="s">
        <v>770</v>
      </c>
      <c r="C29" s="7"/>
    </row>
    <row r="30" spans="1:8" x14ac:dyDescent="0.25">
      <c r="E30" t="s">
        <v>151</v>
      </c>
      <c r="H30" s="20">
        <f>H28*0.5</f>
        <v>15766.657499999999</v>
      </c>
    </row>
    <row r="31" spans="1:8" ht="15.75" x14ac:dyDescent="0.25">
      <c r="A31" t="s">
        <v>10</v>
      </c>
      <c r="C31" s="10">
        <f>C22-C24-C26-C28</f>
        <v>49952.1</v>
      </c>
      <c r="H31" s="18"/>
    </row>
    <row r="32" spans="1:8" x14ac:dyDescent="0.25">
      <c r="H32" s="3"/>
    </row>
    <row r="33" spans="8:8" x14ac:dyDescent="0.25">
      <c r="H33" s="18"/>
    </row>
  </sheetData>
  <pageMargins left="0.7" right="0.7" top="0.75" bottom="0.75" header="0.3" footer="0.3"/>
</worksheet>
</file>

<file path=xl/worksheets/sheet5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3C75D-60AC-4584-A19C-171465ED2ED4}">
  <dimension ref="A1:H33"/>
  <sheetViews>
    <sheetView workbookViewId="0">
      <selection sqref="A1:XFD1048576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846</v>
      </c>
    </row>
    <row r="3" spans="1:8" ht="21" x14ac:dyDescent="0.35">
      <c r="A3" s="2" t="s">
        <v>1</v>
      </c>
      <c r="C3" s="11">
        <v>252280</v>
      </c>
      <c r="D3" s="11">
        <f>(C3/1.19)</f>
        <v>212000</v>
      </c>
      <c r="F3" s="12" t="s">
        <v>3</v>
      </c>
      <c r="H3" s="11">
        <f>D3*0.19</f>
        <v>40280</v>
      </c>
    </row>
    <row r="4" spans="1:8" x14ac:dyDescent="0.25">
      <c r="A4" s="13" t="s">
        <v>32</v>
      </c>
      <c r="C4" s="26" t="s">
        <v>847</v>
      </c>
    </row>
    <row r="5" spans="1:8" ht="21" x14ac:dyDescent="0.35">
      <c r="A5" s="2" t="s">
        <v>2</v>
      </c>
    </row>
    <row r="7" spans="1:8" ht="18.75" x14ac:dyDescent="0.3">
      <c r="D7" s="4"/>
      <c r="E7" s="25"/>
      <c r="H7" s="4"/>
    </row>
    <row r="8" spans="1:8" ht="18.75" x14ac:dyDescent="0.3">
      <c r="A8" s="5" t="s">
        <v>221</v>
      </c>
      <c r="C8" s="3"/>
      <c r="D8" s="28">
        <v>140856</v>
      </c>
      <c r="E8" s="25"/>
      <c r="H8" s="4">
        <f>D8*0.19</f>
        <v>26762.639999999999</v>
      </c>
    </row>
    <row r="9" spans="1:8" ht="18.75" x14ac:dyDescent="0.3">
      <c r="A9" s="5"/>
      <c r="C9" s="3"/>
      <c r="D9" s="28"/>
      <c r="E9" s="25"/>
      <c r="H9" s="4">
        <v>0</v>
      </c>
    </row>
    <row r="10" spans="1:8" ht="18.75" x14ac:dyDescent="0.3">
      <c r="A10" s="5"/>
      <c r="C10" s="3"/>
      <c r="D10" s="28"/>
      <c r="E10" s="25"/>
      <c r="H10" s="4">
        <f t="shared" ref="H10:H12" si="0">(D10/1.19)*0.19</f>
        <v>0</v>
      </c>
    </row>
    <row r="11" spans="1:8" ht="18.75" x14ac:dyDescent="0.3">
      <c r="A11" s="5"/>
      <c r="C11" s="3"/>
      <c r="D11" s="28"/>
      <c r="E11" s="25"/>
      <c r="H11" s="4">
        <f t="shared" si="0"/>
        <v>0</v>
      </c>
    </row>
    <row r="12" spans="1:8" ht="19.5" thickBot="1" x14ac:dyDescent="0.35">
      <c r="A12" s="5"/>
      <c r="C12" s="3"/>
      <c r="D12" s="22"/>
      <c r="E12" s="25"/>
      <c r="H12" s="22">
        <v>0</v>
      </c>
    </row>
    <row r="13" spans="1:8" ht="18.75" customHeight="1" x14ac:dyDescent="0.3">
      <c r="D13" s="4">
        <f>SUM(D7:D12)</f>
        <v>140856</v>
      </c>
      <c r="H13" s="4">
        <f>SUM(H7:H12)</f>
        <v>26762.639999999999</v>
      </c>
    </row>
    <row r="14" spans="1:8" ht="18.75" x14ac:dyDescent="0.3">
      <c r="A14" s="5"/>
      <c r="C14" s="3"/>
      <c r="D14" s="4"/>
      <c r="H14" s="4"/>
    </row>
    <row r="16" spans="1:8" ht="18.75" x14ac:dyDescent="0.3">
      <c r="A16" s="5"/>
      <c r="C16" s="3"/>
      <c r="D16" s="4"/>
      <c r="H16" s="4"/>
    </row>
    <row r="17" spans="1:8" ht="15.75" thickBot="1" x14ac:dyDescent="0.3">
      <c r="D17" s="7"/>
      <c r="H17" s="7"/>
    </row>
    <row r="19" spans="1:8" ht="18.75" x14ac:dyDescent="0.3">
      <c r="C19" t="s">
        <v>4</v>
      </c>
      <c r="D19" s="4">
        <f>D3-D13</f>
        <v>71144</v>
      </c>
      <c r="G19" t="s">
        <v>5</v>
      </c>
      <c r="H19" s="4">
        <f>H3-H13</f>
        <v>13517.36</v>
      </c>
    </row>
    <row r="22" spans="1:8" ht="15.75" x14ac:dyDescent="0.25">
      <c r="A22" t="s">
        <v>6</v>
      </c>
      <c r="C22" s="8">
        <f>D19</f>
        <v>71144</v>
      </c>
      <c r="E22" t="s">
        <v>10</v>
      </c>
      <c r="H22" s="6">
        <f>C31</f>
        <v>56778.64</v>
      </c>
    </row>
    <row r="24" spans="1:8" ht="15.75" x14ac:dyDescent="0.25">
      <c r="A24" t="s">
        <v>5</v>
      </c>
      <c r="B24" s="9" t="s">
        <v>7</v>
      </c>
      <c r="C24" s="8">
        <f>H19</f>
        <v>13517.36</v>
      </c>
      <c r="E24" s="13" t="s">
        <v>11</v>
      </c>
      <c r="F24" s="9" t="s">
        <v>181</v>
      </c>
      <c r="G24" s="15" t="s">
        <v>17</v>
      </c>
      <c r="H24" s="3">
        <f>-(F25*0.0077)</f>
        <v>-1322.2440000000001</v>
      </c>
    </row>
    <row r="25" spans="1:8" x14ac:dyDescent="0.25">
      <c r="F25" s="21">
        <f>D3-H3</f>
        <v>171720</v>
      </c>
    </row>
    <row r="26" spans="1:8" ht="15.75" x14ac:dyDescent="0.25">
      <c r="A26" t="s">
        <v>8</v>
      </c>
      <c r="B26" s="9" t="s">
        <v>7</v>
      </c>
      <c r="C26" s="8">
        <f>D3*0.004</f>
        <v>848</v>
      </c>
      <c r="F26" s="9" t="s">
        <v>13</v>
      </c>
      <c r="G26" s="16">
        <v>0.35</v>
      </c>
      <c r="H26" s="29">
        <f>-(F27*0.35)</f>
        <v>-19872.523999999998</v>
      </c>
    </row>
    <row r="27" spans="1:8" ht="15.75" thickBot="1" x14ac:dyDescent="0.3">
      <c r="F27" s="21">
        <f>H22</f>
        <v>56778.64</v>
      </c>
      <c r="H27" s="7"/>
    </row>
    <row r="28" spans="1:8" x14ac:dyDescent="0.25">
      <c r="A28" t="s">
        <v>769</v>
      </c>
      <c r="B28" s="9" t="s">
        <v>7</v>
      </c>
      <c r="C28" s="6"/>
      <c r="G28" s="13" t="s">
        <v>14</v>
      </c>
      <c r="H28" s="6">
        <f>H22+H24+H26</f>
        <v>35583.872000000003</v>
      </c>
    </row>
    <row r="29" spans="1:8" ht="15.75" thickBot="1" x14ac:dyDescent="0.3">
      <c r="A29" s="16">
        <v>2.5000000000000001E-2</v>
      </c>
      <c r="B29" s="34" t="s">
        <v>770</v>
      </c>
      <c r="C29" s="7"/>
    </row>
    <row r="30" spans="1:8" x14ac:dyDescent="0.25">
      <c r="E30" t="s">
        <v>151</v>
      </c>
      <c r="H30" s="20">
        <f>H28*0.5</f>
        <v>17791.936000000002</v>
      </c>
    </row>
    <row r="31" spans="1:8" ht="15.75" x14ac:dyDescent="0.25">
      <c r="A31" t="s">
        <v>10</v>
      </c>
      <c r="C31" s="10">
        <f>C22-C24-C26-C28</f>
        <v>56778.64</v>
      </c>
      <c r="H31" s="18"/>
    </row>
    <row r="32" spans="1:8" x14ac:dyDescent="0.25">
      <c r="H32" s="3"/>
    </row>
    <row r="33" spans="8:8" x14ac:dyDescent="0.25">
      <c r="H33" s="18"/>
    </row>
  </sheetData>
  <pageMargins left="0.7" right="0.7" top="0.75" bottom="0.75" header="0.3" footer="0.3"/>
</worksheet>
</file>

<file path=xl/worksheets/sheet5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DFE0E-E3D0-4B67-8C11-AD1F2583B3D7}">
  <dimension ref="A1:H33"/>
  <sheetViews>
    <sheetView workbookViewId="0">
      <selection sqref="A1:XFD1048576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846</v>
      </c>
    </row>
    <row r="3" spans="1:8" ht="21" x14ac:dyDescent="0.35">
      <c r="A3" s="2" t="s">
        <v>1</v>
      </c>
      <c r="C3" s="11">
        <v>309400</v>
      </c>
      <c r="D3" s="11">
        <f>(C3/1.19)</f>
        <v>260000</v>
      </c>
      <c r="F3" s="12" t="s">
        <v>3</v>
      </c>
      <c r="H3" s="11">
        <f>D3*0.19</f>
        <v>49400</v>
      </c>
    </row>
    <row r="4" spans="1:8" x14ac:dyDescent="0.25">
      <c r="A4" s="13" t="s">
        <v>32</v>
      </c>
      <c r="C4" s="26" t="s">
        <v>848</v>
      </c>
    </row>
    <row r="5" spans="1:8" ht="21" x14ac:dyDescent="0.35">
      <c r="A5" s="2" t="s">
        <v>2</v>
      </c>
    </row>
    <row r="7" spans="1:8" ht="18.75" x14ac:dyDescent="0.3">
      <c r="D7" s="4"/>
      <c r="E7" s="25"/>
      <c r="H7" s="4"/>
    </row>
    <row r="8" spans="1:8" ht="18.75" x14ac:dyDescent="0.3">
      <c r="A8" s="5" t="s">
        <v>221</v>
      </c>
      <c r="C8" s="3"/>
      <c r="D8" s="28">
        <v>184109</v>
      </c>
      <c r="E8" s="25"/>
      <c r="H8" s="4">
        <f>D8*0.19</f>
        <v>34980.71</v>
      </c>
    </row>
    <row r="9" spans="1:8" ht="18.75" x14ac:dyDescent="0.3">
      <c r="A9" s="5"/>
      <c r="C9" s="3"/>
      <c r="D9" s="28"/>
      <c r="E9" s="25"/>
      <c r="H9" s="4">
        <v>0</v>
      </c>
    </row>
    <row r="10" spans="1:8" ht="18.75" x14ac:dyDescent="0.3">
      <c r="A10" s="5"/>
      <c r="C10" s="3"/>
      <c r="D10" s="28"/>
      <c r="E10" s="25"/>
      <c r="H10" s="4">
        <f t="shared" ref="H10:H12" si="0">(D10/1.19)*0.19</f>
        <v>0</v>
      </c>
    </row>
    <row r="11" spans="1:8" ht="18.75" x14ac:dyDescent="0.3">
      <c r="A11" s="5"/>
      <c r="C11" s="3"/>
      <c r="D11" s="28"/>
      <c r="E11" s="25"/>
      <c r="H11" s="4">
        <f t="shared" si="0"/>
        <v>0</v>
      </c>
    </row>
    <row r="12" spans="1:8" ht="19.5" thickBot="1" x14ac:dyDescent="0.35">
      <c r="A12" s="5"/>
      <c r="C12" s="3"/>
      <c r="D12" s="22"/>
      <c r="E12" s="25"/>
      <c r="H12" s="22">
        <v>0</v>
      </c>
    </row>
    <row r="13" spans="1:8" ht="18.75" customHeight="1" x14ac:dyDescent="0.3">
      <c r="D13" s="4">
        <f>SUM(D7:D12)</f>
        <v>184109</v>
      </c>
      <c r="H13" s="4">
        <f>SUM(H7:H12)</f>
        <v>34980.71</v>
      </c>
    </row>
    <row r="14" spans="1:8" ht="18.75" x14ac:dyDescent="0.3">
      <c r="A14" s="5"/>
      <c r="C14" s="3"/>
      <c r="D14" s="4"/>
      <c r="H14" s="4"/>
    </row>
    <row r="16" spans="1:8" ht="18.75" x14ac:dyDescent="0.3">
      <c r="A16" s="5"/>
      <c r="C16" s="3"/>
      <c r="D16" s="4"/>
      <c r="H16" s="4"/>
    </row>
    <row r="17" spans="1:8" ht="15.75" thickBot="1" x14ac:dyDescent="0.3">
      <c r="D17" s="7"/>
      <c r="H17" s="7"/>
    </row>
    <row r="19" spans="1:8" ht="18.75" x14ac:dyDescent="0.3">
      <c r="C19" t="s">
        <v>4</v>
      </c>
      <c r="D19" s="4">
        <f>D3-D13</f>
        <v>75891</v>
      </c>
      <c r="G19" t="s">
        <v>5</v>
      </c>
      <c r="H19" s="4">
        <f>H3-H13</f>
        <v>14419.29</v>
      </c>
    </row>
    <row r="22" spans="1:8" ht="15.75" x14ac:dyDescent="0.25">
      <c r="A22" t="s">
        <v>6</v>
      </c>
      <c r="C22" s="8">
        <f>D19</f>
        <v>75891</v>
      </c>
      <c r="E22" t="s">
        <v>10</v>
      </c>
      <c r="H22" s="6">
        <f>C31</f>
        <v>60431.71</v>
      </c>
    </row>
    <row r="24" spans="1:8" ht="15.75" x14ac:dyDescent="0.25">
      <c r="A24" t="s">
        <v>5</v>
      </c>
      <c r="B24" s="9" t="s">
        <v>7</v>
      </c>
      <c r="C24" s="8">
        <f>H19</f>
        <v>14419.29</v>
      </c>
      <c r="E24" s="13" t="s">
        <v>11</v>
      </c>
      <c r="F24" s="9" t="s">
        <v>181</v>
      </c>
      <c r="G24" s="15" t="s">
        <v>17</v>
      </c>
      <c r="H24" s="3">
        <f>-(F25*0.0077)</f>
        <v>-1621.6200000000001</v>
      </c>
    </row>
    <row r="25" spans="1:8" x14ac:dyDescent="0.25">
      <c r="F25" s="21">
        <f>D3-H3</f>
        <v>210600</v>
      </c>
    </row>
    <row r="26" spans="1:8" ht="15.75" x14ac:dyDescent="0.25">
      <c r="A26" t="s">
        <v>8</v>
      </c>
      <c r="B26" s="9" t="s">
        <v>7</v>
      </c>
      <c r="C26" s="8">
        <f>D3*0.004</f>
        <v>1040</v>
      </c>
      <c r="F26" s="9" t="s">
        <v>13</v>
      </c>
      <c r="G26" s="16">
        <v>0.35</v>
      </c>
      <c r="H26" s="29">
        <f>-(F27*0.35)</f>
        <v>-21151.0985</v>
      </c>
    </row>
    <row r="27" spans="1:8" ht="15.75" thickBot="1" x14ac:dyDescent="0.3">
      <c r="F27" s="21">
        <f>H22</f>
        <v>60431.71</v>
      </c>
      <c r="H27" s="7"/>
    </row>
    <row r="28" spans="1:8" x14ac:dyDescent="0.25">
      <c r="A28" t="s">
        <v>769</v>
      </c>
      <c r="B28" s="9" t="s">
        <v>7</v>
      </c>
      <c r="C28" s="6"/>
      <c r="G28" s="13" t="s">
        <v>14</v>
      </c>
      <c r="H28" s="6">
        <f>H22+H24+H26</f>
        <v>37658.991499999996</v>
      </c>
    </row>
    <row r="29" spans="1:8" ht="15.75" thickBot="1" x14ac:dyDescent="0.3">
      <c r="A29" s="16">
        <v>2.5000000000000001E-2</v>
      </c>
      <c r="B29" s="34" t="s">
        <v>770</v>
      </c>
      <c r="C29" s="7"/>
    </row>
    <row r="30" spans="1:8" x14ac:dyDescent="0.25">
      <c r="E30" t="s">
        <v>151</v>
      </c>
      <c r="H30" s="20">
        <f>H28*0.5</f>
        <v>18829.495749999998</v>
      </c>
    </row>
    <row r="31" spans="1:8" ht="15.75" x14ac:dyDescent="0.25">
      <c r="A31" t="s">
        <v>10</v>
      </c>
      <c r="C31" s="10">
        <f>C22-C24-C26-C28</f>
        <v>60431.71</v>
      </c>
      <c r="H31" s="18"/>
    </row>
    <row r="32" spans="1:8" x14ac:dyDescent="0.25">
      <c r="H32" s="3"/>
    </row>
    <row r="33" spans="8:8" x14ac:dyDescent="0.25">
      <c r="H33" s="18"/>
    </row>
  </sheetData>
  <pageMargins left="0.7" right="0.7" top="0.75" bottom="0.75" header="0.3" footer="0.3"/>
</worksheet>
</file>

<file path=xl/worksheets/sheet5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86886-079C-45D9-ADC0-AC79F029635E}">
  <dimension ref="A1:H33"/>
  <sheetViews>
    <sheetView workbookViewId="0">
      <selection sqref="A1:XFD1048576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849</v>
      </c>
    </row>
    <row r="3" spans="1:8" ht="21" x14ac:dyDescent="0.35">
      <c r="A3" s="2" t="s">
        <v>1</v>
      </c>
      <c r="C3" s="11">
        <v>1270316</v>
      </c>
      <c r="D3" s="11">
        <f>(C3/1.19)</f>
        <v>1067492.4369747899</v>
      </c>
      <c r="F3" s="12" t="s">
        <v>3</v>
      </c>
      <c r="H3" s="11">
        <f>D3*0.19</f>
        <v>202823.56302521008</v>
      </c>
    </row>
    <row r="4" spans="1:8" x14ac:dyDescent="0.25">
      <c r="A4" s="13" t="s">
        <v>32</v>
      </c>
      <c r="C4" s="26" t="s">
        <v>850</v>
      </c>
    </row>
    <row r="5" spans="1:8" ht="21" x14ac:dyDescent="0.35">
      <c r="A5" s="2" t="s">
        <v>2</v>
      </c>
    </row>
    <row r="7" spans="1:8" ht="18.75" x14ac:dyDescent="0.3">
      <c r="D7" s="4"/>
      <c r="E7" s="25"/>
      <c r="H7" s="4"/>
    </row>
    <row r="8" spans="1:8" ht="18.75" x14ac:dyDescent="0.3">
      <c r="A8" s="5" t="s">
        <v>221</v>
      </c>
      <c r="C8" s="3"/>
      <c r="D8" s="28">
        <v>788516</v>
      </c>
      <c r="E8" s="25"/>
      <c r="H8" s="4">
        <f>D8*0.19</f>
        <v>149818.04</v>
      </c>
    </row>
    <row r="9" spans="1:8" ht="18.75" x14ac:dyDescent="0.3">
      <c r="A9" s="5"/>
      <c r="C9" s="3"/>
      <c r="D9" s="28"/>
      <c r="E9" s="25"/>
      <c r="H9" s="4">
        <v>0</v>
      </c>
    </row>
    <row r="10" spans="1:8" ht="18.75" x14ac:dyDescent="0.3">
      <c r="A10" s="5"/>
      <c r="C10" s="3"/>
      <c r="D10" s="28"/>
      <c r="E10" s="25"/>
      <c r="H10" s="4">
        <f t="shared" ref="H10:H12" si="0">(D10/1.19)*0.19</f>
        <v>0</v>
      </c>
    </row>
    <row r="11" spans="1:8" ht="18.75" x14ac:dyDescent="0.3">
      <c r="A11" s="5"/>
      <c r="C11" s="3"/>
      <c r="D11" s="28"/>
      <c r="E11" s="25"/>
      <c r="H11" s="4">
        <f t="shared" si="0"/>
        <v>0</v>
      </c>
    </row>
    <row r="12" spans="1:8" ht="19.5" thickBot="1" x14ac:dyDescent="0.35">
      <c r="A12" s="5"/>
      <c r="C12" s="3"/>
      <c r="D12" s="22"/>
      <c r="E12" s="25"/>
      <c r="H12" s="22">
        <v>0</v>
      </c>
    </row>
    <row r="13" spans="1:8" ht="18.75" customHeight="1" x14ac:dyDescent="0.3">
      <c r="D13" s="4">
        <f>SUM(D7:D12)</f>
        <v>788516</v>
      </c>
      <c r="H13" s="4">
        <f>SUM(H7:H12)</f>
        <v>149818.04</v>
      </c>
    </row>
    <row r="14" spans="1:8" ht="18.75" x14ac:dyDescent="0.3">
      <c r="A14" s="5"/>
      <c r="C14" s="3"/>
      <c r="D14" s="4"/>
      <c r="H14" s="4"/>
    </row>
    <row r="16" spans="1:8" ht="18.75" x14ac:dyDescent="0.3">
      <c r="A16" s="5"/>
      <c r="C16" s="3"/>
      <c r="D16" s="4"/>
      <c r="H16" s="4"/>
    </row>
    <row r="17" spans="1:8" ht="15.75" thickBot="1" x14ac:dyDescent="0.3">
      <c r="D17" s="7"/>
      <c r="H17" s="7"/>
    </row>
    <row r="19" spans="1:8" ht="18.75" x14ac:dyDescent="0.3">
      <c r="C19" t="s">
        <v>4</v>
      </c>
      <c r="D19" s="4">
        <f>D3-D13</f>
        <v>278976.43697478995</v>
      </c>
      <c r="G19" t="s">
        <v>5</v>
      </c>
      <c r="H19" s="4">
        <f>H3-H13</f>
        <v>53005.523025210074</v>
      </c>
    </row>
    <row r="22" spans="1:8" ht="15.75" x14ac:dyDescent="0.25">
      <c r="A22" t="s">
        <v>6</v>
      </c>
      <c r="C22" s="8">
        <f>D19</f>
        <v>278976.43697478995</v>
      </c>
      <c r="E22" t="s">
        <v>10</v>
      </c>
      <c r="H22" s="6">
        <f>C31</f>
        <v>221700.94420168072</v>
      </c>
    </row>
    <row r="24" spans="1:8" ht="15.75" x14ac:dyDescent="0.25">
      <c r="A24" t="s">
        <v>5</v>
      </c>
      <c r="B24" s="9" t="s">
        <v>7</v>
      </c>
      <c r="C24" s="8">
        <f>H19</f>
        <v>53005.523025210074</v>
      </c>
      <c r="E24" s="13" t="s">
        <v>11</v>
      </c>
      <c r="F24" s="9" t="s">
        <v>181</v>
      </c>
      <c r="G24" s="15" t="s">
        <v>17</v>
      </c>
      <c r="H24" s="3">
        <f>-(F25*0.0077)</f>
        <v>-6657.9503294117658</v>
      </c>
    </row>
    <row r="25" spans="1:8" x14ac:dyDescent="0.25">
      <c r="F25" s="21">
        <f>D3-H3</f>
        <v>864668.87394957989</v>
      </c>
    </row>
    <row r="26" spans="1:8" ht="15.75" x14ac:dyDescent="0.25">
      <c r="A26" t="s">
        <v>8</v>
      </c>
      <c r="B26" s="9" t="s">
        <v>7</v>
      </c>
      <c r="C26" s="8">
        <f>D3*0.004</f>
        <v>4269.9697478991602</v>
      </c>
      <c r="F26" s="9" t="s">
        <v>13</v>
      </c>
      <c r="G26" s="16">
        <v>0.35</v>
      </c>
      <c r="H26" s="29">
        <f>-(F27*0.35)</f>
        <v>-77595.330470588247</v>
      </c>
    </row>
    <row r="27" spans="1:8" ht="15.75" thickBot="1" x14ac:dyDescent="0.3">
      <c r="F27" s="21">
        <f>H22</f>
        <v>221700.94420168072</v>
      </c>
      <c r="H27" s="7"/>
    </row>
    <row r="28" spans="1:8" x14ac:dyDescent="0.25">
      <c r="A28" t="s">
        <v>769</v>
      </c>
      <c r="B28" s="9" t="s">
        <v>7</v>
      </c>
      <c r="C28" s="6"/>
      <c r="G28" s="13" t="s">
        <v>14</v>
      </c>
      <c r="H28" s="6">
        <f>H22+H24+H26</f>
        <v>137447.66340168071</v>
      </c>
    </row>
    <row r="29" spans="1:8" ht="15.75" thickBot="1" x14ac:dyDescent="0.3">
      <c r="A29" s="16">
        <v>2.5000000000000001E-2</v>
      </c>
      <c r="B29" s="34" t="s">
        <v>770</v>
      </c>
      <c r="C29" s="7"/>
    </row>
    <row r="30" spans="1:8" x14ac:dyDescent="0.25">
      <c r="E30" t="s">
        <v>151</v>
      </c>
      <c r="H30" s="20">
        <f>H28*0.5</f>
        <v>68723.831700840354</v>
      </c>
    </row>
    <row r="31" spans="1:8" ht="15.75" x14ac:dyDescent="0.25">
      <c r="A31" t="s">
        <v>10</v>
      </c>
      <c r="C31" s="10">
        <f>C22-C24-C26-C28</f>
        <v>221700.94420168072</v>
      </c>
      <c r="H31" s="18"/>
    </row>
    <row r="32" spans="1:8" x14ac:dyDescent="0.25">
      <c r="H32" s="3"/>
    </row>
    <row r="33" spans="8:8" x14ac:dyDescent="0.25">
      <c r="H33" s="18"/>
    </row>
  </sheetData>
  <pageMargins left="0.7" right="0.7" top="0.75" bottom="0.75" header="0.3" footer="0.3"/>
</worksheet>
</file>

<file path=xl/worksheets/sheet5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37248-9668-480A-92C0-278328548374}">
  <dimension ref="A1:H33"/>
  <sheetViews>
    <sheetView workbookViewId="0">
      <selection sqref="A1:XFD1048576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851</v>
      </c>
    </row>
    <row r="3" spans="1:8" ht="21" x14ac:dyDescent="0.35">
      <c r="A3" s="2" t="s">
        <v>1</v>
      </c>
      <c r="C3" s="11">
        <v>1031730</v>
      </c>
      <c r="D3" s="11">
        <f>(C3/1.19)</f>
        <v>867000</v>
      </c>
      <c r="F3" s="12" t="s">
        <v>3</v>
      </c>
      <c r="H3" s="11">
        <f>D3*0.19</f>
        <v>164730</v>
      </c>
    </row>
    <row r="4" spans="1:8" x14ac:dyDescent="0.25">
      <c r="A4" s="13" t="s">
        <v>32</v>
      </c>
      <c r="C4" s="26" t="s">
        <v>852</v>
      </c>
    </row>
    <row r="5" spans="1:8" ht="21" x14ac:dyDescent="0.35">
      <c r="A5" s="2" t="s">
        <v>2</v>
      </c>
    </row>
    <row r="7" spans="1:8" ht="18.75" x14ac:dyDescent="0.3">
      <c r="D7" s="4"/>
      <c r="E7" s="25"/>
      <c r="H7" s="4"/>
    </row>
    <row r="8" spans="1:8" ht="18.75" x14ac:dyDescent="0.3">
      <c r="A8" s="5" t="s">
        <v>221</v>
      </c>
      <c r="C8" s="3"/>
      <c r="D8" s="28">
        <v>576090</v>
      </c>
      <c r="E8" s="25"/>
      <c r="H8" s="4">
        <f>D8*0.19</f>
        <v>109457.1</v>
      </c>
    </row>
    <row r="9" spans="1:8" ht="18.75" x14ac:dyDescent="0.3">
      <c r="A9" s="5" t="s">
        <v>39</v>
      </c>
      <c r="C9" s="3"/>
      <c r="D9" s="28">
        <v>50000</v>
      </c>
      <c r="E9" s="25"/>
      <c r="H9" s="4">
        <v>0</v>
      </c>
    </row>
    <row r="10" spans="1:8" ht="18.75" x14ac:dyDescent="0.3">
      <c r="A10" s="5"/>
      <c r="C10" s="3"/>
      <c r="D10" s="28"/>
      <c r="E10" s="25"/>
      <c r="H10" s="4">
        <f t="shared" ref="H10:H12" si="0">(D10/1.19)*0.19</f>
        <v>0</v>
      </c>
    </row>
    <row r="11" spans="1:8" ht="18.75" x14ac:dyDescent="0.3">
      <c r="A11" s="5"/>
      <c r="C11" s="3"/>
      <c r="D11" s="28"/>
      <c r="E11" s="25"/>
      <c r="H11" s="4">
        <f t="shared" si="0"/>
        <v>0</v>
      </c>
    </row>
    <row r="12" spans="1:8" ht="19.5" thickBot="1" x14ac:dyDescent="0.35">
      <c r="A12" s="5"/>
      <c r="C12" s="3"/>
      <c r="D12" s="22"/>
      <c r="E12" s="25"/>
      <c r="H12" s="22">
        <v>0</v>
      </c>
    </row>
    <row r="13" spans="1:8" ht="18.75" customHeight="1" x14ac:dyDescent="0.3">
      <c r="D13" s="4">
        <f>SUM(D7:D12)</f>
        <v>626090</v>
      </c>
      <c r="H13" s="4">
        <f>SUM(H7:H12)</f>
        <v>109457.1</v>
      </c>
    </row>
    <row r="14" spans="1:8" ht="18.75" x14ac:dyDescent="0.3">
      <c r="A14" s="5"/>
      <c r="C14" s="3"/>
      <c r="D14" s="4"/>
      <c r="H14" s="4"/>
    </row>
    <row r="16" spans="1:8" ht="18.75" x14ac:dyDescent="0.3">
      <c r="A16" s="5"/>
      <c r="C16" s="3"/>
      <c r="D16" s="4"/>
      <c r="H16" s="4"/>
    </row>
    <row r="17" spans="1:8" ht="15.75" thickBot="1" x14ac:dyDescent="0.3">
      <c r="D17" s="7"/>
      <c r="H17" s="7"/>
    </row>
    <row r="19" spans="1:8" ht="18.75" x14ac:dyDescent="0.3">
      <c r="C19" t="s">
        <v>4</v>
      </c>
      <c r="D19" s="4">
        <f>D3-D13</f>
        <v>240910</v>
      </c>
      <c r="G19" t="s">
        <v>5</v>
      </c>
      <c r="H19" s="4">
        <f>H3-H13</f>
        <v>55272.899999999994</v>
      </c>
    </row>
    <row r="22" spans="1:8" ht="15.75" x14ac:dyDescent="0.25">
      <c r="A22" t="s">
        <v>6</v>
      </c>
      <c r="C22" s="8">
        <f>D19</f>
        <v>240910</v>
      </c>
      <c r="E22" t="s">
        <v>10</v>
      </c>
      <c r="H22" s="6">
        <f>C31</f>
        <v>182169.1</v>
      </c>
    </row>
    <row r="24" spans="1:8" ht="15.75" x14ac:dyDescent="0.25">
      <c r="A24" t="s">
        <v>5</v>
      </c>
      <c r="B24" s="9" t="s">
        <v>7</v>
      </c>
      <c r="C24" s="8">
        <f>H19</f>
        <v>55272.899999999994</v>
      </c>
      <c r="E24" s="13" t="s">
        <v>11</v>
      </c>
      <c r="F24" s="9" t="s">
        <v>181</v>
      </c>
      <c r="G24" s="15" t="s">
        <v>17</v>
      </c>
      <c r="H24" s="3">
        <f>-(F25*0.0077)</f>
        <v>-5407.4790000000003</v>
      </c>
    </row>
    <row r="25" spans="1:8" x14ac:dyDescent="0.25">
      <c r="F25" s="21">
        <f>D3-H3</f>
        <v>702270</v>
      </c>
    </row>
    <row r="26" spans="1:8" ht="15.75" x14ac:dyDescent="0.25">
      <c r="A26" t="s">
        <v>8</v>
      </c>
      <c r="B26" s="9" t="s">
        <v>7</v>
      </c>
      <c r="C26" s="8">
        <f>D3*0.004</f>
        <v>3468</v>
      </c>
      <c r="F26" s="9" t="s">
        <v>13</v>
      </c>
      <c r="G26" s="16">
        <v>0.35</v>
      </c>
      <c r="H26" s="29">
        <f>-(F27*0.35)</f>
        <v>-63759.184999999998</v>
      </c>
    </row>
    <row r="27" spans="1:8" ht="15.75" thickBot="1" x14ac:dyDescent="0.3">
      <c r="F27" s="21">
        <f>H22</f>
        <v>182169.1</v>
      </c>
      <c r="H27" s="7"/>
    </row>
    <row r="28" spans="1:8" x14ac:dyDescent="0.25">
      <c r="A28" t="s">
        <v>769</v>
      </c>
      <c r="B28" s="9" t="s">
        <v>7</v>
      </c>
      <c r="C28" s="6"/>
      <c r="G28" s="13" t="s">
        <v>14</v>
      </c>
      <c r="H28" s="6">
        <f>H22+H24+H26</f>
        <v>113002.43600000002</v>
      </c>
    </row>
    <row r="29" spans="1:8" ht="15.75" thickBot="1" x14ac:dyDescent="0.3">
      <c r="A29" s="16">
        <v>2.5000000000000001E-2</v>
      </c>
      <c r="B29" s="34" t="s">
        <v>770</v>
      </c>
      <c r="C29" s="7"/>
    </row>
    <row r="30" spans="1:8" x14ac:dyDescent="0.25">
      <c r="E30" t="s">
        <v>151</v>
      </c>
      <c r="H30" s="20">
        <f>H28*0.5</f>
        <v>56501.218000000008</v>
      </c>
    </row>
    <row r="31" spans="1:8" ht="15.75" x14ac:dyDescent="0.25">
      <c r="A31" t="s">
        <v>10</v>
      </c>
      <c r="C31" s="10">
        <f>C22-C24-C26-C28</f>
        <v>182169.1</v>
      </c>
      <c r="H31" s="18"/>
    </row>
    <row r="32" spans="1:8" x14ac:dyDescent="0.25">
      <c r="H32" s="3"/>
    </row>
    <row r="33" spans="8:8" x14ac:dyDescent="0.25">
      <c r="H33" s="18"/>
    </row>
  </sheetData>
  <pageMargins left="0.7" right="0.7" top="0.75" bottom="0.75" header="0.3" footer="0.3"/>
</worksheet>
</file>

<file path=xl/worksheets/sheet5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405A8-6E6C-4193-AAEB-62D1840A6CE1}">
  <dimension ref="A1:H33"/>
  <sheetViews>
    <sheetView workbookViewId="0">
      <selection sqref="A1:XFD1048576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853</v>
      </c>
    </row>
    <row r="3" spans="1:8" ht="21" x14ac:dyDescent="0.35">
      <c r="A3" s="2" t="s">
        <v>1</v>
      </c>
      <c r="C3" s="11">
        <v>544055</v>
      </c>
      <c r="D3" s="11">
        <f>(C3/1.19)</f>
        <v>457189.07563025213</v>
      </c>
      <c r="F3" s="12" t="s">
        <v>3</v>
      </c>
      <c r="H3" s="11">
        <f>D3*0.19</f>
        <v>86865.924369747911</v>
      </c>
    </row>
    <row r="4" spans="1:8" x14ac:dyDescent="0.25">
      <c r="A4" s="13" t="s">
        <v>32</v>
      </c>
      <c r="C4" s="26" t="s">
        <v>854</v>
      </c>
    </row>
    <row r="5" spans="1:8" ht="21" x14ac:dyDescent="0.35">
      <c r="A5" s="2" t="s">
        <v>2</v>
      </c>
    </row>
    <row r="7" spans="1:8" ht="18.75" x14ac:dyDescent="0.3">
      <c r="D7" s="4"/>
      <c r="E7" s="25"/>
      <c r="H7" s="4"/>
    </row>
    <row r="8" spans="1:8" ht="18.75" x14ac:dyDescent="0.3">
      <c r="A8" s="5" t="s">
        <v>221</v>
      </c>
      <c r="C8" s="3"/>
      <c r="D8" s="28">
        <v>367750</v>
      </c>
      <c r="E8" s="25"/>
      <c r="H8" s="4">
        <f>D8*0.19</f>
        <v>69872.5</v>
      </c>
    </row>
    <row r="9" spans="1:8" ht="18.75" x14ac:dyDescent="0.3">
      <c r="A9" s="5"/>
      <c r="C9" s="3"/>
      <c r="D9" s="28"/>
      <c r="E9" s="25"/>
      <c r="H9" s="4">
        <v>0</v>
      </c>
    </row>
    <row r="10" spans="1:8" ht="18.75" x14ac:dyDescent="0.3">
      <c r="A10" s="5"/>
      <c r="C10" s="3"/>
      <c r="D10" s="28"/>
      <c r="E10" s="25"/>
      <c r="H10" s="4">
        <f t="shared" ref="H10:H12" si="0">(D10/1.19)*0.19</f>
        <v>0</v>
      </c>
    </row>
    <row r="11" spans="1:8" ht="18.75" x14ac:dyDescent="0.3">
      <c r="A11" s="5"/>
      <c r="C11" s="3"/>
      <c r="D11" s="28"/>
      <c r="E11" s="25"/>
      <c r="H11" s="4">
        <f t="shared" si="0"/>
        <v>0</v>
      </c>
    </row>
    <row r="12" spans="1:8" ht="19.5" thickBot="1" x14ac:dyDescent="0.35">
      <c r="A12" s="5"/>
      <c r="C12" s="3"/>
      <c r="D12" s="22"/>
      <c r="E12" s="25"/>
      <c r="H12" s="22">
        <v>0</v>
      </c>
    </row>
    <row r="13" spans="1:8" ht="18.75" customHeight="1" x14ac:dyDescent="0.3">
      <c r="D13" s="4">
        <f>SUM(D7:D12)</f>
        <v>367750</v>
      </c>
      <c r="H13" s="4">
        <f>SUM(H7:H12)</f>
        <v>69872.5</v>
      </c>
    </row>
    <row r="14" spans="1:8" ht="18.75" x14ac:dyDescent="0.3">
      <c r="A14" s="5"/>
      <c r="C14" s="3"/>
      <c r="D14" s="4"/>
      <c r="H14" s="4"/>
    </row>
    <row r="16" spans="1:8" ht="18.75" x14ac:dyDescent="0.3">
      <c r="A16" s="5"/>
      <c r="C16" s="3"/>
      <c r="D16" s="4"/>
      <c r="H16" s="4"/>
    </row>
    <row r="17" spans="1:8" ht="15.75" thickBot="1" x14ac:dyDescent="0.3">
      <c r="D17" s="7"/>
      <c r="H17" s="7"/>
    </row>
    <row r="19" spans="1:8" ht="18.75" x14ac:dyDescent="0.3">
      <c r="C19" t="s">
        <v>4</v>
      </c>
      <c r="D19" s="4">
        <f>D3-D13</f>
        <v>89439.075630252133</v>
      </c>
      <c r="G19" t="s">
        <v>5</v>
      </c>
      <c r="H19" s="4">
        <f>H3-H13</f>
        <v>16993.424369747911</v>
      </c>
    </row>
    <row r="22" spans="1:8" ht="15.75" x14ac:dyDescent="0.25">
      <c r="A22" t="s">
        <v>6</v>
      </c>
      <c r="C22" s="8">
        <f>D19</f>
        <v>89439.075630252133</v>
      </c>
      <c r="E22" t="s">
        <v>10</v>
      </c>
      <c r="H22" s="6">
        <f>C31</f>
        <v>70616.894957983211</v>
      </c>
    </row>
    <row r="24" spans="1:8" ht="15.75" x14ac:dyDescent="0.25">
      <c r="A24" t="s">
        <v>5</v>
      </c>
      <c r="B24" s="9" t="s">
        <v>7</v>
      </c>
      <c r="C24" s="8">
        <f>H19</f>
        <v>16993.424369747911</v>
      </c>
      <c r="E24" s="13" t="s">
        <v>11</v>
      </c>
      <c r="F24" s="9" t="s">
        <v>181</v>
      </c>
      <c r="G24" s="15" t="s">
        <v>17</v>
      </c>
      <c r="H24" s="3">
        <f>-(F25*0.0077)</f>
        <v>-2851.4882647058826</v>
      </c>
    </row>
    <row r="25" spans="1:8" x14ac:dyDescent="0.25">
      <c r="F25" s="21">
        <f>D3-H3</f>
        <v>370323.15126050421</v>
      </c>
    </row>
    <row r="26" spans="1:8" ht="15.75" x14ac:dyDescent="0.25">
      <c r="A26" t="s">
        <v>8</v>
      </c>
      <c r="B26" s="9" t="s">
        <v>7</v>
      </c>
      <c r="C26" s="8">
        <f>D3*0.004</f>
        <v>1828.7563025210086</v>
      </c>
      <c r="F26" s="9" t="s">
        <v>13</v>
      </c>
      <c r="G26" s="16">
        <v>0.35</v>
      </c>
      <c r="H26" s="29">
        <f>-(F27*0.35)</f>
        <v>-24715.913235294123</v>
      </c>
    </row>
    <row r="27" spans="1:8" ht="15.75" thickBot="1" x14ac:dyDescent="0.3">
      <c r="F27" s="21">
        <f>H22</f>
        <v>70616.894957983211</v>
      </c>
      <c r="H27" s="7"/>
    </row>
    <row r="28" spans="1:8" x14ac:dyDescent="0.25">
      <c r="A28" t="s">
        <v>769</v>
      </c>
      <c r="B28" s="9" t="s">
        <v>7</v>
      </c>
      <c r="C28" s="6"/>
      <c r="G28" s="13" t="s">
        <v>14</v>
      </c>
      <c r="H28" s="6">
        <f>H22+H24+H26</f>
        <v>43049.493457983204</v>
      </c>
    </row>
    <row r="29" spans="1:8" ht="15.75" thickBot="1" x14ac:dyDescent="0.3">
      <c r="A29" s="16">
        <v>2.5000000000000001E-2</v>
      </c>
      <c r="B29" s="34" t="s">
        <v>770</v>
      </c>
      <c r="C29" s="7"/>
    </row>
    <row r="30" spans="1:8" x14ac:dyDescent="0.25">
      <c r="E30" t="s">
        <v>151</v>
      </c>
      <c r="H30" s="20">
        <f>H28*0.5</f>
        <v>21524.746728991602</v>
      </c>
    </row>
    <row r="31" spans="1:8" ht="15.75" x14ac:dyDescent="0.25">
      <c r="A31" t="s">
        <v>10</v>
      </c>
      <c r="C31" s="10">
        <f>C22-C24-C26-C28</f>
        <v>70616.894957983211</v>
      </c>
      <c r="H31" s="18"/>
    </row>
    <row r="32" spans="1:8" x14ac:dyDescent="0.25">
      <c r="H32" s="3"/>
    </row>
    <row r="33" spans="8:8" x14ac:dyDescent="0.25">
      <c r="H33" s="18"/>
    </row>
  </sheetData>
  <pageMargins left="0.7" right="0.7" top="0.75" bottom="0.75" header="0.3" footer="0.3"/>
</worksheet>
</file>

<file path=xl/worksheets/sheet5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D4E54-E24F-415B-9BF0-FBB6DA94B464}">
  <dimension ref="A1:H33"/>
  <sheetViews>
    <sheetView tabSelected="1" topLeftCell="A13" workbookViewId="0">
      <selection activeCell="F14" sqref="F14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855</v>
      </c>
    </row>
    <row r="3" spans="1:8" ht="21" x14ac:dyDescent="0.35">
      <c r="A3" s="2" t="s">
        <v>1</v>
      </c>
      <c r="C3" s="11">
        <v>155771</v>
      </c>
      <c r="D3" s="11">
        <f>(C3/1.19)</f>
        <v>130900</v>
      </c>
      <c r="F3" s="12" t="s">
        <v>3</v>
      </c>
      <c r="H3" s="11">
        <f>D3*0.19</f>
        <v>24871</v>
      </c>
    </row>
    <row r="4" spans="1:8" x14ac:dyDescent="0.25">
      <c r="A4" s="13" t="s">
        <v>32</v>
      </c>
      <c r="C4" s="26" t="s">
        <v>854</v>
      </c>
    </row>
    <row r="5" spans="1:8" ht="21" x14ac:dyDescent="0.35">
      <c r="A5" s="2" t="s">
        <v>2</v>
      </c>
    </row>
    <row r="7" spans="1:8" ht="18.75" x14ac:dyDescent="0.3">
      <c r="D7" s="4"/>
      <c r="E7" s="25"/>
      <c r="H7" s="4"/>
    </row>
    <row r="8" spans="1:8" ht="18.75" x14ac:dyDescent="0.3">
      <c r="A8" s="5" t="s">
        <v>221</v>
      </c>
      <c r="C8" s="3"/>
      <c r="D8" s="28">
        <v>64525</v>
      </c>
      <c r="E8" s="25"/>
      <c r="H8" s="4">
        <f>D8*0.19</f>
        <v>12259.75</v>
      </c>
    </row>
    <row r="9" spans="1:8" ht="18.75" x14ac:dyDescent="0.3">
      <c r="A9" s="5"/>
      <c r="C9" s="3"/>
      <c r="D9" s="28"/>
      <c r="E9" s="25"/>
      <c r="H9" s="4">
        <v>0</v>
      </c>
    </row>
    <row r="10" spans="1:8" ht="18.75" x14ac:dyDescent="0.3">
      <c r="A10" s="5"/>
      <c r="C10" s="3"/>
      <c r="D10" s="28"/>
      <c r="E10" s="25"/>
      <c r="H10" s="4">
        <f t="shared" ref="H10:H12" si="0">(D10/1.19)*0.19</f>
        <v>0</v>
      </c>
    </row>
    <row r="11" spans="1:8" ht="18.75" x14ac:dyDescent="0.3">
      <c r="A11" s="5"/>
      <c r="C11" s="3"/>
      <c r="D11" s="28"/>
      <c r="E11" s="25"/>
      <c r="H11" s="4">
        <f t="shared" si="0"/>
        <v>0</v>
      </c>
    </row>
    <row r="12" spans="1:8" ht="19.5" thickBot="1" x14ac:dyDescent="0.35">
      <c r="A12" s="5"/>
      <c r="C12" s="3"/>
      <c r="D12" s="22"/>
      <c r="E12" s="25"/>
      <c r="H12" s="22">
        <v>0</v>
      </c>
    </row>
    <row r="13" spans="1:8" ht="18.75" customHeight="1" x14ac:dyDescent="0.3">
      <c r="D13" s="4">
        <f>SUM(D7:D12)</f>
        <v>64525</v>
      </c>
      <c r="H13" s="4">
        <f>SUM(H7:H12)</f>
        <v>12259.75</v>
      </c>
    </row>
    <row r="14" spans="1:8" ht="18.75" x14ac:dyDescent="0.3">
      <c r="A14" s="5"/>
      <c r="C14" s="3"/>
      <c r="D14" s="4"/>
      <c r="H14" s="4"/>
    </row>
    <row r="16" spans="1:8" ht="18.75" x14ac:dyDescent="0.3">
      <c r="A16" s="5"/>
      <c r="C16" s="3"/>
      <c r="D16" s="4"/>
      <c r="H16" s="4"/>
    </row>
    <row r="17" spans="1:8" ht="15.75" thickBot="1" x14ac:dyDescent="0.3">
      <c r="D17" s="7"/>
      <c r="H17" s="7"/>
    </row>
    <row r="19" spans="1:8" ht="18.75" x14ac:dyDescent="0.3">
      <c r="C19" t="s">
        <v>4</v>
      </c>
      <c r="D19" s="4">
        <f>D3-D13</f>
        <v>66375</v>
      </c>
      <c r="G19" t="s">
        <v>5</v>
      </c>
      <c r="H19" s="4">
        <f>H3-H13</f>
        <v>12611.25</v>
      </c>
    </row>
    <row r="22" spans="1:8" ht="15.75" x14ac:dyDescent="0.25">
      <c r="A22" t="s">
        <v>6</v>
      </c>
      <c r="C22" s="8">
        <f>D19</f>
        <v>66375</v>
      </c>
      <c r="E22" t="s">
        <v>10</v>
      </c>
      <c r="H22" s="6">
        <f>C31</f>
        <v>53240.15</v>
      </c>
    </row>
    <row r="24" spans="1:8" ht="15.75" x14ac:dyDescent="0.25">
      <c r="A24" t="s">
        <v>5</v>
      </c>
      <c r="B24" s="9" t="s">
        <v>7</v>
      </c>
      <c r="C24" s="8">
        <f>H19</f>
        <v>12611.25</v>
      </c>
      <c r="E24" s="13" t="s">
        <v>11</v>
      </c>
      <c r="F24" s="9" t="s">
        <v>181</v>
      </c>
      <c r="G24" s="15" t="s">
        <v>17</v>
      </c>
      <c r="H24" s="3">
        <f>-(F25*0.0077)</f>
        <v>-816.42330000000004</v>
      </c>
    </row>
    <row r="25" spans="1:8" x14ac:dyDescent="0.25">
      <c r="F25" s="21">
        <f>D3-H3</f>
        <v>106029</v>
      </c>
    </row>
    <row r="26" spans="1:8" ht="15.75" x14ac:dyDescent="0.25">
      <c r="A26" t="s">
        <v>8</v>
      </c>
      <c r="B26" s="9" t="s">
        <v>7</v>
      </c>
      <c r="C26" s="8">
        <f>D3*0.004</f>
        <v>523.6</v>
      </c>
      <c r="F26" s="9" t="s">
        <v>13</v>
      </c>
      <c r="G26" s="16">
        <v>0.35</v>
      </c>
      <c r="H26" s="29">
        <f>-(F27*0.35)</f>
        <v>-18634.052499999998</v>
      </c>
    </row>
    <row r="27" spans="1:8" ht="15.75" thickBot="1" x14ac:dyDescent="0.3">
      <c r="F27" s="21">
        <f>H22</f>
        <v>53240.15</v>
      </c>
      <c r="H27" s="7"/>
    </row>
    <row r="28" spans="1:8" x14ac:dyDescent="0.25">
      <c r="A28" t="s">
        <v>769</v>
      </c>
      <c r="B28" s="9" t="s">
        <v>7</v>
      </c>
      <c r="C28" s="6"/>
      <c r="G28" s="13" t="s">
        <v>14</v>
      </c>
      <c r="H28" s="6">
        <f>H22+H24+H26</f>
        <v>33789.674200000001</v>
      </c>
    </row>
    <row r="29" spans="1:8" ht="15.75" thickBot="1" x14ac:dyDescent="0.3">
      <c r="A29" s="16">
        <v>2.5000000000000001E-2</v>
      </c>
      <c r="B29" s="34" t="s">
        <v>770</v>
      </c>
      <c r="C29" s="7"/>
    </row>
    <row r="30" spans="1:8" x14ac:dyDescent="0.25">
      <c r="E30" t="s">
        <v>151</v>
      </c>
      <c r="H30" s="20">
        <f>H28*0.5</f>
        <v>16894.837100000001</v>
      </c>
    </row>
    <row r="31" spans="1:8" ht="15.75" x14ac:dyDescent="0.25">
      <c r="A31" t="s">
        <v>10</v>
      </c>
      <c r="C31" s="10">
        <f>C22-C24-C26-C28</f>
        <v>53240.15</v>
      </c>
      <c r="H31" s="18"/>
    </row>
    <row r="32" spans="1:8" x14ac:dyDescent="0.25">
      <c r="H32" s="3"/>
    </row>
    <row r="33" spans="8:8" x14ac:dyDescent="0.25">
      <c r="H33" s="1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528</vt:i4>
      </vt:variant>
    </vt:vector>
  </HeadingPairs>
  <TitlesOfParts>
    <vt:vector size="528" baseType="lpstr">
      <vt:lpstr>SOINDCO - 230</vt:lpstr>
      <vt:lpstr>EISTEN - 231</vt:lpstr>
      <vt:lpstr>EISTEN - 232</vt:lpstr>
      <vt:lpstr>SOINDCO - 235</vt:lpstr>
      <vt:lpstr>SEBASTIAN NARVAEZ - 236</vt:lpstr>
      <vt:lpstr>AGROMETALICAS - 238</vt:lpstr>
      <vt:lpstr>CARLOS LUGO - 239 - 240</vt:lpstr>
      <vt:lpstr>HUGO F. LOPEZ - 241</vt:lpstr>
      <vt:lpstr>CARLOS LUGO - 244</vt:lpstr>
      <vt:lpstr>SERGTESAS - 245</vt:lpstr>
      <vt:lpstr>AYC SOLUCIONES - 246</vt:lpstr>
      <vt:lpstr>AGRODIAL - 247</vt:lpstr>
      <vt:lpstr>BRONZMETAL - 248</vt:lpstr>
      <vt:lpstr>  251- ANULADA</vt:lpstr>
      <vt:lpstr>VILLEGAS - 252</vt:lpstr>
      <vt:lpstr>AYC SOLUCIONES - 254</vt:lpstr>
      <vt:lpstr>BOMBAS Y FLUIDOS - 256</vt:lpstr>
      <vt:lpstr>IND. JILA - 257</vt:lpstr>
      <vt:lpstr>IND. CORTEZ - 258</vt:lpstr>
      <vt:lpstr>PEPINOSA - 263</vt:lpstr>
      <vt:lpstr>SOIND - 264</vt:lpstr>
      <vt:lpstr>ROCIO BERNAL - 265</vt:lpstr>
      <vt:lpstr>WATERCOL - 266</vt:lpstr>
      <vt:lpstr>SERVIMETAL PALMIRA - 267</vt:lpstr>
      <vt:lpstr>SOIND - 270</vt:lpstr>
      <vt:lpstr>GRIVAN - 271</vt:lpstr>
      <vt:lpstr>AINOX SAS - 274</vt:lpstr>
      <vt:lpstr>WATERCOL - 275</vt:lpstr>
      <vt:lpstr>STB INGENIERIA - 276</vt:lpstr>
      <vt:lpstr>BOMBAS Y FLUIDOS - 280</vt:lpstr>
      <vt:lpstr>MICRON ENERGY - 281</vt:lpstr>
      <vt:lpstr>ASTAIZA - 282</vt:lpstr>
      <vt:lpstr>DICAV - 283</vt:lpstr>
      <vt:lpstr>LUIS FDO. SILVA - 284</vt:lpstr>
      <vt:lpstr>PEPINOSA - 286</vt:lpstr>
      <vt:lpstr>CALDERAS DAZA 287-289</vt:lpstr>
      <vt:lpstr>WATERCOL - 288</vt:lpstr>
      <vt:lpstr>MECAPACIFICO - 290</vt:lpstr>
      <vt:lpstr>FERROVARIEDADES - 291</vt:lpstr>
      <vt:lpstr>VILLEGAS - 292</vt:lpstr>
      <vt:lpstr>GREENPULP SAS - 293</vt:lpstr>
      <vt:lpstr>OMAR MOSQUERA - 294 </vt:lpstr>
      <vt:lpstr>OMAR MOSQUERA - 295</vt:lpstr>
      <vt:lpstr>WG ENERGIA INTEGRAL - 298</vt:lpstr>
      <vt:lpstr>INTERCOL - 303</vt:lpstr>
      <vt:lpstr>FILTRO MOTOR'S - 304</vt:lpstr>
      <vt:lpstr>VILLEGAS - 306</vt:lpstr>
      <vt:lpstr>FORERO CONDE - 311</vt:lpstr>
      <vt:lpstr>MECANIZADOS DEL PACIFICO - 313</vt:lpstr>
      <vt:lpstr>FORERO CONDE - 315</vt:lpstr>
      <vt:lpstr>FERROVARIEDADES - 316</vt:lpstr>
      <vt:lpstr>PCL - 317</vt:lpstr>
      <vt:lpstr>BRONZMETAL - 318</vt:lpstr>
      <vt:lpstr>SOLUCIONES NEUMATICAS - 319</vt:lpstr>
      <vt:lpstr>JRL SAS - 321</vt:lpstr>
      <vt:lpstr>DANY MUÑOZ - 323</vt:lpstr>
      <vt:lpstr>SEMPROS S.A.S. -325</vt:lpstr>
      <vt:lpstr>WATERCOL - 326</vt:lpstr>
      <vt:lpstr>TECNOAJI - 327</vt:lpstr>
      <vt:lpstr>HSC INGENIERIA  - 328</vt:lpstr>
      <vt:lpstr>JGH PROYECTOS  - 329</vt:lpstr>
      <vt:lpstr>RAMIRO CHAUX - 330</vt:lpstr>
      <vt:lpstr>SUMISERV. TECNICOS - 331</vt:lpstr>
      <vt:lpstr>BRONZMETAL - 336</vt:lpstr>
      <vt:lpstr>WG ENERGIA - 337</vt:lpstr>
      <vt:lpstr>SOLUINDCO - 339</vt:lpstr>
      <vt:lpstr>MECANIZADOS IND. - 340</vt:lpstr>
      <vt:lpstr>DIDACONTROL - 343</vt:lpstr>
      <vt:lpstr>RAMIRO CHAUX - 346</vt:lpstr>
      <vt:lpstr>OMAR MOSQUERA - 349</vt:lpstr>
      <vt:lpstr>VILLEGAS - 352</vt:lpstr>
      <vt:lpstr>PEPINOSA - 357</vt:lpstr>
      <vt:lpstr>SOLUINDCO - 359</vt:lpstr>
      <vt:lpstr>SU PROVEEDOR - 363</vt:lpstr>
      <vt:lpstr>VYG CONSTRUCTORES - 364</vt:lpstr>
      <vt:lpstr>PEPINOSA - 365</vt:lpstr>
      <vt:lpstr>VYG CONSTRUCTORES - 366</vt:lpstr>
      <vt:lpstr>WG ENERGIA - 369</vt:lpstr>
      <vt:lpstr>VYG CONSTRUCTORES  - 370</vt:lpstr>
      <vt:lpstr>MECANIZADOS DEL PAC. - 371</vt:lpstr>
      <vt:lpstr>W G ENERGIA - 374</vt:lpstr>
      <vt:lpstr>RAMIRO CHAUX - 375</vt:lpstr>
      <vt:lpstr>SU PROVEEDOR - 376</vt:lpstr>
      <vt:lpstr>FERROVARIEDADES - 377</vt:lpstr>
      <vt:lpstr>REFRIDACAR - 381</vt:lpstr>
      <vt:lpstr>AYC SOLUCIONES -382</vt:lpstr>
      <vt:lpstr>RAMIRO CHAUX - 383</vt:lpstr>
      <vt:lpstr>MECANIZADOS IND. DEL CAUCA - 38</vt:lpstr>
      <vt:lpstr>INOXIDABLES FAGAR - 386</vt:lpstr>
      <vt:lpstr>MFR - 387</vt:lpstr>
      <vt:lpstr>ACUATANK - 388</vt:lpstr>
      <vt:lpstr>S.M.S. - 389</vt:lpstr>
      <vt:lpstr>WG ENERGIA - 392</vt:lpstr>
      <vt:lpstr>COMYSUM DEL VALLLE - 393</vt:lpstr>
      <vt:lpstr>PRODISMEC - 398</vt:lpstr>
      <vt:lpstr>TECN Y MTMTO - 399</vt:lpstr>
      <vt:lpstr>METALBAS - 402</vt:lpstr>
      <vt:lpstr>METALBAS - 405</vt:lpstr>
      <vt:lpstr>COM DE TUB Y LAM - 408</vt:lpstr>
      <vt:lpstr>MAURICIO LISCANO - 412</vt:lpstr>
      <vt:lpstr>METALBAS - 413</vt:lpstr>
      <vt:lpstr>DIDACONTROL S.A.S. 418</vt:lpstr>
      <vt:lpstr>REFRIDACAR - 419</vt:lpstr>
      <vt:lpstr>METALBAS - 420</vt:lpstr>
      <vt:lpstr>HERMAR  - 423</vt:lpstr>
      <vt:lpstr>J R L S.A.S.- 424</vt:lpstr>
      <vt:lpstr>KSA S.A.S. - 425</vt:lpstr>
      <vt:lpstr>FITTING VALVES - 432</vt:lpstr>
      <vt:lpstr>METALBAS - 433</vt:lpstr>
      <vt:lpstr>ACEROSCOL - 435</vt:lpstr>
      <vt:lpstr>SEBASTIAN - 436</vt:lpstr>
      <vt:lpstr>CABARCO - 437</vt:lpstr>
      <vt:lpstr>FONTANEROS - 442</vt:lpstr>
      <vt:lpstr>PEPINOSA - 443</vt:lpstr>
      <vt:lpstr>DRILLING - 444</vt:lpstr>
      <vt:lpstr>ESPY - 445</vt:lpstr>
      <vt:lpstr>SEBASTIAN - 446</vt:lpstr>
      <vt:lpstr>KSA S.A.S. - 447</vt:lpstr>
      <vt:lpstr>PCL - 453</vt:lpstr>
      <vt:lpstr>AMJ - 455</vt:lpstr>
      <vt:lpstr>BRAIMM - 457</vt:lpstr>
      <vt:lpstr>ACUATANK - 458</vt:lpstr>
      <vt:lpstr>SUMING Y MTMTO - 460</vt:lpstr>
      <vt:lpstr>GREENPULP - 462</vt:lpstr>
      <vt:lpstr>INGEGRALES - 463</vt:lpstr>
      <vt:lpstr>LUIS OSORIO - 465</vt:lpstr>
      <vt:lpstr>ITALO MARTINEZ - 466</vt:lpstr>
      <vt:lpstr>RAMIRO CHAUX - 467</vt:lpstr>
      <vt:lpstr>S.M.S.  SAS -468</vt:lpstr>
      <vt:lpstr>AMJ - 469</vt:lpstr>
      <vt:lpstr>METALBAS - 473</vt:lpstr>
      <vt:lpstr>IND. PAZ - 474</vt:lpstr>
      <vt:lpstr>MTMTO METALM. - 477</vt:lpstr>
      <vt:lpstr>PCL - 480</vt:lpstr>
      <vt:lpstr>VARIOS - 482</vt:lpstr>
      <vt:lpstr>PEPINOSA - 486</vt:lpstr>
      <vt:lpstr>IND. CORTEZ - 487</vt:lpstr>
      <vt:lpstr>METALBAS - 488</vt:lpstr>
      <vt:lpstr>CYC - 490</vt:lpstr>
      <vt:lpstr>JOSE FDO. SALAZAR - 494</vt:lpstr>
      <vt:lpstr>AQUARRIEGO LTDA - 495</vt:lpstr>
      <vt:lpstr>AIRMATIC - 496</vt:lpstr>
      <vt:lpstr>FITTING VALVES - 499</vt:lpstr>
      <vt:lpstr>FERMIN MUÑOZ - 500</vt:lpstr>
      <vt:lpstr>IND WALD - 501</vt:lpstr>
      <vt:lpstr>SUMIND Y MTMTO - 503</vt:lpstr>
      <vt:lpstr>SUMIND Y MTMTO - 504</vt:lpstr>
      <vt:lpstr>PCL - 506</vt:lpstr>
      <vt:lpstr>HERMAR - 507</vt:lpstr>
      <vt:lpstr>SOLIND Y MTMTO - 511</vt:lpstr>
      <vt:lpstr>IND. JILA - 512</vt:lpstr>
      <vt:lpstr>MOINSE - 517</vt:lpstr>
      <vt:lpstr>HERMAR - 518</vt:lpstr>
      <vt:lpstr>UB HIDROSTATICOS - 519</vt:lpstr>
      <vt:lpstr>FERMIN MUÑOZ - 523</vt:lpstr>
      <vt:lpstr>W G ENERGIA - 528</vt:lpstr>
      <vt:lpstr>GREEN PULP - 531</vt:lpstr>
      <vt:lpstr>WATERCOL - 535</vt:lpstr>
      <vt:lpstr>SEBASTIAN - 537</vt:lpstr>
      <vt:lpstr>FONTANEROS - 539</vt:lpstr>
      <vt:lpstr>METALBAS - 543</vt:lpstr>
      <vt:lpstr>METALBAS - 546</vt:lpstr>
      <vt:lpstr>MOINSE - 548</vt:lpstr>
      <vt:lpstr>SOLNEUMATICAS - 550</vt:lpstr>
      <vt:lpstr>JRL S.A.S. - 552</vt:lpstr>
      <vt:lpstr>METALBAS - 553</vt:lpstr>
      <vt:lpstr>S.M.S. IND - 555</vt:lpstr>
      <vt:lpstr>S.M.S. IND - 556</vt:lpstr>
      <vt:lpstr>RONALD ARAGON - 557</vt:lpstr>
      <vt:lpstr>FONTANEROS - 560</vt:lpstr>
      <vt:lpstr>FONTANEROS - 562</vt:lpstr>
      <vt:lpstr>S.M.S IND - 563</vt:lpstr>
      <vt:lpstr>RONALD - 566</vt:lpstr>
      <vt:lpstr>HUGO F. LOPEZ - 569</vt:lpstr>
      <vt:lpstr>DANFER - 570</vt:lpstr>
      <vt:lpstr>OUTSOURCING - 576</vt:lpstr>
      <vt:lpstr>VARIOS - 578</vt:lpstr>
      <vt:lpstr>SU PROVEEDOR - 581</vt:lpstr>
      <vt:lpstr>UB HIDROSANITARIO - 583</vt:lpstr>
      <vt:lpstr>WG ENERGIA - 584</vt:lpstr>
      <vt:lpstr>RAMIRO ROSERO - 587</vt:lpstr>
      <vt:lpstr>EMERIND SAS - 591</vt:lpstr>
      <vt:lpstr>WG ENERGIA  - 592</vt:lpstr>
      <vt:lpstr>POZO RADIAL - 593</vt:lpstr>
      <vt:lpstr>UB HIDROSANITARIO - 596</vt:lpstr>
      <vt:lpstr>INELCO S.A.S. - 597</vt:lpstr>
      <vt:lpstr>SU PROVEEDOR - 598</vt:lpstr>
      <vt:lpstr>JONNY VALENCIA - 599</vt:lpstr>
      <vt:lpstr>ALFREYCAIPE - 600</vt:lpstr>
      <vt:lpstr>J&amp;M  - 604</vt:lpstr>
      <vt:lpstr>JRL - 605</vt:lpstr>
      <vt:lpstr>ALFREY CAIPE - 609</vt:lpstr>
      <vt:lpstr>MARCO MONTOYA - 612</vt:lpstr>
      <vt:lpstr>INELCO - 617</vt:lpstr>
      <vt:lpstr>J M SAS - 619</vt:lpstr>
      <vt:lpstr>RONALD - 620</vt:lpstr>
      <vt:lpstr>UB HIDROSANITARIO - 622</vt:lpstr>
      <vt:lpstr>DISTRIMOL - 623</vt:lpstr>
      <vt:lpstr>SU PROVEEDOR - 627</vt:lpstr>
      <vt:lpstr>FAB &amp; CAUCHOS - 630</vt:lpstr>
      <vt:lpstr>DANFER - 631</vt:lpstr>
      <vt:lpstr>SU PROVEEDOR - 633</vt:lpstr>
      <vt:lpstr>CRISPINIANO - 635</vt:lpstr>
      <vt:lpstr>SEBASTIAN - 637</vt:lpstr>
      <vt:lpstr>JRL - 638</vt:lpstr>
      <vt:lpstr>SOPLAPACK - 639</vt:lpstr>
      <vt:lpstr>MECAIND DEL CAUCA - 640</vt:lpstr>
      <vt:lpstr>JOSE FDO SALAZAR - 642</vt:lpstr>
      <vt:lpstr>METALBAS - 643</vt:lpstr>
      <vt:lpstr>SUMIND Y MTTO - 645</vt:lpstr>
      <vt:lpstr>BRAVO CONST. -647</vt:lpstr>
      <vt:lpstr>JONNY VALENCIA - 648</vt:lpstr>
      <vt:lpstr>DANFER  - 651</vt:lpstr>
      <vt:lpstr>SERVISAFE S.A.S. - 652</vt:lpstr>
      <vt:lpstr>DANFER - 653</vt:lpstr>
      <vt:lpstr>MARCO MONTOYA - 655</vt:lpstr>
      <vt:lpstr>WATERCOL - 657</vt:lpstr>
      <vt:lpstr>SU PROVEEDOR - 658</vt:lpstr>
      <vt:lpstr>SERVISAFE - 659</vt:lpstr>
      <vt:lpstr>DANFER - 660</vt:lpstr>
      <vt:lpstr>APPONTE RAMOS - 661</vt:lpstr>
      <vt:lpstr>PEPINOSA - 662</vt:lpstr>
      <vt:lpstr>CONSTRUARIS - 664</vt:lpstr>
      <vt:lpstr>LAP INGENIERIA - 666</vt:lpstr>
      <vt:lpstr>MECAIND.DEL CAUCA - 668</vt:lpstr>
      <vt:lpstr>SERVISAFE - 670</vt:lpstr>
      <vt:lpstr>CONSTRURIVAL - 673</vt:lpstr>
      <vt:lpstr>CONSTRURIVAL ,- 674</vt:lpstr>
      <vt:lpstr>RAMIRO CHAUX - 677</vt:lpstr>
      <vt:lpstr>RAMIRO CHAUX - 679</vt:lpstr>
      <vt:lpstr>INELCO - 682</vt:lpstr>
      <vt:lpstr>V A A - 684</vt:lpstr>
      <vt:lpstr>M V  S.A.S. - 685</vt:lpstr>
      <vt:lpstr>U B - 686</vt:lpstr>
      <vt:lpstr>ACUATANK - 687</vt:lpstr>
      <vt:lpstr>S.M.S. - 688</vt:lpstr>
      <vt:lpstr>ACUATANK - 689</vt:lpstr>
      <vt:lpstr>MAHOS - 690</vt:lpstr>
      <vt:lpstr>INELCO - 691</vt:lpstr>
      <vt:lpstr>SERVISAFE - 693</vt:lpstr>
      <vt:lpstr>V  A A   - 694</vt:lpstr>
      <vt:lpstr>INELCO  - 695</vt:lpstr>
      <vt:lpstr>IPR - 697</vt:lpstr>
      <vt:lpstr>W G ENERGIA - 700</vt:lpstr>
      <vt:lpstr>HERMAR - 701</vt:lpstr>
      <vt:lpstr>LUIS FDO. OSORIO - 702</vt:lpstr>
      <vt:lpstr>MOINSE - 703</vt:lpstr>
      <vt:lpstr>MOINSE - 704</vt:lpstr>
      <vt:lpstr>MOINSE - 705</vt:lpstr>
      <vt:lpstr>SERVISAFE - 706</vt:lpstr>
      <vt:lpstr>SU PROVEEDOR - 707</vt:lpstr>
      <vt:lpstr>MOINSE - 708</vt:lpstr>
      <vt:lpstr>METALVIAL - 713</vt:lpstr>
      <vt:lpstr>P C L  - 715</vt:lpstr>
      <vt:lpstr>SOLOIND - 717</vt:lpstr>
      <vt:lpstr>BRAIMM - 718</vt:lpstr>
      <vt:lpstr>IND AMG - 724</vt:lpstr>
      <vt:lpstr>AIMONT - 725</vt:lpstr>
      <vt:lpstr>SANNOX - 727</vt:lpstr>
      <vt:lpstr>DIDACONTROL - 729</vt:lpstr>
      <vt:lpstr>SANNOX  - 730</vt:lpstr>
      <vt:lpstr>AMJ GROUP - 733</vt:lpstr>
      <vt:lpstr>N T  LABS - 734</vt:lpstr>
      <vt:lpstr>AMJ - 737</vt:lpstr>
      <vt:lpstr>2222 - 742</vt:lpstr>
      <vt:lpstr>PEPINOSA - 743</vt:lpstr>
      <vt:lpstr>SOLUIND. M V - 745</vt:lpstr>
      <vt:lpstr>AMJ - 747</vt:lpstr>
      <vt:lpstr>ED. RINCON - 748</vt:lpstr>
      <vt:lpstr>MOINSE - 749</vt:lpstr>
      <vt:lpstr>SU PROVEEDOR - 750</vt:lpstr>
      <vt:lpstr>ACUATANK - 751</vt:lpstr>
      <vt:lpstr>AMJ - 756</vt:lpstr>
      <vt:lpstr>RICH S.A.S. - 757</vt:lpstr>
      <vt:lpstr>JUROC - 759</vt:lpstr>
      <vt:lpstr>ISA - 760</vt:lpstr>
      <vt:lpstr>SU PROVEEDOR - 761</vt:lpstr>
      <vt:lpstr>SU PROVEEDOR - 764</vt:lpstr>
      <vt:lpstr>AMJ - 766</vt:lpstr>
      <vt:lpstr>MTMTO METALM - 769</vt:lpstr>
      <vt:lpstr>SU PROVEEDOR - 771</vt:lpstr>
      <vt:lpstr>METALPAZ - 772</vt:lpstr>
      <vt:lpstr>SERVISAFE - 775</vt:lpstr>
      <vt:lpstr>MARCO MONTOYA - 776</vt:lpstr>
      <vt:lpstr>SERVISAFE - 777</vt:lpstr>
      <vt:lpstr>R&amp;S ING. - 778</vt:lpstr>
      <vt:lpstr>AMJ - 779</vt:lpstr>
      <vt:lpstr>SEBASTIAN - 780</vt:lpstr>
      <vt:lpstr>HERMAR - 782</vt:lpstr>
      <vt:lpstr>HERMAR - 783</vt:lpstr>
      <vt:lpstr>SOLUIND MV - 784</vt:lpstr>
      <vt:lpstr>SPIM S.A.S. - 787</vt:lpstr>
      <vt:lpstr>PEPINOSA -788</vt:lpstr>
      <vt:lpstr>R&amp;S  -  790</vt:lpstr>
      <vt:lpstr>SU PROVEEDOR - 791</vt:lpstr>
      <vt:lpstr>SU PROVEEDOR - 792</vt:lpstr>
      <vt:lpstr>SU PROVEEDOR - 797</vt:lpstr>
      <vt:lpstr>FERREORIENTE - 798</vt:lpstr>
      <vt:lpstr>AMJ GROUP - 804</vt:lpstr>
      <vt:lpstr>V.A.A. SOLUIND - 808</vt:lpstr>
      <vt:lpstr>EPRING S.A.S. 809</vt:lpstr>
      <vt:lpstr>INTERVALLE - 810</vt:lpstr>
      <vt:lpstr>JRL S.A.S.</vt:lpstr>
      <vt:lpstr>SU PROVEEDOR - 812</vt:lpstr>
      <vt:lpstr>MV SAS - 814</vt:lpstr>
      <vt:lpstr>UB HIDROSANITARIO - 815</vt:lpstr>
      <vt:lpstr>EPRING - 816</vt:lpstr>
      <vt:lpstr>SERVISAFE - 817</vt:lpstr>
      <vt:lpstr>MECAIND. DEL CAUCA - 819</vt:lpstr>
      <vt:lpstr>CARMACOL  - 882</vt:lpstr>
      <vt:lpstr>SPIM - 823</vt:lpstr>
      <vt:lpstr>AVA SOLUIND - 828</vt:lpstr>
      <vt:lpstr>VILLEGAS - 830</vt:lpstr>
      <vt:lpstr>SPIM - 831</vt:lpstr>
      <vt:lpstr>FAB&amp;CAUCHOS - 832</vt:lpstr>
      <vt:lpstr>ULTRASERVICIOS - 833</vt:lpstr>
      <vt:lpstr>SU PROVEEDOR - 834</vt:lpstr>
      <vt:lpstr>RAMIRO CHAUX - 835</vt:lpstr>
      <vt:lpstr>SU PROVEEDOR  -  836</vt:lpstr>
      <vt:lpstr>MECAPACIFICO - 838</vt:lpstr>
      <vt:lpstr>RAMIRO CHAUX - 843</vt:lpstr>
      <vt:lpstr>DANFER - 844</vt:lpstr>
      <vt:lpstr>REINA - 846</vt:lpstr>
      <vt:lpstr>SANTODOMINGO - 847</vt:lpstr>
      <vt:lpstr>JRL - 848</vt:lpstr>
      <vt:lpstr>SU PROVEEDOR - 849</vt:lpstr>
      <vt:lpstr>FERROTEC LTDA - 850</vt:lpstr>
      <vt:lpstr>SOLUNEUMATICAS - 851</vt:lpstr>
      <vt:lpstr>SERVISAFE - 853</vt:lpstr>
      <vt:lpstr>V A A SOL. - 854</vt:lpstr>
      <vt:lpstr>ANULADA</vt:lpstr>
      <vt:lpstr>UB - 857</vt:lpstr>
      <vt:lpstr>UB - 858</vt:lpstr>
      <vt:lpstr>SOLUIND APONTE - 859</vt:lpstr>
      <vt:lpstr>SEBASTIAN - 860</vt:lpstr>
      <vt:lpstr>M V SAS - 861</vt:lpstr>
      <vt:lpstr>METALBAS - 863</vt:lpstr>
      <vt:lpstr>AIMONT - 863</vt:lpstr>
      <vt:lpstr>V.A.A. SOLUIND - 864</vt:lpstr>
      <vt:lpstr>RICH - 865</vt:lpstr>
      <vt:lpstr>ACEROSCOL - 867</vt:lpstr>
      <vt:lpstr>ACEROSCOL - 868</vt:lpstr>
      <vt:lpstr>INGPRAK GZ - 869</vt:lpstr>
      <vt:lpstr>DIAL - 870</vt:lpstr>
      <vt:lpstr>SERVISAFE - 871</vt:lpstr>
      <vt:lpstr>SPIM - 872</vt:lpstr>
      <vt:lpstr>UB HIDROSANITARIO - 873</vt:lpstr>
      <vt:lpstr>AYC  -  879</vt:lpstr>
      <vt:lpstr>AMJ - 880</vt:lpstr>
      <vt:lpstr>FITTING VALVES - 881</vt:lpstr>
      <vt:lpstr>V A A SOLUIND - 885</vt:lpstr>
      <vt:lpstr>JILA - 889</vt:lpstr>
      <vt:lpstr>AMJ - 891</vt:lpstr>
      <vt:lpstr>DIDA - 893</vt:lpstr>
      <vt:lpstr>SERVISAFE - 895</vt:lpstr>
      <vt:lpstr>FITTING  -  896</vt:lpstr>
      <vt:lpstr>INGESOL - 897</vt:lpstr>
      <vt:lpstr>REINA - 898</vt:lpstr>
      <vt:lpstr>DIGASOL HS  S.A.S. - 899</vt:lpstr>
      <vt:lpstr>WATERCOL - 900</vt:lpstr>
      <vt:lpstr>GRUPOACERO - 901</vt:lpstr>
      <vt:lpstr>SPIM - 904</vt:lpstr>
      <vt:lpstr>SERVISAFE - 909</vt:lpstr>
      <vt:lpstr>AMJ - 910</vt:lpstr>
      <vt:lpstr>JILA  -  911</vt:lpstr>
      <vt:lpstr>TWA - 915</vt:lpstr>
      <vt:lpstr>SOLUIND - 917</vt:lpstr>
      <vt:lpstr>JRL - 918</vt:lpstr>
      <vt:lpstr>JILA - 919</vt:lpstr>
      <vt:lpstr>GRUPO ACERO - 920</vt:lpstr>
      <vt:lpstr>BRAIMM S.A.S. - 922</vt:lpstr>
      <vt:lpstr>TECNOX - 925</vt:lpstr>
      <vt:lpstr>SERVISAFE -926</vt:lpstr>
      <vt:lpstr>GRUPO ACERO - 927</vt:lpstr>
      <vt:lpstr>SEBASTIAN - 928</vt:lpstr>
      <vt:lpstr>AMJ - 929</vt:lpstr>
      <vt:lpstr>SERVISAFE - 930</vt:lpstr>
      <vt:lpstr>SPIM - 932</vt:lpstr>
      <vt:lpstr>SPIM - 933</vt:lpstr>
      <vt:lpstr>LIDER - 936</vt:lpstr>
      <vt:lpstr>V , A , A - 937</vt:lpstr>
      <vt:lpstr>SPIM - 938</vt:lpstr>
      <vt:lpstr>JILA - 943</vt:lpstr>
      <vt:lpstr>V A A  - 945</vt:lpstr>
      <vt:lpstr>HSC - 947</vt:lpstr>
      <vt:lpstr>FERMIN - 948</vt:lpstr>
      <vt:lpstr>SERVISAFE - 951</vt:lpstr>
      <vt:lpstr>FITTING - 952</vt:lpstr>
      <vt:lpstr>SPIM - 953</vt:lpstr>
      <vt:lpstr>IMPOSERV - 955</vt:lpstr>
      <vt:lpstr>AMJ - 956</vt:lpstr>
      <vt:lpstr>RAMIRO - 959</vt:lpstr>
      <vt:lpstr>COLMECANICAS - 961</vt:lpstr>
      <vt:lpstr>ASERDIESEL - 964</vt:lpstr>
      <vt:lpstr>UB HIDROSANITARIO - 968</vt:lpstr>
      <vt:lpstr>AMJ - 973</vt:lpstr>
      <vt:lpstr>SERVISAFE - 974</vt:lpstr>
      <vt:lpstr>SILVA -975</vt:lpstr>
      <vt:lpstr>SOLUIND - 976</vt:lpstr>
      <vt:lpstr>LIDER - 982</vt:lpstr>
      <vt:lpstr>LIDER - 984</vt:lpstr>
      <vt:lpstr>MECIND CAUCA - 987</vt:lpstr>
      <vt:lpstr>LIDER - 991</vt:lpstr>
      <vt:lpstr>IMAQ - 993</vt:lpstr>
      <vt:lpstr>SOLUTEC - 996</vt:lpstr>
      <vt:lpstr>SU PROVEEDOR - 997</vt:lpstr>
      <vt:lpstr>AMJ - 998</vt:lpstr>
      <vt:lpstr>M&amp;R - 999</vt:lpstr>
      <vt:lpstr>LAP - 1000</vt:lpstr>
      <vt:lpstr>BRAIMM - 1001</vt:lpstr>
      <vt:lpstr>SEBASTAN - 1004</vt:lpstr>
      <vt:lpstr>JILA - 1005</vt:lpstr>
      <vt:lpstr>HERMAR - 1006</vt:lpstr>
      <vt:lpstr>SEBASTIAN - 1011</vt:lpstr>
      <vt:lpstr>BENJAMIN MORA - 1012</vt:lpstr>
      <vt:lpstr>SEBASTIAN - 1013</vt:lpstr>
      <vt:lpstr>LIDER - 1016</vt:lpstr>
      <vt:lpstr>COLMECANICA - 1017</vt:lpstr>
      <vt:lpstr>SERVISAFE - 1022</vt:lpstr>
      <vt:lpstr>DIAL - 1023</vt:lpstr>
      <vt:lpstr>BRAIMM - 1024</vt:lpstr>
      <vt:lpstr>SU PROVEEDOR - 1026</vt:lpstr>
      <vt:lpstr>JGH - 1029</vt:lpstr>
      <vt:lpstr>METALBAS - 1031</vt:lpstr>
      <vt:lpstr>UB - 1033</vt:lpstr>
      <vt:lpstr>HERMAR - 1039</vt:lpstr>
      <vt:lpstr>JRL - 1041</vt:lpstr>
      <vt:lpstr>LIDER - 1042</vt:lpstr>
      <vt:lpstr>A Y C - 1043</vt:lpstr>
      <vt:lpstr>SEBASTIAN - 1044</vt:lpstr>
      <vt:lpstr>DIAL - 1045</vt:lpstr>
      <vt:lpstr>LIDER - 1046</vt:lpstr>
      <vt:lpstr>JILA - 1050</vt:lpstr>
      <vt:lpstr>SETEFER - 1053</vt:lpstr>
      <vt:lpstr>SPIM - 1054</vt:lpstr>
      <vt:lpstr>MOINSE - 1056</vt:lpstr>
      <vt:lpstr>HSC - 1057</vt:lpstr>
      <vt:lpstr>JILA - 1058</vt:lpstr>
      <vt:lpstr>AMJ - 1059</vt:lpstr>
      <vt:lpstr>HSC - 1061</vt:lpstr>
      <vt:lpstr>HSC - 1062</vt:lpstr>
      <vt:lpstr>LIDER - 1063</vt:lpstr>
      <vt:lpstr>LIDER - 1064</vt:lpstr>
      <vt:lpstr>CONARIS - 1065</vt:lpstr>
      <vt:lpstr>HSC - 1067</vt:lpstr>
      <vt:lpstr>JILA - 1069</vt:lpstr>
      <vt:lpstr>INTERCOL - 1071</vt:lpstr>
      <vt:lpstr>ACUATANK - 1073</vt:lpstr>
      <vt:lpstr>JILA - 1075</vt:lpstr>
      <vt:lpstr>JILA - 1076</vt:lpstr>
      <vt:lpstr>UB - 1078</vt:lpstr>
      <vt:lpstr>IPM - 1079</vt:lpstr>
      <vt:lpstr>AMJ - 1080</vt:lpstr>
      <vt:lpstr>PCL - 1082</vt:lpstr>
      <vt:lpstr>AMJ GROUP - 1087</vt:lpstr>
      <vt:lpstr>SU PROVEEDOR - 1090</vt:lpstr>
      <vt:lpstr>LAP - 1092</vt:lpstr>
      <vt:lpstr>SERVISAFE - 1094</vt:lpstr>
      <vt:lpstr>A Y C - 1095</vt:lpstr>
      <vt:lpstr>FAB &amp; CAUCHOS -1097</vt:lpstr>
      <vt:lpstr>AIMONT - 1098</vt:lpstr>
      <vt:lpstr>V ,A, A - 1099</vt:lpstr>
      <vt:lpstr>SPIM - 1101</vt:lpstr>
      <vt:lpstr>RETEINDUST - 1102</vt:lpstr>
      <vt:lpstr>PRAIN - 1103</vt:lpstr>
      <vt:lpstr>SEBASTIAN - 1104</vt:lpstr>
      <vt:lpstr>JIG - 1105</vt:lpstr>
      <vt:lpstr>FAB &amp; CAUCHOS - 1107</vt:lpstr>
      <vt:lpstr>AMJ - 1108</vt:lpstr>
      <vt:lpstr>SPIM - 1109</vt:lpstr>
      <vt:lpstr>SPIM - 1110</vt:lpstr>
      <vt:lpstr>HSC - 1111</vt:lpstr>
      <vt:lpstr>AIMONT - 1112</vt:lpstr>
      <vt:lpstr>AIMONT - 1113</vt:lpstr>
      <vt:lpstr>AIMONT - 1114</vt:lpstr>
      <vt:lpstr>V A A - 1116</vt:lpstr>
      <vt:lpstr>TUVACOL</vt:lpstr>
      <vt:lpstr>DANFER - 1120</vt:lpstr>
      <vt:lpstr>COSMO - 1121</vt:lpstr>
      <vt:lpstr>AMG - 1122</vt:lpstr>
      <vt:lpstr>V A A - 1123</vt:lpstr>
      <vt:lpstr>ARE - 2</vt:lpstr>
      <vt:lpstr>ALINEAR - 3</vt:lpstr>
      <vt:lpstr>SIAMED - 4</vt:lpstr>
      <vt:lpstr>VELMU - 8</vt:lpstr>
      <vt:lpstr>V A A - 9</vt:lpstr>
      <vt:lpstr>V A A - 10</vt:lpstr>
      <vt:lpstr>SOLUIND - 11</vt:lpstr>
      <vt:lpstr>HYCO - 12</vt:lpstr>
      <vt:lpstr>SPIM - 13</vt:lpstr>
      <vt:lpstr>SERVISAFE - 14</vt:lpstr>
      <vt:lpstr>SPIM - 15</vt:lpstr>
      <vt:lpstr>IPM - 16</vt:lpstr>
      <vt:lpstr>V A A -17</vt:lpstr>
      <vt:lpstr>SURTIVALLE - 18</vt:lpstr>
      <vt:lpstr>A Y C - 19</vt:lpstr>
      <vt:lpstr>MAPORITA - 20</vt:lpstr>
      <vt:lpstr>SOLUIND - 21</vt:lpstr>
      <vt:lpstr>PCL - 22</vt:lpstr>
      <vt:lpstr>RICHS - 23</vt:lpstr>
      <vt:lpstr>BRAIM - 24</vt:lpstr>
      <vt:lpstr>JILA - 25</vt:lpstr>
      <vt:lpstr>REMO - 26</vt:lpstr>
      <vt:lpstr>HSC - 27</vt:lpstr>
      <vt:lpstr>PEPINOSA - 28</vt:lpstr>
      <vt:lpstr>LIDER - 29</vt:lpstr>
      <vt:lpstr>AUTOMECHANIC - 30</vt:lpstr>
      <vt:lpstr>RONALD - 31</vt:lpstr>
      <vt:lpstr>LIDER - 32</vt:lpstr>
      <vt:lpstr>AIMONT - 33</vt:lpstr>
      <vt:lpstr>FCO JAVIER - 34</vt:lpstr>
      <vt:lpstr>C Q - 35</vt:lpstr>
      <vt:lpstr>SPIM - 36</vt:lpstr>
      <vt:lpstr>AUTOMECHANIC - 37</vt:lpstr>
      <vt:lpstr>VELCO - 38</vt:lpstr>
      <vt:lpstr>AUTOMECHANIC - 39</vt:lpstr>
      <vt:lpstr>SPIM - 40</vt:lpstr>
      <vt:lpstr>SPIM - 41</vt:lpstr>
      <vt:lpstr>AUTOMECHANIC - 42</vt:lpstr>
      <vt:lpstr>U B - 43</vt:lpstr>
      <vt:lpstr>LMV - 45</vt:lpstr>
      <vt:lpstr>AIMONT - 46</vt:lpstr>
      <vt:lpstr>AUTOMECHANIC - 47</vt:lpstr>
      <vt:lpstr>AUTOMECHANIC - 48</vt:lpstr>
      <vt:lpstr>SPIM - 49</vt:lpstr>
      <vt:lpstr>PEPINOSA - 50</vt:lpstr>
      <vt:lpstr>U B  -  51</vt:lpstr>
      <vt:lpstr>LIDER - 52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Gerencia</cp:lastModifiedBy>
  <cp:lastPrinted>2024-05-16T22:34:00Z</cp:lastPrinted>
  <dcterms:created xsi:type="dcterms:W3CDTF">2024-05-16T17:54:23Z</dcterms:created>
  <dcterms:modified xsi:type="dcterms:W3CDTF">2026-07-15T15:26:52Z</dcterms:modified>
</cp:coreProperties>
</file>